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6B0C6BCF-0285-4149-BC36-8E48E1D9C894}" xr6:coauthVersionLast="47" xr6:coauthVersionMax="47" xr10:uidLastSave="{00000000-0000-0000-0000-000000000000}"/>
  <bookViews>
    <workbookView xWindow="10545" yWindow="0" windowWidth="10811" windowHeight="11332" xr2:uid="{00000000-000D-0000-FFFF-FFFF00000000}"/>
  </bookViews>
  <sheets>
    <sheet name="Data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Data!$A$4:$BI$5</definedName>
    <definedName name="CK">#REF!</definedName>
    <definedName name="Du_an" localSheetId="0">'[1]Du lieu'!$B$4:$B$7</definedName>
    <definedName name="du_an">#REF!</definedName>
    <definedName name="FSDFÁ">#REF!</definedName>
    <definedName name="Gio_cong_tieu_chuan">'[1]Du lieu'!$P$4:$S$4</definedName>
    <definedName name="he_so">'[1]Du lieu'!$E$4:$E$7</definedName>
    <definedName name="Ho_ten">'[1]Du lieu'!$AA$5:$AA$18</definedName>
    <definedName name="Lam_sach">'[2]khong xoa'!$A$1:$A$12</definedName>
    <definedName name="Ngay_le">#REF!</definedName>
    <definedName name="_xlnm.Print_Area" localSheetId="0">Data!$A$1:$AQ$5</definedName>
    <definedName name="_xlnm.Print_Titles" localSheetId="0">Data!$2:$3</definedName>
    <definedName name="TG">#REF!</definedName>
    <definedName name="Thamchieu">'[3]Bang tham chieu'!$B$2:$D$9</definedName>
    <definedName name="Thang_nam">'[4]Du lieu'!$H$5:$H$28</definedName>
    <definedName name="VP_T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O4" i="1"/>
</calcChain>
</file>

<file path=xl/sharedStrings.xml><?xml version="1.0" encoding="utf-8"?>
<sst xmlns="http://schemas.openxmlformats.org/spreadsheetml/2006/main" count="67" uniqueCount="62">
  <si>
    <t>BẢNG CHI TIẾT LƯƠNG THÁNG - NĂM:</t>
  </si>
  <si>
    <t>TT</t>
  </si>
  <si>
    <t>Họ và tên</t>
  </si>
  <si>
    <t>Mã nhân viên</t>
  </si>
  <si>
    <t>Chức danh</t>
  </si>
  <si>
    <t>Lương và các khoản phụ cấp</t>
  </si>
  <si>
    <r>
      <t xml:space="preserve">Tổng
 thu nhập theo HĐ
</t>
    </r>
    <r>
      <rPr>
        <sz val="13"/>
        <rFont val="Times New Roman"/>
        <family val="1"/>
      </rPr>
      <t>(Chưa bao gồm trợ cấp điện thoại)</t>
    </r>
  </si>
  <si>
    <t>Giờ công &amp; Đơn giá</t>
  </si>
  <si>
    <t>Thu nhập</t>
  </si>
  <si>
    <t>Công ty hỗ trợ tiền lương do thiếu giờ công tại dự án</t>
  </si>
  <si>
    <t>Giảm trừ bảo hiểm</t>
  </si>
  <si>
    <t xml:space="preserve">Bảo hiểm trích từ công ty </t>
  </si>
  <si>
    <t>Tổng tiền BHXH, BHYT, BHTN</t>
  </si>
  <si>
    <t>Thuế TNCN</t>
  </si>
  <si>
    <t>Trích thuế TNCN</t>
  </si>
  <si>
    <t>Công tác phí</t>
  </si>
  <si>
    <t>Hoàn thuế TNCN năm trước</t>
  </si>
  <si>
    <t>Đã tạm ứng</t>
  </si>
  <si>
    <t>Lương thực lĩnh</t>
  </si>
  <si>
    <t>Bình Quân PC Nhà ở/ Ăn trưa</t>
  </si>
  <si>
    <t>Tổng chi phí phải trả</t>
  </si>
  <si>
    <t>Giảm trừ gia cảnh</t>
  </si>
  <si>
    <t>Trích đóng thuế TNCN</t>
  </si>
  <si>
    <t>Lương chính
(VND)</t>
  </si>
  <si>
    <t>Ăn trưa
(VND)</t>
  </si>
  <si>
    <t>Nhà ở
(VND)</t>
  </si>
  <si>
    <t>Giờ công cơ sở
(Hr)</t>
  </si>
  <si>
    <t>Đơn giá
(VND/Hr)</t>
  </si>
  <si>
    <t>Giờ công phân bổ (Hr)</t>
  </si>
  <si>
    <t>Lương phân bổ</t>
  </si>
  <si>
    <t>Hỗ trợ xăng xe</t>
  </si>
  <si>
    <t>BHXH</t>
  </si>
  <si>
    <t>BHYT</t>
  </si>
  <si>
    <t>BHTN</t>
  </si>
  <si>
    <t>Tổng</t>
  </si>
  <si>
    <t>Hỗ trợ nhà ở được miễn thuế</t>
  </si>
  <si>
    <t>Thu nhập chịu thuế</t>
  </si>
  <si>
    <t>Số lượng</t>
  </si>
  <si>
    <t>Thành tiền</t>
  </si>
  <si>
    <t>Thu nhập tính thuế</t>
  </si>
  <si>
    <t>Bậc 1</t>
  </si>
  <si>
    <t>Bậc 2</t>
  </si>
  <si>
    <t>Bậc 3</t>
  </si>
  <si>
    <t>Bậc 4</t>
  </si>
  <si>
    <t>Bậc 5</t>
  </si>
  <si>
    <t>Bậc 6</t>
  </si>
  <si>
    <t>Bậc 7</t>
  </si>
  <si>
    <t>Thuế thu nhập cá nhân</t>
  </si>
  <si>
    <t>General</t>
  </si>
  <si>
    <t>Maintenance &amp; Services</t>
  </si>
  <si>
    <t>&gt; 80.000.000</t>
  </si>
  <si>
    <t>Facility 
Management</t>
  </si>
  <si>
    <t>Tổng giờ công trả lương</t>
  </si>
  <si>
    <t>Tổng thu nhập theo giờ công</t>
  </si>
  <si>
    <t>Thưởng hoặc các khoản thu nhập khác
(Nếu có)</t>
  </si>
  <si>
    <t>Khác</t>
  </si>
  <si>
    <t>Bù / Trừ lương tháng</t>
  </si>
  <si>
    <t>Tổng thu nhập đợt này</t>
  </si>
  <si>
    <t>Thưởng đã thanh toán trong tháng</t>
  </si>
  <si>
    <t>Tổng thu nhập trong tháng</t>
  </si>
  <si>
    <t>Hỗ trợ điện thoại</t>
  </si>
  <si>
    <t>Thưởng nhân viên xuất sắc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</si>
</sst>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_ ;[Red]\-#,##0\ "/>
  </numFmts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26"/>
      <color indexed="8"/>
      <name val="Times New Roman"/>
      <family val="1"/>
    </font>
    <font>
      <b/>
      <sz val="22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i/>
      <sz val="13"/>
      <name val="Times New Roman"/>
      <family val="1"/>
    </font>
    <font>
      <b/>
      <i/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399945066682943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3" fillId="0" borderId="0"/>
  </cellStyleXfs>
  <cellXfs count="82">
    <xf numFmtId="0" fontId="0" fillId="0" borderId="0" xfId="0"/>
    <xf numFmtId="164" fontId="2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vertical="center" wrapText="1"/>
    </xf>
    <xf numFmtId="164" fontId="2" fillId="0" borderId="0" xfId="2" applyNumberFormat="1" applyFont="1" applyFill="1" applyAlignment="1">
      <alignment vertical="center" wrapText="1"/>
    </xf>
    <xf numFmtId="164" fontId="4" fillId="2" borderId="0" xfId="2" applyNumberFormat="1" applyFont="1" applyFill="1" applyBorder="1" applyAlignment="1">
      <alignment vertical="center"/>
    </xf>
    <xf numFmtId="164" fontId="5" fillId="2" borderId="0" xfId="2" applyNumberFormat="1" applyFont="1" applyFill="1" applyBorder="1" applyAlignment="1">
      <alignment horizontal="right" vertical="center"/>
    </xf>
    <xf numFmtId="164" fontId="6" fillId="2" borderId="0" xfId="2" applyNumberFormat="1" applyFont="1" applyFill="1" applyBorder="1" applyAlignment="1">
      <alignment vertical="center"/>
    </xf>
    <xf numFmtId="41" fontId="6" fillId="2" borderId="0" xfId="2" applyNumberFormat="1" applyFont="1" applyFill="1" applyBorder="1" applyAlignment="1">
      <alignment vertical="center"/>
    </xf>
    <xf numFmtId="10" fontId="4" fillId="2" borderId="0" xfId="2" applyNumberFormat="1" applyFont="1" applyFill="1" applyBorder="1" applyAlignment="1">
      <alignment horizontal="left" vertical="center"/>
    </xf>
    <xf numFmtId="164" fontId="2" fillId="0" borderId="0" xfId="2" applyNumberFormat="1" applyFont="1" applyFill="1" applyBorder="1" applyAlignment="1">
      <alignment vertical="center"/>
    </xf>
    <xf numFmtId="164" fontId="2" fillId="0" borderId="0" xfId="2" applyNumberFormat="1" applyFont="1" applyFill="1" applyAlignment="1">
      <alignment vertical="center"/>
    </xf>
    <xf numFmtId="164" fontId="7" fillId="3" borderId="2" xfId="2" applyNumberFormat="1" applyFont="1" applyFill="1" applyBorder="1" applyAlignment="1">
      <alignment horizontal="centerContinuous" vertical="center" wrapText="1"/>
    </xf>
    <xf numFmtId="164" fontId="7" fillId="3" borderId="3" xfId="2" applyNumberFormat="1" applyFont="1" applyFill="1" applyBorder="1" applyAlignment="1">
      <alignment horizontal="centerContinuous" vertical="center" wrapText="1"/>
    </xf>
    <xf numFmtId="164" fontId="9" fillId="3" borderId="3" xfId="2" applyNumberFormat="1" applyFont="1" applyFill="1" applyBorder="1" applyAlignment="1">
      <alignment horizontal="centerContinuous" vertical="center" wrapText="1"/>
    </xf>
    <xf numFmtId="164" fontId="9" fillId="3" borderId="4" xfId="2" applyNumberFormat="1" applyFont="1" applyFill="1" applyBorder="1" applyAlignment="1">
      <alignment horizontal="centerContinuous" vertical="center" wrapText="1"/>
    </xf>
    <xf numFmtId="164" fontId="9" fillId="3" borderId="2" xfId="2" applyNumberFormat="1" applyFont="1" applyFill="1" applyBorder="1" applyAlignment="1">
      <alignment horizontal="centerContinuous" vertical="center" wrapText="1"/>
    </xf>
    <xf numFmtId="164" fontId="9" fillId="3" borderId="1" xfId="2" applyNumberFormat="1" applyFont="1" applyFill="1" applyBorder="1" applyAlignment="1">
      <alignment horizontal="center" vertical="center" wrapText="1"/>
    </xf>
    <xf numFmtId="164" fontId="11" fillId="0" borderId="0" xfId="2" applyNumberFormat="1" applyFont="1" applyFill="1" applyAlignment="1">
      <alignment vertical="center"/>
    </xf>
    <xf numFmtId="164" fontId="9" fillId="3" borderId="6" xfId="2" applyNumberFormat="1" applyFont="1" applyFill="1" applyBorder="1" applyAlignment="1">
      <alignment horizontal="center" vertical="center" wrapText="1"/>
    </xf>
    <xf numFmtId="164" fontId="7" fillId="3" borderId="4" xfId="2" applyNumberFormat="1" applyFont="1" applyFill="1" applyBorder="1" applyAlignment="1">
      <alignment horizontal="center" vertical="center" wrapText="1"/>
    </xf>
    <xf numFmtId="164" fontId="7" fillId="3" borderId="5" xfId="2" applyNumberFormat="1" applyFont="1" applyFill="1" applyBorder="1" applyAlignment="1">
      <alignment horizontal="center" vertical="center" wrapText="1"/>
    </xf>
    <xf numFmtId="164" fontId="10" fillId="4" borderId="4" xfId="2" applyNumberFormat="1" applyFont="1" applyFill="1" applyBorder="1" applyAlignment="1">
      <alignment horizontal="center" vertical="center" wrapText="1"/>
    </xf>
    <xf numFmtId="164" fontId="10" fillId="4" borderId="5" xfId="2" applyNumberFormat="1" applyFont="1" applyFill="1" applyBorder="1" applyAlignment="1">
      <alignment horizontal="center" vertical="center" wrapText="1"/>
    </xf>
    <xf numFmtId="164" fontId="10" fillId="4" borderId="2" xfId="2" applyNumberFormat="1" applyFont="1" applyFill="1" applyBorder="1" applyAlignment="1">
      <alignment horizontal="center" vertical="center" wrapText="1"/>
    </xf>
    <xf numFmtId="164" fontId="11" fillId="0" borderId="0" xfId="2" applyNumberFormat="1" applyFont="1" applyFill="1" applyAlignment="1">
      <alignment vertical="center" wrapText="1"/>
    </xf>
    <xf numFmtId="164" fontId="12" fillId="3" borderId="5" xfId="2" applyNumberFormat="1" applyFont="1" applyFill="1" applyBorder="1" applyAlignment="1">
      <alignment horizontal="center" vertical="center" wrapText="1"/>
    </xf>
    <xf numFmtId="164" fontId="7" fillId="3" borderId="5" xfId="2" applyNumberFormat="1" applyFont="1" applyFill="1" applyBorder="1" applyAlignment="1">
      <alignment horizontal="center" vertical="center"/>
    </xf>
    <xf numFmtId="164" fontId="9" fillId="3" borderId="7" xfId="2" applyNumberFormat="1" applyFont="1" applyFill="1" applyBorder="1" applyAlignment="1">
      <alignment horizontal="center" vertical="center" wrapText="1"/>
    </xf>
    <xf numFmtId="10" fontId="9" fillId="3" borderId="5" xfId="2" applyNumberFormat="1" applyFont="1" applyFill="1" applyBorder="1" applyAlignment="1">
      <alignment horizontal="center" vertical="center" wrapText="1"/>
    </xf>
    <xf numFmtId="10" fontId="9" fillId="3" borderId="7" xfId="2" applyNumberFormat="1" applyFont="1" applyFill="1" applyBorder="1" applyAlignment="1">
      <alignment horizontal="center" vertical="center" wrapText="1"/>
    </xf>
    <xf numFmtId="9" fontId="10" fillId="4" borderId="4" xfId="1" applyFont="1" applyFill="1" applyBorder="1" applyAlignment="1">
      <alignment horizontal="center" vertical="center" wrapText="1"/>
    </xf>
    <xf numFmtId="9" fontId="10" fillId="4" borderId="5" xfId="1" applyFont="1" applyFill="1" applyBorder="1" applyAlignment="1">
      <alignment horizontal="center" vertical="center" wrapText="1"/>
    </xf>
    <xf numFmtId="9" fontId="10" fillId="4" borderId="2" xfId="1" applyFont="1" applyFill="1" applyBorder="1" applyAlignment="1">
      <alignment horizontal="center" vertical="center" wrapText="1"/>
    </xf>
    <xf numFmtId="37" fontId="7" fillId="0" borderId="5" xfId="2" applyNumberFormat="1" applyFont="1" applyFill="1" applyBorder="1" applyAlignment="1">
      <alignment horizontal="center" vertical="center" wrapText="1"/>
    </xf>
    <xf numFmtId="37" fontId="7" fillId="0" borderId="5" xfId="2" applyNumberFormat="1" applyFont="1" applyFill="1" applyBorder="1" applyAlignment="1">
      <alignment vertical="center" wrapText="1"/>
    </xf>
    <xf numFmtId="164" fontId="2" fillId="0" borderId="5" xfId="2" applyNumberFormat="1" applyFont="1" applyFill="1" applyBorder="1" applyAlignment="1">
      <alignment horizontal="center" vertical="center" wrapText="1"/>
    </xf>
    <xf numFmtId="164" fontId="11" fillId="0" borderId="5" xfId="2" applyNumberFormat="1" applyFont="1" applyFill="1" applyBorder="1" applyAlignment="1">
      <alignment horizontal="center" vertical="center" wrapText="1"/>
    </xf>
    <xf numFmtId="164" fontId="10" fillId="0" borderId="1" xfId="2" applyNumberFormat="1" applyFont="1" applyFill="1" applyBorder="1" applyAlignment="1">
      <alignment horizontal="center" vertical="center"/>
    </xf>
    <xf numFmtId="164" fontId="2" fillId="0" borderId="8" xfId="2" applyNumberFormat="1" applyFont="1" applyFill="1" applyBorder="1" applyAlignment="1">
      <alignment horizontal="center" vertical="center" wrapText="1"/>
    </xf>
    <xf numFmtId="164" fontId="14" fillId="0" borderId="0" xfId="2" applyNumberFormat="1" applyFont="1" applyFill="1" applyAlignment="1">
      <alignment vertical="center"/>
    </xf>
    <xf numFmtId="166" fontId="14" fillId="0" borderId="0" xfId="2" applyNumberFormat="1" applyFont="1" applyFill="1" applyAlignment="1">
      <alignment vertical="center"/>
    </xf>
    <xf numFmtId="166" fontId="14" fillId="0" borderId="0" xfId="2" applyNumberFormat="1" applyFont="1" applyFill="1" applyAlignment="1">
      <alignment horizontal="left" vertical="center"/>
    </xf>
    <xf numFmtId="0" fontId="14" fillId="0" borderId="0" xfId="2" applyNumberFormat="1" applyFont="1" applyFill="1" applyAlignment="1">
      <alignment horizontal="center" vertical="center"/>
    </xf>
    <xf numFmtId="0" fontId="14" fillId="0" borderId="0" xfId="2" applyNumberFormat="1" applyFont="1" applyFill="1" applyAlignment="1">
      <alignment vertical="center" wrapText="1"/>
    </xf>
    <xf numFmtId="49" fontId="5" fillId="2" borderId="0" xfId="2" applyNumberFormat="1" applyFont="1" applyFill="1" applyBorder="1" applyAlignment="1">
      <alignment horizontal="left" vertical="center"/>
    </xf>
    <xf numFmtId="166" fontId="15" fillId="0" borderId="0" xfId="2" applyNumberFormat="1" applyFont="1" applyFill="1" applyAlignment="1">
      <alignment vertical="center"/>
    </xf>
    <xf numFmtId="164" fontId="9" fillId="3" borderId="7" xfId="2" applyNumberFormat="1" applyFont="1" applyFill="1" applyBorder="1" applyAlignment="1">
      <alignment vertical="center" wrapText="1"/>
    </xf>
    <xf numFmtId="164" fontId="9" fillId="3" borderId="1" xfId="2" applyNumberFormat="1" applyFont="1" applyFill="1" applyBorder="1" applyAlignment="1">
      <alignment horizontal="center" vertical="center" wrapText="1"/>
    </xf>
    <xf numFmtId="164" fontId="9" fillId="3" borderId="6" xfId="2" applyNumberFormat="1" applyFont="1" applyFill="1" applyBorder="1" applyAlignment="1">
      <alignment horizontal="center" vertical="center" wrapText="1"/>
    </xf>
    <xf numFmtId="164" fontId="9" fillId="3" borderId="7" xfId="2" applyNumberFormat="1" applyFont="1" applyFill="1" applyBorder="1" applyAlignment="1">
      <alignment horizontal="center" vertical="center" wrapText="1"/>
    </xf>
    <xf numFmtId="10" fontId="7" fillId="3" borderId="1" xfId="2" applyNumberFormat="1" applyFont="1" applyFill="1" applyBorder="1" applyAlignment="1">
      <alignment horizontal="center" vertical="center" wrapText="1"/>
    </xf>
    <xf numFmtId="10" fontId="7" fillId="3" borderId="6" xfId="2" applyNumberFormat="1" applyFont="1" applyFill="1" applyBorder="1" applyAlignment="1">
      <alignment horizontal="center" vertical="center" wrapText="1"/>
    </xf>
    <xf numFmtId="10" fontId="7" fillId="3" borderId="7" xfId="2" applyNumberFormat="1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horizontal="center" vertical="center" wrapText="1"/>
    </xf>
    <xf numFmtId="165" fontId="7" fillId="3" borderId="6" xfId="2" applyNumberFormat="1" applyFont="1" applyFill="1" applyBorder="1" applyAlignment="1">
      <alignment horizontal="center" vertical="center" wrapText="1"/>
    </xf>
    <xf numFmtId="165" fontId="7" fillId="3" borderId="7" xfId="2" applyNumberFormat="1" applyFont="1" applyFill="1" applyBorder="1" applyAlignment="1">
      <alignment horizontal="center" vertical="center" wrapText="1"/>
    </xf>
    <xf numFmtId="164" fontId="10" fillId="4" borderId="2" xfId="2" applyNumberFormat="1" applyFont="1" applyFill="1" applyBorder="1" applyAlignment="1">
      <alignment horizontal="center" vertical="center" wrapText="1"/>
    </xf>
    <xf numFmtId="164" fontId="10" fillId="4" borderId="4" xfId="2" applyNumberFormat="1" applyFont="1" applyFill="1" applyBorder="1" applyAlignment="1">
      <alignment horizontal="center" vertical="center" wrapText="1"/>
    </xf>
    <xf numFmtId="164" fontId="7" fillId="3" borderId="5" xfId="2" applyNumberFormat="1" applyFont="1" applyFill="1" applyBorder="1" applyAlignment="1">
      <alignment horizontal="center" vertical="center" wrapText="1"/>
    </xf>
    <xf numFmtId="164" fontId="9" fillId="3" borderId="2" xfId="2" applyNumberFormat="1" applyFont="1" applyFill="1" applyBorder="1" applyAlignment="1">
      <alignment horizontal="center" vertical="center"/>
    </xf>
    <xf numFmtId="164" fontId="9" fillId="3" borderId="4" xfId="2" applyNumberFormat="1" applyFont="1" applyFill="1" applyBorder="1" applyAlignment="1">
      <alignment horizontal="center" vertical="center"/>
    </xf>
    <xf numFmtId="164" fontId="7" fillId="3" borderId="2" xfId="2" applyNumberFormat="1" applyFont="1" applyFill="1" applyBorder="1" applyAlignment="1">
      <alignment horizontal="center" vertical="center" wrapText="1"/>
    </xf>
    <xf numFmtId="164" fontId="7" fillId="3" borderId="3" xfId="2" applyNumberFormat="1" applyFont="1" applyFill="1" applyBorder="1" applyAlignment="1">
      <alignment horizontal="center" vertical="center" wrapText="1"/>
    </xf>
    <xf numFmtId="164" fontId="7" fillId="3" borderId="4" xfId="2" applyNumberFormat="1" applyFont="1" applyFill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 wrapText="1"/>
    </xf>
    <xf numFmtId="164" fontId="7" fillId="3" borderId="7" xfId="2" applyNumberFormat="1" applyFont="1" applyFill="1" applyBorder="1" applyAlignment="1">
      <alignment horizontal="center" vertical="center" wrapText="1"/>
    </xf>
    <xf numFmtId="165" fontId="7" fillId="3" borderId="1" xfId="2" applyNumberFormat="1" applyFont="1" applyFill="1" applyBorder="1" applyAlignment="1">
      <alignment vertical="center" wrapText="1"/>
    </xf>
    <xf numFmtId="165" fontId="7" fillId="3" borderId="6" xfId="2" applyNumberFormat="1" applyFont="1" applyFill="1" applyBorder="1" applyAlignment="1">
      <alignment vertical="center" wrapText="1"/>
    </xf>
    <xf numFmtId="165" fontId="7" fillId="3" borderId="7" xfId="2" applyNumberFormat="1" applyFont="1" applyFill="1" applyBorder="1" applyAlignment="1">
      <alignment vertical="center" wrapText="1"/>
    </xf>
    <xf numFmtId="41" fontId="9" fillId="3" borderId="1" xfId="2" applyNumberFormat="1" applyFont="1" applyFill="1" applyBorder="1" applyAlignment="1">
      <alignment horizontal="center" vertical="center" wrapText="1"/>
    </xf>
    <xf numFmtId="41" fontId="9" fillId="3" borderId="6" xfId="2" applyNumberFormat="1" applyFont="1" applyFill="1" applyBorder="1" applyAlignment="1">
      <alignment horizontal="center" vertical="center" wrapText="1"/>
    </xf>
    <xf numFmtId="41" fontId="9" fillId="3" borderId="7" xfId="2" applyNumberFormat="1" applyFont="1" applyFill="1" applyBorder="1" applyAlignment="1">
      <alignment horizontal="center" vertical="center" wrapText="1"/>
    </xf>
    <xf numFmtId="164" fontId="7" fillId="3" borderId="8" xfId="2" applyNumberFormat="1" applyFont="1" applyFill="1" applyBorder="1" applyAlignment="1">
      <alignment horizontal="center" vertical="center" wrapText="1"/>
    </xf>
    <xf numFmtId="164" fontId="7" fillId="3" borderId="9" xfId="2" applyNumberFormat="1" applyFont="1" applyFill="1" applyBorder="1" applyAlignment="1">
      <alignment horizontal="center" vertical="center" wrapText="1"/>
    </xf>
    <xf numFmtId="164" fontId="7" fillId="3" borderId="10" xfId="2" applyNumberFormat="1" applyFont="1" applyFill="1" applyBorder="1" applyAlignment="1">
      <alignment horizontal="center" vertical="center" wrapText="1"/>
    </xf>
    <xf numFmtId="164" fontId="7" fillId="3" borderId="11" xfId="2" applyNumberFormat="1" applyFont="1" applyFill="1" applyBorder="1" applyAlignment="1">
      <alignment horizontal="center" vertical="center" wrapText="1"/>
    </xf>
    <xf numFmtId="164" fontId="10" fillId="4" borderId="5" xfId="2" applyNumberFormat="1" applyFont="1" applyFill="1" applyBorder="1" applyAlignment="1">
      <alignment horizontal="center" vertical="center" wrapText="1"/>
    </xf>
    <xf numFmtId="164" fontId="11" fillId="4" borderId="1" xfId="2" applyNumberFormat="1" applyFont="1" applyFill="1" applyBorder="1" applyAlignment="1">
      <alignment horizontal="center" vertical="center" wrapText="1"/>
    </xf>
    <xf numFmtId="164" fontId="11" fillId="4" borderId="7" xfId="2" applyNumberFormat="1" applyFont="1" applyFill="1" applyBorder="1" applyAlignment="1">
      <alignment horizontal="center" vertical="center" wrapText="1"/>
    </xf>
    <xf numFmtId="164" fontId="11" fillId="4" borderId="5" xfId="2" applyNumberFormat="1" applyFont="1" applyFill="1" applyBorder="1" applyAlignment="1">
      <alignment horizontal="center" vertical="center" wrapText="1"/>
    </xf>
    <xf numFmtId="164" fontId="11" fillId="4" borderId="6" xfId="2" applyNumberFormat="1" applyFont="1" applyFill="1" applyBorder="1" applyAlignment="1">
      <alignment horizontal="center" vertical="center" wrapText="1"/>
    </xf>
    <xf numFmtId="164" fontId="7" fillId="3" borderId="6" xfId="2" applyNumberFormat="1" applyFont="1" applyFill="1" applyBorder="1" applyAlignment="1">
      <alignment horizontal="center" vertical="center" wrapText="1"/>
    </xf>
  </cellXfs>
  <cellStyles count="4">
    <cellStyle name="Comma 2 6" xfId="2" xr:uid="{00000000-0005-0000-0000-000000000000}"/>
    <cellStyle name="Normal" xfId="0" builtinId="0"/>
    <cellStyle name="Normal 3 2 3" xfId="3" xr:uid="{00000000-0005-0000-0000-000002000000}"/>
    <cellStyle name="Percent" xfId="1" builtinId="5"/>
  </cellStyles>
  <dxfs count="2"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3_HR%20&amp;%20Admin\Users\HP\Downloads\Thang%209_%20Bang%20tong%20hop%20luong-V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3_HR%20&amp;%20Admin\Data\Data\DOC-TFM-05_Nh&#226;n%20s&#7921;\1_Ch&#7845;m%20c&#244;ng%20_________Timesheet\2014\8.August\Timesheet%20_TFM_Fsoft%2008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3_HR%20&amp;%20Admin\Documents%20and%20Settings\welcome\Desktop\Thue%20TNCN20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3_HR%20&amp;%20Admin\Hien\L&#431;&#416;NG\Luong%202017\Thang%209_%20Bang%20tong%20hop%20luong-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e duyet luong"/>
      <sheetName val="Chi tiet luong"/>
      <sheetName val="Bang cham cong"/>
      <sheetName val="Chi tiet cham cong"/>
      <sheetName val="Du lieu"/>
      <sheetName val="Phieu Luong"/>
    </sheetNames>
    <sheetDataSet>
      <sheetData sheetId="0"/>
      <sheetData sheetId="1"/>
      <sheetData sheetId="2">
        <row r="2">
          <cell r="I2" t="str">
            <v>Tháng 9 năm 2016</v>
          </cell>
        </row>
      </sheetData>
      <sheetData sheetId="3"/>
      <sheetData sheetId="4">
        <row r="4">
          <cell r="B4" t="str">
            <v>ALL</v>
          </cell>
          <cell r="E4" t="str">
            <v>Bình thường</v>
          </cell>
          <cell r="P4" t="str">
            <v>Chỉ nghỉ CN</v>
          </cell>
          <cell r="Q4" t="str">
            <v>Nghỉ nửa T7</v>
          </cell>
          <cell r="R4" t="str">
            <v>Nghỉ cả T7</v>
          </cell>
          <cell r="S4" t="str">
            <v>Thời vụ</v>
          </cell>
        </row>
        <row r="5">
          <cell r="B5" t="str">
            <v>SPS</v>
          </cell>
          <cell r="E5" t="str">
            <v>Tăng ca</v>
          </cell>
          <cell r="AA5" t="str">
            <v>Hoàng Văn Phong</v>
          </cell>
        </row>
        <row r="6">
          <cell r="B6" t="str">
            <v>51LDH</v>
          </cell>
          <cell r="E6" t="str">
            <v>CN</v>
          </cell>
          <cell r="AA6" t="str">
            <v>Lê Đức Thành</v>
          </cell>
        </row>
        <row r="7">
          <cell r="B7" t="str">
            <v>Home city</v>
          </cell>
          <cell r="E7" t="str">
            <v>Lễ, tết</v>
          </cell>
          <cell r="AA7" t="str">
            <v>Lê Trường Thọ</v>
          </cell>
        </row>
        <row r="8">
          <cell r="AA8" t="str">
            <v>Bùi Hữu Cường</v>
          </cell>
        </row>
        <row r="9">
          <cell r="AA9" t="str">
            <v>Trần Huyền Trang</v>
          </cell>
        </row>
        <row r="10">
          <cell r="AA10" t="str">
            <v>Hoàng Quyền</v>
          </cell>
        </row>
        <row r="11">
          <cell r="AA11" t="str">
            <v>Mông Văn Thương</v>
          </cell>
        </row>
        <row r="12">
          <cell r="AA12" t="str">
            <v>Lê Đức Anh</v>
          </cell>
        </row>
        <row r="13">
          <cell r="AA13" t="str">
            <v>Ngô Đình Điệu</v>
          </cell>
        </row>
        <row r="14">
          <cell r="AA14" t="str">
            <v>Cù Mai Thanh</v>
          </cell>
        </row>
        <row r="15">
          <cell r="AA15" t="str">
            <v>Hà Đình Diên</v>
          </cell>
        </row>
        <row r="16">
          <cell r="AA16" t="str">
            <v>Lê Thị An</v>
          </cell>
        </row>
        <row r="17">
          <cell r="AA17" t="str">
            <v>Trương Đức Tính</v>
          </cell>
        </row>
        <row r="18">
          <cell r="AA18" t="str">
            <v>Chu Trọng Thao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Budget comparison"/>
      <sheetName val="OT Soft service by project"/>
      <sheetName val="Summary OT_Soft"/>
      <sheetName val="Timesheet FSoft"/>
      <sheetName val="OT FSoft"/>
      <sheetName val="Summary_OT BQL"/>
      <sheetName val="F-HRD-CB FINAL"/>
      <sheetName val="OT FINAL"/>
      <sheetName val="khong xoa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">
          <cell r="A1" t="str">
            <v>Bùi Thị Thọ</v>
          </cell>
        </row>
        <row r="2">
          <cell r="A2" t="str">
            <v>Bùi Thị Thủy</v>
          </cell>
        </row>
        <row r="3">
          <cell r="A3" t="str">
            <v>Đỗ Thị Nga</v>
          </cell>
        </row>
        <row r="4">
          <cell r="A4" t="str">
            <v>Đoàn Thị Khái</v>
          </cell>
        </row>
        <row r="5">
          <cell r="A5" t="str">
            <v>Hoàng Thị Luyến</v>
          </cell>
        </row>
        <row r="6">
          <cell r="A6" t="str">
            <v>Ngô Thị Tuyết</v>
          </cell>
        </row>
        <row r="7">
          <cell r="A7" t="str">
            <v>Nguyễn Thị Chiều</v>
          </cell>
        </row>
        <row r="8">
          <cell r="A8" t="str">
            <v>Nguyễn Thị Thanh A</v>
          </cell>
        </row>
        <row r="9">
          <cell r="A9" t="str">
            <v>Nguyễn Thị Thanh B</v>
          </cell>
        </row>
        <row r="10">
          <cell r="A10" t="str">
            <v>Nguyễn Thị Vân A</v>
          </cell>
        </row>
        <row r="11">
          <cell r="A11" t="str">
            <v>Nguyễn Thị Vân B</v>
          </cell>
        </row>
        <row r="12">
          <cell r="A12" t="str">
            <v>Tạ Thị Nhung</v>
          </cell>
        </row>
      </sheetData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e duyet luong"/>
      <sheetName val="Chi tiet luong"/>
      <sheetName val="Bang cham cong"/>
      <sheetName val="Chi tiet cham cong"/>
      <sheetName val="Du lieu"/>
      <sheetName val="Phieu Luong"/>
    </sheetNames>
    <sheetDataSet>
      <sheetData sheetId="0"/>
      <sheetData sheetId="1"/>
      <sheetData sheetId="2">
        <row r="2">
          <cell r="I2" t="str">
            <v>Tháng 9 năm 2016</v>
          </cell>
        </row>
      </sheetData>
      <sheetData sheetId="3"/>
      <sheetData sheetId="4">
        <row r="4">
          <cell r="B4" t="str">
            <v>ALL</v>
          </cell>
        </row>
        <row r="5">
          <cell r="H5" t="str">
            <v>Tháng 12 năm 2015</v>
          </cell>
        </row>
        <row r="6">
          <cell r="H6" t="str">
            <v>Tháng 1 năm 2016</v>
          </cell>
        </row>
        <row r="7">
          <cell r="H7" t="str">
            <v>Tháng 2 năm 2016</v>
          </cell>
        </row>
        <row r="8">
          <cell r="H8" t="str">
            <v>Tháng 3 năm 2016</v>
          </cell>
        </row>
        <row r="9">
          <cell r="H9" t="str">
            <v>Tháng 4 năm 2016</v>
          </cell>
        </row>
        <row r="10">
          <cell r="H10" t="str">
            <v>Tháng 5 năm 2016</v>
          </cell>
        </row>
        <row r="11">
          <cell r="H11" t="str">
            <v>Tháng 6 năm 2016</v>
          </cell>
        </row>
        <row r="12">
          <cell r="H12" t="str">
            <v>Tháng 7 năm 2016</v>
          </cell>
        </row>
        <row r="13">
          <cell r="H13" t="str">
            <v>Tháng 8 năm 2016</v>
          </cell>
        </row>
        <row r="14">
          <cell r="H14" t="str">
            <v>Tháng 9 năm 2016</v>
          </cell>
        </row>
        <row r="15">
          <cell r="H15" t="str">
            <v>Tháng 10 năm 2016</v>
          </cell>
        </row>
        <row r="16">
          <cell r="H16" t="str">
            <v>Tháng 11 năm 2016</v>
          </cell>
        </row>
        <row r="17">
          <cell r="H17" t="str">
            <v>Tháng 12 năm 2016</v>
          </cell>
        </row>
        <row r="18">
          <cell r="H18" t="str">
            <v>Tháng 1 năm 2017</v>
          </cell>
        </row>
        <row r="19">
          <cell r="H19" t="str">
            <v>Tháng 2 năm 2017</v>
          </cell>
        </row>
        <row r="20">
          <cell r="H20" t="str">
            <v>Tháng 3 năm 2017</v>
          </cell>
        </row>
        <row r="21">
          <cell r="H21" t="str">
            <v>Tháng 4 năm 2017</v>
          </cell>
        </row>
        <row r="22">
          <cell r="H22" t="str">
            <v>Tháng 5 năm 2017</v>
          </cell>
        </row>
        <row r="23">
          <cell r="H23" t="str">
            <v>Tháng 6 năm 2017</v>
          </cell>
        </row>
        <row r="24">
          <cell r="H24" t="str">
            <v>Tháng 7 năm 2017</v>
          </cell>
        </row>
        <row r="25">
          <cell r="H25" t="str">
            <v>Tháng 8 năm 2017</v>
          </cell>
        </row>
        <row r="26">
          <cell r="H26" t="str">
            <v>Tháng 9 năm 2017</v>
          </cell>
        </row>
        <row r="27">
          <cell r="H27" t="str">
            <v>Tháng 10 năm 2017</v>
          </cell>
        </row>
        <row r="28">
          <cell r="H28" t="str">
            <v>Tháng 11 năm 2017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A1:BD5"/>
  <sheetViews>
    <sheetView tabSelected="1" topLeftCell="O1" zoomScale="72" zoomScaleNormal="72" zoomScaleSheetLayoutView="70" workbookViewId="0">
      <selection activeCell="Q9" sqref="Q9"/>
    </sheetView>
  </sheetViews>
  <sheetFormatPr defaultColWidth="9.3984375" defaultRowHeight="15.55" x14ac:dyDescent="0.3"/>
  <cols>
    <col min="1" max="1" width="6" style="42" customWidth="1"/>
    <col min="2" max="2" width="29" style="43" customWidth="1"/>
    <col min="3" max="3" width="13.296875" style="42" customWidth="1"/>
    <col min="4" max="4" width="17.69921875" style="43" customWidth="1"/>
    <col min="5" max="7" width="15.69921875" style="40" customWidth="1"/>
    <col min="8" max="8" width="18.3984375" style="40" customWidth="1"/>
    <col min="9" max="9" width="11.59765625" style="40" customWidth="1"/>
    <col min="10" max="10" width="15.59765625" style="40" customWidth="1"/>
    <col min="11" max="11" width="10.69921875" style="40" customWidth="1"/>
    <col min="12" max="12" width="12.8984375" style="40" customWidth="1"/>
    <col min="13" max="13" width="11.3984375" style="40" customWidth="1"/>
    <col min="14" max="14" width="11.59765625" style="40" customWidth="1"/>
    <col min="15" max="17" width="15.69921875" style="40" customWidth="1"/>
    <col min="18" max="18" width="19.3984375" style="40" customWidth="1"/>
    <col min="19" max="20" width="16.59765625" style="40" customWidth="1"/>
    <col min="21" max="21" width="14.296875" style="40" customWidth="1"/>
    <col min="22" max="22" width="12.3984375" style="40" customWidth="1"/>
    <col min="23" max="26" width="15.69921875" style="40" customWidth="1"/>
    <col min="27" max="27" width="14.59765625" style="40" customWidth="1"/>
    <col min="28" max="35" width="15.3984375" style="40" customWidth="1"/>
    <col min="36" max="36" width="18.3984375" style="40" customWidth="1"/>
    <col min="37" max="37" width="17.59765625" style="40" customWidth="1"/>
    <col min="38" max="38" width="13.59765625" style="45" customWidth="1"/>
    <col min="39" max="40" width="15.3984375" style="45" customWidth="1"/>
    <col min="41" max="41" width="13.59765625" style="45" customWidth="1"/>
    <col min="42" max="42" width="15.3984375" style="40" customWidth="1"/>
    <col min="43" max="43" width="23.296875" style="40" customWidth="1"/>
    <col min="44" max="44" width="23.296875" style="41" hidden="1" customWidth="1"/>
    <col min="45" max="45" width="17.296875" style="40" hidden="1" customWidth="1"/>
    <col min="46" max="47" width="15.296875" style="40" hidden="1" customWidth="1"/>
    <col min="48" max="48" width="17.59765625" style="40" hidden="1" customWidth="1"/>
    <col min="49" max="49" width="15.59765625" style="40" hidden="1" customWidth="1"/>
    <col min="50" max="50" width="17" style="40" hidden="1" customWidth="1"/>
    <col min="51" max="51" width="20.59765625" style="40" hidden="1" customWidth="1"/>
    <col min="52" max="52" width="18" style="40" hidden="1" customWidth="1"/>
    <col min="53" max="53" width="17" style="40" hidden="1" customWidth="1"/>
    <col min="54" max="54" width="16.59765625" style="40" hidden="1" customWidth="1"/>
    <col min="55" max="55" width="21.59765625" style="40" hidden="1" customWidth="1"/>
    <col min="56" max="56" width="17.3984375" style="40" hidden="1" customWidth="1"/>
    <col min="57" max="57" width="14.69921875" style="39" customWidth="1"/>
    <col min="58" max="58" width="13.3984375" style="39" customWidth="1"/>
    <col min="59" max="59" width="14.3984375" style="39" bestFit="1" customWidth="1"/>
    <col min="60" max="60" width="16.296875" style="39" bestFit="1" customWidth="1"/>
    <col min="61" max="16384" width="9.3984375" style="39"/>
  </cols>
  <sheetData>
    <row r="1" spans="1:56" s="10" customFormat="1" ht="25.2" customHeight="1" x14ac:dyDescent="0.3">
      <c r="A1" s="1"/>
      <c r="B1" s="2"/>
      <c r="C1" s="1"/>
      <c r="D1" s="3"/>
      <c r="E1" s="4"/>
      <c r="F1" s="4"/>
      <c r="G1" s="4"/>
      <c r="H1" s="5" t="s">
        <v>0</v>
      </c>
      <c r="I1" s="4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6"/>
      <c r="V1" s="6"/>
      <c r="W1" s="7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8"/>
      <c r="AS1" s="4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</row>
    <row r="2" spans="1:56" s="17" customFormat="1" ht="67.599999999999994" customHeight="1" x14ac:dyDescent="0.3">
      <c r="A2" s="64" t="s">
        <v>1</v>
      </c>
      <c r="B2" s="64" t="s">
        <v>2</v>
      </c>
      <c r="C2" s="64" t="s">
        <v>3</v>
      </c>
      <c r="D2" s="64" t="s">
        <v>4</v>
      </c>
      <c r="E2" s="61" t="s">
        <v>5</v>
      </c>
      <c r="F2" s="62"/>
      <c r="G2" s="63"/>
      <c r="H2" s="64" t="s">
        <v>6</v>
      </c>
      <c r="I2" s="11" t="s">
        <v>7</v>
      </c>
      <c r="J2" s="12"/>
      <c r="K2" s="13"/>
      <c r="L2" s="13"/>
      <c r="M2" s="13"/>
      <c r="N2" s="14"/>
      <c r="O2" s="15" t="s">
        <v>8</v>
      </c>
      <c r="P2" s="13"/>
      <c r="Q2" s="13"/>
      <c r="R2" s="14"/>
      <c r="S2" s="72" t="s">
        <v>54</v>
      </c>
      <c r="T2" s="73"/>
      <c r="U2" s="16"/>
      <c r="V2" s="47" t="s">
        <v>56</v>
      </c>
      <c r="W2" s="69" t="s">
        <v>9</v>
      </c>
      <c r="X2" s="47" t="s">
        <v>57</v>
      </c>
      <c r="Y2" s="47" t="s">
        <v>58</v>
      </c>
      <c r="Z2" s="47" t="s">
        <v>59</v>
      </c>
      <c r="AA2" s="58" t="s">
        <v>10</v>
      </c>
      <c r="AB2" s="58"/>
      <c r="AC2" s="58"/>
      <c r="AD2" s="58"/>
      <c r="AE2" s="58" t="s">
        <v>11</v>
      </c>
      <c r="AF2" s="58"/>
      <c r="AG2" s="58"/>
      <c r="AH2" s="58"/>
      <c r="AI2" s="47" t="s">
        <v>12</v>
      </c>
      <c r="AJ2" s="59" t="s">
        <v>13</v>
      </c>
      <c r="AK2" s="60"/>
      <c r="AL2" s="47" t="s">
        <v>14</v>
      </c>
      <c r="AM2" s="47" t="s">
        <v>15</v>
      </c>
      <c r="AN2" s="16"/>
      <c r="AO2" s="47" t="s">
        <v>16</v>
      </c>
      <c r="AP2" s="47" t="s">
        <v>17</v>
      </c>
      <c r="AQ2" s="66" t="s">
        <v>18</v>
      </c>
      <c r="AR2" s="50" t="s">
        <v>19</v>
      </c>
      <c r="AS2" s="53" t="s">
        <v>20</v>
      </c>
      <c r="AT2" s="56" t="s">
        <v>21</v>
      </c>
      <c r="AU2" s="57"/>
      <c r="AV2" s="76" t="s">
        <v>22</v>
      </c>
      <c r="AW2" s="76"/>
      <c r="AX2" s="76"/>
      <c r="AY2" s="76"/>
      <c r="AZ2" s="76"/>
      <c r="BA2" s="76"/>
      <c r="BB2" s="76"/>
      <c r="BC2" s="76"/>
      <c r="BD2" s="76"/>
    </row>
    <row r="3" spans="1:56" s="24" customFormat="1" ht="40.6" customHeight="1" x14ac:dyDescent="0.3">
      <c r="A3" s="81"/>
      <c r="B3" s="81"/>
      <c r="C3" s="81"/>
      <c r="D3" s="81"/>
      <c r="E3" s="64" t="s">
        <v>23</v>
      </c>
      <c r="F3" s="64" t="s">
        <v>24</v>
      </c>
      <c r="G3" s="64" t="s">
        <v>25</v>
      </c>
      <c r="H3" s="81"/>
      <c r="I3" s="64" t="s">
        <v>26</v>
      </c>
      <c r="J3" s="64" t="s">
        <v>27</v>
      </c>
      <c r="K3" s="61" t="s">
        <v>28</v>
      </c>
      <c r="L3" s="62"/>
      <c r="M3" s="63"/>
      <c r="N3" s="64" t="s">
        <v>52</v>
      </c>
      <c r="O3" s="61" t="s">
        <v>29</v>
      </c>
      <c r="P3" s="62"/>
      <c r="Q3" s="63"/>
      <c r="R3" s="58" t="s">
        <v>53</v>
      </c>
      <c r="S3" s="74"/>
      <c r="T3" s="75"/>
      <c r="U3" s="18" t="s">
        <v>30</v>
      </c>
      <c r="V3" s="48"/>
      <c r="W3" s="70"/>
      <c r="X3" s="48"/>
      <c r="Y3" s="48"/>
      <c r="Z3" s="48"/>
      <c r="AA3" s="19" t="s">
        <v>31</v>
      </c>
      <c r="AB3" s="20" t="s">
        <v>32</v>
      </c>
      <c r="AC3" s="20" t="s">
        <v>33</v>
      </c>
      <c r="AD3" s="20" t="s">
        <v>34</v>
      </c>
      <c r="AE3" s="19" t="s">
        <v>31</v>
      </c>
      <c r="AF3" s="20" t="s">
        <v>32</v>
      </c>
      <c r="AG3" s="20" t="s">
        <v>33</v>
      </c>
      <c r="AH3" s="20" t="s">
        <v>34</v>
      </c>
      <c r="AI3" s="48"/>
      <c r="AJ3" s="64" t="s">
        <v>35</v>
      </c>
      <c r="AK3" s="64" t="s">
        <v>36</v>
      </c>
      <c r="AL3" s="48"/>
      <c r="AM3" s="48"/>
      <c r="AN3" s="18" t="s">
        <v>60</v>
      </c>
      <c r="AO3" s="48"/>
      <c r="AP3" s="48"/>
      <c r="AQ3" s="67"/>
      <c r="AR3" s="51"/>
      <c r="AS3" s="54"/>
      <c r="AT3" s="77" t="s">
        <v>37</v>
      </c>
      <c r="AU3" s="77" t="s">
        <v>38</v>
      </c>
      <c r="AV3" s="79" t="s">
        <v>39</v>
      </c>
      <c r="AW3" s="21" t="s">
        <v>40</v>
      </c>
      <c r="AX3" s="22" t="s">
        <v>41</v>
      </c>
      <c r="AY3" s="22" t="s">
        <v>42</v>
      </c>
      <c r="AZ3" s="22" t="s">
        <v>43</v>
      </c>
      <c r="BA3" s="22" t="s">
        <v>44</v>
      </c>
      <c r="BB3" s="22" t="s">
        <v>45</v>
      </c>
      <c r="BC3" s="23" t="s">
        <v>46</v>
      </c>
      <c r="BD3" s="77" t="s">
        <v>47</v>
      </c>
    </row>
    <row r="4" spans="1:56" s="3" customFormat="1" ht="53.45" customHeight="1" x14ac:dyDescent="0.3">
      <c r="A4" s="65"/>
      <c r="B4" s="65"/>
      <c r="C4" s="65"/>
      <c r="D4" s="65"/>
      <c r="E4" s="65"/>
      <c r="F4" s="65"/>
      <c r="G4" s="65"/>
      <c r="H4" s="65"/>
      <c r="I4" s="65"/>
      <c r="J4" s="65"/>
      <c r="K4" s="25" t="s">
        <v>48</v>
      </c>
      <c r="L4" s="25" t="s">
        <v>49</v>
      </c>
      <c r="M4" s="25" t="s">
        <v>51</v>
      </c>
      <c r="N4" s="65"/>
      <c r="O4" s="26" t="str">
        <f>K4</f>
        <v>General</v>
      </c>
      <c r="P4" s="20" t="str">
        <f>L4</f>
        <v>Maintenance &amp; Services</v>
      </c>
      <c r="Q4" s="20" t="s">
        <v>51</v>
      </c>
      <c r="R4" s="58"/>
      <c r="S4" s="46" t="s">
        <v>61</v>
      </c>
      <c r="T4" s="46" t="s">
        <v>55</v>
      </c>
      <c r="U4" s="27"/>
      <c r="V4" s="49"/>
      <c r="W4" s="71"/>
      <c r="X4" s="49"/>
      <c r="Y4" s="49"/>
      <c r="Z4" s="49"/>
      <c r="AA4" s="28">
        <v>0.08</v>
      </c>
      <c r="AB4" s="28">
        <v>1.4999999999999999E-2</v>
      </c>
      <c r="AC4" s="28">
        <v>0.01</v>
      </c>
      <c r="AD4" s="28">
        <v>0.105</v>
      </c>
      <c r="AE4" s="29">
        <v>0.17499999999999999</v>
      </c>
      <c r="AF4" s="29">
        <v>0.03</v>
      </c>
      <c r="AG4" s="29">
        <v>0.01</v>
      </c>
      <c r="AH4" s="29">
        <v>0.215</v>
      </c>
      <c r="AI4" s="49"/>
      <c r="AJ4" s="65"/>
      <c r="AK4" s="65"/>
      <c r="AL4" s="49"/>
      <c r="AM4" s="49"/>
      <c r="AN4" s="27"/>
      <c r="AO4" s="49"/>
      <c r="AP4" s="49"/>
      <c r="AQ4" s="68"/>
      <c r="AR4" s="52"/>
      <c r="AS4" s="55"/>
      <c r="AT4" s="78"/>
      <c r="AU4" s="78"/>
      <c r="AV4" s="79"/>
      <c r="AW4" s="30">
        <v>0.05</v>
      </c>
      <c r="AX4" s="31">
        <v>0.1</v>
      </c>
      <c r="AY4" s="31">
        <v>0.15</v>
      </c>
      <c r="AZ4" s="31">
        <v>0.2</v>
      </c>
      <c r="BA4" s="31">
        <v>0.25</v>
      </c>
      <c r="BB4" s="31">
        <v>0.3</v>
      </c>
      <c r="BC4" s="32">
        <v>0.35</v>
      </c>
      <c r="BD4" s="80"/>
    </row>
    <row r="5" spans="1:56" s="3" customFormat="1" ht="30.05" customHeight="1" x14ac:dyDescent="0.3">
      <c r="A5" s="33">
        <v>1</v>
      </c>
      <c r="B5" s="33">
        <v>2</v>
      </c>
      <c r="C5" s="33">
        <v>3</v>
      </c>
      <c r="D5" s="33">
        <v>4</v>
      </c>
      <c r="E5" s="33">
        <v>5</v>
      </c>
      <c r="F5" s="33">
        <v>6</v>
      </c>
      <c r="G5" s="33">
        <v>7</v>
      </c>
      <c r="H5" s="33">
        <v>8</v>
      </c>
      <c r="I5" s="33">
        <v>9</v>
      </c>
      <c r="J5" s="33">
        <v>10</v>
      </c>
      <c r="K5" s="33">
        <v>11</v>
      </c>
      <c r="L5" s="33">
        <v>12</v>
      </c>
      <c r="M5" s="33">
        <v>13</v>
      </c>
      <c r="N5" s="33">
        <v>14</v>
      </c>
      <c r="O5" s="33">
        <v>15</v>
      </c>
      <c r="P5" s="33">
        <v>16</v>
      </c>
      <c r="Q5" s="33">
        <v>17</v>
      </c>
      <c r="R5" s="33">
        <v>18</v>
      </c>
      <c r="S5" s="33">
        <v>19</v>
      </c>
      <c r="T5" s="33">
        <v>20</v>
      </c>
      <c r="U5" s="33">
        <v>21</v>
      </c>
      <c r="V5" s="33">
        <v>22</v>
      </c>
      <c r="W5" s="33">
        <v>23</v>
      </c>
      <c r="X5" s="33">
        <v>24</v>
      </c>
      <c r="Y5" s="33">
        <v>25</v>
      </c>
      <c r="Z5" s="33">
        <v>26</v>
      </c>
      <c r="AA5" s="33">
        <v>27</v>
      </c>
      <c r="AB5" s="33">
        <v>28</v>
      </c>
      <c r="AC5" s="33">
        <v>29</v>
      </c>
      <c r="AD5" s="33">
        <v>30</v>
      </c>
      <c r="AE5" s="33">
        <v>31</v>
      </c>
      <c r="AF5" s="33">
        <v>32</v>
      </c>
      <c r="AG5" s="33">
        <v>33</v>
      </c>
      <c r="AH5" s="33">
        <v>34</v>
      </c>
      <c r="AI5" s="33">
        <v>35</v>
      </c>
      <c r="AJ5" s="33">
        <v>36</v>
      </c>
      <c r="AK5" s="33">
        <v>37</v>
      </c>
      <c r="AL5" s="33">
        <v>38</v>
      </c>
      <c r="AM5" s="33">
        <v>39</v>
      </c>
      <c r="AN5" s="33">
        <v>40</v>
      </c>
      <c r="AO5" s="33">
        <v>41</v>
      </c>
      <c r="AP5" s="33">
        <v>42</v>
      </c>
      <c r="AQ5" s="33">
        <v>43</v>
      </c>
      <c r="AR5" s="34"/>
      <c r="AS5" s="33"/>
      <c r="AT5" s="35"/>
      <c r="AU5" s="35"/>
      <c r="AV5" s="36"/>
      <c r="AW5" s="37">
        <v>5000000</v>
      </c>
      <c r="AX5" s="37">
        <v>10000000</v>
      </c>
      <c r="AY5" s="37">
        <v>18000000</v>
      </c>
      <c r="AZ5" s="37">
        <v>32000000</v>
      </c>
      <c r="BA5" s="37">
        <v>52000000</v>
      </c>
      <c r="BB5" s="37">
        <v>80000000</v>
      </c>
      <c r="BC5" s="38" t="s">
        <v>50</v>
      </c>
      <c r="BD5" s="78"/>
    </row>
  </sheetData>
  <mergeCells count="40">
    <mergeCell ref="I3:I4"/>
    <mergeCell ref="J3:J4"/>
    <mergeCell ref="K3:M3"/>
    <mergeCell ref="N3:N4"/>
    <mergeCell ref="A2:A4"/>
    <mergeCell ref="B2:B4"/>
    <mergeCell ref="C2:C4"/>
    <mergeCell ref="D2:D4"/>
    <mergeCell ref="H2:H4"/>
    <mergeCell ref="E2:G2"/>
    <mergeCell ref="E3:E4"/>
    <mergeCell ref="F3:F4"/>
    <mergeCell ref="G3:G4"/>
    <mergeCell ref="AV2:BD2"/>
    <mergeCell ref="AT3:AT4"/>
    <mergeCell ref="AU3:AU4"/>
    <mergeCell ref="AV3:AV4"/>
    <mergeCell ref="BD3:BD5"/>
    <mergeCell ref="O3:Q3"/>
    <mergeCell ref="R3:R4"/>
    <mergeCell ref="AJ3:AJ4"/>
    <mergeCell ref="AP2:AP4"/>
    <mergeCell ref="AQ2:AQ4"/>
    <mergeCell ref="AM2:AM4"/>
    <mergeCell ref="AO2:AO4"/>
    <mergeCell ref="AK3:AK4"/>
    <mergeCell ref="V2:V4"/>
    <mergeCell ref="W2:W4"/>
    <mergeCell ref="X2:X4"/>
    <mergeCell ref="AA2:AD2"/>
    <mergeCell ref="S2:T3"/>
    <mergeCell ref="Y2:Y4"/>
    <mergeCell ref="Z2:Z4"/>
    <mergeCell ref="AR2:AR4"/>
    <mergeCell ref="AS2:AS4"/>
    <mergeCell ref="AT2:AU2"/>
    <mergeCell ref="AE2:AH2"/>
    <mergeCell ref="AI2:AI4"/>
    <mergeCell ref="AJ2:AK2"/>
    <mergeCell ref="AL2:AL4"/>
  </mergeCells>
  <conditionalFormatting sqref="B1:B1048576 D5 F5 H5 J5 L5 N5 P5 R5 T5 V5 X5 Z5 AB5 AD5 AF5 AH5 AJ5 AL5 AN5 AP5">
    <cfRule type="duplicateValues" dxfId="1" priority="26"/>
  </conditionalFormatting>
  <conditionalFormatting sqref="C1:C4 C6:C1048576">
    <cfRule type="duplicateValues" dxfId="0" priority="19"/>
  </conditionalFormatting>
  <printOptions horizontalCentered="1" verticalCentered="1"/>
  <pageMargins left="0.118110236220472" right="0.118110236220472" top="0.118110236220472" bottom="0.118110236220472" header="0.118110236220472" footer="0.118110236220472"/>
  <pageSetup paperSize="9" scale="3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Thị Hồng Minh Phạm</cp:lastModifiedBy>
  <dcterms:created xsi:type="dcterms:W3CDTF">2021-10-27T06:37:45Z</dcterms:created>
  <dcterms:modified xsi:type="dcterms:W3CDTF">2025-06-23T04:12:52Z</dcterms:modified>
</cp:coreProperties>
</file>