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D:\SPS\addons_sps\xpurchase\templates\"/>
    </mc:Choice>
  </mc:AlternateContent>
  <xr:revisionPtr revIDLastSave="0" documentId="13_ncr:1_{CC2ADCF1-F86A-4940-9B91-1FBC3B308516}" xr6:coauthVersionLast="47" xr6:coauthVersionMax="47" xr10:uidLastSave="{00000000-0000-0000-0000-000000000000}"/>
  <bookViews>
    <workbookView xWindow="-108" yWindow="-108" windowWidth="23256" windowHeight="12576" xr2:uid="{00000000-000D-0000-FFFF-FFFF00000000}"/>
  </bookViews>
  <sheets>
    <sheet name="Sheet1" sheetId="1" r:id="rId1"/>
  </sheets>
  <externalReferences>
    <externalReference r:id="rId2"/>
  </externalReferences>
  <definedNames>
    <definedName name="_xlnm._FilterDatabase" localSheetId="0" hidden="1">Sheet1!$A$3:$W$5</definedName>
    <definedName name="_xlnm.Print_Area" localSheetId="0">Sheet1!$A$1:$U$24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R2" i="1" l="1"/>
  <c r="K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Phong.hv</author>
  </authors>
  <commentList>
    <comment ref="P3" authorId="0" shapeId="0" xr:uid="{00000000-0006-0000-0000-000001000000}">
      <text>
        <r>
          <rPr>
            <sz val="9"/>
            <color indexed="81"/>
            <rFont val="Tahoma"/>
            <family val="2"/>
          </rPr>
          <t>Các hạng mục không có ngân sách sẽ lấy đơn giá bằng giá thực tế.</t>
        </r>
      </text>
    </comment>
    <comment ref="T3" authorId="0" shapeId="0" xr:uid="{00000000-0006-0000-0000-000002000000}">
      <text>
        <r>
          <rPr>
            <sz val="9"/>
            <color indexed="81"/>
            <rFont val="Tahoma"/>
            <family val="2"/>
          </rPr>
          <t>1. Hạng mục được tìm kiếm hoặc giới thiệu nguồn mua bởi người nào thì sẽ để tên người đó.
2. Các đơn giá dự toán lệch lớn so với báo giá lần đầu của nhà cung cấp do người lập chưa sâu sát,
hoặc bất cẩn thì sẽ phân loại để tăng trách nhiệm và khuyến khích người lập dự toán được sát hơn. Cụ thể:
• Nếu dự toán DƯ ngân sách trên 5% sẽ phân loại là “Estimator”
• Nếu dự toán THIẾU ngân sách quá 5% sẽ phân loại theo tên người lập ngân sách.
3. Ngoài 2 mục nên trên thì phụ trách mua hàng sẽ cố gắng tìm kiếm và đàm phán thêm để có được giá đầu vào tốt nhất.
Các trường hợp này sẽ đứng tên người phụ trách mua hàng.
4. Các trường hợp khác sẽ phân loại là Others</t>
        </r>
      </text>
    </comment>
  </commentList>
</comments>
</file>

<file path=xl/sharedStrings.xml><?xml version="1.0" encoding="utf-8"?>
<sst xmlns="http://schemas.openxmlformats.org/spreadsheetml/2006/main" count="26" uniqueCount="26">
  <si>
    <t>Prepared by</t>
  </si>
  <si>
    <t>Huyen.nt</t>
  </si>
  <si>
    <t>BẢNG THEO DÕI YÊU CẦU MUA HÀNG</t>
  </si>
  <si>
    <t>Updated on</t>
  </si>
  <si>
    <t>ROP FOLLOW UP</t>
  </si>
  <si>
    <r>
      <t xml:space="preserve">TT
</t>
    </r>
    <r>
      <rPr>
        <b/>
        <i/>
        <sz val="10"/>
        <rFont val="Verdana"/>
        <family val="2"/>
      </rPr>
      <t>No</t>
    </r>
  </si>
  <si>
    <r>
      <t xml:space="preserve">Nội dung
</t>
    </r>
    <r>
      <rPr>
        <i/>
        <sz val="10"/>
        <rFont val="Verdana"/>
        <family val="2"/>
      </rPr>
      <t>Content</t>
    </r>
  </si>
  <si>
    <r>
      <t xml:space="preserve">Phân loại chi phí
</t>
    </r>
    <r>
      <rPr>
        <i/>
        <sz val="10"/>
        <rFont val="Verdana"/>
        <family val="2"/>
      </rPr>
      <t>Cost Classification</t>
    </r>
  </si>
  <si>
    <r>
      <t xml:space="preserve">Mã hiệu
</t>
    </r>
    <r>
      <rPr>
        <i/>
        <sz val="10"/>
        <rFont val="Verdana"/>
        <family val="2"/>
      </rPr>
      <t>Model</t>
    </r>
  </si>
  <si>
    <r>
      <t xml:space="preserve">Thương hiệu
</t>
    </r>
    <r>
      <rPr>
        <i/>
        <sz val="10"/>
        <rFont val="Verdana"/>
        <family val="2"/>
      </rPr>
      <t>Brand</t>
    </r>
  </si>
  <si>
    <r>
      <t xml:space="preserve">Xuất xứ
</t>
    </r>
    <r>
      <rPr>
        <i/>
        <sz val="10"/>
        <rFont val="Verdana"/>
        <family val="2"/>
      </rPr>
      <t>Origin</t>
    </r>
  </si>
  <si>
    <r>
      <t>Đvị</t>
    </r>
    <r>
      <rPr>
        <i/>
        <sz val="10"/>
        <rFont val="Verdana"/>
        <family val="2"/>
      </rPr>
      <t xml:space="preserve">
Unit</t>
    </r>
  </si>
  <si>
    <r>
      <t>Số lg</t>
    </r>
    <r>
      <rPr>
        <sz val="10"/>
        <rFont val="Verdana"/>
        <family val="2"/>
      </rPr>
      <t xml:space="preserve">
Qty</t>
    </r>
  </si>
  <si>
    <r>
      <rPr>
        <b/>
        <sz val="9"/>
        <rFont val="Verdana"/>
        <family val="2"/>
      </rPr>
      <t>Người yêu cầu</t>
    </r>
    <r>
      <rPr>
        <b/>
        <sz val="10"/>
        <rFont val="Verdana"/>
        <family val="2"/>
      </rPr>
      <t xml:space="preserve">
</t>
    </r>
    <r>
      <rPr>
        <i/>
        <sz val="9"/>
        <rFont val="Verdana"/>
        <family val="2"/>
      </rPr>
      <t>Requestor</t>
    </r>
  </si>
  <si>
    <r>
      <t xml:space="preserve">Mục đích / Ghi chú
</t>
    </r>
    <r>
      <rPr>
        <i/>
        <sz val="10"/>
        <rFont val="Verdana"/>
        <family val="2"/>
      </rPr>
      <t>Purpose / Remark</t>
    </r>
  </si>
  <si>
    <r>
      <t xml:space="preserve">Mã dự án
</t>
    </r>
    <r>
      <rPr>
        <i/>
        <sz val="10"/>
        <rFont val="Verdana"/>
        <family val="2"/>
      </rPr>
      <t>Project number</t>
    </r>
  </si>
  <si>
    <r>
      <t xml:space="preserve">Tên dự án
</t>
    </r>
    <r>
      <rPr>
        <i/>
        <sz val="10"/>
        <rFont val="Verdana"/>
        <family val="2"/>
      </rPr>
      <t>Project number</t>
    </r>
  </si>
  <si>
    <r>
      <t xml:space="preserve">Ngày đặt
</t>
    </r>
    <r>
      <rPr>
        <i/>
        <sz val="9"/>
        <rFont val="Verdana"/>
        <family val="2"/>
      </rPr>
      <t>Ordered Date</t>
    </r>
  </si>
  <si>
    <r>
      <t xml:space="preserve">Ngày cần
</t>
    </r>
    <r>
      <rPr>
        <i/>
        <sz val="8"/>
        <color rgb="FFFF0000"/>
        <rFont val="Verdana"/>
        <family val="2"/>
      </rPr>
      <t>Expected date</t>
    </r>
  </si>
  <si>
    <r>
      <t xml:space="preserve">Nhà cung cấp
</t>
    </r>
    <r>
      <rPr>
        <i/>
        <sz val="10"/>
        <color theme="1"/>
        <rFont val="Verdana"/>
        <family val="2"/>
      </rPr>
      <t>Supplier</t>
    </r>
  </si>
  <si>
    <t>Đơn giá ngân sách
(VND)</t>
  </si>
  <si>
    <r>
      <t xml:space="preserve">Ngày đã nhận
</t>
    </r>
    <r>
      <rPr>
        <i/>
        <sz val="9"/>
        <color rgb="FFFF0000"/>
        <rFont val="Verdana"/>
        <family val="2"/>
      </rPr>
      <t>Received Date</t>
    </r>
  </si>
  <si>
    <r>
      <t xml:space="preserve">T.trạng
</t>
    </r>
    <r>
      <rPr>
        <i/>
        <sz val="10"/>
        <color theme="1"/>
        <rFont val="Verdana"/>
        <family val="2"/>
      </rPr>
      <t>Status</t>
    </r>
  </si>
  <si>
    <t>"Đơn giá" thực tế
(VNĐ)</t>
  </si>
  <si>
    <r>
      <t>Đàm phán bởi</t>
    </r>
    <r>
      <rPr>
        <b/>
        <i/>
        <sz val="10"/>
        <color theme="1"/>
        <rFont val="Verdana"/>
        <family val="2"/>
      </rPr>
      <t xml:space="preserve">
</t>
    </r>
    <r>
      <rPr>
        <i/>
        <sz val="10"/>
        <color theme="1"/>
        <rFont val="Verdana"/>
        <family val="2"/>
      </rPr>
      <t>Negotiator</t>
    </r>
  </si>
  <si>
    <t>Tỉ lệ thanh toán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</si>
</sst>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409]d\-mmm\-yy;@"/>
    <numFmt numFmtId="167" formatCode="[$-409]dd\-mmm\-yy;@"/>
  </numFmts>
  <fonts count="21" x14ac:knownFonts="1">
    <font>
      <sz val="11"/>
      <color theme="1"/>
      <name val="Times New Roman"/>
      <family val="2"/>
      <charset val="163"/>
    </font>
    <font>
      <sz val="11"/>
      <color theme="1"/>
      <name val="Calibri"/>
      <family val="2"/>
      <scheme val="minor"/>
    </font>
    <font>
      <sz val="10"/>
      <name val="Verdana"/>
      <family val="2"/>
    </font>
    <font>
      <sz val="10"/>
      <name val="Arial"/>
      <family val="2"/>
    </font>
    <font>
      <b/>
      <sz val="10"/>
      <name val="Verdana"/>
      <family val="2"/>
    </font>
    <font>
      <sz val="10"/>
      <color theme="1"/>
      <name val="Verdana"/>
      <family val="2"/>
    </font>
    <font>
      <b/>
      <sz val="16"/>
      <name val="Verdana"/>
      <family val="2"/>
    </font>
    <font>
      <sz val="10"/>
      <color rgb="FFC00000"/>
      <name val="Verdana"/>
      <family val="2"/>
    </font>
    <font>
      <b/>
      <i/>
      <sz val="10"/>
      <name val="Verdana"/>
      <family val="2"/>
    </font>
    <font>
      <i/>
      <sz val="10"/>
      <name val="Verdana"/>
      <family val="2"/>
    </font>
    <font>
      <sz val="10"/>
      <color theme="0"/>
      <name val="Verdana"/>
      <family val="2"/>
    </font>
    <font>
      <b/>
      <sz val="9"/>
      <name val="Verdana"/>
      <family val="2"/>
    </font>
    <font>
      <i/>
      <sz val="9"/>
      <name val="Verdana"/>
      <family val="2"/>
    </font>
    <font>
      <b/>
      <sz val="10"/>
      <color rgb="FFFF0000"/>
      <name val="Verdana"/>
      <family val="2"/>
    </font>
    <font>
      <i/>
      <sz val="8"/>
      <color rgb="FFFF0000"/>
      <name val="Verdana"/>
      <family val="2"/>
    </font>
    <font>
      <b/>
      <sz val="10"/>
      <color theme="1"/>
      <name val="Verdana"/>
      <family val="2"/>
    </font>
    <font>
      <i/>
      <sz val="10"/>
      <color theme="1"/>
      <name val="Verdana"/>
      <family val="2"/>
    </font>
    <font>
      <b/>
      <sz val="9"/>
      <color rgb="FFFF0000"/>
      <name val="Verdana"/>
      <family val="2"/>
    </font>
    <font>
      <i/>
      <sz val="9"/>
      <color rgb="FFFF0000"/>
      <name val="Verdana"/>
      <family val="2"/>
    </font>
    <font>
      <b/>
      <i/>
      <sz val="10"/>
      <color theme="1"/>
      <name val="Verdana"/>
      <family val="2"/>
    </font>
    <font>
      <sz val="9"/>
      <color indexed="81"/>
      <name val="Tahoma"/>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5">
    <xf numFmtId="0" fontId="0" fillId="0" borderId="0"/>
    <xf numFmtId="0" fontId="1" fillId="0" borderId="0"/>
    <xf numFmtId="0" fontId="3" fillId="0" borderId="0"/>
    <xf numFmtId="164" fontId="1" fillId="0" borderId="0" applyFont="0" applyFill="0" applyBorder="0" applyAlignment="0" applyProtection="0"/>
    <xf numFmtId="0" fontId="3" fillId="0" borderId="0"/>
  </cellStyleXfs>
  <cellXfs count="42">
    <xf numFmtId="0" fontId="0" fillId="0" borderId="0" xfId="0"/>
    <xf numFmtId="0" fontId="1" fillId="0" borderId="0" xfId="1" applyAlignment="1">
      <alignment vertical="center"/>
    </xf>
    <xf numFmtId="0" fontId="2" fillId="0" borderId="0" xfId="1" applyFont="1" applyAlignment="1">
      <alignment vertical="center" wrapText="1"/>
    </xf>
    <xf numFmtId="0" fontId="4" fillId="2" borderId="0" xfId="2" applyFont="1" applyFill="1" applyAlignment="1">
      <alignment horizontal="center" vertical="center" wrapText="1"/>
    </xf>
    <xf numFmtId="0" fontId="4" fillId="2" borderId="0" xfId="2" applyFont="1" applyFill="1" applyAlignment="1">
      <alignment horizontal="center" vertical="center"/>
    </xf>
    <xf numFmtId="165" fontId="4" fillId="2" borderId="0" xfId="3" applyNumberFormat="1" applyFont="1" applyFill="1" applyBorder="1" applyAlignment="1">
      <alignment horizontal="right" vertical="center"/>
    </xf>
    <xf numFmtId="0" fontId="2" fillId="2" borderId="0" xfId="2" applyFont="1" applyFill="1" applyAlignment="1">
      <alignment horizontal="center" vertical="center"/>
    </xf>
    <xf numFmtId="0" fontId="2" fillId="0" borderId="0" xfId="2" applyFont="1" applyAlignment="1">
      <alignment horizontal="left" vertical="center" wrapText="1"/>
    </xf>
    <xf numFmtId="0" fontId="5" fillId="0" borderId="0" xfId="1" applyFont="1" applyAlignment="1">
      <alignment horizontal="center" vertical="center" wrapText="1"/>
    </xf>
    <xf numFmtId="166" fontId="5" fillId="0" borderId="0" xfId="1" applyNumberFormat="1" applyFont="1" applyAlignment="1">
      <alignment horizontal="center" vertical="center"/>
    </xf>
    <xf numFmtId="166" fontId="6" fillId="2" borderId="0" xfId="2" applyNumberFormat="1" applyFont="1" applyFill="1" applyAlignment="1">
      <alignment horizontal="center"/>
    </xf>
    <xf numFmtId="167" fontId="2" fillId="2" borderId="0" xfId="2" applyNumberFormat="1" applyFont="1" applyFill="1" applyAlignment="1">
      <alignment horizontal="left" vertical="center" wrapText="1"/>
    </xf>
    <xf numFmtId="165" fontId="5" fillId="0" borderId="0" xfId="3" applyNumberFormat="1" applyFont="1" applyBorder="1" applyAlignment="1">
      <alignment horizontal="right" vertical="center" wrapText="1"/>
    </xf>
    <xf numFmtId="166" fontId="7" fillId="0" borderId="0" xfId="1" applyNumberFormat="1" applyFont="1" applyAlignment="1">
      <alignment horizontal="center" vertical="center"/>
    </xf>
    <xf numFmtId="167" fontId="2" fillId="2" borderId="0" xfId="2" applyNumberFormat="1" applyFont="1" applyFill="1" applyAlignment="1">
      <alignment horizontal="right" vertical="center"/>
    </xf>
    <xf numFmtId="165" fontId="5" fillId="2" borderId="0" xfId="3" applyNumberFormat="1" applyFont="1" applyFill="1" applyBorder="1" applyAlignment="1">
      <alignment vertical="center"/>
    </xf>
    <xf numFmtId="0" fontId="5" fillId="0" borderId="0" xfId="1" applyFont="1" applyAlignment="1">
      <alignment horizontal="center" vertical="center"/>
    </xf>
    <xf numFmtId="9" fontId="2" fillId="2" borderId="0" xfId="2" applyNumberFormat="1" applyFont="1" applyFill="1" applyAlignment="1">
      <alignment horizontal="center" vertical="center" wrapText="1"/>
    </xf>
    <xf numFmtId="0" fontId="5" fillId="0" borderId="0" xfId="1" applyFont="1" applyAlignment="1">
      <alignment vertical="center"/>
    </xf>
    <xf numFmtId="0" fontId="2" fillId="2" borderId="0" xfId="2" applyFont="1" applyFill="1" applyAlignment="1">
      <alignment horizontal="center" vertical="center" wrapText="1"/>
    </xf>
    <xf numFmtId="0" fontId="8" fillId="2" borderId="0" xfId="2" applyFont="1" applyFill="1" applyAlignment="1">
      <alignment horizontal="center" vertical="center" wrapText="1"/>
    </xf>
    <xf numFmtId="0" fontId="8" fillId="2" borderId="0" xfId="2" applyFont="1" applyFill="1" applyAlignment="1">
      <alignment horizontal="center" vertical="center"/>
    </xf>
    <xf numFmtId="165" fontId="8" fillId="2" borderId="0" xfId="3" applyNumberFormat="1" applyFont="1" applyFill="1" applyBorder="1" applyAlignment="1">
      <alignment horizontal="right" vertical="center"/>
    </xf>
    <xf numFmtId="167" fontId="2" fillId="0" borderId="0" xfId="2" applyNumberFormat="1" applyFont="1" applyAlignment="1">
      <alignment horizontal="left" vertical="center" wrapText="1"/>
    </xf>
    <xf numFmtId="166" fontId="9" fillId="2" borderId="0" xfId="2" applyNumberFormat="1" applyFont="1" applyFill="1" applyAlignment="1">
      <alignment horizontal="center" vertical="top"/>
    </xf>
    <xf numFmtId="167" fontId="2" fillId="2" borderId="0" xfId="4" applyNumberFormat="1" applyFont="1" applyFill="1" applyAlignment="1">
      <alignment horizontal="left" vertical="center" wrapText="1"/>
    </xf>
    <xf numFmtId="167" fontId="10" fillId="0" borderId="0" xfId="4" applyNumberFormat="1" applyFont="1" applyAlignment="1">
      <alignment horizontal="right" vertical="center" shrinkToFit="1"/>
    </xf>
    <xf numFmtId="9" fontId="10" fillId="0" borderId="1" xfId="1" applyNumberFormat="1" applyFont="1" applyBorder="1" applyAlignment="1">
      <alignment horizontal="center" vertical="center" wrapText="1"/>
    </xf>
    <xf numFmtId="0" fontId="4" fillId="0" borderId="2" xfId="4" applyFont="1" applyBorder="1" applyAlignment="1">
      <alignment horizontal="center" vertical="center" wrapText="1"/>
    </xf>
    <xf numFmtId="166" fontId="11" fillId="0" borderId="2" xfId="4" applyNumberFormat="1" applyFont="1" applyBorder="1" applyAlignment="1">
      <alignment horizontal="center" vertical="center" wrapText="1"/>
    </xf>
    <xf numFmtId="166" fontId="13" fillId="2" borderId="2" xfId="4" applyNumberFormat="1" applyFont="1" applyFill="1" applyBorder="1" applyAlignment="1">
      <alignment horizontal="center" vertical="center" wrapText="1"/>
    </xf>
    <xf numFmtId="0" fontId="15" fillId="0" borderId="2" xfId="4" applyFont="1" applyBorder="1" applyAlignment="1">
      <alignment horizontal="center" vertical="center" wrapText="1"/>
    </xf>
    <xf numFmtId="165" fontId="15" fillId="0" borderId="2" xfId="3" applyNumberFormat="1" applyFont="1" applyBorder="1" applyAlignment="1">
      <alignment horizontal="center" vertical="center" wrapText="1"/>
    </xf>
    <xf numFmtId="166" fontId="17" fillId="0" borderId="2" xfId="4" applyNumberFormat="1" applyFont="1" applyBorder="1" applyAlignment="1">
      <alignment horizontal="center" vertical="center" wrapText="1"/>
    </xf>
    <xf numFmtId="165" fontId="15" fillId="2" borderId="2" xfId="3" applyNumberFormat="1" applyFont="1" applyFill="1" applyBorder="1" applyAlignment="1">
      <alignment horizontal="center" vertical="center" wrapText="1"/>
    </xf>
    <xf numFmtId="0" fontId="15" fillId="0" borderId="2" xfId="1" applyFont="1" applyBorder="1" applyAlignment="1">
      <alignment horizontal="center" vertical="center" wrapText="1"/>
    </xf>
    <xf numFmtId="9" fontId="15" fillId="0" borderId="3" xfId="4" applyNumberFormat="1" applyFont="1" applyBorder="1" applyAlignment="1">
      <alignment horizontal="center" vertical="center" wrapText="1"/>
    </xf>
    <xf numFmtId="165" fontId="5" fillId="0" borderId="0" xfId="3" applyNumberFormat="1" applyFont="1" applyBorder="1" applyAlignment="1">
      <alignment horizontal="right" vertical="center"/>
    </xf>
    <xf numFmtId="0" fontId="5" fillId="0" borderId="0" xfId="1" applyFont="1" applyAlignment="1">
      <alignment vertical="center" wrapText="1"/>
    </xf>
    <xf numFmtId="9" fontId="5" fillId="0" borderId="0" xfId="1" applyNumberFormat="1" applyFont="1" applyAlignment="1">
      <alignment horizontal="center" vertical="center" wrapText="1"/>
    </xf>
    <xf numFmtId="165" fontId="4" fillId="0" borderId="2" xfId="3" applyNumberFormat="1" applyFont="1" applyFill="1" applyBorder="1" applyAlignment="1">
      <alignment horizontal="center" vertical="center" wrapText="1"/>
    </xf>
    <xf numFmtId="0" fontId="15" fillId="0" borderId="0" xfId="1" applyFont="1" applyAlignment="1">
      <alignment horizontal="center" vertical="center"/>
    </xf>
  </cellXfs>
  <cellStyles count="5">
    <cellStyle name="Comma 2" xfId="3" xr:uid="{00000000-0005-0000-0000-000000000000}"/>
    <cellStyle name="Normal" xfId="0" builtinId="0"/>
    <cellStyle name="Normal 2" xfId="1" xr:uid="{00000000-0005-0000-0000-000003000000}"/>
    <cellStyle name="Normal 2 2" xfId="4" xr:uid="{00000000-0005-0000-0000-000004000000}"/>
    <cellStyle name="Normal_Chi phi cong truong &amp; nhan cong"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36932</xdr:colOff>
      <xdr:row>0</xdr:row>
      <xdr:rowOff>29766</xdr:rowOff>
    </xdr:from>
    <xdr:to>
      <xdr:col>1</xdr:col>
      <xdr:colOff>836257</xdr:colOff>
      <xdr:row>1</xdr:row>
      <xdr:rowOff>168088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32" y="29766"/>
          <a:ext cx="1142225" cy="4507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VN/1%20-%20SPS/01.FromCustomer/Qu&#7843;n%20l&#253;%20Mua%20h&#224;ng/ROP%20FOLLOW%20UP%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heet1"/>
      <sheetName val="PIC"/>
      <sheetName val="Payment Status"/>
      <sheetName val="Efficiency"/>
      <sheetName val="Toplist"/>
      <sheetName val="Criteria"/>
      <sheetName val="Gener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U5"/>
  <sheetViews>
    <sheetView showGridLines="0" tabSelected="1" view="pageBreakPreview" zoomScale="84" zoomScaleNormal="84" zoomScaleSheetLayoutView="84" workbookViewId="0">
      <pane xSplit="4" ySplit="3" topLeftCell="F4" activePane="bottomRight" state="frozen"/>
      <selection pane="topRight" activeCell="E1" sqref="E1"/>
      <selection pane="bottomLeft" activeCell="A4" sqref="A4"/>
      <selection pane="bottomRight" activeCell="A3" sqref="A3:XFD3"/>
    </sheetView>
  </sheetViews>
  <sheetFormatPr defaultColWidth="9.109375" defaultRowHeight="12.6" x14ac:dyDescent="0.25"/>
  <cols>
    <col min="1" max="1" width="5" style="18" customWidth="1"/>
    <col min="2" max="2" width="54.88671875" style="2" customWidth="1"/>
    <col min="3" max="3" width="21" style="2" customWidth="1"/>
    <col min="4" max="4" width="16.5546875" style="8" customWidth="1"/>
    <col min="5" max="5" width="17.44140625" style="16" customWidth="1"/>
    <col min="6" max="6" width="12.6640625" style="16" customWidth="1"/>
    <col min="7" max="7" width="8.88671875" style="16" customWidth="1"/>
    <col min="8" max="8" width="9" style="37" customWidth="1"/>
    <col min="9" max="9" width="15" style="16" customWidth="1"/>
    <col min="10" max="10" width="28.109375" style="18" customWidth="1"/>
    <col min="11" max="11" width="18.6640625" style="8" customWidth="1"/>
    <col min="12" max="12" width="46.5546875" style="8" customWidth="1"/>
    <col min="13" max="13" width="14.88671875" style="9" customWidth="1"/>
    <col min="14" max="14" width="19.6640625" style="13" customWidth="1"/>
    <col min="15" max="15" width="52.6640625" style="38" customWidth="1"/>
    <col min="16" max="16" width="14.6640625" style="12" customWidth="1"/>
    <col min="17" max="17" width="13.5546875" style="13" customWidth="1"/>
    <col min="18" max="18" width="11.44140625" style="8" customWidth="1"/>
    <col min="19" max="19" width="14.6640625" style="15" customWidth="1"/>
    <col min="20" max="20" width="14.6640625" style="16" customWidth="1"/>
    <col min="21" max="21" width="14.6640625" style="39" customWidth="1"/>
    <col min="22" max="22" width="16.109375" style="18" bestFit="1" customWidth="1"/>
    <col min="23" max="23" width="12.88671875" style="18" bestFit="1" customWidth="1"/>
    <col min="24" max="16384" width="9.109375" style="18"/>
  </cols>
  <sheetData>
    <row r="1" spans="1:21" ht="24.9" customHeight="1" x14ac:dyDescent="0.3">
      <c r="A1" s="1"/>
      <c r="D1" s="3"/>
      <c r="E1" s="4"/>
      <c r="F1" s="4"/>
      <c r="G1" s="4"/>
      <c r="H1" s="5"/>
      <c r="I1" s="4"/>
      <c r="J1" s="6" t="s">
        <v>0</v>
      </c>
      <c r="K1" s="7" t="s">
        <v>1</v>
      </c>
      <c r="N1" s="10" t="s">
        <v>2</v>
      </c>
      <c r="O1" s="11"/>
      <c r="R1" s="14"/>
      <c r="U1" s="17"/>
    </row>
    <row r="2" spans="1:21" ht="15" customHeight="1" x14ac:dyDescent="0.25">
      <c r="A2" s="19"/>
      <c r="D2" s="20"/>
      <c r="E2" s="21"/>
      <c r="F2" s="21"/>
      <c r="G2" s="21"/>
      <c r="H2" s="22"/>
      <c r="I2" s="21"/>
      <c r="J2" s="6" t="s">
        <v>3</v>
      </c>
      <c r="K2" s="23">
        <f ca="1">TODAY()</f>
        <v>44768</v>
      </c>
      <c r="N2" s="24" t="s">
        <v>4</v>
      </c>
      <c r="O2" s="25"/>
      <c r="R2" s="26" t="str">
        <f>IF(Q2&gt;N2,"Late-Arrival",IF(Q2&gt;0,"Done",IF(N2&lt;$Q$2,"Delay","On going")))</f>
        <v>On going</v>
      </c>
      <c r="U2" s="27"/>
    </row>
    <row r="3" spans="1:21" s="41" customFormat="1" ht="35.1" customHeight="1" x14ac:dyDescent="0.25">
      <c r="A3" s="28" t="s">
        <v>5</v>
      </c>
      <c r="B3" s="28" t="s">
        <v>6</v>
      </c>
      <c r="C3" s="28" t="s">
        <v>7</v>
      </c>
      <c r="D3" s="28" t="s">
        <v>8</v>
      </c>
      <c r="E3" s="28" t="s">
        <v>9</v>
      </c>
      <c r="F3" s="28" t="s">
        <v>10</v>
      </c>
      <c r="G3" s="28" t="s">
        <v>11</v>
      </c>
      <c r="H3" s="40" t="s">
        <v>12</v>
      </c>
      <c r="I3" s="28" t="s">
        <v>13</v>
      </c>
      <c r="J3" s="28" t="s">
        <v>14</v>
      </c>
      <c r="K3" s="28" t="s">
        <v>15</v>
      </c>
      <c r="L3" s="28" t="s">
        <v>16</v>
      </c>
      <c r="M3" s="29" t="s">
        <v>17</v>
      </c>
      <c r="N3" s="30" t="s">
        <v>18</v>
      </c>
      <c r="O3" s="31" t="s">
        <v>19</v>
      </c>
      <c r="P3" s="32" t="s">
        <v>20</v>
      </c>
      <c r="Q3" s="33" t="s">
        <v>21</v>
      </c>
      <c r="R3" s="31" t="s">
        <v>22</v>
      </c>
      <c r="S3" s="34" t="s">
        <v>23</v>
      </c>
      <c r="T3" s="35" t="s">
        <v>24</v>
      </c>
      <c r="U3" s="36" t="s">
        <v>25</v>
      </c>
    </row>
    <row r="4" spans="1:21" customFormat="1" ht="38.25" customHeight="1" x14ac:dyDescent="0.25"/>
    <row r="5" spans="1:21" customFormat="1" ht="12.75" customHeight="1" x14ac:dyDescent="0.25"/>
  </sheetData>
  <autoFilter ref="A3:W5" xr:uid="{00000000-0009-0000-0000-000000000000}"/>
  <dataConsolidate link="1"/>
  <printOptions horizontalCentered="1"/>
  <pageMargins left="0.7" right="0.42" top="0.44" bottom="0.41" header="0.3" footer="0.3"/>
  <pageSetup paperSize="9" scale="32" fitToHeight="0" orientation="landscape" verticalDpi="120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'D:\SVN\1 - SPS\01.FromCustomer\Quản lý Mua hàng\[ROP FOLLOW UP REPORT.xlsx]Criteria'!#REF!</xm:f>
          </x14:formula1>
          <xm:sqref>U2 I6:I1048576 R6:R1048576 R1:R3 I1:I3 T1:T3 T6:T1048576</xm:sqref>
        </x14:dataValidation>
        <x14:dataValidation type="list" allowBlank="1" showInputMessage="1" showErrorMessage="1" xr:uid="{00000000-0002-0000-0000-000001000000}">
          <x14:formula1>
            <xm:f>'D:\SVN\1 - SPS\01.FromCustomer\Quản lý Mua hàng\[ROP FOLLOW UP REPORT.xlsx]Criteria'!#REF!+$U:$U</xm:f>
          </x14:formula1>
          <xm:sqref>U1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2022-07-18T04:35:16Z</dcterms:created>
  <dcterms:modified xsi:type="dcterms:W3CDTF">2022-07-26T02:55:42Z</dcterms:modified>
</cp:coreProperties>
</file>