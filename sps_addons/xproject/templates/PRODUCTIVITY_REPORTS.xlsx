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odoo\sps\sps\sps_addons\xproject\templates\"/>
    </mc:Choice>
  </mc:AlternateContent>
  <xr:revisionPtr revIDLastSave="0" documentId="13_ncr:1_{3CB94678-40F5-44A2-92D0-E80A0D3C71BB}" xr6:coauthVersionLast="47" xr6:coauthVersionMax="47" xr10:uidLastSave="{00000000-0000-0000-0000-000000000000}"/>
  <bookViews>
    <workbookView xWindow="-110" yWindow="-110" windowWidth="30940" windowHeight="18700" tabRatio="522" xr2:uid="{00000000-000D-0000-FFFF-FFFF00000000}"/>
  </bookViews>
  <sheets>
    <sheet name="Estimation" sheetId="1" r:id="rId1"/>
    <sheet name="E(%)" sheetId="2" r:id="rId2"/>
    <sheet name="Allocated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4__123Graph_Aｸﾞﾗﾌ_2" hidden="1">#REF!</definedName>
    <definedName name="__1__123Graph_ACHART_1" hidden="1">[1]Cash2!$G$16:$G$31</definedName>
    <definedName name="__10__123Graph_DCHART_1" hidden="1">[1]Cash2!$K$16:$K$36</definedName>
    <definedName name="__11__123Graph_Xｸﾞﾗﾌ_1" hidden="1">#REF!</definedName>
    <definedName name="__12__123Graph_Xｸﾞﾗﾌ_2" hidden="1">#REF!</definedName>
    <definedName name="__13__123Graph_Xｸﾞﾗﾌ_3" hidden="1">#REF!</definedName>
    <definedName name="__14__123Graph_Xｸﾞﾗﾌ_4" hidden="1">#REF!</definedName>
    <definedName name="__15__123Graph_Xｸﾞﾗﾌ_5" hidden="1">#REF!</definedName>
    <definedName name="__2__123Graph_ACHART_2" hidden="1">[1]Z!$T$179:$AH$179</definedName>
    <definedName name="__3__123Graph_Aｸﾞﾗﾌ_1" hidden="1">#REF!</definedName>
    <definedName name="__4__123Graph_Aｸﾞﾗﾌ_2" hidden="1">#REF!</definedName>
    <definedName name="__5__123Graph_Aｸﾞﾗﾌ_3" hidden="1">#REF!</definedName>
    <definedName name="__6__123Graph_Aｸﾞﾗﾌ_4" hidden="1">#REF!</definedName>
    <definedName name="__7__123Graph_Aｸﾞﾗﾌ_5" hidden="1">#REF!</definedName>
    <definedName name="__8__123Graph_BCHART_2" hidden="1">[1]Z!$T$180:$AH$180</definedName>
    <definedName name="__9__123Graph_CCHART_1" hidden="1">[1]Cash2!$J$16:$J$36</definedName>
    <definedName name="_1__123Graph_ACHART_1" hidden="1">[1]Cash2!$G$16:$G$31</definedName>
    <definedName name="_1__123Graph_Aｸﾞﾗﾌ_1" hidden="1">#REF!</definedName>
    <definedName name="_10__123Graph_Aｸﾞﾗﾌ_5" hidden="1">#REF!</definedName>
    <definedName name="_10__123Graph_DCHART_1" hidden="1">[1]Cash2!$K$16:$K$36</definedName>
    <definedName name="_10__123Graph_Xｸﾞﾗﾌ_5" hidden="1">#REF!</definedName>
    <definedName name="_11__123Graph_Xｸﾞﾗﾌ_1" hidden="1">#REF!</definedName>
    <definedName name="_12__123Graph_Xｸﾞﾗﾌ_1" hidden="1">#REF!</definedName>
    <definedName name="_12__123Graph_Xｸﾞﾗﾌ_2" hidden="1">#REF!</definedName>
    <definedName name="_13__123Graph_Xｸﾞﾗﾌ_3" hidden="1">#REF!</definedName>
    <definedName name="_14__123Graph_Xｸﾞﾗﾌ_2" hidden="1">#REF!</definedName>
    <definedName name="_14__123Graph_Xｸﾞﾗﾌ_4" hidden="1">#REF!</definedName>
    <definedName name="_15__123Graph_Xｸﾞﾗﾌ_5" hidden="1">#REF!</definedName>
    <definedName name="_16__123Graph_Xｸﾞﾗﾌ_3" hidden="1">#REF!</definedName>
    <definedName name="_18__123Graph_Xｸﾞﾗﾌ_4" hidden="1">#REF!</definedName>
    <definedName name="_1ModSort_.Sort2">[2]!'[ModSort].Sort2'</definedName>
    <definedName name="_2__123Graph_ACHART_2" hidden="1">[1]Z!$T$179:$AH$179</definedName>
    <definedName name="_2__123Graph_Aｸﾞﾗﾌ_1" hidden="1">#REF!</definedName>
    <definedName name="_2__123Graph_Aｸﾞﾗﾌ_2" hidden="1">#REF!</definedName>
    <definedName name="_20__123Graph_Xｸﾞﾗﾌ_5" hidden="1">#REF!</definedName>
    <definedName name="_3__123Graph_Aｸﾞﾗﾌ_1" hidden="1">#REF!</definedName>
    <definedName name="_3__123Graph_Aｸﾞﾗﾌ_3" hidden="1">#REF!</definedName>
    <definedName name="_4__123Graph_Aｸﾞﾗﾌ_2" hidden="1">#REF!</definedName>
    <definedName name="_4__123Graph_Aｸﾞﾗﾌ_4" hidden="1">#REF!</definedName>
    <definedName name="_5__123Graph_Aｸﾞﾗﾌ_3" hidden="1">#REF!</definedName>
    <definedName name="_5__123Graph_Aｸﾞﾗﾌ_5" hidden="1">#REF!</definedName>
    <definedName name="_6__123Graph_Aｸﾞﾗﾌ_3" hidden="1">#REF!</definedName>
    <definedName name="_6__123Graph_Aｸﾞﾗﾌ_4" hidden="1">#REF!</definedName>
    <definedName name="_6__123Graph_Xｸﾞﾗﾌ_1" hidden="1">#REF!</definedName>
    <definedName name="_7__123Graph_Aｸﾞﾗﾌ_5" hidden="1">#REF!</definedName>
    <definedName name="_7__123Graph_Xｸﾞﾗﾌ_2" hidden="1">#REF!</definedName>
    <definedName name="_8__123Graph_Aｸﾞﾗﾌ_4" hidden="1">#REF!</definedName>
    <definedName name="_8__123Graph_BCHART_2" hidden="1">[1]Z!$T$180:$AH$180</definedName>
    <definedName name="_8__123Graph_Xｸﾞﾗﾌ_3" hidden="1">#REF!</definedName>
    <definedName name="_9__123Graph_CCHART_1" hidden="1">[1]Cash2!$J$16:$J$36</definedName>
    <definedName name="_9__123Graph_Xｸﾞﾗﾌ_4" hidden="1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Fill" hidden="1">#REF!</definedName>
    <definedName name="_xlnm._FilterDatabase" localSheetId="2" hidden="1">Allocated!$A$1:$L$4183</definedName>
    <definedName name="_xlnm._FilterDatabase" localSheetId="0" hidden="1">Estimation!$A$5:$O$5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_Try1">[3]!_xlbgnm.Try1</definedName>
    <definedName name="AccessDatabase" hidden="1">"C:\WIN95\Desktop\Ramesh\AIC\Aic.mdb"</definedName>
    <definedName name="asdfa" hidden="1">#REF!</definedName>
    <definedName name="Check">[4]!Check</definedName>
    <definedName name="DialogHide">[3]!DialogHide</definedName>
    <definedName name="DialogShow">[3]!DialogShow</definedName>
    <definedName name="Dich_Vu">#REF!</definedName>
    <definedName name="du_an">'[5]Không xóa'!$E$5:$E$9</definedName>
    <definedName name="F24_Uplift">'[6]0200 Siteworks'!$H$4</definedName>
    <definedName name="Gio_cong_tieu_chuan">'[7]Du lieu'!$P$4:$S$4</definedName>
    <definedName name="GoToBridge">[8]!GoToBridge</definedName>
    <definedName name="GoToCUB">[8]!GoToCUB</definedName>
    <definedName name="GTIndex">[9]!GTIndex</definedName>
    <definedName name="GTMechIndex">[10]!GTMechIndex</definedName>
    <definedName name="h" hidden="1">{"'Sheet1'!$L$16"}</definedName>
    <definedName name="HA" hidden="1">{"'Sheet1'!$L$16"}</definedName>
    <definedName name="he_so">'[7]Du lieu'!$E$4:$E$7</definedName>
    <definedName name="Ho_ten">'[7]Du lieu'!$AA$5:$AA$18</definedName>
    <definedName name="htlm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am_sach">'[11]khong xoa'!$A$1:$A$12</definedName>
    <definedName name="ModDelete.Reset">[4]!ModDelete.Reset</definedName>
    <definedName name="ModSort.DialogHide">[2]!ModSort.DialogHide</definedName>
    <definedName name="ModSort.Reset">[2]!ModSort.Reset</definedName>
    <definedName name="ModSort.Sort2">[4]!ModSort.Sort2</definedName>
    <definedName name="ModSubtotalSort.DialogHide">[4]!ModSubtotalSort.DialogHide</definedName>
    <definedName name="ModSubtotalSort.Try1">[4]!ModSubtotalSort.Try1</definedName>
    <definedName name="NKX_nhom_hang">OFFSET([12]HANG!$A$1,0,0,,55-COUNTIF([12]HANG!$A$1:$BC$1,""))</definedName>
    <definedName name="NKX_STT_mat_hang">OFFSET('[12]Mat hang'!$D$5,0,0,COUNTA('[12]Mat hang'!$D$5:$D$1159),)</definedName>
    <definedName name="_xlnm.Print_Area" localSheetId="2">Allocated!$A$1:$H$3435</definedName>
    <definedName name="_xlnm.Print_Area" localSheetId="1">'E(%)'!$A$1:$N$27</definedName>
    <definedName name="Project">#REF!,#REF!,#REF!</definedName>
    <definedName name="Reset">[3]!Reset</definedName>
    <definedName name="Sort1">[3]!Sort1</definedName>
    <definedName name="Sort2">[3]!Sort2</definedName>
    <definedName name="tttt" hidden="1">{"'Sheet1'!$L$16"}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2" l="1"/>
  <c r="C4" i="2"/>
  <c r="B4" i="2"/>
  <c r="N2" i="2"/>
  <c r="B7" i="2" l="1"/>
  <c r="C8" i="2"/>
  <c r="C13" i="2" s="1"/>
  <c r="C7" i="2"/>
  <c r="B5" i="2"/>
  <c r="C5" i="2"/>
  <c r="B12" i="2"/>
  <c r="C12" i="2"/>
  <c r="B11" i="2"/>
  <c r="C11" i="2"/>
  <c r="D4" i="2"/>
  <c r="C10" i="2"/>
  <c r="C9" i="2"/>
  <c r="D9" i="2" l="1"/>
  <c r="E4" i="2"/>
  <c r="D10" i="2"/>
  <c r="D11" i="2"/>
  <c r="D12" i="2"/>
  <c r="D5" i="2"/>
  <c r="D8" i="2" s="1"/>
  <c r="D13" i="2" s="1"/>
  <c r="D7" i="2"/>
  <c r="B8" i="2"/>
  <c r="B10" i="2"/>
  <c r="B9" i="2"/>
  <c r="B13" i="2" l="1"/>
  <c r="E8" i="2"/>
  <c r="E9" i="2"/>
  <c r="E10" i="2"/>
  <c r="F4" i="2"/>
  <c r="E11" i="2"/>
  <c r="E12" i="2"/>
  <c r="E5" i="2"/>
  <c r="E7" i="2"/>
  <c r="F9" i="2" l="1"/>
  <c r="F10" i="2"/>
  <c r="G4" i="2"/>
  <c r="F11" i="2"/>
  <c r="F12" i="2"/>
  <c r="F5" i="2"/>
  <c r="F7" i="2"/>
  <c r="F8" i="2"/>
  <c r="F13" i="2" s="1"/>
  <c r="E13" i="2"/>
  <c r="G9" i="2" l="1"/>
  <c r="G10" i="2"/>
  <c r="H4" i="2"/>
  <c r="G11" i="2"/>
  <c r="G12" i="2"/>
  <c r="G5" i="2"/>
  <c r="G7" i="2"/>
  <c r="G8" i="2"/>
  <c r="G13" i="2" l="1"/>
  <c r="H10" i="2"/>
  <c r="I4" i="2"/>
  <c r="H11" i="2"/>
  <c r="H12" i="2"/>
  <c r="H5" i="2"/>
  <c r="H7" i="2"/>
  <c r="H8" i="2"/>
  <c r="H9" i="2"/>
  <c r="H13" i="2" l="1"/>
  <c r="I10" i="2"/>
  <c r="J4" i="2"/>
  <c r="I5" i="2"/>
  <c r="I11" i="2"/>
  <c r="I12" i="2"/>
  <c r="I7" i="2"/>
  <c r="I8" i="2"/>
  <c r="I13" i="2" s="1"/>
  <c r="I9" i="2"/>
  <c r="J11" i="2" l="1"/>
  <c r="J12" i="2"/>
  <c r="J5" i="2"/>
  <c r="J7" i="2"/>
  <c r="J8" i="2"/>
  <c r="J9" i="2"/>
  <c r="K4" i="2"/>
  <c r="J10" i="2"/>
  <c r="K11" i="2" l="1"/>
  <c r="K5" i="2"/>
  <c r="K12" i="2"/>
  <c r="K7" i="2"/>
  <c r="K8" i="2"/>
  <c r="K9" i="2"/>
  <c r="K10" i="2"/>
  <c r="L4" i="2"/>
  <c r="J13" i="2"/>
  <c r="K13" i="2" l="1"/>
  <c r="L12" i="2"/>
  <c r="L5" i="2"/>
  <c r="L7" i="2"/>
  <c r="L8" i="2"/>
  <c r="L9" i="2"/>
  <c r="M4" i="2"/>
  <c r="L10" i="2"/>
  <c r="L11" i="2"/>
  <c r="M12" i="2" l="1"/>
  <c r="N12" i="2" s="1"/>
  <c r="O12" i="2" s="1"/>
  <c r="M5" i="2"/>
  <c r="M8" i="2"/>
  <c r="M9" i="2"/>
  <c r="N9" i="2" s="1"/>
  <c r="O9" i="2" s="1"/>
  <c r="M10" i="2"/>
  <c r="N10" i="2" s="1"/>
  <c r="O10" i="2" s="1"/>
  <c r="M11" i="2"/>
  <c r="N11" i="2" s="1"/>
  <c r="O11" i="2" s="1"/>
  <c r="M7" i="2"/>
  <c r="N7" i="2" s="1"/>
  <c r="L13" i="2"/>
  <c r="M13" i="2" l="1"/>
  <c r="N8" i="2"/>
  <c r="N13" i="2" l="1"/>
  <c r="O8" i="2"/>
</calcChain>
</file>

<file path=xl/sharedStrings.xml><?xml version="1.0" encoding="utf-8"?>
<sst xmlns="http://schemas.openxmlformats.org/spreadsheetml/2006/main" count="62" uniqueCount="59">
  <si>
    <t>DỰ TOÁN NHÂN CÔNG</t>
  </si>
  <si>
    <t>Prepared by Phuc.vx</t>
  </si>
  <si>
    <t>ESTIMATED LABOR</t>
  </si>
  <si>
    <t>Ngày</t>
  </si>
  <si>
    <t>Tuần</t>
  </si>
  <si>
    <t>Thứ</t>
  </si>
  <si>
    <t>Tên khách hàng</t>
  </si>
  <si>
    <t>Số dự án</t>
  </si>
  <si>
    <t>Tên thiết bị / dự án</t>
  </si>
  <si>
    <t>Tần
suất</t>
  </si>
  <si>
    <t>Phân loại</t>
  </si>
  <si>
    <t>KS/GS Cao cấp</t>
  </si>
  <si>
    <t>Kỹ sư/
Giám sát</t>
  </si>
  <si>
    <t>Trưởng nhóm</t>
  </si>
  <si>
    <t>Kỹ thuật viên</t>
  </si>
  <si>
    <t>Thực tập sinh</t>
  </si>
  <si>
    <t>Chi phí khác
 (Thầu phụ/nhà trọ</t>
  </si>
  <si>
    <t>Ghi chú</t>
  </si>
  <si>
    <t>Date</t>
  </si>
  <si>
    <t>Week</t>
  </si>
  <si>
    <t>Day</t>
  </si>
  <si>
    <t>Client name</t>
  </si>
  <si>
    <t>Project number</t>
  </si>
  <si>
    <t>Equipment / Project name</t>
  </si>
  <si>
    <t>Fre.</t>
  </si>
  <si>
    <t>Classify</t>
  </si>
  <si>
    <t>Senior Eng/Sup</t>
  </si>
  <si>
    <t>Engineer/
Supervisor</t>
  </si>
  <si>
    <t>Team Leader</t>
  </si>
  <si>
    <t>Technician</t>
  </si>
  <si>
    <t>Internship</t>
  </si>
  <si>
    <t>Đi lại/ công tác phí)</t>
  </si>
  <si>
    <t>Remark</t>
  </si>
  <si>
    <t>BÁO CÁO HIỆU QUẢ NHÂN LỰC</t>
  </si>
  <si>
    <t>MANPOWER EFFICIENCY REPORT</t>
  </si>
  <si>
    <t>Updated:</t>
  </si>
  <si>
    <t>YEAR</t>
  </si>
  <si>
    <t>Unit: Hrs</t>
  </si>
  <si>
    <t>Công thức trung gian</t>
  </si>
  <si>
    <t>Tháng / Month</t>
  </si>
  <si>
    <t>TOTAL</t>
  </si>
  <si>
    <t>Ratio</t>
  </si>
  <si>
    <t>A. Tổng số giờ trả lương
    Paid hours</t>
  </si>
  <si>
    <t>B. Tổng giờ cho dự án Services
    Services hours</t>
  </si>
  <si>
    <t>C. Tổng giờ cho dự án Maintenance
    Maintenance hours</t>
  </si>
  <si>
    <t>D. Tổng giờ cho dự án quản lý vận hành
    FM hours</t>
  </si>
  <si>
    <t>E. Tổng số giờ cho các hoạt động khác
     Total hours for other jobs</t>
  </si>
  <si>
    <t>F. Tổng số giờ lãng phí (Chờ việc)
    Total hours wasted (Standby)</t>
  </si>
  <si>
    <t>Hiệu suất lao động (B+C+D)/A
   Efficiency</t>
  </si>
  <si>
    <t>Mục tiêu hiệu suất lao động
   Target</t>
  </si>
  <si>
    <t>Nhân viên</t>
  </si>
  <si>
    <t>Employee code</t>
  </si>
  <si>
    <t>Trợ cấp đi lại/Số giờ trợ cấp</t>
  </si>
  <si>
    <t>Chi tiết chấm công/Dự án</t>
  </si>
  <si>
    <t>Chi tiết chấm công/Giờ thực tế</t>
  </si>
  <si>
    <t>Tổng giờ thực tế</t>
  </si>
  <si>
    <t>Phân loại dự án</t>
  </si>
  <si>
    <t>Vị trí</t>
  </si>
  <si>
    <t>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</si>
</sst>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[$-409]d\-mmm\-yyyy;@"/>
    <numFmt numFmtId="166" formatCode="[$-409]dd\-mmm\-yy;@"/>
    <numFmt numFmtId="167" formatCode="#,##0.0"/>
    <numFmt numFmtId="168" formatCode="0.0%"/>
    <numFmt numFmtId="170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i/>
      <sz val="12"/>
      <color theme="1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5" tint="-0.249977111117893"/>
      <name val="Times New Roman"/>
      <family val="1"/>
    </font>
    <font>
      <b/>
      <sz val="16"/>
      <color theme="1"/>
      <name val="Times New Roman"/>
      <family val="1"/>
    </font>
    <font>
      <b/>
      <sz val="12"/>
      <color rgb="FF0070C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0"/>
      <color theme="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vertical="center"/>
    </xf>
    <xf numFmtId="0" fontId="6" fillId="2" borderId="0" xfId="0" applyFont="1" applyFill="1" applyAlignment="1">
      <alignment horizontal="right" vertical="center"/>
    </xf>
    <xf numFmtId="166" fontId="5" fillId="4" borderId="1" xfId="0" applyNumberFormat="1" applyFont="1" applyFill="1" applyBorder="1" applyAlignment="1">
      <alignment vertical="center"/>
    </xf>
    <xf numFmtId="166" fontId="5" fillId="4" borderId="5" xfId="0" applyNumberFormat="1" applyFont="1" applyFill="1" applyBorder="1" applyAlignment="1">
      <alignment vertical="center"/>
    </xf>
    <xf numFmtId="166" fontId="5" fillId="4" borderId="7" xfId="0" applyNumberFormat="1" applyFont="1" applyFill="1" applyBorder="1" applyAlignment="1">
      <alignment vertical="center"/>
    </xf>
    <xf numFmtId="166" fontId="5" fillId="4" borderId="8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2" borderId="3" xfId="0" applyFont="1" applyFill="1" applyBorder="1" applyAlignment="1">
      <alignment vertical="center" wrapText="1"/>
    </xf>
    <xf numFmtId="167" fontId="9" fillId="2" borderId="3" xfId="1" applyNumberFormat="1" applyFont="1" applyFill="1" applyBorder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68" fontId="8" fillId="2" borderId="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9" fontId="2" fillId="0" borderId="0" xfId="1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3" fontId="8" fillId="2" borderId="3" xfId="1" applyNumberFormat="1" applyFont="1" applyFill="1" applyBorder="1" applyAlignment="1">
      <alignment horizontal="center" vertical="center"/>
    </xf>
    <xf numFmtId="168" fontId="11" fillId="3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 shrinkToFit="1"/>
    </xf>
    <xf numFmtId="0" fontId="15" fillId="0" borderId="0" xfId="0" applyFont="1" applyAlignment="1">
      <alignment vertical="center"/>
    </xf>
    <xf numFmtId="49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wrapText="1" shrinkToFit="1"/>
    </xf>
    <xf numFmtId="49" fontId="19" fillId="2" borderId="0" xfId="0" applyNumberFormat="1" applyFont="1" applyFill="1" applyAlignment="1">
      <alignment horizontal="left" vertical="center"/>
    </xf>
    <xf numFmtId="49" fontId="17" fillId="2" borderId="0" xfId="0" applyNumberFormat="1" applyFont="1" applyFill="1" applyAlignment="1">
      <alignment vertical="center" wrapText="1"/>
    </xf>
    <xf numFmtId="49" fontId="17" fillId="2" borderId="0" xfId="0" applyNumberFormat="1" applyFont="1" applyFill="1" applyAlignment="1">
      <alignment horizontal="center" vertical="center" wrapText="1"/>
    </xf>
    <xf numFmtId="1" fontId="18" fillId="2" borderId="0" xfId="0" applyNumberFormat="1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170" fontId="18" fillId="2" borderId="0" xfId="0" applyNumberFormat="1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 wrapText="1"/>
    </xf>
    <xf numFmtId="49" fontId="20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 shrinkToFit="1"/>
    </xf>
    <xf numFmtId="0" fontId="19" fillId="2" borderId="0" xfId="0" applyFont="1" applyFill="1" applyAlignment="1">
      <alignment horizontal="left" vertical="center"/>
    </xf>
    <xf numFmtId="49" fontId="20" fillId="2" borderId="0" xfId="0" applyNumberFormat="1" applyFont="1" applyFill="1" applyAlignment="1">
      <alignment vertical="center" wrapText="1"/>
    </xf>
    <xf numFmtId="49" fontId="20" fillId="2" borderId="0" xfId="0" applyNumberFormat="1" applyFont="1" applyFill="1" applyAlignment="1">
      <alignment horizontal="center" vertical="center" wrapText="1"/>
    </xf>
    <xf numFmtId="1" fontId="20" fillId="2" borderId="0" xfId="0" applyNumberFormat="1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 wrapText="1"/>
    </xf>
    <xf numFmtId="170" fontId="18" fillId="2" borderId="0" xfId="0" applyNumberFormat="1" applyFont="1" applyFill="1" applyAlignment="1">
      <alignment horizontal="center" vertical="center" wrapText="1"/>
    </xf>
    <xf numFmtId="4" fontId="18" fillId="2" borderId="0" xfId="0" applyNumberFormat="1" applyFont="1" applyFill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center" shrinkToFit="1"/>
    </xf>
    <xf numFmtId="0" fontId="21" fillId="2" borderId="2" xfId="0" applyFont="1" applyFill="1" applyBorder="1" applyAlignment="1">
      <alignment horizontal="center" wrapText="1" shrinkToFit="1"/>
    </xf>
    <xf numFmtId="0" fontId="21" fillId="2" borderId="2" xfId="0" applyFont="1" applyFill="1" applyBorder="1" applyAlignment="1">
      <alignment horizontal="center" shrinkToFit="1"/>
    </xf>
    <xf numFmtId="0" fontId="22" fillId="2" borderId="2" xfId="0" applyFont="1" applyFill="1" applyBorder="1" applyAlignment="1">
      <alignment horizontal="center" wrapText="1" shrinkToFit="1"/>
    </xf>
    <xf numFmtId="1" fontId="19" fillId="2" borderId="2" xfId="0" applyNumberFormat="1" applyFont="1" applyFill="1" applyBorder="1" applyAlignment="1">
      <alignment horizontal="center" vertical="center" wrapText="1"/>
    </xf>
    <xf numFmtId="170" fontId="19" fillId="2" borderId="2" xfId="0" applyNumberFormat="1" applyFont="1" applyFill="1" applyBorder="1" applyAlignment="1">
      <alignment horizontal="center" vertical="center" wrapText="1"/>
    </xf>
    <xf numFmtId="4" fontId="19" fillId="2" borderId="2" xfId="0" applyNumberFormat="1" applyFont="1" applyFill="1" applyBorder="1" applyAlignment="1">
      <alignment horizontal="center" wrapText="1"/>
    </xf>
    <xf numFmtId="165" fontId="23" fillId="2" borderId="9" xfId="0" applyNumberFormat="1" applyFont="1" applyFill="1" applyBorder="1" applyAlignment="1">
      <alignment horizontal="center" vertical="top" wrapText="1"/>
    </xf>
    <xf numFmtId="0" fontId="24" fillId="2" borderId="9" xfId="0" applyFont="1" applyFill="1" applyBorder="1" applyAlignment="1">
      <alignment horizontal="center" vertical="top" wrapText="1" shrinkToFit="1"/>
    </xf>
    <xf numFmtId="0" fontId="24" fillId="2" borderId="9" xfId="0" applyFont="1" applyFill="1" applyBorder="1" applyAlignment="1">
      <alignment horizontal="center" vertical="top"/>
    </xf>
    <xf numFmtId="0" fontId="24" fillId="2" borderId="9" xfId="0" applyFont="1" applyFill="1" applyBorder="1" applyAlignment="1">
      <alignment horizontal="center" vertical="top" wrapText="1"/>
    </xf>
    <xf numFmtId="0" fontId="23" fillId="2" borderId="9" xfId="0" applyFont="1" applyFill="1" applyBorder="1" applyAlignment="1">
      <alignment horizontal="center" vertical="top" wrapText="1"/>
    </xf>
    <xf numFmtId="1" fontId="20" fillId="2" borderId="9" xfId="0" applyNumberFormat="1" applyFont="1" applyFill="1" applyBorder="1" applyAlignment="1">
      <alignment horizontal="center" vertical="top" wrapText="1"/>
    </xf>
    <xf numFmtId="170" fontId="19" fillId="2" borderId="9" xfId="0" applyNumberFormat="1" applyFont="1" applyFill="1" applyBorder="1" applyAlignment="1">
      <alignment horizontal="center" vertical="center" wrapText="1"/>
    </xf>
    <xf numFmtId="4" fontId="20" fillId="2" borderId="9" xfId="0" applyNumberFormat="1" applyFont="1" applyFill="1" applyBorder="1" applyAlignment="1">
      <alignment horizontal="center" vertical="top" wrapText="1"/>
    </xf>
    <xf numFmtId="165" fontId="18" fillId="2" borderId="10" xfId="0" applyNumberFormat="1" applyFont="1" applyFill="1" applyBorder="1" applyAlignment="1">
      <alignment horizontal="center" vertical="center" shrinkToFit="1"/>
    </xf>
    <xf numFmtId="0" fontId="25" fillId="2" borderId="10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vertical="center" wrapText="1" shrinkToFit="1"/>
    </xf>
    <xf numFmtId="0" fontId="18" fillId="2" borderId="10" xfId="0" applyFont="1" applyFill="1" applyBorder="1" applyAlignment="1">
      <alignment horizontal="left" vertical="center" shrinkToFit="1"/>
    </xf>
    <xf numFmtId="0" fontId="18" fillId="2" borderId="10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/>
    </xf>
    <xf numFmtId="1" fontId="18" fillId="2" borderId="10" xfId="0" applyNumberFormat="1" applyFont="1" applyFill="1" applyBorder="1" applyAlignment="1">
      <alignment horizontal="center" vertical="center" shrinkToFit="1"/>
    </xf>
    <xf numFmtId="1" fontId="26" fillId="2" borderId="10" xfId="0" applyNumberFormat="1" applyFont="1" applyFill="1" applyBorder="1" applyAlignment="1">
      <alignment horizontal="center" vertical="center" shrinkToFit="1"/>
    </xf>
    <xf numFmtId="170" fontId="19" fillId="2" borderId="10" xfId="0" applyNumberFormat="1" applyFont="1" applyFill="1" applyBorder="1" applyAlignment="1">
      <alignment vertical="center" wrapText="1"/>
    </xf>
    <xf numFmtId="0" fontId="26" fillId="2" borderId="10" xfId="0" applyFont="1" applyFill="1" applyBorder="1" applyAlignment="1">
      <alignment horizontal="center" vertical="center" wrapText="1" shrinkToFit="1"/>
    </xf>
    <xf numFmtId="164" fontId="6" fillId="2" borderId="0" xfId="0" applyNumberFormat="1" applyFont="1" applyFill="1" applyAlignment="1">
      <alignment horizontal="left" vertical="center"/>
    </xf>
    <xf numFmtId="164" fontId="3" fillId="4" borderId="4" xfId="0" applyNumberFormat="1" applyFont="1" applyFill="1" applyBorder="1" applyAlignment="1">
      <alignment vertical="center"/>
    </xf>
    <xf numFmtId="165" fontId="5" fillId="4" borderId="6" xfId="0" applyNumberFormat="1" applyFont="1" applyFill="1" applyBorder="1" applyAlignment="1">
      <alignment vertical="center"/>
    </xf>
  </cellXfs>
  <cellStyles count="5">
    <cellStyle name="Normal" xfId="0" builtinId="0"/>
    <cellStyle name="Normal 2" xfId="2" xr:uid="{00000000-0005-0000-0000-000002000000}"/>
    <cellStyle name="Normal 2 2" xfId="4" xr:uid="{00000000-0005-0000-0000-000004000000}"/>
    <cellStyle name="Normal 2 3" xfId="3" xr:uid="{00000000-0005-0000-0000-000003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FFCC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t-idbcd-wg1/USER/SETSUBI/ME-2&#31309;&#31639;/01&#31309;&#31639;&#12503;&#12525;&#12472;&#12455;&#12463;&#12488;/&#20013;&#22269;/(2004.12)ACW%20PJ(&#12381;&#12398;2&#65289;/pulau%20final/WINDOWS/Desktop/New%20Folder/Qo-158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Users/admin/Desktop/L&#432;&#417;ng%202018/Luong%20T11.2018/Bang%20tong%20hop%20luong%20T11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03%20SC_Surveying%20&amp;%20Cost%20Control\Electrical-I&amp;C\F24-2%20Elec%20QS\RFP%20BOQ%20Returns\Final%20Bids%2018-11-04\60\GSS\F24%20QS\FAB%2024E%20Site%20Enabling%20Works\Pricing%20Sheets\FAB%2024E%20Site%20Enabling%20Works%20Rev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Users/admin/Desktop/L&#432;&#417;ng%202018/Luong%20T11.2018/Thang%209_%20Bang%20tong%20hop%20luong-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shome003/gacookx$/Estimate/Rev1.5est0825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Data/Data/DOC-TFM-05_Nh&#226;n%20s&#7921;/1_Ch&#7845;m%20c&#244;ng%20_________Timesheet/2014/8.August/Timesheet%20_TFM_Fsoft%2008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Ketoan/e/QLBH%20da%20sua/QLBH%20%2007-1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  <sheetName val="mvac_Offer"/>
      <sheetName val="mvac_BOQ"/>
      <sheetName val="Summary"/>
      <sheetName val="Factors"/>
      <sheetName val="업무처리전"/>
      <sheetName val="PNT-QUOT-#3"/>
      <sheetName val="COAT&amp;WRAP-QIOT-#3"/>
      <sheetName val="1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MTP"/>
      <sheetName val="Earthwork"/>
      <sheetName val="A2 (4)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Sheet1"/>
      <sheetName val="AOP Summary-2"/>
      <sheetName val="공사내역"/>
      <sheetName val="#REF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aster"/>
      <sheetName val="VL"/>
      <sheetName val="TN"/>
      <sheetName val="ND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Compar_28_12_17"/>
      <sheetName val="Electrical"/>
      <sheetName val="負荷集計（断熱不燃）"/>
      <sheetName val="XL4Poppy"/>
      <sheetName val="Sheet2"/>
      <sheetName val="SUM-AIR-Submit"/>
      <sheetName val="MTO REV_2_ARMOR_"/>
      <sheetName val="escon"/>
      <sheetName val="노임단가"/>
      <sheetName val="Quantity"/>
      <sheetName val="TTL"/>
      <sheetName val="B3A - TOWER A"/>
      <sheetName val="AQA"/>
      <sheetName val="Gia vat tu"/>
      <sheetName val="Currency"/>
      <sheetName val="SPT vs PHI"/>
      <sheetName val="Electrical Works"/>
      <sheetName val="H_T_ INCOMING SYSTEM"/>
      <sheetName val="Sheet4"/>
      <sheetName val="도급양식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FA-LISTING"/>
      <sheetName val="PL 01"/>
      <sheetName val="PCCC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gVL"/>
      <sheetName val="10현장조직"/>
      <sheetName val="DESBASTE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wg. Transmittal"/>
      <sheetName val="MAIN GATE HOUSE"/>
      <sheetName val="BAG-2"/>
      <sheetName val="Currency Ra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환산표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자재단가"/>
      <sheetName val="36신설수량"/>
      <sheetName val="물가대비표"/>
      <sheetName val="Sheet6"/>
      <sheetName val="CondPol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h-013211-2"/>
      <sheetName val="대비표"/>
      <sheetName val="공문"/>
      <sheetName val="as boq list up"/>
      <sheetName val="95삼성급(본사)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TBVL"/>
      <sheetName val="$TEXT1$"/>
      <sheetName val="DuToan"/>
      <sheetName val="Code"/>
      <sheetName val="GIAVLIEU"/>
      <sheetName val="E-Price"/>
      <sheetName val="sheet3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BG"/>
      <sheetName val="EQP"/>
      <sheetName val="BD1"/>
      <sheetName val="8-31-98"/>
      <sheetName val="6PILE  (돌출)"/>
      <sheetName val="CTEMCOST"/>
      <sheetName val="조명시설"/>
      <sheetName val="SITE-E"/>
      <sheetName val="Gia VLNCMTC"/>
      <sheetName val="LEGEND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GZ.TG"/>
      <sheetName val="GZ.TP"/>
      <sheetName val="GZ.VT"/>
      <sheetName val="SOURCE"/>
      <sheetName val="SW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宏1"/>
      <sheetName val="nha bao ve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Đức Huệ - GV gốc"/>
      <sheetName val="1. ABPLAZA COST"/>
      <sheetName val="2. ABPLAZA INVENTORY"/>
      <sheetName val="3. ICID CASHFLOW"/>
      <sheetName val="7_MEP"/>
      <sheetName val="NOTE"/>
      <sheetName val="Analisa"/>
      <sheetName val="Div26 - Elect"/>
      <sheetName val="BKL"/>
      <sheetName val="1.1 BOQ 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Cash Flow"/>
      <sheetName val="Yield"/>
      <sheetName val="Draft"/>
      <sheetName val="THAP"/>
      <sheetName val="Btra"/>
      <sheetName val="차액보증"/>
      <sheetName val="변화치수"/>
      <sheetName val="DATA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STR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설계내역서"/>
      <sheetName val="토공"/>
      <sheetName val="TVLIEU"/>
      <sheetName val="PS-Labour_M"/>
      <sheetName val="Config"/>
      <sheetName val="Tong du toan"/>
      <sheetName val="THVT"/>
      <sheetName val="대비"/>
      <sheetName val="基本"/>
      <sheetName val="BQ-E20-02(Rp)"/>
      <sheetName val="C5.M-Cover"/>
      <sheetName val="报价费率计算表"/>
      <sheetName val="Eq. Mobilization"/>
      <sheetName val="MASTER_RATE ANALYSIS"/>
      <sheetName val="Gravel in pond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MS08-01 S"/>
      <sheetName val="MS08-01 P"/>
      <sheetName val="upa"/>
      <sheetName val="1-G1"/>
      <sheetName val="Cashflow Analysis"/>
      <sheetName val="Rate Analysis"/>
      <sheetName val="mapping"/>
      <sheetName val="BYBU96"/>
      <sheetName val="CLAY"/>
      <sheetName val="Form 6"/>
      <sheetName val="SL NHAP"/>
      <sheetName val="PRICE-SUMMARY"/>
      <sheetName val="mw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Headings"/>
      <sheetName val="Basement Budget"/>
      <sheetName val="11"/>
      <sheetName val="COLUMN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Electrical Breakdown"/>
      <sheetName val="BK04"/>
      <sheetName val="#REF!"/>
      <sheetName val="外気負荷"/>
      <sheetName val="Móng, nền "/>
      <sheetName val="pp1p"/>
      <sheetName val="pp3p_NC"/>
      <sheetName val="pp3p "/>
      <sheetName val="TONGKE3p "/>
      <sheetName val="RC Pipe"/>
      <sheetName val="금액내역서"/>
      <sheetName val="inter"/>
      <sheetName val="PRECAST lightconc-II"/>
      <sheetName val="Pile-Br-Capacity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HD-XUAT"/>
      <sheetName val="Sheet 3"/>
      <sheetName val="BQMPALOC"/>
      <sheetName val="수량3"/>
      <sheetName val="F4-F7"/>
      <sheetName val="Step1 1st"/>
      <sheetName val="품셈TABLE"/>
      <sheetName val="금호"/>
      <sheetName val="기준정보"/>
      <sheetName val="Fut_Perf"/>
      <sheetName val="HaoPhi"/>
      <sheetName val="63 Tỉnh"/>
      <sheetName val="Mã BDS"/>
      <sheetName val="Company code"/>
      <sheetName val="LIST DATA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개산공사비"/>
      <sheetName val="COMPLEXALL"/>
      <sheetName val="SUM"/>
      <sheetName val="upa of boq"/>
      <sheetName val="inWords"/>
      <sheetName val="equipment"/>
      <sheetName val="Summary Foreign Comp"/>
      <sheetName val="wordsdata"/>
      <sheetName val="dýsýplýn"/>
      <sheetName val="Ra  stair"/>
      <sheetName val="p&amp;m"/>
      <sheetName val="Preliminaries-REVISED"/>
      <sheetName val="--- Liste ---"/>
      <sheetName val="D. Mechanical"/>
      <sheetName val="D &amp; W sizes"/>
      <sheetName val="Markup"/>
      <sheetName val="경비2내역"/>
      <sheetName val="기성내역"/>
      <sheetName val="CAPVC"/>
      <sheetName val="공사비 내역 (가)"/>
      <sheetName val="프랜트면허"/>
      <sheetName val="토목주소"/>
      <sheetName val="Kế hoạch bổ sung"/>
      <sheetName val="전기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fORMAT"/>
      <sheetName val="Certificate "/>
      <sheetName val="Valn Cover"/>
      <sheetName val="Contract Part"/>
      <sheetName val="Design"/>
      <sheetName val="Doha Farm"/>
      <sheetName val="15 문제점"/>
      <sheetName val="Master Data Sheet"/>
      <sheetName val="Contents"/>
      <sheetName val="Name"/>
      <sheetName val="APP. B"/>
      <sheetName val="App. A(contd)"/>
      <sheetName val="VENTILATIE"/>
      <sheetName val="MALZEME"/>
      <sheetName val="SIVA"/>
      <sheetName val="SW (2)"/>
      <sheetName val="RTW4"/>
      <sheetName val="Filter Block"/>
      <sheetName val="Schedule(4)"/>
      <sheetName val="PRICES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Sheet8"/>
      <sheetName val="BT3-Package 05"/>
      <sheetName val="BOQ-Civil"/>
      <sheetName val="CASHFLOWS"/>
      <sheetName val="INDIRECTS"/>
      <sheetName val="Base_BM-rebar4"/>
      <sheetName val="Raw_Data4"/>
      <sheetName val="Fit_Out_B2a3"/>
      <sheetName val="FOL_-_Bar3"/>
      <sheetName val="Co_Eff3"/>
      <sheetName val="Day_work3"/>
      <sheetName val="Payments_and_Cash_Calls3"/>
      <sheetName val="item_#13__Structur2"/>
      <sheetName val="Item_#_20_Structure2"/>
      <sheetName val="MASTER_RATE_ANALYSIS2"/>
      <sheetName val="Gravel_in_pond2"/>
      <sheetName val="AOP_Summary-22"/>
      <sheetName val="Chiet_tinh_dz222"/>
      <sheetName val="입찰내역_발주처_양식2"/>
      <sheetName val="Eq__Mobilization2"/>
      <sheetName val="(Not_to_print)1"/>
      <sheetName val="Summary_1"/>
      <sheetName val="BOQ-FD_PA1"/>
      <sheetName val="Price_List_FD_PA1"/>
      <sheetName val="SPT_vs_PHI2"/>
      <sheetName val="1_11_b1"/>
      <sheetName val="Basic_Material_Costs1"/>
      <sheetName val="MS08-01_S"/>
      <sheetName val="MS08-01_P"/>
      <sheetName val="Cashflow_Analysis"/>
      <sheetName val="upa_of_boq"/>
      <sheetName val="Summary_Foreign_Comp"/>
      <sheetName val="grand_summary"/>
      <sheetName val="_GULF"/>
      <sheetName val="Doha_Farm"/>
      <sheetName val="15_문제점"/>
      <sheetName val="Ra__stair"/>
      <sheetName val="Master_Data_Sheet"/>
      <sheetName val="PRICE_INFO"/>
      <sheetName val="RC_SUMMARY"/>
      <sheetName val="LABOUR_PRODUCTIVITY-TAV"/>
      <sheetName val="MATERIAL_PRICES"/>
      <sheetName val="CONCRETE_ANALYSIS"/>
      <sheetName val="Certificate_"/>
      <sheetName val="Valn_Cover"/>
      <sheetName val="Contract_Part"/>
      <sheetName val="_N_Finansal_Eğri"/>
      <sheetName val="HKED_KEŞFİ_İmalat"/>
      <sheetName val="YEŞİL_DEFTER-İmalat"/>
      <sheetName val="SERVICES_I"/>
      <sheetName val="34__BLOK_EK_ISLER-NO1_HAKEDIS"/>
      <sheetName val="imput_costi_par_"/>
      <sheetName val="Form_6"/>
      <sheetName val="APP__B"/>
      <sheetName val="App__A(contd)"/>
      <sheetName val="15_131"/>
      <sheetName val="????_???_??"/>
      <sheetName val="Bill_No__3"/>
      <sheetName val="____ ___ __"/>
      <sheetName val="KL thanh toan-Xuan Dao"/>
      <sheetName val="Tongke"/>
      <sheetName val="KINH PHI TONG HOP"/>
      <sheetName val="TEN HANG MUC "/>
      <sheetName val="B9_MEP"/>
      <sheetName val="Selection"/>
      <sheetName val="THONG SO KICH THUOC"/>
      <sheetName val="TVCV"/>
      <sheetName val="M_Budget3"/>
      <sheetName val="Material_of_Quantities3"/>
      <sheetName val="unit_price_list3"/>
      <sheetName val="Project_Data3"/>
      <sheetName val="Ｎｏ_133"/>
      <sheetName val="아파트_3"/>
      <sheetName val="Compar_28_12_172"/>
      <sheetName val="Labor_(HA)1"/>
      <sheetName val="Equiment_(HA)1"/>
      <sheetName val="RAB_AR&amp;STR1"/>
      <sheetName val="A2_(4)1"/>
      <sheetName val="MTO_REV_2_ARMOR_1"/>
      <sheetName val="BLR_13"/>
      <sheetName val="Utility_and_Fire_flange3"/>
      <sheetName val="해외_연수비용_계산-삭제3"/>
      <sheetName val="해외_기술훈련비_(합계)3"/>
      <sheetName val="as_boq_list_up1"/>
      <sheetName val="Gia_vat_tu1"/>
      <sheetName val="B3A_-_TOWER_A1"/>
      <sheetName val="Electrical_Works1"/>
      <sheetName val="H_T__INCOMING_SYSTEM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L_011"/>
      <sheetName val="MAIN_GATE_HOUSE1"/>
      <sheetName val="Chiet_tinh_dz351"/>
      <sheetName val="설산1_나1"/>
      <sheetName val="Cost_Sheet1"/>
      <sheetName val="fire_detection_offer1"/>
      <sheetName val="fire_detection_cost1"/>
      <sheetName val="Price_Lis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Dwg__Transmittal1"/>
      <sheetName val="Currency_Rate1"/>
      <sheetName val="Điện_Nhẹ1"/>
      <sheetName val="6__Chieu_sang_&amp;_cap_nguon1"/>
      <sheetName val="8__Thiet_bi_dien_nhe1"/>
      <sheetName val="10__Bao_chay,_ex,_sc1"/>
      <sheetName val="11__Chua_chay1"/>
      <sheetName val="13__Thong_gio1"/>
      <sheetName val="14__Cap_thoat_nuoc1"/>
      <sheetName val="GZ_TG1"/>
      <sheetName val="GZ_TP1"/>
      <sheetName val="GZ_VT1"/>
      <sheetName val="Retrofit_contract"/>
      <sheetName val="ML-부품4동_정산내역"/>
      <sheetName val="ML-CUB2_정산내역"/>
      <sheetName val="Retrofit_정산"/>
      <sheetName val="6PILE__(돌출)1"/>
      <sheetName val="Gia_VLNCMTC1"/>
      <sheetName val="HD_HS_NGHIỆM_THU"/>
      <sheetName val="1__LỊCH_NTHN"/>
      <sheetName val="LIST_BT_lót"/>
      <sheetName val="LIST_BT"/>
      <sheetName val="3_PHÊ_DUYÊT_THAU_PHỤ"/>
      <sheetName val="4_PHÊ_DUYÊT_VẬT_LIỆU"/>
      <sheetName val="5__LAY_MAU_VL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47__BBNT_PHÁ_DỠ"/>
      <sheetName val="18__BBNT_CKBT"/>
      <sheetName val="16_Theo_doi_do_BT"/>
      <sheetName val="17__BBLM_BT_"/>
      <sheetName val="29__BBNT_KHOAN_CẤY_THÉP"/>
      <sheetName val="20__BBNT_CT_XÂY"/>
      <sheetName val="21__BBNT_CT_TRÁT"/>
      <sheetName val="22_BBNT_BPCT"/>
      <sheetName val="23_BBNT_HT_BG"/>
      <sheetName val="2__YCNT_LIST_4"/>
      <sheetName val="4__BBNT_ÉP_CỌC_TRE"/>
      <sheetName val="5__BBNT_GIA_CỐ,SAN_LẤP"/>
      <sheetName val="6__BBNT_ĐỔ_BT_LÓT"/>
      <sheetName val="10__BBNT_CT_XÂY"/>
      <sheetName val="11__BBNT_CT_TRÁT"/>
      <sheetName val="INDIRECT_COST"/>
      <sheetName val="HRG_BHN"/>
      <sheetName val="Đức_Huệ_-_GV_gốc"/>
      <sheetName val="1__ABPLAZA_COST"/>
      <sheetName val="2__ABPLAZA_INVENTORY"/>
      <sheetName val="3__ICID_CASHFLOW"/>
      <sheetName val="nha_bao_ve1"/>
      <sheetName val="1_Quotation(見積決裁書）_"/>
      <sheetName val="3_Summary_of_Cost_"/>
      <sheetName val="4_Ｓｐｅｃｉａｌ_Material"/>
      <sheetName val="6_Ｃｏｍｍｏｎ_Material"/>
      <sheetName val="9_Indirect_budget"/>
      <sheetName val="IGETA_Elec_BOQ"/>
      <sheetName val="Maker_List"/>
      <sheetName val="Request_Builder"/>
      <sheetName val="INFO_"/>
      <sheetName val="Div26_-_Elect"/>
      <sheetName val="1_1_BOQ_"/>
      <sheetName val="Móng,_nền_"/>
      <sheetName val="pp3p_"/>
      <sheetName val="TONGKE3p_"/>
      <sheetName val="Cash_Flow"/>
      <sheetName val="Building_T1,2,3,4,5_(2)"/>
      <sheetName val="Bang_gia_NC_"/>
      <sheetName val="MTO_REV_0"/>
      <sheetName val="1_Requisition(E)"/>
      <sheetName val="Nhan_cong"/>
      <sheetName val="PHU_LUC2"/>
      <sheetName val="ESTI_"/>
      <sheetName val="2_1_受電設備棟"/>
      <sheetName val="2_2_受・防火水槽"/>
      <sheetName val="2_3_排水処理設備棟"/>
      <sheetName val="2_4_倉庫棟"/>
      <sheetName val="2_5_守衛棟"/>
      <sheetName val="總表"/>
      <sheetName val="Total for Check"/>
      <sheetName val="MTO REV.2(ARMOR)"/>
      <sheetName val="BUTCE KURLARI"/>
      <sheetName val="GBA"/>
      <sheetName val="Finansal tamamlanma Eğrisi"/>
      <sheetName val="BUS BAR"/>
      <sheetName val="Sayfa2"/>
      <sheetName val="2-Sunum"/>
      <sheetName val="Sign (2)"/>
      <sheetName val="pencere merkezi ys ab"/>
      <sheetName val="kule pencere merk"/>
      <sheetName val="B09.1"/>
      <sheetName val="B03"/>
      <sheetName val="yeşil-01"/>
      <sheetName val="YEŞİL DEFTER (2)"/>
      <sheetName val="total"/>
      <sheetName val="bfk2000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Cost Codes "/>
      <sheetName val="Prodinox MA R1"/>
      <sheetName val="Prodinox ET R1"/>
      <sheetName val="Papirüs"/>
      <sheetName val="Satir Bazli Odeme Listesi"/>
      <sheetName val="KAPAK"/>
      <sheetName val="FATURA KEŞFİ"/>
      <sheetName val="nw4"/>
      <sheetName val="nw4 (2)"/>
      <sheetName val="TELBAĞ_KUR"/>
      <sheetName val="ISTDUV_KUR"/>
      <sheetName val="BRIM_ICMAL"/>
      <sheetName val="yoca_kur"/>
      <sheetName val="TESKAN_KUR"/>
      <sheetName val="ISITES_KUR"/>
      <sheetName val="YOLOT_KUR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STAFFSCHED "/>
      <sheetName val="S3 Architectural"/>
      <sheetName val="MAIN"/>
      <sheetName val="Competitors"/>
      <sheetName val="Table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MATERIA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PLT-SUM"/>
      <sheetName val="1_0_Section_1_Cover"/>
      <sheetName val="연돌일위집계"/>
      <sheetName val="PI"/>
      <sheetName val="PRECAST_lightconc-II"/>
      <sheetName val="PWA"/>
      <sheetName val="TH(A1+A2)"/>
      <sheetName val="TH(A3)"/>
      <sheetName val="TH(A4)"/>
      <sheetName val="pivot"/>
      <sheetName val="집계표"/>
      <sheetName val="개시대사 (2)"/>
      <sheetName val="石炭性状"/>
      <sheetName val="Hao hut, CK"/>
      <sheetName val="Đầu vào"/>
      <sheetName val="SL cước"/>
      <sheetName val="TABLE-A"/>
      <sheetName val="Tổng hợp"/>
      <sheetName val="DLC DIEN AP"/>
      <sheetName val="SL dau tien"/>
      <sheetName val="HSKVUC"/>
      <sheetName val="Raw_Data5"/>
      <sheetName val="Base_BM-rebar5"/>
      <sheetName val="FOL_-_Bar4"/>
      <sheetName val="Co_Eff4"/>
      <sheetName val="Fit_Out_B2a4"/>
      <sheetName val="Payments_and_Cash_Calls4"/>
      <sheetName val="Day_work4"/>
      <sheetName val="AOP_Summary-23"/>
      <sheetName val="Chiet_tinh_dz223"/>
      <sheetName val="입찰내역_발주처_양식3"/>
      <sheetName val="SPT_vs_PHI3"/>
      <sheetName val="Summary_2"/>
      <sheetName val="BOQ-FD_PA2"/>
      <sheetName val="Price_List_FD_PA2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TỔNG_HỢP_THÉP_BELHOMES1"/>
      <sheetName val="TỔNG_HỢP_1_CĂN_THEO_LOẠI_NHÀ1"/>
      <sheetName val="SH_CT_CỔ_CỘT1"/>
      <sheetName val="SH__ĐÀI_MÓNG1"/>
      <sheetName val="SH__CỘT_T11"/>
      <sheetName val="SH__CỘT_T21"/>
      <sheetName val="SH_CỘT_T31"/>
      <sheetName val="SH__GIẰNG_MÓNG1"/>
      <sheetName val="SH__DẦM_T21"/>
      <sheetName val="SH__DẦM_T31"/>
      <sheetName val="SH_DẦM_TM1"/>
      <sheetName val="SH__SÀN_T21"/>
      <sheetName val="SH__SÀN_T31"/>
      <sheetName val="SH__SÀN_TMÁI1"/>
      <sheetName val="SH_KHAC1"/>
      <sheetName val="SH__HANG_RAO1"/>
      <sheetName val="_T1_ĐÀI_MÓNG_AF1"/>
      <sheetName val="T1_CỔ_CỘT_AF1"/>
      <sheetName val="T1_CỘT_T1_AF1"/>
      <sheetName val="T1_CỘT_T2_AF1"/>
      <sheetName val="T1_CỘT_T3_AF1"/>
      <sheetName val="T1__DẦM_MÓNG_AF1"/>
      <sheetName val="T1_DẦM_T2_AF1"/>
      <sheetName val="T1_DẦM_T3_AF1"/>
      <sheetName val="T1_DẦM_TM_AF1"/>
      <sheetName val="T1_SAN_F2_AF1"/>
      <sheetName val="T1__SAN_F3_AF1"/>
      <sheetName val="T1_SAN_FR_AF1"/>
      <sheetName val="T1__KHAC_AF1"/>
      <sheetName val="T1__HANG_RAO_AF1"/>
      <sheetName val="_T1_ĐÀI_MÓNG_A'F'BE1"/>
      <sheetName val="T1_CỔ_CỘT_A'F'BE1"/>
      <sheetName val="T1_CỘT_T1_A'F'BE1"/>
      <sheetName val="T1_CỘT_T2_A'F'BE1"/>
      <sheetName val="T1_CỘT_T3_A'F'BE1"/>
      <sheetName val="T1__DẦM_MÓNG_A'F'BE1"/>
      <sheetName val="T1_DẦM_T2_A'F'BE1"/>
      <sheetName val="T1_DẦM_T3_A'F'BE1"/>
      <sheetName val="T1_DẦM_TM_A'F'BE1"/>
      <sheetName val="T1__SAN_F1_A'F'BE1"/>
      <sheetName val="T1_SAN_F2_A'F'BE1"/>
      <sheetName val="T1__SAN_F3_A'F'BE1"/>
      <sheetName val="T1_SAN_FR_A'F'BE1"/>
      <sheetName val="T1_KHAC_A'F'BE1"/>
      <sheetName val="T1_HANG_RAO_A'F'BE1"/>
      <sheetName val="_T1_ĐÀI_CD1"/>
      <sheetName val="T1_CỔ_CỘT_CD1"/>
      <sheetName val="T1_CỘT_T1_CD1"/>
      <sheetName val="T1_CỘT_T2_CD1"/>
      <sheetName val="T1_CỘT_T3_CD1"/>
      <sheetName val="T1__DẦM_MÓNG_CD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Noname_110"/>
      <sheetName val="Noname_21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1_11_b2"/>
      <sheetName val="Basic_Material_Costs2"/>
      <sheetName val="_N_Finansal_Eğri1"/>
      <sheetName val="HKED_KEŞFİ_İmalat1"/>
      <sheetName val="YEŞİL_DEFTER-İmalat1"/>
      <sheetName val="34__BLOK_EK_ISLER-NO1_HAKEDIS1"/>
      <sheetName val="SERVICES_I1"/>
      <sheetName val="item_#13__Structur3"/>
      <sheetName val="Item_#_20_Structure3"/>
      <sheetName val="imput_costi_par_1"/>
      <sheetName val="A1_CN"/>
      <sheetName val="Pasir_Panjang_100J"/>
      <sheetName val="C5_M-Cover"/>
      <sheetName val="RC_Pipe"/>
      <sheetName val="Eq__Mobilization3"/>
      <sheetName val="MASTER_RATE_ANALYSIS3"/>
      <sheetName val="Gravel_in_pond3"/>
      <sheetName val="(Not_to_print)2"/>
      <sheetName val="MS08-01_S1"/>
      <sheetName val="MS08-01_P1"/>
      <sheetName val="Cashflow_Analysis1"/>
      <sheetName val="Rate_Analysis1"/>
      <sheetName val="Form_61"/>
      <sheetName val="Sheet_3"/>
      <sheetName val="SL_NHAP"/>
      <sheetName val="Electrical_Breakdown"/>
      <sheetName val="Step1_1st"/>
      <sheetName val="PRICE_INFO1"/>
      <sheetName val="RC_SUMMARY1"/>
      <sheetName val="LABOUR_PRODUCTIVITY-TAV1"/>
      <sheetName val="MATERIAL_PRICES1"/>
      <sheetName val="CONCRETE_ANALYSIS1"/>
      <sheetName val="Certificate_1"/>
      <sheetName val="Valn_Cover1"/>
      <sheetName val="Contract_Part1"/>
      <sheetName val="Ra__stair1"/>
      <sheetName val="upa_of_boq1"/>
      <sheetName val="Summary_Foreign_Comp1"/>
      <sheetName val="grand_summary1"/>
      <sheetName val="_GULF1"/>
      <sheetName val="Doha_Farm1"/>
      <sheetName val="15_문제점1"/>
      <sheetName val="Master_Data_Sheet1"/>
      <sheetName val="APP__B1"/>
      <sheetName val="App__A(contd)1"/>
      <sheetName val="15_132"/>
      <sheetName val="SW_(2)"/>
      <sheetName val="Filter_Block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E_H_-_H__W_P_"/>
      <sheetName val="E__H__Treatment_for_pile_cap"/>
      <sheetName val="BT3-Package_05"/>
      <sheetName val="????_???_??1"/>
      <sheetName val="Bill_No__31"/>
      <sheetName val="New_Rates1"/>
      <sheetName val="HAKEDİŞ_"/>
      <sheetName val="keşif_özeti"/>
      <sheetName val="intr_stool_brkup"/>
      <sheetName val="Bill_10"/>
      <sheetName val="Basement_Budget"/>
      <sheetName val="Area_Analysis1"/>
      <sheetName val="DETAILED__BOQ1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BILL_1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Tong_du_toan"/>
      <sheetName val="Data_Sheet1"/>
      <sheetName val="B_1001"/>
      <sheetName val="2_05_Sprinkler1"/>
      <sheetName val="2_01_Electrical_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8_1-8_21"/>
      <sheetName val="8_3-8_41"/>
      <sheetName val="INPUT_-_Revenue_&amp;_CGS1"/>
      <sheetName val="Category_Lookup_Table1"/>
      <sheetName val="Part_A1"/>
      <sheetName val="Staff_Acco_"/>
      <sheetName val="Summary_Transformers"/>
      <sheetName val="PROJECT_BRIEF_EX_NEW_"/>
      <sheetName val="D__Mechanical"/>
      <sheetName val="---_Liste_---"/>
      <sheetName val="D_&amp;_W_sizes"/>
      <sheetName val="63_Tỉnh"/>
      <sheetName val="Mã_BDS"/>
      <sheetName val="Company_code"/>
      <sheetName val="LIST_DATA"/>
      <sheetName val="M_Budget4"/>
      <sheetName val="Material_of_Quantities4"/>
      <sheetName val="unit_price_list4"/>
      <sheetName val="Project_Data4"/>
      <sheetName val="아파트_4"/>
      <sheetName val="Ｎｏ_134"/>
      <sheetName val="Raw_Data6"/>
      <sheetName val="Base_BM-rebar6"/>
      <sheetName val="FOL_-_Bar5"/>
      <sheetName val="Co_Eff5"/>
      <sheetName val="Fit_Out_B2a5"/>
      <sheetName val="Payments_and_Cash_Calls5"/>
      <sheetName val="Day_work5"/>
      <sheetName val="Compar_28_12_173"/>
      <sheetName val="A2_(4)2"/>
      <sheetName val="Labor_(HA)2"/>
      <sheetName val="Equiment_(HA)2"/>
      <sheetName val="AOP_Summary-24"/>
      <sheetName val="Chiet_tinh_dz224"/>
      <sheetName val="입찰내역_발주처_양식4"/>
      <sheetName val="RAB_AR&amp;STR2"/>
      <sheetName val="MTO_REV_2_ARMOR_2"/>
      <sheetName val="B3A_-_TOWER_A2"/>
      <sheetName val="Electrical_Works2"/>
      <sheetName val="H_T__INCOMING_SYSTEM2"/>
      <sheetName val="Gia_vat_tu2"/>
      <sheetName val="SPT_vs_PHI4"/>
      <sheetName val="PL_012"/>
      <sheetName val="BLR_14"/>
      <sheetName val="Utility_and_Fire_flange4"/>
      <sheetName val="해외_연수비용_계산-삭제4"/>
      <sheetName val="해외_기술훈련비_(합계)4"/>
      <sheetName val="as_boq_list_up2"/>
      <sheetName val="Summary_3"/>
      <sheetName val="BOQ-FD_PA3"/>
      <sheetName val="Price_List_FD_PA3"/>
      <sheetName val="Cost_Sheet2"/>
      <sheetName val="fire_detection_offer2"/>
      <sheetName val="fire_detection_cost2"/>
      <sheetName val="Price_List2"/>
      <sheetName val="Currency_Rate2"/>
      <sheetName val="MAIN_GATE_HOUSE2"/>
      <sheetName val="Dwg__Transmitta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Điện_Nhẹ2"/>
      <sheetName val="6__Chieu_sang_&amp;_cap_nguon2"/>
      <sheetName val="8__Thiet_bi_dien_nhe2"/>
      <sheetName val="10__Bao_chay,_ex,_sc2"/>
      <sheetName val="11__Chua_chay2"/>
      <sheetName val="13__Thong_gio2"/>
      <sheetName val="14__Cap_thoat_nuoc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TỔNG_HỢP_THÉP_BELHOMES2"/>
      <sheetName val="TỔNG_HỢP_1_CĂN_THEO_LOẠI_NHÀ2"/>
      <sheetName val="SH_CT_CỔ_CỘT2"/>
      <sheetName val="SH__ĐÀI_MÓNG2"/>
      <sheetName val="SH__CỘT_T12"/>
      <sheetName val="SH__CỘT_T22"/>
      <sheetName val="SH_CỘT_T32"/>
      <sheetName val="SH__GIẰNG_MÓNG2"/>
      <sheetName val="SH__DẦM_T22"/>
      <sheetName val="SH__DẦM_T32"/>
      <sheetName val="SH_DẦM_TM2"/>
      <sheetName val="SH__SÀN_T22"/>
      <sheetName val="SH__SÀN_T32"/>
      <sheetName val="SH__SÀN_TMÁI2"/>
      <sheetName val="SH_KHAC2"/>
      <sheetName val="SH__HANG_RAO2"/>
      <sheetName val="_T1_ĐÀI_MÓNG_AF2"/>
      <sheetName val="T1_CỔ_CỘT_AF2"/>
      <sheetName val="T1_CỘT_T1_AF2"/>
      <sheetName val="T1_CỘT_T2_AF2"/>
      <sheetName val="T1_CỘT_T3_AF2"/>
      <sheetName val="T1__DẦM_MÓNG_AF2"/>
      <sheetName val="T1_DẦM_T2_AF2"/>
      <sheetName val="T1_DẦM_T3_AF2"/>
      <sheetName val="T1_DẦM_TM_AF2"/>
      <sheetName val="T1_SAN_F2_AF2"/>
      <sheetName val="T1__SAN_F3_AF2"/>
      <sheetName val="T1_SAN_FR_AF2"/>
      <sheetName val="T1__KHAC_AF2"/>
      <sheetName val="T1__HANG_RAO_AF2"/>
      <sheetName val="_T1_ĐÀI_MÓNG_A'F'BE2"/>
      <sheetName val="T1_CỔ_CỘT_A'F'BE2"/>
      <sheetName val="T1_CỘT_T1_A'F'BE2"/>
      <sheetName val="T1_CỘT_T2_A'F'BE2"/>
      <sheetName val="T1_CỘT_T3_A'F'BE2"/>
      <sheetName val="T1__DẦM_MÓNG_A'F'BE2"/>
      <sheetName val="T1_DẦM_T2_A'F'BE2"/>
      <sheetName val="T1_DẦM_T3_A'F'BE2"/>
      <sheetName val="T1_DẦM_TM_A'F'BE2"/>
      <sheetName val="T1__SAN_F1_A'F'BE2"/>
      <sheetName val="T1_SAN_F2_A'F'BE2"/>
      <sheetName val="T1__SAN_F3_A'F'BE2"/>
      <sheetName val="T1_SAN_FR_A'F'BE2"/>
      <sheetName val="T1_KHAC_A'F'BE2"/>
      <sheetName val="T1_HANG_RAO_A'F'BE2"/>
      <sheetName val="_T1_ĐÀI_CD2"/>
      <sheetName val="T1_CỔ_CỘT_CD2"/>
      <sheetName val="T1_CỘT_T1_CD2"/>
      <sheetName val="T1_CỘT_T2_CD2"/>
      <sheetName val="T1_CỘT_T3_CD2"/>
      <sheetName val="T1__DẦM_MÓNG_CD2"/>
      <sheetName val="1_LIST_NTCV2"/>
      <sheetName val="2_BB_LÂY_MẪU2"/>
      <sheetName val="3__YCNT_CV2"/>
      <sheetName val="4__BBNT_VLĐV2"/>
      <sheetName val="Muc_luc2"/>
      <sheetName val="61__Lan_can_an_toàn_NB2"/>
      <sheetName val="62__Lan_can_an_toan2"/>
      <sheetName val="Nhat_ky_thi_cong_chong_tham2"/>
      <sheetName val="56_3_BBNTNB_MÓNG_CT2"/>
      <sheetName val="56_4_BBNT_MÓNG_CT2"/>
      <sheetName val="Noname_112"/>
      <sheetName val="Noname_22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HD_HS_NGHIỆM_THU1"/>
      <sheetName val="1__LỊCH_NTHN1"/>
      <sheetName val="LIST_BT_lót1"/>
      <sheetName val="LIST_BT1"/>
      <sheetName val="3_PHÊ_DUYÊT_THAU_PHỤ1"/>
      <sheetName val="4_PHÊ_DUYÊT_VẬT_LIỆU1"/>
      <sheetName val="5__LAY_MAU_VL1"/>
      <sheetName val="6__BBNT_VLĐV1"/>
      <sheetName val="7__BBNT_TRAC_DAC1"/>
      <sheetName val="1_LIST_NGHIỆM_THU1"/>
      <sheetName val="1_1_LIST_BT1"/>
      <sheetName val="2__YCNT_LIST_1"/>
      <sheetName val="3__BBNT_ĐÀO_ĐẤT1"/>
      <sheetName val="4__BBNT_ĐỔ_BT_LÓT1"/>
      <sheetName val="4_1__BBNT_CẮT_CỌC1"/>
      <sheetName val="4_2__BBNT_ĐỔ_BT_ĐẦU_CỌC1"/>
      <sheetName val="5__BBNT_ĐẮP_ĐÁT,CÁT,ĐÁ,BASE1"/>
      <sheetName val="6__BBNT_TRAI_PVC1"/>
      <sheetName val="7__BBNT_CỐT_THÉP1"/>
      <sheetName val="8__BBNT_VÁN_KHUÔN1"/>
      <sheetName val="9__BBNT_ĐỔ_BT1"/>
      <sheetName val="10__BBNT_KHOAN_CẤY_THÉP1"/>
      <sheetName val="11__BBNT_chống_thấm1"/>
      <sheetName val="12__BBNT_CKBT1"/>
      <sheetName val="13__BBNT_GIA_CÔNG_KCT1"/>
      <sheetName val="14__BBNT_SƠN_KCT1"/>
      <sheetName val="15__BBNT_LẮP_DỰNG_KCT1"/>
      <sheetName val="16__BBNT_CT_XÂY1"/>
      <sheetName val="17__BBNT_CT_TRÁT1"/>
      <sheetName val="18__BBNT_ĐMHT1"/>
      <sheetName val="11__BBNT_ÉP_CỌC_TRE(LIST_4)1"/>
      <sheetName val="12_Theo_doi_do_BT_LÓT1"/>
      <sheetName val="47__BBNT_PHÁ_DỠ1"/>
      <sheetName val="18__BBNT_CKBT1"/>
      <sheetName val="16_Theo_doi_do_BT1"/>
      <sheetName val="17__BBLM_BT_1"/>
      <sheetName val="29__BBNT_KHOAN_CẤY_THÉP1"/>
      <sheetName val="20__BBNT_CT_XÂY1"/>
      <sheetName val="21__BBNT_CT_TRÁT1"/>
      <sheetName val="22_BBNT_BPCT1"/>
      <sheetName val="23_BBNT_HT_BG1"/>
      <sheetName val="2__YCNT_LIST_41"/>
      <sheetName val="4__BBNT_ÉP_CỌC_TRE1"/>
      <sheetName val="5__BBNT_GIA_CỐ,SAN_LẤP1"/>
      <sheetName val="6__BBNT_ĐỔ_BT_LÓT1"/>
      <sheetName val="10__BBNT_CT_XÂY1"/>
      <sheetName val="11__BBNT_CT_TRÁT1"/>
      <sheetName val="Chiet_tinh_dz352"/>
      <sheetName val="설산1_나2"/>
      <sheetName val="1_Quotation(見積決裁書）_1"/>
      <sheetName val="3_Summary_of_Cost_1"/>
      <sheetName val="4_Ｓｐｅｃｉａｌ_Material1"/>
      <sheetName val="6_Ｃｏｍｍｏｎ_Material1"/>
      <sheetName val="9_Indirect_budget1"/>
      <sheetName val="IGETA_Elec_BOQ1"/>
      <sheetName val="Maker_List1"/>
      <sheetName val="Request_Builder1"/>
      <sheetName val="INFO_1"/>
      <sheetName val="GZ_TG2"/>
      <sheetName val="GZ_TP2"/>
      <sheetName val="GZ_VT2"/>
      <sheetName val="6PILE__(돌출)2"/>
      <sheetName val="Gia_VLNCMTC2"/>
      <sheetName val="nha_bao_ve2"/>
      <sheetName val="1_11_b3"/>
      <sheetName val="Basic_Material_Costs3"/>
      <sheetName val="_N_Finansal_Eğri2"/>
      <sheetName val="HKED_KEŞFİ_İmalat2"/>
      <sheetName val="YEŞİL_DEFTER-İmalat2"/>
      <sheetName val="INDIRECT_COST1"/>
      <sheetName val="34__BLOK_EK_ISLER-NO1_HAKEDIS2"/>
      <sheetName val="SERVICES_I2"/>
      <sheetName val="item_#13__Structur4"/>
      <sheetName val="Item_#_20_Structure4"/>
      <sheetName val="imput_costi_par_2"/>
      <sheetName val="HRG_BHN1"/>
      <sheetName val="Đức_Huệ_-_GV_gốc1"/>
      <sheetName val="1__ABPLAZA_COST1"/>
      <sheetName val="2__ABPLAZA_INVENTORY1"/>
      <sheetName val="3__ICID_CASHFLOW1"/>
      <sheetName val="Retrofit_contract1"/>
      <sheetName val="ML-부품4동_정산내역1"/>
      <sheetName val="ML-CUB2_정산내역1"/>
      <sheetName val="Retrofit_정산1"/>
      <sheetName val="Building_T1,2,3,4,5_(2)1"/>
      <sheetName val="Bang_gia_NC_1"/>
      <sheetName val="MTO_REV_01"/>
      <sheetName val="1_Requisition(E)1"/>
      <sheetName val="Nhan_cong1"/>
      <sheetName val="PHU_LUC21"/>
      <sheetName val="ESTI_1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1_1_BOQ_1"/>
      <sheetName val="Cash_Flow1"/>
      <sheetName val="A1_CN1"/>
      <sheetName val="Pasir_Panjang_100J1"/>
      <sheetName val="C5_M-Cover1"/>
      <sheetName val="RC_Pipe1"/>
      <sheetName val="Eq__Mobilization4"/>
      <sheetName val="MASTER_RATE_ANALYSIS4"/>
      <sheetName val="Gravel_in_pond4"/>
      <sheetName val="(Not_to_print)3"/>
      <sheetName val="MS08-01_S2"/>
      <sheetName val="MS08-01_P2"/>
      <sheetName val="Cashflow_Analysis2"/>
      <sheetName val="Rate_Analysis2"/>
      <sheetName val="Form_62"/>
      <sheetName val="Sheet_31"/>
      <sheetName val="Electrical_Breakdown1"/>
      <sheetName val="SL_NHAP1"/>
      <sheetName val="Step1_1st1"/>
      <sheetName val="PRECAST_lightconc-II1"/>
      <sheetName val="Móng,_nền_1"/>
      <sheetName val="pp3p_1"/>
      <sheetName val="TONGKE3p_1"/>
      <sheetName val="PRICE_INFO2"/>
      <sheetName val="RC_SUMMARY2"/>
      <sheetName val="LABOUR_PRODUCTIVITY-TAV2"/>
      <sheetName val="MATERIAL_PRICES2"/>
      <sheetName val="CONCRETE_ANALYSIS2"/>
      <sheetName val="Certificate_2"/>
      <sheetName val="Valn_Cover2"/>
      <sheetName val="Contract_Part2"/>
      <sheetName val="Ra__stair2"/>
      <sheetName val="upa_of_boq2"/>
      <sheetName val="Summary_Foreign_Comp2"/>
      <sheetName val="grand_summary2"/>
      <sheetName val="_GULF2"/>
      <sheetName val="Doha_Farm2"/>
      <sheetName val="15_문제점2"/>
      <sheetName val="Master_Data_Sheet2"/>
      <sheetName val="APP__B2"/>
      <sheetName val="App__A(contd)2"/>
      <sheetName val="15_133"/>
      <sheetName val="SW_(2)1"/>
      <sheetName val="Filter_Block1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E_H_-_H__W_P_1"/>
      <sheetName val="E__H__Treatment_for_pile_cap1"/>
      <sheetName val="BT3-Package_051"/>
      <sheetName val="????_???_??2"/>
      <sheetName val="Bill_No__32"/>
      <sheetName val="New_Rates2"/>
      <sheetName val="HAKEDİŞ_1"/>
      <sheetName val="keşif_özeti1"/>
      <sheetName val="intr_stool_brkup1"/>
      <sheetName val="Bill_101"/>
      <sheetName val="Basement_Budget1"/>
      <sheetName val="1_0_Section_1_Cover1"/>
      <sheetName val="Area_Analysis2"/>
      <sheetName val="DETAILED__BOQ2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BILL_11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Tong_du_toan1"/>
      <sheetName val="Data_Sheet2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8_1-8_22"/>
      <sheetName val="8_3-8_42"/>
      <sheetName val="INPUT_-_Revenue_&amp;_CGS2"/>
      <sheetName val="Category_Lookup_Table2"/>
      <sheetName val="Part_A2"/>
      <sheetName val="Staff_Acco_1"/>
      <sheetName val="Summary_Transformers1"/>
      <sheetName val="PROJECT_BRIEF_EX_NEW_1"/>
      <sheetName val="D__Mechanical1"/>
      <sheetName val="---_Liste_---1"/>
      <sheetName val="D_&amp;_W_sizes1"/>
      <sheetName val="63_Tỉnh1"/>
      <sheetName val="Mã_BDS1"/>
      <sheetName val="Company_code1"/>
      <sheetName val="LIST_DATA1"/>
      <sheetName val="MTP1"/>
      <sheetName val="금융비용"/>
      <sheetName val="Executive Summary"/>
      <sheetName val="수량산출"/>
      <sheetName val="BCulSch"/>
      <sheetName val="ctdg"/>
      <sheetName val="Cước VC + ĐM CP Tư vấn"/>
      <sheetName val="Hệ số"/>
      <sheetName val="BSPL"/>
      <sheetName val="품셈"/>
      <sheetName val="상반기손익차2총괄"/>
      <sheetName val="연습"/>
      <sheetName val="물량표"/>
      <sheetName val="IPC"/>
      <sheetName val="1_MV"/>
      <sheetName val="inox"/>
      <sheetName val="TinhGiaNC"/>
      <sheetName val="VCBo"/>
      <sheetName val="DMCP"/>
      <sheetName val="BocXep"/>
      <sheetName val="TinhGiaMTC"/>
      <sheetName val="TH N.Cong"/>
      <sheetName val="VCThuy"/>
      <sheetName val="DRAIN DRUM PIT D-301"/>
      <sheetName val="N賃率-職"/>
      <sheetName val="SPL4"/>
      <sheetName val="CPC"/>
      <sheetName val="INSTR"/>
      <sheetName val="단가산출1"/>
      <sheetName val="단가산출2"/>
      <sheetName val="PLUMBING WORK ADDITIONS"/>
      <sheetName val="B-3"/>
      <sheetName val=" Factor  "/>
      <sheetName val="Histry Price"/>
      <sheetName val="#3E1_GCR"/>
      <sheetName val="B-3.2 EB"/>
      <sheetName val="B-2"/>
      <sheetName val="SECTION 10-TSE"/>
      <sheetName val="Factor Sheet"/>
      <sheetName val="Price Sheet"/>
      <sheetName val="RESOURCES"/>
      <sheetName val="BASIC RATES"/>
      <sheetName val="Room Type"/>
      <sheetName val="Basement2 DB"/>
      <sheetName val="Ragama"/>
      <sheetName val="JOB COSTING SHEET HVAC"/>
      <sheetName val="BN 01"/>
      <sheetName val="Rate analysis 1"/>
      <sheetName val="TEST1"/>
      <sheetName val="TLDV"/>
      <sheetName val="HS"/>
      <sheetName val="SOR"/>
      <sheetName val="DATI_CONS"/>
      <sheetName val="钢筋"/>
      <sheetName val="C P A Blinding"/>
      <sheetName val="GRSummary"/>
      <sheetName val="3,000"/>
      <sheetName val="5,000"/>
      <sheetName val="6,000"/>
      <sheetName val="8,000"/>
      <sheetName val="9,000"/>
      <sheetName val="Base_BM-rebar7"/>
      <sheetName val="Raw_Data7"/>
      <sheetName val="Fit_Out_B2a6"/>
      <sheetName val="FOL_-_Bar6"/>
      <sheetName val="Co_Eff6"/>
      <sheetName val="Payments_and_Cash_Calls6"/>
      <sheetName val="Day_work6"/>
      <sheetName val="Chiet_tinh_dz225"/>
      <sheetName val="입찰내역_발주처_양식5"/>
      <sheetName val="item_#13__Structur5"/>
      <sheetName val="Item_#_20_Structure5"/>
      <sheetName val="(Not_to_print)4"/>
      <sheetName val="MASTER_RATE_ANALYSIS5"/>
      <sheetName val="Gravel_in_pond5"/>
      <sheetName val="Eq__Mobilization5"/>
      <sheetName val="AOP_Summary-25"/>
      <sheetName val="Summary_4"/>
      <sheetName val="BOQ-FD_PA4"/>
      <sheetName val="Price_List_FD_PA4"/>
      <sheetName val="SPT_vs_PHI5"/>
      <sheetName val="1_11_b4"/>
      <sheetName val="Basic_Material_Costs4"/>
      <sheetName val="MS08-01_S3"/>
      <sheetName val="MS08-01_P3"/>
      <sheetName val="Cashflow_Analysis3"/>
      <sheetName val="Rate_Analysis3"/>
      <sheetName val="Cost_Sheet3"/>
      <sheetName val="fire_detection_offer3"/>
      <sheetName val="fire_detection_cost3"/>
      <sheetName val="Price_List3"/>
      <sheetName val="upa_of_boq3"/>
      <sheetName val="Summary_Foreign_Comp3"/>
      <sheetName val="grand_summary3"/>
      <sheetName val="Doha_Farm3"/>
      <sheetName val="_GULF3"/>
      <sheetName val="Master_Data_Sheet3"/>
      <sheetName val="15_문제점3"/>
      <sheetName val="SERVICES_I3"/>
      <sheetName val="_N_Finansal_Eğri3"/>
      <sheetName val="HKED_KEŞFİ_İmalat3"/>
      <sheetName val="YEŞİL_DEFTER-İmalat3"/>
      <sheetName val="34__BLOK_EK_ISLER-NO1_HAKEDIS3"/>
      <sheetName val="imput_costi_par_3"/>
      <sheetName val="PRICE_INFO3"/>
      <sheetName val="RC_SUMMARY3"/>
      <sheetName val="LABOUR_PRODUCTIVITY-TAV3"/>
      <sheetName val="MATERIAL_PRICES3"/>
      <sheetName val="CONCRETE_ANALYSIS3"/>
      <sheetName val="Ra__stair3"/>
      <sheetName val="Filter_Block3"/>
      <sheetName val="BT3-Package_053"/>
      <sheetName val="Certificate_3"/>
      <sheetName val="Valn_Cover3"/>
      <sheetName val="Contract_Part3"/>
      <sheetName val="SW_(2)3"/>
      <sheetName val="Form_63"/>
      <sheetName val="APP__B3"/>
      <sheetName val="App__A(contd)3"/>
      <sheetName val="15_134"/>
      <sheetName val="BT3-Package_052"/>
      <sheetName val="SW_(2)2"/>
      <sheetName val="Filter_Block2"/>
      <sheetName val="Base_BM-rebar8"/>
      <sheetName val="Raw_Data8"/>
      <sheetName val="Fit_Out_B2a7"/>
      <sheetName val="FOL_-_Bar7"/>
      <sheetName val="Co_Eff7"/>
      <sheetName val="Payments_and_Cash_Calls7"/>
      <sheetName val="Day_work7"/>
      <sheetName val="Chiet_tinh_dz226"/>
      <sheetName val="입찰내역_발주처_양식6"/>
      <sheetName val="item_#13__Structur6"/>
      <sheetName val="Item_#_20_Structure6"/>
      <sheetName val="(Not_to_print)5"/>
      <sheetName val="MASTER_RATE_ANALYSIS6"/>
      <sheetName val="Gravel_in_pond6"/>
      <sheetName val="Eq__Mobilization6"/>
      <sheetName val="AOP_Summary-26"/>
      <sheetName val="Summary_5"/>
      <sheetName val="BOQ-FD_PA5"/>
      <sheetName val="Price_List_FD_PA5"/>
      <sheetName val="SPT_vs_PHI6"/>
      <sheetName val="1_11_b5"/>
      <sheetName val="Basic_Material_Costs5"/>
      <sheetName val="MS08-01_S4"/>
      <sheetName val="MS08-01_P4"/>
      <sheetName val="Cashflow_Analysis4"/>
      <sheetName val="Rate_Analysis4"/>
      <sheetName val="Cost_Sheet4"/>
      <sheetName val="fire_detection_offer4"/>
      <sheetName val="fire_detection_cost4"/>
      <sheetName val="Price_List4"/>
      <sheetName val="upa_of_boq4"/>
      <sheetName val="Summary_Foreign_Comp4"/>
      <sheetName val="grand_summary4"/>
      <sheetName val="Doha_Farm4"/>
      <sheetName val="_GULF4"/>
      <sheetName val="Master_Data_Sheet4"/>
      <sheetName val="15_문제점4"/>
      <sheetName val="SERVICES_I4"/>
      <sheetName val="_N_Finansal_Eğri4"/>
      <sheetName val="HKED_KEŞFİ_İmalat4"/>
      <sheetName val="YEŞİL_DEFTER-İmalat4"/>
      <sheetName val="34__BLOK_EK_ISLER-NO1_HAKEDIS4"/>
      <sheetName val="imput_costi_par_4"/>
      <sheetName val="PRICE_INFO4"/>
      <sheetName val="RC_SUMMARY4"/>
      <sheetName val="LABOUR_PRODUCTIVITY-TAV4"/>
      <sheetName val="MATERIAL_PRICES4"/>
      <sheetName val="CONCRETE_ANALYSIS4"/>
      <sheetName val="Ra__stair4"/>
      <sheetName val="Filter_Block4"/>
      <sheetName val="BT3-Package_054"/>
      <sheetName val="Certificate_4"/>
      <sheetName val="Valn_Cover4"/>
      <sheetName val="Contract_Part4"/>
      <sheetName val="Form_64"/>
      <sheetName val="APP__B4"/>
      <sheetName val="App__A(contd)4"/>
      <sheetName val="15_135"/>
      <sheetName val="SW_(2)4"/>
      <sheetName val="A4 Register"/>
      <sheetName val="GWC"/>
      <sheetName val="NWC"/>
      <sheetName val="SS MH"/>
      <sheetName val="MANP"/>
      <sheetName val="BILL-6"/>
      <sheetName val="Specs"/>
      <sheetName val="hvac"/>
      <sheetName val="Basis"/>
      <sheetName val="CBDG"/>
      <sheetName val="CREEL"/>
      <sheetName val="0RESULT"/>
      <sheetName val="EEV(Prilim)"/>
      <sheetName val="DETAIL"/>
      <sheetName val="PRODL297"/>
      <sheetName val="worksheet inchican"/>
      <sheetName val="combined 9-30"/>
      <sheetName val="Funding Drwdn"/>
      <sheetName val="01-RESOURCE LIST"/>
      <sheetName val="2"/>
      <sheetName val="Doha WBS Clean"/>
      <sheetName val="QualityDeliv."/>
      <sheetName val="G2- Ground works"/>
      <sheetName val="DHEQSUPT"/>
      <sheetName val="PLUMBING&amp;FF"/>
      <sheetName val="Bldg Wise Summaries 20-10-09"/>
      <sheetName val="Ingresos"/>
      <sheetName val="office"/>
      <sheetName val="Lab"/>
      <sheetName val="MOU"/>
      <sheetName val="Contra"/>
      <sheetName val="LetterofComf"/>
      <sheetName val="Forecast"/>
      <sheetName val="VO"/>
      <sheetName val="NegVO"/>
      <sheetName val="CrNotes"/>
      <sheetName val="AEAGraph"/>
      <sheetName val="Materials "/>
      <sheetName val="MAchinery(R1)"/>
      <sheetName val="일위대가"/>
      <sheetName val="1. Summary Sheet (R01_Oct.2019)"/>
      <sheetName val="FORM5"/>
      <sheetName val="macros"/>
      <sheetName val="PROJECT BRIEF(EX.NEW)"/>
      <sheetName val="2.0 Section 2 Cover"/>
      <sheetName val="NEW0121"/>
      <sheetName val="Control Sheet Header"/>
      <sheetName val="B0 Plant Stations - Manpower"/>
      <sheetName val="Lists"/>
      <sheetName val="BR1000x2800, Hs=1,5m"/>
      <sheetName val="BR1000x4200"/>
      <sheetName val="BR1000x5600"/>
      <sheetName val="PT(2)"/>
      <sheetName val="Unitmass"/>
      <sheetName val="Tonghop"/>
      <sheetName val="2.2 띠장의 설계"/>
      <sheetName val=" RFQ for BOP Bldgs(No.51,53,58)"/>
      <sheetName val="TNHCHINH"/>
      <sheetName val="VCV-BE-TONG"/>
      <sheetName val="PNTEXT"/>
      <sheetName val="Paramètres"/>
      <sheetName val="concrete"/>
      <sheetName val="INFOR-ST"/>
      <sheetName val="NNgung"/>
      <sheetName val="Elektrikal"/>
      <sheetName val="MATERIAL'S PRICE"/>
      <sheetName val="Setup"/>
      <sheetName val="___________"/>
      <sheetName val="器具数からの受水槽容量算出"/>
      <sheetName val="HE SO"/>
      <sheetName val="설비"/>
      <sheetName val="간접비내역-1"/>
      <sheetName val="Air Cooler-E"/>
      <sheetName val="간접인원 급료산출"/>
      <sheetName val="백분율"/>
      <sheetName val="TB-내역서"/>
      <sheetName val="01-RESOURCE_LIST"/>
      <sheetName val="cal"/>
      <sheetName val="PROJECT_BRIEF_EX_NEW_2"/>
      <sheetName val="9618UH"/>
      <sheetName val="New Issue Pipeline"/>
      <sheetName val="sc"/>
      <sheetName val="OnSchedule"/>
      <sheetName val="Budget"/>
      <sheetName val="Curve"/>
      <sheetName val="Main Log"/>
      <sheetName val="FAB별"/>
      <sheetName val="India F&amp;S Template"/>
      <sheetName val="HQ-TO"/>
      <sheetName val="200205C"/>
      <sheetName val="C_P_A_Blinding"/>
      <sheetName val="BILL_12"/>
      <sheetName val="HAKEDİŞ_2"/>
      <sheetName val="keşif_özeti2"/>
      <sheetName val="Bill_102"/>
      <sheetName val="1_0_Section_1_Cover2"/>
      <sheetName val="Col-Schedule"/>
      <sheetName val="BORDGC"/>
      <sheetName val="Scatter"/>
      <sheetName val="Area_Analysis3"/>
      <sheetName val="DETAILED__BOQ3"/>
      <sheetName val="Category_Lookup_Table3"/>
      <sheetName val="01-RESOURCE_LIST1"/>
      <sheetName val="Materials_"/>
      <sheetName val="B_1003"/>
      <sheetName val="schedule_nos3"/>
      <sheetName val="3_13"/>
      <sheetName val="2_23"/>
      <sheetName val="3_43"/>
      <sheetName val="5_43"/>
      <sheetName val="8_13"/>
      <sheetName val="5_13"/>
      <sheetName val="6_33"/>
      <sheetName val="2_33"/>
      <sheetName val="3_63"/>
      <sheetName val="2_53"/>
      <sheetName val="8_33"/>
      <sheetName val="3_23"/>
      <sheetName val="2_43"/>
      <sheetName val="2_13"/>
      <sheetName val="5_73"/>
      <sheetName val="3_33"/>
      <sheetName val="3_53"/>
      <sheetName val="2_83"/>
      <sheetName val="2_63"/>
      <sheetName val="2_05_Sprinkler3"/>
      <sheetName val="2_01_Electrical_3"/>
      <sheetName val="8_1-8_23"/>
      <sheetName val="8_3-8_43"/>
      <sheetName val="Bldg_Wise_Summaries_20-10-09"/>
      <sheetName val="A4_Register"/>
      <sheetName val="Sign_(2)"/>
      <sheetName val="Funding_Drwdn"/>
      <sheetName val="PROJECT_BRIEF_EX_NEW_3"/>
      <sheetName val="INPUT_-_Revenue_&amp;_CGS3"/>
      <sheetName val="Part_A3"/>
      <sheetName val="PROJECT_BRIEF(EX_NEW)"/>
      <sheetName val="New_Issue_Pipeline"/>
      <sheetName val="1__Summary_Sheet_(R01_Oct_2019)"/>
      <sheetName val="2_0_Section_2_Cover"/>
      <sheetName val="Schedule of Material Submittals"/>
      <sheetName val="2.2 STAFF Scedule"/>
      <sheetName val="E_H_Blinding2"/>
      <sheetName val="E_H_Excavation2"/>
      <sheetName val="Pc_name2"/>
      <sheetName val="C_P_A_Blinding1"/>
      <sheetName val="BILL_13"/>
      <sheetName val="New_Rates3"/>
      <sheetName val="????_???_??3"/>
      <sheetName val="US_Ship_Repair_Industry_Growth2"/>
      <sheetName val="Market_Overview2"/>
      <sheetName val="US_Shipyard_Repair_Output2"/>
      <sheetName val="Summary_Financials2"/>
      <sheetName val="HAKEDİŞ_3"/>
      <sheetName val="keşif_özeti3"/>
      <sheetName val="Bill_103"/>
      <sheetName val="1_0_Section_1_Cover3"/>
      <sheetName val="Bill_No__33"/>
      <sheetName val="E_H_-_H__W_P_2"/>
      <sheetName val="E__H__Treatment_for_pile_cap2"/>
      <sheetName val="E_H_Blinding3"/>
      <sheetName val="E_H_Excavation3"/>
      <sheetName val="Pc_name3"/>
      <sheetName val="C_P_A_Blinding2"/>
      <sheetName val="BILL_14"/>
      <sheetName val="New_Rates4"/>
      <sheetName val="Basement_Budget2"/>
      <sheetName val="????_???_??4"/>
      <sheetName val="US_Ship_Repair_Industry_Growth3"/>
      <sheetName val="Market_Overview3"/>
      <sheetName val="US_Shipyard_Repair_Output3"/>
      <sheetName val="Summary_Financials3"/>
      <sheetName val="HAKEDİŞ_4"/>
      <sheetName val="keşif_özeti4"/>
      <sheetName val="Bill_104"/>
      <sheetName val="Sec_1_BOQ2"/>
      <sheetName val="Sec_2_BOQ-MRO2"/>
      <sheetName val="Sec_3_BOQ-FBO2"/>
      <sheetName val="Sec_4_BOQ-CUP2"/>
      <sheetName val="Adsorption_-_MRO2"/>
      <sheetName val="Adsorption_-_CUP2"/>
      <sheetName val="Sec_5_BOQ-ASG2"/>
      <sheetName val="Sec_6_BOQ-SUBSTN2"/>
      <sheetName val="Sec_8_BOQ-dayworks2"/>
      <sheetName val="1_0_Section_1_Cover4"/>
      <sheetName val="Bill_No__34"/>
      <sheetName val="intr_stool_brkup2"/>
      <sheetName val="E_H_-_H__W_P_3"/>
      <sheetName val="E__H__Treatment_for_pile_cap3"/>
      <sheetName val="Sign_(2)1"/>
      <sheetName val="1__Summary_Sheet_(R01_Oct_20191"/>
      <sheetName val="Funding_Drwdn1"/>
      <sheetName val="slipsumpR"/>
      <sheetName val="Graph"/>
      <sheetName val="Area_Analysis4"/>
      <sheetName val="DETAILED__BOQ4"/>
      <sheetName val="PROJECT_BRIEF_EX_NEW_4"/>
      <sheetName val="B_1004"/>
      <sheetName val="schedule_nos4"/>
      <sheetName val="3_14"/>
      <sheetName val="2_24"/>
      <sheetName val="3_44"/>
      <sheetName val="5_44"/>
      <sheetName val="8_14"/>
      <sheetName val="5_14"/>
      <sheetName val="6_34"/>
      <sheetName val="2_34"/>
      <sheetName val="3_64"/>
      <sheetName val="2_54"/>
      <sheetName val="8_34"/>
      <sheetName val="3_24"/>
      <sheetName val="2_44"/>
      <sheetName val="2_14"/>
      <sheetName val="5_74"/>
      <sheetName val="3_34"/>
      <sheetName val="3_54"/>
      <sheetName val="2_84"/>
      <sheetName val="2_64"/>
      <sheetName val="8_1-8_24"/>
      <sheetName val="8_3-8_44"/>
      <sheetName val="2_05_Sprinkler4"/>
      <sheetName val="2_01_Electrical_4"/>
      <sheetName val="INPUT_-_Revenue_&amp;_CGS4"/>
      <sheetName val="Category_Lookup_Table4"/>
      <sheetName val="Part_A4"/>
      <sheetName val="PROJECT_BRIEF(EX_NEW)1"/>
      <sheetName val="Cable Codes"/>
      <sheetName val="5"/>
      <sheetName val="Bill Summary"/>
      <sheetName val="N FURNITURE EQUIPMENT "/>
      <sheetName val="R DISPOSAL SYSTEM"/>
      <sheetName val="SbStn-FLTANK"/>
      <sheetName val="S PIPED SUPPLY SYSTEM"/>
      <sheetName val="Extwrk-FoulWater"/>
      <sheetName val="Extwrk-Firefighting"/>
      <sheetName val="Tender Adjustment"/>
      <sheetName val="Extwrk-Irrigation"/>
      <sheetName val="Ancillary Bldgs."/>
      <sheetName val="11-Guardhouse(New)"/>
      <sheetName val="12-ETS Room(New)"/>
      <sheetName val="13-Driver-cleaner room(New)"/>
      <sheetName val="DB"/>
      <sheetName val="proj"/>
      <sheetName val="02. THONG_TIN_CHUNG"/>
      <sheetName val="07. DINH_MUC HBC"/>
      <sheetName val="DATATV"/>
      <sheetName val="공사비_내역_(가)"/>
      <sheetName val="M_Budget5"/>
      <sheetName val="Material_of_Quantities5"/>
      <sheetName val="unit_price_list5"/>
      <sheetName val="Project_Data5"/>
      <sheetName val="아파트_5"/>
      <sheetName val="Ｎｏ_135"/>
      <sheetName val="Labor_(HA)3"/>
      <sheetName val="Equiment_(HA)3"/>
      <sheetName val="Compar_28_12_174"/>
      <sheetName val="RAB_AR&amp;STR3"/>
      <sheetName val="A2_(4)3"/>
      <sheetName val="MTO_REV_2_ARMOR_3"/>
      <sheetName val="Retrofit_contract2"/>
      <sheetName val="ML-부품4동_정산내역2"/>
      <sheetName val="ML-CUB2_정산내역2"/>
      <sheetName val="Retrofit_정산2"/>
      <sheetName val="BLR_15"/>
      <sheetName val="Utility_and_Fire_flange5"/>
      <sheetName val="해외_연수비용_계산-삭제5"/>
      <sheetName val="해외_기술훈련비_(합계)5"/>
      <sheetName val="as_boq_list_up3"/>
      <sheetName val="Gia_vat_tu3"/>
      <sheetName val="B3A_-_TOWER_A3"/>
      <sheetName val="Electrical_Works3"/>
      <sheetName val="H_T__INCOMING_SYSTEM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PL_013"/>
      <sheetName val="MAIN_GATE_HOUSE3"/>
      <sheetName val="Chiet_tinh_dz353"/>
      <sheetName val="설산1_나3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Dwg__Transmittal3"/>
      <sheetName val="Currency_Rate3"/>
      <sheetName val="Điện_Nhẹ3"/>
      <sheetName val="6__Chieu_sang_&amp;_cap_nguon3"/>
      <sheetName val="8__Thiet_bi_dien_nhe3"/>
      <sheetName val="10__Bao_chay,_ex,_sc3"/>
      <sheetName val="11__Chua_chay3"/>
      <sheetName val="13__Thong_gio3"/>
      <sheetName val="14__Cap_thoat_nuoc3"/>
      <sheetName val="GZ_TG3"/>
      <sheetName val="GZ_TP3"/>
      <sheetName val="GZ_VT3"/>
      <sheetName val="HD_HS_NGHIỆM_THU2"/>
      <sheetName val="1__LỊCH_NTHN2"/>
      <sheetName val="LIST_BT_lót2"/>
      <sheetName val="LIST_BT2"/>
      <sheetName val="3_PHÊ_DUYÊT_THAU_PHỤ2"/>
      <sheetName val="4_PHÊ_DUYÊT_VẬT_LIỆU2"/>
      <sheetName val="5__LAY_MAU_VL2"/>
      <sheetName val="6__BBNT_VLĐV2"/>
      <sheetName val="7__BBNT_TRAC_DAC2"/>
      <sheetName val="1_LIST_NGHIỆM_THU2"/>
      <sheetName val="1_1_LIST_BT2"/>
      <sheetName val="2__YCNT_LIST_2"/>
      <sheetName val="3__BBNT_ĐÀO_ĐẤT2"/>
      <sheetName val="4__BBNT_ĐỔ_BT_LÓT2"/>
      <sheetName val="4_1__BBNT_CẮT_CỌC2"/>
      <sheetName val="4_2__BBNT_ĐỔ_BT_ĐẦU_CỌC2"/>
      <sheetName val="5__BBNT_ĐẮP_ĐÁT,CÁT,ĐÁ,BASE2"/>
      <sheetName val="6__BBNT_TRAI_PVC2"/>
      <sheetName val="7__BBNT_CỐT_THÉP2"/>
      <sheetName val="8__BBNT_VÁN_KHUÔN2"/>
      <sheetName val="9__BBNT_ĐỔ_BT2"/>
      <sheetName val="10__BBNT_KHOAN_CẤY_THÉP2"/>
      <sheetName val="11__BBNT_chống_thấm2"/>
      <sheetName val="12__BBNT_CKBT2"/>
      <sheetName val="13__BBNT_GIA_CÔNG_KCT2"/>
      <sheetName val="14__BBNT_SƠN_KCT2"/>
      <sheetName val="15__BBNT_LẮP_DỰNG_KCT2"/>
      <sheetName val="16__BBNT_CT_XÂY2"/>
      <sheetName val="17__BBNT_CT_TRÁT2"/>
      <sheetName val="18__BBNT_ĐMHT2"/>
      <sheetName val="11__BBNT_ÉP_CỌC_TRE(LIST_4)2"/>
      <sheetName val="12_Theo_doi_do_BT_LÓT2"/>
      <sheetName val="47__BBNT_PHÁ_DỠ2"/>
      <sheetName val="18__BBNT_CKBT2"/>
      <sheetName val="16_Theo_doi_do_BT2"/>
      <sheetName val="17__BBLM_BT_2"/>
      <sheetName val="29__BBNT_KHOAN_CẤY_THÉP2"/>
      <sheetName val="20__BBNT_CT_XÂY2"/>
      <sheetName val="21__BBNT_CT_TRÁT2"/>
      <sheetName val="22_BBNT_BPCT2"/>
      <sheetName val="23_BBNT_HT_BG2"/>
      <sheetName val="2__YCNT_LIST_42"/>
      <sheetName val="4__BBNT_ÉP_CỌC_TRE2"/>
      <sheetName val="5__BBNT_GIA_CỐ,SAN_LẤP2"/>
      <sheetName val="6__BBNT_ĐỔ_BT_LÓT2"/>
      <sheetName val="10__BBNT_CT_XÂY2"/>
      <sheetName val="11__BBNT_CT_TRÁT2"/>
      <sheetName val="nha_bao_ve3"/>
      <sheetName val="6PILE__(돌출)3"/>
      <sheetName val="Gia_VLNCMTC3"/>
      <sheetName val="INDIRECT_COST2"/>
      <sheetName val="HRG_BHN2"/>
      <sheetName val="1_Quotation(見積決裁書）_2"/>
      <sheetName val="3_Summary_of_Cost_2"/>
      <sheetName val="4_Ｓｐｅｃｉａｌ_Material2"/>
      <sheetName val="6_Ｃｏｍｍｏｎ_Material2"/>
      <sheetName val="9_Indirect_budget2"/>
      <sheetName val="IGETA_Elec_BOQ2"/>
      <sheetName val="Maker_List2"/>
      <sheetName val="Request_Builder2"/>
      <sheetName val="INFO_2"/>
      <sheetName val="Đức_Huệ_-_GV_gốc2"/>
      <sheetName val="1__ABPLAZA_COST2"/>
      <sheetName val="2__ABPLAZA_INVENTORY2"/>
      <sheetName val="3__ICID_CASHFLOW2"/>
      <sheetName val="Cash_Flow2"/>
      <sheetName val="Building_T1,2,3,4,5_(2)2"/>
      <sheetName val="Bang_gia_NC_2"/>
      <sheetName val="MTO_REV_02"/>
      <sheetName val="1_Requisition(E)2"/>
      <sheetName val="Div26_-_Elect2"/>
      <sheetName val="1_1_BOQ_2"/>
      <sheetName val="Móng,_nền_2"/>
      <sheetName val="pp3p_2"/>
      <sheetName val="TONGKE3p_2"/>
      <sheetName val="Nhan_cong2"/>
      <sheetName val="PHU_LUC22"/>
      <sheetName val="ESTI_2"/>
      <sheetName val="2_1_受電設備棟2"/>
      <sheetName val="2_2_受・防火水槽2"/>
      <sheetName val="2_3_排水処理設備棟2"/>
      <sheetName val="2_4_倉庫棟2"/>
      <sheetName val="2_5_守衛棟2"/>
      <sheetName val="공사비_내역_(가)1"/>
      <sheetName val="ocean voyage"/>
      <sheetName val="coverusrp"/>
      <sheetName val="escond"/>
      <sheetName val="수금기초"/>
      <sheetName val="Erection &quot; S&quot; - Curve"/>
      <sheetName val="PG TT"/>
      <sheetName val="KINH_PHI_TONG_HOP"/>
      <sheetName val="TEN_HANG_MUC_"/>
      <sheetName val="THONG_SO_KICH_THUOC"/>
      <sheetName val="Kế_hoạch_bổ_sung"/>
      <sheetName val="Tổng_hợp"/>
      <sheetName val="KL_thanh_toan-Xuan_Dao"/>
      <sheetName val="DLC_DIEN_AP"/>
      <sheetName val="SL_dau_tien"/>
      <sheetName val="MTO REV.0"/>
      <sheetName val="ABB_Trans"/>
      <sheetName val="Main Feeder"/>
      <sheetName val="Capacitor"/>
      <sheetName val="Input_Data-1"/>
      <sheetName val="PE Wire"/>
      <sheetName val="XLPE_Cable"/>
      <sheetName val="GAEYO"/>
      <sheetName val="dg tphcm"/>
      <sheetName val="Benchmark"/>
      <sheetName val="Unit"/>
      <sheetName val="SP10"/>
      <sheetName val="Unt rate"/>
      <sheetName val="Original"/>
      <sheetName val="Unit Rate(non print)"/>
      <sheetName val="침하계"/>
      <sheetName val="Vat tu XD"/>
      <sheetName val="EARTH WORKS"/>
      <sheetName val="총괄"/>
      <sheetName val="BQ"/>
      <sheetName val="chiettinh"/>
      <sheetName val="TONG HOP GIA"/>
      <sheetName val="Elemental Breakdown+20%"/>
      <sheetName val="Bacluong"/>
      <sheetName val="갑지(추정)"/>
      <sheetName val="날개벽수량표"/>
      <sheetName val="264"/>
      <sheetName val="SGC RATE"/>
      <sheetName val="Define finishing"/>
      <sheetName val="FORM_NO7(eng)"/>
      <sheetName val="PH 5"/>
      <sheetName val="CHITIET VL-NC-TT1p"/>
      <sheetName val="학생내역"/>
      <sheetName val="Daf 1"/>
      <sheetName val="TTTram"/>
      <sheetName val="gia vt,nc,may"/>
      <sheetName val="LKVL-CK-HT-GD1"/>
      <sheetName val="TONG HOP VL-NC"/>
      <sheetName val="TH VL, NC, DDHT Thanhphuoc"/>
      <sheetName val="ValueList_Helper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skejul"/>
      <sheetName val="Ammonia"/>
      <sheetName val="UOA"/>
      <sheetName val="ANX3A11"/>
      <sheetName val="수입"/>
      <sheetName val="NPC500"/>
      <sheetName val="personnelist"/>
      <sheetName val="ENG-101"/>
      <sheetName val="breakdown"/>
      <sheetName val="D-623D"/>
      <sheetName val="유림골조"/>
      <sheetName val="산근"/>
      <sheetName val="집계표(option)"/>
      <sheetName val="Consumables"/>
      <sheetName val="영업소실적"/>
      <sheetName val="TONGKE3p"/>
      <sheetName val="Doi so"/>
      <sheetName val="Shot"/>
      <sheetName val="정부노임단가"/>
      <sheetName val="PRO_A"/>
      <sheetName val="PRO"/>
      <sheetName val="참고"/>
      <sheetName val="12CGOU"/>
      <sheetName val="h.satuan"/>
      <sheetName val="M_Budget6"/>
      <sheetName val="Material_of_Quantities6"/>
      <sheetName val="unit_price_list6"/>
      <sheetName val="Project_Data6"/>
      <sheetName val="아파트_6"/>
      <sheetName val="Ｎｏ_136"/>
      <sheetName val="Compar_28_12_175"/>
      <sheetName val="Labor_(HA)4"/>
      <sheetName val="Equiment_(HA)4"/>
      <sheetName val="A2_(4)4"/>
      <sheetName val="RAB_AR&amp;STR4"/>
      <sheetName val="MTO_REV_2_ARMOR_4"/>
      <sheetName val="Gia_vat_tu4"/>
      <sheetName val="B3A_-_TOWER_A4"/>
      <sheetName val="Electrical_Works4"/>
      <sheetName val="H_T__INCOMING_SYSTEM4"/>
      <sheetName val="Dwg__Transmittal4"/>
      <sheetName val="PL_014"/>
      <sheetName val="Currency_Rate4"/>
      <sheetName val="MAIN_GATE_HOUSE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BLR_16"/>
      <sheetName val="Utility_and_Fire_flange6"/>
      <sheetName val="해외_연수비용_계산-삭제6"/>
      <sheetName val="해외_기술훈련비_(합계)6"/>
      <sheetName val="as_boq_list_up4"/>
      <sheetName val="BẢNG_TỔNG_HỢP4"/>
      <sheetName val="HÀNG_RÀO4"/>
      <sheetName val="NHÀ_XƯỞNG4"/>
      <sheetName val="NHÀ_VĂN_PHÒNG4"/>
      <sheetName val="NHÀ_BẾP4"/>
      <sheetName val="NHÀ_XE_Ô_TÔ4"/>
      <sheetName val="BỂ_NƯỚC_NGẦM4"/>
      <sheetName val="NHÀ_BẢO_VỆ4"/>
      <sheetName val="CỘT_CỜ4"/>
      <sheetName val="TRẠM_ĐIỆN4"/>
      <sheetName val="KHO_HOÁ_CHẤT4"/>
      <sheetName val="NHÀ_RÁC4"/>
      <sheetName val="KHU_HÚT_THUỐC4"/>
      <sheetName val="MÁI_NỐI_VP+_BẾP4"/>
      <sheetName val="BỂ_TỰ_HOẠI4"/>
      <sheetName val="THƯ_VIỆN_MẪU4"/>
      <sheetName val="TỔNG_HỢP_THÉP_BELHOMES4"/>
      <sheetName val="TỔNG_HỢP_1_CĂN_THEO_LOẠI_NHÀ4"/>
      <sheetName val="SH_CT_CỔ_CỘT4"/>
      <sheetName val="SH__ĐÀI_MÓNG4"/>
      <sheetName val="SH__CỘT_T14"/>
      <sheetName val="SH__CỘT_T24"/>
      <sheetName val="SH_CỘT_T34"/>
      <sheetName val="SH__GIẰNG_MÓNG4"/>
      <sheetName val="SH__DẦM_T24"/>
      <sheetName val="SH__DẦM_T34"/>
      <sheetName val="SH_DẦM_TM4"/>
      <sheetName val="SH__SÀN_T24"/>
      <sheetName val="SH__SÀN_T34"/>
      <sheetName val="SH__SÀN_TMÁI4"/>
      <sheetName val="SH_KHAC4"/>
      <sheetName val="SH__HANG_RAO4"/>
      <sheetName val="_T1_ĐÀI_MÓNG_AF4"/>
      <sheetName val="T1_CỔ_CỘT_AF4"/>
      <sheetName val="T1_CỘT_T1_AF4"/>
      <sheetName val="T1_CỘT_T2_AF4"/>
      <sheetName val="T1_CỘT_T3_AF4"/>
      <sheetName val="T1__DẦM_MÓNG_AF4"/>
      <sheetName val="T1_DẦM_T2_AF4"/>
      <sheetName val="T1_DẦM_T3_AF4"/>
      <sheetName val="T1_DẦM_TM_AF4"/>
      <sheetName val="T1_SAN_F2_AF4"/>
      <sheetName val="T1__SAN_F3_AF4"/>
      <sheetName val="T1_SAN_FR_AF4"/>
      <sheetName val="T1__KHAC_AF4"/>
      <sheetName val="T1__HANG_RAO_AF4"/>
      <sheetName val="_T1_ĐÀI_MÓNG_A'F'BE4"/>
      <sheetName val="T1_CỔ_CỘT_A'F'BE4"/>
      <sheetName val="T1_CỘT_T1_A'F'BE4"/>
      <sheetName val="T1_CỘT_T2_A'F'BE4"/>
      <sheetName val="T1_CỘT_T3_A'F'BE4"/>
      <sheetName val="T1__DẦM_MÓNG_A'F'BE4"/>
      <sheetName val="T1_DẦM_T2_A'F'BE4"/>
      <sheetName val="T1_DẦM_T3_A'F'BE4"/>
      <sheetName val="T1_DẦM_TM_A'F'BE4"/>
      <sheetName val="T1__SAN_F1_A'F'BE4"/>
      <sheetName val="T1_SAN_F2_A'F'BE4"/>
      <sheetName val="T1__SAN_F3_A'F'BE4"/>
      <sheetName val="T1_SAN_FR_A'F'BE4"/>
      <sheetName val="T1_KHAC_A'F'BE4"/>
      <sheetName val="T1_HANG_RAO_A'F'BE4"/>
      <sheetName val="_T1_ĐÀI_CD4"/>
      <sheetName val="T1_CỔ_CỘT_CD4"/>
      <sheetName val="T1_CỘT_T1_CD4"/>
      <sheetName val="T1_CỘT_T2_CD4"/>
      <sheetName val="T1_CỘT_T3_CD4"/>
      <sheetName val="T1__DẦM_MÓNG_CD4"/>
      <sheetName val="1_LIST_NTCV4"/>
      <sheetName val="2_BB_LÂY_MẪU4"/>
      <sheetName val="3__YCNT_CV4"/>
      <sheetName val="4__BBNT_VLĐV4"/>
      <sheetName val="Muc_luc4"/>
      <sheetName val="61__Lan_can_an_toàn_NB4"/>
      <sheetName val="62__Lan_can_an_toan4"/>
      <sheetName val="Nhat_ky_thi_cong_chong_tham4"/>
      <sheetName val="56_3_BBNTNB_MÓNG_CT4"/>
      <sheetName val="56_4_BBNT_MÓNG_CT4"/>
      <sheetName val="Điện_Nhẹ4"/>
      <sheetName val="6__Chieu_sang_&amp;_cap_nguon4"/>
      <sheetName val="8__Thiet_bi_dien_nhe4"/>
      <sheetName val="10__Bao_chay,_ex,_sc4"/>
      <sheetName val="11__Chua_chay4"/>
      <sheetName val="13__Thong_gio4"/>
      <sheetName val="14__Cap_thoat_nuoc4"/>
      <sheetName val="Chiet_tinh_dz354"/>
      <sheetName val="설산1_나4"/>
      <sheetName val="Dinh_muc_CP_KTCB_khac4"/>
      <sheetName val="TH_May_TC4"/>
      <sheetName val="KLDT_DIEN4"/>
      <sheetName val="PTVT_DIEN4"/>
      <sheetName val="TH_kinh_phi4"/>
      <sheetName val="Thong_ke_thiet_bi4"/>
      <sheetName val="TH_vat_tu4"/>
      <sheetName val="GZ_TG4"/>
      <sheetName val="GZ_TP4"/>
      <sheetName val="GZ_VT4"/>
      <sheetName val="Noname_116"/>
      <sheetName val="Noname_24"/>
      <sheetName val="Noname_34"/>
      <sheetName val="Noname_44"/>
      <sheetName val="Noname_54"/>
      <sheetName val="Noname_64"/>
      <sheetName val="Noname_74"/>
      <sheetName val="Noname_84"/>
      <sheetName val="Noname_94"/>
      <sheetName val="Noname_104"/>
      <sheetName val="Noname_117"/>
      <sheetName val="Noname_124"/>
      <sheetName val="Noname_134"/>
      <sheetName val="Noname_144"/>
      <sheetName val="Noname_154"/>
      <sheetName val="Noname_164"/>
      <sheetName val="Noname_174"/>
      <sheetName val="Noname_184"/>
      <sheetName val="Noname_194"/>
      <sheetName val="Noname_204"/>
      <sheetName val="HD_HS_NGHIỆM_THU3"/>
      <sheetName val="1__LỊCH_NTHN3"/>
      <sheetName val="LIST_BT_lót3"/>
      <sheetName val="LIST_BT3"/>
      <sheetName val="3_PHÊ_DUYÊT_THAU_PHỤ3"/>
      <sheetName val="4_PHÊ_DUYÊT_VẬT_LIỆU3"/>
      <sheetName val="5__LAY_MAU_VL3"/>
      <sheetName val="6__BBNT_VLĐV3"/>
      <sheetName val="7__BBNT_TRAC_DAC3"/>
      <sheetName val="1_LIST_NGHIỆM_THU3"/>
      <sheetName val="1_1_LIST_BT3"/>
      <sheetName val="2__YCNT_LIST_3"/>
      <sheetName val="3__BBNT_ĐÀO_ĐẤT3"/>
      <sheetName val="4__BBNT_ĐỔ_BT_LÓT3"/>
      <sheetName val="4_1__BBNT_CẮT_CỌC3"/>
      <sheetName val="4_2__BBNT_ĐỔ_BT_ĐẦU_CỌC3"/>
      <sheetName val="5__BBNT_ĐẮP_ĐÁT,CÁT,ĐÁ,BASE3"/>
      <sheetName val="6__BBNT_TRAI_PVC3"/>
      <sheetName val="7__BBNT_CỐT_THÉP3"/>
      <sheetName val="8__BBNT_VÁN_KHUÔN3"/>
      <sheetName val="9__BBNT_ĐỔ_BT3"/>
      <sheetName val="10__BBNT_KHOAN_CẤY_THÉP3"/>
      <sheetName val="11__BBNT_chống_thấm3"/>
      <sheetName val="12__BBNT_CKBT3"/>
      <sheetName val="13__BBNT_GIA_CÔNG_KCT3"/>
      <sheetName val="14__BBNT_SƠN_KCT3"/>
      <sheetName val="15__BBNT_LẮP_DỰNG_KCT3"/>
      <sheetName val="16__BBNT_CT_XÂY3"/>
      <sheetName val="17__BBNT_CT_TRÁT3"/>
      <sheetName val="18__BBNT_ĐMHT3"/>
      <sheetName val="11__BBNT_ÉP_CỌC_TRE(LIST_4)3"/>
      <sheetName val="12_Theo_doi_do_BT_LÓT3"/>
      <sheetName val="47__BBNT_PHÁ_DỠ3"/>
      <sheetName val="18__BBNT_CKBT3"/>
      <sheetName val="16_Theo_doi_do_BT3"/>
      <sheetName val="17__BBLM_BT_3"/>
      <sheetName val="29__BBNT_KHOAN_CẤY_THÉP3"/>
      <sheetName val="20__BBNT_CT_XÂY3"/>
      <sheetName val="21__BBNT_CT_TRÁT3"/>
      <sheetName val="22_BBNT_BPCT3"/>
      <sheetName val="23_BBNT_HT_BG3"/>
      <sheetName val="2__YCNT_LIST_43"/>
      <sheetName val="4__BBNT_ÉP_CỌC_TRE3"/>
      <sheetName val="5__BBNT_GIA_CỐ,SAN_LẤP3"/>
      <sheetName val="6__BBNT_ĐỔ_BT_LÓT3"/>
      <sheetName val="10__BBNT_CT_XÂY3"/>
      <sheetName val="11__BBNT_CT_TRÁT3"/>
      <sheetName val="INDIRECT_COST3"/>
      <sheetName val="HRG_BHN3"/>
      <sheetName val="6PILE__(돌출)4"/>
      <sheetName val="1_Quotation(見積決裁書）_3"/>
      <sheetName val="3_Summary_of_Cost_3"/>
      <sheetName val="4_Ｓｐｅｃｉａｌ_Material3"/>
      <sheetName val="6_Ｃｏｍｍｏｎ_Material3"/>
      <sheetName val="9_Indirect_budget3"/>
      <sheetName val="IGETA_Elec_BOQ3"/>
      <sheetName val="Maker_List3"/>
      <sheetName val="Request_Builder3"/>
      <sheetName val="INFO_3"/>
      <sheetName val="Gia_VLNCMTC4"/>
      <sheetName val="nha_bao_ve4"/>
      <sheetName val="Retrofit_contract3"/>
      <sheetName val="ML-부품4동_정산내역3"/>
      <sheetName val="ML-CUB2_정산내역3"/>
      <sheetName val="Retrofit_정산3"/>
      <sheetName val="Đức_Huệ_-_GV_gốc3"/>
      <sheetName val="1__ABPLAZA_COST3"/>
      <sheetName val="2__ABPLAZA_INVENTORY3"/>
      <sheetName val="3__ICID_CASHFLOW3"/>
      <sheetName val="Building_T1,2,3,4,5_(2)3"/>
      <sheetName val="Bang_gia_NC_3"/>
      <sheetName val="MTO_REV_03"/>
      <sheetName val="1_Requisition(E)3"/>
      <sheetName val="Nhan_cong3"/>
      <sheetName val="PHU_LUC23"/>
      <sheetName val="ESTI_3"/>
      <sheetName val="2_1_受電設備棟3"/>
      <sheetName val="2_2_受・防火水槽3"/>
      <sheetName val="2_3_排水処理設備棟3"/>
      <sheetName val="2_4_倉庫棟3"/>
      <sheetName val="2_5_守衛棟3"/>
      <sheetName val="Div26_-_Elect3"/>
      <sheetName val="1_1_BOQ_3"/>
      <sheetName val="Cash_Flow3"/>
      <sheetName val="Pasir_Panjang_100J3"/>
      <sheetName val="C5_M-Cover3"/>
      <sheetName val="A1_CN3"/>
      <sheetName val="Sheet_33"/>
      <sheetName val="SL_NHAP3"/>
      <sheetName val="RC_Pipe3"/>
      <sheetName val="PRECAST_lightconc-II3"/>
      <sheetName val="Electrical_Breakdown3"/>
      <sheetName val="BẢNG_TỔNG_HỢP3"/>
      <sheetName val="HÀNG_RÀO3"/>
      <sheetName val="NHÀ_XƯỞNG3"/>
      <sheetName val="NHÀ_VĂN_PHÒNG3"/>
      <sheetName val="NHÀ_BẾP3"/>
      <sheetName val="NHÀ_XE_Ô_TÔ3"/>
      <sheetName val="BỂ_NƯỚC_NGẦM3"/>
      <sheetName val="NHÀ_BẢO_VỆ3"/>
      <sheetName val="CỘT_CỜ3"/>
      <sheetName val="TRẠM_ĐIỆN3"/>
      <sheetName val="KHO_HOÁ_CHẤT3"/>
      <sheetName val="NHÀ_RÁC3"/>
      <sheetName val="KHU_HÚT_THUỐC3"/>
      <sheetName val="MÁI_NỐI_VP+_BẾP3"/>
      <sheetName val="BỂ_TỰ_HOẠI3"/>
      <sheetName val="THƯ_VIỆN_MẪU3"/>
      <sheetName val="TỔNG_HỢP_THÉP_BELHOMES3"/>
      <sheetName val="TỔNG_HỢP_1_CĂN_THEO_LOẠI_NHÀ3"/>
      <sheetName val="SH_CT_CỔ_CỘT3"/>
      <sheetName val="SH__ĐÀI_MÓNG3"/>
      <sheetName val="SH__CỘT_T13"/>
      <sheetName val="SH__CỘT_T23"/>
      <sheetName val="SH_CỘT_T33"/>
      <sheetName val="SH__GIẰNG_MÓNG3"/>
      <sheetName val="SH__DẦM_T23"/>
      <sheetName val="SH__DẦM_T33"/>
      <sheetName val="SH_DẦM_TM3"/>
      <sheetName val="SH__SÀN_T23"/>
      <sheetName val="SH__SÀN_T33"/>
      <sheetName val="SH__SÀN_TMÁI3"/>
      <sheetName val="SH_KHAC3"/>
      <sheetName val="SH__HANG_RAO3"/>
      <sheetName val="_T1_ĐÀI_MÓNG_AF3"/>
      <sheetName val="T1_CỔ_CỘT_AF3"/>
      <sheetName val="T1_CỘT_T1_AF3"/>
      <sheetName val="T1_CỘT_T2_AF3"/>
      <sheetName val="T1_CỘT_T3_AF3"/>
      <sheetName val="T1__DẦM_MÓNG_AF3"/>
      <sheetName val="T1_DẦM_T2_AF3"/>
      <sheetName val="T1_DẦM_T3_AF3"/>
      <sheetName val="T1_DẦM_TM_AF3"/>
      <sheetName val="T1_SAN_F2_AF3"/>
      <sheetName val="T1__SAN_F3_AF3"/>
      <sheetName val="T1_SAN_FR_AF3"/>
      <sheetName val="T1__KHAC_AF3"/>
      <sheetName val="T1__HANG_RAO_AF3"/>
      <sheetName val="_T1_ĐÀI_MÓNG_A'F'BE3"/>
      <sheetName val="T1_CỔ_CỘT_A'F'BE3"/>
      <sheetName val="T1_CỘT_T1_A'F'BE3"/>
      <sheetName val="T1_CỘT_T2_A'F'BE3"/>
      <sheetName val="T1_CỘT_T3_A'F'BE3"/>
      <sheetName val="T1__DẦM_MÓNG_A'F'BE3"/>
      <sheetName val="T1_DẦM_T2_A'F'BE3"/>
      <sheetName val="T1_DẦM_T3_A'F'BE3"/>
      <sheetName val="T1_DẦM_TM_A'F'BE3"/>
      <sheetName val="T1__SAN_F1_A'F'BE3"/>
      <sheetName val="T1_SAN_F2_A'F'BE3"/>
      <sheetName val="T1__SAN_F3_A'F'BE3"/>
      <sheetName val="T1_SAN_FR_A'F'BE3"/>
      <sheetName val="T1_KHAC_A'F'BE3"/>
      <sheetName val="T1_HANG_RAO_A'F'BE3"/>
      <sheetName val="_T1_ĐÀI_CD3"/>
      <sheetName val="T1_CỔ_CỘT_CD3"/>
      <sheetName val="T1_CỘT_T1_CD3"/>
      <sheetName val="T1_CỘT_T2_CD3"/>
      <sheetName val="T1_CỘT_T3_CD3"/>
      <sheetName val="T1__DẦM_MÓNG_CD3"/>
      <sheetName val="1_LIST_NTCV3"/>
      <sheetName val="2_BB_LÂY_MẪU3"/>
      <sheetName val="3__YCNT_CV3"/>
      <sheetName val="4__BBNT_VLĐV3"/>
      <sheetName val="Muc_luc3"/>
      <sheetName val="61__Lan_can_an_toàn_NB3"/>
      <sheetName val="62__Lan_can_an_toan3"/>
      <sheetName val="Nhat_ky_thi_cong_chong_tham3"/>
      <sheetName val="56_3_BBNTNB_MÓNG_CT3"/>
      <sheetName val="56_4_BBNT_MÓNG_CT3"/>
      <sheetName val="Noname_114"/>
      <sheetName val="Noname_23"/>
      <sheetName val="Noname_33"/>
      <sheetName val="Noname_43"/>
      <sheetName val="Noname_53"/>
      <sheetName val="Noname_63"/>
      <sheetName val="Noname_73"/>
      <sheetName val="Noname_83"/>
      <sheetName val="Noname_93"/>
      <sheetName val="Noname_103"/>
      <sheetName val="Noname_115"/>
      <sheetName val="Noname_123"/>
      <sheetName val="Noname_133"/>
      <sheetName val="Noname_143"/>
      <sheetName val="Noname_153"/>
      <sheetName val="Noname_163"/>
      <sheetName val="Noname_173"/>
      <sheetName val="Noname_183"/>
      <sheetName val="Noname_193"/>
      <sheetName val="Noname_203"/>
      <sheetName val="Pasir_Panjang_100J2"/>
      <sheetName val="C5_M-Cover2"/>
      <sheetName val="A1_CN2"/>
      <sheetName val="Sheet_32"/>
      <sheetName val="SL_NHAP2"/>
      <sheetName val="RC_Pipe2"/>
      <sheetName val="PRECAST_lightconc-II2"/>
      <sheetName val="Electrical_Breakdown2"/>
      <sheetName val="___________1"/>
      <sheetName val="___________2"/>
      <sheetName val="TSO_CHUNG"/>
      <sheetName val="単価表"/>
      <sheetName val="QSUMS Kết cấu"/>
      <sheetName val="DGG"/>
      <sheetName val="CTG"/>
      <sheetName val="INDEX"/>
      <sheetName val="PTDGT "/>
      <sheetName val="RATE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Rate Material"/>
      <sheetName val="Infrastructure"/>
      <sheetName val="Thép sàn(ok)"/>
      <sheetName val="Estimate"/>
      <sheetName val="기안"/>
      <sheetName val="Material HT"/>
      <sheetName val="Material KC"/>
      <sheetName val="Parem"/>
      <sheetName val="Data Base"/>
      <sheetName val="Cover (OLD)"/>
      <sheetName val="VLXD"/>
      <sheetName val="NVL"/>
      <sheetName val="TONG HOP"/>
      <sheetName val="Gia"/>
      <sheetName val="Sheet1 (2)"/>
      <sheetName val="PTDG"/>
      <sheetName val="Bill 5 - Carpark"/>
      <sheetName val="Step1_1st2"/>
      <sheetName val="Tong_du_toan2"/>
      <sheetName val="D__Mechanical2"/>
      <sheetName val="Data_Sheet3"/>
      <sheetName val="---_Liste_---2"/>
      <sheetName val="Staff_Acco_2"/>
      <sheetName val="Summary_Transformers2"/>
      <sheetName val="63_Tỉnh2"/>
      <sheetName val="Mã_BDS2"/>
      <sheetName val="Company_code2"/>
      <sheetName val="LIST_DATA2"/>
      <sheetName val="D_&amp;_W_sizes2"/>
      <sheetName val="Civil_Work_-_B_Wall2"/>
      <sheetName val="SHADES_&amp;_GATES2"/>
      <sheetName val="NOTES_(2)2"/>
      <sheetName val="LANDSCAPE_(2)2"/>
      <sheetName val="Civil_Work_-_B_Wall_(2)2"/>
      <sheetName val="LANDSCAPE_(Hard_&amp;_Soft)2"/>
      <sheetName val="Civil_Work_-_B_Wall_(3)2"/>
      <sheetName val="Total_for_Check"/>
      <sheetName val="MTO_REV_2(ARMOR)"/>
      <sheetName val="BUTCE_KURLARI"/>
      <sheetName val="Finansal_tamamlanma_Eğrisi"/>
      <sheetName val="BUS_BAR"/>
      <sheetName val="pencere_merkezi_ys_ab"/>
      <sheetName val="kule_pencere_merk"/>
      <sheetName val="B09_1"/>
      <sheetName val="YEŞİL_DEFTER_(2)"/>
      <sheetName val="Cost_Codes_"/>
      <sheetName val="Prodinox_MA_R1"/>
      <sheetName val="Prodinox_ET_R1"/>
      <sheetName val="Satir_Bazli_Odeme_Listesi"/>
      <sheetName val="FATURA_KEŞFİ"/>
      <sheetName val="nw4_(2)"/>
      <sheetName val="STAFFSCHED_"/>
      <sheetName val="S3_Architectural"/>
      <sheetName val="Boru_Çap_-_Fiyat"/>
      <sheetName val="V_O_"/>
      <sheetName val="yüro_-_eski"/>
      <sheetName val="Not_in_Budget(F)"/>
      <sheetName val="HD_Mat'ls(J)"/>
      <sheetName val="Disputed_Rates(L)"/>
      <sheetName val="Hao_hut,_CK"/>
      <sheetName val="Đầu_vào"/>
      <sheetName val="SL_cước"/>
      <sheetName val="개시대사_(2)"/>
      <sheetName val="Cước_VC_+_ĐM_CP_Tư_vấn"/>
      <sheetName val="Hệ_số"/>
      <sheetName val="Executive_Summary"/>
      <sheetName val="PLUMBING_WORK_ADDITIONS"/>
      <sheetName val="_Factor__"/>
      <sheetName val="Histry_Price"/>
      <sheetName val="B-3_2_EB"/>
      <sheetName val="SECTION_10-TSE"/>
      <sheetName val="Factor_Sheet"/>
      <sheetName val="Price_Sheet"/>
      <sheetName val="BASIC_RATES"/>
      <sheetName val="Room_Type"/>
      <sheetName val="Basement2_DB"/>
      <sheetName val="JOB_COSTING_SHEET_HVAC"/>
      <sheetName val="BN_01"/>
      <sheetName val="Rate_analysis_1"/>
      <sheetName val="BCDTK"/>
      <sheetName val="soktmay"/>
      <sheetName val="MTL(AG)"/>
      <sheetName val="Flight-1"/>
      <sheetName val="CIP TVN4"/>
      <sheetName val="Calcularion"/>
      <sheetName val="09. Fence"/>
      <sheetName val="13. Duong giao thong"/>
      <sheetName val="14. HT TNM"/>
      <sheetName val="15. HT TNT"/>
      <sheetName val="01b. Nha xuong - kien truc"/>
      <sheetName val="01c. Factory - KCT"/>
      <sheetName val="02. Pringting house (KC+KT)"/>
      <sheetName val="03. Warehouse"/>
      <sheetName val="05a. Guardhouse 1"/>
      <sheetName val="GZ.CT"/>
      <sheetName val="01a. Nha xuong - ket cau"/>
      <sheetName val="Buy vs. Lease Car"/>
      <sheetName val="Dinh Muc Vat Tu"/>
      <sheetName val="Steel pipe"/>
      <sheetName val="Data_HT"/>
      <sheetName val="C.1_GTTT CTN"/>
      <sheetName val="E.1_GTTT PCCC"/>
      <sheetName val="C.3_KL TT ĐM hệ CTN"/>
      <sheetName val="F.3_KL TT ĐM HMK"/>
      <sheetName val="E.3_KL TT ĐM hệ PCCC"/>
      <sheetName val="공사비SUM"/>
      <sheetName val="Arch"/>
      <sheetName val="0000"/>
      <sheetName val="sch"/>
      <sheetName val="D3完成品在庫F"/>
      <sheetName val="Eng"/>
      <sheetName val="Coax Designer"/>
      <sheetName val="주식"/>
      <sheetName val="DGNC"/>
      <sheetName val="Rebar_Ramp"/>
      <sheetName val="Neo"/>
      <sheetName val="D_MUC"/>
      <sheetName val="Giá hiện trường"/>
      <sheetName val="Đơn Giá TH"/>
      <sheetName val="Hao phí"/>
      <sheetName val="Phân tích"/>
      <sheetName val="C.P Thiết bị"/>
      <sheetName val="T.H Kinh phí"/>
      <sheetName val="Vật tư"/>
      <sheetName val="Trang bìa"/>
      <sheetName val="Dự toá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6">
          <cell r="G16">
            <v>0</v>
          </cell>
        </row>
      </sheetData>
      <sheetData sheetId="42">
        <row r="16">
          <cell r="G1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6">
          <cell r="G16">
            <v>132.10688000000002</v>
          </cell>
        </row>
      </sheetData>
      <sheetData sheetId="70">
        <row r="16">
          <cell r="G16">
            <v>132.10688000000002</v>
          </cell>
        </row>
      </sheetData>
      <sheetData sheetId="71">
        <row r="16">
          <cell r="G16">
            <v>132.10688000000002</v>
          </cell>
        </row>
      </sheetData>
      <sheetData sheetId="72">
        <row r="16">
          <cell r="G16">
            <v>132.10688000000002</v>
          </cell>
        </row>
      </sheetData>
      <sheetData sheetId="73">
        <row r="16">
          <cell r="G16">
            <v>132.10688000000002</v>
          </cell>
        </row>
      </sheetData>
      <sheetData sheetId="74">
        <row r="16">
          <cell r="G16">
            <v>132.10688000000002</v>
          </cell>
        </row>
      </sheetData>
      <sheetData sheetId="75">
        <row r="16">
          <cell r="G16">
            <v>132.10688000000002</v>
          </cell>
        </row>
      </sheetData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16">
          <cell r="G16">
            <v>0</v>
          </cell>
        </row>
      </sheetData>
      <sheetData sheetId="110">
        <row r="16">
          <cell r="G16">
            <v>132.10688000000002</v>
          </cell>
        </row>
      </sheetData>
      <sheetData sheetId="111">
        <row r="16">
          <cell r="G16">
            <v>132.10688000000002</v>
          </cell>
        </row>
      </sheetData>
      <sheetData sheetId="112">
        <row r="16">
          <cell r="G16">
            <v>132.10688000000002</v>
          </cell>
        </row>
      </sheetData>
      <sheetData sheetId="113">
        <row r="16">
          <cell r="G16">
            <v>132.10688000000002</v>
          </cell>
        </row>
      </sheetData>
      <sheetData sheetId="114">
        <row r="16">
          <cell r="G16">
            <v>132.10688000000002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/>
      <sheetData sheetId="138" refreshError="1"/>
      <sheetData sheetId="139" refreshError="1"/>
      <sheetData sheetId="140" refreshError="1"/>
      <sheetData sheetId="141">
        <row r="16">
          <cell r="G16">
            <v>132.10688000000002</v>
          </cell>
        </row>
      </sheetData>
      <sheetData sheetId="142">
        <row r="16">
          <cell r="G16">
            <v>132.10688000000002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6">
          <cell r="G16">
            <v>132.10688000000002</v>
          </cell>
        </row>
      </sheetData>
      <sheetData sheetId="149">
        <row r="16">
          <cell r="G16">
            <v>132.10688000000002</v>
          </cell>
        </row>
      </sheetData>
      <sheetData sheetId="150" refreshError="1"/>
      <sheetData sheetId="151">
        <row r="16">
          <cell r="G16">
            <v>132.10688000000002</v>
          </cell>
        </row>
      </sheetData>
      <sheetData sheetId="152">
        <row r="16">
          <cell r="G16">
            <v>132.10688000000002</v>
          </cell>
        </row>
      </sheetData>
      <sheetData sheetId="153">
        <row r="16">
          <cell r="G16">
            <v>0</v>
          </cell>
        </row>
      </sheetData>
      <sheetData sheetId="154">
        <row r="16">
          <cell r="G16">
            <v>132.10688000000002</v>
          </cell>
        </row>
      </sheetData>
      <sheetData sheetId="155">
        <row r="16">
          <cell r="G16">
            <v>0</v>
          </cell>
        </row>
      </sheetData>
      <sheetData sheetId="156">
        <row r="16">
          <cell r="G16">
            <v>0</v>
          </cell>
        </row>
      </sheetData>
      <sheetData sheetId="157">
        <row r="16">
          <cell r="G16">
            <v>132.10688000000002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6">
          <cell r="G16">
            <v>132.10688000000002</v>
          </cell>
        </row>
      </sheetData>
      <sheetData sheetId="240">
        <row r="16">
          <cell r="G16">
            <v>0</v>
          </cell>
        </row>
      </sheetData>
      <sheetData sheetId="241">
        <row r="16">
          <cell r="G16">
            <v>0</v>
          </cell>
        </row>
      </sheetData>
      <sheetData sheetId="242">
        <row r="16">
          <cell r="G16">
            <v>0</v>
          </cell>
        </row>
      </sheetData>
      <sheetData sheetId="243">
        <row r="16">
          <cell r="G16">
            <v>0</v>
          </cell>
        </row>
      </sheetData>
      <sheetData sheetId="244">
        <row r="16">
          <cell r="G16">
            <v>0</v>
          </cell>
        </row>
      </sheetData>
      <sheetData sheetId="245">
        <row r="16">
          <cell r="G16">
            <v>0</v>
          </cell>
        </row>
      </sheetData>
      <sheetData sheetId="246">
        <row r="16">
          <cell r="G16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6">
          <cell r="G16">
            <v>132.10688000000002</v>
          </cell>
        </row>
      </sheetData>
      <sheetData sheetId="256">
        <row r="16">
          <cell r="G16">
            <v>132.10688000000002</v>
          </cell>
        </row>
      </sheetData>
      <sheetData sheetId="257">
        <row r="16">
          <cell r="G16">
            <v>132.10688000000002</v>
          </cell>
        </row>
      </sheetData>
      <sheetData sheetId="258">
        <row r="16">
          <cell r="G16">
            <v>132.10688000000002</v>
          </cell>
        </row>
      </sheetData>
      <sheetData sheetId="259">
        <row r="16">
          <cell r="G16">
            <v>132.10688000000002</v>
          </cell>
        </row>
      </sheetData>
      <sheetData sheetId="260">
        <row r="16">
          <cell r="G16">
            <v>132.10688000000002</v>
          </cell>
        </row>
      </sheetData>
      <sheetData sheetId="261">
        <row r="16">
          <cell r="G16">
            <v>132.10688000000002</v>
          </cell>
        </row>
      </sheetData>
      <sheetData sheetId="262">
        <row r="16">
          <cell r="G16">
            <v>132.10688000000002</v>
          </cell>
        </row>
      </sheetData>
      <sheetData sheetId="263">
        <row r="16">
          <cell r="G16">
            <v>132.10688000000002</v>
          </cell>
        </row>
      </sheetData>
      <sheetData sheetId="264">
        <row r="16">
          <cell r="G16">
            <v>0</v>
          </cell>
        </row>
      </sheetData>
      <sheetData sheetId="265">
        <row r="16">
          <cell r="G16">
            <v>132.10688000000002</v>
          </cell>
        </row>
      </sheetData>
      <sheetData sheetId="266">
        <row r="16">
          <cell r="G16">
            <v>132.10688000000002</v>
          </cell>
        </row>
      </sheetData>
      <sheetData sheetId="267">
        <row r="16">
          <cell r="G16">
            <v>0</v>
          </cell>
        </row>
      </sheetData>
      <sheetData sheetId="268">
        <row r="16">
          <cell r="G16">
            <v>0</v>
          </cell>
        </row>
      </sheetData>
      <sheetData sheetId="269">
        <row r="16">
          <cell r="G16">
            <v>0</v>
          </cell>
        </row>
      </sheetData>
      <sheetData sheetId="270">
        <row r="16">
          <cell r="G16">
            <v>0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6">
          <cell r="G16">
            <v>0</v>
          </cell>
        </row>
      </sheetData>
      <sheetData sheetId="323">
        <row r="16">
          <cell r="G16">
            <v>0</v>
          </cell>
        </row>
      </sheetData>
      <sheetData sheetId="324">
        <row r="16">
          <cell r="G16">
            <v>132.10688000000002</v>
          </cell>
        </row>
      </sheetData>
      <sheetData sheetId="325">
        <row r="16">
          <cell r="G16">
            <v>0</v>
          </cell>
        </row>
      </sheetData>
      <sheetData sheetId="326">
        <row r="16">
          <cell r="G16">
            <v>0</v>
          </cell>
        </row>
      </sheetData>
      <sheetData sheetId="327">
        <row r="16">
          <cell r="G16">
            <v>0</v>
          </cell>
        </row>
      </sheetData>
      <sheetData sheetId="328">
        <row r="16">
          <cell r="G16">
            <v>0</v>
          </cell>
        </row>
      </sheetData>
      <sheetData sheetId="329">
        <row r="16">
          <cell r="G16">
            <v>0</v>
          </cell>
        </row>
      </sheetData>
      <sheetData sheetId="330">
        <row r="16">
          <cell r="G16">
            <v>0</v>
          </cell>
        </row>
      </sheetData>
      <sheetData sheetId="331">
        <row r="16">
          <cell r="G16">
            <v>132.10688000000002</v>
          </cell>
        </row>
      </sheetData>
      <sheetData sheetId="332">
        <row r="16">
          <cell r="G16">
            <v>132.10688000000002</v>
          </cell>
        </row>
      </sheetData>
      <sheetData sheetId="333">
        <row r="16">
          <cell r="G16">
            <v>132.10688000000002</v>
          </cell>
        </row>
      </sheetData>
      <sheetData sheetId="334">
        <row r="16">
          <cell r="G16">
            <v>132.10688000000002</v>
          </cell>
        </row>
      </sheetData>
      <sheetData sheetId="335">
        <row r="16">
          <cell r="G16">
            <v>132.10688000000002</v>
          </cell>
        </row>
      </sheetData>
      <sheetData sheetId="336">
        <row r="16">
          <cell r="G16">
            <v>132.10688000000002</v>
          </cell>
        </row>
      </sheetData>
      <sheetData sheetId="337">
        <row r="16">
          <cell r="G16">
            <v>0</v>
          </cell>
        </row>
      </sheetData>
      <sheetData sheetId="338">
        <row r="16">
          <cell r="G16">
            <v>132.10688000000002</v>
          </cell>
        </row>
      </sheetData>
      <sheetData sheetId="339">
        <row r="16">
          <cell r="G16">
            <v>132.10688000000002</v>
          </cell>
        </row>
      </sheetData>
      <sheetData sheetId="340">
        <row r="16">
          <cell r="G16">
            <v>132.10688000000002</v>
          </cell>
        </row>
      </sheetData>
      <sheetData sheetId="341">
        <row r="16">
          <cell r="G16">
            <v>0</v>
          </cell>
        </row>
      </sheetData>
      <sheetData sheetId="342">
        <row r="16">
          <cell r="G16">
            <v>0</v>
          </cell>
        </row>
      </sheetData>
      <sheetData sheetId="343">
        <row r="16">
          <cell r="G16">
            <v>0</v>
          </cell>
        </row>
      </sheetData>
      <sheetData sheetId="344">
        <row r="16">
          <cell r="G16">
            <v>132.10688000000002</v>
          </cell>
        </row>
      </sheetData>
      <sheetData sheetId="345">
        <row r="16">
          <cell r="G16">
            <v>0</v>
          </cell>
        </row>
      </sheetData>
      <sheetData sheetId="346">
        <row r="16">
          <cell r="G16">
            <v>0</v>
          </cell>
        </row>
      </sheetData>
      <sheetData sheetId="347">
        <row r="16">
          <cell r="G16">
            <v>0</v>
          </cell>
        </row>
      </sheetData>
      <sheetData sheetId="348">
        <row r="16">
          <cell r="G16">
            <v>0</v>
          </cell>
        </row>
      </sheetData>
      <sheetData sheetId="349">
        <row r="16">
          <cell r="G16">
            <v>0</v>
          </cell>
        </row>
      </sheetData>
      <sheetData sheetId="350">
        <row r="16">
          <cell r="G16">
            <v>0</v>
          </cell>
        </row>
      </sheetData>
      <sheetData sheetId="351">
        <row r="16">
          <cell r="G16">
            <v>132.10688000000002</v>
          </cell>
        </row>
      </sheetData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16">
          <cell r="G16">
            <v>0</v>
          </cell>
        </row>
      </sheetData>
      <sheetData sheetId="405">
        <row r="16">
          <cell r="G16">
            <v>0</v>
          </cell>
        </row>
      </sheetData>
      <sheetData sheetId="406">
        <row r="16">
          <cell r="G16">
            <v>0</v>
          </cell>
        </row>
      </sheetData>
      <sheetData sheetId="407">
        <row r="16">
          <cell r="G16">
            <v>132.10688000000002</v>
          </cell>
        </row>
      </sheetData>
      <sheetData sheetId="408">
        <row r="16">
          <cell r="G1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16">
          <cell r="G16">
            <v>0</v>
          </cell>
        </row>
      </sheetData>
      <sheetData sheetId="415">
        <row r="16">
          <cell r="G16">
            <v>0</v>
          </cell>
        </row>
      </sheetData>
      <sheetData sheetId="416">
        <row r="16">
          <cell r="G16">
            <v>0</v>
          </cell>
        </row>
      </sheetData>
      <sheetData sheetId="417">
        <row r="16">
          <cell r="G16">
            <v>0</v>
          </cell>
        </row>
      </sheetData>
      <sheetData sheetId="418">
        <row r="16">
          <cell r="G16">
            <v>0</v>
          </cell>
        </row>
      </sheetData>
      <sheetData sheetId="419">
        <row r="16">
          <cell r="G16">
            <v>0</v>
          </cell>
        </row>
      </sheetData>
      <sheetData sheetId="420" refreshError="1"/>
      <sheetData sheetId="421" refreshError="1"/>
      <sheetData sheetId="422">
        <row r="16">
          <cell r="G16">
            <v>0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16">
          <cell r="G16">
            <v>132.10688000000002</v>
          </cell>
        </row>
      </sheetData>
      <sheetData sheetId="429">
        <row r="16">
          <cell r="G16">
            <v>0</v>
          </cell>
        </row>
      </sheetData>
      <sheetData sheetId="430">
        <row r="16">
          <cell r="G16">
            <v>0</v>
          </cell>
        </row>
      </sheetData>
      <sheetData sheetId="431">
        <row r="16">
          <cell r="G16">
            <v>0</v>
          </cell>
        </row>
      </sheetData>
      <sheetData sheetId="432">
        <row r="16">
          <cell r="G16">
            <v>0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16">
          <cell r="G16">
            <v>0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16">
          <cell r="G16">
            <v>0</v>
          </cell>
        </row>
      </sheetData>
      <sheetData sheetId="458" refreshError="1"/>
      <sheetData sheetId="459">
        <row r="16">
          <cell r="G16">
            <v>0</v>
          </cell>
        </row>
      </sheetData>
      <sheetData sheetId="460">
        <row r="16">
          <cell r="G16">
            <v>0</v>
          </cell>
        </row>
      </sheetData>
      <sheetData sheetId="461">
        <row r="16">
          <cell r="G16">
            <v>0</v>
          </cell>
        </row>
      </sheetData>
      <sheetData sheetId="462">
        <row r="16">
          <cell r="G16">
            <v>0</v>
          </cell>
        </row>
      </sheetData>
      <sheetData sheetId="463">
        <row r="8">
          <cell r="B8">
            <v>43731</v>
          </cell>
        </row>
      </sheetData>
      <sheetData sheetId="464">
        <row r="16">
          <cell r="G16">
            <v>0</v>
          </cell>
        </row>
      </sheetData>
      <sheetData sheetId="465">
        <row r="16">
          <cell r="G16">
            <v>0</v>
          </cell>
        </row>
      </sheetData>
      <sheetData sheetId="466">
        <row r="16">
          <cell r="G16">
            <v>0</v>
          </cell>
        </row>
      </sheetData>
      <sheetData sheetId="467">
        <row r="16">
          <cell r="G16">
            <v>0</v>
          </cell>
        </row>
      </sheetData>
      <sheetData sheetId="468">
        <row r="16">
          <cell r="G16">
            <v>0</v>
          </cell>
        </row>
      </sheetData>
      <sheetData sheetId="469" refreshError="1"/>
      <sheetData sheetId="470">
        <row r="16">
          <cell r="G16">
            <v>132.10688000000002</v>
          </cell>
        </row>
      </sheetData>
      <sheetData sheetId="471">
        <row r="16">
          <cell r="G16">
            <v>0</v>
          </cell>
        </row>
      </sheetData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6">
          <cell r="G16">
            <v>132.10688000000002</v>
          </cell>
        </row>
      </sheetData>
      <sheetData sheetId="514">
        <row r="16">
          <cell r="G16">
            <v>0</v>
          </cell>
        </row>
      </sheetData>
      <sheetData sheetId="515">
        <row r="16">
          <cell r="G16">
            <v>0</v>
          </cell>
        </row>
      </sheetData>
      <sheetData sheetId="516">
        <row r="16">
          <cell r="G16">
            <v>0</v>
          </cell>
        </row>
      </sheetData>
      <sheetData sheetId="517">
        <row r="16">
          <cell r="G16">
            <v>132.10688000000002</v>
          </cell>
        </row>
      </sheetData>
      <sheetData sheetId="518">
        <row r="16">
          <cell r="G16">
            <v>0</v>
          </cell>
        </row>
      </sheetData>
      <sheetData sheetId="519">
        <row r="16">
          <cell r="G16">
            <v>0</v>
          </cell>
        </row>
      </sheetData>
      <sheetData sheetId="520">
        <row r="16">
          <cell r="G16">
            <v>0</v>
          </cell>
        </row>
      </sheetData>
      <sheetData sheetId="521">
        <row r="16">
          <cell r="G16">
            <v>0</v>
          </cell>
        </row>
      </sheetData>
      <sheetData sheetId="522">
        <row r="16">
          <cell r="G16">
            <v>0</v>
          </cell>
        </row>
      </sheetData>
      <sheetData sheetId="523">
        <row r="16">
          <cell r="G16">
            <v>0</v>
          </cell>
        </row>
      </sheetData>
      <sheetData sheetId="524">
        <row r="16">
          <cell r="G16">
            <v>0</v>
          </cell>
        </row>
      </sheetData>
      <sheetData sheetId="525">
        <row r="16">
          <cell r="G16">
            <v>0</v>
          </cell>
        </row>
      </sheetData>
      <sheetData sheetId="526">
        <row r="16">
          <cell r="G16">
            <v>0</v>
          </cell>
        </row>
      </sheetData>
      <sheetData sheetId="527">
        <row r="16">
          <cell r="G16">
            <v>0</v>
          </cell>
        </row>
      </sheetData>
      <sheetData sheetId="528">
        <row r="16">
          <cell r="G16">
            <v>0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>
        <row r="16">
          <cell r="G16">
            <v>0</v>
          </cell>
        </row>
      </sheetData>
      <sheetData sheetId="534">
        <row r="16">
          <cell r="G16">
            <v>0</v>
          </cell>
        </row>
      </sheetData>
      <sheetData sheetId="535">
        <row r="16">
          <cell r="G16">
            <v>0</v>
          </cell>
        </row>
      </sheetData>
      <sheetData sheetId="536">
        <row r="16">
          <cell r="G16">
            <v>0</v>
          </cell>
        </row>
      </sheetData>
      <sheetData sheetId="537">
        <row r="16">
          <cell r="G16">
            <v>0</v>
          </cell>
        </row>
      </sheetData>
      <sheetData sheetId="538">
        <row r="16">
          <cell r="G16">
            <v>0</v>
          </cell>
        </row>
      </sheetData>
      <sheetData sheetId="539">
        <row r="16">
          <cell r="G16">
            <v>0</v>
          </cell>
        </row>
      </sheetData>
      <sheetData sheetId="540">
        <row r="16">
          <cell r="G16">
            <v>0</v>
          </cell>
        </row>
      </sheetData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>
        <row r="16">
          <cell r="G16">
            <v>0</v>
          </cell>
        </row>
      </sheetData>
      <sheetData sheetId="547">
        <row r="16">
          <cell r="G16">
            <v>0</v>
          </cell>
        </row>
      </sheetData>
      <sheetData sheetId="548">
        <row r="16">
          <cell r="G16">
            <v>0</v>
          </cell>
        </row>
      </sheetData>
      <sheetData sheetId="549">
        <row r="16">
          <cell r="G16">
            <v>0</v>
          </cell>
        </row>
      </sheetData>
      <sheetData sheetId="550">
        <row r="16">
          <cell r="G16">
            <v>0</v>
          </cell>
        </row>
      </sheetData>
      <sheetData sheetId="551">
        <row r="16">
          <cell r="G16">
            <v>0</v>
          </cell>
        </row>
      </sheetData>
      <sheetData sheetId="552">
        <row r="16">
          <cell r="G16">
            <v>132.10688000000002</v>
          </cell>
        </row>
      </sheetData>
      <sheetData sheetId="553">
        <row r="16">
          <cell r="G16">
            <v>132.10688000000002</v>
          </cell>
        </row>
      </sheetData>
      <sheetData sheetId="554">
        <row r="16">
          <cell r="G16">
            <v>0</v>
          </cell>
        </row>
      </sheetData>
      <sheetData sheetId="555">
        <row r="16">
          <cell r="G16">
            <v>0</v>
          </cell>
        </row>
      </sheetData>
      <sheetData sheetId="556">
        <row r="16">
          <cell r="G16">
            <v>0</v>
          </cell>
        </row>
      </sheetData>
      <sheetData sheetId="557">
        <row r="16">
          <cell r="G16">
            <v>132.10688000000002</v>
          </cell>
        </row>
      </sheetData>
      <sheetData sheetId="558">
        <row r="16">
          <cell r="G16">
            <v>132.10688000000002</v>
          </cell>
        </row>
      </sheetData>
      <sheetData sheetId="559">
        <row r="16">
          <cell r="G16">
            <v>0</v>
          </cell>
        </row>
      </sheetData>
      <sheetData sheetId="560">
        <row r="16">
          <cell r="G16">
            <v>0</v>
          </cell>
        </row>
      </sheetData>
      <sheetData sheetId="561">
        <row r="16">
          <cell r="G16">
            <v>0</v>
          </cell>
        </row>
      </sheetData>
      <sheetData sheetId="562">
        <row r="16">
          <cell r="G16">
            <v>0</v>
          </cell>
        </row>
      </sheetData>
      <sheetData sheetId="563">
        <row r="16">
          <cell r="G16">
            <v>0</v>
          </cell>
        </row>
      </sheetData>
      <sheetData sheetId="564">
        <row r="16">
          <cell r="G16">
            <v>0</v>
          </cell>
        </row>
      </sheetData>
      <sheetData sheetId="565">
        <row r="16">
          <cell r="G16">
            <v>0</v>
          </cell>
        </row>
      </sheetData>
      <sheetData sheetId="566">
        <row r="16">
          <cell r="G16">
            <v>0</v>
          </cell>
        </row>
      </sheetData>
      <sheetData sheetId="567">
        <row r="16">
          <cell r="G16">
            <v>0</v>
          </cell>
        </row>
      </sheetData>
      <sheetData sheetId="568">
        <row r="16">
          <cell r="G16">
            <v>0</v>
          </cell>
        </row>
      </sheetData>
      <sheetData sheetId="569">
        <row r="16">
          <cell r="G16">
            <v>0</v>
          </cell>
        </row>
      </sheetData>
      <sheetData sheetId="570">
        <row r="16">
          <cell r="G16">
            <v>0</v>
          </cell>
        </row>
      </sheetData>
      <sheetData sheetId="571">
        <row r="16">
          <cell r="G16">
            <v>0</v>
          </cell>
        </row>
      </sheetData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132.10688000000002</v>
          </cell>
        </row>
      </sheetData>
      <sheetData sheetId="576">
        <row r="16">
          <cell r="G16">
            <v>0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>
        <row r="16">
          <cell r="G16">
            <v>0</v>
          </cell>
        </row>
      </sheetData>
      <sheetData sheetId="582">
        <row r="16">
          <cell r="G16">
            <v>0</v>
          </cell>
        </row>
      </sheetData>
      <sheetData sheetId="583">
        <row r="16">
          <cell r="G16">
            <v>0</v>
          </cell>
        </row>
      </sheetData>
      <sheetData sheetId="584">
        <row r="16">
          <cell r="G16">
            <v>0</v>
          </cell>
        </row>
      </sheetData>
      <sheetData sheetId="585">
        <row r="16">
          <cell r="G16">
            <v>0</v>
          </cell>
        </row>
      </sheetData>
      <sheetData sheetId="586">
        <row r="16">
          <cell r="G16">
            <v>0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16">
          <cell r="G16">
            <v>132.10688000000002</v>
          </cell>
        </row>
      </sheetData>
      <sheetData sheetId="605">
        <row r="16">
          <cell r="G16">
            <v>0</v>
          </cell>
        </row>
      </sheetData>
      <sheetData sheetId="606">
        <row r="16">
          <cell r="G16">
            <v>132.10688000000002</v>
          </cell>
        </row>
      </sheetData>
      <sheetData sheetId="607">
        <row r="16">
          <cell r="G16">
            <v>0</v>
          </cell>
        </row>
      </sheetData>
      <sheetData sheetId="608">
        <row r="16">
          <cell r="G16">
            <v>0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>
        <row r="8">
          <cell r="B8">
            <v>43731</v>
          </cell>
        </row>
      </sheetData>
      <sheetData sheetId="640">
        <row r="16">
          <cell r="G16">
            <v>132.10688000000002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8">
          <cell r="B8">
            <v>43731</v>
          </cell>
        </row>
      </sheetData>
      <sheetData sheetId="675">
        <row r="8">
          <cell r="B8">
            <v>43731</v>
          </cell>
        </row>
      </sheetData>
      <sheetData sheetId="676">
        <row r="16">
          <cell r="G16">
            <v>0</v>
          </cell>
        </row>
      </sheetData>
      <sheetData sheetId="677">
        <row r="16">
          <cell r="G16">
            <v>0</v>
          </cell>
        </row>
      </sheetData>
      <sheetData sheetId="678">
        <row r="16">
          <cell r="G16">
            <v>0</v>
          </cell>
        </row>
      </sheetData>
      <sheetData sheetId="679">
        <row r="8">
          <cell r="B8">
            <v>43731</v>
          </cell>
        </row>
      </sheetData>
      <sheetData sheetId="680">
        <row r="8">
          <cell r="B8">
            <v>43731</v>
          </cell>
        </row>
      </sheetData>
      <sheetData sheetId="681">
        <row r="8">
          <cell r="B8">
            <v>43731</v>
          </cell>
        </row>
      </sheetData>
      <sheetData sheetId="682">
        <row r="8">
          <cell r="B8">
            <v>43731</v>
          </cell>
        </row>
      </sheetData>
      <sheetData sheetId="683">
        <row r="8">
          <cell r="B8">
            <v>43731</v>
          </cell>
        </row>
      </sheetData>
      <sheetData sheetId="684">
        <row r="8">
          <cell r="B8">
            <v>43731</v>
          </cell>
        </row>
      </sheetData>
      <sheetData sheetId="685">
        <row r="8">
          <cell r="B8">
            <v>43731</v>
          </cell>
        </row>
      </sheetData>
      <sheetData sheetId="686">
        <row r="8">
          <cell r="B8">
            <v>43731</v>
          </cell>
        </row>
      </sheetData>
      <sheetData sheetId="687">
        <row r="8">
          <cell r="B8">
            <v>43731</v>
          </cell>
        </row>
      </sheetData>
      <sheetData sheetId="688">
        <row r="8">
          <cell r="B8">
            <v>43731</v>
          </cell>
        </row>
      </sheetData>
      <sheetData sheetId="689">
        <row r="8">
          <cell r="B8">
            <v>43731</v>
          </cell>
        </row>
      </sheetData>
      <sheetData sheetId="690">
        <row r="8">
          <cell r="B8">
            <v>43731</v>
          </cell>
        </row>
      </sheetData>
      <sheetData sheetId="691">
        <row r="8">
          <cell r="B8">
            <v>43731</v>
          </cell>
        </row>
      </sheetData>
      <sheetData sheetId="692">
        <row r="8">
          <cell r="B8">
            <v>43731</v>
          </cell>
        </row>
      </sheetData>
      <sheetData sheetId="693">
        <row r="8">
          <cell r="B8">
            <v>43731</v>
          </cell>
        </row>
      </sheetData>
      <sheetData sheetId="694" refreshError="1"/>
      <sheetData sheetId="695" refreshError="1"/>
      <sheetData sheetId="696">
        <row r="8">
          <cell r="B8">
            <v>43731</v>
          </cell>
        </row>
      </sheetData>
      <sheetData sheetId="697">
        <row r="16">
          <cell r="G16">
            <v>0</v>
          </cell>
        </row>
      </sheetData>
      <sheetData sheetId="698">
        <row r="16">
          <cell r="G16">
            <v>0</v>
          </cell>
        </row>
      </sheetData>
      <sheetData sheetId="699">
        <row r="8">
          <cell r="B8">
            <v>43731</v>
          </cell>
        </row>
      </sheetData>
      <sheetData sheetId="700">
        <row r="8">
          <cell r="B8">
            <v>43731</v>
          </cell>
        </row>
      </sheetData>
      <sheetData sheetId="701">
        <row r="8">
          <cell r="B8">
            <v>43731</v>
          </cell>
        </row>
      </sheetData>
      <sheetData sheetId="702">
        <row r="8">
          <cell r="B8">
            <v>43731</v>
          </cell>
        </row>
      </sheetData>
      <sheetData sheetId="703">
        <row r="8">
          <cell r="B8">
            <v>43731</v>
          </cell>
        </row>
      </sheetData>
      <sheetData sheetId="704">
        <row r="8">
          <cell r="B8">
            <v>43731</v>
          </cell>
        </row>
      </sheetData>
      <sheetData sheetId="705">
        <row r="16">
          <cell r="G16">
            <v>0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8">
          <cell r="B8">
            <v>43731</v>
          </cell>
        </row>
      </sheetData>
      <sheetData sheetId="852">
        <row r="8">
          <cell r="B8">
            <v>43731</v>
          </cell>
        </row>
      </sheetData>
      <sheetData sheetId="853">
        <row r="8">
          <cell r="B8">
            <v>43731</v>
          </cell>
        </row>
      </sheetData>
      <sheetData sheetId="854">
        <row r="8">
          <cell r="B8">
            <v>43731</v>
          </cell>
        </row>
      </sheetData>
      <sheetData sheetId="855">
        <row r="8">
          <cell r="B8">
            <v>43731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8">
          <cell r="B8">
            <v>43731</v>
          </cell>
        </row>
      </sheetData>
      <sheetData sheetId="889">
        <row r="8">
          <cell r="B8">
            <v>43731</v>
          </cell>
        </row>
      </sheetData>
      <sheetData sheetId="890">
        <row r="8">
          <cell r="B8">
            <v>43731</v>
          </cell>
        </row>
      </sheetData>
      <sheetData sheetId="891">
        <row r="8">
          <cell r="B8">
            <v>43731</v>
          </cell>
        </row>
      </sheetData>
      <sheetData sheetId="892">
        <row r="8">
          <cell r="B8">
            <v>43731</v>
          </cell>
        </row>
      </sheetData>
      <sheetData sheetId="893">
        <row r="8">
          <cell r="B8">
            <v>43731</v>
          </cell>
        </row>
      </sheetData>
      <sheetData sheetId="894">
        <row r="8">
          <cell r="B8">
            <v>43731</v>
          </cell>
        </row>
      </sheetData>
      <sheetData sheetId="895">
        <row r="8">
          <cell r="B8">
            <v>43731</v>
          </cell>
        </row>
      </sheetData>
      <sheetData sheetId="896">
        <row r="8">
          <cell r="B8">
            <v>43731</v>
          </cell>
        </row>
      </sheetData>
      <sheetData sheetId="897">
        <row r="8">
          <cell r="B8">
            <v>43731</v>
          </cell>
        </row>
      </sheetData>
      <sheetData sheetId="898">
        <row r="8">
          <cell r="B8">
            <v>43731</v>
          </cell>
        </row>
      </sheetData>
      <sheetData sheetId="899">
        <row r="8">
          <cell r="B8">
            <v>43731</v>
          </cell>
        </row>
      </sheetData>
      <sheetData sheetId="900">
        <row r="8">
          <cell r="B8">
            <v>43731</v>
          </cell>
        </row>
      </sheetData>
      <sheetData sheetId="901">
        <row r="8">
          <cell r="B8">
            <v>43731</v>
          </cell>
        </row>
      </sheetData>
      <sheetData sheetId="902">
        <row r="8">
          <cell r="B8">
            <v>43731</v>
          </cell>
        </row>
      </sheetData>
      <sheetData sheetId="903">
        <row r="8">
          <cell r="B8">
            <v>43731</v>
          </cell>
        </row>
      </sheetData>
      <sheetData sheetId="904">
        <row r="8">
          <cell r="B8">
            <v>43731</v>
          </cell>
        </row>
      </sheetData>
      <sheetData sheetId="905">
        <row r="8">
          <cell r="B8">
            <v>43731</v>
          </cell>
        </row>
      </sheetData>
      <sheetData sheetId="906">
        <row r="8">
          <cell r="B8">
            <v>43731</v>
          </cell>
        </row>
      </sheetData>
      <sheetData sheetId="907">
        <row r="8">
          <cell r="B8">
            <v>43731</v>
          </cell>
        </row>
      </sheetData>
      <sheetData sheetId="908">
        <row r="8">
          <cell r="B8">
            <v>43731</v>
          </cell>
        </row>
      </sheetData>
      <sheetData sheetId="909">
        <row r="8">
          <cell r="B8">
            <v>43731</v>
          </cell>
        </row>
      </sheetData>
      <sheetData sheetId="910">
        <row r="8">
          <cell r="B8">
            <v>43731</v>
          </cell>
        </row>
      </sheetData>
      <sheetData sheetId="911">
        <row r="8">
          <cell r="B8">
            <v>43731</v>
          </cell>
        </row>
      </sheetData>
      <sheetData sheetId="912">
        <row r="8">
          <cell r="B8">
            <v>43731</v>
          </cell>
        </row>
      </sheetData>
      <sheetData sheetId="913">
        <row r="8">
          <cell r="B8">
            <v>43731</v>
          </cell>
        </row>
      </sheetData>
      <sheetData sheetId="914">
        <row r="8">
          <cell r="B8">
            <v>43731</v>
          </cell>
        </row>
      </sheetData>
      <sheetData sheetId="915">
        <row r="8">
          <cell r="B8">
            <v>43731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>
        <row r="8">
          <cell r="B8">
            <v>43731</v>
          </cell>
        </row>
      </sheetData>
      <sheetData sheetId="975">
        <row r="16">
          <cell r="G16">
            <v>0</v>
          </cell>
        </row>
      </sheetData>
      <sheetData sheetId="976"/>
      <sheetData sheetId="977"/>
      <sheetData sheetId="978">
        <row r="16">
          <cell r="G16">
            <v>0</v>
          </cell>
        </row>
      </sheetData>
      <sheetData sheetId="979">
        <row r="16">
          <cell r="G16">
            <v>0</v>
          </cell>
        </row>
      </sheetData>
      <sheetData sheetId="980">
        <row r="16">
          <cell r="G16">
            <v>0</v>
          </cell>
        </row>
      </sheetData>
      <sheetData sheetId="981">
        <row r="16">
          <cell r="G16">
            <v>0</v>
          </cell>
        </row>
      </sheetData>
      <sheetData sheetId="982">
        <row r="16">
          <cell r="G16">
            <v>0</v>
          </cell>
        </row>
      </sheetData>
      <sheetData sheetId="983">
        <row r="16">
          <cell r="G16">
            <v>0</v>
          </cell>
        </row>
      </sheetData>
      <sheetData sheetId="984">
        <row r="16">
          <cell r="G16">
            <v>0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>
        <row r="16">
          <cell r="G16">
            <v>0</v>
          </cell>
        </row>
      </sheetData>
      <sheetData sheetId="990">
        <row r="16">
          <cell r="G16">
            <v>0</v>
          </cell>
        </row>
      </sheetData>
      <sheetData sheetId="991">
        <row r="16">
          <cell r="G16">
            <v>0</v>
          </cell>
        </row>
      </sheetData>
      <sheetData sheetId="992">
        <row r="16">
          <cell r="G16">
            <v>0</v>
          </cell>
        </row>
      </sheetData>
      <sheetData sheetId="993">
        <row r="16">
          <cell r="G16">
            <v>0</v>
          </cell>
        </row>
      </sheetData>
      <sheetData sheetId="994">
        <row r="16">
          <cell r="G16">
            <v>0</v>
          </cell>
        </row>
      </sheetData>
      <sheetData sheetId="995">
        <row r="16">
          <cell r="G16">
            <v>0</v>
          </cell>
        </row>
      </sheetData>
      <sheetData sheetId="996">
        <row r="8">
          <cell r="B8">
            <v>43731</v>
          </cell>
        </row>
      </sheetData>
      <sheetData sheetId="997">
        <row r="8">
          <cell r="B8">
            <v>43731</v>
          </cell>
        </row>
      </sheetData>
      <sheetData sheetId="998">
        <row r="8">
          <cell r="B8">
            <v>43731</v>
          </cell>
        </row>
      </sheetData>
      <sheetData sheetId="999">
        <row r="8">
          <cell r="B8">
            <v>43731</v>
          </cell>
        </row>
      </sheetData>
      <sheetData sheetId="1000">
        <row r="8">
          <cell r="B8">
            <v>43731</v>
          </cell>
        </row>
      </sheetData>
      <sheetData sheetId="1001">
        <row r="8">
          <cell r="B8">
            <v>43731</v>
          </cell>
        </row>
      </sheetData>
      <sheetData sheetId="1002">
        <row r="8">
          <cell r="B8">
            <v>43731</v>
          </cell>
        </row>
      </sheetData>
      <sheetData sheetId="1003">
        <row r="8">
          <cell r="B8">
            <v>43731</v>
          </cell>
        </row>
      </sheetData>
      <sheetData sheetId="1004">
        <row r="8">
          <cell r="B8">
            <v>43731</v>
          </cell>
        </row>
      </sheetData>
      <sheetData sheetId="1005">
        <row r="16">
          <cell r="G16">
            <v>0</v>
          </cell>
        </row>
      </sheetData>
      <sheetData sheetId="1006">
        <row r="16">
          <cell r="G16">
            <v>132.10688000000002</v>
          </cell>
        </row>
      </sheetData>
      <sheetData sheetId="1007">
        <row r="16">
          <cell r="G16">
            <v>1</v>
          </cell>
        </row>
      </sheetData>
      <sheetData sheetId="1008">
        <row r="16">
          <cell r="G16">
            <v>0</v>
          </cell>
        </row>
      </sheetData>
      <sheetData sheetId="1009">
        <row r="16">
          <cell r="G16">
            <v>0</v>
          </cell>
        </row>
      </sheetData>
      <sheetData sheetId="1010">
        <row r="16">
          <cell r="G16">
            <v>0</v>
          </cell>
        </row>
      </sheetData>
      <sheetData sheetId="1011">
        <row r="16">
          <cell r="G16">
            <v>0</v>
          </cell>
        </row>
      </sheetData>
      <sheetData sheetId="1012">
        <row r="16">
          <cell r="G16">
            <v>132.10688000000002</v>
          </cell>
        </row>
      </sheetData>
      <sheetData sheetId="1013">
        <row r="16">
          <cell r="G16">
            <v>0</v>
          </cell>
        </row>
      </sheetData>
      <sheetData sheetId="1014">
        <row r="16">
          <cell r="G16">
            <v>0</v>
          </cell>
        </row>
      </sheetData>
      <sheetData sheetId="1015">
        <row r="16">
          <cell r="G16">
            <v>132.10688000000002</v>
          </cell>
        </row>
      </sheetData>
      <sheetData sheetId="1016">
        <row r="16">
          <cell r="G16">
            <v>132.10688000000002</v>
          </cell>
        </row>
      </sheetData>
      <sheetData sheetId="1017">
        <row r="16">
          <cell r="G16">
            <v>132.10688000000002</v>
          </cell>
        </row>
      </sheetData>
      <sheetData sheetId="1018">
        <row r="16">
          <cell r="G16">
            <v>132.10688000000002</v>
          </cell>
        </row>
      </sheetData>
      <sheetData sheetId="1019">
        <row r="16">
          <cell r="G16">
            <v>132.10688000000002</v>
          </cell>
        </row>
      </sheetData>
      <sheetData sheetId="1020">
        <row r="16">
          <cell r="G16">
            <v>132.10688000000002</v>
          </cell>
        </row>
      </sheetData>
      <sheetData sheetId="1021">
        <row r="16">
          <cell r="G16">
            <v>132.10688000000002</v>
          </cell>
        </row>
      </sheetData>
      <sheetData sheetId="1022">
        <row r="16">
          <cell r="G16">
            <v>132.10688000000002</v>
          </cell>
        </row>
      </sheetData>
      <sheetData sheetId="1023">
        <row r="16">
          <cell r="G16">
            <v>132.10688000000002</v>
          </cell>
        </row>
      </sheetData>
      <sheetData sheetId="1024">
        <row r="16">
          <cell r="G16">
            <v>0</v>
          </cell>
        </row>
      </sheetData>
      <sheetData sheetId="1025">
        <row r="16">
          <cell r="G16">
            <v>132.10688000000002</v>
          </cell>
        </row>
      </sheetData>
      <sheetData sheetId="1026">
        <row r="16">
          <cell r="G16">
            <v>0</v>
          </cell>
        </row>
      </sheetData>
      <sheetData sheetId="1027">
        <row r="16">
          <cell r="G16">
            <v>0</v>
          </cell>
        </row>
      </sheetData>
      <sheetData sheetId="1028">
        <row r="16">
          <cell r="G16">
            <v>132.10688000000002</v>
          </cell>
        </row>
      </sheetData>
      <sheetData sheetId="1029">
        <row r="16">
          <cell r="G16">
            <v>132.10688000000002</v>
          </cell>
        </row>
      </sheetData>
      <sheetData sheetId="1030">
        <row r="16">
          <cell r="G16">
            <v>132.10688000000002</v>
          </cell>
        </row>
      </sheetData>
      <sheetData sheetId="1031">
        <row r="16">
          <cell r="G16">
            <v>132.10688000000002</v>
          </cell>
        </row>
      </sheetData>
      <sheetData sheetId="1032">
        <row r="16">
          <cell r="G16">
            <v>0</v>
          </cell>
        </row>
      </sheetData>
      <sheetData sheetId="1033">
        <row r="16">
          <cell r="G16">
            <v>132.10688000000002</v>
          </cell>
        </row>
      </sheetData>
      <sheetData sheetId="1034">
        <row r="16">
          <cell r="G16">
            <v>132.10688000000002</v>
          </cell>
        </row>
      </sheetData>
      <sheetData sheetId="1035">
        <row r="8">
          <cell r="B8">
            <v>43731</v>
          </cell>
        </row>
      </sheetData>
      <sheetData sheetId="1036">
        <row r="8">
          <cell r="B8">
            <v>43731</v>
          </cell>
        </row>
      </sheetData>
      <sheetData sheetId="1037">
        <row r="8">
          <cell r="B8">
            <v>43731</v>
          </cell>
        </row>
      </sheetData>
      <sheetData sheetId="1038">
        <row r="16">
          <cell r="G16">
            <v>0</v>
          </cell>
        </row>
      </sheetData>
      <sheetData sheetId="1039">
        <row r="16">
          <cell r="G16">
            <v>0</v>
          </cell>
        </row>
      </sheetData>
      <sheetData sheetId="1040">
        <row r="16">
          <cell r="G16">
            <v>0</v>
          </cell>
        </row>
      </sheetData>
      <sheetData sheetId="1041">
        <row r="16">
          <cell r="G16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8">
          <cell r="B8">
            <v>43731</v>
          </cell>
        </row>
      </sheetData>
      <sheetData sheetId="1306">
        <row r="8">
          <cell r="B8">
            <v>43731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>
        <row r="8">
          <cell r="B8">
            <v>43731</v>
          </cell>
        </row>
      </sheetData>
      <sheetData sheetId="1323">
        <row r="8">
          <cell r="B8">
            <v>43731</v>
          </cell>
        </row>
      </sheetData>
      <sheetData sheetId="1324">
        <row r="8">
          <cell r="B8">
            <v>43731</v>
          </cell>
        </row>
      </sheetData>
      <sheetData sheetId="1325">
        <row r="8">
          <cell r="B8">
            <v>43731</v>
          </cell>
        </row>
      </sheetData>
      <sheetData sheetId="1326">
        <row r="8">
          <cell r="B8">
            <v>43731</v>
          </cell>
        </row>
      </sheetData>
      <sheetData sheetId="1327">
        <row r="8">
          <cell r="B8">
            <v>43731</v>
          </cell>
        </row>
      </sheetData>
      <sheetData sheetId="1328">
        <row r="8">
          <cell r="B8">
            <v>43731</v>
          </cell>
        </row>
      </sheetData>
      <sheetData sheetId="1329">
        <row r="8">
          <cell r="B8">
            <v>43731</v>
          </cell>
        </row>
      </sheetData>
      <sheetData sheetId="1330">
        <row r="8">
          <cell r="B8">
            <v>43731</v>
          </cell>
        </row>
      </sheetData>
      <sheetData sheetId="1331">
        <row r="8">
          <cell r="B8">
            <v>43731</v>
          </cell>
        </row>
      </sheetData>
      <sheetData sheetId="1332">
        <row r="8">
          <cell r="B8">
            <v>43731</v>
          </cell>
        </row>
      </sheetData>
      <sheetData sheetId="1333">
        <row r="8">
          <cell r="B8">
            <v>43731</v>
          </cell>
        </row>
      </sheetData>
      <sheetData sheetId="1334">
        <row r="8">
          <cell r="B8">
            <v>43731</v>
          </cell>
        </row>
      </sheetData>
      <sheetData sheetId="1335">
        <row r="8">
          <cell r="B8">
            <v>43731</v>
          </cell>
        </row>
      </sheetData>
      <sheetData sheetId="1336">
        <row r="8">
          <cell r="B8">
            <v>43731</v>
          </cell>
        </row>
      </sheetData>
      <sheetData sheetId="1337">
        <row r="8">
          <cell r="B8">
            <v>43731</v>
          </cell>
        </row>
      </sheetData>
      <sheetData sheetId="1338">
        <row r="8">
          <cell r="B8">
            <v>43731</v>
          </cell>
        </row>
      </sheetData>
      <sheetData sheetId="1339">
        <row r="8">
          <cell r="B8">
            <v>43731</v>
          </cell>
        </row>
      </sheetData>
      <sheetData sheetId="1340">
        <row r="8">
          <cell r="B8">
            <v>43731</v>
          </cell>
        </row>
      </sheetData>
      <sheetData sheetId="1341">
        <row r="8">
          <cell r="B8">
            <v>43731</v>
          </cell>
        </row>
      </sheetData>
      <sheetData sheetId="1342">
        <row r="8">
          <cell r="B8">
            <v>43731</v>
          </cell>
        </row>
      </sheetData>
      <sheetData sheetId="1343">
        <row r="8">
          <cell r="B8">
            <v>43731</v>
          </cell>
        </row>
      </sheetData>
      <sheetData sheetId="1344">
        <row r="8">
          <cell r="B8">
            <v>43731</v>
          </cell>
        </row>
      </sheetData>
      <sheetData sheetId="1345">
        <row r="8">
          <cell r="B8">
            <v>43731</v>
          </cell>
        </row>
      </sheetData>
      <sheetData sheetId="1346">
        <row r="8">
          <cell r="B8">
            <v>43731</v>
          </cell>
        </row>
      </sheetData>
      <sheetData sheetId="1347">
        <row r="8">
          <cell r="B8">
            <v>43731</v>
          </cell>
        </row>
      </sheetData>
      <sheetData sheetId="1348">
        <row r="8">
          <cell r="B8">
            <v>43731</v>
          </cell>
        </row>
      </sheetData>
      <sheetData sheetId="1349">
        <row r="8">
          <cell r="B8">
            <v>43731</v>
          </cell>
        </row>
      </sheetData>
      <sheetData sheetId="1350">
        <row r="8">
          <cell r="B8">
            <v>43731</v>
          </cell>
        </row>
      </sheetData>
      <sheetData sheetId="1351">
        <row r="8">
          <cell r="B8">
            <v>43731</v>
          </cell>
        </row>
      </sheetData>
      <sheetData sheetId="1352">
        <row r="8">
          <cell r="B8">
            <v>43731</v>
          </cell>
        </row>
      </sheetData>
      <sheetData sheetId="1353">
        <row r="8">
          <cell r="B8">
            <v>43731</v>
          </cell>
        </row>
      </sheetData>
      <sheetData sheetId="1354">
        <row r="8">
          <cell r="B8">
            <v>43731</v>
          </cell>
        </row>
      </sheetData>
      <sheetData sheetId="1355">
        <row r="8">
          <cell r="B8">
            <v>43731</v>
          </cell>
        </row>
      </sheetData>
      <sheetData sheetId="1356">
        <row r="8">
          <cell r="B8">
            <v>43731</v>
          </cell>
        </row>
      </sheetData>
      <sheetData sheetId="1357">
        <row r="8">
          <cell r="B8">
            <v>43731</v>
          </cell>
        </row>
      </sheetData>
      <sheetData sheetId="1358">
        <row r="8">
          <cell r="B8">
            <v>43731</v>
          </cell>
        </row>
      </sheetData>
      <sheetData sheetId="1359">
        <row r="8">
          <cell r="B8">
            <v>43731</v>
          </cell>
        </row>
      </sheetData>
      <sheetData sheetId="1360">
        <row r="8">
          <cell r="B8">
            <v>43731</v>
          </cell>
        </row>
      </sheetData>
      <sheetData sheetId="1361">
        <row r="8">
          <cell r="B8">
            <v>43731</v>
          </cell>
        </row>
      </sheetData>
      <sheetData sheetId="1362">
        <row r="8">
          <cell r="B8">
            <v>43731</v>
          </cell>
        </row>
      </sheetData>
      <sheetData sheetId="1363">
        <row r="8">
          <cell r="B8">
            <v>43731</v>
          </cell>
        </row>
      </sheetData>
      <sheetData sheetId="1364">
        <row r="8">
          <cell r="B8">
            <v>43731</v>
          </cell>
        </row>
      </sheetData>
      <sheetData sheetId="1365">
        <row r="8">
          <cell r="B8">
            <v>43731</v>
          </cell>
        </row>
      </sheetData>
      <sheetData sheetId="1366">
        <row r="8">
          <cell r="B8">
            <v>43731</v>
          </cell>
        </row>
      </sheetData>
      <sheetData sheetId="1367">
        <row r="8">
          <cell r="B8">
            <v>43731</v>
          </cell>
        </row>
      </sheetData>
      <sheetData sheetId="1368">
        <row r="8">
          <cell r="B8">
            <v>43731</v>
          </cell>
        </row>
      </sheetData>
      <sheetData sheetId="1369">
        <row r="8">
          <cell r="B8">
            <v>43731</v>
          </cell>
        </row>
      </sheetData>
      <sheetData sheetId="1370">
        <row r="8">
          <cell r="B8">
            <v>43731</v>
          </cell>
        </row>
      </sheetData>
      <sheetData sheetId="1371">
        <row r="8">
          <cell r="B8">
            <v>43731</v>
          </cell>
        </row>
      </sheetData>
      <sheetData sheetId="1372">
        <row r="8">
          <cell r="B8">
            <v>43731</v>
          </cell>
        </row>
      </sheetData>
      <sheetData sheetId="1373">
        <row r="8">
          <cell r="B8">
            <v>43731</v>
          </cell>
        </row>
      </sheetData>
      <sheetData sheetId="1374">
        <row r="8">
          <cell r="B8">
            <v>43731</v>
          </cell>
        </row>
      </sheetData>
      <sheetData sheetId="1375">
        <row r="8">
          <cell r="B8">
            <v>43731</v>
          </cell>
        </row>
      </sheetData>
      <sheetData sheetId="1376">
        <row r="8">
          <cell r="B8">
            <v>43731</v>
          </cell>
        </row>
      </sheetData>
      <sheetData sheetId="1377">
        <row r="8">
          <cell r="B8">
            <v>43731</v>
          </cell>
        </row>
      </sheetData>
      <sheetData sheetId="1378">
        <row r="8">
          <cell r="B8">
            <v>43731</v>
          </cell>
        </row>
      </sheetData>
      <sheetData sheetId="1379">
        <row r="8">
          <cell r="B8">
            <v>43731</v>
          </cell>
        </row>
      </sheetData>
      <sheetData sheetId="1380">
        <row r="8">
          <cell r="B8">
            <v>43731</v>
          </cell>
        </row>
      </sheetData>
      <sheetData sheetId="1381">
        <row r="8">
          <cell r="B8">
            <v>43731</v>
          </cell>
        </row>
      </sheetData>
      <sheetData sheetId="1382">
        <row r="8">
          <cell r="B8">
            <v>43731</v>
          </cell>
        </row>
      </sheetData>
      <sheetData sheetId="1383">
        <row r="8">
          <cell r="B8">
            <v>43731</v>
          </cell>
        </row>
      </sheetData>
      <sheetData sheetId="1384">
        <row r="8">
          <cell r="B8">
            <v>43731</v>
          </cell>
        </row>
      </sheetData>
      <sheetData sheetId="1385">
        <row r="8">
          <cell r="B8">
            <v>43731</v>
          </cell>
        </row>
      </sheetData>
      <sheetData sheetId="1386">
        <row r="8">
          <cell r="B8">
            <v>43731</v>
          </cell>
        </row>
      </sheetData>
      <sheetData sheetId="1387">
        <row r="8">
          <cell r="B8">
            <v>43731</v>
          </cell>
        </row>
      </sheetData>
      <sheetData sheetId="1388">
        <row r="8">
          <cell r="B8">
            <v>43731</v>
          </cell>
        </row>
      </sheetData>
      <sheetData sheetId="1389">
        <row r="8">
          <cell r="B8">
            <v>43731</v>
          </cell>
        </row>
      </sheetData>
      <sheetData sheetId="1390">
        <row r="8">
          <cell r="B8">
            <v>43731</v>
          </cell>
        </row>
      </sheetData>
      <sheetData sheetId="1391">
        <row r="8">
          <cell r="B8">
            <v>43731</v>
          </cell>
        </row>
      </sheetData>
      <sheetData sheetId="1392">
        <row r="8">
          <cell r="B8">
            <v>43731</v>
          </cell>
        </row>
      </sheetData>
      <sheetData sheetId="1393">
        <row r="8">
          <cell r="B8">
            <v>43731</v>
          </cell>
        </row>
      </sheetData>
      <sheetData sheetId="1394">
        <row r="8">
          <cell r="B8">
            <v>43731</v>
          </cell>
        </row>
      </sheetData>
      <sheetData sheetId="1395">
        <row r="8">
          <cell r="B8">
            <v>43731</v>
          </cell>
        </row>
      </sheetData>
      <sheetData sheetId="1396">
        <row r="8">
          <cell r="B8">
            <v>43731</v>
          </cell>
        </row>
      </sheetData>
      <sheetData sheetId="1397">
        <row r="8">
          <cell r="B8">
            <v>43731</v>
          </cell>
        </row>
      </sheetData>
      <sheetData sheetId="1398">
        <row r="8">
          <cell r="B8">
            <v>43731</v>
          </cell>
        </row>
      </sheetData>
      <sheetData sheetId="1399">
        <row r="8">
          <cell r="B8">
            <v>43731</v>
          </cell>
        </row>
      </sheetData>
      <sheetData sheetId="1400">
        <row r="8">
          <cell r="B8">
            <v>43731</v>
          </cell>
        </row>
      </sheetData>
      <sheetData sheetId="1401">
        <row r="8">
          <cell r="B8">
            <v>43731</v>
          </cell>
        </row>
      </sheetData>
      <sheetData sheetId="1402">
        <row r="8">
          <cell r="B8">
            <v>43731</v>
          </cell>
        </row>
      </sheetData>
      <sheetData sheetId="1403">
        <row r="8">
          <cell r="B8">
            <v>43731</v>
          </cell>
        </row>
      </sheetData>
      <sheetData sheetId="1404">
        <row r="8">
          <cell r="B8">
            <v>43731</v>
          </cell>
        </row>
      </sheetData>
      <sheetData sheetId="1405">
        <row r="8">
          <cell r="B8">
            <v>43731</v>
          </cell>
        </row>
      </sheetData>
      <sheetData sheetId="1406">
        <row r="8">
          <cell r="B8">
            <v>43731</v>
          </cell>
        </row>
      </sheetData>
      <sheetData sheetId="1407">
        <row r="8">
          <cell r="B8">
            <v>43731</v>
          </cell>
        </row>
      </sheetData>
      <sheetData sheetId="1408">
        <row r="8">
          <cell r="B8">
            <v>43731</v>
          </cell>
        </row>
      </sheetData>
      <sheetData sheetId="1409">
        <row r="8">
          <cell r="B8">
            <v>43731</v>
          </cell>
        </row>
      </sheetData>
      <sheetData sheetId="1410">
        <row r="8">
          <cell r="B8">
            <v>43731</v>
          </cell>
        </row>
      </sheetData>
      <sheetData sheetId="1411">
        <row r="8">
          <cell r="B8">
            <v>43731</v>
          </cell>
        </row>
      </sheetData>
      <sheetData sheetId="1412">
        <row r="8">
          <cell r="B8">
            <v>43731</v>
          </cell>
        </row>
      </sheetData>
      <sheetData sheetId="1413">
        <row r="8">
          <cell r="B8">
            <v>43731</v>
          </cell>
        </row>
      </sheetData>
      <sheetData sheetId="1414">
        <row r="8">
          <cell r="B8">
            <v>43731</v>
          </cell>
        </row>
      </sheetData>
      <sheetData sheetId="1415">
        <row r="8">
          <cell r="B8">
            <v>43731</v>
          </cell>
        </row>
      </sheetData>
      <sheetData sheetId="1416">
        <row r="8">
          <cell r="B8">
            <v>43731</v>
          </cell>
        </row>
      </sheetData>
      <sheetData sheetId="1417">
        <row r="8">
          <cell r="B8">
            <v>43731</v>
          </cell>
        </row>
      </sheetData>
      <sheetData sheetId="1418">
        <row r="8">
          <cell r="B8">
            <v>43731</v>
          </cell>
        </row>
      </sheetData>
      <sheetData sheetId="1419">
        <row r="8">
          <cell r="B8">
            <v>43731</v>
          </cell>
        </row>
      </sheetData>
      <sheetData sheetId="1420">
        <row r="8">
          <cell r="B8">
            <v>43731</v>
          </cell>
        </row>
      </sheetData>
      <sheetData sheetId="1421">
        <row r="8">
          <cell r="B8">
            <v>43731</v>
          </cell>
        </row>
      </sheetData>
      <sheetData sheetId="1422">
        <row r="8">
          <cell r="B8">
            <v>43731</v>
          </cell>
        </row>
      </sheetData>
      <sheetData sheetId="1423">
        <row r="8">
          <cell r="B8">
            <v>43731</v>
          </cell>
        </row>
      </sheetData>
      <sheetData sheetId="1424">
        <row r="8">
          <cell r="B8">
            <v>43731</v>
          </cell>
        </row>
      </sheetData>
      <sheetData sheetId="1425">
        <row r="8">
          <cell r="B8">
            <v>43731</v>
          </cell>
        </row>
      </sheetData>
      <sheetData sheetId="1426">
        <row r="8">
          <cell r="B8">
            <v>43731</v>
          </cell>
        </row>
      </sheetData>
      <sheetData sheetId="1427">
        <row r="8">
          <cell r="B8">
            <v>43731</v>
          </cell>
        </row>
      </sheetData>
      <sheetData sheetId="1428">
        <row r="8">
          <cell r="B8">
            <v>43731</v>
          </cell>
        </row>
      </sheetData>
      <sheetData sheetId="1429">
        <row r="8">
          <cell r="B8">
            <v>43731</v>
          </cell>
        </row>
      </sheetData>
      <sheetData sheetId="1430">
        <row r="8">
          <cell r="B8">
            <v>43731</v>
          </cell>
        </row>
      </sheetData>
      <sheetData sheetId="1431">
        <row r="8">
          <cell r="B8">
            <v>43731</v>
          </cell>
        </row>
      </sheetData>
      <sheetData sheetId="1432">
        <row r="8">
          <cell r="B8">
            <v>43731</v>
          </cell>
        </row>
      </sheetData>
      <sheetData sheetId="1433">
        <row r="8">
          <cell r="B8">
            <v>43731</v>
          </cell>
        </row>
      </sheetData>
      <sheetData sheetId="1434">
        <row r="8">
          <cell r="B8">
            <v>43731</v>
          </cell>
        </row>
      </sheetData>
      <sheetData sheetId="1435">
        <row r="8">
          <cell r="B8">
            <v>43731</v>
          </cell>
        </row>
      </sheetData>
      <sheetData sheetId="1436">
        <row r="8">
          <cell r="B8">
            <v>43731</v>
          </cell>
        </row>
      </sheetData>
      <sheetData sheetId="1437">
        <row r="8">
          <cell r="B8">
            <v>43731</v>
          </cell>
        </row>
      </sheetData>
      <sheetData sheetId="1438">
        <row r="8">
          <cell r="B8">
            <v>43731</v>
          </cell>
        </row>
      </sheetData>
      <sheetData sheetId="1439">
        <row r="8">
          <cell r="B8">
            <v>43731</v>
          </cell>
        </row>
      </sheetData>
      <sheetData sheetId="1440">
        <row r="8">
          <cell r="B8">
            <v>43731</v>
          </cell>
        </row>
      </sheetData>
      <sheetData sheetId="1441">
        <row r="8">
          <cell r="B8">
            <v>43731</v>
          </cell>
        </row>
      </sheetData>
      <sheetData sheetId="1442">
        <row r="8">
          <cell r="B8">
            <v>43731</v>
          </cell>
        </row>
      </sheetData>
      <sheetData sheetId="1443">
        <row r="8">
          <cell r="B8">
            <v>43731</v>
          </cell>
        </row>
      </sheetData>
      <sheetData sheetId="1444">
        <row r="8">
          <cell r="B8">
            <v>43731</v>
          </cell>
        </row>
      </sheetData>
      <sheetData sheetId="1445">
        <row r="8">
          <cell r="B8">
            <v>43731</v>
          </cell>
        </row>
      </sheetData>
      <sheetData sheetId="1446">
        <row r="8">
          <cell r="B8">
            <v>43731</v>
          </cell>
        </row>
      </sheetData>
      <sheetData sheetId="1447">
        <row r="8">
          <cell r="B8">
            <v>43731</v>
          </cell>
        </row>
      </sheetData>
      <sheetData sheetId="1448">
        <row r="8">
          <cell r="B8">
            <v>43731</v>
          </cell>
        </row>
      </sheetData>
      <sheetData sheetId="1449">
        <row r="8">
          <cell r="B8">
            <v>43731</v>
          </cell>
        </row>
      </sheetData>
      <sheetData sheetId="1450">
        <row r="8">
          <cell r="B8">
            <v>43731</v>
          </cell>
        </row>
      </sheetData>
      <sheetData sheetId="1451">
        <row r="8">
          <cell r="B8">
            <v>43731</v>
          </cell>
        </row>
      </sheetData>
      <sheetData sheetId="1452">
        <row r="8">
          <cell r="B8">
            <v>43731</v>
          </cell>
        </row>
      </sheetData>
      <sheetData sheetId="1453">
        <row r="8">
          <cell r="B8">
            <v>43731</v>
          </cell>
        </row>
      </sheetData>
      <sheetData sheetId="1454">
        <row r="8">
          <cell r="B8">
            <v>43731</v>
          </cell>
        </row>
      </sheetData>
      <sheetData sheetId="1455">
        <row r="8">
          <cell r="B8">
            <v>43731</v>
          </cell>
        </row>
      </sheetData>
      <sheetData sheetId="1456">
        <row r="8">
          <cell r="B8">
            <v>43731</v>
          </cell>
        </row>
      </sheetData>
      <sheetData sheetId="1457">
        <row r="8">
          <cell r="B8">
            <v>43731</v>
          </cell>
        </row>
      </sheetData>
      <sheetData sheetId="1458">
        <row r="8">
          <cell r="B8">
            <v>43731</v>
          </cell>
        </row>
      </sheetData>
      <sheetData sheetId="1459">
        <row r="8">
          <cell r="B8">
            <v>43731</v>
          </cell>
        </row>
      </sheetData>
      <sheetData sheetId="1460">
        <row r="8">
          <cell r="B8">
            <v>43731</v>
          </cell>
        </row>
      </sheetData>
      <sheetData sheetId="1461">
        <row r="8">
          <cell r="B8">
            <v>43731</v>
          </cell>
        </row>
      </sheetData>
      <sheetData sheetId="1462">
        <row r="8">
          <cell r="B8">
            <v>43731</v>
          </cell>
        </row>
      </sheetData>
      <sheetData sheetId="1463">
        <row r="8">
          <cell r="B8">
            <v>43731</v>
          </cell>
        </row>
      </sheetData>
      <sheetData sheetId="1464">
        <row r="8">
          <cell r="B8">
            <v>43731</v>
          </cell>
        </row>
      </sheetData>
      <sheetData sheetId="1465">
        <row r="8">
          <cell r="B8">
            <v>43731</v>
          </cell>
        </row>
      </sheetData>
      <sheetData sheetId="1466">
        <row r="8">
          <cell r="B8">
            <v>43731</v>
          </cell>
        </row>
      </sheetData>
      <sheetData sheetId="1467">
        <row r="8">
          <cell r="B8">
            <v>43731</v>
          </cell>
        </row>
      </sheetData>
      <sheetData sheetId="1468">
        <row r="8">
          <cell r="B8">
            <v>43731</v>
          </cell>
        </row>
      </sheetData>
      <sheetData sheetId="1469">
        <row r="8">
          <cell r="B8">
            <v>43731</v>
          </cell>
        </row>
      </sheetData>
      <sheetData sheetId="1470">
        <row r="8">
          <cell r="B8">
            <v>43731</v>
          </cell>
        </row>
      </sheetData>
      <sheetData sheetId="1471">
        <row r="8">
          <cell r="B8">
            <v>43731</v>
          </cell>
        </row>
      </sheetData>
      <sheetData sheetId="1472">
        <row r="8">
          <cell r="B8">
            <v>43731</v>
          </cell>
        </row>
      </sheetData>
      <sheetData sheetId="1473">
        <row r="8">
          <cell r="B8">
            <v>43731</v>
          </cell>
        </row>
      </sheetData>
      <sheetData sheetId="1474">
        <row r="8">
          <cell r="B8">
            <v>43731</v>
          </cell>
        </row>
      </sheetData>
      <sheetData sheetId="1475">
        <row r="8">
          <cell r="B8">
            <v>43731</v>
          </cell>
        </row>
      </sheetData>
      <sheetData sheetId="1476">
        <row r="8">
          <cell r="B8">
            <v>43731</v>
          </cell>
        </row>
      </sheetData>
      <sheetData sheetId="1477">
        <row r="8">
          <cell r="B8">
            <v>43731</v>
          </cell>
        </row>
      </sheetData>
      <sheetData sheetId="1478">
        <row r="8">
          <cell r="B8">
            <v>43731</v>
          </cell>
        </row>
      </sheetData>
      <sheetData sheetId="1479">
        <row r="8">
          <cell r="B8">
            <v>43731</v>
          </cell>
        </row>
      </sheetData>
      <sheetData sheetId="1480">
        <row r="8">
          <cell r="B8">
            <v>43731</v>
          </cell>
        </row>
      </sheetData>
      <sheetData sheetId="1481">
        <row r="8">
          <cell r="B8">
            <v>43731</v>
          </cell>
        </row>
      </sheetData>
      <sheetData sheetId="1482">
        <row r="8">
          <cell r="B8">
            <v>43731</v>
          </cell>
        </row>
      </sheetData>
      <sheetData sheetId="1483">
        <row r="8">
          <cell r="B8">
            <v>43731</v>
          </cell>
        </row>
      </sheetData>
      <sheetData sheetId="1484">
        <row r="8">
          <cell r="B8">
            <v>43731</v>
          </cell>
        </row>
      </sheetData>
      <sheetData sheetId="1485">
        <row r="8">
          <cell r="B8">
            <v>43731</v>
          </cell>
        </row>
      </sheetData>
      <sheetData sheetId="1486">
        <row r="8">
          <cell r="B8">
            <v>43731</v>
          </cell>
        </row>
      </sheetData>
      <sheetData sheetId="1487">
        <row r="8">
          <cell r="B8">
            <v>43731</v>
          </cell>
        </row>
      </sheetData>
      <sheetData sheetId="1488">
        <row r="8">
          <cell r="B8">
            <v>43731</v>
          </cell>
        </row>
      </sheetData>
      <sheetData sheetId="1489">
        <row r="8">
          <cell r="B8">
            <v>43731</v>
          </cell>
        </row>
      </sheetData>
      <sheetData sheetId="1490">
        <row r="8">
          <cell r="B8">
            <v>43731</v>
          </cell>
        </row>
      </sheetData>
      <sheetData sheetId="1491">
        <row r="8">
          <cell r="B8">
            <v>43731</v>
          </cell>
        </row>
      </sheetData>
      <sheetData sheetId="1492">
        <row r="8">
          <cell r="B8">
            <v>43731</v>
          </cell>
        </row>
      </sheetData>
      <sheetData sheetId="1493">
        <row r="8">
          <cell r="B8">
            <v>43731</v>
          </cell>
        </row>
      </sheetData>
      <sheetData sheetId="1494">
        <row r="8">
          <cell r="B8">
            <v>43731</v>
          </cell>
        </row>
      </sheetData>
      <sheetData sheetId="1495">
        <row r="8">
          <cell r="B8">
            <v>43731</v>
          </cell>
        </row>
      </sheetData>
      <sheetData sheetId="1496">
        <row r="8">
          <cell r="B8">
            <v>43731</v>
          </cell>
        </row>
      </sheetData>
      <sheetData sheetId="1497">
        <row r="8">
          <cell r="B8">
            <v>43731</v>
          </cell>
        </row>
      </sheetData>
      <sheetData sheetId="1498">
        <row r="8">
          <cell r="B8">
            <v>43731</v>
          </cell>
        </row>
      </sheetData>
      <sheetData sheetId="1499">
        <row r="8">
          <cell r="B8">
            <v>43731</v>
          </cell>
        </row>
      </sheetData>
      <sheetData sheetId="1500">
        <row r="8">
          <cell r="B8">
            <v>43731</v>
          </cell>
        </row>
      </sheetData>
      <sheetData sheetId="1501">
        <row r="8">
          <cell r="B8">
            <v>43731</v>
          </cell>
        </row>
      </sheetData>
      <sheetData sheetId="1502">
        <row r="8">
          <cell r="B8">
            <v>43731</v>
          </cell>
        </row>
      </sheetData>
      <sheetData sheetId="1503">
        <row r="8">
          <cell r="B8">
            <v>43731</v>
          </cell>
        </row>
      </sheetData>
      <sheetData sheetId="1504">
        <row r="8">
          <cell r="B8">
            <v>43731</v>
          </cell>
        </row>
      </sheetData>
      <sheetData sheetId="1505">
        <row r="8">
          <cell r="B8">
            <v>43731</v>
          </cell>
        </row>
      </sheetData>
      <sheetData sheetId="1506">
        <row r="8">
          <cell r="B8">
            <v>43731</v>
          </cell>
        </row>
      </sheetData>
      <sheetData sheetId="1507">
        <row r="8">
          <cell r="B8">
            <v>43731</v>
          </cell>
        </row>
      </sheetData>
      <sheetData sheetId="1508">
        <row r="8">
          <cell r="B8">
            <v>43731</v>
          </cell>
        </row>
      </sheetData>
      <sheetData sheetId="1509">
        <row r="8">
          <cell r="B8">
            <v>43731</v>
          </cell>
        </row>
      </sheetData>
      <sheetData sheetId="1510">
        <row r="8">
          <cell r="B8">
            <v>43731</v>
          </cell>
        </row>
      </sheetData>
      <sheetData sheetId="1511">
        <row r="8">
          <cell r="B8">
            <v>43731</v>
          </cell>
        </row>
      </sheetData>
      <sheetData sheetId="1512">
        <row r="8">
          <cell r="B8">
            <v>43731</v>
          </cell>
        </row>
      </sheetData>
      <sheetData sheetId="1513">
        <row r="8">
          <cell r="B8">
            <v>43731</v>
          </cell>
        </row>
      </sheetData>
      <sheetData sheetId="1514">
        <row r="8">
          <cell r="B8">
            <v>43731</v>
          </cell>
        </row>
      </sheetData>
      <sheetData sheetId="1515">
        <row r="8">
          <cell r="B8">
            <v>43731</v>
          </cell>
        </row>
      </sheetData>
      <sheetData sheetId="1516">
        <row r="8">
          <cell r="B8">
            <v>43731</v>
          </cell>
        </row>
      </sheetData>
      <sheetData sheetId="1517">
        <row r="8">
          <cell r="B8">
            <v>43731</v>
          </cell>
        </row>
      </sheetData>
      <sheetData sheetId="1518">
        <row r="8">
          <cell r="B8">
            <v>43731</v>
          </cell>
        </row>
      </sheetData>
      <sheetData sheetId="1519">
        <row r="8">
          <cell r="B8">
            <v>43731</v>
          </cell>
        </row>
      </sheetData>
      <sheetData sheetId="1520">
        <row r="8">
          <cell r="B8">
            <v>43731</v>
          </cell>
        </row>
      </sheetData>
      <sheetData sheetId="1521">
        <row r="8">
          <cell r="B8">
            <v>43731</v>
          </cell>
        </row>
      </sheetData>
      <sheetData sheetId="1522">
        <row r="8">
          <cell r="B8">
            <v>43731</v>
          </cell>
        </row>
      </sheetData>
      <sheetData sheetId="1523">
        <row r="8">
          <cell r="B8">
            <v>43731</v>
          </cell>
        </row>
      </sheetData>
      <sheetData sheetId="1524">
        <row r="8">
          <cell r="B8">
            <v>43731</v>
          </cell>
        </row>
      </sheetData>
      <sheetData sheetId="1525">
        <row r="8">
          <cell r="B8">
            <v>43731</v>
          </cell>
        </row>
      </sheetData>
      <sheetData sheetId="1526">
        <row r="8">
          <cell r="B8">
            <v>43731</v>
          </cell>
        </row>
      </sheetData>
      <sheetData sheetId="1527">
        <row r="8">
          <cell r="B8">
            <v>43731</v>
          </cell>
        </row>
      </sheetData>
      <sheetData sheetId="1528">
        <row r="8">
          <cell r="B8">
            <v>43731</v>
          </cell>
        </row>
      </sheetData>
      <sheetData sheetId="1529">
        <row r="8">
          <cell r="B8">
            <v>43731</v>
          </cell>
        </row>
      </sheetData>
      <sheetData sheetId="1530">
        <row r="8">
          <cell r="B8">
            <v>43731</v>
          </cell>
        </row>
      </sheetData>
      <sheetData sheetId="1531">
        <row r="8">
          <cell r="B8">
            <v>43731</v>
          </cell>
        </row>
      </sheetData>
      <sheetData sheetId="1532">
        <row r="8">
          <cell r="B8">
            <v>43731</v>
          </cell>
        </row>
      </sheetData>
      <sheetData sheetId="1533">
        <row r="8">
          <cell r="B8">
            <v>43731</v>
          </cell>
        </row>
      </sheetData>
      <sheetData sheetId="1534">
        <row r="8">
          <cell r="B8">
            <v>43731</v>
          </cell>
        </row>
      </sheetData>
      <sheetData sheetId="1535">
        <row r="8">
          <cell r="B8">
            <v>43731</v>
          </cell>
        </row>
      </sheetData>
      <sheetData sheetId="1536">
        <row r="8">
          <cell r="B8">
            <v>43731</v>
          </cell>
        </row>
      </sheetData>
      <sheetData sheetId="1537">
        <row r="8">
          <cell r="B8">
            <v>43731</v>
          </cell>
        </row>
      </sheetData>
      <sheetData sheetId="1538">
        <row r="8">
          <cell r="B8">
            <v>43731</v>
          </cell>
        </row>
      </sheetData>
      <sheetData sheetId="1539">
        <row r="8">
          <cell r="B8">
            <v>43731</v>
          </cell>
        </row>
      </sheetData>
      <sheetData sheetId="1540">
        <row r="8">
          <cell r="B8">
            <v>43731</v>
          </cell>
        </row>
      </sheetData>
      <sheetData sheetId="1541">
        <row r="8">
          <cell r="B8">
            <v>43731</v>
          </cell>
        </row>
      </sheetData>
      <sheetData sheetId="1542">
        <row r="8">
          <cell r="B8">
            <v>43731</v>
          </cell>
        </row>
      </sheetData>
      <sheetData sheetId="1543">
        <row r="8">
          <cell r="B8">
            <v>43731</v>
          </cell>
        </row>
      </sheetData>
      <sheetData sheetId="1544">
        <row r="8">
          <cell r="B8">
            <v>43731</v>
          </cell>
        </row>
      </sheetData>
      <sheetData sheetId="1545">
        <row r="8">
          <cell r="B8">
            <v>43731</v>
          </cell>
        </row>
      </sheetData>
      <sheetData sheetId="1546">
        <row r="8">
          <cell r="B8">
            <v>43731</v>
          </cell>
        </row>
      </sheetData>
      <sheetData sheetId="1547">
        <row r="8">
          <cell r="B8">
            <v>43731</v>
          </cell>
        </row>
      </sheetData>
      <sheetData sheetId="1548">
        <row r="8">
          <cell r="B8">
            <v>43731</v>
          </cell>
        </row>
      </sheetData>
      <sheetData sheetId="1549">
        <row r="8">
          <cell r="B8">
            <v>43731</v>
          </cell>
        </row>
      </sheetData>
      <sheetData sheetId="1550">
        <row r="8">
          <cell r="B8">
            <v>43731</v>
          </cell>
        </row>
      </sheetData>
      <sheetData sheetId="1551">
        <row r="8">
          <cell r="B8">
            <v>43731</v>
          </cell>
        </row>
      </sheetData>
      <sheetData sheetId="1552">
        <row r="8">
          <cell r="B8">
            <v>43731</v>
          </cell>
        </row>
      </sheetData>
      <sheetData sheetId="1553">
        <row r="8">
          <cell r="B8">
            <v>43731</v>
          </cell>
        </row>
      </sheetData>
      <sheetData sheetId="1554">
        <row r="8">
          <cell r="B8">
            <v>43731</v>
          </cell>
        </row>
      </sheetData>
      <sheetData sheetId="1555">
        <row r="8">
          <cell r="B8">
            <v>43731</v>
          </cell>
        </row>
      </sheetData>
      <sheetData sheetId="1556">
        <row r="8">
          <cell r="B8">
            <v>43731</v>
          </cell>
        </row>
      </sheetData>
      <sheetData sheetId="1557">
        <row r="8">
          <cell r="B8">
            <v>43731</v>
          </cell>
        </row>
      </sheetData>
      <sheetData sheetId="1558">
        <row r="8">
          <cell r="B8">
            <v>43731</v>
          </cell>
        </row>
      </sheetData>
      <sheetData sheetId="1559">
        <row r="8">
          <cell r="B8">
            <v>43731</v>
          </cell>
        </row>
      </sheetData>
      <sheetData sheetId="1560">
        <row r="8">
          <cell r="B8">
            <v>43731</v>
          </cell>
        </row>
      </sheetData>
      <sheetData sheetId="1561">
        <row r="8">
          <cell r="B8">
            <v>43731</v>
          </cell>
        </row>
      </sheetData>
      <sheetData sheetId="1562">
        <row r="8">
          <cell r="B8">
            <v>43731</v>
          </cell>
        </row>
      </sheetData>
      <sheetData sheetId="1563">
        <row r="8">
          <cell r="B8">
            <v>43731</v>
          </cell>
        </row>
      </sheetData>
      <sheetData sheetId="1564">
        <row r="8">
          <cell r="B8">
            <v>43731</v>
          </cell>
        </row>
      </sheetData>
      <sheetData sheetId="1565">
        <row r="8">
          <cell r="B8">
            <v>43731</v>
          </cell>
        </row>
      </sheetData>
      <sheetData sheetId="1566">
        <row r="8">
          <cell r="B8">
            <v>43731</v>
          </cell>
        </row>
      </sheetData>
      <sheetData sheetId="1567">
        <row r="8">
          <cell r="B8">
            <v>43731</v>
          </cell>
        </row>
      </sheetData>
      <sheetData sheetId="1568">
        <row r="8">
          <cell r="B8">
            <v>43731</v>
          </cell>
        </row>
      </sheetData>
      <sheetData sheetId="1569">
        <row r="8">
          <cell r="B8">
            <v>43731</v>
          </cell>
        </row>
      </sheetData>
      <sheetData sheetId="1570">
        <row r="8">
          <cell r="B8">
            <v>43731</v>
          </cell>
        </row>
      </sheetData>
      <sheetData sheetId="1571">
        <row r="8">
          <cell r="B8">
            <v>43731</v>
          </cell>
        </row>
      </sheetData>
      <sheetData sheetId="1572">
        <row r="8">
          <cell r="B8">
            <v>43731</v>
          </cell>
        </row>
      </sheetData>
      <sheetData sheetId="1573">
        <row r="8">
          <cell r="B8">
            <v>43731</v>
          </cell>
        </row>
      </sheetData>
      <sheetData sheetId="1574">
        <row r="8">
          <cell r="B8">
            <v>43731</v>
          </cell>
        </row>
      </sheetData>
      <sheetData sheetId="1575">
        <row r="8">
          <cell r="B8">
            <v>43731</v>
          </cell>
        </row>
      </sheetData>
      <sheetData sheetId="1576">
        <row r="8">
          <cell r="B8">
            <v>43731</v>
          </cell>
        </row>
      </sheetData>
      <sheetData sheetId="1577">
        <row r="8">
          <cell r="B8">
            <v>43731</v>
          </cell>
        </row>
      </sheetData>
      <sheetData sheetId="1578">
        <row r="8">
          <cell r="B8">
            <v>43731</v>
          </cell>
        </row>
      </sheetData>
      <sheetData sheetId="1579">
        <row r="8">
          <cell r="B8">
            <v>43731</v>
          </cell>
        </row>
      </sheetData>
      <sheetData sheetId="1580">
        <row r="8">
          <cell r="B8">
            <v>43731</v>
          </cell>
        </row>
      </sheetData>
      <sheetData sheetId="1581">
        <row r="8">
          <cell r="B8">
            <v>43731</v>
          </cell>
        </row>
      </sheetData>
      <sheetData sheetId="1582">
        <row r="8">
          <cell r="B8">
            <v>43731</v>
          </cell>
        </row>
      </sheetData>
      <sheetData sheetId="1583">
        <row r="8">
          <cell r="B8">
            <v>43731</v>
          </cell>
        </row>
      </sheetData>
      <sheetData sheetId="1584">
        <row r="8">
          <cell r="B8">
            <v>43731</v>
          </cell>
        </row>
      </sheetData>
      <sheetData sheetId="1585">
        <row r="8">
          <cell r="B8">
            <v>43731</v>
          </cell>
        </row>
      </sheetData>
      <sheetData sheetId="1586">
        <row r="8">
          <cell r="B8">
            <v>43731</v>
          </cell>
        </row>
      </sheetData>
      <sheetData sheetId="1587">
        <row r="8">
          <cell r="B8">
            <v>43731</v>
          </cell>
        </row>
      </sheetData>
      <sheetData sheetId="1588">
        <row r="8">
          <cell r="B8">
            <v>43731</v>
          </cell>
        </row>
      </sheetData>
      <sheetData sheetId="1589">
        <row r="8">
          <cell r="B8">
            <v>43731</v>
          </cell>
        </row>
      </sheetData>
      <sheetData sheetId="1590">
        <row r="8">
          <cell r="B8">
            <v>43731</v>
          </cell>
        </row>
      </sheetData>
      <sheetData sheetId="1591">
        <row r="8">
          <cell r="B8">
            <v>43731</v>
          </cell>
        </row>
      </sheetData>
      <sheetData sheetId="1592">
        <row r="8">
          <cell r="B8">
            <v>43731</v>
          </cell>
        </row>
      </sheetData>
      <sheetData sheetId="1593">
        <row r="8">
          <cell r="B8">
            <v>43731</v>
          </cell>
        </row>
      </sheetData>
      <sheetData sheetId="1594">
        <row r="8">
          <cell r="B8">
            <v>43731</v>
          </cell>
        </row>
      </sheetData>
      <sheetData sheetId="1595">
        <row r="8">
          <cell r="B8">
            <v>43731</v>
          </cell>
        </row>
      </sheetData>
      <sheetData sheetId="1596">
        <row r="8">
          <cell r="B8">
            <v>43731</v>
          </cell>
        </row>
      </sheetData>
      <sheetData sheetId="1597">
        <row r="8">
          <cell r="B8">
            <v>43731</v>
          </cell>
        </row>
      </sheetData>
      <sheetData sheetId="1598">
        <row r="8">
          <cell r="B8">
            <v>43731</v>
          </cell>
        </row>
      </sheetData>
      <sheetData sheetId="1599">
        <row r="8">
          <cell r="B8">
            <v>43731</v>
          </cell>
        </row>
      </sheetData>
      <sheetData sheetId="1600">
        <row r="8">
          <cell r="B8">
            <v>43731</v>
          </cell>
        </row>
      </sheetData>
      <sheetData sheetId="1601">
        <row r="8">
          <cell r="B8">
            <v>43731</v>
          </cell>
        </row>
      </sheetData>
      <sheetData sheetId="1602">
        <row r="8">
          <cell r="B8">
            <v>43731</v>
          </cell>
        </row>
      </sheetData>
      <sheetData sheetId="1603">
        <row r="8">
          <cell r="B8">
            <v>43731</v>
          </cell>
        </row>
      </sheetData>
      <sheetData sheetId="1604">
        <row r="8">
          <cell r="B8">
            <v>43731</v>
          </cell>
        </row>
      </sheetData>
      <sheetData sheetId="1605">
        <row r="8">
          <cell r="B8">
            <v>43731</v>
          </cell>
        </row>
      </sheetData>
      <sheetData sheetId="1606">
        <row r="8">
          <cell r="B8">
            <v>43731</v>
          </cell>
        </row>
      </sheetData>
      <sheetData sheetId="1607">
        <row r="8">
          <cell r="B8">
            <v>43731</v>
          </cell>
        </row>
      </sheetData>
      <sheetData sheetId="1608">
        <row r="8">
          <cell r="B8">
            <v>43731</v>
          </cell>
        </row>
      </sheetData>
      <sheetData sheetId="1609">
        <row r="8">
          <cell r="B8">
            <v>43731</v>
          </cell>
        </row>
      </sheetData>
      <sheetData sheetId="1610">
        <row r="8">
          <cell r="B8">
            <v>43731</v>
          </cell>
        </row>
      </sheetData>
      <sheetData sheetId="1611">
        <row r="8">
          <cell r="B8">
            <v>43731</v>
          </cell>
        </row>
      </sheetData>
      <sheetData sheetId="1612">
        <row r="8">
          <cell r="B8">
            <v>43731</v>
          </cell>
        </row>
      </sheetData>
      <sheetData sheetId="1613">
        <row r="8">
          <cell r="B8">
            <v>43731</v>
          </cell>
        </row>
      </sheetData>
      <sheetData sheetId="1614">
        <row r="8">
          <cell r="B8">
            <v>43731</v>
          </cell>
        </row>
      </sheetData>
      <sheetData sheetId="1615">
        <row r="8">
          <cell r="B8">
            <v>43731</v>
          </cell>
        </row>
      </sheetData>
      <sheetData sheetId="1616">
        <row r="8">
          <cell r="B8">
            <v>43731</v>
          </cell>
        </row>
      </sheetData>
      <sheetData sheetId="1617">
        <row r="8">
          <cell r="B8">
            <v>43731</v>
          </cell>
        </row>
      </sheetData>
      <sheetData sheetId="1618">
        <row r="8">
          <cell r="B8">
            <v>43731</v>
          </cell>
        </row>
      </sheetData>
      <sheetData sheetId="1619">
        <row r="8">
          <cell r="B8">
            <v>43731</v>
          </cell>
        </row>
      </sheetData>
      <sheetData sheetId="1620">
        <row r="8">
          <cell r="B8">
            <v>43731</v>
          </cell>
        </row>
      </sheetData>
      <sheetData sheetId="1621">
        <row r="8">
          <cell r="B8">
            <v>43731</v>
          </cell>
        </row>
      </sheetData>
      <sheetData sheetId="1622">
        <row r="8">
          <cell r="B8">
            <v>43731</v>
          </cell>
        </row>
      </sheetData>
      <sheetData sheetId="1623">
        <row r="8">
          <cell r="B8">
            <v>43731</v>
          </cell>
        </row>
      </sheetData>
      <sheetData sheetId="1624">
        <row r="8">
          <cell r="B8">
            <v>43731</v>
          </cell>
        </row>
      </sheetData>
      <sheetData sheetId="1625">
        <row r="8">
          <cell r="B8">
            <v>43731</v>
          </cell>
        </row>
      </sheetData>
      <sheetData sheetId="1626">
        <row r="8">
          <cell r="B8">
            <v>43731</v>
          </cell>
        </row>
      </sheetData>
      <sheetData sheetId="1627">
        <row r="8">
          <cell r="B8">
            <v>43731</v>
          </cell>
        </row>
      </sheetData>
      <sheetData sheetId="1628">
        <row r="8">
          <cell r="B8">
            <v>43731</v>
          </cell>
        </row>
      </sheetData>
      <sheetData sheetId="1629">
        <row r="8">
          <cell r="B8">
            <v>43731</v>
          </cell>
        </row>
      </sheetData>
      <sheetData sheetId="1630">
        <row r="8">
          <cell r="B8">
            <v>43731</v>
          </cell>
        </row>
      </sheetData>
      <sheetData sheetId="1631">
        <row r="8">
          <cell r="B8">
            <v>43731</v>
          </cell>
        </row>
      </sheetData>
      <sheetData sheetId="1632">
        <row r="8">
          <cell r="B8">
            <v>43731</v>
          </cell>
        </row>
      </sheetData>
      <sheetData sheetId="1633">
        <row r="8">
          <cell r="B8">
            <v>43731</v>
          </cell>
        </row>
      </sheetData>
      <sheetData sheetId="1634">
        <row r="8">
          <cell r="B8">
            <v>43731</v>
          </cell>
        </row>
      </sheetData>
      <sheetData sheetId="1635">
        <row r="8">
          <cell r="B8">
            <v>43731</v>
          </cell>
        </row>
      </sheetData>
      <sheetData sheetId="1636">
        <row r="8">
          <cell r="B8">
            <v>43731</v>
          </cell>
        </row>
      </sheetData>
      <sheetData sheetId="1637">
        <row r="8">
          <cell r="B8">
            <v>43731</v>
          </cell>
        </row>
      </sheetData>
      <sheetData sheetId="1638">
        <row r="8">
          <cell r="B8">
            <v>43731</v>
          </cell>
        </row>
      </sheetData>
      <sheetData sheetId="1639">
        <row r="8">
          <cell r="B8">
            <v>43731</v>
          </cell>
        </row>
      </sheetData>
      <sheetData sheetId="1640">
        <row r="8">
          <cell r="B8">
            <v>43731</v>
          </cell>
        </row>
      </sheetData>
      <sheetData sheetId="1641">
        <row r="8">
          <cell r="B8">
            <v>43731</v>
          </cell>
        </row>
      </sheetData>
      <sheetData sheetId="1642">
        <row r="8">
          <cell r="B8">
            <v>43731</v>
          </cell>
        </row>
      </sheetData>
      <sheetData sheetId="1643">
        <row r="8">
          <cell r="B8">
            <v>43731</v>
          </cell>
        </row>
      </sheetData>
      <sheetData sheetId="1644">
        <row r="8">
          <cell r="B8">
            <v>43731</v>
          </cell>
        </row>
      </sheetData>
      <sheetData sheetId="1645">
        <row r="8">
          <cell r="B8">
            <v>43731</v>
          </cell>
        </row>
      </sheetData>
      <sheetData sheetId="1646">
        <row r="8">
          <cell r="B8">
            <v>43731</v>
          </cell>
        </row>
      </sheetData>
      <sheetData sheetId="1647">
        <row r="8">
          <cell r="B8">
            <v>43731</v>
          </cell>
        </row>
      </sheetData>
      <sheetData sheetId="1648">
        <row r="8">
          <cell r="B8">
            <v>43731</v>
          </cell>
        </row>
      </sheetData>
      <sheetData sheetId="1649">
        <row r="8">
          <cell r="B8">
            <v>43731</v>
          </cell>
        </row>
      </sheetData>
      <sheetData sheetId="1650">
        <row r="8">
          <cell r="B8">
            <v>43731</v>
          </cell>
        </row>
      </sheetData>
      <sheetData sheetId="1651">
        <row r="8">
          <cell r="B8">
            <v>43731</v>
          </cell>
        </row>
      </sheetData>
      <sheetData sheetId="1652">
        <row r="8">
          <cell r="B8">
            <v>43731</v>
          </cell>
        </row>
      </sheetData>
      <sheetData sheetId="1653">
        <row r="8">
          <cell r="B8">
            <v>43731</v>
          </cell>
        </row>
      </sheetData>
      <sheetData sheetId="1654">
        <row r="8">
          <cell r="B8">
            <v>43731</v>
          </cell>
        </row>
      </sheetData>
      <sheetData sheetId="1655">
        <row r="8">
          <cell r="B8">
            <v>43731</v>
          </cell>
        </row>
      </sheetData>
      <sheetData sheetId="1656">
        <row r="8">
          <cell r="B8">
            <v>43731</v>
          </cell>
        </row>
      </sheetData>
      <sheetData sheetId="1657">
        <row r="8">
          <cell r="B8">
            <v>43731</v>
          </cell>
        </row>
      </sheetData>
      <sheetData sheetId="1658">
        <row r="8">
          <cell r="B8">
            <v>43731</v>
          </cell>
        </row>
      </sheetData>
      <sheetData sheetId="1659">
        <row r="8">
          <cell r="B8">
            <v>43731</v>
          </cell>
        </row>
      </sheetData>
      <sheetData sheetId="1660">
        <row r="8">
          <cell r="B8">
            <v>43731</v>
          </cell>
        </row>
      </sheetData>
      <sheetData sheetId="1661">
        <row r="8">
          <cell r="B8">
            <v>43731</v>
          </cell>
        </row>
      </sheetData>
      <sheetData sheetId="1662">
        <row r="8">
          <cell r="B8">
            <v>43731</v>
          </cell>
        </row>
      </sheetData>
      <sheetData sheetId="1663">
        <row r="8">
          <cell r="B8">
            <v>43731</v>
          </cell>
        </row>
      </sheetData>
      <sheetData sheetId="1664">
        <row r="8">
          <cell r="B8">
            <v>43731</v>
          </cell>
        </row>
      </sheetData>
      <sheetData sheetId="1665">
        <row r="8">
          <cell r="B8">
            <v>43731</v>
          </cell>
        </row>
      </sheetData>
      <sheetData sheetId="1666">
        <row r="8">
          <cell r="B8">
            <v>43731</v>
          </cell>
        </row>
      </sheetData>
      <sheetData sheetId="1667">
        <row r="8">
          <cell r="B8">
            <v>43731</v>
          </cell>
        </row>
      </sheetData>
      <sheetData sheetId="1668">
        <row r="8">
          <cell r="B8">
            <v>43731</v>
          </cell>
        </row>
      </sheetData>
      <sheetData sheetId="1669">
        <row r="8">
          <cell r="B8">
            <v>43731</v>
          </cell>
        </row>
      </sheetData>
      <sheetData sheetId="1670">
        <row r="8">
          <cell r="B8">
            <v>43731</v>
          </cell>
        </row>
      </sheetData>
      <sheetData sheetId="1671">
        <row r="8">
          <cell r="B8">
            <v>43731</v>
          </cell>
        </row>
      </sheetData>
      <sheetData sheetId="1672">
        <row r="8">
          <cell r="B8">
            <v>43731</v>
          </cell>
        </row>
      </sheetData>
      <sheetData sheetId="1673">
        <row r="8">
          <cell r="B8">
            <v>43731</v>
          </cell>
        </row>
      </sheetData>
      <sheetData sheetId="1674">
        <row r="8">
          <cell r="B8">
            <v>43731</v>
          </cell>
        </row>
      </sheetData>
      <sheetData sheetId="1675">
        <row r="8">
          <cell r="B8">
            <v>43731</v>
          </cell>
        </row>
      </sheetData>
      <sheetData sheetId="1676">
        <row r="8">
          <cell r="B8">
            <v>43731</v>
          </cell>
        </row>
      </sheetData>
      <sheetData sheetId="1677">
        <row r="8">
          <cell r="B8">
            <v>43731</v>
          </cell>
        </row>
      </sheetData>
      <sheetData sheetId="1678">
        <row r="8">
          <cell r="B8">
            <v>43731</v>
          </cell>
        </row>
      </sheetData>
      <sheetData sheetId="1679">
        <row r="8">
          <cell r="B8">
            <v>43731</v>
          </cell>
        </row>
      </sheetData>
      <sheetData sheetId="1680">
        <row r="8">
          <cell r="B8">
            <v>43731</v>
          </cell>
        </row>
      </sheetData>
      <sheetData sheetId="1681">
        <row r="8">
          <cell r="B8">
            <v>43731</v>
          </cell>
        </row>
      </sheetData>
      <sheetData sheetId="1682">
        <row r="8">
          <cell r="B8">
            <v>43731</v>
          </cell>
        </row>
      </sheetData>
      <sheetData sheetId="1683">
        <row r="8">
          <cell r="B8">
            <v>43731</v>
          </cell>
        </row>
      </sheetData>
      <sheetData sheetId="1684">
        <row r="8">
          <cell r="B8">
            <v>43731</v>
          </cell>
        </row>
      </sheetData>
      <sheetData sheetId="1685">
        <row r="8">
          <cell r="B8">
            <v>43731</v>
          </cell>
        </row>
      </sheetData>
      <sheetData sheetId="1686">
        <row r="8">
          <cell r="B8">
            <v>43731</v>
          </cell>
        </row>
      </sheetData>
      <sheetData sheetId="1687">
        <row r="8">
          <cell r="B8">
            <v>43731</v>
          </cell>
        </row>
      </sheetData>
      <sheetData sheetId="1688">
        <row r="8">
          <cell r="B8">
            <v>43731</v>
          </cell>
        </row>
      </sheetData>
      <sheetData sheetId="1689">
        <row r="8">
          <cell r="B8">
            <v>43731</v>
          </cell>
        </row>
      </sheetData>
      <sheetData sheetId="1690">
        <row r="8">
          <cell r="B8">
            <v>43731</v>
          </cell>
        </row>
      </sheetData>
      <sheetData sheetId="1691">
        <row r="8">
          <cell r="B8">
            <v>43731</v>
          </cell>
        </row>
      </sheetData>
      <sheetData sheetId="1692">
        <row r="8">
          <cell r="B8">
            <v>43731</v>
          </cell>
        </row>
      </sheetData>
      <sheetData sheetId="1693">
        <row r="8">
          <cell r="B8">
            <v>43731</v>
          </cell>
        </row>
      </sheetData>
      <sheetData sheetId="1694">
        <row r="8">
          <cell r="B8">
            <v>43731</v>
          </cell>
        </row>
      </sheetData>
      <sheetData sheetId="1695">
        <row r="8">
          <cell r="B8">
            <v>43731</v>
          </cell>
        </row>
      </sheetData>
      <sheetData sheetId="1696">
        <row r="8">
          <cell r="B8">
            <v>43731</v>
          </cell>
        </row>
      </sheetData>
      <sheetData sheetId="1697">
        <row r="8">
          <cell r="B8">
            <v>43731</v>
          </cell>
        </row>
      </sheetData>
      <sheetData sheetId="1698">
        <row r="8">
          <cell r="B8">
            <v>43731</v>
          </cell>
        </row>
      </sheetData>
      <sheetData sheetId="1699">
        <row r="8">
          <cell r="B8">
            <v>43731</v>
          </cell>
        </row>
      </sheetData>
      <sheetData sheetId="1700">
        <row r="8">
          <cell r="B8">
            <v>43731</v>
          </cell>
        </row>
      </sheetData>
      <sheetData sheetId="1701">
        <row r="8">
          <cell r="B8">
            <v>43731</v>
          </cell>
        </row>
      </sheetData>
      <sheetData sheetId="1702">
        <row r="8">
          <cell r="B8">
            <v>43731</v>
          </cell>
        </row>
      </sheetData>
      <sheetData sheetId="1703">
        <row r="8">
          <cell r="B8">
            <v>43731</v>
          </cell>
        </row>
      </sheetData>
      <sheetData sheetId="1704">
        <row r="8">
          <cell r="B8">
            <v>43731</v>
          </cell>
        </row>
      </sheetData>
      <sheetData sheetId="1705">
        <row r="8">
          <cell r="B8">
            <v>43731</v>
          </cell>
        </row>
      </sheetData>
      <sheetData sheetId="1706">
        <row r="8">
          <cell r="B8">
            <v>43731</v>
          </cell>
        </row>
      </sheetData>
      <sheetData sheetId="1707">
        <row r="8">
          <cell r="B8">
            <v>43731</v>
          </cell>
        </row>
      </sheetData>
      <sheetData sheetId="1708">
        <row r="8">
          <cell r="B8">
            <v>43731</v>
          </cell>
        </row>
      </sheetData>
      <sheetData sheetId="1709">
        <row r="8">
          <cell r="B8">
            <v>43731</v>
          </cell>
        </row>
      </sheetData>
      <sheetData sheetId="1710">
        <row r="8">
          <cell r="B8">
            <v>43731</v>
          </cell>
        </row>
      </sheetData>
      <sheetData sheetId="1711">
        <row r="8">
          <cell r="B8">
            <v>43731</v>
          </cell>
        </row>
      </sheetData>
      <sheetData sheetId="1712">
        <row r="8">
          <cell r="B8">
            <v>43731</v>
          </cell>
        </row>
      </sheetData>
      <sheetData sheetId="1713">
        <row r="8">
          <cell r="B8">
            <v>43731</v>
          </cell>
        </row>
      </sheetData>
      <sheetData sheetId="1714">
        <row r="8">
          <cell r="B8">
            <v>43731</v>
          </cell>
        </row>
      </sheetData>
      <sheetData sheetId="1715">
        <row r="8">
          <cell r="B8">
            <v>43731</v>
          </cell>
        </row>
      </sheetData>
      <sheetData sheetId="1716">
        <row r="8">
          <cell r="B8">
            <v>43731</v>
          </cell>
        </row>
      </sheetData>
      <sheetData sheetId="1717">
        <row r="8">
          <cell r="B8">
            <v>43731</v>
          </cell>
        </row>
      </sheetData>
      <sheetData sheetId="1718">
        <row r="8">
          <cell r="B8">
            <v>43731</v>
          </cell>
        </row>
      </sheetData>
      <sheetData sheetId="1719">
        <row r="8">
          <cell r="B8">
            <v>43731</v>
          </cell>
        </row>
      </sheetData>
      <sheetData sheetId="1720">
        <row r="8">
          <cell r="B8">
            <v>43731</v>
          </cell>
        </row>
      </sheetData>
      <sheetData sheetId="1721">
        <row r="8">
          <cell r="B8">
            <v>43731</v>
          </cell>
        </row>
      </sheetData>
      <sheetData sheetId="1722">
        <row r="8">
          <cell r="B8">
            <v>43731</v>
          </cell>
        </row>
      </sheetData>
      <sheetData sheetId="1723">
        <row r="8">
          <cell r="B8">
            <v>43731</v>
          </cell>
        </row>
      </sheetData>
      <sheetData sheetId="1724">
        <row r="8">
          <cell r="B8">
            <v>43731</v>
          </cell>
        </row>
      </sheetData>
      <sheetData sheetId="1725">
        <row r="8">
          <cell r="B8">
            <v>43731</v>
          </cell>
        </row>
      </sheetData>
      <sheetData sheetId="1726">
        <row r="8">
          <cell r="B8">
            <v>43731</v>
          </cell>
        </row>
      </sheetData>
      <sheetData sheetId="1727">
        <row r="8">
          <cell r="B8">
            <v>43731</v>
          </cell>
        </row>
      </sheetData>
      <sheetData sheetId="1728">
        <row r="8">
          <cell r="B8">
            <v>43731</v>
          </cell>
        </row>
      </sheetData>
      <sheetData sheetId="1729">
        <row r="8">
          <cell r="B8">
            <v>43731</v>
          </cell>
        </row>
      </sheetData>
      <sheetData sheetId="1730">
        <row r="8">
          <cell r="B8">
            <v>43731</v>
          </cell>
        </row>
      </sheetData>
      <sheetData sheetId="1731">
        <row r="8">
          <cell r="B8">
            <v>43731</v>
          </cell>
        </row>
      </sheetData>
      <sheetData sheetId="1732">
        <row r="8">
          <cell r="B8">
            <v>43731</v>
          </cell>
        </row>
      </sheetData>
      <sheetData sheetId="1733">
        <row r="8">
          <cell r="B8">
            <v>43731</v>
          </cell>
        </row>
      </sheetData>
      <sheetData sheetId="1734">
        <row r="8">
          <cell r="B8">
            <v>43731</v>
          </cell>
        </row>
      </sheetData>
      <sheetData sheetId="1735">
        <row r="8">
          <cell r="B8">
            <v>43731</v>
          </cell>
        </row>
      </sheetData>
      <sheetData sheetId="1736">
        <row r="8">
          <cell r="B8">
            <v>43731</v>
          </cell>
        </row>
      </sheetData>
      <sheetData sheetId="1737">
        <row r="8">
          <cell r="B8">
            <v>43731</v>
          </cell>
        </row>
      </sheetData>
      <sheetData sheetId="1738">
        <row r="8">
          <cell r="B8">
            <v>43731</v>
          </cell>
        </row>
      </sheetData>
      <sheetData sheetId="1739">
        <row r="8">
          <cell r="B8">
            <v>43731</v>
          </cell>
        </row>
      </sheetData>
      <sheetData sheetId="1740">
        <row r="8">
          <cell r="B8">
            <v>43731</v>
          </cell>
        </row>
      </sheetData>
      <sheetData sheetId="1741">
        <row r="8">
          <cell r="B8">
            <v>43731</v>
          </cell>
        </row>
      </sheetData>
      <sheetData sheetId="1742">
        <row r="8">
          <cell r="B8">
            <v>43731</v>
          </cell>
        </row>
      </sheetData>
      <sheetData sheetId="1743">
        <row r="8">
          <cell r="B8">
            <v>43731</v>
          </cell>
        </row>
      </sheetData>
      <sheetData sheetId="1744">
        <row r="8">
          <cell r="B8">
            <v>43731</v>
          </cell>
        </row>
      </sheetData>
      <sheetData sheetId="1745">
        <row r="8">
          <cell r="B8">
            <v>43731</v>
          </cell>
        </row>
      </sheetData>
      <sheetData sheetId="1746">
        <row r="8">
          <cell r="B8">
            <v>43731</v>
          </cell>
        </row>
      </sheetData>
      <sheetData sheetId="1747">
        <row r="8">
          <cell r="B8">
            <v>43731</v>
          </cell>
        </row>
      </sheetData>
      <sheetData sheetId="1748">
        <row r="8">
          <cell r="B8">
            <v>43731</v>
          </cell>
        </row>
      </sheetData>
      <sheetData sheetId="1749">
        <row r="8">
          <cell r="B8">
            <v>43731</v>
          </cell>
        </row>
      </sheetData>
      <sheetData sheetId="1750">
        <row r="8">
          <cell r="B8">
            <v>43731</v>
          </cell>
        </row>
      </sheetData>
      <sheetData sheetId="1751">
        <row r="8">
          <cell r="B8">
            <v>43731</v>
          </cell>
        </row>
      </sheetData>
      <sheetData sheetId="1752">
        <row r="8">
          <cell r="B8">
            <v>43731</v>
          </cell>
        </row>
      </sheetData>
      <sheetData sheetId="1753">
        <row r="8">
          <cell r="B8">
            <v>43731</v>
          </cell>
        </row>
      </sheetData>
      <sheetData sheetId="1754">
        <row r="8">
          <cell r="B8">
            <v>43731</v>
          </cell>
        </row>
      </sheetData>
      <sheetData sheetId="1755">
        <row r="8">
          <cell r="B8">
            <v>43731</v>
          </cell>
        </row>
      </sheetData>
      <sheetData sheetId="1756">
        <row r="8">
          <cell r="B8">
            <v>43731</v>
          </cell>
        </row>
      </sheetData>
      <sheetData sheetId="1757">
        <row r="8">
          <cell r="B8">
            <v>43731</v>
          </cell>
        </row>
      </sheetData>
      <sheetData sheetId="1758">
        <row r="8">
          <cell r="B8">
            <v>43731</v>
          </cell>
        </row>
      </sheetData>
      <sheetData sheetId="1759">
        <row r="8">
          <cell r="B8">
            <v>43731</v>
          </cell>
        </row>
      </sheetData>
      <sheetData sheetId="1760">
        <row r="8">
          <cell r="B8">
            <v>43731</v>
          </cell>
        </row>
      </sheetData>
      <sheetData sheetId="1761">
        <row r="8">
          <cell r="B8">
            <v>43731</v>
          </cell>
        </row>
      </sheetData>
      <sheetData sheetId="1762">
        <row r="8">
          <cell r="B8">
            <v>43731</v>
          </cell>
        </row>
      </sheetData>
      <sheetData sheetId="1763">
        <row r="8">
          <cell r="B8">
            <v>43731</v>
          </cell>
        </row>
      </sheetData>
      <sheetData sheetId="1764">
        <row r="8">
          <cell r="B8">
            <v>43731</v>
          </cell>
        </row>
      </sheetData>
      <sheetData sheetId="1765">
        <row r="8">
          <cell r="B8">
            <v>43731</v>
          </cell>
        </row>
      </sheetData>
      <sheetData sheetId="1766">
        <row r="8">
          <cell r="B8">
            <v>43731</v>
          </cell>
        </row>
      </sheetData>
      <sheetData sheetId="1767">
        <row r="8">
          <cell r="B8">
            <v>43731</v>
          </cell>
        </row>
      </sheetData>
      <sheetData sheetId="1768">
        <row r="8">
          <cell r="B8">
            <v>43731</v>
          </cell>
        </row>
      </sheetData>
      <sheetData sheetId="1769">
        <row r="8">
          <cell r="B8">
            <v>43731</v>
          </cell>
        </row>
      </sheetData>
      <sheetData sheetId="1770">
        <row r="8">
          <cell r="B8">
            <v>43731</v>
          </cell>
        </row>
      </sheetData>
      <sheetData sheetId="1771">
        <row r="8">
          <cell r="B8">
            <v>43731</v>
          </cell>
        </row>
      </sheetData>
      <sheetData sheetId="1772">
        <row r="8">
          <cell r="B8">
            <v>43731</v>
          </cell>
        </row>
      </sheetData>
      <sheetData sheetId="1773">
        <row r="8">
          <cell r="B8">
            <v>43731</v>
          </cell>
        </row>
      </sheetData>
      <sheetData sheetId="1774">
        <row r="8">
          <cell r="B8">
            <v>43731</v>
          </cell>
        </row>
      </sheetData>
      <sheetData sheetId="1775">
        <row r="8">
          <cell r="B8">
            <v>43731</v>
          </cell>
        </row>
      </sheetData>
      <sheetData sheetId="1776">
        <row r="8">
          <cell r="B8">
            <v>43731</v>
          </cell>
        </row>
      </sheetData>
      <sheetData sheetId="1777">
        <row r="8">
          <cell r="B8">
            <v>43731</v>
          </cell>
        </row>
      </sheetData>
      <sheetData sheetId="1778">
        <row r="8">
          <cell r="B8">
            <v>43731</v>
          </cell>
        </row>
      </sheetData>
      <sheetData sheetId="1779">
        <row r="8">
          <cell r="B8">
            <v>43731</v>
          </cell>
        </row>
      </sheetData>
      <sheetData sheetId="1780">
        <row r="8">
          <cell r="B8">
            <v>43731</v>
          </cell>
        </row>
      </sheetData>
      <sheetData sheetId="1781">
        <row r="8">
          <cell r="B8">
            <v>43731</v>
          </cell>
        </row>
      </sheetData>
      <sheetData sheetId="1782">
        <row r="8">
          <cell r="B8">
            <v>43731</v>
          </cell>
        </row>
      </sheetData>
      <sheetData sheetId="1783">
        <row r="8">
          <cell r="B8">
            <v>43731</v>
          </cell>
        </row>
      </sheetData>
      <sheetData sheetId="1784">
        <row r="8">
          <cell r="B8">
            <v>43731</v>
          </cell>
        </row>
      </sheetData>
      <sheetData sheetId="1785">
        <row r="8">
          <cell r="B8">
            <v>43731</v>
          </cell>
        </row>
      </sheetData>
      <sheetData sheetId="1786">
        <row r="8">
          <cell r="B8">
            <v>43731</v>
          </cell>
        </row>
      </sheetData>
      <sheetData sheetId="1787">
        <row r="8">
          <cell r="B8">
            <v>43731</v>
          </cell>
        </row>
      </sheetData>
      <sheetData sheetId="1788">
        <row r="8">
          <cell r="B8">
            <v>43731</v>
          </cell>
        </row>
      </sheetData>
      <sheetData sheetId="1789">
        <row r="8">
          <cell r="B8">
            <v>43731</v>
          </cell>
        </row>
      </sheetData>
      <sheetData sheetId="1790">
        <row r="8">
          <cell r="B8">
            <v>43731</v>
          </cell>
        </row>
      </sheetData>
      <sheetData sheetId="1791">
        <row r="8">
          <cell r="B8">
            <v>43731</v>
          </cell>
        </row>
      </sheetData>
      <sheetData sheetId="1792">
        <row r="8">
          <cell r="B8">
            <v>43731</v>
          </cell>
        </row>
      </sheetData>
      <sheetData sheetId="1793">
        <row r="8">
          <cell r="B8">
            <v>43731</v>
          </cell>
        </row>
      </sheetData>
      <sheetData sheetId="1794">
        <row r="8">
          <cell r="B8">
            <v>43731</v>
          </cell>
        </row>
      </sheetData>
      <sheetData sheetId="1795">
        <row r="8">
          <cell r="B8">
            <v>43731</v>
          </cell>
        </row>
      </sheetData>
      <sheetData sheetId="1796">
        <row r="8">
          <cell r="B8">
            <v>43731</v>
          </cell>
        </row>
      </sheetData>
      <sheetData sheetId="1797">
        <row r="8">
          <cell r="B8">
            <v>43731</v>
          </cell>
        </row>
      </sheetData>
      <sheetData sheetId="1798">
        <row r="8">
          <cell r="B8">
            <v>43731</v>
          </cell>
        </row>
      </sheetData>
      <sheetData sheetId="1799">
        <row r="8">
          <cell r="B8">
            <v>43731</v>
          </cell>
        </row>
      </sheetData>
      <sheetData sheetId="1800">
        <row r="8">
          <cell r="B8">
            <v>43731</v>
          </cell>
        </row>
      </sheetData>
      <sheetData sheetId="1801">
        <row r="8">
          <cell r="B8">
            <v>43731</v>
          </cell>
        </row>
      </sheetData>
      <sheetData sheetId="1802">
        <row r="8">
          <cell r="B8">
            <v>43731</v>
          </cell>
        </row>
      </sheetData>
      <sheetData sheetId="1803">
        <row r="8">
          <cell r="B8">
            <v>43731</v>
          </cell>
        </row>
      </sheetData>
      <sheetData sheetId="1804">
        <row r="8">
          <cell r="B8">
            <v>43731</v>
          </cell>
        </row>
      </sheetData>
      <sheetData sheetId="1805">
        <row r="8">
          <cell r="B8">
            <v>43731</v>
          </cell>
        </row>
      </sheetData>
      <sheetData sheetId="1806">
        <row r="8">
          <cell r="B8">
            <v>43731</v>
          </cell>
        </row>
      </sheetData>
      <sheetData sheetId="1807">
        <row r="8">
          <cell r="B8">
            <v>43731</v>
          </cell>
        </row>
      </sheetData>
      <sheetData sheetId="1808">
        <row r="8">
          <cell r="B8">
            <v>43731</v>
          </cell>
        </row>
      </sheetData>
      <sheetData sheetId="1809">
        <row r="8">
          <cell r="B8">
            <v>43731</v>
          </cell>
        </row>
      </sheetData>
      <sheetData sheetId="1810">
        <row r="8">
          <cell r="B8">
            <v>43731</v>
          </cell>
        </row>
      </sheetData>
      <sheetData sheetId="1811">
        <row r="8">
          <cell r="B8">
            <v>43731</v>
          </cell>
        </row>
      </sheetData>
      <sheetData sheetId="1812">
        <row r="8">
          <cell r="B8">
            <v>43731</v>
          </cell>
        </row>
      </sheetData>
      <sheetData sheetId="1813">
        <row r="8">
          <cell r="B8">
            <v>43731</v>
          </cell>
        </row>
      </sheetData>
      <sheetData sheetId="1814">
        <row r="8">
          <cell r="B8">
            <v>43731</v>
          </cell>
        </row>
      </sheetData>
      <sheetData sheetId="1815">
        <row r="8">
          <cell r="B8">
            <v>43731</v>
          </cell>
        </row>
      </sheetData>
      <sheetData sheetId="1816">
        <row r="8">
          <cell r="B8">
            <v>43731</v>
          </cell>
        </row>
      </sheetData>
      <sheetData sheetId="1817">
        <row r="8">
          <cell r="B8">
            <v>43731</v>
          </cell>
        </row>
      </sheetData>
      <sheetData sheetId="1818">
        <row r="8">
          <cell r="B8">
            <v>43731</v>
          </cell>
        </row>
      </sheetData>
      <sheetData sheetId="1819">
        <row r="8">
          <cell r="B8">
            <v>43731</v>
          </cell>
        </row>
      </sheetData>
      <sheetData sheetId="1820">
        <row r="8">
          <cell r="B8">
            <v>43731</v>
          </cell>
        </row>
      </sheetData>
      <sheetData sheetId="1821">
        <row r="8">
          <cell r="B8">
            <v>43731</v>
          </cell>
        </row>
      </sheetData>
      <sheetData sheetId="1822">
        <row r="8">
          <cell r="B8">
            <v>43731</v>
          </cell>
        </row>
      </sheetData>
      <sheetData sheetId="1823">
        <row r="8">
          <cell r="B8">
            <v>43731</v>
          </cell>
        </row>
      </sheetData>
      <sheetData sheetId="1824">
        <row r="8">
          <cell r="B8">
            <v>43731</v>
          </cell>
        </row>
      </sheetData>
      <sheetData sheetId="1825">
        <row r="8">
          <cell r="B8">
            <v>43731</v>
          </cell>
        </row>
      </sheetData>
      <sheetData sheetId="1826">
        <row r="8">
          <cell r="B8">
            <v>43731</v>
          </cell>
        </row>
      </sheetData>
      <sheetData sheetId="1827">
        <row r="8">
          <cell r="B8">
            <v>43731</v>
          </cell>
        </row>
      </sheetData>
      <sheetData sheetId="1828">
        <row r="8">
          <cell r="B8">
            <v>43731</v>
          </cell>
        </row>
      </sheetData>
      <sheetData sheetId="1829">
        <row r="8">
          <cell r="B8">
            <v>43731</v>
          </cell>
        </row>
      </sheetData>
      <sheetData sheetId="1830">
        <row r="8">
          <cell r="B8">
            <v>43731</v>
          </cell>
        </row>
      </sheetData>
      <sheetData sheetId="1831">
        <row r="8">
          <cell r="B8">
            <v>43731</v>
          </cell>
        </row>
      </sheetData>
      <sheetData sheetId="1832">
        <row r="8">
          <cell r="B8">
            <v>43731</v>
          </cell>
        </row>
      </sheetData>
      <sheetData sheetId="1833">
        <row r="8">
          <cell r="B8">
            <v>43731</v>
          </cell>
        </row>
      </sheetData>
      <sheetData sheetId="1834">
        <row r="8">
          <cell r="B8">
            <v>43731</v>
          </cell>
        </row>
      </sheetData>
      <sheetData sheetId="1835">
        <row r="8">
          <cell r="B8">
            <v>43731</v>
          </cell>
        </row>
      </sheetData>
      <sheetData sheetId="1836">
        <row r="8">
          <cell r="B8">
            <v>43731</v>
          </cell>
        </row>
      </sheetData>
      <sheetData sheetId="1837">
        <row r="8">
          <cell r="B8">
            <v>43731</v>
          </cell>
        </row>
      </sheetData>
      <sheetData sheetId="1838">
        <row r="8">
          <cell r="B8">
            <v>43731</v>
          </cell>
        </row>
      </sheetData>
      <sheetData sheetId="1839">
        <row r="8">
          <cell r="B8">
            <v>43731</v>
          </cell>
        </row>
      </sheetData>
      <sheetData sheetId="1840">
        <row r="8">
          <cell r="B8">
            <v>43731</v>
          </cell>
        </row>
      </sheetData>
      <sheetData sheetId="1841">
        <row r="8">
          <cell r="B8">
            <v>43731</v>
          </cell>
        </row>
      </sheetData>
      <sheetData sheetId="1842">
        <row r="8">
          <cell r="B8">
            <v>43731</v>
          </cell>
        </row>
      </sheetData>
      <sheetData sheetId="1843">
        <row r="8">
          <cell r="B8">
            <v>43731</v>
          </cell>
        </row>
      </sheetData>
      <sheetData sheetId="1844">
        <row r="8">
          <cell r="B8">
            <v>43731</v>
          </cell>
        </row>
      </sheetData>
      <sheetData sheetId="1845">
        <row r="8">
          <cell r="B8">
            <v>43731</v>
          </cell>
        </row>
      </sheetData>
      <sheetData sheetId="1846">
        <row r="8">
          <cell r="B8">
            <v>43731</v>
          </cell>
        </row>
      </sheetData>
      <sheetData sheetId="1847">
        <row r="8">
          <cell r="B8">
            <v>43731</v>
          </cell>
        </row>
      </sheetData>
      <sheetData sheetId="1848">
        <row r="8">
          <cell r="B8">
            <v>43731</v>
          </cell>
        </row>
      </sheetData>
      <sheetData sheetId="1849">
        <row r="8">
          <cell r="B8">
            <v>43731</v>
          </cell>
        </row>
      </sheetData>
      <sheetData sheetId="1850">
        <row r="8">
          <cell r="B8">
            <v>43731</v>
          </cell>
        </row>
      </sheetData>
      <sheetData sheetId="1851">
        <row r="8">
          <cell r="B8">
            <v>43731</v>
          </cell>
        </row>
      </sheetData>
      <sheetData sheetId="1852">
        <row r="8">
          <cell r="B8">
            <v>43731</v>
          </cell>
        </row>
      </sheetData>
      <sheetData sheetId="1853">
        <row r="8">
          <cell r="B8">
            <v>43731</v>
          </cell>
        </row>
      </sheetData>
      <sheetData sheetId="1854">
        <row r="8">
          <cell r="B8">
            <v>43731</v>
          </cell>
        </row>
      </sheetData>
      <sheetData sheetId="1855">
        <row r="8">
          <cell r="B8">
            <v>43731</v>
          </cell>
        </row>
      </sheetData>
      <sheetData sheetId="1856">
        <row r="8">
          <cell r="B8">
            <v>43731</v>
          </cell>
        </row>
      </sheetData>
      <sheetData sheetId="1857">
        <row r="8">
          <cell r="B8">
            <v>43731</v>
          </cell>
        </row>
      </sheetData>
      <sheetData sheetId="1858">
        <row r="8">
          <cell r="B8">
            <v>43731</v>
          </cell>
        </row>
      </sheetData>
      <sheetData sheetId="1859">
        <row r="8">
          <cell r="B8">
            <v>43731</v>
          </cell>
        </row>
      </sheetData>
      <sheetData sheetId="1860">
        <row r="8">
          <cell r="B8">
            <v>43731</v>
          </cell>
        </row>
      </sheetData>
      <sheetData sheetId="1861">
        <row r="8">
          <cell r="B8">
            <v>43731</v>
          </cell>
        </row>
      </sheetData>
      <sheetData sheetId="1862">
        <row r="8">
          <cell r="B8">
            <v>43731</v>
          </cell>
        </row>
      </sheetData>
      <sheetData sheetId="1863">
        <row r="8">
          <cell r="B8">
            <v>43731</v>
          </cell>
        </row>
      </sheetData>
      <sheetData sheetId="1864">
        <row r="8">
          <cell r="B8">
            <v>43731</v>
          </cell>
        </row>
      </sheetData>
      <sheetData sheetId="1865">
        <row r="8">
          <cell r="B8">
            <v>43731</v>
          </cell>
        </row>
      </sheetData>
      <sheetData sheetId="1866">
        <row r="8">
          <cell r="B8">
            <v>43731</v>
          </cell>
        </row>
      </sheetData>
      <sheetData sheetId="1867">
        <row r="8">
          <cell r="B8">
            <v>43731</v>
          </cell>
        </row>
      </sheetData>
      <sheetData sheetId="1868">
        <row r="8">
          <cell r="B8">
            <v>43731</v>
          </cell>
        </row>
      </sheetData>
      <sheetData sheetId="1869">
        <row r="8">
          <cell r="B8">
            <v>43731</v>
          </cell>
        </row>
      </sheetData>
      <sheetData sheetId="1870">
        <row r="8">
          <cell r="B8">
            <v>43731</v>
          </cell>
        </row>
      </sheetData>
      <sheetData sheetId="1871">
        <row r="8">
          <cell r="B8">
            <v>43731</v>
          </cell>
        </row>
      </sheetData>
      <sheetData sheetId="1872">
        <row r="8">
          <cell r="B8">
            <v>43731</v>
          </cell>
        </row>
      </sheetData>
      <sheetData sheetId="1873">
        <row r="8">
          <cell r="B8">
            <v>43731</v>
          </cell>
        </row>
      </sheetData>
      <sheetData sheetId="1874">
        <row r="8">
          <cell r="B8">
            <v>43731</v>
          </cell>
        </row>
      </sheetData>
      <sheetData sheetId="1875">
        <row r="8">
          <cell r="B8">
            <v>43731</v>
          </cell>
        </row>
      </sheetData>
      <sheetData sheetId="1876">
        <row r="8">
          <cell r="B8">
            <v>43731</v>
          </cell>
        </row>
      </sheetData>
      <sheetData sheetId="1877">
        <row r="8">
          <cell r="B8">
            <v>43731</v>
          </cell>
        </row>
      </sheetData>
      <sheetData sheetId="1878">
        <row r="8">
          <cell r="B8">
            <v>43731</v>
          </cell>
        </row>
      </sheetData>
      <sheetData sheetId="1879">
        <row r="8">
          <cell r="B8">
            <v>43731</v>
          </cell>
        </row>
      </sheetData>
      <sheetData sheetId="1880">
        <row r="8">
          <cell r="B8">
            <v>43731</v>
          </cell>
        </row>
      </sheetData>
      <sheetData sheetId="1881">
        <row r="8">
          <cell r="B8">
            <v>43731</v>
          </cell>
        </row>
      </sheetData>
      <sheetData sheetId="1882">
        <row r="8">
          <cell r="B8">
            <v>43731</v>
          </cell>
        </row>
      </sheetData>
      <sheetData sheetId="1883">
        <row r="8">
          <cell r="B8">
            <v>43731</v>
          </cell>
        </row>
      </sheetData>
      <sheetData sheetId="1884">
        <row r="8">
          <cell r="B8">
            <v>43731</v>
          </cell>
        </row>
      </sheetData>
      <sheetData sheetId="1885">
        <row r="8">
          <cell r="B8">
            <v>43731</v>
          </cell>
        </row>
      </sheetData>
      <sheetData sheetId="1886">
        <row r="8">
          <cell r="B8">
            <v>43731</v>
          </cell>
        </row>
      </sheetData>
      <sheetData sheetId="1887">
        <row r="8">
          <cell r="B8">
            <v>43731</v>
          </cell>
        </row>
      </sheetData>
      <sheetData sheetId="1888">
        <row r="8">
          <cell r="B8">
            <v>43731</v>
          </cell>
        </row>
      </sheetData>
      <sheetData sheetId="1889">
        <row r="8">
          <cell r="B8">
            <v>43731</v>
          </cell>
        </row>
      </sheetData>
      <sheetData sheetId="1890">
        <row r="8">
          <cell r="B8">
            <v>43731</v>
          </cell>
        </row>
      </sheetData>
      <sheetData sheetId="1891">
        <row r="8">
          <cell r="B8">
            <v>43731</v>
          </cell>
        </row>
      </sheetData>
      <sheetData sheetId="1892">
        <row r="8">
          <cell r="B8">
            <v>43731</v>
          </cell>
        </row>
      </sheetData>
      <sheetData sheetId="1893">
        <row r="8">
          <cell r="B8">
            <v>43731</v>
          </cell>
        </row>
      </sheetData>
      <sheetData sheetId="1894">
        <row r="8">
          <cell r="B8">
            <v>43731</v>
          </cell>
        </row>
      </sheetData>
      <sheetData sheetId="1895">
        <row r="8">
          <cell r="B8">
            <v>43731</v>
          </cell>
        </row>
      </sheetData>
      <sheetData sheetId="1896">
        <row r="8">
          <cell r="B8">
            <v>43731</v>
          </cell>
        </row>
      </sheetData>
      <sheetData sheetId="1897">
        <row r="8">
          <cell r="B8">
            <v>43731</v>
          </cell>
        </row>
      </sheetData>
      <sheetData sheetId="1898">
        <row r="8">
          <cell r="B8">
            <v>43731</v>
          </cell>
        </row>
      </sheetData>
      <sheetData sheetId="1899">
        <row r="8">
          <cell r="B8">
            <v>43731</v>
          </cell>
        </row>
      </sheetData>
      <sheetData sheetId="1900">
        <row r="8">
          <cell r="B8">
            <v>43731</v>
          </cell>
        </row>
      </sheetData>
      <sheetData sheetId="1901">
        <row r="8">
          <cell r="B8">
            <v>43731</v>
          </cell>
        </row>
      </sheetData>
      <sheetData sheetId="1902">
        <row r="8">
          <cell r="B8">
            <v>43731</v>
          </cell>
        </row>
      </sheetData>
      <sheetData sheetId="1903">
        <row r="8">
          <cell r="B8">
            <v>43731</v>
          </cell>
        </row>
      </sheetData>
      <sheetData sheetId="1904">
        <row r="8">
          <cell r="B8">
            <v>43731</v>
          </cell>
        </row>
      </sheetData>
      <sheetData sheetId="1905">
        <row r="8">
          <cell r="B8">
            <v>43731</v>
          </cell>
        </row>
      </sheetData>
      <sheetData sheetId="1906">
        <row r="8">
          <cell r="B8">
            <v>43731</v>
          </cell>
        </row>
      </sheetData>
      <sheetData sheetId="1907">
        <row r="8">
          <cell r="B8">
            <v>43731</v>
          </cell>
        </row>
      </sheetData>
      <sheetData sheetId="1908">
        <row r="8">
          <cell r="B8">
            <v>43731</v>
          </cell>
        </row>
      </sheetData>
      <sheetData sheetId="1909">
        <row r="8">
          <cell r="B8">
            <v>43731</v>
          </cell>
        </row>
      </sheetData>
      <sheetData sheetId="1910">
        <row r="8">
          <cell r="B8">
            <v>43731</v>
          </cell>
        </row>
      </sheetData>
      <sheetData sheetId="1911">
        <row r="8">
          <cell r="B8">
            <v>43731</v>
          </cell>
        </row>
      </sheetData>
      <sheetData sheetId="1912">
        <row r="8">
          <cell r="B8">
            <v>43731</v>
          </cell>
        </row>
      </sheetData>
      <sheetData sheetId="1913">
        <row r="8">
          <cell r="B8">
            <v>43731</v>
          </cell>
        </row>
      </sheetData>
      <sheetData sheetId="1914">
        <row r="8">
          <cell r="B8">
            <v>43731</v>
          </cell>
        </row>
      </sheetData>
      <sheetData sheetId="1915">
        <row r="8">
          <cell r="B8">
            <v>43731</v>
          </cell>
        </row>
      </sheetData>
      <sheetData sheetId="1916">
        <row r="8">
          <cell r="B8">
            <v>43731</v>
          </cell>
        </row>
      </sheetData>
      <sheetData sheetId="1917">
        <row r="8">
          <cell r="B8">
            <v>43731</v>
          </cell>
        </row>
      </sheetData>
      <sheetData sheetId="1918">
        <row r="8">
          <cell r="B8">
            <v>43731</v>
          </cell>
        </row>
      </sheetData>
      <sheetData sheetId="1919">
        <row r="8">
          <cell r="B8">
            <v>43731</v>
          </cell>
        </row>
      </sheetData>
      <sheetData sheetId="1920">
        <row r="8">
          <cell r="B8">
            <v>43731</v>
          </cell>
        </row>
      </sheetData>
      <sheetData sheetId="1921">
        <row r="8">
          <cell r="B8">
            <v>43731</v>
          </cell>
        </row>
      </sheetData>
      <sheetData sheetId="1922">
        <row r="8">
          <cell r="B8">
            <v>43731</v>
          </cell>
        </row>
      </sheetData>
      <sheetData sheetId="1923">
        <row r="8">
          <cell r="B8">
            <v>43731</v>
          </cell>
        </row>
      </sheetData>
      <sheetData sheetId="1924">
        <row r="8">
          <cell r="B8">
            <v>43731</v>
          </cell>
        </row>
      </sheetData>
      <sheetData sheetId="1925">
        <row r="8">
          <cell r="B8">
            <v>43731</v>
          </cell>
        </row>
      </sheetData>
      <sheetData sheetId="1926">
        <row r="8">
          <cell r="B8">
            <v>43731</v>
          </cell>
        </row>
      </sheetData>
      <sheetData sheetId="1927">
        <row r="8">
          <cell r="B8">
            <v>43731</v>
          </cell>
        </row>
      </sheetData>
      <sheetData sheetId="1928">
        <row r="8">
          <cell r="B8">
            <v>43731</v>
          </cell>
        </row>
      </sheetData>
      <sheetData sheetId="1929">
        <row r="8">
          <cell r="B8">
            <v>43731</v>
          </cell>
        </row>
      </sheetData>
      <sheetData sheetId="1930">
        <row r="8">
          <cell r="B8">
            <v>43731</v>
          </cell>
        </row>
      </sheetData>
      <sheetData sheetId="1931">
        <row r="8">
          <cell r="B8">
            <v>43731</v>
          </cell>
        </row>
      </sheetData>
      <sheetData sheetId="1932">
        <row r="8">
          <cell r="B8">
            <v>43731</v>
          </cell>
        </row>
      </sheetData>
      <sheetData sheetId="1933">
        <row r="8">
          <cell r="B8">
            <v>43731</v>
          </cell>
        </row>
      </sheetData>
      <sheetData sheetId="1934">
        <row r="8">
          <cell r="B8">
            <v>43731</v>
          </cell>
        </row>
      </sheetData>
      <sheetData sheetId="1935">
        <row r="8">
          <cell r="B8">
            <v>43731</v>
          </cell>
        </row>
      </sheetData>
      <sheetData sheetId="1936">
        <row r="8">
          <cell r="B8">
            <v>43731</v>
          </cell>
        </row>
      </sheetData>
      <sheetData sheetId="1937">
        <row r="8">
          <cell r="B8">
            <v>43731</v>
          </cell>
        </row>
      </sheetData>
      <sheetData sheetId="1938">
        <row r="8">
          <cell r="B8">
            <v>43731</v>
          </cell>
        </row>
      </sheetData>
      <sheetData sheetId="1939">
        <row r="8">
          <cell r="B8">
            <v>43731</v>
          </cell>
        </row>
      </sheetData>
      <sheetData sheetId="1940">
        <row r="8">
          <cell r="B8">
            <v>43731</v>
          </cell>
        </row>
      </sheetData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>
        <row r="8">
          <cell r="B8">
            <v>43731</v>
          </cell>
        </row>
      </sheetData>
      <sheetData sheetId="2003">
        <row r="8">
          <cell r="B8">
            <v>43731</v>
          </cell>
        </row>
      </sheetData>
      <sheetData sheetId="2004">
        <row r="8">
          <cell r="B8">
            <v>43731</v>
          </cell>
        </row>
      </sheetData>
      <sheetData sheetId="2005">
        <row r="8">
          <cell r="B8">
            <v>43731</v>
          </cell>
        </row>
      </sheetData>
      <sheetData sheetId="2006">
        <row r="8">
          <cell r="B8">
            <v>43731</v>
          </cell>
        </row>
      </sheetData>
      <sheetData sheetId="2007">
        <row r="8">
          <cell r="B8">
            <v>43731</v>
          </cell>
        </row>
      </sheetData>
      <sheetData sheetId="2008">
        <row r="8">
          <cell r="B8">
            <v>43731</v>
          </cell>
        </row>
      </sheetData>
      <sheetData sheetId="2009">
        <row r="8">
          <cell r="B8">
            <v>43731</v>
          </cell>
        </row>
      </sheetData>
      <sheetData sheetId="2010">
        <row r="8">
          <cell r="B8">
            <v>43731</v>
          </cell>
        </row>
      </sheetData>
      <sheetData sheetId="2011">
        <row r="8">
          <cell r="B8">
            <v>43731</v>
          </cell>
        </row>
      </sheetData>
      <sheetData sheetId="2012">
        <row r="8">
          <cell r="B8">
            <v>43731</v>
          </cell>
        </row>
      </sheetData>
      <sheetData sheetId="2013">
        <row r="8">
          <cell r="B8">
            <v>43731</v>
          </cell>
        </row>
      </sheetData>
      <sheetData sheetId="2014">
        <row r="8">
          <cell r="B8">
            <v>43731</v>
          </cell>
        </row>
      </sheetData>
      <sheetData sheetId="2015">
        <row r="8">
          <cell r="B8">
            <v>43731</v>
          </cell>
        </row>
      </sheetData>
      <sheetData sheetId="2016">
        <row r="8">
          <cell r="B8">
            <v>43731</v>
          </cell>
        </row>
      </sheetData>
      <sheetData sheetId="2017">
        <row r="8">
          <cell r="B8">
            <v>43731</v>
          </cell>
        </row>
      </sheetData>
      <sheetData sheetId="2018">
        <row r="8">
          <cell r="B8">
            <v>43731</v>
          </cell>
        </row>
      </sheetData>
      <sheetData sheetId="2019">
        <row r="8">
          <cell r="B8">
            <v>43731</v>
          </cell>
        </row>
      </sheetData>
      <sheetData sheetId="2020">
        <row r="8">
          <cell r="B8">
            <v>43731</v>
          </cell>
        </row>
      </sheetData>
      <sheetData sheetId="2021">
        <row r="8">
          <cell r="B8">
            <v>43731</v>
          </cell>
        </row>
      </sheetData>
      <sheetData sheetId="2022">
        <row r="8">
          <cell r="B8">
            <v>43731</v>
          </cell>
        </row>
      </sheetData>
      <sheetData sheetId="2023">
        <row r="8">
          <cell r="B8">
            <v>43731</v>
          </cell>
        </row>
      </sheetData>
      <sheetData sheetId="2024">
        <row r="8">
          <cell r="B8">
            <v>43731</v>
          </cell>
        </row>
      </sheetData>
      <sheetData sheetId="2025">
        <row r="8">
          <cell r="B8">
            <v>43731</v>
          </cell>
        </row>
      </sheetData>
      <sheetData sheetId="2026">
        <row r="8">
          <cell r="B8">
            <v>43731</v>
          </cell>
        </row>
      </sheetData>
      <sheetData sheetId="2027">
        <row r="8">
          <cell r="B8">
            <v>43731</v>
          </cell>
        </row>
      </sheetData>
      <sheetData sheetId="2028">
        <row r="8">
          <cell r="B8">
            <v>43731</v>
          </cell>
        </row>
      </sheetData>
      <sheetData sheetId="2029">
        <row r="8">
          <cell r="B8">
            <v>43731</v>
          </cell>
        </row>
      </sheetData>
      <sheetData sheetId="2030">
        <row r="8">
          <cell r="B8">
            <v>43731</v>
          </cell>
        </row>
      </sheetData>
      <sheetData sheetId="2031">
        <row r="8">
          <cell r="B8">
            <v>43731</v>
          </cell>
        </row>
      </sheetData>
      <sheetData sheetId="2032">
        <row r="8">
          <cell r="B8">
            <v>43731</v>
          </cell>
        </row>
      </sheetData>
      <sheetData sheetId="2033">
        <row r="8">
          <cell r="B8">
            <v>43731</v>
          </cell>
        </row>
      </sheetData>
      <sheetData sheetId="2034">
        <row r="8">
          <cell r="B8">
            <v>43731</v>
          </cell>
        </row>
      </sheetData>
      <sheetData sheetId="2035">
        <row r="8">
          <cell r="B8">
            <v>43731</v>
          </cell>
        </row>
      </sheetData>
      <sheetData sheetId="2036">
        <row r="8">
          <cell r="B8">
            <v>43731</v>
          </cell>
        </row>
      </sheetData>
      <sheetData sheetId="2037">
        <row r="8">
          <cell r="B8">
            <v>43731</v>
          </cell>
        </row>
      </sheetData>
      <sheetData sheetId="2038">
        <row r="8">
          <cell r="B8">
            <v>43731</v>
          </cell>
        </row>
      </sheetData>
      <sheetData sheetId="2039">
        <row r="8">
          <cell r="B8">
            <v>43731</v>
          </cell>
        </row>
      </sheetData>
      <sheetData sheetId="2040">
        <row r="8">
          <cell r="B8">
            <v>43731</v>
          </cell>
        </row>
      </sheetData>
      <sheetData sheetId="2041">
        <row r="8">
          <cell r="B8">
            <v>43731</v>
          </cell>
        </row>
      </sheetData>
      <sheetData sheetId="2042">
        <row r="8">
          <cell r="B8">
            <v>43731</v>
          </cell>
        </row>
      </sheetData>
      <sheetData sheetId="2043">
        <row r="8">
          <cell r="B8">
            <v>43731</v>
          </cell>
        </row>
      </sheetData>
      <sheetData sheetId="2044">
        <row r="8">
          <cell r="B8">
            <v>43731</v>
          </cell>
        </row>
      </sheetData>
      <sheetData sheetId="2045">
        <row r="8">
          <cell r="B8">
            <v>43731</v>
          </cell>
        </row>
      </sheetData>
      <sheetData sheetId="2046">
        <row r="8">
          <cell r="B8">
            <v>43731</v>
          </cell>
        </row>
      </sheetData>
      <sheetData sheetId="2047">
        <row r="8">
          <cell r="B8">
            <v>43731</v>
          </cell>
        </row>
      </sheetData>
      <sheetData sheetId="2048">
        <row r="8">
          <cell r="B8">
            <v>43731</v>
          </cell>
        </row>
      </sheetData>
      <sheetData sheetId="2049">
        <row r="8">
          <cell r="B8">
            <v>43731</v>
          </cell>
        </row>
      </sheetData>
      <sheetData sheetId="2050">
        <row r="8">
          <cell r="B8">
            <v>43731</v>
          </cell>
        </row>
      </sheetData>
      <sheetData sheetId="2051">
        <row r="8">
          <cell r="B8">
            <v>43731</v>
          </cell>
        </row>
      </sheetData>
      <sheetData sheetId="2052">
        <row r="8">
          <cell r="B8">
            <v>43731</v>
          </cell>
        </row>
      </sheetData>
      <sheetData sheetId="2053">
        <row r="8">
          <cell r="B8">
            <v>43731</v>
          </cell>
        </row>
      </sheetData>
      <sheetData sheetId="2054">
        <row r="8">
          <cell r="B8">
            <v>43731</v>
          </cell>
        </row>
      </sheetData>
      <sheetData sheetId="2055">
        <row r="8">
          <cell r="B8">
            <v>43731</v>
          </cell>
        </row>
      </sheetData>
      <sheetData sheetId="2056">
        <row r="8">
          <cell r="B8">
            <v>43731</v>
          </cell>
        </row>
      </sheetData>
      <sheetData sheetId="2057">
        <row r="8">
          <cell r="B8">
            <v>43731</v>
          </cell>
        </row>
      </sheetData>
      <sheetData sheetId="2058">
        <row r="8">
          <cell r="B8">
            <v>43731</v>
          </cell>
        </row>
      </sheetData>
      <sheetData sheetId="2059">
        <row r="8">
          <cell r="B8">
            <v>43731</v>
          </cell>
        </row>
      </sheetData>
      <sheetData sheetId="2060">
        <row r="8">
          <cell r="B8">
            <v>43731</v>
          </cell>
        </row>
      </sheetData>
      <sheetData sheetId="2061">
        <row r="8">
          <cell r="B8">
            <v>43731</v>
          </cell>
        </row>
      </sheetData>
      <sheetData sheetId="2062">
        <row r="8">
          <cell r="B8">
            <v>43731</v>
          </cell>
        </row>
      </sheetData>
      <sheetData sheetId="2063">
        <row r="8">
          <cell r="B8">
            <v>43731</v>
          </cell>
        </row>
      </sheetData>
      <sheetData sheetId="2064">
        <row r="8">
          <cell r="B8">
            <v>43731</v>
          </cell>
        </row>
      </sheetData>
      <sheetData sheetId="2065">
        <row r="8">
          <cell r="B8">
            <v>43731</v>
          </cell>
        </row>
      </sheetData>
      <sheetData sheetId="2066">
        <row r="8">
          <cell r="B8">
            <v>43731</v>
          </cell>
        </row>
      </sheetData>
      <sheetData sheetId="2067">
        <row r="8">
          <cell r="B8">
            <v>43731</v>
          </cell>
        </row>
      </sheetData>
      <sheetData sheetId="2068">
        <row r="8">
          <cell r="B8">
            <v>43731</v>
          </cell>
        </row>
      </sheetData>
      <sheetData sheetId="2069">
        <row r="8">
          <cell r="B8">
            <v>43731</v>
          </cell>
        </row>
      </sheetData>
      <sheetData sheetId="2070">
        <row r="16">
          <cell r="G16">
            <v>0</v>
          </cell>
        </row>
      </sheetData>
      <sheetData sheetId="2071">
        <row r="16">
          <cell r="G16">
            <v>0</v>
          </cell>
        </row>
      </sheetData>
      <sheetData sheetId="2072">
        <row r="8">
          <cell r="B8">
            <v>43731</v>
          </cell>
        </row>
      </sheetData>
      <sheetData sheetId="2073">
        <row r="8">
          <cell r="B8">
            <v>43731</v>
          </cell>
        </row>
      </sheetData>
      <sheetData sheetId="2074">
        <row r="8">
          <cell r="B8">
            <v>43731</v>
          </cell>
        </row>
      </sheetData>
      <sheetData sheetId="2075">
        <row r="8">
          <cell r="B8">
            <v>43731</v>
          </cell>
        </row>
      </sheetData>
      <sheetData sheetId="2076">
        <row r="8">
          <cell r="B8">
            <v>43731</v>
          </cell>
        </row>
      </sheetData>
      <sheetData sheetId="2077">
        <row r="8">
          <cell r="B8">
            <v>43731</v>
          </cell>
        </row>
      </sheetData>
      <sheetData sheetId="2078">
        <row r="8">
          <cell r="B8">
            <v>43731</v>
          </cell>
        </row>
      </sheetData>
      <sheetData sheetId="2079">
        <row r="8">
          <cell r="B8">
            <v>43731</v>
          </cell>
        </row>
      </sheetData>
      <sheetData sheetId="2080">
        <row r="8">
          <cell r="B8">
            <v>43731</v>
          </cell>
        </row>
      </sheetData>
      <sheetData sheetId="2081">
        <row r="8">
          <cell r="B8">
            <v>43731</v>
          </cell>
        </row>
      </sheetData>
      <sheetData sheetId="2082">
        <row r="8">
          <cell r="B8">
            <v>43731</v>
          </cell>
        </row>
      </sheetData>
      <sheetData sheetId="2083">
        <row r="16">
          <cell r="G16">
            <v>0</v>
          </cell>
        </row>
      </sheetData>
      <sheetData sheetId="2084">
        <row r="8">
          <cell r="B8">
            <v>43731</v>
          </cell>
        </row>
      </sheetData>
      <sheetData sheetId="2085">
        <row r="16">
          <cell r="G16">
            <v>0</v>
          </cell>
        </row>
      </sheetData>
      <sheetData sheetId="2086">
        <row r="8">
          <cell r="B8">
            <v>43731</v>
          </cell>
        </row>
      </sheetData>
      <sheetData sheetId="2087">
        <row r="8">
          <cell r="B8">
            <v>43731</v>
          </cell>
        </row>
      </sheetData>
      <sheetData sheetId="2088">
        <row r="8">
          <cell r="B8">
            <v>43731</v>
          </cell>
        </row>
      </sheetData>
      <sheetData sheetId="2089">
        <row r="16">
          <cell r="G16">
            <v>0</v>
          </cell>
        </row>
      </sheetData>
      <sheetData sheetId="2090">
        <row r="8">
          <cell r="B8">
            <v>43731</v>
          </cell>
        </row>
      </sheetData>
      <sheetData sheetId="2091">
        <row r="8">
          <cell r="B8">
            <v>43731</v>
          </cell>
        </row>
      </sheetData>
      <sheetData sheetId="2092">
        <row r="16">
          <cell r="G16">
            <v>0</v>
          </cell>
        </row>
      </sheetData>
      <sheetData sheetId="2093">
        <row r="16">
          <cell r="G16">
            <v>0</v>
          </cell>
        </row>
      </sheetData>
      <sheetData sheetId="2094">
        <row r="16">
          <cell r="G16">
            <v>0</v>
          </cell>
        </row>
      </sheetData>
      <sheetData sheetId="2095">
        <row r="8">
          <cell r="B8">
            <v>43731</v>
          </cell>
        </row>
      </sheetData>
      <sheetData sheetId="2096">
        <row r="16">
          <cell r="G16">
            <v>0</v>
          </cell>
        </row>
      </sheetData>
      <sheetData sheetId="2097">
        <row r="16">
          <cell r="G16">
            <v>0</v>
          </cell>
        </row>
      </sheetData>
      <sheetData sheetId="2098">
        <row r="16">
          <cell r="G16">
            <v>0</v>
          </cell>
        </row>
      </sheetData>
      <sheetData sheetId="2099">
        <row r="16">
          <cell r="G16">
            <v>0</v>
          </cell>
        </row>
      </sheetData>
      <sheetData sheetId="2100">
        <row r="8">
          <cell r="B8">
            <v>43731</v>
          </cell>
        </row>
      </sheetData>
      <sheetData sheetId="2101">
        <row r="16">
          <cell r="G16">
            <v>0</v>
          </cell>
        </row>
      </sheetData>
      <sheetData sheetId="2102">
        <row r="16">
          <cell r="G16">
            <v>0</v>
          </cell>
        </row>
      </sheetData>
      <sheetData sheetId="2103">
        <row r="16">
          <cell r="G16">
            <v>0</v>
          </cell>
        </row>
      </sheetData>
      <sheetData sheetId="2104">
        <row r="8">
          <cell r="B8">
            <v>43731</v>
          </cell>
        </row>
      </sheetData>
      <sheetData sheetId="2105">
        <row r="8">
          <cell r="B8">
            <v>43731</v>
          </cell>
        </row>
      </sheetData>
      <sheetData sheetId="2106">
        <row r="16">
          <cell r="G16">
            <v>0</v>
          </cell>
        </row>
      </sheetData>
      <sheetData sheetId="2107">
        <row r="8">
          <cell r="B8">
            <v>43731</v>
          </cell>
        </row>
      </sheetData>
      <sheetData sheetId="2108">
        <row r="8">
          <cell r="B8">
            <v>43731</v>
          </cell>
        </row>
      </sheetData>
      <sheetData sheetId="2109">
        <row r="16">
          <cell r="G16">
            <v>0</v>
          </cell>
        </row>
      </sheetData>
      <sheetData sheetId="2110">
        <row r="16">
          <cell r="G16">
            <v>0</v>
          </cell>
        </row>
      </sheetData>
      <sheetData sheetId="2111">
        <row r="16">
          <cell r="G16">
            <v>0</v>
          </cell>
        </row>
      </sheetData>
      <sheetData sheetId="2112">
        <row r="16">
          <cell r="G16">
            <v>0</v>
          </cell>
        </row>
      </sheetData>
      <sheetData sheetId="2113">
        <row r="16">
          <cell r="G16">
            <v>0</v>
          </cell>
        </row>
      </sheetData>
      <sheetData sheetId="2114">
        <row r="16">
          <cell r="G16">
            <v>0</v>
          </cell>
        </row>
      </sheetData>
      <sheetData sheetId="2115">
        <row r="16">
          <cell r="G16">
            <v>0</v>
          </cell>
        </row>
      </sheetData>
      <sheetData sheetId="2116">
        <row r="8">
          <cell r="B8">
            <v>43731</v>
          </cell>
        </row>
      </sheetData>
      <sheetData sheetId="2117">
        <row r="8">
          <cell r="B8">
            <v>43731</v>
          </cell>
        </row>
      </sheetData>
      <sheetData sheetId="2118">
        <row r="8">
          <cell r="B8">
            <v>43731</v>
          </cell>
        </row>
      </sheetData>
      <sheetData sheetId="2119">
        <row r="16">
          <cell r="G16">
            <v>0</v>
          </cell>
        </row>
      </sheetData>
      <sheetData sheetId="2120">
        <row r="16">
          <cell r="G16">
            <v>0</v>
          </cell>
        </row>
      </sheetData>
      <sheetData sheetId="2121">
        <row r="16">
          <cell r="G16">
            <v>0</v>
          </cell>
        </row>
      </sheetData>
      <sheetData sheetId="2122">
        <row r="8">
          <cell r="B8">
            <v>43731</v>
          </cell>
        </row>
      </sheetData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>
        <row r="16">
          <cell r="G16">
            <v>132.10688000000002</v>
          </cell>
        </row>
      </sheetData>
      <sheetData sheetId="2153">
        <row r="16">
          <cell r="G16">
            <v>132.10688000000002</v>
          </cell>
        </row>
      </sheetData>
      <sheetData sheetId="2154">
        <row r="16">
          <cell r="G16">
            <v>132.10688000000002</v>
          </cell>
        </row>
      </sheetData>
      <sheetData sheetId="2155">
        <row r="16">
          <cell r="G16">
            <v>132.10688000000002</v>
          </cell>
        </row>
      </sheetData>
      <sheetData sheetId="2156">
        <row r="16">
          <cell r="G16">
            <v>132.10688000000002</v>
          </cell>
        </row>
      </sheetData>
      <sheetData sheetId="2157">
        <row r="16">
          <cell r="G16">
            <v>0</v>
          </cell>
        </row>
      </sheetData>
      <sheetData sheetId="2158">
        <row r="16">
          <cell r="G16">
            <v>132.10688000000002</v>
          </cell>
        </row>
      </sheetData>
      <sheetData sheetId="2159">
        <row r="16">
          <cell r="G16">
            <v>0</v>
          </cell>
        </row>
      </sheetData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>
        <row r="16">
          <cell r="G16">
            <v>0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>
        <row r="16">
          <cell r="G16">
            <v>0</v>
          </cell>
        </row>
      </sheetData>
      <sheetData sheetId="2200" refreshError="1"/>
      <sheetData sheetId="2201">
        <row r="16">
          <cell r="G16">
            <v>0</v>
          </cell>
        </row>
      </sheetData>
      <sheetData sheetId="2202" refreshError="1"/>
      <sheetData sheetId="2203" refreshError="1"/>
      <sheetData sheetId="2204" refreshError="1"/>
      <sheetData sheetId="2205">
        <row r="8">
          <cell r="B8">
            <v>43731</v>
          </cell>
        </row>
      </sheetData>
      <sheetData sheetId="2206">
        <row r="16">
          <cell r="G16">
            <v>0</v>
          </cell>
        </row>
      </sheetData>
      <sheetData sheetId="2207">
        <row r="16">
          <cell r="G16">
            <v>0</v>
          </cell>
        </row>
      </sheetData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>
        <row r="16">
          <cell r="G16">
            <v>0</v>
          </cell>
        </row>
      </sheetData>
      <sheetData sheetId="2214">
        <row r="16">
          <cell r="G16">
            <v>0</v>
          </cell>
        </row>
      </sheetData>
      <sheetData sheetId="2215">
        <row r="8">
          <cell r="B8">
            <v>43731</v>
          </cell>
        </row>
      </sheetData>
      <sheetData sheetId="2216">
        <row r="8">
          <cell r="B8">
            <v>43731</v>
          </cell>
        </row>
      </sheetData>
      <sheetData sheetId="2217">
        <row r="8">
          <cell r="B8">
            <v>43731</v>
          </cell>
        </row>
      </sheetData>
      <sheetData sheetId="2218">
        <row r="16">
          <cell r="G16">
            <v>0</v>
          </cell>
        </row>
      </sheetData>
      <sheetData sheetId="2219" refreshError="1"/>
      <sheetData sheetId="2220" refreshError="1"/>
      <sheetData sheetId="2221" refreshError="1"/>
      <sheetData sheetId="2222">
        <row r="8">
          <cell r="B8">
            <v>43731</v>
          </cell>
        </row>
      </sheetData>
      <sheetData sheetId="2223">
        <row r="16">
          <cell r="G16">
            <v>0</v>
          </cell>
        </row>
      </sheetData>
      <sheetData sheetId="2224">
        <row r="16">
          <cell r="G16">
            <v>0</v>
          </cell>
        </row>
      </sheetData>
      <sheetData sheetId="2225">
        <row r="16">
          <cell r="G16">
            <v>0</v>
          </cell>
        </row>
      </sheetData>
      <sheetData sheetId="2226">
        <row r="16">
          <cell r="G16">
            <v>0</v>
          </cell>
        </row>
      </sheetData>
      <sheetData sheetId="2227">
        <row r="16">
          <cell r="G16">
            <v>0</v>
          </cell>
        </row>
      </sheetData>
      <sheetData sheetId="2228">
        <row r="16">
          <cell r="G16">
            <v>0</v>
          </cell>
        </row>
      </sheetData>
      <sheetData sheetId="2229">
        <row r="16">
          <cell r="G16">
            <v>0</v>
          </cell>
        </row>
      </sheetData>
      <sheetData sheetId="2230">
        <row r="16">
          <cell r="G16">
            <v>0</v>
          </cell>
        </row>
      </sheetData>
      <sheetData sheetId="2231">
        <row r="16">
          <cell r="G16">
            <v>0</v>
          </cell>
        </row>
      </sheetData>
      <sheetData sheetId="2232">
        <row r="16">
          <cell r="G16">
            <v>0</v>
          </cell>
        </row>
      </sheetData>
      <sheetData sheetId="2233">
        <row r="16">
          <cell r="G16">
            <v>0</v>
          </cell>
        </row>
      </sheetData>
      <sheetData sheetId="2234">
        <row r="16">
          <cell r="G16">
            <v>0</v>
          </cell>
        </row>
      </sheetData>
      <sheetData sheetId="2235">
        <row r="16">
          <cell r="G16">
            <v>0</v>
          </cell>
        </row>
      </sheetData>
      <sheetData sheetId="2236">
        <row r="16">
          <cell r="G16">
            <v>0</v>
          </cell>
        </row>
      </sheetData>
      <sheetData sheetId="2237">
        <row r="16">
          <cell r="G16">
            <v>0</v>
          </cell>
        </row>
      </sheetData>
      <sheetData sheetId="2238">
        <row r="16">
          <cell r="G16">
            <v>0</v>
          </cell>
        </row>
      </sheetData>
      <sheetData sheetId="2239">
        <row r="16">
          <cell r="G16">
            <v>0</v>
          </cell>
        </row>
      </sheetData>
      <sheetData sheetId="2240">
        <row r="8">
          <cell r="B8">
            <v>43731</v>
          </cell>
        </row>
      </sheetData>
      <sheetData sheetId="2241">
        <row r="16">
          <cell r="G16">
            <v>0</v>
          </cell>
        </row>
      </sheetData>
      <sheetData sheetId="2242">
        <row r="16">
          <cell r="G16">
            <v>0</v>
          </cell>
        </row>
      </sheetData>
      <sheetData sheetId="2243">
        <row r="16">
          <cell r="G16">
            <v>0</v>
          </cell>
        </row>
      </sheetData>
      <sheetData sheetId="2244">
        <row r="16">
          <cell r="G16">
            <v>0</v>
          </cell>
        </row>
      </sheetData>
      <sheetData sheetId="2245">
        <row r="8">
          <cell r="B8">
            <v>43731</v>
          </cell>
        </row>
      </sheetData>
      <sheetData sheetId="2246">
        <row r="16">
          <cell r="G16">
            <v>0</v>
          </cell>
        </row>
      </sheetData>
      <sheetData sheetId="2247">
        <row r="16">
          <cell r="G16">
            <v>0</v>
          </cell>
        </row>
      </sheetData>
      <sheetData sheetId="2248">
        <row r="16">
          <cell r="G16">
            <v>0</v>
          </cell>
        </row>
      </sheetData>
      <sheetData sheetId="2249">
        <row r="16">
          <cell r="G16">
            <v>0</v>
          </cell>
        </row>
      </sheetData>
      <sheetData sheetId="2250">
        <row r="16">
          <cell r="G16">
            <v>0</v>
          </cell>
        </row>
      </sheetData>
      <sheetData sheetId="2251">
        <row r="16">
          <cell r="G16">
            <v>0</v>
          </cell>
        </row>
      </sheetData>
      <sheetData sheetId="2252">
        <row r="16">
          <cell r="G16">
            <v>0</v>
          </cell>
        </row>
      </sheetData>
      <sheetData sheetId="2253">
        <row r="16">
          <cell r="G16">
            <v>0</v>
          </cell>
        </row>
      </sheetData>
      <sheetData sheetId="2254">
        <row r="16">
          <cell r="G16">
            <v>0</v>
          </cell>
        </row>
      </sheetData>
      <sheetData sheetId="2255">
        <row r="16">
          <cell r="G16">
            <v>0</v>
          </cell>
        </row>
      </sheetData>
      <sheetData sheetId="2256">
        <row r="8">
          <cell r="B8">
            <v>43731</v>
          </cell>
        </row>
      </sheetData>
      <sheetData sheetId="2257">
        <row r="8">
          <cell r="B8">
            <v>43731</v>
          </cell>
        </row>
      </sheetData>
      <sheetData sheetId="2258">
        <row r="8">
          <cell r="B8">
            <v>43731</v>
          </cell>
        </row>
      </sheetData>
      <sheetData sheetId="2259">
        <row r="8">
          <cell r="B8">
            <v>43731</v>
          </cell>
        </row>
      </sheetData>
      <sheetData sheetId="2260">
        <row r="8">
          <cell r="B8">
            <v>43731</v>
          </cell>
        </row>
      </sheetData>
      <sheetData sheetId="2261">
        <row r="8">
          <cell r="B8">
            <v>43731</v>
          </cell>
        </row>
      </sheetData>
      <sheetData sheetId="2262">
        <row r="8">
          <cell r="B8">
            <v>43731</v>
          </cell>
        </row>
      </sheetData>
      <sheetData sheetId="2263" refreshError="1"/>
      <sheetData sheetId="2264" refreshError="1"/>
      <sheetData sheetId="2265">
        <row r="8">
          <cell r="B8">
            <v>43731</v>
          </cell>
        </row>
      </sheetData>
      <sheetData sheetId="2266">
        <row r="8">
          <cell r="B8">
            <v>43731</v>
          </cell>
        </row>
      </sheetData>
      <sheetData sheetId="2267">
        <row r="8">
          <cell r="B8">
            <v>43731</v>
          </cell>
        </row>
      </sheetData>
      <sheetData sheetId="2268">
        <row r="8">
          <cell r="B8">
            <v>43731</v>
          </cell>
        </row>
      </sheetData>
      <sheetData sheetId="2269">
        <row r="8">
          <cell r="B8">
            <v>43731</v>
          </cell>
        </row>
      </sheetData>
      <sheetData sheetId="2270">
        <row r="8">
          <cell r="B8">
            <v>43731</v>
          </cell>
        </row>
      </sheetData>
      <sheetData sheetId="2271">
        <row r="8">
          <cell r="B8">
            <v>43731</v>
          </cell>
        </row>
      </sheetData>
      <sheetData sheetId="2272">
        <row r="8">
          <cell r="B8">
            <v>43731</v>
          </cell>
        </row>
      </sheetData>
      <sheetData sheetId="2273">
        <row r="8">
          <cell r="B8">
            <v>43731</v>
          </cell>
        </row>
      </sheetData>
      <sheetData sheetId="2274">
        <row r="8">
          <cell r="B8">
            <v>43731</v>
          </cell>
        </row>
      </sheetData>
      <sheetData sheetId="2275">
        <row r="8">
          <cell r="B8">
            <v>43731</v>
          </cell>
        </row>
      </sheetData>
      <sheetData sheetId="2276">
        <row r="8">
          <cell r="B8">
            <v>43731</v>
          </cell>
        </row>
      </sheetData>
      <sheetData sheetId="2277">
        <row r="8">
          <cell r="B8">
            <v>43731</v>
          </cell>
        </row>
      </sheetData>
      <sheetData sheetId="2278">
        <row r="8">
          <cell r="B8">
            <v>43731</v>
          </cell>
        </row>
      </sheetData>
      <sheetData sheetId="2279">
        <row r="8">
          <cell r="B8">
            <v>43731</v>
          </cell>
        </row>
      </sheetData>
      <sheetData sheetId="2280">
        <row r="16">
          <cell r="G16">
            <v>0</v>
          </cell>
        </row>
      </sheetData>
      <sheetData sheetId="2281">
        <row r="16">
          <cell r="G16">
            <v>0</v>
          </cell>
        </row>
      </sheetData>
      <sheetData sheetId="2282">
        <row r="8">
          <cell r="B8">
            <v>43731</v>
          </cell>
        </row>
      </sheetData>
      <sheetData sheetId="2283">
        <row r="16">
          <cell r="G16">
            <v>0</v>
          </cell>
        </row>
      </sheetData>
      <sheetData sheetId="2284">
        <row r="8">
          <cell r="B8">
            <v>43731</v>
          </cell>
        </row>
      </sheetData>
      <sheetData sheetId="2285">
        <row r="8">
          <cell r="B8">
            <v>43731</v>
          </cell>
        </row>
      </sheetData>
      <sheetData sheetId="2286">
        <row r="16">
          <cell r="G16">
            <v>0</v>
          </cell>
        </row>
      </sheetData>
      <sheetData sheetId="2287">
        <row r="8">
          <cell r="B8">
            <v>43731</v>
          </cell>
        </row>
      </sheetData>
      <sheetData sheetId="2288">
        <row r="8">
          <cell r="B8">
            <v>43731</v>
          </cell>
        </row>
      </sheetData>
      <sheetData sheetId="2289">
        <row r="8">
          <cell r="B8">
            <v>43731</v>
          </cell>
        </row>
      </sheetData>
      <sheetData sheetId="2290">
        <row r="8">
          <cell r="B8">
            <v>43731</v>
          </cell>
        </row>
      </sheetData>
      <sheetData sheetId="2291">
        <row r="16">
          <cell r="G16">
            <v>0</v>
          </cell>
        </row>
      </sheetData>
      <sheetData sheetId="2292">
        <row r="8">
          <cell r="B8">
            <v>43731</v>
          </cell>
        </row>
      </sheetData>
      <sheetData sheetId="2293">
        <row r="8">
          <cell r="B8">
            <v>43731</v>
          </cell>
        </row>
      </sheetData>
      <sheetData sheetId="2294">
        <row r="16">
          <cell r="G16">
            <v>0</v>
          </cell>
        </row>
      </sheetData>
      <sheetData sheetId="2295">
        <row r="8">
          <cell r="B8">
            <v>43731</v>
          </cell>
        </row>
      </sheetData>
      <sheetData sheetId="2296">
        <row r="8">
          <cell r="B8">
            <v>43731</v>
          </cell>
        </row>
      </sheetData>
      <sheetData sheetId="2297">
        <row r="16">
          <cell r="G16">
            <v>0</v>
          </cell>
        </row>
      </sheetData>
      <sheetData sheetId="2298">
        <row r="8">
          <cell r="B8">
            <v>43731</v>
          </cell>
        </row>
      </sheetData>
      <sheetData sheetId="2299">
        <row r="8">
          <cell r="B8">
            <v>43731</v>
          </cell>
        </row>
      </sheetData>
      <sheetData sheetId="2300">
        <row r="8">
          <cell r="B8">
            <v>43731</v>
          </cell>
        </row>
      </sheetData>
      <sheetData sheetId="2301">
        <row r="8">
          <cell r="B8">
            <v>43731</v>
          </cell>
        </row>
      </sheetData>
      <sheetData sheetId="2302">
        <row r="8">
          <cell r="B8">
            <v>43731</v>
          </cell>
        </row>
      </sheetData>
      <sheetData sheetId="2303">
        <row r="8">
          <cell r="B8">
            <v>43731</v>
          </cell>
        </row>
      </sheetData>
      <sheetData sheetId="2304">
        <row r="8">
          <cell r="B8">
            <v>43731</v>
          </cell>
        </row>
      </sheetData>
      <sheetData sheetId="2305">
        <row r="8">
          <cell r="B8">
            <v>43731</v>
          </cell>
        </row>
      </sheetData>
      <sheetData sheetId="2306">
        <row r="8">
          <cell r="B8">
            <v>43731</v>
          </cell>
        </row>
      </sheetData>
      <sheetData sheetId="2307">
        <row r="16">
          <cell r="G16">
            <v>0</v>
          </cell>
        </row>
      </sheetData>
      <sheetData sheetId="2308">
        <row r="16">
          <cell r="G16">
            <v>0</v>
          </cell>
        </row>
      </sheetData>
      <sheetData sheetId="2309">
        <row r="8">
          <cell r="B8">
            <v>43731</v>
          </cell>
        </row>
      </sheetData>
      <sheetData sheetId="2310">
        <row r="8">
          <cell r="B8">
            <v>43731</v>
          </cell>
        </row>
      </sheetData>
      <sheetData sheetId="2311">
        <row r="8">
          <cell r="B8">
            <v>43731</v>
          </cell>
        </row>
      </sheetData>
      <sheetData sheetId="2312">
        <row r="16">
          <cell r="G16">
            <v>0</v>
          </cell>
        </row>
      </sheetData>
      <sheetData sheetId="2313">
        <row r="16">
          <cell r="G16">
            <v>0</v>
          </cell>
        </row>
      </sheetData>
      <sheetData sheetId="2314">
        <row r="8">
          <cell r="B8">
            <v>43731</v>
          </cell>
        </row>
      </sheetData>
      <sheetData sheetId="2315" refreshError="1"/>
      <sheetData sheetId="2316" refreshError="1"/>
      <sheetData sheetId="2317">
        <row r="16">
          <cell r="G16">
            <v>0</v>
          </cell>
        </row>
      </sheetData>
      <sheetData sheetId="2318">
        <row r="8">
          <cell r="B8">
            <v>43731</v>
          </cell>
        </row>
      </sheetData>
      <sheetData sheetId="2319">
        <row r="16">
          <cell r="G16">
            <v>0</v>
          </cell>
        </row>
      </sheetData>
      <sheetData sheetId="2320">
        <row r="16">
          <cell r="G16">
            <v>0</v>
          </cell>
        </row>
      </sheetData>
      <sheetData sheetId="2321">
        <row r="8">
          <cell r="B8">
            <v>43731</v>
          </cell>
        </row>
      </sheetData>
      <sheetData sheetId="2322">
        <row r="8">
          <cell r="B8">
            <v>43731</v>
          </cell>
        </row>
      </sheetData>
      <sheetData sheetId="2323">
        <row r="16">
          <cell r="G16">
            <v>0</v>
          </cell>
        </row>
      </sheetData>
      <sheetData sheetId="2324">
        <row r="16">
          <cell r="G16">
            <v>0</v>
          </cell>
        </row>
      </sheetData>
      <sheetData sheetId="2325">
        <row r="16">
          <cell r="G16">
            <v>0</v>
          </cell>
        </row>
      </sheetData>
      <sheetData sheetId="2326">
        <row r="16">
          <cell r="G16">
            <v>0</v>
          </cell>
        </row>
      </sheetData>
      <sheetData sheetId="2327">
        <row r="8">
          <cell r="B8">
            <v>43731</v>
          </cell>
        </row>
      </sheetData>
      <sheetData sheetId="2328">
        <row r="16">
          <cell r="G16">
            <v>0</v>
          </cell>
        </row>
      </sheetData>
      <sheetData sheetId="2329">
        <row r="8">
          <cell r="B8">
            <v>43731</v>
          </cell>
        </row>
      </sheetData>
      <sheetData sheetId="2330">
        <row r="16">
          <cell r="G16">
            <v>0</v>
          </cell>
        </row>
      </sheetData>
      <sheetData sheetId="2331">
        <row r="16">
          <cell r="G16">
            <v>0</v>
          </cell>
        </row>
      </sheetData>
      <sheetData sheetId="2332">
        <row r="16">
          <cell r="G16">
            <v>132.10688000000002</v>
          </cell>
        </row>
      </sheetData>
      <sheetData sheetId="2333">
        <row r="16">
          <cell r="G16">
            <v>0</v>
          </cell>
        </row>
      </sheetData>
      <sheetData sheetId="2334">
        <row r="16">
          <cell r="G16">
            <v>0</v>
          </cell>
        </row>
      </sheetData>
      <sheetData sheetId="2335">
        <row r="16">
          <cell r="G16">
            <v>0</v>
          </cell>
        </row>
      </sheetData>
      <sheetData sheetId="2336">
        <row r="16">
          <cell r="G16">
            <v>0</v>
          </cell>
        </row>
      </sheetData>
      <sheetData sheetId="2337">
        <row r="16">
          <cell r="G16">
            <v>0</v>
          </cell>
        </row>
      </sheetData>
      <sheetData sheetId="2338">
        <row r="16">
          <cell r="G16">
            <v>0</v>
          </cell>
        </row>
      </sheetData>
      <sheetData sheetId="2339">
        <row r="16">
          <cell r="G16">
            <v>0</v>
          </cell>
        </row>
      </sheetData>
      <sheetData sheetId="2340">
        <row r="16">
          <cell r="G16">
            <v>0</v>
          </cell>
        </row>
      </sheetData>
      <sheetData sheetId="2341">
        <row r="16">
          <cell r="G16">
            <v>0</v>
          </cell>
        </row>
      </sheetData>
      <sheetData sheetId="2342">
        <row r="16">
          <cell r="G16">
            <v>0</v>
          </cell>
        </row>
      </sheetData>
      <sheetData sheetId="2343">
        <row r="16">
          <cell r="G16">
            <v>0</v>
          </cell>
        </row>
      </sheetData>
      <sheetData sheetId="2344">
        <row r="16">
          <cell r="G16">
            <v>0</v>
          </cell>
        </row>
      </sheetData>
      <sheetData sheetId="2345">
        <row r="16">
          <cell r="G16">
            <v>0</v>
          </cell>
        </row>
      </sheetData>
      <sheetData sheetId="2346">
        <row r="16">
          <cell r="G16">
            <v>0</v>
          </cell>
        </row>
      </sheetData>
      <sheetData sheetId="2347">
        <row r="16">
          <cell r="G16">
            <v>0</v>
          </cell>
        </row>
      </sheetData>
      <sheetData sheetId="2348">
        <row r="16">
          <cell r="G16">
            <v>0</v>
          </cell>
        </row>
      </sheetData>
      <sheetData sheetId="2349">
        <row r="16">
          <cell r="G16">
            <v>0</v>
          </cell>
        </row>
      </sheetData>
      <sheetData sheetId="2350" refreshError="1"/>
      <sheetData sheetId="2351">
        <row r="16">
          <cell r="G16">
            <v>0</v>
          </cell>
        </row>
      </sheetData>
      <sheetData sheetId="2352">
        <row r="16">
          <cell r="G16">
            <v>0</v>
          </cell>
        </row>
      </sheetData>
      <sheetData sheetId="2353">
        <row r="16">
          <cell r="G16">
            <v>0</v>
          </cell>
        </row>
      </sheetData>
      <sheetData sheetId="2354">
        <row r="8">
          <cell r="B8">
            <v>43731</v>
          </cell>
        </row>
      </sheetData>
      <sheetData sheetId="2355">
        <row r="8">
          <cell r="B8">
            <v>43731</v>
          </cell>
        </row>
      </sheetData>
      <sheetData sheetId="2356">
        <row r="8">
          <cell r="B8">
            <v>43731</v>
          </cell>
        </row>
      </sheetData>
      <sheetData sheetId="2357">
        <row r="16">
          <cell r="G16">
            <v>0</v>
          </cell>
        </row>
      </sheetData>
      <sheetData sheetId="2358">
        <row r="16">
          <cell r="G16">
            <v>0</v>
          </cell>
        </row>
      </sheetData>
      <sheetData sheetId="2359">
        <row r="16">
          <cell r="G16">
            <v>0</v>
          </cell>
        </row>
      </sheetData>
      <sheetData sheetId="2360">
        <row r="16">
          <cell r="G16">
            <v>0</v>
          </cell>
        </row>
      </sheetData>
      <sheetData sheetId="2361">
        <row r="16">
          <cell r="G16">
            <v>0</v>
          </cell>
        </row>
      </sheetData>
      <sheetData sheetId="2362">
        <row r="8">
          <cell r="B8">
            <v>43731</v>
          </cell>
        </row>
      </sheetData>
      <sheetData sheetId="2363">
        <row r="16">
          <cell r="G16">
            <v>0</v>
          </cell>
        </row>
      </sheetData>
      <sheetData sheetId="2364">
        <row r="8">
          <cell r="B8">
            <v>43731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>
        <row r="16">
          <cell r="G16">
            <v>0</v>
          </cell>
        </row>
      </sheetData>
      <sheetData sheetId="2370">
        <row r="16">
          <cell r="G16">
            <v>132.10688000000002</v>
          </cell>
        </row>
      </sheetData>
      <sheetData sheetId="2371">
        <row r="16">
          <cell r="G16">
            <v>132.10688000000002</v>
          </cell>
        </row>
      </sheetData>
      <sheetData sheetId="2372">
        <row r="16">
          <cell r="G16">
            <v>0</v>
          </cell>
        </row>
      </sheetData>
      <sheetData sheetId="2373">
        <row r="16">
          <cell r="G16">
            <v>0</v>
          </cell>
        </row>
      </sheetData>
      <sheetData sheetId="2374">
        <row r="16">
          <cell r="G16">
            <v>132.10688000000002</v>
          </cell>
        </row>
      </sheetData>
      <sheetData sheetId="2375">
        <row r="16">
          <cell r="G16">
            <v>132.10688000000002</v>
          </cell>
        </row>
      </sheetData>
      <sheetData sheetId="2376">
        <row r="16">
          <cell r="G16">
            <v>0</v>
          </cell>
        </row>
      </sheetData>
      <sheetData sheetId="2377">
        <row r="16">
          <cell r="G16">
            <v>0</v>
          </cell>
        </row>
      </sheetData>
      <sheetData sheetId="2378">
        <row r="16">
          <cell r="G16">
            <v>0</v>
          </cell>
        </row>
      </sheetData>
      <sheetData sheetId="2379">
        <row r="16">
          <cell r="G16">
            <v>0</v>
          </cell>
        </row>
      </sheetData>
      <sheetData sheetId="2380">
        <row r="16">
          <cell r="G16">
            <v>132.10688000000002</v>
          </cell>
        </row>
      </sheetData>
      <sheetData sheetId="2381">
        <row r="16">
          <cell r="G16">
            <v>132.10688000000002</v>
          </cell>
        </row>
      </sheetData>
      <sheetData sheetId="2382">
        <row r="16">
          <cell r="G16">
            <v>0</v>
          </cell>
        </row>
      </sheetData>
      <sheetData sheetId="2383">
        <row r="16">
          <cell r="G16">
            <v>0</v>
          </cell>
        </row>
      </sheetData>
      <sheetData sheetId="2384">
        <row r="16">
          <cell r="G16">
            <v>0</v>
          </cell>
        </row>
      </sheetData>
      <sheetData sheetId="2385">
        <row r="16">
          <cell r="G16">
            <v>0</v>
          </cell>
        </row>
      </sheetData>
      <sheetData sheetId="2386">
        <row r="16">
          <cell r="G16">
            <v>0</v>
          </cell>
        </row>
      </sheetData>
      <sheetData sheetId="2387">
        <row r="16">
          <cell r="G16">
            <v>0</v>
          </cell>
        </row>
      </sheetData>
      <sheetData sheetId="2388">
        <row r="8">
          <cell r="B8">
            <v>43731</v>
          </cell>
        </row>
      </sheetData>
      <sheetData sheetId="2389">
        <row r="8">
          <cell r="B8">
            <v>43731</v>
          </cell>
        </row>
      </sheetData>
      <sheetData sheetId="2390">
        <row r="16">
          <cell r="G16">
            <v>132.10688000000002</v>
          </cell>
        </row>
      </sheetData>
      <sheetData sheetId="2391">
        <row r="16">
          <cell r="G16">
            <v>0</v>
          </cell>
        </row>
      </sheetData>
      <sheetData sheetId="2392">
        <row r="16">
          <cell r="G16">
            <v>0</v>
          </cell>
        </row>
      </sheetData>
      <sheetData sheetId="2393">
        <row r="16">
          <cell r="G16">
            <v>0</v>
          </cell>
        </row>
      </sheetData>
      <sheetData sheetId="2394">
        <row r="16">
          <cell r="G16">
            <v>132.10688000000002</v>
          </cell>
        </row>
      </sheetData>
      <sheetData sheetId="2395">
        <row r="16">
          <cell r="G16">
            <v>132.10688000000002</v>
          </cell>
        </row>
      </sheetData>
      <sheetData sheetId="2396">
        <row r="16">
          <cell r="G16">
            <v>0</v>
          </cell>
        </row>
      </sheetData>
      <sheetData sheetId="2397">
        <row r="16">
          <cell r="G16">
            <v>0</v>
          </cell>
        </row>
      </sheetData>
      <sheetData sheetId="2398">
        <row r="16">
          <cell r="G16">
            <v>0</v>
          </cell>
        </row>
      </sheetData>
      <sheetData sheetId="2399">
        <row r="16">
          <cell r="G16">
            <v>0</v>
          </cell>
        </row>
      </sheetData>
      <sheetData sheetId="2400">
        <row r="16">
          <cell r="G16">
            <v>132.10688000000002</v>
          </cell>
        </row>
      </sheetData>
      <sheetData sheetId="2401">
        <row r="16">
          <cell r="G16">
            <v>0</v>
          </cell>
        </row>
      </sheetData>
      <sheetData sheetId="2402">
        <row r="16">
          <cell r="G16">
            <v>132.10688000000002</v>
          </cell>
        </row>
      </sheetData>
      <sheetData sheetId="2403">
        <row r="16">
          <cell r="G16">
            <v>132.10688000000002</v>
          </cell>
        </row>
      </sheetData>
      <sheetData sheetId="2404">
        <row r="16">
          <cell r="G16">
            <v>132.10688000000002</v>
          </cell>
        </row>
      </sheetData>
      <sheetData sheetId="2405">
        <row r="16">
          <cell r="G16">
            <v>132.10688000000002</v>
          </cell>
        </row>
      </sheetData>
      <sheetData sheetId="2406">
        <row r="16">
          <cell r="G16">
            <v>132.10688000000002</v>
          </cell>
        </row>
      </sheetData>
      <sheetData sheetId="2407">
        <row r="16">
          <cell r="G16">
            <v>132.10688000000002</v>
          </cell>
        </row>
      </sheetData>
      <sheetData sheetId="2408">
        <row r="16">
          <cell r="G16">
            <v>132.10688000000002</v>
          </cell>
        </row>
      </sheetData>
      <sheetData sheetId="2409">
        <row r="16">
          <cell r="G16">
            <v>0</v>
          </cell>
        </row>
      </sheetData>
      <sheetData sheetId="2410">
        <row r="16">
          <cell r="G16">
            <v>132.10688000000002</v>
          </cell>
        </row>
      </sheetData>
      <sheetData sheetId="2411">
        <row r="16">
          <cell r="G16">
            <v>0</v>
          </cell>
        </row>
      </sheetData>
      <sheetData sheetId="2412">
        <row r="16">
          <cell r="G16">
            <v>132.10688000000002</v>
          </cell>
        </row>
      </sheetData>
      <sheetData sheetId="2413">
        <row r="16">
          <cell r="G16">
            <v>132.10688000000002</v>
          </cell>
        </row>
      </sheetData>
      <sheetData sheetId="2414">
        <row r="16">
          <cell r="G16">
            <v>0</v>
          </cell>
        </row>
      </sheetData>
      <sheetData sheetId="2415">
        <row r="16">
          <cell r="G16">
            <v>132.10688000000002</v>
          </cell>
        </row>
      </sheetData>
      <sheetData sheetId="2416">
        <row r="16">
          <cell r="G16">
            <v>0</v>
          </cell>
        </row>
      </sheetData>
      <sheetData sheetId="2417">
        <row r="16">
          <cell r="G16">
            <v>132.10688000000002</v>
          </cell>
        </row>
      </sheetData>
      <sheetData sheetId="2418">
        <row r="16">
          <cell r="G16">
            <v>132.10688000000002</v>
          </cell>
        </row>
      </sheetData>
      <sheetData sheetId="2419">
        <row r="16">
          <cell r="G16">
            <v>132.10688000000002</v>
          </cell>
        </row>
      </sheetData>
      <sheetData sheetId="2420">
        <row r="16">
          <cell r="G16">
            <v>0</v>
          </cell>
        </row>
      </sheetData>
      <sheetData sheetId="2421">
        <row r="16">
          <cell r="G16">
            <v>132.10688000000002</v>
          </cell>
        </row>
      </sheetData>
      <sheetData sheetId="2422">
        <row r="16">
          <cell r="G16">
            <v>0</v>
          </cell>
        </row>
      </sheetData>
      <sheetData sheetId="2423">
        <row r="16">
          <cell r="G16">
            <v>132.10688000000002</v>
          </cell>
        </row>
      </sheetData>
      <sheetData sheetId="2424">
        <row r="16">
          <cell r="G16">
            <v>132.10688000000002</v>
          </cell>
        </row>
      </sheetData>
      <sheetData sheetId="2425">
        <row r="16">
          <cell r="G16">
            <v>132.10688000000002</v>
          </cell>
        </row>
      </sheetData>
      <sheetData sheetId="2426">
        <row r="16">
          <cell r="G16">
            <v>132.10688000000002</v>
          </cell>
        </row>
      </sheetData>
      <sheetData sheetId="2427">
        <row r="16">
          <cell r="G16">
            <v>0</v>
          </cell>
        </row>
      </sheetData>
      <sheetData sheetId="2428">
        <row r="16">
          <cell r="G16">
            <v>0</v>
          </cell>
        </row>
      </sheetData>
      <sheetData sheetId="2429">
        <row r="16">
          <cell r="G16">
            <v>132.10688000000002</v>
          </cell>
        </row>
      </sheetData>
      <sheetData sheetId="2430">
        <row r="8">
          <cell r="B8">
            <v>43731</v>
          </cell>
        </row>
      </sheetData>
      <sheetData sheetId="2431">
        <row r="16">
          <cell r="G16">
            <v>0</v>
          </cell>
        </row>
      </sheetData>
      <sheetData sheetId="2432">
        <row r="16">
          <cell r="G16">
            <v>132.10688000000002</v>
          </cell>
        </row>
      </sheetData>
      <sheetData sheetId="2433">
        <row r="8">
          <cell r="B8">
            <v>43731</v>
          </cell>
        </row>
      </sheetData>
      <sheetData sheetId="2434">
        <row r="16">
          <cell r="G16">
            <v>0</v>
          </cell>
        </row>
      </sheetData>
      <sheetData sheetId="2435">
        <row r="16">
          <cell r="G16">
            <v>132.10688000000002</v>
          </cell>
        </row>
      </sheetData>
      <sheetData sheetId="2436">
        <row r="16">
          <cell r="G16">
            <v>0</v>
          </cell>
        </row>
      </sheetData>
      <sheetData sheetId="2437">
        <row r="16">
          <cell r="G16">
            <v>132.10688000000002</v>
          </cell>
        </row>
      </sheetData>
      <sheetData sheetId="2438">
        <row r="16">
          <cell r="G16">
            <v>132.10688000000002</v>
          </cell>
        </row>
      </sheetData>
      <sheetData sheetId="2439">
        <row r="16">
          <cell r="G16">
            <v>132.10688000000002</v>
          </cell>
        </row>
      </sheetData>
      <sheetData sheetId="2440">
        <row r="16">
          <cell r="G16">
            <v>132.10688000000002</v>
          </cell>
        </row>
      </sheetData>
      <sheetData sheetId="2441">
        <row r="16">
          <cell r="G16">
            <v>0</v>
          </cell>
        </row>
      </sheetData>
      <sheetData sheetId="2442">
        <row r="16">
          <cell r="G16">
            <v>0</v>
          </cell>
        </row>
      </sheetData>
      <sheetData sheetId="2443">
        <row r="16">
          <cell r="G16">
            <v>0</v>
          </cell>
        </row>
      </sheetData>
      <sheetData sheetId="2444">
        <row r="16">
          <cell r="G16">
            <v>0</v>
          </cell>
        </row>
      </sheetData>
      <sheetData sheetId="2445">
        <row r="16">
          <cell r="G16">
            <v>0</v>
          </cell>
        </row>
      </sheetData>
      <sheetData sheetId="2446">
        <row r="16">
          <cell r="G16">
            <v>132.10688000000002</v>
          </cell>
        </row>
      </sheetData>
      <sheetData sheetId="2447">
        <row r="16">
          <cell r="G16">
            <v>0</v>
          </cell>
        </row>
      </sheetData>
      <sheetData sheetId="2448">
        <row r="16">
          <cell r="G16">
            <v>0</v>
          </cell>
        </row>
      </sheetData>
      <sheetData sheetId="2449">
        <row r="16">
          <cell r="G16">
            <v>0</v>
          </cell>
        </row>
      </sheetData>
      <sheetData sheetId="2450">
        <row r="16">
          <cell r="G16">
            <v>0</v>
          </cell>
        </row>
      </sheetData>
      <sheetData sheetId="2451">
        <row r="16">
          <cell r="G16">
            <v>0</v>
          </cell>
        </row>
      </sheetData>
      <sheetData sheetId="2452">
        <row r="16">
          <cell r="G16">
            <v>0</v>
          </cell>
        </row>
      </sheetData>
      <sheetData sheetId="2453">
        <row r="16">
          <cell r="G16">
            <v>132.10688000000002</v>
          </cell>
        </row>
      </sheetData>
      <sheetData sheetId="2454">
        <row r="16">
          <cell r="G16">
            <v>132.10688000000002</v>
          </cell>
        </row>
      </sheetData>
      <sheetData sheetId="2455">
        <row r="8">
          <cell r="B8">
            <v>43731</v>
          </cell>
        </row>
      </sheetData>
      <sheetData sheetId="2456">
        <row r="16">
          <cell r="G16">
            <v>132.10688000000002</v>
          </cell>
        </row>
      </sheetData>
      <sheetData sheetId="2457">
        <row r="16">
          <cell r="G16">
            <v>0</v>
          </cell>
        </row>
      </sheetData>
      <sheetData sheetId="2458">
        <row r="8">
          <cell r="B8">
            <v>43731</v>
          </cell>
        </row>
      </sheetData>
      <sheetData sheetId="2459">
        <row r="16">
          <cell r="G16">
            <v>132.10688000000002</v>
          </cell>
        </row>
      </sheetData>
      <sheetData sheetId="2460">
        <row r="8">
          <cell r="B8">
            <v>43731</v>
          </cell>
        </row>
      </sheetData>
      <sheetData sheetId="2461">
        <row r="8">
          <cell r="B8">
            <v>43731</v>
          </cell>
        </row>
      </sheetData>
      <sheetData sheetId="2462">
        <row r="16">
          <cell r="G16">
            <v>132.10688000000002</v>
          </cell>
        </row>
      </sheetData>
      <sheetData sheetId="2463">
        <row r="16">
          <cell r="G16">
            <v>0</v>
          </cell>
        </row>
      </sheetData>
      <sheetData sheetId="2464">
        <row r="16">
          <cell r="G16">
            <v>0</v>
          </cell>
        </row>
      </sheetData>
      <sheetData sheetId="2465">
        <row r="16">
          <cell r="G16">
            <v>0</v>
          </cell>
        </row>
      </sheetData>
      <sheetData sheetId="2466">
        <row r="16">
          <cell r="G16">
            <v>0</v>
          </cell>
        </row>
      </sheetData>
      <sheetData sheetId="2467">
        <row r="8">
          <cell r="B8">
            <v>43731</v>
          </cell>
        </row>
      </sheetData>
      <sheetData sheetId="2468">
        <row r="16">
          <cell r="G16">
            <v>0</v>
          </cell>
        </row>
      </sheetData>
      <sheetData sheetId="2469">
        <row r="16">
          <cell r="G16">
            <v>0</v>
          </cell>
        </row>
      </sheetData>
      <sheetData sheetId="2470">
        <row r="16">
          <cell r="G16">
            <v>0</v>
          </cell>
        </row>
      </sheetData>
      <sheetData sheetId="2471">
        <row r="8">
          <cell r="B8">
            <v>43731</v>
          </cell>
        </row>
      </sheetData>
      <sheetData sheetId="2472">
        <row r="16">
          <cell r="G16">
            <v>0</v>
          </cell>
        </row>
      </sheetData>
      <sheetData sheetId="2473">
        <row r="16">
          <cell r="G16">
            <v>132.10688000000002</v>
          </cell>
        </row>
      </sheetData>
      <sheetData sheetId="2474">
        <row r="16">
          <cell r="G16">
            <v>0</v>
          </cell>
        </row>
      </sheetData>
      <sheetData sheetId="2475">
        <row r="16">
          <cell r="G16">
            <v>0</v>
          </cell>
        </row>
      </sheetData>
      <sheetData sheetId="2476">
        <row r="16">
          <cell r="G16">
            <v>0</v>
          </cell>
        </row>
      </sheetData>
      <sheetData sheetId="2477">
        <row r="16">
          <cell r="G16">
            <v>0</v>
          </cell>
        </row>
      </sheetData>
      <sheetData sheetId="2478">
        <row r="16">
          <cell r="G16">
            <v>0</v>
          </cell>
        </row>
      </sheetData>
      <sheetData sheetId="2479">
        <row r="16">
          <cell r="G16">
            <v>0</v>
          </cell>
        </row>
      </sheetData>
      <sheetData sheetId="2480">
        <row r="16">
          <cell r="G16">
            <v>0</v>
          </cell>
        </row>
      </sheetData>
      <sheetData sheetId="2481">
        <row r="16">
          <cell r="G16">
            <v>0</v>
          </cell>
        </row>
      </sheetData>
      <sheetData sheetId="2482">
        <row r="16">
          <cell r="G16">
            <v>0</v>
          </cell>
        </row>
      </sheetData>
      <sheetData sheetId="2483">
        <row r="8">
          <cell r="B8">
            <v>43731</v>
          </cell>
        </row>
      </sheetData>
      <sheetData sheetId="2484">
        <row r="8">
          <cell r="B8">
            <v>43731</v>
          </cell>
        </row>
      </sheetData>
      <sheetData sheetId="2485">
        <row r="16">
          <cell r="G16">
            <v>0</v>
          </cell>
        </row>
      </sheetData>
      <sheetData sheetId="2486">
        <row r="16">
          <cell r="G16">
            <v>0</v>
          </cell>
        </row>
      </sheetData>
      <sheetData sheetId="2487">
        <row r="8">
          <cell r="B8">
            <v>43731</v>
          </cell>
        </row>
      </sheetData>
      <sheetData sheetId="2488">
        <row r="16">
          <cell r="G16">
            <v>0</v>
          </cell>
        </row>
      </sheetData>
      <sheetData sheetId="2489">
        <row r="16">
          <cell r="G16">
            <v>0</v>
          </cell>
        </row>
      </sheetData>
      <sheetData sheetId="2490">
        <row r="16">
          <cell r="G16">
            <v>132.10688000000002</v>
          </cell>
        </row>
      </sheetData>
      <sheetData sheetId="2491">
        <row r="16">
          <cell r="G16">
            <v>0</v>
          </cell>
        </row>
      </sheetData>
      <sheetData sheetId="2492">
        <row r="16">
          <cell r="G16">
            <v>0</v>
          </cell>
        </row>
      </sheetData>
      <sheetData sheetId="2493">
        <row r="16">
          <cell r="G16">
            <v>0</v>
          </cell>
        </row>
      </sheetData>
      <sheetData sheetId="2494">
        <row r="8">
          <cell r="B8">
            <v>43731</v>
          </cell>
        </row>
      </sheetData>
      <sheetData sheetId="2495">
        <row r="8">
          <cell r="B8">
            <v>43731</v>
          </cell>
        </row>
      </sheetData>
      <sheetData sheetId="2496">
        <row r="16">
          <cell r="G16">
            <v>0</v>
          </cell>
        </row>
      </sheetData>
      <sheetData sheetId="2497">
        <row r="16">
          <cell r="G16">
            <v>0</v>
          </cell>
        </row>
      </sheetData>
      <sheetData sheetId="2498">
        <row r="8">
          <cell r="B8">
            <v>43731</v>
          </cell>
        </row>
      </sheetData>
      <sheetData sheetId="2499">
        <row r="16">
          <cell r="G16">
            <v>0</v>
          </cell>
        </row>
      </sheetData>
      <sheetData sheetId="2500">
        <row r="16">
          <cell r="G16">
            <v>0</v>
          </cell>
        </row>
      </sheetData>
      <sheetData sheetId="2501">
        <row r="16">
          <cell r="G16">
            <v>0</v>
          </cell>
        </row>
      </sheetData>
      <sheetData sheetId="2502">
        <row r="16">
          <cell r="G16">
            <v>0</v>
          </cell>
        </row>
      </sheetData>
      <sheetData sheetId="2503">
        <row r="8">
          <cell r="B8">
            <v>43731</v>
          </cell>
        </row>
      </sheetData>
      <sheetData sheetId="2504">
        <row r="16">
          <cell r="G16">
            <v>132.10688000000002</v>
          </cell>
        </row>
      </sheetData>
      <sheetData sheetId="2505">
        <row r="16">
          <cell r="G16">
            <v>0</v>
          </cell>
        </row>
      </sheetData>
      <sheetData sheetId="2506">
        <row r="8">
          <cell r="B8">
            <v>43731</v>
          </cell>
        </row>
      </sheetData>
      <sheetData sheetId="2507">
        <row r="16">
          <cell r="G16">
            <v>0</v>
          </cell>
        </row>
      </sheetData>
      <sheetData sheetId="2508">
        <row r="16">
          <cell r="G16">
            <v>0</v>
          </cell>
        </row>
      </sheetData>
      <sheetData sheetId="2509">
        <row r="16">
          <cell r="G16">
            <v>0</v>
          </cell>
        </row>
      </sheetData>
      <sheetData sheetId="2510">
        <row r="16">
          <cell r="G16">
            <v>0</v>
          </cell>
        </row>
      </sheetData>
      <sheetData sheetId="2511">
        <row r="8">
          <cell r="B8">
            <v>43731</v>
          </cell>
        </row>
      </sheetData>
      <sheetData sheetId="2512">
        <row r="16">
          <cell r="G16">
            <v>0</v>
          </cell>
        </row>
      </sheetData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>
        <row r="16">
          <cell r="G16">
            <v>0</v>
          </cell>
        </row>
      </sheetData>
      <sheetData sheetId="2600">
        <row r="16">
          <cell r="G16">
            <v>0</v>
          </cell>
        </row>
      </sheetData>
      <sheetData sheetId="2601">
        <row r="16">
          <cell r="G16">
            <v>0</v>
          </cell>
        </row>
      </sheetData>
      <sheetData sheetId="2602">
        <row r="16">
          <cell r="G16">
            <v>132.10688000000002</v>
          </cell>
        </row>
      </sheetData>
      <sheetData sheetId="2603">
        <row r="16">
          <cell r="G16">
            <v>0</v>
          </cell>
        </row>
      </sheetData>
      <sheetData sheetId="2604">
        <row r="16">
          <cell r="G16">
            <v>0</v>
          </cell>
        </row>
      </sheetData>
      <sheetData sheetId="2605">
        <row r="16">
          <cell r="G16">
            <v>132.10688000000002</v>
          </cell>
        </row>
      </sheetData>
      <sheetData sheetId="2606">
        <row r="16">
          <cell r="G16">
            <v>132.10688000000002</v>
          </cell>
        </row>
      </sheetData>
      <sheetData sheetId="2607">
        <row r="16">
          <cell r="G16">
            <v>0</v>
          </cell>
        </row>
      </sheetData>
      <sheetData sheetId="2608">
        <row r="16">
          <cell r="G16">
            <v>132.10688000000002</v>
          </cell>
        </row>
      </sheetData>
      <sheetData sheetId="2609">
        <row r="16">
          <cell r="G16">
            <v>132.10688000000002</v>
          </cell>
        </row>
      </sheetData>
      <sheetData sheetId="2610">
        <row r="16">
          <cell r="G16">
            <v>132.10688000000002</v>
          </cell>
        </row>
      </sheetData>
      <sheetData sheetId="2611">
        <row r="16">
          <cell r="G16">
            <v>0</v>
          </cell>
        </row>
      </sheetData>
      <sheetData sheetId="2612">
        <row r="16">
          <cell r="G16">
            <v>132.10688000000002</v>
          </cell>
        </row>
      </sheetData>
      <sheetData sheetId="2613">
        <row r="16">
          <cell r="G16">
            <v>132.10688000000002</v>
          </cell>
        </row>
      </sheetData>
      <sheetData sheetId="2614">
        <row r="16">
          <cell r="G16">
            <v>132.10688000000002</v>
          </cell>
        </row>
      </sheetData>
      <sheetData sheetId="2615">
        <row r="16">
          <cell r="G16">
            <v>132.10688000000002</v>
          </cell>
        </row>
      </sheetData>
      <sheetData sheetId="2616">
        <row r="16">
          <cell r="G16">
            <v>132.10688000000002</v>
          </cell>
        </row>
      </sheetData>
      <sheetData sheetId="2617">
        <row r="16">
          <cell r="G16">
            <v>0</v>
          </cell>
        </row>
      </sheetData>
      <sheetData sheetId="2618">
        <row r="16">
          <cell r="G16">
            <v>0</v>
          </cell>
        </row>
      </sheetData>
      <sheetData sheetId="2619">
        <row r="16">
          <cell r="G16">
            <v>132.10688000000002</v>
          </cell>
        </row>
      </sheetData>
      <sheetData sheetId="2620">
        <row r="16">
          <cell r="G16">
            <v>132.10688000000002</v>
          </cell>
        </row>
      </sheetData>
      <sheetData sheetId="2621">
        <row r="16">
          <cell r="G16">
            <v>132.10688000000002</v>
          </cell>
        </row>
      </sheetData>
      <sheetData sheetId="2622">
        <row r="16">
          <cell r="G16">
            <v>0</v>
          </cell>
        </row>
      </sheetData>
      <sheetData sheetId="2623">
        <row r="16">
          <cell r="G16">
            <v>0</v>
          </cell>
        </row>
      </sheetData>
      <sheetData sheetId="2624">
        <row r="16">
          <cell r="G16">
            <v>0</v>
          </cell>
        </row>
      </sheetData>
      <sheetData sheetId="2625">
        <row r="16">
          <cell r="G16">
            <v>0</v>
          </cell>
        </row>
      </sheetData>
      <sheetData sheetId="2626">
        <row r="16">
          <cell r="G16">
            <v>0</v>
          </cell>
        </row>
      </sheetData>
      <sheetData sheetId="2627">
        <row r="16">
          <cell r="G16">
            <v>0</v>
          </cell>
        </row>
      </sheetData>
      <sheetData sheetId="2628">
        <row r="16">
          <cell r="G16">
            <v>0</v>
          </cell>
        </row>
      </sheetData>
      <sheetData sheetId="2629">
        <row r="16">
          <cell r="G16">
            <v>0</v>
          </cell>
        </row>
      </sheetData>
      <sheetData sheetId="2630">
        <row r="16">
          <cell r="G16">
            <v>0</v>
          </cell>
        </row>
      </sheetData>
      <sheetData sheetId="2631">
        <row r="16">
          <cell r="G16">
            <v>132.10688000000002</v>
          </cell>
        </row>
      </sheetData>
      <sheetData sheetId="2632">
        <row r="16">
          <cell r="G16">
            <v>132.10688000000002</v>
          </cell>
        </row>
      </sheetData>
      <sheetData sheetId="2633">
        <row r="16">
          <cell r="G16">
            <v>0</v>
          </cell>
        </row>
      </sheetData>
      <sheetData sheetId="2634">
        <row r="16">
          <cell r="G16">
            <v>132.10688000000002</v>
          </cell>
        </row>
      </sheetData>
      <sheetData sheetId="2635">
        <row r="16">
          <cell r="G16">
            <v>132.10688000000002</v>
          </cell>
        </row>
      </sheetData>
      <sheetData sheetId="2636">
        <row r="16">
          <cell r="G16">
            <v>0</v>
          </cell>
        </row>
      </sheetData>
      <sheetData sheetId="2637">
        <row r="16">
          <cell r="G16">
            <v>132.10688000000002</v>
          </cell>
        </row>
      </sheetData>
      <sheetData sheetId="2638">
        <row r="16">
          <cell r="G16">
            <v>132.10688000000002</v>
          </cell>
        </row>
      </sheetData>
      <sheetData sheetId="2639">
        <row r="16">
          <cell r="G16">
            <v>132.10688000000002</v>
          </cell>
        </row>
      </sheetData>
      <sheetData sheetId="2640">
        <row r="16">
          <cell r="G16">
            <v>0</v>
          </cell>
        </row>
      </sheetData>
      <sheetData sheetId="2641">
        <row r="16">
          <cell r="G16">
            <v>132.10688000000002</v>
          </cell>
        </row>
      </sheetData>
      <sheetData sheetId="2642">
        <row r="16">
          <cell r="G16">
            <v>132.10688000000002</v>
          </cell>
        </row>
      </sheetData>
      <sheetData sheetId="2643">
        <row r="16">
          <cell r="G16">
            <v>132.10688000000002</v>
          </cell>
        </row>
      </sheetData>
      <sheetData sheetId="2644">
        <row r="16">
          <cell r="G16">
            <v>0</v>
          </cell>
        </row>
      </sheetData>
      <sheetData sheetId="2645">
        <row r="16">
          <cell r="G16">
            <v>0</v>
          </cell>
        </row>
      </sheetData>
      <sheetData sheetId="2646">
        <row r="16">
          <cell r="G16">
            <v>0</v>
          </cell>
        </row>
      </sheetData>
      <sheetData sheetId="2647">
        <row r="16">
          <cell r="G16">
            <v>0</v>
          </cell>
        </row>
      </sheetData>
      <sheetData sheetId="2648">
        <row r="16">
          <cell r="G16">
            <v>132.10688000000002</v>
          </cell>
        </row>
      </sheetData>
      <sheetData sheetId="2649">
        <row r="16">
          <cell r="G16">
            <v>132.10688000000002</v>
          </cell>
        </row>
      </sheetData>
      <sheetData sheetId="2650">
        <row r="16">
          <cell r="G16">
            <v>132.10688000000002</v>
          </cell>
        </row>
      </sheetData>
      <sheetData sheetId="2651">
        <row r="16">
          <cell r="G16">
            <v>132.10688000000002</v>
          </cell>
        </row>
      </sheetData>
      <sheetData sheetId="2652">
        <row r="16">
          <cell r="G16">
            <v>132.10688000000002</v>
          </cell>
        </row>
      </sheetData>
      <sheetData sheetId="2653">
        <row r="16">
          <cell r="G16">
            <v>132.10688000000002</v>
          </cell>
        </row>
      </sheetData>
      <sheetData sheetId="2654">
        <row r="16">
          <cell r="G16">
            <v>132.10688000000002</v>
          </cell>
        </row>
      </sheetData>
      <sheetData sheetId="2655">
        <row r="16">
          <cell r="G16">
            <v>132.10688000000002</v>
          </cell>
        </row>
      </sheetData>
      <sheetData sheetId="2656">
        <row r="16">
          <cell r="G16">
            <v>132.10688000000002</v>
          </cell>
        </row>
      </sheetData>
      <sheetData sheetId="2657">
        <row r="16">
          <cell r="G16">
            <v>132.10688000000002</v>
          </cell>
        </row>
      </sheetData>
      <sheetData sheetId="2658">
        <row r="16">
          <cell r="G16">
            <v>0</v>
          </cell>
        </row>
      </sheetData>
      <sheetData sheetId="2659">
        <row r="16">
          <cell r="G16">
            <v>132.10688000000002</v>
          </cell>
        </row>
      </sheetData>
      <sheetData sheetId="2660">
        <row r="16">
          <cell r="G16">
            <v>0</v>
          </cell>
        </row>
      </sheetData>
      <sheetData sheetId="2661">
        <row r="16">
          <cell r="G16">
            <v>132.10688000000002</v>
          </cell>
        </row>
      </sheetData>
      <sheetData sheetId="2662">
        <row r="16">
          <cell r="G16">
            <v>132.10688000000002</v>
          </cell>
        </row>
      </sheetData>
      <sheetData sheetId="2663">
        <row r="16">
          <cell r="G16">
            <v>0</v>
          </cell>
        </row>
      </sheetData>
      <sheetData sheetId="2664">
        <row r="16">
          <cell r="G16">
            <v>132.10688000000002</v>
          </cell>
        </row>
      </sheetData>
      <sheetData sheetId="2665">
        <row r="16">
          <cell r="G16">
            <v>0</v>
          </cell>
        </row>
      </sheetData>
      <sheetData sheetId="2666">
        <row r="16">
          <cell r="G16">
            <v>132.10688000000002</v>
          </cell>
        </row>
      </sheetData>
      <sheetData sheetId="2667">
        <row r="16">
          <cell r="G16">
            <v>132.10688000000002</v>
          </cell>
        </row>
      </sheetData>
      <sheetData sheetId="2668">
        <row r="16">
          <cell r="G16">
            <v>132.10688000000002</v>
          </cell>
        </row>
      </sheetData>
      <sheetData sheetId="2669">
        <row r="16">
          <cell r="G16">
            <v>132.10688000000002</v>
          </cell>
        </row>
      </sheetData>
      <sheetData sheetId="2670">
        <row r="16">
          <cell r="G16">
            <v>132.10688000000002</v>
          </cell>
        </row>
      </sheetData>
      <sheetData sheetId="2671">
        <row r="16">
          <cell r="G16">
            <v>0</v>
          </cell>
        </row>
      </sheetData>
      <sheetData sheetId="2672">
        <row r="16">
          <cell r="G16">
            <v>132.10688000000002</v>
          </cell>
        </row>
      </sheetData>
      <sheetData sheetId="2673">
        <row r="16">
          <cell r="G16">
            <v>132.10688000000002</v>
          </cell>
        </row>
      </sheetData>
      <sheetData sheetId="2674">
        <row r="16">
          <cell r="G16">
            <v>132.10688000000002</v>
          </cell>
        </row>
      </sheetData>
      <sheetData sheetId="2675">
        <row r="16">
          <cell r="G16">
            <v>132.10688000000002</v>
          </cell>
        </row>
      </sheetData>
      <sheetData sheetId="2676">
        <row r="16">
          <cell r="G16">
            <v>132.10688000000002</v>
          </cell>
        </row>
      </sheetData>
      <sheetData sheetId="2677">
        <row r="16">
          <cell r="G16">
            <v>132.10688000000002</v>
          </cell>
        </row>
      </sheetData>
      <sheetData sheetId="2678">
        <row r="16">
          <cell r="G16">
            <v>0</v>
          </cell>
        </row>
      </sheetData>
      <sheetData sheetId="2679">
        <row r="16">
          <cell r="G16">
            <v>132.10688000000002</v>
          </cell>
        </row>
      </sheetData>
      <sheetData sheetId="2680">
        <row r="16">
          <cell r="G16">
            <v>0</v>
          </cell>
        </row>
      </sheetData>
      <sheetData sheetId="2681">
        <row r="16">
          <cell r="G16">
            <v>0</v>
          </cell>
        </row>
      </sheetData>
      <sheetData sheetId="2682">
        <row r="16">
          <cell r="G16">
            <v>0</v>
          </cell>
        </row>
      </sheetData>
      <sheetData sheetId="2683">
        <row r="16">
          <cell r="G16">
            <v>0</v>
          </cell>
        </row>
      </sheetData>
      <sheetData sheetId="2684">
        <row r="16">
          <cell r="G16">
            <v>0</v>
          </cell>
        </row>
      </sheetData>
      <sheetData sheetId="2685">
        <row r="16">
          <cell r="G16">
            <v>0</v>
          </cell>
        </row>
      </sheetData>
      <sheetData sheetId="2686">
        <row r="16">
          <cell r="G16">
            <v>0</v>
          </cell>
        </row>
      </sheetData>
      <sheetData sheetId="2687">
        <row r="16">
          <cell r="G16">
            <v>132.10688000000002</v>
          </cell>
        </row>
      </sheetData>
      <sheetData sheetId="2688">
        <row r="16">
          <cell r="G16">
            <v>0</v>
          </cell>
        </row>
      </sheetData>
      <sheetData sheetId="2689">
        <row r="16">
          <cell r="G16">
            <v>0</v>
          </cell>
        </row>
      </sheetData>
      <sheetData sheetId="2690">
        <row r="16">
          <cell r="G16">
            <v>0</v>
          </cell>
        </row>
      </sheetData>
      <sheetData sheetId="2691">
        <row r="16">
          <cell r="G16">
            <v>0</v>
          </cell>
        </row>
      </sheetData>
      <sheetData sheetId="2692">
        <row r="16">
          <cell r="G16">
            <v>0</v>
          </cell>
        </row>
      </sheetData>
      <sheetData sheetId="2693">
        <row r="16">
          <cell r="G16">
            <v>132.10688000000002</v>
          </cell>
        </row>
      </sheetData>
      <sheetData sheetId="2694">
        <row r="16">
          <cell r="G16">
            <v>0</v>
          </cell>
        </row>
      </sheetData>
      <sheetData sheetId="2695">
        <row r="16">
          <cell r="G16">
            <v>0</v>
          </cell>
        </row>
      </sheetData>
      <sheetData sheetId="2696">
        <row r="16">
          <cell r="G16">
            <v>0</v>
          </cell>
        </row>
      </sheetData>
      <sheetData sheetId="2697">
        <row r="16">
          <cell r="G16">
            <v>0</v>
          </cell>
        </row>
      </sheetData>
      <sheetData sheetId="2698">
        <row r="16">
          <cell r="G16">
            <v>0</v>
          </cell>
        </row>
      </sheetData>
      <sheetData sheetId="2699">
        <row r="16">
          <cell r="G16">
            <v>0</v>
          </cell>
        </row>
      </sheetData>
      <sheetData sheetId="2700">
        <row r="16">
          <cell r="G16">
            <v>132.10688000000002</v>
          </cell>
        </row>
      </sheetData>
      <sheetData sheetId="2701">
        <row r="16">
          <cell r="G16">
            <v>0</v>
          </cell>
        </row>
      </sheetData>
      <sheetData sheetId="2702">
        <row r="16">
          <cell r="G16">
            <v>0</v>
          </cell>
        </row>
      </sheetData>
      <sheetData sheetId="2703">
        <row r="16">
          <cell r="G16">
            <v>132.10688000000002</v>
          </cell>
        </row>
      </sheetData>
      <sheetData sheetId="2704">
        <row r="16">
          <cell r="G16">
            <v>0</v>
          </cell>
        </row>
      </sheetData>
      <sheetData sheetId="2705">
        <row r="16">
          <cell r="G16">
            <v>0</v>
          </cell>
        </row>
      </sheetData>
      <sheetData sheetId="2706">
        <row r="16">
          <cell r="G16">
            <v>0</v>
          </cell>
        </row>
      </sheetData>
      <sheetData sheetId="2707">
        <row r="16">
          <cell r="G16">
            <v>132.10688000000002</v>
          </cell>
        </row>
      </sheetData>
      <sheetData sheetId="2708">
        <row r="16">
          <cell r="G16">
            <v>0</v>
          </cell>
        </row>
      </sheetData>
      <sheetData sheetId="2709">
        <row r="16">
          <cell r="G16">
            <v>0</v>
          </cell>
        </row>
      </sheetData>
      <sheetData sheetId="2710">
        <row r="16">
          <cell r="G16">
            <v>132.10688000000002</v>
          </cell>
        </row>
      </sheetData>
      <sheetData sheetId="2711">
        <row r="16">
          <cell r="G16">
            <v>132.10688000000002</v>
          </cell>
        </row>
      </sheetData>
      <sheetData sheetId="2712">
        <row r="16">
          <cell r="G16">
            <v>0</v>
          </cell>
        </row>
      </sheetData>
      <sheetData sheetId="2713">
        <row r="16">
          <cell r="G16">
            <v>0</v>
          </cell>
        </row>
      </sheetData>
      <sheetData sheetId="2714">
        <row r="16">
          <cell r="G16">
            <v>132.10688000000002</v>
          </cell>
        </row>
      </sheetData>
      <sheetData sheetId="2715">
        <row r="16">
          <cell r="G16">
            <v>0</v>
          </cell>
        </row>
      </sheetData>
      <sheetData sheetId="2716">
        <row r="16">
          <cell r="G16">
            <v>0</v>
          </cell>
        </row>
      </sheetData>
      <sheetData sheetId="2717">
        <row r="16">
          <cell r="G16">
            <v>132.10688000000002</v>
          </cell>
        </row>
      </sheetData>
      <sheetData sheetId="2718">
        <row r="16">
          <cell r="G16">
            <v>0</v>
          </cell>
        </row>
      </sheetData>
      <sheetData sheetId="2719">
        <row r="16">
          <cell r="G16">
            <v>0</v>
          </cell>
        </row>
      </sheetData>
      <sheetData sheetId="2720">
        <row r="16">
          <cell r="G16">
            <v>0</v>
          </cell>
        </row>
      </sheetData>
      <sheetData sheetId="2721">
        <row r="16">
          <cell r="G16">
            <v>0</v>
          </cell>
        </row>
      </sheetData>
      <sheetData sheetId="2722">
        <row r="16">
          <cell r="G16">
            <v>0</v>
          </cell>
        </row>
      </sheetData>
      <sheetData sheetId="2723">
        <row r="16">
          <cell r="G16">
            <v>0</v>
          </cell>
        </row>
      </sheetData>
      <sheetData sheetId="2724">
        <row r="16">
          <cell r="G16">
            <v>0</v>
          </cell>
        </row>
      </sheetData>
      <sheetData sheetId="2725">
        <row r="16">
          <cell r="G16">
            <v>0</v>
          </cell>
        </row>
      </sheetData>
      <sheetData sheetId="2726">
        <row r="16">
          <cell r="G16">
            <v>0</v>
          </cell>
        </row>
      </sheetData>
      <sheetData sheetId="2727">
        <row r="16">
          <cell r="G16">
            <v>132.10688000000002</v>
          </cell>
        </row>
      </sheetData>
      <sheetData sheetId="2728">
        <row r="16">
          <cell r="G16">
            <v>0</v>
          </cell>
        </row>
      </sheetData>
      <sheetData sheetId="2729">
        <row r="16">
          <cell r="G16">
            <v>0</v>
          </cell>
        </row>
      </sheetData>
      <sheetData sheetId="2730">
        <row r="16">
          <cell r="G16">
            <v>132.10688000000002</v>
          </cell>
        </row>
      </sheetData>
      <sheetData sheetId="2731">
        <row r="16">
          <cell r="G16">
            <v>0</v>
          </cell>
        </row>
      </sheetData>
      <sheetData sheetId="2732">
        <row r="16">
          <cell r="G16">
            <v>0</v>
          </cell>
        </row>
      </sheetData>
      <sheetData sheetId="2733">
        <row r="16">
          <cell r="G16">
            <v>132.10688000000002</v>
          </cell>
        </row>
      </sheetData>
      <sheetData sheetId="2734">
        <row r="16">
          <cell r="G16">
            <v>132.10688000000002</v>
          </cell>
        </row>
      </sheetData>
      <sheetData sheetId="2735">
        <row r="16">
          <cell r="G16">
            <v>0</v>
          </cell>
        </row>
      </sheetData>
      <sheetData sheetId="2736">
        <row r="16">
          <cell r="G16">
            <v>0</v>
          </cell>
        </row>
      </sheetData>
      <sheetData sheetId="2737">
        <row r="16">
          <cell r="G16">
            <v>0</v>
          </cell>
        </row>
      </sheetData>
      <sheetData sheetId="2738">
        <row r="16">
          <cell r="G16">
            <v>0</v>
          </cell>
        </row>
      </sheetData>
      <sheetData sheetId="2739">
        <row r="16">
          <cell r="G16">
            <v>0</v>
          </cell>
        </row>
      </sheetData>
      <sheetData sheetId="2740">
        <row r="16">
          <cell r="G16">
            <v>0</v>
          </cell>
        </row>
      </sheetData>
      <sheetData sheetId="2741">
        <row r="16">
          <cell r="G16">
            <v>132.10688000000002</v>
          </cell>
        </row>
      </sheetData>
      <sheetData sheetId="2742">
        <row r="16">
          <cell r="G16">
            <v>0</v>
          </cell>
        </row>
      </sheetData>
      <sheetData sheetId="2743">
        <row r="16">
          <cell r="G16">
            <v>0</v>
          </cell>
        </row>
      </sheetData>
      <sheetData sheetId="2744">
        <row r="16">
          <cell r="G16">
            <v>0</v>
          </cell>
        </row>
      </sheetData>
      <sheetData sheetId="2745">
        <row r="16">
          <cell r="G16">
            <v>0</v>
          </cell>
        </row>
      </sheetData>
      <sheetData sheetId="2746">
        <row r="16">
          <cell r="G16">
            <v>0</v>
          </cell>
        </row>
      </sheetData>
      <sheetData sheetId="2747">
        <row r="16">
          <cell r="G16">
            <v>0</v>
          </cell>
        </row>
      </sheetData>
      <sheetData sheetId="2748">
        <row r="16">
          <cell r="G16">
            <v>0</v>
          </cell>
        </row>
      </sheetData>
      <sheetData sheetId="2749">
        <row r="16">
          <cell r="G16">
            <v>132.10688000000002</v>
          </cell>
        </row>
      </sheetData>
      <sheetData sheetId="2750">
        <row r="16">
          <cell r="G16">
            <v>132.10688000000002</v>
          </cell>
        </row>
      </sheetData>
      <sheetData sheetId="2751">
        <row r="16">
          <cell r="G16">
            <v>0</v>
          </cell>
        </row>
      </sheetData>
      <sheetData sheetId="2752">
        <row r="16">
          <cell r="G16">
            <v>0</v>
          </cell>
        </row>
      </sheetData>
      <sheetData sheetId="2753">
        <row r="16">
          <cell r="G16">
            <v>0</v>
          </cell>
        </row>
      </sheetData>
      <sheetData sheetId="2754">
        <row r="16">
          <cell r="G16">
            <v>0</v>
          </cell>
        </row>
      </sheetData>
      <sheetData sheetId="2755">
        <row r="16">
          <cell r="G16">
            <v>0</v>
          </cell>
        </row>
      </sheetData>
      <sheetData sheetId="2756">
        <row r="16">
          <cell r="G16">
            <v>0</v>
          </cell>
        </row>
      </sheetData>
      <sheetData sheetId="2757">
        <row r="16">
          <cell r="G16">
            <v>132.10688000000002</v>
          </cell>
        </row>
      </sheetData>
      <sheetData sheetId="2758">
        <row r="16">
          <cell r="G16">
            <v>0</v>
          </cell>
        </row>
      </sheetData>
      <sheetData sheetId="2759">
        <row r="16">
          <cell r="G16">
            <v>0</v>
          </cell>
        </row>
      </sheetData>
      <sheetData sheetId="2760">
        <row r="16">
          <cell r="G16">
            <v>0</v>
          </cell>
        </row>
      </sheetData>
      <sheetData sheetId="2761">
        <row r="16">
          <cell r="G16">
            <v>0</v>
          </cell>
        </row>
      </sheetData>
      <sheetData sheetId="2762">
        <row r="16">
          <cell r="G16">
            <v>0</v>
          </cell>
        </row>
      </sheetData>
      <sheetData sheetId="2763">
        <row r="16">
          <cell r="G16">
            <v>0</v>
          </cell>
        </row>
      </sheetData>
      <sheetData sheetId="2764">
        <row r="16">
          <cell r="G16">
            <v>0</v>
          </cell>
        </row>
      </sheetData>
      <sheetData sheetId="2765">
        <row r="16">
          <cell r="G16">
            <v>0</v>
          </cell>
        </row>
      </sheetData>
      <sheetData sheetId="2766">
        <row r="16">
          <cell r="G16">
            <v>132.10688000000002</v>
          </cell>
        </row>
      </sheetData>
      <sheetData sheetId="2767">
        <row r="16">
          <cell r="G16">
            <v>0</v>
          </cell>
        </row>
      </sheetData>
      <sheetData sheetId="2768">
        <row r="16">
          <cell r="G16">
            <v>0</v>
          </cell>
        </row>
      </sheetData>
      <sheetData sheetId="2769">
        <row r="16">
          <cell r="G16">
            <v>0</v>
          </cell>
        </row>
      </sheetData>
      <sheetData sheetId="2770">
        <row r="16">
          <cell r="G16">
            <v>0</v>
          </cell>
        </row>
      </sheetData>
      <sheetData sheetId="2771">
        <row r="16">
          <cell r="G16">
            <v>0</v>
          </cell>
        </row>
      </sheetData>
      <sheetData sheetId="2772">
        <row r="16">
          <cell r="G16">
            <v>132.10688000000002</v>
          </cell>
        </row>
      </sheetData>
      <sheetData sheetId="2773">
        <row r="16">
          <cell r="G16">
            <v>0</v>
          </cell>
        </row>
      </sheetData>
      <sheetData sheetId="2774">
        <row r="16">
          <cell r="G16">
            <v>0</v>
          </cell>
        </row>
      </sheetData>
      <sheetData sheetId="2775">
        <row r="16">
          <cell r="G16">
            <v>0</v>
          </cell>
        </row>
      </sheetData>
      <sheetData sheetId="2776">
        <row r="16">
          <cell r="G16">
            <v>132.10688000000002</v>
          </cell>
        </row>
      </sheetData>
      <sheetData sheetId="2777">
        <row r="16">
          <cell r="G16">
            <v>0</v>
          </cell>
        </row>
      </sheetData>
      <sheetData sheetId="2778">
        <row r="16">
          <cell r="G16">
            <v>0</v>
          </cell>
        </row>
      </sheetData>
      <sheetData sheetId="2779">
        <row r="16">
          <cell r="G16">
            <v>0</v>
          </cell>
        </row>
      </sheetData>
      <sheetData sheetId="2780">
        <row r="16">
          <cell r="G16">
            <v>0</v>
          </cell>
        </row>
      </sheetData>
      <sheetData sheetId="2781">
        <row r="16">
          <cell r="G16">
            <v>132.10688000000002</v>
          </cell>
        </row>
      </sheetData>
      <sheetData sheetId="2782">
        <row r="16">
          <cell r="G16">
            <v>0</v>
          </cell>
        </row>
      </sheetData>
      <sheetData sheetId="2783">
        <row r="16">
          <cell r="G16">
            <v>132.10688000000002</v>
          </cell>
        </row>
      </sheetData>
      <sheetData sheetId="2784">
        <row r="16">
          <cell r="G16">
            <v>0</v>
          </cell>
        </row>
      </sheetData>
      <sheetData sheetId="2785">
        <row r="16">
          <cell r="G16">
            <v>0</v>
          </cell>
        </row>
      </sheetData>
      <sheetData sheetId="2786">
        <row r="16">
          <cell r="G16">
            <v>0</v>
          </cell>
        </row>
      </sheetData>
      <sheetData sheetId="2787">
        <row r="16">
          <cell r="G16">
            <v>0</v>
          </cell>
        </row>
      </sheetData>
      <sheetData sheetId="2788">
        <row r="16">
          <cell r="G16">
            <v>0</v>
          </cell>
        </row>
      </sheetData>
      <sheetData sheetId="2789">
        <row r="16">
          <cell r="G16">
            <v>0</v>
          </cell>
        </row>
      </sheetData>
      <sheetData sheetId="2790">
        <row r="16">
          <cell r="G16">
            <v>0</v>
          </cell>
        </row>
      </sheetData>
      <sheetData sheetId="2791">
        <row r="16">
          <cell r="G16">
            <v>0</v>
          </cell>
        </row>
      </sheetData>
      <sheetData sheetId="2792">
        <row r="16">
          <cell r="G16">
            <v>0</v>
          </cell>
        </row>
      </sheetData>
      <sheetData sheetId="2793">
        <row r="16">
          <cell r="G16">
            <v>0</v>
          </cell>
        </row>
      </sheetData>
      <sheetData sheetId="2794">
        <row r="16">
          <cell r="G16">
            <v>0</v>
          </cell>
        </row>
      </sheetData>
      <sheetData sheetId="2795">
        <row r="16">
          <cell r="G16">
            <v>132.10688000000002</v>
          </cell>
        </row>
      </sheetData>
      <sheetData sheetId="2796">
        <row r="16">
          <cell r="G16">
            <v>0</v>
          </cell>
        </row>
      </sheetData>
      <sheetData sheetId="2797">
        <row r="16">
          <cell r="G16">
            <v>0</v>
          </cell>
        </row>
      </sheetData>
      <sheetData sheetId="2798">
        <row r="16">
          <cell r="G16">
            <v>0</v>
          </cell>
        </row>
      </sheetData>
      <sheetData sheetId="2799">
        <row r="16">
          <cell r="G16">
            <v>0</v>
          </cell>
        </row>
      </sheetData>
      <sheetData sheetId="2800">
        <row r="16">
          <cell r="G16">
            <v>0</v>
          </cell>
        </row>
      </sheetData>
      <sheetData sheetId="2801">
        <row r="16">
          <cell r="G16">
            <v>0</v>
          </cell>
        </row>
      </sheetData>
      <sheetData sheetId="2802">
        <row r="16">
          <cell r="G16">
            <v>132.10688000000002</v>
          </cell>
        </row>
      </sheetData>
      <sheetData sheetId="2803">
        <row r="16">
          <cell r="G16">
            <v>0</v>
          </cell>
        </row>
      </sheetData>
      <sheetData sheetId="2804">
        <row r="16">
          <cell r="G16">
            <v>0</v>
          </cell>
        </row>
      </sheetData>
      <sheetData sheetId="2805">
        <row r="16">
          <cell r="G16">
            <v>0</v>
          </cell>
        </row>
      </sheetData>
      <sheetData sheetId="2806">
        <row r="16">
          <cell r="G16">
            <v>0</v>
          </cell>
        </row>
      </sheetData>
      <sheetData sheetId="2807">
        <row r="16">
          <cell r="G16">
            <v>0</v>
          </cell>
        </row>
      </sheetData>
      <sheetData sheetId="2808">
        <row r="16">
          <cell r="G16">
            <v>0</v>
          </cell>
        </row>
      </sheetData>
      <sheetData sheetId="2809">
        <row r="16">
          <cell r="G16">
            <v>0</v>
          </cell>
        </row>
      </sheetData>
      <sheetData sheetId="2810">
        <row r="16">
          <cell r="G16">
            <v>0</v>
          </cell>
        </row>
      </sheetData>
      <sheetData sheetId="2811">
        <row r="16">
          <cell r="G16">
            <v>132.10688000000002</v>
          </cell>
        </row>
      </sheetData>
      <sheetData sheetId="2812">
        <row r="16">
          <cell r="G16">
            <v>0</v>
          </cell>
        </row>
      </sheetData>
      <sheetData sheetId="2813">
        <row r="16">
          <cell r="G16">
            <v>0</v>
          </cell>
        </row>
      </sheetData>
      <sheetData sheetId="2814">
        <row r="16">
          <cell r="G16">
            <v>0</v>
          </cell>
        </row>
      </sheetData>
      <sheetData sheetId="2815">
        <row r="16">
          <cell r="G16">
            <v>0</v>
          </cell>
        </row>
      </sheetData>
      <sheetData sheetId="2816">
        <row r="16">
          <cell r="G16">
            <v>0</v>
          </cell>
        </row>
      </sheetData>
      <sheetData sheetId="2817">
        <row r="16">
          <cell r="G16">
            <v>0</v>
          </cell>
        </row>
      </sheetData>
      <sheetData sheetId="2818">
        <row r="16">
          <cell r="G16">
            <v>0</v>
          </cell>
        </row>
      </sheetData>
      <sheetData sheetId="2819">
        <row r="16">
          <cell r="G16">
            <v>0</v>
          </cell>
        </row>
      </sheetData>
      <sheetData sheetId="2820">
        <row r="16">
          <cell r="G16">
            <v>0</v>
          </cell>
        </row>
      </sheetData>
      <sheetData sheetId="2821">
        <row r="16">
          <cell r="G16">
            <v>0</v>
          </cell>
        </row>
      </sheetData>
      <sheetData sheetId="2822">
        <row r="16">
          <cell r="G16">
            <v>0</v>
          </cell>
        </row>
      </sheetData>
      <sheetData sheetId="2823">
        <row r="16">
          <cell r="G16">
            <v>0</v>
          </cell>
        </row>
      </sheetData>
      <sheetData sheetId="2824">
        <row r="16">
          <cell r="G16">
            <v>0</v>
          </cell>
        </row>
      </sheetData>
      <sheetData sheetId="2825">
        <row r="16">
          <cell r="G16">
            <v>0</v>
          </cell>
        </row>
      </sheetData>
      <sheetData sheetId="2826">
        <row r="16">
          <cell r="G16">
            <v>0</v>
          </cell>
        </row>
      </sheetData>
      <sheetData sheetId="2827">
        <row r="16">
          <cell r="G16">
            <v>132.10688000000002</v>
          </cell>
        </row>
      </sheetData>
      <sheetData sheetId="2828">
        <row r="16">
          <cell r="G16">
            <v>132.10688000000002</v>
          </cell>
        </row>
      </sheetData>
      <sheetData sheetId="2829">
        <row r="16">
          <cell r="G16">
            <v>132.10688000000002</v>
          </cell>
        </row>
      </sheetData>
      <sheetData sheetId="2830">
        <row r="16">
          <cell r="G16">
            <v>0</v>
          </cell>
        </row>
      </sheetData>
      <sheetData sheetId="2831">
        <row r="16">
          <cell r="G16">
            <v>132.10688000000002</v>
          </cell>
        </row>
      </sheetData>
      <sheetData sheetId="2832">
        <row r="16">
          <cell r="G16">
            <v>132.10688000000002</v>
          </cell>
        </row>
      </sheetData>
      <sheetData sheetId="2833">
        <row r="16">
          <cell r="G16">
            <v>132.10688000000002</v>
          </cell>
        </row>
      </sheetData>
      <sheetData sheetId="2834">
        <row r="16">
          <cell r="G16">
            <v>0</v>
          </cell>
        </row>
      </sheetData>
      <sheetData sheetId="2835">
        <row r="16">
          <cell r="G16">
            <v>132.10688000000002</v>
          </cell>
        </row>
      </sheetData>
      <sheetData sheetId="2836">
        <row r="16">
          <cell r="G16">
            <v>132.10688000000002</v>
          </cell>
        </row>
      </sheetData>
      <sheetData sheetId="2837">
        <row r="16">
          <cell r="G16">
            <v>132.10688000000002</v>
          </cell>
        </row>
      </sheetData>
      <sheetData sheetId="2838">
        <row r="16">
          <cell r="G16">
            <v>0</v>
          </cell>
        </row>
      </sheetData>
      <sheetData sheetId="2839">
        <row r="16">
          <cell r="G16">
            <v>132.10688000000002</v>
          </cell>
        </row>
      </sheetData>
      <sheetData sheetId="2840">
        <row r="16">
          <cell r="G16">
            <v>132.10688000000002</v>
          </cell>
        </row>
      </sheetData>
      <sheetData sheetId="2841">
        <row r="16">
          <cell r="G16">
            <v>0</v>
          </cell>
        </row>
      </sheetData>
      <sheetData sheetId="2842">
        <row r="16">
          <cell r="G16">
            <v>132.10688000000002</v>
          </cell>
        </row>
      </sheetData>
      <sheetData sheetId="2843">
        <row r="16">
          <cell r="G16">
            <v>132.10688000000002</v>
          </cell>
        </row>
      </sheetData>
      <sheetData sheetId="2844">
        <row r="16">
          <cell r="G16">
            <v>0</v>
          </cell>
        </row>
      </sheetData>
      <sheetData sheetId="2845">
        <row r="16">
          <cell r="G16">
            <v>132.10688000000002</v>
          </cell>
        </row>
      </sheetData>
      <sheetData sheetId="2846">
        <row r="16">
          <cell r="G16">
            <v>132.10688000000002</v>
          </cell>
        </row>
      </sheetData>
      <sheetData sheetId="2847">
        <row r="16">
          <cell r="G16">
            <v>132.10688000000002</v>
          </cell>
        </row>
      </sheetData>
      <sheetData sheetId="2848">
        <row r="16">
          <cell r="G16">
            <v>0</v>
          </cell>
        </row>
      </sheetData>
      <sheetData sheetId="2849">
        <row r="16">
          <cell r="G16">
            <v>132.10688000000002</v>
          </cell>
        </row>
      </sheetData>
      <sheetData sheetId="2850">
        <row r="16">
          <cell r="G16">
            <v>132.10688000000002</v>
          </cell>
        </row>
      </sheetData>
      <sheetData sheetId="2851">
        <row r="16">
          <cell r="G16">
            <v>132.10688000000002</v>
          </cell>
        </row>
      </sheetData>
      <sheetData sheetId="2852">
        <row r="16">
          <cell r="G16">
            <v>0</v>
          </cell>
        </row>
      </sheetData>
      <sheetData sheetId="2853">
        <row r="16">
          <cell r="G16">
            <v>0</v>
          </cell>
        </row>
      </sheetData>
      <sheetData sheetId="2854">
        <row r="16">
          <cell r="G16">
            <v>0</v>
          </cell>
        </row>
      </sheetData>
      <sheetData sheetId="2855">
        <row r="16">
          <cell r="G16">
            <v>0</v>
          </cell>
        </row>
      </sheetData>
      <sheetData sheetId="2856">
        <row r="16">
          <cell r="G16">
            <v>132.10688000000002</v>
          </cell>
        </row>
      </sheetData>
      <sheetData sheetId="2857">
        <row r="16">
          <cell r="G16">
            <v>132.10688000000002</v>
          </cell>
        </row>
      </sheetData>
      <sheetData sheetId="2858">
        <row r="16">
          <cell r="G16">
            <v>132.10688000000002</v>
          </cell>
        </row>
      </sheetData>
      <sheetData sheetId="2859">
        <row r="16">
          <cell r="G16">
            <v>132.10688000000002</v>
          </cell>
        </row>
      </sheetData>
      <sheetData sheetId="2860">
        <row r="16">
          <cell r="G16">
            <v>132.10688000000002</v>
          </cell>
        </row>
      </sheetData>
      <sheetData sheetId="2861">
        <row r="16">
          <cell r="G16">
            <v>0</v>
          </cell>
        </row>
      </sheetData>
      <sheetData sheetId="2862">
        <row r="16">
          <cell r="G16">
            <v>132.10688000000002</v>
          </cell>
        </row>
      </sheetData>
      <sheetData sheetId="2863">
        <row r="16">
          <cell r="G16">
            <v>0</v>
          </cell>
        </row>
      </sheetData>
      <sheetData sheetId="2864">
        <row r="16">
          <cell r="G16">
            <v>132.10688000000002</v>
          </cell>
        </row>
      </sheetData>
      <sheetData sheetId="2865">
        <row r="16">
          <cell r="G16">
            <v>132.10688000000002</v>
          </cell>
        </row>
      </sheetData>
      <sheetData sheetId="2866">
        <row r="16">
          <cell r="G16">
            <v>132.10688000000002</v>
          </cell>
        </row>
      </sheetData>
      <sheetData sheetId="2867">
        <row r="16">
          <cell r="G16">
            <v>132.10688000000002</v>
          </cell>
        </row>
      </sheetData>
      <sheetData sheetId="2868">
        <row r="16">
          <cell r="G16">
            <v>132.10688000000002</v>
          </cell>
        </row>
      </sheetData>
      <sheetData sheetId="2869">
        <row r="16">
          <cell r="G16">
            <v>0</v>
          </cell>
        </row>
      </sheetData>
      <sheetData sheetId="2870">
        <row r="16">
          <cell r="G16">
            <v>0</v>
          </cell>
        </row>
      </sheetData>
      <sheetData sheetId="2871">
        <row r="16">
          <cell r="G16">
            <v>0</v>
          </cell>
        </row>
      </sheetData>
      <sheetData sheetId="2872">
        <row r="16">
          <cell r="G16">
            <v>132.10688000000002</v>
          </cell>
        </row>
      </sheetData>
      <sheetData sheetId="2873">
        <row r="16">
          <cell r="G16">
            <v>132.10688000000002</v>
          </cell>
        </row>
      </sheetData>
      <sheetData sheetId="2874">
        <row r="16">
          <cell r="G16">
            <v>0</v>
          </cell>
        </row>
      </sheetData>
      <sheetData sheetId="2875">
        <row r="16">
          <cell r="G16">
            <v>0</v>
          </cell>
        </row>
      </sheetData>
      <sheetData sheetId="2876">
        <row r="16">
          <cell r="G16">
            <v>0</v>
          </cell>
        </row>
      </sheetData>
      <sheetData sheetId="2877">
        <row r="16">
          <cell r="G16">
            <v>0</v>
          </cell>
        </row>
      </sheetData>
      <sheetData sheetId="2878">
        <row r="16">
          <cell r="G16">
            <v>0</v>
          </cell>
        </row>
      </sheetData>
      <sheetData sheetId="2879">
        <row r="16">
          <cell r="G16">
            <v>0</v>
          </cell>
        </row>
      </sheetData>
      <sheetData sheetId="2880">
        <row r="16">
          <cell r="G16">
            <v>0</v>
          </cell>
        </row>
      </sheetData>
      <sheetData sheetId="2881">
        <row r="16">
          <cell r="G16">
            <v>0</v>
          </cell>
        </row>
      </sheetData>
      <sheetData sheetId="2882">
        <row r="16">
          <cell r="G16">
            <v>132.10688000000002</v>
          </cell>
        </row>
      </sheetData>
      <sheetData sheetId="2883">
        <row r="16">
          <cell r="G16">
            <v>132.10688000000002</v>
          </cell>
        </row>
      </sheetData>
      <sheetData sheetId="2884">
        <row r="16">
          <cell r="G16">
            <v>132.10688000000002</v>
          </cell>
        </row>
      </sheetData>
      <sheetData sheetId="2885">
        <row r="16">
          <cell r="G16">
            <v>0</v>
          </cell>
        </row>
      </sheetData>
      <sheetData sheetId="2886">
        <row r="16">
          <cell r="G16">
            <v>132.10688000000002</v>
          </cell>
        </row>
      </sheetData>
      <sheetData sheetId="2887">
        <row r="16">
          <cell r="G16">
            <v>0</v>
          </cell>
        </row>
      </sheetData>
      <sheetData sheetId="2888">
        <row r="16">
          <cell r="G16">
            <v>132.10688000000002</v>
          </cell>
        </row>
      </sheetData>
      <sheetData sheetId="2889">
        <row r="16">
          <cell r="G16">
            <v>132.10688000000002</v>
          </cell>
        </row>
      </sheetData>
      <sheetData sheetId="2890">
        <row r="16">
          <cell r="G16">
            <v>0</v>
          </cell>
        </row>
      </sheetData>
      <sheetData sheetId="2891">
        <row r="16">
          <cell r="G16">
            <v>132.10688000000002</v>
          </cell>
        </row>
      </sheetData>
      <sheetData sheetId="2892">
        <row r="16">
          <cell r="G16">
            <v>0</v>
          </cell>
        </row>
      </sheetData>
      <sheetData sheetId="2893">
        <row r="16">
          <cell r="G16">
            <v>0</v>
          </cell>
        </row>
      </sheetData>
      <sheetData sheetId="2894">
        <row r="16">
          <cell r="G16">
            <v>132.10688000000002</v>
          </cell>
        </row>
      </sheetData>
      <sheetData sheetId="2895">
        <row r="16">
          <cell r="G16">
            <v>0</v>
          </cell>
        </row>
      </sheetData>
      <sheetData sheetId="2896">
        <row r="16">
          <cell r="G16">
            <v>0</v>
          </cell>
        </row>
      </sheetData>
      <sheetData sheetId="2897">
        <row r="16">
          <cell r="G16">
            <v>132.10688000000002</v>
          </cell>
        </row>
      </sheetData>
      <sheetData sheetId="2898">
        <row r="16">
          <cell r="G16">
            <v>0</v>
          </cell>
        </row>
      </sheetData>
      <sheetData sheetId="2899">
        <row r="16">
          <cell r="G16">
            <v>0</v>
          </cell>
        </row>
      </sheetData>
      <sheetData sheetId="2900">
        <row r="16">
          <cell r="G16">
            <v>0</v>
          </cell>
        </row>
      </sheetData>
      <sheetData sheetId="2901">
        <row r="16">
          <cell r="G16">
            <v>132.10688000000002</v>
          </cell>
        </row>
      </sheetData>
      <sheetData sheetId="2902">
        <row r="16">
          <cell r="G16">
            <v>0</v>
          </cell>
        </row>
      </sheetData>
      <sheetData sheetId="2903">
        <row r="16">
          <cell r="G16">
            <v>0</v>
          </cell>
        </row>
      </sheetData>
      <sheetData sheetId="2904">
        <row r="16">
          <cell r="G16">
            <v>132.10688000000002</v>
          </cell>
        </row>
      </sheetData>
      <sheetData sheetId="2905">
        <row r="16">
          <cell r="G16">
            <v>132.10688000000002</v>
          </cell>
        </row>
      </sheetData>
      <sheetData sheetId="2906">
        <row r="16">
          <cell r="G16">
            <v>0</v>
          </cell>
        </row>
      </sheetData>
      <sheetData sheetId="2907">
        <row r="16">
          <cell r="G16">
            <v>0</v>
          </cell>
        </row>
      </sheetData>
      <sheetData sheetId="2908">
        <row r="16">
          <cell r="G16">
            <v>132.10688000000002</v>
          </cell>
        </row>
      </sheetData>
      <sheetData sheetId="2909">
        <row r="16">
          <cell r="G16">
            <v>0</v>
          </cell>
        </row>
      </sheetData>
      <sheetData sheetId="2910">
        <row r="16">
          <cell r="G16">
            <v>0</v>
          </cell>
        </row>
      </sheetData>
      <sheetData sheetId="2911">
        <row r="16">
          <cell r="G16">
            <v>132.10688000000002</v>
          </cell>
        </row>
      </sheetData>
      <sheetData sheetId="2912">
        <row r="16">
          <cell r="G16">
            <v>0</v>
          </cell>
        </row>
      </sheetData>
      <sheetData sheetId="2913">
        <row r="16">
          <cell r="G16">
            <v>0</v>
          </cell>
        </row>
      </sheetData>
      <sheetData sheetId="2914">
        <row r="16">
          <cell r="G16">
            <v>0</v>
          </cell>
        </row>
      </sheetData>
      <sheetData sheetId="2915">
        <row r="16">
          <cell r="G16">
            <v>132.10688000000002</v>
          </cell>
        </row>
      </sheetData>
      <sheetData sheetId="2916">
        <row r="16">
          <cell r="G16">
            <v>0</v>
          </cell>
        </row>
      </sheetData>
      <sheetData sheetId="2917">
        <row r="16">
          <cell r="G16">
            <v>0</v>
          </cell>
        </row>
      </sheetData>
      <sheetData sheetId="2918">
        <row r="16">
          <cell r="G16">
            <v>132.10688000000002</v>
          </cell>
        </row>
      </sheetData>
      <sheetData sheetId="2919">
        <row r="16">
          <cell r="G16">
            <v>132.10688000000002</v>
          </cell>
        </row>
      </sheetData>
      <sheetData sheetId="2920">
        <row r="16">
          <cell r="G16">
            <v>0</v>
          </cell>
        </row>
      </sheetData>
      <sheetData sheetId="2921">
        <row r="16">
          <cell r="G16">
            <v>0</v>
          </cell>
        </row>
      </sheetData>
      <sheetData sheetId="2922">
        <row r="16">
          <cell r="G16">
            <v>132.10688000000002</v>
          </cell>
        </row>
      </sheetData>
      <sheetData sheetId="2923">
        <row r="16">
          <cell r="G16">
            <v>132.10688000000002</v>
          </cell>
        </row>
      </sheetData>
      <sheetData sheetId="2924">
        <row r="16">
          <cell r="G16">
            <v>0</v>
          </cell>
        </row>
      </sheetData>
      <sheetData sheetId="2925">
        <row r="16">
          <cell r="G16">
            <v>0</v>
          </cell>
        </row>
      </sheetData>
      <sheetData sheetId="2926">
        <row r="16">
          <cell r="G16">
            <v>0</v>
          </cell>
        </row>
      </sheetData>
      <sheetData sheetId="2927">
        <row r="16">
          <cell r="G16">
            <v>0</v>
          </cell>
        </row>
      </sheetData>
      <sheetData sheetId="2928">
        <row r="16">
          <cell r="G16">
            <v>0</v>
          </cell>
        </row>
      </sheetData>
      <sheetData sheetId="2929">
        <row r="16">
          <cell r="G16">
            <v>0</v>
          </cell>
        </row>
      </sheetData>
      <sheetData sheetId="2930">
        <row r="16">
          <cell r="G16">
            <v>132.10688000000002</v>
          </cell>
        </row>
      </sheetData>
      <sheetData sheetId="2931">
        <row r="16">
          <cell r="G16">
            <v>0</v>
          </cell>
        </row>
      </sheetData>
      <sheetData sheetId="2932">
        <row r="16">
          <cell r="G16">
            <v>0</v>
          </cell>
        </row>
      </sheetData>
      <sheetData sheetId="2933">
        <row r="16">
          <cell r="G16">
            <v>0</v>
          </cell>
        </row>
      </sheetData>
      <sheetData sheetId="2934">
        <row r="16">
          <cell r="G16">
            <v>0</v>
          </cell>
        </row>
      </sheetData>
      <sheetData sheetId="2935">
        <row r="16">
          <cell r="G16">
            <v>0</v>
          </cell>
        </row>
      </sheetData>
      <sheetData sheetId="2936">
        <row r="16">
          <cell r="G16">
            <v>0</v>
          </cell>
        </row>
      </sheetData>
      <sheetData sheetId="2937">
        <row r="16">
          <cell r="G16">
            <v>0</v>
          </cell>
        </row>
      </sheetData>
      <sheetData sheetId="2938">
        <row r="16">
          <cell r="G16">
            <v>132.10688000000002</v>
          </cell>
        </row>
      </sheetData>
      <sheetData sheetId="2939">
        <row r="16">
          <cell r="G16">
            <v>0</v>
          </cell>
        </row>
      </sheetData>
      <sheetData sheetId="2940">
        <row r="16">
          <cell r="G16">
            <v>0</v>
          </cell>
        </row>
      </sheetData>
      <sheetData sheetId="2941">
        <row r="16">
          <cell r="G16">
            <v>0</v>
          </cell>
        </row>
      </sheetData>
      <sheetData sheetId="2942">
        <row r="16">
          <cell r="G16">
            <v>0</v>
          </cell>
        </row>
      </sheetData>
      <sheetData sheetId="2943">
        <row r="16">
          <cell r="G16">
            <v>132.10688000000002</v>
          </cell>
        </row>
      </sheetData>
      <sheetData sheetId="2944">
        <row r="16">
          <cell r="G16">
            <v>0</v>
          </cell>
        </row>
      </sheetData>
      <sheetData sheetId="2945">
        <row r="16">
          <cell r="G16">
            <v>0</v>
          </cell>
        </row>
      </sheetData>
      <sheetData sheetId="2946">
        <row r="16">
          <cell r="G16">
            <v>0</v>
          </cell>
        </row>
      </sheetData>
      <sheetData sheetId="2947">
        <row r="16">
          <cell r="G16">
            <v>132.10688000000002</v>
          </cell>
        </row>
      </sheetData>
      <sheetData sheetId="2948">
        <row r="16">
          <cell r="G16">
            <v>0</v>
          </cell>
        </row>
      </sheetData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>
        <row r="16">
          <cell r="G16">
            <v>0</v>
          </cell>
        </row>
      </sheetData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sub"/>
      <sheetName val="Sum"/>
      <sheetName val="Base M&amp;E"/>
      <sheetName val="XL4Poppy"/>
      <sheetName val="MTO REV.2(ARMOR)"/>
      <sheetName val="sortsub.xls"/>
      <sheetName val="IMF Code"/>
      <sheetName val="CHITIET VL-NC-TT -1p"/>
      <sheetName val="TDTKP1"/>
      <sheetName val="MTP"/>
      <sheetName val="Goc CC"/>
      <sheetName val="ALL"/>
      <sheetName val="Main_Mech"/>
      <sheetName val="Sub_Mech"/>
      <sheetName val="DonGia chetao"/>
      <sheetName val="DonGia VatTuLK"/>
      <sheetName val="t-h HA THE"/>
      <sheetName val="giathanh1"/>
      <sheetName val="Sheet1"/>
      <sheetName val="breakdown"/>
      <sheetName val="Change Order Log"/>
      <sheetName val="Summary (overall)"/>
      <sheetName val="3QLRP ( R2 MOR)"/>
      <sheetName val="Summary WG"/>
      <sheetName val="Factor"/>
      <sheetName val="arch-derivation"/>
      <sheetName val="specialties"/>
      <sheetName val="금융비용"/>
      <sheetName val="site works"/>
      <sheetName val="Others"/>
      <sheetName val="sum mdc"/>
      <sheetName val="DPA metal"/>
      <sheetName val="DPA CIP"/>
      <sheetName val="ANNEXA"/>
      <sheetName val="ANNEX OSM"/>
      <sheetName val="RATES G-5"/>
      <sheetName val="RSB_RATIO"/>
      <sheetName val="Bid Evaluation"/>
      <sheetName val="Sheet4"/>
      <sheetName val="data"/>
      <sheetName val="S-Curve"/>
      <sheetName val="4-Lane bridge"/>
      <sheetName val="Bin"/>
      <sheetName val="Temp"/>
      <sheetName val="NOTE"/>
      <sheetName val="M 67"/>
      <sheetName val="Be tong"/>
      <sheetName val="CONCRETE"/>
      <sheetName val="sortsub_xls"/>
      <sheetName val="6PILE  (돌출)"/>
      <sheetName val="내역"/>
      <sheetName val="TOYO"/>
      <sheetName val="F4-F7"/>
      <sheetName val="노임단가"/>
      <sheetName val="EXTERNAL"/>
      <sheetName val="Reb"/>
      <sheetName val="Rebars"/>
      <sheetName val="BILL9"/>
      <sheetName val="AREA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HỆ SỐ"/>
      <sheetName val="Input"/>
      <sheetName val="날개벽수량표"/>
      <sheetName val="기안"/>
      <sheetName val="전기"/>
      <sheetName val="대비"/>
      <sheetName val="총원가계산서(요율)"/>
      <sheetName val="PIPING"/>
      <sheetName val="KL hoan thanh(HT)"/>
      <sheetName val="KL hoan thanh(KC)"/>
      <sheetName val="KL hoan thanh(MEP)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"/>
      <sheetName val="dnc4"/>
      <sheetName val="RAB AR&amp;STR"/>
      <sheetName val="MTL$-INTER"/>
      <sheetName val="SORT.XLS"/>
      <sheetName val="giathanh1"/>
      <sheetName val="XL4Poppy"/>
      <sheetName val="gVL"/>
      <sheetName val="DG"/>
      <sheetName val="Office Tower"/>
      <sheetName val="Input"/>
      <sheetName val="KL thanh toan-Xuan Dao"/>
      <sheetName val="MTO REV.2(ARMOR)"/>
      <sheetName val="MTP"/>
      <sheetName val="Lux-Cal (For Internal only)"/>
      <sheetName val="EMG&amp;EXIT_SYSTEM "/>
      <sheetName val="SOCKET_SYSTEM"/>
      <sheetName val="TLG Type"/>
      <sheetName val="Bin"/>
      <sheetName val="4-Lane bridge"/>
      <sheetName val="SITE DEV,T"/>
      <sheetName val="CPA_EQP"/>
      <sheetName val="Sheet1"/>
      <sheetName val="lookups"/>
      <sheetName val="ref"/>
      <sheetName val="Summary WG"/>
      <sheetName val="골조시행"/>
      <sheetName val="방배동내역(리라)"/>
      <sheetName val="Change Order Log"/>
      <sheetName val="DATA CHART"/>
      <sheetName val="MATERIAL'S PRICE"/>
      <sheetName val="UTILITIES"/>
      <sheetName val="Sheet4"/>
      <sheetName val="Breakdown"/>
      <sheetName val="Factor"/>
      <sheetName val="MU "/>
      <sheetName val="Summary (overall)"/>
      <sheetName val="RFP Codes"/>
      <sheetName val="2.223M_due to adj profit"/>
      <sheetName val="Cost Proposal (lyn)"/>
      <sheetName val="Cp_10_Ln_10"/>
      <sheetName val="Ln_20"/>
      <sheetName val="EIRR_1_1"/>
      <sheetName val="EIRR_ 2"/>
      <sheetName val="EIRR_2"/>
      <sheetName val="SORT_XLS"/>
      <sheetName val="A1.CN"/>
      <sheetName val="GAEYO"/>
      <sheetName val="DGKLDV"/>
      <sheetName val="BANG TRA"/>
      <sheetName val="dat"/>
      <sheetName val="dsnt"/>
      <sheetName val="TonDau"/>
      <sheetName val="RATES G-5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TinhToan"/>
      <sheetName val="dongia (2)"/>
      <sheetName val="nhapT7"/>
      <sheetName val="負荷集計（断熱不燃）"/>
      <sheetName val="노임단가"/>
    </sheetNames>
    <definedNames>
      <definedName name="DialogHide"/>
      <definedName name="DialogShow"/>
      <definedName name="Reset"/>
      <definedName name="Sort1"/>
      <definedName name="Sort2"/>
      <definedName name="_xlbgnm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SILICATE"/>
      <sheetName val="gvl"/>
      <sheetName val="chiet tinh"/>
      <sheetName val="Sheet1"/>
      <sheetName val="Sort1.xls"/>
      <sheetName val="Elec LG"/>
      <sheetName val="lam-moi"/>
      <sheetName val="DONGIA"/>
      <sheetName val="thao-go"/>
      <sheetName val="TH XL"/>
      <sheetName val="Dinh nghia"/>
      <sheetName val="QMCT"/>
      <sheetName val="1_MV"/>
      <sheetName val="Goc CC"/>
      <sheetName val="Define finishing"/>
      <sheetName val="TONG HOP VL-NC"/>
      <sheetName val="DON GIA"/>
      <sheetName val="Scheme B Estimate "/>
      <sheetName val="DGchitiet "/>
      <sheetName val="T.KE CP1"/>
      <sheetName val="Summary"/>
      <sheetName val="Matls"/>
      <sheetName val="Labor"/>
      <sheetName val="EAST TOWER"/>
      <sheetName val="upa"/>
      <sheetName val="Recovered_Sheet1"/>
      <sheetName val="CPA_EQP"/>
      <sheetName val="Adimi bldg"/>
      <sheetName val="Pump House"/>
      <sheetName val="Fuel Regu Station"/>
      <sheetName val="PRECAST lightconc-II"/>
      <sheetName val="Bill 10 - Specialties"/>
      <sheetName val="Derive"/>
      <sheetName val="방배동내역(리라)"/>
      <sheetName val="Project Brief"/>
      <sheetName val="Concrete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chart"/>
      <sheetName val="bar chart-rev"/>
      <sheetName val="Sched of Rates"/>
      <sheetName val="Change Order Log"/>
      <sheetName val="Breakdown"/>
      <sheetName val="subcon sched"/>
      <sheetName val="equip"/>
      <sheetName val="takeoff2"/>
      <sheetName val="SCHEDULE (priority)"/>
      <sheetName val="Elektrikal"/>
      <sheetName val="Data"/>
      <sheetName val="REKAP"/>
      <sheetName val="Sort1_xls"/>
      <sheetName val="HS"/>
      <sheetName val="F4-F7"/>
      <sheetName val="Bangia"/>
      <sheetName val="tong hop"/>
      <sheetName val="1.Requisition(E)"/>
      <sheetName val="Config"/>
      <sheetName val="조명시설"/>
      <sheetName val="deriv"/>
      <sheetName val="PH 5"/>
      <sheetName val="revised#1"/>
      <sheetName val="2.223M_due to adj profit"/>
      <sheetName val="Lookup"/>
      <sheetName val="Navigation Page"/>
      <sheetName val="EARTHWORKS"/>
      <sheetName val="Masonry"/>
      <sheetName val="MTO REV.0"/>
      <sheetName val="MBW"/>
      <sheetName val="general requirements"/>
      <sheetName val="Tong hop vat tu"/>
      <sheetName val="Buy vs. Lease Car"/>
      <sheetName val="Sheet4"/>
      <sheetName val="Sheet3"/>
      <sheetName val="Load"/>
      <sheetName val="INFO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Phe duyet luong"/>
      <sheetName val="Phan bo luong"/>
      <sheetName val="Chi tiet luong"/>
      <sheetName val="Chi tiet cong"/>
      <sheetName val="Tong gio lam them"/>
      <sheetName val="OT thán11"/>
      <sheetName val="Chi  tiết OT"/>
      <sheetName val="Chi tiet lam them"/>
      <sheetName val="Không xóa"/>
      <sheetName val="Sheet3"/>
      <sheetName val="Payslip"/>
      <sheetName val="khong xoa"/>
      <sheetName val="Sheet2"/>
      <sheetName val="Sheet1"/>
      <sheetName val="Sheet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E5">
            <v>9166</v>
          </cell>
        </row>
        <row r="6">
          <cell r="E6">
            <v>10039</v>
          </cell>
        </row>
        <row r="7">
          <cell r="E7">
            <v>10035</v>
          </cell>
        </row>
        <row r="8">
          <cell r="E8">
            <v>10081</v>
          </cell>
        </row>
        <row r="9">
          <cell r="E9">
            <v>10155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gvl"/>
    </sheetNames>
    <sheetDataSet>
      <sheetData sheetId="0"/>
      <sheetData sheetId="1"/>
      <sheetData sheetId="2"/>
      <sheetData sheetId="3"/>
      <sheetData sheetId="4"/>
      <sheetData sheetId="5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  <cell r="E4" t="str">
            <v>Bình thường</v>
          </cell>
          <cell r="P4" t="str">
            <v>Chỉ nghỉ CN</v>
          </cell>
          <cell r="Q4" t="str">
            <v>Nghỉ nửa T7</v>
          </cell>
          <cell r="R4" t="str">
            <v>Nghỉ cả T7</v>
          </cell>
          <cell r="S4" t="str">
            <v>Thời vụ</v>
          </cell>
        </row>
        <row r="5">
          <cell r="E5" t="str">
            <v>Tăng ca</v>
          </cell>
          <cell r="AA5" t="str">
            <v>Hoàng Văn Phong</v>
          </cell>
        </row>
        <row r="6">
          <cell r="E6" t="str">
            <v>CN</v>
          </cell>
          <cell r="AA6" t="str">
            <v>Lê Đức Thành</v>
          </cell>
        </row>
        <row r="7">
          <cell r="E7" t="str">
            <v>Lễ, tết</v>
          </cell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071097"/>
      <sheetName val="Sheet1"/>
      <sheetName val="BS (LV3)"/>
      <sheetName val="THVT"/>
      <sheetName val="0200 Siteworks"/>
      <sheetName val="dg-VTu"/>
      <sheetName val="NEW-PANEL"/>
      <sheetName val="Summary071097.xls"/>
      <sheetName val="DG"/>
      <sheetName val="Tro giup"/>
      <sheetName val="Tong hop kinh phi"/>
      <sheetName val="GiaVT"/>
      <sheetName val="valeurs de base"/>
      <sheetName val="QMCT"/>
      <sheetName val="Gia "/>
      <sheetName val="SILICATE"/>
      <sheetName val="data"/>
      <sheetName val="Areas"/>
      <sheetName val="SL"/>
      <sheetName val="PEDESB"/>
      <sheetName val="DS-Thuong 6T dau"/>
      <sheetName val="Đơn Giá "/>
      <sheetName val="Factor"/>
      <sheetName val="general"/>
      <sheetName val="L(2)"/>
      <sheetName val="tabulation (comparison)"/>
      <sheetName val="Sheet3"/>
      <sheetName val="Main Works"/>
      <sheetName val="ewrks-deriv"/>
      <sheetName val="Mech SOR Comparison  "/>
      <sheetName val="주식"/>
      <sheetName val="Sheet1 (2)"/>
      <sheetName val="Site"/>
      <sheetName val="Lookup"/>
      <sheetName val="Bill of Quantity"/>
      <sheetName val="LIBRARY"/>
      <sheetName val="SUMMARY"/>
      <sheetName val="BILLING SUMMARY"/>
      <sheetName val="(COV)"/>
      <sheetName val="2.223M_due to adj profit"/>
      <sheetName val="Change Order Log"/>
      <sheetName val="MATL"/>
      <sheetName val="BLDG4"/>
      <sheetName val="TH DU TOAN"/>
      <sheetName val="Analisa"/>
      <sheetName val="GOC"/>
      <sheetName val="Summary071097_xls"/>
      <sheetName val="물량표"/>
      <sheetName val="FitOutConfCentre"/>
      <sheetName val="dnc4"/>
      <sheetName val="gvl"/>
      <sheetName val="Bill of Qty MEP"/>
      <sheetName val="Config"/>
      <sheetName val="TinhGiaMTC"/>
      <sheetName val="TH MTC"/>
      <sheetName val="TH N.Cong"/>
      <sheetName val="TinhGiaNC"/>
      <sheetName val="Bang KL"/>
      <sheetName val="TH Vat tu"/>
      <sheetName val="DMCP"/>
      <sheetName val="토공"/>
      <sheetName val="Table"/>
      <sheetName val="adjustments"/>
      <sheetName val="2.678M"/>
      <sheetName val="S-Curve"/>
      <sheetName val="LM"/>
      <sheetName val="Bang tra"/>
      <sheetName val="tifico"/>
      <sheetName val="beam"/>
      <sheetName val="Sheet2"/>
      <sheetName val="SCOPE OF WORK"/>
      <sheetName val="Planning"/>
      <sheetName val="FAB별"/>
      <sheetName val="SEX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1.5est082597"/>
      <sheetName val="NEW-PANEL"/>
      <sheetName val="Villa A"/>
      <sheetName val="breakdown"/>
      <sheetName val="Rev1.5est082597.xls"/>
      <sheetName val="SL"/>
      <sheetName val="C-2 Payments Schedule"/>
      <sheetName val="THVT"/>
      <sheetName val="Base M&amp;E"/>
      <sheetName val="BM-Stairs"/>
      <sheetName val="BM-Substructure"/>
      <sheetName val="REBAR"/>
      <sheetName val="BOQ3"/>
      <sheetName val="Mech SOR Comparison  "/>
      <sheetName val="PRECAST lightconc-II"/>
      <sheetName val="Sheet3"/>
      <sheetName val="PH 5"/>
      <sheetName val="general"/>
      <sheetName val="MDC rates"/>
      <sheetName val="derive"/>
      <sheetName val="Ground Covers Schedule"/>
      <sheetName val="Sheet1"/>
      <sheetName val="Footing Tie Beam"/>
      <sheetName val="Bill No. 1a"/>
      <sheetName val="MATL"/>
      <sheetName val="WORKSHEET"/>
      <sheetName val="NSC"/>
      <sheetName val="Main Works"/>
      <sheetName val="CFA"/>
      <sheetName val="Bin"/>
      <sheetName val="Schedule S-Curve Revision#3"/>
      <sheetName val="Land Dev't. Ph-1"/>
      <sheetName val="SUMMARY"/>
      <sheetName val="Factor"/>
      <sheetName val="0200 Siteworks"/>
      <sheetName val="UC"/>
      <sheetName val="daf-3(OK)"/>
      <sheetName val="daf-7(OK)"/>
      <sheetName val="DG"/>
      <sheetName val="tifico"/>
      <sheetName val="Doi so"/>
      <sheetName val="NEW_PANEL"/>
      <sheetName val="차액보증"/>
      <sheetName val="갑지"/>
      <sheetName val="Gia "/>
      <sheetName val="Rev1_5est082597"/>
      <sheetName val="Rev1_5est082597_xls"/>
      <sheetName val="ANALYSIS"/>
      <sheetName val="bridge # 1"/>
      <sheetName val="회사99"/>
      <sheetName val="Lookup"/>
      <sheetName val="Change Order Log"/>
      <sheetName val="BLDG4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6호기"/>
      <sheetName val="FAB별"/>
      <sheetName val="공사개요"/>
      <sheetName val="SCOPE OF WORK"/>
      <sheetName val="Planning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THVT"/>
      <sheetName val="Rev1.5est082297.xls"/>
      <sheetName val="NEW-PANEL"/>
      <sheetName val="SL"/>
      <sheetName val="Rev1.5est082597"/>
      <sheetName val="mep - site dev"/>
      <sheetName val="Main Bldg."/>
      <sheetName val="3QLRP ( R2 MOR)"/>
      <sheetName val="Mech SOR Comparison  "/>
      <sheetName val="boq"/>
      <sheetName val="MATL"/>
      <sheetName val="equip"/>
      <sheetName val="9.1"/>
      <sheetName val="Summary"/>
      <sheetName val="CIM"/>
      <sheetName val="Bill summary of cost"/>
      <sheetName val="plumbing"/>
      <sheetName val="Factor"/>
      <sheetName val="Sheet1"/>
      <sheetName val="DAF-2"/>
      <sheetName val="Rev1_5est082297"/>
      <sheetName val="Rev1_5est082297_xls"/>
      <sheetName val="Book 1 Summary"/>
      <sheetName val="RAB AR&amp;STR"/>
      <sheetName val="DG"/>
      <sheetName val="electrical"/>
      <sheetName val="입찰안"/>
      <sheetName val="실행철강하도"/>
      <sheetName val="차액보증"/>
      <sheetName val="NSC"/>
      <sheetName val="RATES G-5"/>
      <sheetName val="0200 Siteworks"/>
      <sheetName val="ANALYSIS"/>
      <sheetName val="data"/>
      <sheetName val="BLDG4"/>
      <sheetName val="lookups"/>
      <sheetName val="ref"/>
      <sheetName val="MR-SW SERIES"/>
      <sheetName val="Barchart"/>
      <sheetName val="breakdown"/>
      <sheetName val=" 견적서"/>
      <sheetName val="Duc_bk"/>
      <sheetName val="CTU-NXK"/>
      <sheetName val="DMUC"/>
      <sheetName val="Du thau"/>
      <sheetName val="BG"/>
      <sheetName val="IMF Code"/>
      <sheetName val="CTG"/>
      <sheetName val="공사개요"/>
      <sheetName val="SCOPE OF WORK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udget comparison"/>
      <sheetName val="OT Soft service by project"/>
      <sheetName val="Summary OT_Soft"/>
      <sheetName val="Timesheet FSoft"/>
      <sheetName val="OT FSoft"/>
      <sheetName val="Summary_OT BQL"/>
      <sheetName val="F-HRD-CB FINAL"/>
      <sheetName val="OT FINAL"/>
      <sheetName val="khong xo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Bùi Thị Thọ</v>
          </cell>
        </row>
        <row r="2">
          <cell r="A2" t="str">
            <v>Bùi Thị Thủy</v>
          </cell>
        </row>
        <row r="3">
          <cell r="A3" t="str">
            <v>Đỗ Thị Nga</v>
          </cell>
        </row>
        <row r="4">
          <cell r="A4" t="str">
            <v>Đoàn Thị Khái</v>
          </cell>
        </row>
        <row r="5">
          <cell r="A5" t="str">
            <v>Hoàng Thị Luyến</v>
          </cell>
        </row>
        <row r="6">
          <cell r="A6" t="str">
            <v>Ngô Thị Tuyết</v>
          </cell>
        </row>
        <row r="7">
          <cell r="A7" t="str">
            <v>Nguyễn Thị Chiều</v>
          </cell>
        </row>
        <row r="8">
          <cell r="A8" t="str">
            <v>Nguyễn Thị Thanh A</v>
          </cell>
        </row>
        <row r="9">
          <cell r="A9" t="str">
            <v>Nguyễn Thị Thanh B</v>
          </cell>
        </row>
        <row r="10">
          <cell r="A10" t="str">
            <v>Nguyễn Thị Vân A</v>
          </cell>
        </row>
        <row r="11">
          <cell r="A11" t="str">
            <v>Nguyễn Thị Vân B</v>
          </cell>
        </row>
        <row r="12">
          <cell r="A12" t="str">
            <v>Tạ Thị Nhung</v>
          </cell>
        </row>
      </sheetData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bar"/>
      <sheetName val="Welcome"/>
      <sheetName val="Menu"/>
      <sheetName val="Mat hang"/>
      <sheetName val="Nha cung cap"/>
      <sheetName val="Khach hang"/>
      <sheetName val="Vu viec"/>
      <sheetName val="NK nhap"/>
      <sheetName val="NK xuat"/>
      <sheetName val="Phieu nhap"/>
      <sheetName val="Phieu xuat"/>
      <sheetName val="Phai thu khach hang"/>
      <sheetName val="Doanh thu ban hang"/>
      <sheetName val="BKH xuat ban"/>
      <sheetName val="Kiem ke kho hang"/>
      <sheetName val="CT nhap"/>
      <sheetName val="CT xuat"/>
      <sheetName val="Tong hop N-X-T"/>
      <sheetName val="NCC"/>
      <sheetName val="KHACH"/>
      <sheetName val="HANG"/>
      <sheetName val="DATA-Khach hang"/>
    </sheetNames>
    <sheetDataSet>
      <sheetData sheetId="0"/>
      <sheetData sheetId="1"/>
      <sheetData sheetId="2"/>
      <sheetData sheetId="3">
        <row r="5">
          <cell r="D5" t="str">
            <v>Giấy photo, giấy in nội</v>
          </cell>
        </row>
        <row r="6">
          <cell r="D6" t="str">
            <v>Giấy A4 ĐL 60/84-Bãi Bằng (Vỏ xanh có tem)</v>
          </cell>
        </row>
        <row r="7">
          <cell r="D7" t="str">
            <v>Giấy A4 ĐL 70/84-Bãi Bằng (Vỏ hồng có tem)</v>
          </cell>
        </row>
        <row r="8">
          <cell r="D8" t="str">
            <v>Giấy A4 ĐL 70/90-Bãi Bằng (Xuất khẩu)</v>
          </cell>
        </row>
        <row r="9">
          <cell r="D9" t="str">
            <v>Giấy A4 ĐL 80/90-Bãi Bằng (Xuất khẩu)</v>
          </cell>
        </row>
        <row r="10">
          <cell r="D10" t="str">
            <v>Giấy A3 ĐL 70/84-Bãi Bằng (Vỏ hồng có tem)</v>
          </cell>
        </row>
        <row r="11">
          <cell r="D11" t="str">
            <v>Giấy A3 ĐL 70/90-Bãi Bằng (Xuất khẩu)</v>
          </cell>
        </row>
        <row r="12">
          <cell r="D12" t="str">
            <v>Giấy A4 ĐL 70/90 T&amp;T</v>
          </cell>
        </row>
        <row r="26">
          <cell r="D26" t="str">
            <v>Giấy photo, giấy in ngoại</v>
          </cell>
        </row>
        <row r="27">
          <cell r="D27" t="str">
            <v>Giấy A4 ĐL 70/90 - PPC</v>
          </cell>
        </row>
        <row r="28">
          <cell r="D28" t="str">
            <v>Giấy A4 ĐL 70/90 - IK Bích</v>
          </cell>
        </row>
        <row r="29">
          <cell r="D29" t="str">
            <v>Giấy A4 ĐL 70/90 - IK PLUS</v>
          </cell>
        </row>
        <row r="30">
          <cell r="D30" t="str">
            <v>Giấy A4 ĐL 70/90 - E Paper</v>
          </cell>
        </row>
        <row r="31">
          <cell r="D31" t="str">
            <v>Giấy A4 ĐL 70/90 - SUPREME</v>
          </cell>
        </row>
        <row r="32">
          <cell r="D32" t="str">
            <v>Giấy A4 ĐL 70/90 - PAPER ONE</v>
          </cell>
        </row>
        <row r="33">
          <cell r="D33" t="str">
            <v>Giấy A4 ĐL 80/90 - IK PLUS</v>
          </cell>
        </row>
        <row r="34">
          <cell r="D34" t="str">
            <v>Giấy A4 ĐL 80/90 - PAPER ONE</v>
          </cell>
        </row>
        <row r="35">
          <cell r="D35" t="str">
            <v xml:space="preserve">Giấy A4 ĐL 80/90 - Double A </v>
          </cell>
        </row>
        <row r="36">
          <cell r="D36" t="str">
            <v>Giấy A3 ĐL 70/90 - IK Bích</v>
          </cell>
        </row>
        <row r="37">
          <cell r="D37" t="str">
            <v>Giấy A3 ĐL 70/90 - IK PLUS</v>
          </cell>
        </row>
        <row r="38">
          <cell r="D38" t="str">
            <v>Giấy A3 ĐL 70/90 - PAPER ONE</v>
          </cell>
        </row>
        <row r="39">
          <cell r="D39" t="str">
            <v xml:space="preserve">Giấy A3 ĐL 80/90 - Double A </v>
          </cell>
        </row>
        <row r="40">
          <cell r="D40" t="str">
            <v>Giấy A3 ĐL 80/90 - IK Bích</v>
          </cell>
        </row>
        <row r="41">
          <cell r="D41" t="str">
            <v xml:space="preserve">Giấy cắt A5 </v>
          </cell>
        </row>
        <row r="42">
          <cell r="D42" t="str">
            <v>Giấy cắt 1/3 A4</v>
          </cell>
        </row>
        <row r="43">
          <cell r="D43" t="str">
            <v>Giấy A3 ĐL 70/90 - SUPREME</v>
          </cell>
        </row>
        <row r="44">
          <cell r="D44" t="str">
            <v>Giấy A5 Conqueror</v>
          </cell>
        </row>
        <row r="47">
          <cell r="D47" t="str">
            <v>Giấy photo, giấy in màu, giấy in ảnh</v>
          </cell>
        </row>
        <row r="48">
          <cell r="D48" t="str">
            <v>Giấy in màu A4 Epson - loại 1</v>
          </cell>
        </row>
        <row r="49">
          <cell r="D49" t="str">
            <v>Giấy in màu A4 Epson - loại 2</v>
          </cell>
        </row>
        <row r="50">
          <cell r="D50" t="str">
            <v>Giấy in màu A3 Epson - S041068 loại 1</v>
          </cell>
        </row>
        <row r="51">
          <cell r="D51" t="str">
            <v>Giấy in màu A4 STAEDLER(50)</v>
          </cell>
        </row>
        <row r="52">
          <cell r="D52" t="str">
            <v>Giấy in màu A4 STAEDLER(200)</v>
          </cell>
        </row>
        <row r="53">
          <cell r="D53" t="str">
            <v>Giấy in màu A4 (xanh lá)</v>
          </cell>
        </row>
        <row r="54">
          <cell r="D54" t="str">
            <v>Giấy in màu A4 (xanh biển)</v>
          </cell>
        </row>
        <row r="55">
          <cell r="D55" t="str">
            <v>Giấy in màu A4 (hồng)</v>
          </cell>
        </row>
        <row r="56">
          <cell r="D56" t="str">
            <v>Giấy in màu A4 (Trắng)</v>
          </cell>
        </row>
        <row r="57">
          <cell r="D57" t="str">
            <v>Giấy in màu A4 (vàng)</v>
          </cell>
        </row>
        <row r="58">
          <cell r="D58" t="str">
            <v>Giấy in ảnh KIM MAI không có vân (ĐL 220g)</v>
          </cell>
        </row>
        <row r="59">
          <cell r="D59" t="str">
            <v>Giấy in ảnh KIM MAI có vân (ĐL 220g)</v>
          </cell>
        </row>
        <row r="60">
          <cell r="D60" t="str">
            <v>Giấy in ảnh KIM MAI hai mặt (ĐL 250g)</v>
          </cell>
        </row>
        <row r="61">
          <cell r="D61" t="str">
            <v>Giấy in ảnh Epson, 20 tờ/Ram loại 1</v>
          </cell>
        </row>
        <row r="62">
          <cell r="D62" t="str">
            <v>Giấy in ảnh Epson, 20 tờ/Ram loại 2</v>
          </cell>
        </row>
        <row r="63">
          <cell r="D63" t="str">
            <v>Giấy photo màu ĐL 80</v>
          </cell>
        </row>
        <row r="68">
          <cell r="D68" t="str">
            <v>Giấy đục lỗ(Giấy in liên tục)</v>
          </cell>
        </row>
        <row r="69">
          <cell r="D69" t="str">
            <v>Giấy đục lỗ liên tục A4 - 1 liên (1 dao, 2 dao)</v>
          </cell>
        </row>
        <row r="70">
          <cell r="D70" t="str">
            <v>Giấy đục lỗ liên tục A4 - 2 liên (1 dao, 2 dao)</v>
          </cell>
        </row>
        <row r="71">
          <cell r="D71" t="str">
            <v>Giấy đục lỗ liên tục A4 - 3 liên (1 dao, 2 dao)</v>
          </cell>
        </row>
        <row r="72">
          <cell r="D72" t="str">
            <v>Giấy đục lỗ liên tục A3 - 1 liên (1 dao, 2 dao)</v>
          </cell>
        </row>
        <row r="73">
          <cell r="D73" t="str">
            <v>Giấy đục lỗ liên tục A3 - 2 liên (1 dao, 2 dao)</v>
          </cell>
        </row>
        <row r="89">
          <cell r="D89" t="str">
            <v>Giấy A0 - giấy can- giấy Ép plastic</v>
          </cell>
        </row>
        <row r="90">
          <cell r="D90" t="str">
            <v>Giấy A0 ngoại  ĐL 100</v>
          </cell>
        </row>
        <row r="91">
          <cell r="D91" t="str">
            <v>Giấy A0 nội ĐL100</v>
          </cell>
        </row>
        <row r="92">
          <cell r="D92" t="str">
            <v>Giấy A0 cuộn ĐL100</v>
          </cell>
        </row>
        <row r="93">
          <cell r="D93" t="str">
            <v>Giấy A0 cuộn ĐL120</v>
          </cell>
        </row>
        <row r="94">
          <cell r="D94" t="str">
            <v>Giấy Tập A0</v>
          </cell>
        </row>
        <row r="95">
          <cell r="D95" t="str">
            <v>Giấy Tập A2</v>
          </cell>
        </row>
        <row r="96">
          <cell r="D96" t="str">
            <v>Giấy can A4 - UK 53g/m2</v>
          </cell>
        </row>
        <row r="97">
          <cell r="D97" t="str">
            <v>Giấy can A4 - UK 63g/m2</v>
          </cell>
        </row>
        <row r="98">
          <cell r="D98" t="str">
            <v>Giấy can A4 - UK 73g/m2</v>
          </cell>
        </row>
        <row r="99">
          <cell r="D99" t="str">
            <v>Giấy can A4 - UK 83g/m2</v>
          </cell>
        </row>
        <row r="100">
          <cell r="D100" t="str">
            <v>Giấy ép Plastic khổ A3</v>
          </cell>
        </row>
        <row r="101">
          <cell r="D101" t="str">
            <v>Giấy ép Plastic khổ A4</v>
          </cell>
        </row>
        <row r="102">
          <cell r="D102" t="str">
            <v>Giấy ép Plastic khổ A5</v>
          </cell>
        </row>
        <row r="103">
          <cell r="D103" t="str">
            <v>Giấy ép Plastic khổ A7</v>
          </cell>
        </row>
        <row r="104">
          <cell r="D104" t="str">
            <v>Giấy ép Plastic loại nhỏ</v>
          </cell>
        </row>
        <row r="105">
          <cell r="D105" t="str">
            <v>Giấy can A3 - UK 58g/m2</v>
          </cell>
        </row>
        <row r="106">
          <cell r="D106" t="str">
            <v>Giấy  A1</v>
          </cell>
        </row>
        <row r="110">
          <cell r="D110" t="str">
            <v xml:space="preserve">Bìa màu giấy </v>
          </cell>
        </row>
        <row r="111">
          <cell r="D111" t="str">
            <v>Bìa màu A4 (Trắng)</v>
          </cell>
        </row>
        <row r="112">
          <cell r="D112" t="str">
            <v>Bìa màu A4 (Vàng)</v>
          </cell>
        </row>
        <row r="113">
          <cell r="D113" t="str">
            <v>Bìa màu A4 (hồng)</v>
          </cell>
        </row>
        <row r="114">
          <cell r="D114" t="str">
            <v>Bìa màu A4 (xanh lá)</v>
          </cell>
        </row>
        <row r="115">
          <cell r="D115" t="str">
            <v>Bìa màu A4 (xanh biển)</v>
          </cell>
        </row>
        <row r="116">
          <cell r="D116" t="str">
            <v>Bìa màu A4 Pgrand (trắng)</v>
          </cell>
        </row>
        <row r="117">
          <cell r="D117" t="str">
            <v>Bìa màu A4 Đồng Nai</v>
          </cell>
        </row>
        <row r="118">
          <cell r="D118" t="str">
            <v>Bìa màu A3 ngoại bóng đẹp</v>
          </cell>
        </row>
        <row r="119">
          <cell r="D119" t="str">
            <v>Bìa màu A3 (xanh lá)</v>
          </cell>
        </row>
        <row r="120">
          <cell r="D120" t="str">
            <v>Bìa màu A3 (xanh biển)</v>
          </cell>
        </row>
        <row r="121">
          <cell r="D121" t="str">
            <v>Bìa màu A3 (hồng)</v>
          </cell>
        </row>
        <row r="122">
          <cell r="D122" t="str">
            <v>Bìa màu A3 (trắng)</v>
          </cell>
        </row>
        <row r="123">
          <cell r="D123" t="str">
            <v>Bìa màu A3 Việt Trì</v>
          </cell>
        </row>
        <row r="124">
          <cell r="D124" t="str">
            <v>Bìa màu A3 Đồng Nai</v>
          </cell>
        </row>
        <row r="125">
          <cell r="D125" t="str">
            <v>Bìa sần A4 P-Grand mỏng (cam)</v>
          </cell>
        </row>
        <row r="126">
          <cell r="D126" t="str">
            <v>Bìa sần A4 P-Grand dày (xanh biển)</v>
          </cell>
        </row>
        <row r="127">
          <cell r="D127" t="str">
            <v>Bìa sần A4 P-Grand dày (Đỏ)</v>
          </cell>
        </row>
        <row r="128">
          <cell r="D128" t="str">
            <v>Bìa sần A4 P-Grand dày (Nâu)</v>
          </cell>
        </row>
        <row r="129">
          <cell r="D129" t="str">
            <v>Bìa sần A4 P-Grand dày (Hồng)</v>
          </cell>
        </row>
        <row r="131">
          <cell r="D131" t="str">
            <v>Bìa mica, mica sần, bìa Dulex, bìa rút gáy</v>
          </cell>
        </row>
        <row r="132">
          <cell r="D132" t="str">
            <v>Bìa mica A4 dày</v>
          </cell>
        </row>
        <row r="133">
          <cell r="D133" t="str">
            <v>Bìa mica A4 trung</v>
          </cell>
        </row>
        <row r="134">
          <cell r="D134" t="str">
            <v>Bìa mica A4 mỏng</v>
          </cell>
        </row>
        <row r="135">
          <cell r="D135" t="str">
            <v>Bìa mica A3 mỏng</v>
          </cell>
        </row>
        <row r="136">
          <cell r="D136" t="str">
            <v>Bìa mica A3 trung</v>
          </cell>
        </row>
        <row r="137">
          <cell r="D137" t="str">
            <v>Bìa mica A3 dày</v>
          </cell>
        </row>
        <row r="138">
          <cell r="D138" t="str">
            <v>Bìa mica sần A4 loại dầy</v>
          </cell>
        </row>
        <row r="139">
          <cell r="D139" t="str">
            <v>Bìa rút gáy Shuter</v>
          </cell>
        </row>
        <row r="140">
          <cell r="D140" t="str">
            <v>Bìa rút gáy thường</v>
          </cell>
        </row>
        <row r="141">
          <cell r="D141" t="str">
            <v>Bìa Dulex A4</v>
          </cell>
        </row>
        <row r="142">
          <cell r="D142" t="str">
            <v>Bìa Dulex A3</v>
          </cell>
        </row>
        <row r="143">
          <cell r="D143" t="str">
            <v>Bìa Dulex A0</v>
          </cell>
        </row>
        <row r="152">
          <cell r="D152" t="str">
            <v>Giấy giao việc, giấy nhắn</v>
          </cell>
        </row>
        <row r="153">
          <cell r="D153" t="str">
            <v>Giấy giao việc cỡ 2x3 Pronoti</v>
          </cell>
        </row>
        <row r="154">
          <cell r="D154" t="str">
            <v>Giấy giao việc cỡ 3x3 Pronoti</v>
          </cell>
        </row>
        <row r="155">
          <cell r="D155" t="str">
            <v>Giấy giao việc cỡ 3x4 Pronoti</v>
          </cell>
        </row>
        <row r="156">
          <cell r="D156" t="str">
            <v>Giấy giao việc cỡ 3x5 Pronoti</v>
          </cell>
        </row>
        <row r="157">
          <cell r="D157" t="str">
            <v>Giấy giao việc cỡ 4x6 Pronoti</v>
          </cell>
        </row>
        <row r="158">
          <cell r="D158" t="str">
            <v>Giấy giao việc cỡ 2x3 INFO</v>
          </cell>
        </row>
        <row r="159">
          <cell r="D159" t="str">
            <v>Giấy giao việc cỡ 3x3 INFO</v>
          </cell>
        </row>
        <row r="160">
          <cell r="D160" t="str">
            <v>Giấy giao việc cỡ 3x4 INFO</v>
          </cell>
        </row>
        <row r="161">
          <cell r="D161" t="str">
            <v>Giấy giao việc cỡ 3x5 INFO</v>
          </cell>
        </row>
        <row r="162">
          <cell r="D162" t="str">
            <v>Giấy giao việc cỡ 4x6 INFO</v>
          </cell>
        </row>
        <row r="163">
          <cell r="D163" t="str">
            <v>Giấy nhắn 3 màu UNC</v>
          </cell>
        </row>
        <row r="164">
          <cell r="D164" t="str">
            <v>Giấy nhắn 4 màu UNC</v>
          </cell>
        </row>
        <row r="165">
          <cell r="D165" t="str">
            <v>Giấy nhắn 5 màu UNC</v>
          </cell>
        </row>
        <row r="166">
          <cell r="D166" t="str">
            <v>Giấy nhắn 3x3 (xanh cốm)</v>
          </cell>
        </row>
        <row r="167">
          <cell r="D167" t="str">
            <v>Giấy nhắn 3x3 (cam)</v>
          </cell>
        </row>
        <row r="168">
          <cell r="D168" t="str">
            <v>Giấy nhắn 3x3 (hồng)</v>
          </cell>
        </row>
        <row r="173">
          <cell r="D173" t="str">
            <v>Giấy dính, nhãn</v>
          </cell>
        </row>
        <row r="174">
          <cell r="D174" t="str">
            <v>Giấy dính TOMY ( các cỡ )</v>
          </cell>
        </row>
        <row r="175">
          <cell r="D175" t="str">
            <v>Giấy dính Sunflower</v>
          </cell>
        </row>
        <row r="176">
          <cell r="D176" t="str">
            <v>Nhãn tròn kokuyo phi 15 (đỏ)</v>
          </cell>
        </row>
        <row r="177">
          <cell r="D177" t="str">
            <v>Nhãn tròn kokuyo phi 15 (đen)</v>
          </cell>
        </row>
        <row r="178">
          <cell r="D178" t="str">
            <v>Giấy dính Unicom - khổ A4 loại 1</v>
          </cell>
        </row>
        <row r="179">
          <cell r="D179" t="str">
            <v>Giấy dính Unicom - khổ A4 loại 2</v>
          </cell>
        </row>
        <row r="180">
          <cell r="D180" t="str">
            <v>Giấy dính Unicom vỏ trắng 16 miếng</v>
          </cell>
        </row>
        <row r="181">
          <cell r="D181" t="str">
            <v>Giấy dính Unicom vỏ xanh 16 miếng</v>
          </cell>
        </row>
        <row r="182">
          <cell r="D182" t="str">
            <v>Giấy dính Amazon</v>
          </cell>
        </row>
        <row r="183">
          <cell r="D183" t="str">
            <v>Sign here TQ</v>
          </cell>
        </row>
        <row r="184">
          <cell r="D184" t="str">
            <v>Sign here Pronoti</v>
          </cell>
        </row>
        <row r="185">
          <cell r="D185" t="str">
            <v>Cao su dính bảng</v>
          </cell>
        </row>
        <row r="186">
          <cell r="D186" t="str">
            <v>Giấy Polia</v>
          </cell>
        </row>
        <row r="187">
          <cell r="D187" t="str">
            <v>Giấy dính Amazon bóng</v>
          </cell>
        </row>
        <row r="194">
          <cell r="D194" t="str">
            <v>Giấy than</v>
          </cell>
        </row>
        <row r="195">
          <cell r="D195" t="str">
            <v>Giấy than A5 Hồng Hà</v>
          </cell>
        </row>
        <row r="196">
          <cell r="D196" t="str">
            <v>Giấy than A4 Hồng Hà</v>
          </cell>
        </row>
        <row r="197">
          <cell r="D197" t="str">
            <v>Giấy than A4 Cửu Long</v>
          </cell>
        </row>
        <row r="198">
          <cell r="D198" t="str">
            <v>Giấy than A4 Horse</v>
          </cell>
        </row>
        <row r="199">
          <cell r="D199" t="str">
            <v>Giấy than A4 G-STAR</v>
          </cell>
        </row>
        <row r="200">
          <cell r="D200" t="str">
            <v>Giấy than A4 Carbonex</v>
          </cell>
        </row>
        <row r="201">
          <cell r="D201" t="str">
            <v>Giấy than KOKUSAI</v>
          </cell>
        </row>
        <row r="215">
          <cell r="D215" t="str">
            <v>Bút bi, ruột bút Thiên Long</v>
          </cell>
        </row>
        <row r="216">
          <cell r="D216" t="str">
            <v>Bút bi Thiên Long TL-08</v>
          </cell>
        </row>
        <row r="217">
          <cell r="D217" t="str">
            <v>Bút bi Thiên Long TL-023 (xanh)</v>
          </cell>
        </row>
        <row r="218">
          <cell r="D218" t="str">
            <v>Bút bi Thiên Long TL-024 (đen)</v>
          </cell>
        </row>
        <row r="219">
          <cell r="D219" t="str">
            <v>Bút bi Thiên Long TL-025 (đỏ)</v>
          </cell>
        </row>
        <row r="220">
          <cell r="D220" t="str">
            <v>Bút bi Thiên Long TL-025 (đen)</v>
          </cell>
        </row>
        <row r="221">
          <cell r="D221" t="str">
            <v>Bút bi Thiên Long TL-025 (xanh)</v>
          </cell>
        </row>
        <row r="222">
          <cell r="D222" t="str">
            <v>Bút bi Thiên Long TL-027 (xanh)</v>
          </cell>
        </row>
        <row r="223">
          <cell r="D223" t="str">
            <v>Bút bi Thiên Long TL-027 (đen)</v>
          </cell>
        </row>
        <row r="224">
          <cell r="D224" t="str">
            <v>Bút bi Thiên Long TL-027 (đỏ)</v>
          </cell>
        </row>
        <row r="225">
          <cell r="D225" t="str">
            <v>Bút bi Thiên Long TL-031</v>
          </cell>
        </row>
        <row r="226">
          <cell r="D226" t="str">
            <v>Bút bi Thiên Long TL-032 (xanh)</v>
          </cell>
        </row>
        <row r="227">
          <cell r="D227" t="str">
            <v>Bút bi Thiên Long TL-032 (đen)</v>
          </cell>
        </row>
        <row r="228">
          <cell r="D228" t="str">
            <v>Bút bi Thiên Long TL-034 (xanh)</v>
          </cell>
        </row>
        <row r="229">
          <cell r="D229" t="str">
            <v>Bút bi Thiên Long TL-034 (đen)</v>
          </cell>
        </row>
        <row r="230">
          <cell r="D230" t="str">
            <v>Ruột bút TL 023/024</v>
          </cell>
        </row>
        <row r="231">
          <cell r="D231" t="str">
            <v>Bút bi Thiên Long TL-023 (Đen)</v>
          </cell>
        </row>
        <row r="232">
          <cell r="D232" t="str">
            <v>Bút bi Thiên Long TL-023 (Đỏ)</v>
          </cell>
        </row>
        <row r="236">
          <cell r="D236" t="str">
            <v>Bút bi nước</v>
          </cell>
        </row>
        <row r="237">
          <cell r="D237" t="str">
            <v>Bút bi mực nước Gel B01 (đỏ)</v>
          </cell>
        </row>
        <row r="238">
          <cell r="D238" t="str">
            <v>Bút bi mực nước Gel B01 (đen)</v>
          </cell>
        </row>
        <row r="239">
          <cell r="D239" t="str">
            <v>Bút bi mực nước Gel B01 (xanh)</v>
          </cell>
        </row>
        <row r="240">
          <cell r="D240" t="str">
            <v>Bút bi mực nước Gel B02</v>
          </cell>
        </row>
        <row r="241">
          <cell r="D241" t="str">
            <v>Bút bi mực nước Gel B08</v>
          </cell>
        </row>
        <row r="242">
          <cell r="D242" t="str">
            <v>Bút bi mực nước Gel My Dear (xanh)</v>
          </cell>
        </row>
        <row r="243">
          <cell r="D243" t="str">
            <v>Bút bi mực nước Gel My Dear (đen)</v>
          </cell>
        </row>
        <row r="244">
          <cell r="D244" t="str">
            <v>Bút bi mực nước Gel BP 2106 (đỏ)</v>
          </cell>
        </row>
        <row r="245">
          <cell r="D245" t="str">
            <v>Bút bi mực nước Gel BP0160 (đen)</v>
          </cell>
        </row>
        <row r="246">
          <cell r="D246" t="str">
            <v>Bút bi mực nước Gel Techjob (xanh)</v>
          </cell>
        </row>
        <row r="247">
          <cell r="D247" t="str">
            <v>Bút bi nuớc AIHAO - AH - 801 (xanh)</v>
          </cell>
        </row>
        <row r="248">
          <cell r="D248" t="str">
            <v>Bút bi nuớc AIHAO - AH - 801 (đen)</v>
          </cell>
        </row>
        <row r="249">
          <cell r="D249" t="str">
            <v>Bút bi mực nước Gel Techjob (Đen)</v>
          </cell>
        </row>
        <row r="250">
          <cell r="D250" t="str">
            <v>Bút bi mực nước GP777</v>
          </cell>
        </row>
        <row r="251">
          <cell r="D251" t="str">
            <v>Bút nhũ (đỏ)</v>
          </cell>
        </row>
        <row r="257">
          <cell r="D257" t="str">
            <v xml:space="preserve">Bút bi, bút cắm bàn </v>
          </cell>
        </row>
        <row r="258">
          <cell r="D258" t="str">
            <v>Bút bi Tiptop (xanh)</v>
          </cell>
        </row>
        <row r="259">
          <cell r="D259" t="str">
            <v>Bút bi Miler (đen)</v>
          </cell>
        </row>
        <row r="260">
          <cell r="D260" t="str">
            <v>Bút bi Miler (đỏ)</v>
          </cell>
        </row>
        <row r="261">
          <cell r="D261" t="str">
            <v>Bút bi Bến Nghé B30 (cốc 30)</v>
          </cell>
        </row>
        <row r="262">
          <cell r="D262" t="str">
            <v>Bút bi dính bàn đôi Bến Nghé</v>
          </cell>
        </row>
        <row r="263">
          <cell r="D263" t="str">
            <v>Bút bi dính bàn đơn Bến Nghé</v>
          </cell>
        </row>
        <row r="264">
          <cell r="D264" t="str">
            <v>Bút bi bấm Penten BK250</v>
          </cell>
        </row>
        <row r="265">
          <cell r="D265" t="str">
            <v>Bút bi M&amp;G PP 0170 (xanh)</v>
          </cell>
        </row>
        <row r="266">
          <cell r="D266" t="str">
            <v>Bút bi M&amp;G PP 0170 (đen)</v>
          </cell>
        </row>
        <row r="267">
          <cell r="D267" t="str">
            <v>Bút bi M&amp;G PP 0160 (đen)</v>
          </cell>
        </row>
        <row r="268">
          <cell r="D268" t="str">
            <v>Bút bi M&amp;G  88701 (đen)</v>
          </cell>
        </row>
        <row r="269">
          <cell r="D269" t="str">
            <v>Bút bi M&amp;G FBP 14505 (xanh)</v>
          </cell>
        </row>
        <row r="270">
          <cell r="D270" t="str">
            <v>Bút bi AIHAO 555</v>
          </cell>
        </row>
        <row r="271">
          <cell r="D271" t="str">
            <v>Bút bi Miler(xanh)</v>
          </cell>
        </row>
        <row r="278">
          <cell r="D278" t="str">
            <v>Bút nước UNI, bút dạ ký, bút dạ kim</v>
          </cell>
        </row>
        <row r="279">
          <cell r="D279" t="str">
            <v>Bút bi UNI - SN101</v>
          </cell>
        </row>
        <row r="280">
          <cell r="D280" t="str">
            <v>Bút bi UNI - 125</v>
          </cell>
        </row>
        <row r="281">
          <cell r="D281" t="str">
            <v>Bút bi UNI - 150 (xanh)</v>
          </cell>
        </row>
        <row r="282">
          <cell r="D282" t="str">
            <v>Bút bi UNI - 150 (đỏ)</v>
          </cell>
        </row>
        <row r="283">
          <cell r="D283" t="str">
            <v>Bút bi UNI - 150 (đen)</v>
          </cell>
        </row>
        <row r="284">
          <cell r="D284" t="str">
            <v>Bút bi UNI Laknook SN 101 (xanh)</v>
          </cell>
        </row>
        <row r="285">
          <cell r="D285" t="str">
            <v>Bút bi UNI Laknook SN 101 (đỏ)</v>
          </cell>
        </row>
        <row r="286">
          <cell r="D286" t="str">
            <v>Bút dạ ký UM 153 - nét to (xanh)</v>
          </cell>
        </row>
        <row r="287">
          <cell r="D287" t="str">
            <v>Bút dạ ký UM 153 - nét to (đỏ)</v>
          </cell>
        </row>
        <row r="288">
          <cell r="D288" t="str">
            <v>Bút dạ ký UM 153 - nét to (đen)</v>
          </cell>
        </row>
        <row r="289">
          <cell r="D289" t="str">
            <v>Bút dạ ký UB 200 -  nét to (đen)</v>
          </cell>
        </row>
        <row r="290">
          <cell r="D290" t="str">
            <v>Bút dạ kim PILOT - V5</v>
          </cell>
        </row>
        <row r="291">
          <cell r="D291" t="str">
            <v>Bút dạ kim STAEDTLER - 306S (xanh)</v>
          </cell>
        </row>
        <row r="292">
          <cell r="D292" t="str">
            <v>Bút dạ kim STAEDTLER - 306S (đen)</v>
          </cell>
        </row>
        <row r="293">
          <cell r="D293" t="str">
            <v>Bút dạ kim số UNI 1,2,3,4,5</v>
          </cell>
        </row>
        <row r="294">
          <cell r="D294" t="str">
            <v>Bút dạ kim số STEADLER 308 (nét 0.05-0.8mm)</v>
          </cell>
        </row>
        <row r="295">
          <cell r="D295" t="str">
            <v>Bút dạ ký UB 200 -  nét to (Xanh)</v>
          </cell>
        </row>
        <row r="299">
          <cell r="D299" t="str">
            <v>Bút dạ bảng, bút dạ dầu, bút dạ kính</v>
          </cell>
        </row>
        <row r="300">
          <cell r="D300" t="str">
            <v>Bút dạ viết bảng Thiên Long WB-03/06 (đỏ)</v>
          </cell>
        </row>
        <row r="301">
          <cell r="D301" t="str">
            <v>Bút dạ viết bảng Thiên Long WB-03/06 (đen)</v>
          </cell>
        </row>
        <row r="302">
          <cell r="D302" t="str">
            <v>Bút dạ viết bảng Thiên Long WB-03/06 (xanh)</v>
          </cell>
        </row>
        <row r="303">
          <cell r="D303" t="str">
            <v>Bút dạ viết bảng Bến Nghé WB/02 (xanh)</v>
          </cell>
        </row>
        <row r="304">
          <cell r="D304" t="str">
            <v>Bút viết bảng DOLLAR</v>
          </cell>
        </row>
        <row r="305">
          <cell r="D305" t="str">
            <v>Bút dạ viết bảng LEADERART 500</v>
          </cell>
        </row>
        <row r="306">
          <cell r="D306" t="str">
            <v>Bút dạ 12 màu Thiên Long</v>
          </cell>
        </row>
        <row r="307">
          <cell r="D307" t="str">
            <v>Bút viết bảng DULI WB05</v>
          </cell>
        </row>
        <row r="308">
          <cell r="D308" t="str">
            <v>Bút dạ kính Thiên Long PM-04 (xanh)</v>
          </cell>
        </row>
        <row r="309">
          <cell r="D309" t="str">
            <v>Bút dạ dầu Pilot (xanh)</v>
          </cell>
        </row>
        <row r="310">
          <cell r="D310" t="str">
            <v>Bút dạ dầu DOLLAR</v>
          </cell>
        </row>
        <row r="311">
          <cell r="D311" t="str">
            <v>Bút dạ dầu màu STAEDTLER</v>
          </cell>
        </row>
        <row r="312">
          <cell r="D312" t="str">
            <v>Bút dạ dầu Twin maker (đen)</v>
          </cell>
        </row>
        <row r="313">
          <cell r="D313" t="str">
            <v>Bút dạ dầu Twin maker (xanh)</v>
          </cell>
        </row>
        <row r="314">
          <cell r="D314" t="str">
            <v>Bút dạ kính Thiên Long PM-04 (Đen)</v>
          </cell>
        </row>
        <row r="315">
          <cell r="D315" t="str">
            <v>Bút dạ dầu DongA M-03 (Đỏ)</v>
          </cell>
        </row>
        <row r="316">
          <cell r="D316" t="str">
            <v>Bút dạ dầu Pilot (Đen)</v>
          </cell>
        </row>
        <row r="320">
          <cell r="D320" t="str">
            <v>Bút nhớ dòng, bút phủ, băng xóa</v>
          </cell>
        </row>
        <row r="321">
          <cell r="D321" t="str">
            <v>Bút nhớ dòng TOYO - SP25</v>
          </cell>
        </row>
        <row r="322">
          <cell r="D322" t="str">
            <v>Bút nhớ dòng Thiên Long HL 03</v>
          </cell>
        </row>
        <row r="323">
          <cell r="D323" t="str">
            <v>Bút nhớ dòng LEADERART - 101</v>
          </cell>
        </row>
        <row r="324">
          <cell r="D324" t="str">
            <v>Bút nhớ dòng FABER</v>
          </cell>
        </row>
        <row r="325">
          <cell r="D325" t="str">
            <v>Bút nhớ dòng STAEDTLER (các màu)</v>
          </cell>
        </row>
        <row r="326">
          <cell r="D326" t="str">
            <v>Bút phủ Gingko, thân tròn, nắp trong</v>
          </cell>
        </row>
        <row r="327">
          <cell r="D327" t="str">
            <v>Bút phủ K310-EX nắp trong</v>
          </cell>
        </row>
        <row r="328">
          <cell r="D328" t="str">
            <v>Bút phủ Unicorection CPL-80</v>
          </cell>
        </row>
        <row r="329">
          <cell r="D329" t="str">
            <v>Bút phủ F301-EX Gangy</v>
          </cell>
        </row>
        <row r="330">
          <cell r="D330" t="str">
            <v>Bút phủ Bentel ZL31W đầu sắt</v>
          </cell>
        </row>
        <row r="331">
          <cell r="D331" t="str">
            <v>Bút phủ Thiên Long CP-02</v>
          </cell>
        </row>
        <row r="332">
          <cell r="D332" t="str">
            <v>Băng xoá Plus WH-105 (to)</v>
          </cell>
        </row>
        <row r="333">
          <cell r="D333" t="str">
            <v>Băng xoá Plus WH-505 (nhỏ)</v>
          </cell>
        </row>
        <row r="334">
          <cell r="D334" t="str">
            <v>Ruột băng xóa WH-105TR ( cho băng xóa to)</v>
          </cell>
        </row>
        <row r="341">
          <cell r="D341" t="str">
            <v>Giá cắm bút, khay mica</v>
          </cell>
        </row>
        <row r="342">
          <cell r="D342" t="str">
            <v>Giá cắm bút chữ nhật bé</v>
          </cell>
        </row>
        <row r="343">
          <cell r="D343" t="str">
            <v>Giá cắm bút chữ nhật to</v>
          </cell>
        </row>
        <row r="344">
          <cell r="D344" t="str">
            <v>Giá cắm bút quay to</v>
          </cell>
        </row>
        <row r="345">
          <cell r="D345" t="str">
            <v>Khay nhựa 3 tầng</v>
          </cell>
        </row>
        <row r="346">
          <cell r="D346" t="str">
            <v>Khay mica 2 tầng</v>
          </cell>
        </row>
        <row r="347">
          <cell r="D347" t="str">
            <v>Khay mica 3 tầng</v>
          </cell>
        </row>
        <row r="348">
          <cell r="D348" t="str">
            <v>Khay nhựa  2 tầng</v>
          </cell>
        </row>
        <row r="349">
          <cell r="D349" t="str">
            <v>Khay nhựa DELI 3 tầng</v>
          </cell>
        </row>
        <row r="350">
          <cell r="D350" t="str">
            <v>Khay 3 tầng nhựa Shutter</v>
          </cell>
        </row>
        <row r="362">
          <cell r="D362" t="str">
            <v>Bút chì, ruột chì</v>
          </cell>
        </row>
        <row r="363">
          <cell r="D363" t="str">
            <v>Bút chì gỗ TL GP-01</v>
          </cell>
        </row>
        <row r="364">
          <cell r="D364" t="str">
            <v>Bút chì gỗ TL GP-04</v>
          </cell>
        </row>
        <row r="365">
          <cell r="D365" t="str">
            <v>Bút chì Paper Mate - 2B</v>
          </cell>
        </row>
        <row r="366">
          <cell r="D366" t="str">
            <v>Bút chì STAEDTLER-110/3B.4B</v>
          </cell>
        </row>
        <row r="367">
          <cell r="D367" t="str">
            <v>Bút chì STAEDTLER-132 46/2B, có tẩy</v>
          </cell>
        </row>
        <row r="368">
          <cell r="D368" t="str">
            <v>Bút chì STAEDTLER-110/2B</v>
          </cell>
        </row>
        <row r="369">
          <cell r="D369" t="str">
            <v>Bút chì 2B STAR</v>
          </cell>
        </row>
        <row r="370">
          <cell r="D370" t="str">
            <v>Bút chì 4B- 8B, HB</v>
          </cell>
        </row>
        <row r="371">
          <cell r="D371" t="str">
            <v>Bút chì 2B TQ</v>
          </cell>
        </row>
        <row r="372">
          <cell r="D372" t="str">
            <v>Bút chì  HB Maco (có tẩy)</v>
          </cell>
        </row>
        <row r="373">
          <cell r="D373" t="str">
            <v>Bút chì  HB Maco (không tẩy)</v>
          </cell>
        </row>
        <row r="374">
          <cell r="D374" t="str">
            <v>Bút chì kim STAEDTLER - 77705</v>
          </cell>
        </row>
        <row r="375">
          <cell r="D375" t="str">
            <v>Bút chì kim Penten 255</v>
          </cell>
        </row>
        <row r="376">
          <cell r="D376" t="str">
            <v>Bút chì kim tự động M&amp;G</v>
          </cell>
        </row>
        <row r="377">
          <cell r="D377" t="str">
            <v>Bút chì kim Techjob</v>
          </cell>
        </row>
        <row r="378">
          <cell r="D378" t="str">
            <v>Ruột chì kim STAEDTLER 250-2B, nét 0.5mm</v>
          </cell>
        </row>
        <row r="379">
          <cell r="D379" t="str">
            <v>Ruột chì kim Đài Loan</v>
          </cell>
        </row>
        <row r="380">
          <cell r="D380" t="str">
            <v>Ruột chì kim Penten</v>
          </cell>
        </row>
        <row r="381">
          <cell r="D381" t="str">
            <v>Ruột chì kim BITTIT</v>
          </cell>
        </row>
        <row r="382">
          <cell r="D382" t="str">
            <v>Bút bi Ấn Độ Starline</v>
          </cell>
        </row>
        <row r="383">
          <cell r="D383" t="str">
            <v>Gọt bút chì, tẩy chì</v>
          </cell>
        </row>
        <row r="384">
          <cell r="D384" t="str">
            <v>Gọt bút chì SDI</v>
          </cell>
        </row>
        <row r="385">
          <cell r="D385" t="str">
            <v>Gọt bút chì cốc</v>
          </cell>
        </row>
        <row r="386">
          <cell r="D386" t="str">
            <v>Gọt bút chì thường</v>
          </cell>
        </row>
        <row r="387">
          <cell r="D387" t="str">
            <v>Gôm TL E-06</v>
          </cell>
        </row>
        <row r="388">
          <cell r="D388" t="str">
            <v>Tẩy chì Gingko 1301.1302</v>
          </cell>
        </row>
        <row r="389">
          <cell r="D389" t="str">
            <v>Tẩy Penten ZEH 03</v>
          </cell>
        </row>
        <row r="390">
          <cell r="D390" t="str">
            <v>Tẩy STAEDTLER BT40</v>
          </cell>
        </row>
        <row r="391">
          <cell r="D391" t="str">
            <v>Bút chì kim Japan</v>
          </cell>
        </row>
        <row r="404">
          <cell r="D404" t="str">
            <v>Chia File</v>
          </cell>
        </row>
        <row r="405">
          <cell r="D405" t="str">
            <v>Chia file giấy 10 màu</v>
          </cell>
        </row>
        <row r="406">
          <cell r="D406" t="str">
            <v>Chia file giấy 10 màu loại dầy đẹp</v>
          </cell>
        </row>
        <row r="407">
          <cell r="D407" t="str">
            <v>Chia file 10 lá nhựa</v>
          </cell>
        </row>
        <row r="408">
          <cell r="D408" t="str">
            <v xml:space="preserve">Chia file 12 lá nhựa </v>
          </cell>
        </row>
        <row r="409">
          <cell r="D409" t="str">
            <v>Chia file 31 lá nhựa</v>
          </cell>
        </row>
        <row r="410">
          <cell r="D410" t="str">
            <v>Chia file 5 lá bìa màu</v>
          </cell>
        </row>
        <row r="411">
          <cell r="D411" t="str">
            <v>Chia file 5 lá bìa màu</v>
          </cell>
        </row>
        <row r="412">
          <cell r="D412" t="str">
            <v>Chia file nhựa A-Z</v>
          </cell>
        </row>
        <row r="413">
          <cell r="D413" t="str">
            <v xml:space="preserve">Chia file giấy 1-16 số </v>
          </cell>
        </row>
        <row r="414">
          <cell r="D414" t="str">
            <v>File lệch A màu vàng</v>
          </cell>
        </row>
        <row r="415">
          <cell r="D415" t="str">
            <v>File lệch A màu nghệ</v>
          </cell>
        </row>
        <row r="416">
          <cell r="D416" t="str">
            <v>File lệch A màu hồng</v>
          </cell>
        </row>
        <row r="417">
          <cell r="D417" t="str">
            <v>Flie lệch A màu xanh lá</v>
          </cell>
        </row>
        <row r="425">
          <cell r="D425" t="str">
            <v>File còng bật Trà my, Kokuyo, Kingjim</v>
          </cell>
        </row>
        <row r="426">
          <cell r="D426" t="str">
            <v>File còng bật 5F loại dầy, đẹp (xanh biển)</v>
          </cell>
        </row>
        <row r="427">
          <cell r="D427" t="str">
            <v>File còng bật 7F loại dầy, đẹp (xanh biển)</v>
          </cell>
        </row>
        <row r="428">
          <cell r="D428" t="str">
            <v>File còng bật 5F KOKUYO -Khổ A (xanh biển)</v>
          </cell>
        </row>
        <row r="429">
          <cell r="D429" t="str">
            <v>File còng bật 5F KOKUYO -Khổ F (xanh biển)</v>
          </cell>
        </row>
        <row r="430">
          <cell r="D430" t="str">
            <v>File còng bật 5F KOKUYO -Khổ F (hồng)</v>
          </cell>
        </row>
        <row r="431">
          <cell r="D431" t="str">
            <v>File còng bật 5F KOKUYO -Khổ F (vàng)</v>
          </cell>
        </row>
        <row r="432">
          <cell r="D432" t="str">
            <v>File còng bật 5F KOKUYO -Khổ F (xanh lá)</v>
          </cell>
        </row>
        <row r="433">
          <cell r="D433" t="str">
            <v>File còng bật 7F KOKUYO -Khổ A (xanh biển)</v>
          </cell>
        </row>
        <row r="434">
          <cell r="D434" t="str">
            <v>File còng bật 7F KOKUYO -Khổ F (xanh biển)</v>
          </cell>
        </row>
        <row r="435">
          <cell r="D435" t="str">
            <v>File còng bật 7F KOKUYO -Khổ F (hồng)</v>
          </cell>
        </row>
        <row r="436">
          <cell r="D436" t="str">
            <v>File còng bật 7F KOKUYO Khổ F (Vàng)</v>
          </cell>
        </row>
        <row r="437">
          <cell r="D437" t="str">
            <v>File còng bật 10F KOKUYO Khổ A (xanh biển)</v>
          </cell>
        </row>
        <row r="438">
          <cell r="D438" t="str">
            <v>File còng bật 10F KOKUYO Khổ A (Vàng)</v>
          </cell>
        </row>
        <row r="439">
          <cell r="D439" t="str">
            <v>File ống KingJim 8cm (màu ghi)</v>
          </cell>
        </row>
        <row r="440">
          <cell r="D440" t="str">
            <v>File ống Kingjim 5cm (màu xanh)</v>
          </cell>
        </row>
        <row r="441">
          <cell r="D441" t="str">
            <v>File ống Kingjim 8cm (màu xanh)</v>
          </cell>
        </row>
        <row r="442">
          <cell r="D442" t="str">
            <v>File ống Kingjim 10cm  (màu xanh)</v>
          </cell>
        </row>
        <row r="443">
          <cell r="D443" t="str">
            <v>File còng bật 7F  KingJim Khổ A (Xanh biển)</v>
          </cell>
        </row>
        <row r="444">
          <cell r="D444" t="str">
            <v>File còng bật 7F  KingJim Khổ F (Xanh biển)</v>
          </cell>
        </row>
        <row r="445">
          <cell r="D445" t="str">
            <v>File còng bật KingJim A3 (xanh biển)</v>
          </cell>
        </row>
        <row r="446">
          <cell r="D446" t="str">
            <v>Các loại File khác</v>
          </cell>
        </row>
        <row r="447">
          <cell r="D447" t="str">
            <v>File lồng Note 5F-2 còng (màu trắng)</v>
          </cell>
        </row>
        <row r="448">
          <cell r="D448" t="str">
            <v>File lồng Note 5F-2 còng  (màu xanh)</v>
          </cell>
        </row>
        <row r="449">
          <cell r="D449" t="str">
            <v xml:space="preserve">File lồng Note 7F-2 còng </v>
          </cell>
        </row>
        <row r="450">
          <cell r="D450" t="str">
            <v>File Trà My Note IT (trắng)</v>
          </cell>
        </row>
        <row r="451">
          <cell r="D451" t="str">
            <v>File bìa Asi 2 khoá TM-7111</v>
          </cell>
        </row>
        <row r="452">
          <cell r="D452" t="str">
            <v>File bìa nhựa 2 khoá TM-7111</v>
          </cell>
        </row>
        <row r="453">
          <cell r="D453" t="str">
            <v>File Plus 021N  màu ghi</v>
          </cell>
        </row>
        <row r="454">
          <cell r="D454" t="str">
            <v>File Plus 021N  màu xanh lá</v>
          </cell>
        </row>
        <row r="455">
          <cell r="D455" t="str">
            <v>File Plus 021N  màu cam</v>
          </cell>
        </row>
        <row r="456">
          <cell r="D456" t="str">
            <v xml:space="preserve"> File còng D Plus 5F  </v>
          </cell>
        </row>
        <row r="457">
          <cell r="D457" t="str">
            <v xml:space="preserve"> File còng D Plus 3F  </v>
          </cell>
        </row>
        <row r="458">
          <cell r="D458" t="str">
            <v>File Plus hồng FL - 101 RT</v>
          </cell>
        </row>
        <row r="459">
          <cell r="D459" t="str">
            <v>File Plus Aco hồng FL V01 CL</v>
          </cell>
        </row>
        <row r="460">
          <cell r="D460" t="str">
            <v>File LW 320 (QW 320)</v>
          </cell>
        </row>
        <row r="461">
          <cell r="D461" t="str">
            <v>File TM 532 A 3,5F</v>
          </cell>
        </row>
        <row r="462">
          <cell r="D462" t="str">
            <v>File 2 còng RB 330A (H201)</v>
          </cell>
        </row>
        <row r="463">
          <cell r="D463" t="str">
            <v>File ống đại KOKUYO ( chứa 1000 tờ )</v>
          </cell>
        </row>
        <row r="464">
          <cell r="D464" t="str">
            <v>File Plus Aco Xanh dương (Report file)</v>
          </cell>
        </row>
        <row r="465">
          <cell r="D465" t="str">
            <v>Còng File 5F</v>
          </cell>
        </row>
        <row r="466">
          <cell r="D466" t="str">
            <v>File ống Kingjim</v>
          </cell>
        </row>
        <row r="467">
          <cell r="D467" t="str">
            <v>Trình ký, File lá, cặp bìa da</v>
          </cell>
        </row>
        <row r="468">
          <cell r="D468" t="str">
            <v>File trình ký ASI  loại thường</v>
          </cell>
        </row>
        <row r="469">
          <cell r="D469" t="str">
            <v>File trình ký da loại đẹp</v>
          </cell>
        </row>
        <row r="470">
          <cell r="D470" t="str">
            <v>File trình ký A4 mica DELI</v>
          </cell>
        </row>
        <row r="471">
          <cell r="D471" t="str">
            <v>File trình ký A5 KOKUYO</v>
          </cell>
        </row>
        <row r="472">
          <cell r="D472" t="str">
            <v>File trình ký bìa da cao cấp</v>
          </cell>
        </row>
        <row r="473">
          <cell r="D473" t="str">
            <v>File Plus 20 lá</v>
          </cell>
        </row>
        <row r="474">
          <cell r="D474" t="str">
            <v>File 40 lá</v>
          </cell>
        </row>
        <row r="475">
          <cell r="D475" t="str">
            <v>File 80 lá</v>
          </cell>
        </row>
        <row r="476">
          <cell r="D476" t="str">
            <v>Cặp lá bìa da 40 lá</v>
          </cell>
        </row>
        <row r="477">
          <cell r="D477" t="str">
            <v>Cặp lá bìa da 60 lá</v>
          </cell>
        </row>
        <row r="478">
          <cell r="D478" t="str">
            <v>File 20 lá</v>
          </cell>
        </row>
        <row r="479">
          <cell r="D479" t="str">
            <v>File 30 lá</v>
          </cell>
        </row>
        <row r="480">
          <cell r="D480" t="str">
            <v>File trình ký da hoa</v>
          </cell>
        </row>
        <row r="481">
          <cell r="D481" t="str">
            <v>File trình ký A4 mica Shuter</v>
          </cell>
        </row>
        <row r="482">
          <cell r="D482" t="str">
            <v>File Plus 40 lá</v>
          </cell>
        </row>
        <row r="488">
          <cell r="D488" t="str">
            <v>Túi đựng hồ sơ</v>
          </cell>
        </row>
        <row r="489">
          <cell r="D489" t="str">
            <v>Túi 1 khuy dày khổ A</v>
          </cell>
        </row>
        <row r="490">
          <cell r="D490" t="str">
            <v>Túi 1 khuy  trung  khổ A</v>
          </cell>
        </row>
        <row r="491">
          <cell r="D491" t="str">
            <v>Túi 1 khuy  mỏng  khổ A</v>
          </cell>
        </row>
        <row r="492">
          <cell r="D492" t="str">
            <v>Túi 1 khuy dầy khổ F</v>
          </cell>
        </row>
        <row r="493">
          <cell r="D493" t="str">
            <v>Túi khuy khổ A (xanh)</v>
          </cell>
        </row>
        <row r="494">
          <cell r="D494" t="str">
            <v>Túi khuy khổ A (hồng)</v>
          </cell>
        </row>
        <row r="495">
          <cell r="D495" t="str">
            <v>Túi khuy khổ A (vàng)</v>
          </cell>
        </row>
        <row r="496">
          <cell r="D496" t="str">
            <v>Túi hồ sơ  lỗ EH-303A ( loại 1 )</v>
          </cell>
        </row>
        <row r="497">
          <cell r="D497" t="str">
            <v>Túi hồ sơ  lỗ PLUS-141PP</v>
          </cell>
        </row>
        <row r="498">
          <cell r="D498" t="str">
            <v>Túi hồ sơ dây nhựa F118 khổ A4</v>
          </cell>
        </row>
        <row r="499">
          <cell r="D499" t="str">
            <v>Túi hồ sơ dây nhựa F119 khổ F/C</v>
          </cell>
        </row>
        <row r="500">
          <cell r="D500" t="str">
            <v>Túi mở 2 đầu</v>
          </cell>
        </row>
        <row r="509">
          <cell r="D509" t="str">
            <v>File nan, hộp tài liệu</v>
          </cell>
        </row>
        <row r="510">
          <cell r="D510" t="str">
            <v>File nan 1 ngăn to đúc Duli</v>
          </cell>
        </row>
        <row r="511">
          <cell r="D511" t="str">
            <v>File nan 3 ngăn Duli</v>
          </cell>
        </row>
        <row r="512">
          <cell r="D512" t="str">
            <v xml:space="preserve">File nan 3 ngăn </v>
          </cell>
        </row>
        <row r="513">
          <cell r="D513" t="str">
            <v>File nan 2 ngăn Shuter</v>
          </cell>
        </row>
        <row r="514">
          <cell r="D514" t="str">
            <v>File nan 3 ngăn Shuter</v>
          </cell>
        </row>
        <row r="515">
          <cell r="D515" t="str">
            <v>File nan 4 ngăn Shuter</v>
          </cell>
        </row>
        <row r="516">
          <cell r="D516" t="str">
            <v>File hộp dán 5F</v>
          </cell>
        </row>
        <row r="517">
          <cell r="D517" t="str">
            <v>File hộp dán 7F</v>
          </cell>
        </row>
        <row r="518">
          <cell r="D518" t="str">
            <v>File hộp dán 10F</v>
          </cell>
        </row>
        <row r="519">
          <cell r="D519" t="str">
            <v>File hộp dán 15F</v>
          </cell>
        </row>
        <row r="520">
          <cell r="D520" t="str">
            <v>File hộp dán 20F</v>
          </cell>
        </row>
        <row r="521">
          <cell r="D521" t="str">
            <v>File hộp dán A3 20F</v>
          </cell>
        </row>
        <row r="522">
          <cell r="D522" t="str">
            <v>File nan 3 ngăn LISO</v>
          </cell>
        </row>
        <row r="523">
          <cell r="D523" t="str">
            <v>File nan 4 ngăn LS-2006</v>
          </cell>
        </row>
        <row r="524">
          <cell r="D524" t="str">
            <v>File hộp dán 20F loại 1</v>
          </cell>
        </row>
        <row r="530">
          <cell r="D530" t="str">
            <v>Các loại cặp văn phòng</v>
          </cell>
        </row>
        <row r="531">
          <cell r="D531" t="str">
            <v>Cặp hồ sơ 3 dây bìa giấy 7F</v>
          </cell>
        </row>
        <row r="532">
          <cell r="D532" t="str">
            <v>Cặp 3 dây bìa giấy đại</v>
          </cell>
        </row>
        <row r="533">
          <cell r="D533" t="str">
            <v>Cặp 3 dây bìa PVC</v>
          </cell>
        </row>
        <row r="534">
          <cell r="D534" t="str">
            <v>Cặp 3 dây bìa PVC nhựa góc sắt</v>
          </cell>
        </row>
        <row r="535">
          <cell r="D535" t="str">
            <v>Cặp 3 dây bìa PVC gáy cứng</v>
          </cell>
        </row>
        <row r="536">
          <cell r="D536" t="str">
            <v>Cặp 2 khuy F405 khổ A</v>
          </cell>
        </row>
        <row r="537">
          <cell r="D537" t="str">
            <v>Cặp 2 khuy F405 khổ F</v>
          </cell>
        </row>
        <row r="538">
          <cell r="D538" t="str">
            <v>Cặp xốp quai thường</v>
          </cell>
        </row>
        <row r="539">
          <cell r="D539" t="str">
            <v>Cặp xốp chun thường</v>
          </cell>
        </row>
        <row r="540">
          <cell r="D540" t="str">
            <v>Cặp xốp quai đẹp Shuter</v>
          </cell>
        </row>
        <row r="541">
          <cell r="D541" t="str">
            <v>Cặp xốp chun đẹp Shuter</v>
          </cell>
        </row>
        <row r="542">
          <cell r="D542" t="str">
            <v>Cặp xốp chun DELI 5553</v>
          </cell>
        </row>
        <row r="551">
          <cell r="D551" t="str">
            <v>Băng dính</v>
          </cell>
        </row>
        <row r="552">
          <cell r="D552" t="str">
            <v>Băng dính văn phòng 1F</v>
          </cell>
        </row>
        <row r="553">
          <cell r="D553" t="str">
            <v>Băng dính văn phòng 2F (Trắng)</v>
          </cell>
        </row>
        <row r="554">
          <cell r="D554" t="str">
            <v>Băng dính văn phòng 2F (Vàng)</v>
          </cell>
        </row>
        <row r="555">
          <cell r="D555" t="str">
            <v>Băng dính 5F/90 Y (trong, đục)</v>
          </cell>
        </row>
        <row r="556">
          <cell r="D556" t="str">
            <v>Băng dính 5F/120 Y (trong, đục)</v>
          </cell>
        </row>
        <row r="557">
          <cell r="D557" t="str">
            <v>Băng dính 5F/160 Y (trong, đục)</v>
          </cell>
        </row>
        <row r="558">
          <cell r="D558" t="str">
            <v>Băng dính sần 3F, các mầu (xanh biển)</v>
          </cell>
        </row>
        <row r="559">
          <cell r="D559" t="str">
            <v>Băng dính sần 5F, các mầu (xanh biển)</v>
          </cell>
        </row>
        <row r="560">
          <cell r="D560" t="str">
            <v>Băng dính sần 5F, các mầu (xanh lá)</v>
          </cell>
        </row>
        <row r="561">
          <cell r="D561" t="str">
            <v>Băng dính sần 5F loại dầy, các mầu (xanh biển)</v>
          </cell>
        </row>
        <row r="562">
          <cell r="D562" t="str">
            <v xml:space="preserve">Băng dính sần 7F, các mầu (xanh biển) </v>
          </cell>
        </row>
        <row r="563">
          <cell r="D563" t="str">
            <v>Băng dính trơn 7F, các mầu</v>
          </cell>
        </row>
        <row r="564">
          <cell r="D564" t="str">
            <v>Băng dính 2 mặt 1 cm</v>
          </cell>
        </row>
        <row r="565">
          <cell r="D565" t="str">
            <v>Băng dính 2 mặt 1,5cm</v>
          </cell>
        </row>
        <row r="566">
          <cell r="D566" t="str">
            <v>Băng dính 2 mặt 2cm</v>
          </cell>
        </row>
        <row r="567">
          <cell r="D567" t="str">
            <v>Băng dính 2 mặt 2,5cm</v>
          </cell>
        </row>
        <row r="568">
          <cell r="D568" t="str">
            <v>Băng dính 2 mặt 5cm</v>
          </cell>
        </row>
        <row r="569">
          <cell r="D569" t="str">
            <v>Băng dính giấy 1,5cm</v>
          </cell>
        </row>
        <row r="570">
          <cell r="D570" t="str">
            <v xml:space="preserve">Băng dình giấy 2 cm </v>
          </cell>
        </row>
        <row r="571">
          <cell r="D571" t="str">
            <v xml:space="preserve">Băng dình giấy 5 cm </v>
          </cell>
        </row>
        <row r="572">
          <cell r="D572" t="str">
            <v>Cắt băng dính</v>
          </cell>
        </row>
        <row r="573">
          <cell r="D573" t="str">
            <v>Cắt băng bé văn phòng Sunny</v>
          </cell>
        </row>
        <row r="574">
          <cell r="D574" t="str">
            <v>Cắt băng bé văn phòng Việt Nam</v>
          </cell>
        </row>
        <row r="575">
          <cell r="D575" t="str">
            <v>Cắt băng dính văn phòng Deli</v>
          </cell>
        </row>
        <row r="576">
          <cell r="D576" t="str">
            <v>Cắt băng cầm tay sắt</v>
          </cell>
        </row>
        <row r="577">
          <cell r="D577" t="str">
            <v>Cắt băng dính đại Deli 800</v>
          </cell>
        </row>
        <row r="578">
          <cell r="D578" t="str">
            <v>Cắt băng dính đại Deli 802</v>
          </cell>
        </row>
        <row r="593">
          <cell r="D593" t="str">
            <v>Giấy Fax, Film Fax</v>
          </cell>
        </row>
        <row r="594">
          <cell r="D594" t="str">
            <v>Giấy Fax Sunbird 210mm x30m</v>
          </cell>
        </row>
        <row r="595">
          <cell r="D595" t="str">
            <v>Giấy Fax Sunbird 216mm x30m</v>
          </cell>
        </row>
        <row r="596">
          <cell r="D596" t="str">
            <v>Giấy Fax Sunbird 210mm x100m</v>
          </cell>
        </row>
        <row r="597">
          <cell r="D597" t="str">
            <v>Giấy Fax Kosaka 210mm x 30m</v>
          </cell>
        </row>
        <row r="598">
          <cell r="D598" t="str">
            <v>Giấy Fax Kosaka 216mm x 30m</v>
          </cell>
        </row>
        <row r="599">
          <cell r="D599" t="str">
            <v>Giấy Fax Kosaka 210mm x100m</v>
          </cell>
        </row>
        <row r="600">
          <cell r="D600" t="str">
            <v>Film máy fax Panasonic KXFP 101/105/FM250/302</v>
          </cell>
        </row>
        <row r="601">
          <cell r="D601" t="str">
            <v>Film máy fax Panasonic KXF 1000/1100/1200</v>
          </cell>
        </row>
        <row r="602">
          <cell r="D602" t="str">
            <v>Film máy fax Panasonic KXFP 206/218</v>
          </cell>
        </row>
        <row r="603">
          <cell r="D603" t="str">
            <v>Film máy fax Panasonic KXFA 141/241</v>
          </cell>
        </row>
        <row r="604">
          <cell r="D604" t="str">
            <v>Film máy fax Panasonic P80/81/82/151/152/156</v>
          </cell>
        </row>
        <row r="605">
          <cell r="D605" t="str">
            <v>Film máy fax Panasonic KXFP341/342/343/362/363</v>
          </cell>
        </row>
        <row r="606">
          <cell r="D606" t="str">
            <v>Film máy fax Shap FO 730/760/780/880</v>
          </cell>
        </row>
        <row r="607">
          <cell r="D607" t="str">
            <v>Film máy fax Shap UX-A/ UX-P/ FO-P</v>
          </cell>
        </row>
        <row r="608">
          <cell r="D608" t="str">
            <v xml:space="preserve">Film máy fax Shap FO 1450/1460/1660/2150 </v>
          </cell>
        </row>
        <row r="609">
          <cell r="D609" t="str">
            <v>Film Fax KX FA 136A</v>
          </cell>
        </row>
        <row r="610">
          <cell r="D610" t="str">
            <v>Film Fax KX FA 57E</v>
          </cell>
        </row>
        <row r="614">
          <cell r="D614" t="str">
            <v>Hồ dán, keo dán</v>
          </cell>
        </row>
        <row r="615">
          <cell r="D615" t="str">
            <v>Hồ nước Thiên Long</v>
          </cell>
        </row>
        <row r="616">
          <cell r="D616" t="str">
            <v>Hồ khô Thiên Long</v>
          </cell>
        </row>
        <row r="617">
          <cell r="D617" t="str">
            <v>Keo 502 Thuận Phong</v>
          </cell>
        </row>
        <row r="618">
          <cell r="D618" t="str">
            <v>Hồ khô Bến Nghé GL101</v>
          </cell>
        </row>
        <row r="619">
          <cell r="D619" t="str">
            <v>Keo nước Bến Nghé GL202</v>
          </cell>
        </row>
        <row r="620">
          <cell r="D620" t="str">
            <v>Keo nước Bến Nghé GL200</v>
          </cell>
        </row>
        <row r="621">
          <cell r="D621" t="str">
            <v>Hồ khô Steadtler 920108 nhỏ</v>
          </cell>
        </row>
        <row r="622">
          <cell r="D622" t="str">
            <v>Hồ khô Steadtler 921122 to</v>
          </cell>
        </row>
        <row r="623">
          <cell r="D623" t="str">
            <v>Hồ nước Steadtler</v>
          </cell>
        </row>
        <row r="635">
          <cell r="D635" t="str">
            <v>Dập ghim, nhổ gim</v>
          </cell>
        </row>
        <row r="636">
          <cell r="D636" t="str">
            <v>Dập ghim số 10 HAND S902 (thân Inox)</v>
          </cell>
        </row>
        <row r="637">
          <cell r="D637" t="str">
            <v xml:space="preserve">Dập ghim số 10 Plus PS - 10E </v>
          </cell>
        </row>
        <row r="638">
          <cell r="D638" t="str">
            <v>Dập ghim số 3 EAGLE - 206/027</v>
          </cell>
        </row>
        <row r="639">
          <cell r="D639" t="str">
            <v xml:space="preserve">Dập ghim số 3 EAGLE - Xoay </v>
          </cell>
        </row>
        <row r="640">
          <cell r="D640" t="str">
            <v>Dập ghim số 10 SL 021</v>
          </cell>
        </row>
        <row r="641">
          <cell r="D641" t="str">
            <v>Dập ghim số 3 GENMES 5527</v>
          </cell>
        </row>
        <row r="642">
          <cell r="D642" t="str">
            <v>Dập ghim đại KW-trio 50 SA</v>
          </cell>
        </row>
        <row r="643">
          <cell r="D643" t="str">
            <v>Dập ghim đại KW-trio 50 LA</v>
          </cell>
        </row>
        <row r="644">
          <cell r="D644" t="str">
            <v>Dập ghim đại Deli cán dài</v>
          </cell>
        </row>
        <row r="645">
          <cell r="D645" t="str">
            <v>Nhổ ghim EAGLE</v>
          </cell>
        </row>
        <row r="646">
          <cell r="D646" t="str">
            <v>Nhổ ghim Deli</v>
          </cell>
        </row>
        <row r="647">
          <cell r="D647" t="str">
            <v>Nhổ ghim KW-trio 580B</v>
          </cell>
        </row>
        <row r="648">
          <cell r="D648" t="str">
            <v>Hộp đựng card KW-trio 4800</v>
          </cell>
        </row>
        <row r="649">
          <cell r="D649" t="str">
            <v>Hộp đựng ghim  nằm Deli</v>
          </cell>
        </row>
        <row r="650">
          <cell r="D650" t="str">
            <v>Hộp đựng ghim  đứng Deli</v>
          </cell>
        </row>
        <row r="651">
          <cell r="D651" t="str">
            <v>Hộp đựng card KW-trio 4600</v>
          </cell>
        </row>
        <row r="652">
          <cell r="D652" t="str">
            <v>Súng bắn ghim</v>
          </cell>
        </row>
        <row r="656">
          <cell r="D656" t="str">
            <v>Ghim dập, ghim cài</v>
          </cell>
        </row>
        <row r="657">
          <cell r="D657" t="str">
            <v>Ghim dập số 10 - Plus</v>
          </cell>
        </row>
        <row r="658">
          <cell r="D658" t="str">
            <v>Ghim dập số 3 - Hand</v>
          </cell>
        </row>
        <row r="659">
          <cell r="D659" t="str">
            <v>Ghim dập đại KW-triO 24/6</v>
          </cell>
        </row>
        <row r="660">
          <cell r="D660" t="str">
            <v>Ghim dập đại KW-triO 23/8</v>
          </cell>
        </row>
        <row r="661">
          <cell r="D661" t="str">
            <v>Ghim dập đại KW-triO 23/10</v>
          </cell>
        </row>
        <row r="662">
          <cell r="D662" t="str">
            <v>Ghim dập đại KW-triO 23/13</v>
          </cell>
        </row>
        <row r="663">
          <cell r="D663" t="str">
            <v>Ghim dập đại KW-triO 23/15</v>
          </cell>
        </row>
        <row r="664">
          <cell r="D664" t="str">
            <v>Ghim dập đại KW-triO 23/17</v>
          </cell>
        </row>
        <row r="665">
          <cell r="D665" t="str">
            <v>Ghim dập đại KW-triO 23/20</v>
          </cell>
        </row>
        <row r="666">
          <cell r="D666" t="str">
            <v>Ghim dập đại KW-triO 23/23</v>
          </cell>
        </row>
        <row r="667">
          <cell r="D667" t="str">
            <v>Ghim vòng C62</v>
          </cell>
        </row>
        <row r="668">
          <cell r="D668" t="str">
            <v>Ghim vòng C82</v>
          </cell>
        </row>
        <row r="669">
          <cell r="D669" t="str">
            <v>Ghim vòng nhiều màu</v>
          </cell>
        </row>
        <row r="670">
          <cell r="D670" t="str">
            <v>Ghim cắm bảng</v>
          </cell>
        </row>
        <row r="671">
          <cell r="D671" t="str">
            <v>Ghim dập số 10 - Hand</v>
          </cell>
        </row>
        <row r="672">
          <cell r="D672" t="str">
            <v>Ghim mũ sắt nhỏ</v>
          </cell>
        </row>
        <row r="673">
          <cell r="D673" t="str">
            <v>Ghim mũ nhựa</v>
          </cell>
        </row>
        <row r="674">
          <cell r="D674" t="str">
            <v>Ghim dập 6/23</v>
          </cell>
        </row>
        <row r="677">
          <cell r="D677" t="str">
            <v>Đột lỗ, dập số</v>
          </cell>
        </row>
        <row r="678">
          <cell r="D678" t="str">
            <v>Máy đột 2 lỗ Hand 970</v>
          </cell>
        </row>
        <row r="679">
          <cell r="D679" t="str">
            <v>Máy đột 2 lỗ Hand 978</v>
          </cell>
        </row>
        <row r="680">
          <cell r="D680" t="str">
            <v>Máy đột 2 lỗ KW-Trio - 9670</v>
          </cell>
        </row>
        <row r="681">
          <cell r="D681" t="str">
            <v>Máy đột 2 lỗ PC-01</v>
          </cell>
        </row>
        <row r="682">
          <cell r="D682" t="str">
            <v>Máy đột 2 lỗ Hand- 957</v>
          </cell>
        </row>
        <row r="683">
          <cell r="D683" t="str">
            <v>Máy dập số tự động - 6 số</v>
          </cell>
        </row>
        <row r="684">
          <cell r="D684" t="str">
            <v>Máy dập số tự động - 8 số</v>
          </cell>
        </row>
        <row r="685">
          <cell r="D685" t="str">
            <v>Máy dập số tự động - 10 số</v>
          </cell>
        </row>
        <row r="686">
          <cell r="D686" t="str">
            <v>Máy đột 2 lỗ KW-Trio 978</v>
          </cell>
        </row>
        <row r="698">
          <cell r="D698" t="str">
            <v>Kéo, dao, lưỡi dao</v>
          </cell>
        </row>
        <row r="699">
          <cell r="D699" t="str">
            <v>Kéo vỉ TQ</v>
          </cell>
        </row>
        <row r="700">
          <cell r="D700" t="str">
            <v>Kéo đồi mồi nhỏ đẹp TC-120</v>
          </cell>
        </row>
        <row r="701">
          <cell r="D701" t="str">
            <v>Kéo hợp thành</v>
          </cell>
        </row>
        <row r="702">
          <cell r="D702" t="str">
            <v>Kéo cán nhựa to</v>
          </cell>
        </row>
        <row r="703">
          <cell r="D703" t="str">
            <v>Kéo cán nhựa đẹp S008-S009</v>
          </cell>
        </row>
        <row r="704">
          <cell r="D704" t="str">
            <v>Kéo cán vàng trong suốt S128</v>
          </cell>
        </row>
        <row r="705">
          <cell r="D705" t="str">
            <v>Kéo cán nhựa to S100</v>
          </cell>
        </row>
        <row r="706">
          <cell r="D706" t="str">
            <v>Kéo văn phòng to DELI</v>
          </cell>
        </row>
        <row r="707">
          <cell r="D707" t="str">
            <v>Dao dọc giấy CK 041</v>
          </cell>
        </row>
        <row r="708">
          <cell r="D708" t="str">
            <v>Dao dọc giấy CK 051</v>
          </cell>
        </row>
        <row r="709">
          <cell r="D709" t="str">
            <v>Dao trổ SDI 0404 nhỏ rãnh thép</v>
          </cell>
        </row>
        <row r="710">
          <cell r="D710" t="str">
            <v>Dao trổ SDI 0423 to rãnh thép</v>
          </cell>
        </row>
        <row r="711">
          <cell r="D711" t="str">
            <v>Dao trổ YOKO</v>
          </cell>
        </row>
        <row r="712">
          <cell r="D712" t="str">
            <v>Dao trổ UCN CC918</v>
          </cell>
        </row>
        <row r="713">
          <cell r="D713" t="str">
            <v>Dao cán vàng Kiwi</v>
          </cell>
        </row>
        <row r="714">
          <cell r="D714" t="str">
            <v>Lưỡi dao CB 011</v>
          </cell>
        </row>
        <row r="715">
          <cell r="D715" t="str">
            <v>Lưỡi dao trổ SDI bé 1403</v>
          </cell>
        </row>
        <row r="716">
          <cell r="D716" t="str">
            <v>Lưỡi dao trổ SDI to 1404</v>
          </cell>
        </row>
        <row r="719">
          <cell r="D719" t="str">
            <v>Kẹp Clip, Que cài</v>
          </cell>
        </row>
        <row r="720">
          <cell r="D720" t="str">
            <v>Kẹp Clip 15mm đen</v>
          </cell>
        </row>
        <row r="721">
          <cell r="D721" t="str">
            <v>Kẹp Clip 19mm đen</v>
          </cell>
        </row>
        <row r="722">
          <cell r="D722" t="str">
            <v>Kẹp Clip 25mm đen</v>
          </cell>
        </row>
        <row r="723">
          <cell r="D723" t="str">
            <v>Kẹp Clip 32mm đen</v>
          </cell>
        </row>
        <row r="724">
          <cell r="D724" t="str">
            <v>Kẹp Clip 41mm đen</v>
          </cell>
        </row>
        <row r="725">
          <cell r="D725" t="str">
            <v>Kẹp Clip 51mm đen</v>
          </cell>
        </row>
        <row r="726">
          <cell r="D726" t="str">
            <v>Que cài sổ bằng nhựa</v>
          </cell>
        </row>
        <row r="727">
          <cell r="D727" t="str">
            <v>Que cài sổ bằng sắt</v>
          </cell>
        </row>
        <row r="728">
          <cell r="D728" t="str">
            <v>Kẹp Clip 19mm nhiều màu</v>
          </cell>
        </row>
        <row r="740">
          <cell r="D740" t="str">
            <v>Bảng chức danh tên cài, thẻ, dây thẻ</v>
          </cell>
        </row>
        <row r="741">
          <cell r="D741" t="str">
            <v>Bảng tên cài SAKURA loại mỏng</v>
          </cell>
        </row>
        <row r="742">
          <cell r="D742" t="str">
            <v>Bảng tên cài SAKURA loại dày</v>
          </cell>
        </row>
        <row r="743">
          <cell r="D743" t="str">
            <v>Bảng tên treo TQ S02</v>
          </cell>
        </row>
        <row r="744">
          <cell r="D744" t="str">
            <v>Bảng tên Shuter có dây đeo</v>
          </cell>
        </row>
        <row r="745">
          <cell r="D745" t="str">
            <v>Bảng chức danh 8x24</v>
          </cell>
        </row>
        <row r="746">
          <cell r="D746" t="str">
            <v>Thẻ tên cài Sakura</v>
          </cell>
        </row>
        <row r="747">
          <cell r="D747" t="str">
            <v>Dây đeo thẻ các màu</v>
          </cell>
        </row>
        <row r="748">
          <cell r="D748" t="str">
            <v>Dây lụa (cam)</v>
          </cell>
        </row>
        <row r="749">
          <cell r="D749" t="str">
            <v>Dây lụa (đỏ)</v>
          </cell>
        </row>
        <row r="750">
          <cell r="D750" t="str">
            <v>Dây thẻ lụa lạnh (xanh biển)</v>
          </cell>
        </row>
        <row r="751">
          <cell r="D751" t="str">
            <v>Dây lụa (xanh đậm)</v>
          </cell>
        </row>
        <row r="752">
          <cell r="D752" t="str">
            <v>Dây thẻ thường (xanh lá)</v>
          </cell>
        </row>
        <row r="753">
          <cell r="D753" t="str">
            <v>Dây lụa (xanh lá)</v>
          </cell>
        </row>
        <row r="754">
          <cell r="D754" t="str">
            <v>Dây thẻ thường (xanh biển)</v>
          </cell>
        </row>
        <row r="755">
          <cell r="D755" t="str">
            <v>Thẻ đeo dọc Deli đục 9x5.5</v>
          </cell>
        </row>
        <row r="756">
          <cell r="D756" t="str">
            <v xml:space="preserve">Thẻ ngang shuter có tên cài </v>
          </cell>
        </row>
        <row r="757">
          <cell r="D757" t="str">
            <v>Thẻ đeo dọc bằng da 9x5.5</v>
          </cell>
        </row>
        <row r="758">
          <cell r="D758" t="str">
            <v>Thẻ nhựa mềm trong dọc 9x5.5</v>
          </cell>
        </row>
        <row r="759">
          <cell r="D759" t="str">
            <v>Thẻ ngang nhựa trong 9x5.5</v>
          </cell>
        </row>
        <row r="760">
          <cell r="D760" t="str">
            <v>Thẻ dọc trong 7x10.5</v>
          </cell>
        </row>
        <row r="761">
          <cell r="D761" t="str">
            <v>Thước kẻ, đồ dùng giáo viên,học sinh</v>
          </cell>
        </row>
        <row r="762">
          <cell r="D762" t="str">
            <v>Thước dẹt mica 20cm</v>
          </cell>
        </row>
        <row r="763">
          <cell r="D763" t="str">
            <v>Thước dẹt mica 30cm</v>
          </cell>
        </row>
        <row r="764">
          <cell r="D764" t="str">
            <v>Thước dẹt mica 40cm</v>
          </cell>
        </row>
        <row r="765">
          <cell r="D765" t="str">
            <v>Thước dẹt mica 50cm</v>
          </cell>
        </row>
        <row r="766">
          <cell r="D766" t="str">
            <v>Thước dẹt mica 60cm</v>
          </cell>
        </row>
        <row r="767">
          <cell r="D767" t="str">
            <v>Thước dẹt mica 100cm</v>
          </cell>
        </row>
        <row r="768">
          <cell r="D768" t="str">
            <v>Thước Eke 40 cm</v>
          </cell>
        </row>
        <row r="769">
          <cell r="D769" t="str">
            <v>Thước đo độ to</v>
          </cell>
        </row>
        <row r="770">
          <cell r="D770" t="str">
            <v>Compa giáo viên</v>
          </cell>
        </row>
        <row r="771">
          <cell r="D771" t="str">
            <v>Lau bảng</v>
          </cell>
        </row>
        <row r="772">
          <cell r="D772" t="str">
            <v>Phấn Mic</v>
          </cell>
        </row>
        <row r="773">
          <cell r="D773" t="str">
            <v>Nam châm dính bảng</v>
          </cell>
        </row>
        <row r="774">
          <cell r="D774" t="str">
            <v>Mực xanh Cửu Long</v>
          </cell>
        </row>
        <row r="782">
          <cell r="D782" t="str">
            <v>Máy tính</v>
          </cell>
        </row>
        <row r="783">
          <cell r="D783" t="str">
            <v>Máy tính CASIO 12 số JS -120L</v>
          </cell>
        </row>
        <row r="784">
          <cell r="D784" t="str">
            <v>Máy tính CASIO 12 số JS -20LA</v>
          </cell>
        </row>
        <row r="785">
          <cell r="D785" t="str">
            <v>Máy tính CASIO 12 số HL - 122TV</v>
          </cell>
        </row>
        <row r="786">
          <cell r="D786" t="str">
            <v>Máy tính CASIO 14 số JS - 40V</v>
          </cell>
        </row>
        <row r="787">
          <cell r="D787" t="str">
            <v xml:space="preserve">Máy tính CASIO 12 số JL - 210 </v>
          </cell>
        </row>
        <row r="788">
          <cell r="D788" t="str">
            <v>Máy tính CASIO 14 số JS - 40LA</v>
          </cell>
        </row>
        <row r="789">
          <cell r="D789" t="str">
            <v>Máy tính CASIO 12 số AX 12S</v>
          </cell>
        </row>
        <row r="790">
          <cell r="D790" t="str">
            <v>Máy tính CASIO 12 số DF 120TV</v>
          </cell>
        </row>
        <row r="791">
          <cell r="D791" t="str">
            <v>Máy tính CASIO 14 số DJ 240 TQ</v>
          </cell>
        </row>
        <row r="792">
          <cell r="D792" t="str">
            <v>Máy tính CASIO 12 số DX120S</v>
          </cell>
        </row>
        <row r="793">
          <cell r="D793" t="str">
            <v>Máy tính CASIO LC 430TV</v>
          </cell>
        </row>
        <row r="794">
          <cell r="D794" t="str">
            <v>Máy tính CASIO KC888</v>
          </cell>
        </row>
        <row r="795">
          <cell r="D795" t="str">
            <v>Máy tính kỹ thuật FX - 500MS</v>
          </cell>
        </row>
        <row r="796">
          <cell r="D796" t="str">
            <v>Máy tính CASIO 12 số JS -20LA</v>
          </cell>
        </row>
        <row r="797">
          <cell r="D797" t="str">
            <v>Máy tính CASIO JF120 MS</v>
          </cell>
        </row>
        <row r="803">
          <cell r="D803" t="str">
            <v>Pin</v>
          </cell>
        </row>
        <row r="804">
          <cell r="D804" t="str">
            <v>Pin tiểu con thỏ</v>
          </cell>
        </row>
        <row r="805">
          <cell r="D805" t="str">
            <v>Pin Enetryger AA (vỉ 2 viên)</v>
          </cell>
        </row>
        <row r="806">
          <cell r="D806" t="str">
            <v>Pin Enetryger AAA (vỉ 2 viên)</v>
          </cell>
        </row>
        <row r="807">
          <cell r="D807" t="str">
            <v>Pin Rocket (vỉ 2 viên)</v>
          </cell>
        </row>
        <row r="808">
          <cell r="D808" t="str">
            <v>Pin cúc LR 44</v>
          </cell>
        </row>
        <row r="809">
          <cell r="D809" t="str">
            <v>Pin Ultra (A23)</v>
          </cell>
        </row>
        <row r="810">
          <cell r="D810" t="str">
            <v>Pin Mitsubishi LR1130</v>
          </cell>
        </row>
        <row r="824">
          <cell r="D824" t="str">
            <v>Dấu, mực dấu , mút đếm tiền,nước lau, GVS</v>
          </cell>
        </row>
        <row r="825">
          <cell r="D825" t="str">
            <v>Dấu ngày tháng</v>
          </cell>
        </row>
        <row r="826">
          <cell r="D826" t="str">
            <v>Dấu sao y bản chính</v>
          </cell>
        </row>
        <row r="827">
          <cell r="D827" t="str">
            <v>Mực dấu Thái Horse</v>
          </cell>
        </row>
        <row r="828">
          <cell r="D828" t="str">
            <v>Mực dấu Cửu Long</v>
          </cell>
        </row>
        <row r="829">
          <cell r="D829" t="str">
            <v>Mực dấu Trodat</v>
          </cell>
        </row>
        <row r="830">
          <cell r="D830" t="str">
            <v xml:space="preserve">Mực dấu Shiny đỏ </v>
          </cell>
        </row>
        <row r="831">
          <cell r="D831" t="str">
            <v>Mực dấu Shiny xanh</v>
          </cell>
        </row>
        <row r="832">
          <cell r="D832" t="str">
            <v>Hộp dấu thái Horse to số 2</v>
          </cell>
        </row>
        <row r="833">
          <cell r="D833" t="str">
            <v>Hộp dấu thái Horse nhỏ số 3</v>
          </cell>
        </row>
        <row r="834">
          <cell r="D834" t="str">
            <v>Hộp dấu tròn Deli đỏ</v>
          </cell>
        </row>
        <row r="835">
          <cell r="D835" t="str">
            <v>Hộp dấu tròn Deli xanh</v>
          </cell>
        </row>
        <row r="836">
          <cell r="D836" t="str">
            <v>Mút đếm tiền</v>
          </cell>
        </row>
        <row r="837">
          <cell r="D837" t="str">
            <v>Sáp đếm tiền</v>
          </cell>
        </row>
        <row r="838">
          <cell r="D838" t="str">
            <v>Mực dấu nhảy số</v>
          </cell>
        </row>
        <row r="839">
          <cell r="D839" t="str">
            <v>Dấu đã thu tiền</v>
          </cell>
        </row>
        <row r="840">
          <cell r="D840" t="str">
            <v>Dấu bán hàng qua điện thoại</v>
          </cell>
        </row>
        <row r="841">
          <cell r="D841" t="str">
            <v>Dấu đã thanh toán</v>
          </cell>
        </row>
        <row r="842">
          <cell r="D842" t="str">
            <v>Giấy hộp Puppy Trà xanh</v>
          </cell>
        </row>
        <row r="843">
          <cell r="D843" t="str">
            <v>Giấy vệ sinh AnAn</v>
          </cell>
        </row>
        <row r="844">
          <cell r="D844" t="str">
            <v>Giấy vệ sinh Puppy</v>
          </cell>
        </row>
        <row r="845">
          <cell r="D845" t="str">
            <v>Phong bì</v>
          </cell>
        </row>
        <row r="846">
          <cell r="D846" t="str">
            <v>Phong bì trắng khổ A5</v>
          </cell>
        </row>
        <row r="847">
          <cell r="D847" t="str">
            <v>Phong bì trắng khổ A4</v>
          </cell>
        </row>
        <row r="848">
          <cell r="D848" t="str">
            <v>Phong bì trắng khổ A4 Dulex</v>
          </cell>
        </row>
        <row r="849">
          <cell r="D849" t="str">
            <v>Phong bì trắng khổ A4 có dây,có đáy</v>
          </cell>
        </row>
        <row r="850">
          <cell r="D850" t="str">
            <v>Phong bì hồ sơ có dây khổ F</v>
          </cell>
        </row>
        <row r="851">
          <cell r="D851" t="str">
            <v>Phong bì thư nhỏ nhà máy</v>
          </cell>
        </row>
        <row r="852">
          <cell r="D852" t="str">
            <v>Phong bì A3 trắng có đáy, có dây</v>
          </cell>
        </row>
        <row r="853">
          <cell r="D853" t="str">
            <v>Phong bì thư khổ 12x22</v>
          </cell>
        </row>
        <row r="854">
          <cell r="D854" t="str">
            <v>Túi trắng có quai , có đáy Cỡ 1</v>
          </cell>
        </row>
        <row r="855">
          <cell r="D855" t="str">
            <v>Túi trắng có quai , có đáy Cỡ nhỏ</v>
          </cell>
        </row>
        <row r="856">
          <cell r="D856" t="str">
            <v>Phong bì nâu A4 có dây</v>
          </cell>
        </row>
        <row r="866">
          <cell r="D866" t="str">
            <v>Sổ card điện thoại</v>
          </cell>
        </row>
        <row r="867">
          <cell r="D867" t="str">
            <v>Sổ đựng 96 card</v>
          </cell>
        </row>
        <row r="868">
          <cell r="D868" t="str">
            <v>Sổ đựng 120 card</v>
          </cell>
        </row>
        <row r="869">
          <cell r="D869" t="str">
            <v>Sổ đựng 160 card</v>
          </cell>
        </row>
        <row r="870">
          <cell r="D870" t="str">
            <v>Sổ đựng 240 card</v>
          </cell>
        </row>
        <row r="871">
          <cell r="D871" t="str">
            <v>Sổ đựng 300 card</v>
          </cell>
        </row>
        <row r="872">
          <cell r="D872" t="str">
            <v>Sổ đựng 320 card</v>
          </cell>
        </row>
        <row r="873">
          <cell r="D873" t="str">
            <v>Sổ đựng 360 card</v>
          </cell>
        </row>
        <row r="874">
          <cell r="D874" t="str">
            <v>Sổ đựng 400 card</v>
          </cell>
        </row>
        <row r="875">
          <cell r="D875" t="str">
            <v>Sổ đựng 600 card</v>
          </cell>
        </row>
        <row r="876">
          <cell r="D876" t="str">
            <v>Sổ điện thoại AD-11</v>
          </cell>
        </row>
        <row r="877">
          <cell r="D877" t="str">
            <v>Sổ điện thoại AD-6</v>
          </cell>
        </row>
        <row r="878">
          <cell r="D878" t="str">
            <v>Hộp đựng Card KW 4600</v>
          </cell>
        </row>
        <row r="887">
          <cell r="D887" t="str">
            <v>Vở học sinh, Giấy kiểm tra, Giấy thếp</v>
          </cell>
        </row>
        <row r="888">
          <cell r="D888" t="str">
            <v>Giấy thếp Hải Tiến</v>
          </cell>
        </row>
        <row r="889">
          <cell r="D889" t="str">
            <v>Vở Reward 200 Trang</v>
          </cell>
        </row>
        <row r="890">
          <cell r="D890" t="str">
            <v>Vở Standard 72 trang</v>
          </cell>
        </row>
        <row r="891">
          <cell r="D891" t="str">
            <v>Vở Victory 120 trang</v>
          </cell>
        </row>
        <row r="892">
          <cell r="D892" t="str">
            <v>Vở Campus 60</v>
          </cell>
        </row>
        <row r="893">
          <cell r="D893" t="str">
            <v>Vở Campus 80</v>
          </cell>
        </row>
        <row r="894">
          <cell r="D894" t="str">
            <v>Vở Campus 120</v>
          </cell>
        </row>
        <row r="895">
          <cell r="D895" t="str">
            <v>Vở Hải Tiến 72</v>
          </cell>
        </row>
        <row r="896">
          <cell r="D896" t="str">
            <v>Sổ nhật ký Hải Tiến</v>
          </cell>
        </row>
        <row r="897">
          <cell r="D897" t="str">
            <v>Vở oli khổ to 48 trang baby</v>
          </cell>
        </row>
        <row r="898">
          <cell r="D898" t="str">
            <v>Vở kẻ ngang 72 trang quê hương</v>
          </cell>
        </row>
        <row r="908">
          <cell r="D908" t="str">
            <v>Sổ bìa da</v>
          </cell>
        </row>
        <row r="909">
          <cell r="D909" t="str">
            <v>Sổ bìa da B3 ( kích thước 100x150, 160 trang)</v>
          </cell>
        </row>
        <row r="910">
          <cell r="D910" t="str">
            <v>Sổ bìa da B5 ( kích thước 130x195, 160 trang)</v>
          </cell>
        </row>
        <row r="911">
          <cell r="D911" t="str">
            <v>Sổ bìa da B6 ( kích thước 150x210, 160 trang)</v>
          </cell>
        </row>
        <row r="912">
          <cell r="D912" t="str">
            <v>Sổ bìa da B7 ( kích thước 155x215, 160 trang)</v>
          </cell>
        </row>
        <row r="913">
          <cell r="D913" t="str">
            <v>Sổ bìa da B8 ( kích thước 170x240, 160 trang)</v>
          </cell>
        </row>
        <row r="914">
          <cell r="D914" t="str">
            <v>Sổ bìa da B9 ( kích thước 190x265, 160 trang)</v>
          </cell>
        </row>
        <row r="915">
          <cell r="D915" t="str">
            <v>Sổ bìa da  A4</v>
          </cell>
        </row>
        <row r="916">
          <cell r="D916" t="str">
            <v>Sổ bìa da  Diary 3</v>
          </cell>
        </row>
        <row r="917">
          <cell r="D917" t="str">
            <v>Sổ bìa da  Diary 9</v>
          </cell>
        </row>
        <row r="918">
          <cell r="D918" t="str">
            <v>Sổ bìa da  Diary TL10</v>
          </cell>
        </row>
        <row r="919">
          <cell r="D919" t="str">
            <v>Sổ bìa da Open Hand Book</v>
          </cell>
        </row>
        <row r="920">
          <cell r="D920" t="str">
            <v>Sổ bìa da cao cấp Bảo Kiên A4</v>
          </cell>
        </row>
        <row r="921">
          <cell r="D921" t="str">
            <v>Sổ bìa da Ricoh dày A4</v>
          </cell>
        </row>
        <row r="922">
          <cell r="D922" t="str">
            <v>Sổ da 337 có bút cài</v>
          </cell>
        </row>
        <row r="923">
          <cell r="D923" t="str">
            <v>Sổ kế toán tổng hợp dày (320Tr)</v>
          </cell>
        </row>
        <row r="924">
          <cell r="D924" t="str">
            <v>Sổ kế toán tổng hợp mỏng (200Tr)</v>
          </cell>
        </row>
        <row r="925">
          <cell r="D925" t="str">
            <v>Sổ kẻ caro nhỏ</v>
          </cell>
        </row>
        <row r="926">
          <cell r="D926" t="str">
            <v>Sổ bìa da nâu có khuy bấm</v>
          </cell>
        </row>
        <row r="927">
          <cell r="D927" t="str">
            <v>Sổ ghi chép tổng hợp dày</v>
          </cell>
        </row>
        <row r="928">
          <cell r="D928" t="str">
            <v>Sổ ghi chép tổng hợp mỏng</v>
          </cell>
        </row>
        <row r="929">
          <cell r="D929" t="str">
            <v>Sổ ghi chép A5 các loại</v>
          </cell>
        </row>
        <row r="930">
          <cell r="D930" t="str">
            <v>Sổ A5 bìa bóng 3 tập thừa đầu</v>
          </cell>
        </row>
        <row r="931">
          <cell r="D931" t="str">
            <v>Sổ A5 bìa bóng 3 tập bằng đầu</v>
          </cell>
        </row>
        <row r="932">
          <cell r="D932" t="str">
            <v>Sổ A5 bìa bóng 5 tập thừa đầu</v>
          </cell>
        </row>
        <row r="933">
          <cell r="D933" t="str">
            <v>Sổ A5 bìa bóng 5 tập bằng đầu</v>
          </cell>
        </row>
        <row r="934">
          <cell r="D934" t="str">
            <v>Sổ A5 bìa hoa gáy vải 3 tập bằng đầu</v>
          </cell>
        </row>
        <row r="935">
          <cell r="D935" t="str">
            <v>Sổ B5 200 trang nilon</v>
          </cell>
        </row>
        <row r="936">
          <cell r="D936" t="str">
            <v>Sổ A5 200 trang bìa cứng</v>
          </cell>
        </row>
        <row r="937">
          <cell r="D937" t="str">
            <v>Sổ A5 bìa hoa gáy vải 5 tập thừa đầu</v>
          </cell>
        </row>
        <row r="938">
          <cell r="D938" t="str">
            <v>Sổ lò xo Easyfil-A5</v>
          </cell>
        </row>
        <row r="939">
          <cell r="D939" t="str">
            <v>Sổ lò xo Easyfil-A4</v>
          </cell>
        </row>
        <row r="940">
          <cell r="D940" t="str">
            <v>Sổ lò xo Bảo Kiên A4</v>
          </cell>
        </row>
        <row r="941">
          <cell r="D941" t="str">
            <v>Sổ lò xo Bảo Kiên A6</v>
          </cell>
        </row>
        <row r="942">
          <cell r="D942" t="str">
            <v>Sổ lò xo Bảo Kiên A7</v>
          </cell>
        </row>
        <row r="943">
          <cell r="D943" t="str">
            <v>Sổ lò xo Bảo Kiên B5</v>
          </cell>
        </row>
        <row r="944">
          <cell r="D944" t="str">
            <v>Sổ lò xo bìa nhựa A5 cao cấp TMG8562</v>
          </cell>
        </row>
        <row r="945">
          <cell r="D945" t="str">
            <v>Sổ xé A5 Bảo Kiên</v>
          </cell>
        </row>
        <row r="946">
          <cell r="D946" t="str">
            <v xml:space="preserve">Sổ xé A4 Bảo Kiên </v>
          </cell>
        </row>
        <row r="950">
          <cell r="D950" t="str">
            <v>Sổ ghi chép A4 các loại</v>
          </cell>
        </row>
        <row r="951">
          <cell r="D951" t="str">
            <v>Sổ A4 bìa bóng 3 tập thừa đầu</v>
          </cell>
        </row>
        <row r="952">
          <cell r="D952" t="str">
            <v>Sổ A4 bìa bóng 3 tập bằng đầu</v>
          </cell>
        </row>
        <row r="953">
          <cell r="D953" t="str">
            <v>Sổ A4 bìa hoa 3 tập bằng đầu</v>
          </cell>
        </row>
        <row r="954">
          <cell r="D954" t="str">
            <v>Sổ A4 bìa hoa 3 tập thừa đầu</v>
          </cell>
        </row>
        <row r="955">
          <cell r="D955" t="str">
            <v>Sổ A4 bìa bóng 5 tập thừa đầu AK</v>
          </cell>
        </row>
        <row r="956">
          <cell r="D956" t="str">
            <v>Sổ A4 bìa bóng 5 tập bằng đầu AK</v>
          </cell>
        </row>
        <row r="957">
          <cell r="D957" t="str">
            <v>Sổ A4 bìa bóng 5 tập thừa đầu MC</v>
          </cell>
        </row>
        <row r="958">
          <cell r="D958" t="str">
            <v>Sổ A4 bìa bóng 5 tập bằng đầu MC</v>
          </cell>
        </row>
        <row r="959">
          <cell r="D959" t="str">
            <v>Sổ A4 bìa hoa 5 tập bằng đầu</v>
          </cell>
        </row>
        <row r="960">
          <cell r="D960" t="str">
            <v>Sổ A4 bìa hoa 5 tập thừa đầu</v>
          </cell>
        </row>
        <row r="961">
          <cell r="D961" t="str">
            <v>Sổ A4 mở ngang 5 tập bằng đầu MC</v>
          </cell>
        </row>
        <row r="962">
          <cell r="D962" t="str">
            <v>Sổ A4 mở ngang 5 tập thừa đầu MC</v>
          </cell>
        </row>
        <row r="963">
          <cell r="D963" t="str">
            <v>Sổ A3 mở ngang 5 tập thừa đầu MC</v>
          </cell>
        </row>
        <row r="964">
          <cell r="D964" t="str">
            <v>Sổ bìa da A2K9 MC</v>
          </cell>
        </row>
        <row r="965">
          <cell r="D965" t="str">
            <v>Sổ A3 mở ngang 5 tập thừa đầu An Khánh</v>
          </cell>
        </row>
        <row r="966">
          <cell r="D966" t="str">
            <v>Sổ  A3 mở ngang 5 tập bằng đầu An Khánh</v>
          </cell>
        </row>
        <row r="971">
          <cell r="D971" t="str">
            <v>Sổ sách kế toán 1</v>
          </cell>
        </row>
        <row r="972">
          <cell r="D972" t="str">
            <v>Phiếu thu</v>
          </cell>
        </row>
        <row r="973">
          <cell r="D973" t="str">
            <v>Phiếu chi</v>
          </cell>
        </row>
        <row r="974">
          <cell r="D974" t="str">
            <v>Phiếu xuất kho to</v>
          </cell>
        </row>
        <row r="975">
          <cell r="D975" t="str">
            <v>Phiếu nhập kho to</v>
          </cell>
        </row>
        <row r="976">
          <cell r="D976" t="str">
            <v>Phiếu xuất kho nhỏ</v>
          </cell>
        </row>
        <row r="977">
          <cell r="D977" t="str">
            <v>Phiếu nhập kho nhỏ</v>
          </cell>
        </row>
        <row r="978">
          <cell r="D978" t="str">
            <v>Giấy giới thiệu</v>
          </cell>
        </row>
        <row r="979">
          <cell r="D979" t="str">
            <v>Hoá đơn bán lẻ nhỏ</v>
          </cell>
        </row>
        <row r="980">
          <cell r="D980" t="str">
            <v>Hoá đơn kiêm phiếu xuất kho</v>
          </cell>
        </row>
        <row r="981">
          <cell r="D981" t="str">
            <v>Sổ công văn đi</v>
          </cell>
        </row>
        <row r="982">
          <cell r="D982" t="str">
            <v>Sổ công văn đến</v>
          </cell>
        </row>
        <row r="983">
          <cell r="D983" t="str">
            <v>Sổ chi tiết thanh toán</v>
          </cell>
        </row>
        <row r="984">
          <cell r="D984" t="str">
            <v>Sổ kho vật liệu sản phẩm hàng hoá</v>
          </cell>
        </row>
        <row r="985">
          <cell r="D985" t="str">
            <v>Sổ doanh thu bán hàng</v>
          </cell>
        </row>
        <row r="986">
          <cell r="D986" t="str">
            <v>Sổ chi tiết bán hàng</v>
          </cell>
        </row>
        <row r="987">
          <cell r="D987" t="str">
            <v>Sổ kế toán chi tiết</v>
          </cell>
        </row>
        <row r="988">
          <cell r="D988" t="str">
            <v>Sổ chi tiết các tài khoản</v>
          </cell>
        </row>
        <row r="989">
          <cell r="D989" t="str">
            <v>Sổ tiền gửi ngân hàng</v>
          </cell>
        </row>
        <row r="990">
          <cell r="D990" t="str">
            <v>Sổ chi tiết tiền vay</v>
          </cell>
        </row>
        <row r="991">
          <cell r="D991" t="str">
            <v>Sổ theo dõi GTGT</v>
          </cell>
        </row>
        <row r="992">
          <cell r="D992" t="str">
            <v>Sổ sách kế toán 2</v>
          </cell>
        </row>
        <row r="993">
          <cell r="D993" t="str">
            <v>Sổ quỹ tiền mặt</v>
          </cell>
        </row>
        <row r="994">
          <cell r="D994" t="str">
            <v>Sổ chi tiết vật liệu, sản phẩm, hàng hoá</v>
          </cell>
        </row>
        <row r="995">
          <cell r="D995" t="str">
            <v>Sổ tài sản cố định</v>
          </cell>
        </row>
        <row r="996">
          <cell r="D996" t="str">
            <v>Sổ chi phí sản xuất kinh doanh</v>
          </cell>
        </row>
        <row r="997">
          <cell r="D997" t="str">
            <v>Sổ công nợ</v>
          </cell>
        </row>
        <row r="998">
          <cell r="D998" t="str">
            <v>Sổ lương doanh nghiệp</v>
          </cell>
        </row>
        <row r="999">
          <cell r="D999" t="str">
            <v>Sổ nhật ký chung</v>
          </cell>
        </row>
        <row r="1000">
          <cell r="D1000" t="str">
            <v>Sổ quỹ tiền mặt dày</v>
          </cell>
        </row>
        <row r="1001">
          <cell r="D1001" t="str">
            <v>Sổ đăng ký chứng từ ghi sổ</v>
          </cell>
        </row>
        <row r="1002">
          <cell r="D1002" t="str">
            <v>Sổ cái tài khoản</v>
          </cell>
        </row>
        <row r="1003">
          <cell r="D1003" t="str">
            <v>Nhật ký sổ cái</v>
          </cell>
        </row>
        <row r="1004">
          <cell r="D1004" t="str">
            <v>Báo cáo tài chính (bộ 5 tập)</v>
          </cell>
        </row>
        <row r="1005">
          <cell r="D1005" t="str">
            <v>Thẻ kho</v>
          </cell>
        </row>
        <row r="1006">
          <cell r="D1006" t="str">
            <v>Thẻ kho dày</v>
          </cell>
        </row>
        <row r="1007">
          <cell r="D1007" t="str">
            <v>Tờ kê chi tiết vật liệu công cụ, dụng cụ</v>
          </cell>
        </row>
        <row r="1008">
          <cell r="D1008" t="str">
            <v>Chứng từ ghi sổ</v>
          </cell>
        </row>
        <row r="1009">
          <cell r="D1009" t="str">
            <v>Bảng thanh toán tiền lương</v>
          </cell>
        </row>
        <row r="1010">
          <cell r="D1010" t="str">
            <v>Bảng chấm công</v>
          </cell>
        </row>
        <row r="1011">
          <cell r="D1011" t="str">
            <v>Hợp đồng lao động Tiếng Việt</v>
          </cell>
        </row>
        <row r="1012">
          <cell r="D1012" t="str">
            <v>Hợp đồng lao động Tiếng Anh</v>
          </cell>
        </row>
        <row r="1013">
          <cell r="D1013" t="str">
            <v>Vòng xoắn đóng gáy, lò xo</v>
          </cell>
        </row>
        <row r="1014">
          <cell r="D1014" t="str">
            <v>Vòng xoắn đóng gáy phi 6</v>
          </cell>
        </row>
        <row r="1015">
          <cell r="D1015" t="str">
            <v>Vòng xoắn đóng gáy phi 8</v>
          </cell>
        </row>
        <row r="1016">
          <cell r="D1016" t="str">
            <v>Vòng xoắn đóng gáy phi 10</v>
          </cell>
        </row>
        <row r="1017">
          <cell r="D1017" t="str">
            <v>Vòng xoắn đóng gáy phi 12</v>
          </cell>
        </row>
        <row r="1018">
          <cell r="D1018" t="str">
            <v>Vòng xoắn đóng gáy phi 14</v>
          </cell>
        </row>
        <row r="1019">
          <cell r="D1019" t="str">
            <v>Vòng xoắn đóng gáy phi 16</v>
          </cell>
        </row>
        <row r="1020">
          <cell r="D1020" t="str">
            <v>Vòng xoắn đóng gáy phi 18</v>
          </cell>
        </row>
        <row r="1021">
          <cell r="D1021" t="str">
            <v>Vòng xoắn đóng gáy phi 20</v>
          </cell>
        </row>
        <row r="1022">
          <cell r="D1022" t="str">
            <v>Vòng xoắn đóng gáy phi 22</v>
          </cell>
        </row>
        <row r="1023">
          <cell r="D1023" t="str">
            <v>Vòng xoắn đóng gáy phi 25</v>
          </cell>
        </row>
        <row r="1024">
          <cell r="D1024" t="str">
            <v>Vòng xoắn đóng gáy phi 28</v>
          </cell>
        </row>
        <row r="1025">
          <cell r="D1025" t="str">
            <v>Vòng xoắn đóng gáy phi 32</v>
          </cell>
        </row>
        <row r="1026">
          <cell r="D1026" t="str">
            <v>Vòng xoắn đóng gáy phi 38</v>
          </cell>
        </row>
        <row r="1027">
          <cell r="D1027" t="str">
            <v>Vòng xoắn đóng gáy phi 45</v>
          </cell>
        </row>
        <row r="1028">
          <cell r="D1028" t="str">
            <v>Vòng xoắn đóng gáy phi 51</v>
          </cell>
        </row>
        <row r="1029">
          <cell r="D1029" t="str">
            <v>Lò so sắt kép 6.4 (trắng)</v>
          </cell>
        </row>
        <row r="1030">
          <cell r="D1030" t="str">
            <v>Lò so sắt kép 6.4 (đen)</v>
          </cell>
        </row>
        <row r="1031">
          <cell r="D1031" t="str">
            <v>Lò so sắt kép 7.9 (đen)</v>
          </cell>
        </row>
        <row r="1032">
          <cell r="D1032" t="str">
            <v>Lò so sắt kép 11.1 (đen)</v>
          </cell>
        </row>
        <row r="1033">
          <cell r="D1033" t="str">
            <v>Lò so sắt kép 7.9 (Trắng)</v>
          </cell>
        </row>
        <row r="1034">
          <cell r="D1034" t="str">
            <v>Đĩa vi tính, đựng đĩa</v>
          </cell>
        </row>
        <row r="1035">
          <cell r="D1035" t="str">
            <v>Đĩa CD cọc Maxell (loai 1)</v>
          </cell>
        </row>
        <row r="1036">
          <cell r="D1036" t="str">
            <v xml:space="preserve">Đĩa CD cọc Maxell </v>
          </cell>
        </row>
        <row r="1037">
          <cell r="D1037" t="str">
            <v>Đĩa CD Maxell 52X - 700 MB</v>
          </cell>
        </row>
        <row r="1038">
          <cell r="D1038" t="str">
            <v>Đĩa CD cọc Sigma</v>
          </cell>
        </row>
        <row r="1039">
          <cell r="D1039" t="str">
            <v>Đĩa DVD cọc Sigma</v>
          </cell>
        </row>
        <row r="1040">
          <cell r="D1040" t="str">
            <v>Đĩa DVD cọc Maxell</v>
          </cell>
        </row>
        <row r="1041">
          <cell r="D1041" t="str">
            <v>Đĩa DVD Maxell</v>
          </cell>
        </row>
        <row r="1042">
          <cell r="D1042" t="str">
            <v>Đĩa DVD R-WRITE</v>
          </cell>
        </row>
        <row r="1043">
          <cell r="D1043" t="str">
            <v>Tem đĩa trắng</v>
          </cell>
        </row>
        <row r="1044">
          <cell r="D1044" t="str">
            <v>Tem đĩa hoa</v>
          </cell>
        </row>
        <row r="1045">
          <cell r="D1045" t="str">
            <v>Vỏ đĩa CD nhựa mềm</v>
          </cell>
        </row>
        <row r="1046">
          <cell r="D1046" t="str">
            <v>Vỏ đĩa CD nhựa cứng</v>
          </cell>
        </row>
        <row r="1055">
          <cell r="D1055" t="str">
            <v>Hàng tạp phẩm</v>
          </cell>
        </row>
        <row r="1056">
          <cell r="D1056" t="str">
            <v>Nước lau kính Gilf</v>
          </cell>
        </row>
        <row r="1057">
          <cell r="D1057" t="str">
            <v>Giấy vệ sinh Anan</v>
          </cell>
        </row>
        <row r="1058">
          <cell r="D1058" t="str">
            <v>Giấy vệ sinh Water silk</v>
          </cell>
        </row>
        <row r="1059">
          <cell r="D1059" t="str">
            <v>Giấy vệ sinh Tiến Thành</v>
          </cell>
        </row>
        <row r="1060">
          <cell r="D1060" t="str">
            <v>Chun vòng</v>
          </cell>
        </row>
        <row r="1061">
          <cell r="D1061" t="str">
            <v>Móc dính tường</v>
          </cell>
        </row>
        <row r="1062">
          <cell r="D1062" t="str">
            <v>Khăn lau trắng nhỏ</v>
          </cell>
        </row>
        <row r="1063">
          <cell r="D1063" t="str">
            <v>Túi nilon 5Kg</v>
          </cell>
        </row>
        <row r="1064">
          <cell r="D1064" t="str">
            <v>Túi nilon 20Kg</v>
          </cell>
        </row>
        <row r="1065">
          <cell r="D1065" t="str">
            <v>Bảng Phooc trắng 80 x 1,2m</v>
          </cell>
        </row>
        <row r="1066">
          <cell r="D1066" t="str">
            <v>Công lắp đặt</v>
          </cell>
        </row>
        <row r="1067">
          <cell r="D1067" t="str">
            <v>Nước tẩy Con Vịt</v>
          </cell>
        </row>
        <row r="1068">
          <cell r="D1068" t="str">
            <v>Xà bông Lifebuoy</v>
          </cell>
        </row>
        <row r="1069">
          <cell r="D1069" t="str">
            <v>Khăn lau loại to</v>
          </cell>
        </row>
        <row r="1070">
          <cell r="D1070" t="str">
            <v>Thảm lau chân</v>
          </cell>
        </row>
        <row r="1071">
          <cell r="D1071" t="str">
            <v>Băng dính 5F (đục)</v>
          </cell>
        </row>
        <row r="1072">
          <cell r="D1072" t="str">
            <v>Túi nilon đựng hàng 3kg</v>
          </cell>
        </row>
        <row r="1073">
          <cell r="D1073" t="str">
            <v>Còng file 5F</v>
          </cell>
        </row>
        <row r="1074">
          <cell r="D1074" t="str">
            <v>Còng File 7F</v>
          </cell>
        </row>
        <row r="1075">
          <cell r="D1075" t="str">
            <v>Ổ cắm LIOA 5m</v>
          </cell>
        </row>
        <row r="1076">
          <cell r="D1076" t="str">
            <v>Hàng thêm thẻ</v>
          </cell>
        </row>
        <row r="1077">
          <cell r="D1077" t="str">
            <v xml:space="preserve">Quai thẻ tên cài </v>
          </cell>
        </row>
        <row r="1078">
          <cell r="D1078" t="str">
            <v>Thẻ dọc trong 9.5x12.5</v>
          </cell>
        </row>
        <row r="1079">
          <cell r="D1079" t="str">
            <v>Thẻ ngang trong khóa kéo 9x5.5</v>
          </cell>
        </row>
        <row r="1080">
          <cell r="D1080" t="str">
            <v>Sọt rác nhựa loại nhỏ</v>
          </cell>
        </row>
        <row r="1081">
          <cell r="D1081" t="str">
            <v>Bảng chức danh 22 x 12</v>
          </cell>
        </row>
        <row r="1097">
          <cell r="D1097" t="str">
            <v>Hàng thêm File</v>
          </cell>
        </row>
        <row r="1098">
          <cell r="D1098" t="str">
            <v>File lệch A màu hồng</v>
          </cell>
        </row>
        <row r="1099">
          <cell r="D1099" t="str">
            <v>File lệch A màu vàng</v>
          </cell>
        </row>
        <row r="1100">
          <cell r="D1100" t="str">
            <v>File lệch A màu cam</v>
          </cell>
        </row>
        <row r="1101">
          <cell r="D1101" t="str">
            <v>File lệch A màu xanh lá</v>
          </cell>
        </row>
        <row r="1102">
          <cell r="D1102" t="str">
            <v>File lệch A màu nghệ</v>
          </cell>
        </row>
        <row r="1103">
          <cell r="D1103" t="str">
            <v>Sáp thơm hoa hồng</v>
          </cell>
        </row>
        <row r="1104">
          <cell r="D1104" t="str">
            <v>Băng phiến</v>
          </cell>
        </row>
        <row r="1105">
          <cell r="D1105" t="str">
            <v>Xà phòng giặt OMO 1.5kg</v>
          </cell>
        </row>
        <row r="1106">
          <cell r="D1106" t="str">
            <v>Dao gọt hoa quả KIWI</v>
          </cell>
        </row>
        <row r="1118">
          <cell r="D1118" t="str">
            <v>Hàng thêm máy tính</v>
          </cell>
        </row>
        <row r="1119">
          <cell r="D1119" t="str">
            <v>Máy tính VN696</v>
          </cell>
        </row>
        <row r="1120">
          <cell r="D1120" t="str">
            <v>Máy tính VN879A</v>
          </cell>
        </row>
        <row r="1121">
          <cell r="D1121" t="str">
            <v>Máy tính VN313T</v>
          </cell>
        </row>
        <row r="1122">
          <cell r="D1122" t="str">
            <v>Máy tính VN305A</v>
          </cell>
        </row>
        <row r="1123">
          <cell r="D1123" t="str">
            <v>Máy tính VN500RS</v>
          </cell>
        </row>
        <row r="1124">
          <cell r="D1124" t="str">
            <v>Máy tính VN570RS</v>
          </cell>
        </row>
        <row r="1125">
          <cell r="D1125" t="str">
            <v>Máy tính VN122L</v>
          </cell>
        </row>
        <row r="1126">
          <cell r="D1126" t="str">
            <v>Máy tính VN879</v>
          </cell>
        </row>
        <row r="1127">
          <cell r="D1127" t="str">
            <v>Máy tính VN305</v>
          </cell>
        </row>
        <row r="1128">
          <cell r="D1128" t="str">
            <v>Dép Sport BC 388</v>
          </cell>
        </row>
        <row r="1129">
          <cell r="D1129" t="str">
            <v>Dép Sport 838</v>
          </cell>
        </row>
        <row r="1130">
          <cell r="D1130" t="str">
            <v>Máy tính VN 213</v>
          </cell>
        </row>
        <row r="1131">
          <cell r="D1131" t="str">
            <v>Bảng phooc 1.2m x 2.4m</v>
          </cell>
        </row>
        <row r="1132">
          <cell r="D1132" t="str">
            <v>Bảng phooc trắng 60 x 1m</v>
          </cell>
        </row>
        <row r="1133">
          <cell r="D1133" t="str">
            <v>Mực nạp cho máy IX 4000</v>
          </cell>
        </row>
        <row r="1134">
          <cell r="D1134" t="str">
            <v>In Card</v>
          </cell>
        </row>
        <row r="1135">
          <cell r="D1135" t="str">
            <v>Mực in Ricoh Maxstar</v>
          </cell>
        </row>
        <row r="1136">
          <cell r="D1136" t="str">
            <v>Bút chỉ bản đồ</v>
          </cell>
        </row>
        <row r="1137">
          <cell r="D1137" t="str">
            <v>Đồng hồ để bàn</v>
          </cell>
        </row>
        <row r="1139">
          <cell r="D1139" t="str">
            <v>Hàng tin học</v>
          </cell>
        </row>
        <row r="1140">
          <cell r="D1140" t="str">
            <v>Mực nạp XPPro 140g</v>
          </cell>
        </row>
        <row r="1141">
          <cell r="D1141" t="str">
            <v>Mực nạp SamSung</v>
          </cell>
        </row>
        <row r="1142">
          <cell r="D1142" t="str">
            <v>Trống mực 12A</v>
          </cell>
        </row>
        <row r="1143">
          <cell r="D1143" t="str">
            <v>Trống mực 15A</v>
          </cell>
        </row>
        <row r="1144">
          <cell r="D1144" t="str">
            <v>Trống mực 35A</v>
          </cell>
        </row>
        <row r="1145">
          <cell r="D1145" t="str">
            <v>Trống mực 49A</v>
          </cell>
        </row>
        <row r="1146">
          <cell r="D1146" t="str">
            <v>Trống mực 53A</v>
          </cell>
        </row>
        <row r="1147">
          <cell r="D1147" t="str">
            <v>USB 2G</v>
          </cell>
        </row>
        <row r="1148">
          <cell r="D1148" t="str">
            <v>USB 4G</v>
          </cell>
        </row>
        <row r="1149">
          <cell r="D1149" t="str">
            <v>Cartricdge 12A</v>
          </cell>
        </row>
        <row r="1150">
          <cell r="D1150" t="str">
            <v>Chuột MITSUBISI</v>
          </cell>
        </row>
        <row r="1151">
          <cell r="D1151" t="str">
            <v>Chuột Genius</v>
          </cell>
        </row>
        <row r="1152">
          <cell r="D1152" t="str">
            <v>Bộ dụng cụ vệ sinh máy tính</v>
          </cell>
        </row>
        <row r="1153">
          <cell r="D1153" t="str">
            <v>Ổ cứng Samsung 160 GB - 7200 rpm - 8M</v>
          </cell>
        </row>
        <row r="1154">
          <cell r="D1154" t="str">
            <v>Trống mực 12A</v>
          </cell>
        </row>
        <row r="1155">
          <cell r="D1155" t="str">
            <v>Bàn phím máy tính</v>
          </cell>
        </row>
        <row r="1156">
          <cell r="D1156" t="str">
            <v>Gạt mực Canon LBP 3050</v>
          </cell>
        </row>
        <row r="1157">
          <cell r="D1157" t="str">
            <v>Lô ép 1200/3200</v>
          </cell>
        </row>
        <row r="1158">
          <cell r="D1158" t="str">
            <v>Lụa sấy 1200/3200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 t="str">
            <v>Giấy photo, giấy in nội</v>
          </cell>
          <cell r="B1" t="str">
            <v>Giấy photo, giấy in ngoại</v>
          </cell>
          <cell r="C1" t="str">
            <v>Giấy photo, giấy in màu, giấy in ảnh</v>
          </cell>
          <cell r="D1" t="str">
            <v>Giấy đục lỗ(Giấy in liên tục)</v>
          </cell>
          <cell r="E1" t="str">
            <v>Giấy A0 - giấy can- giấy Ép plastic</v>
          </cell>
          <cell r="F1" t="str">
            <v xml:space="preserve">Bìa màu giấy </v>
          </cell>
          <cell r="G1" t="str">
            <v>Bìa mica, mica sần, bìa Dulex, bìa rút gáy</v>
          </cell>
          <cell r="H1" t="str">
            <v>Giấy giao việc, giấy nhắn</v>
          </cell>
          <cell r="I1" t="str">
            <v>Giấy dính, nhãn</v>
          </cell>
          <cell r="J1" t="str">
            <v>Giấy than</v>
          </cell>
          <cell r="K1" t="str">
            <v>Bút bi, ruột bút Thiên Long</v>
          </cell>
          <cell r="L1" t="str">
            <v>Bút bi nước</v>
          </cell>
          <cell r="M1" t="str">
            <v xml:space="preserve">Bút bi, bút cắm bàn </v>
          </cell>
          <cell r="N1" t="str">
            <v>Bút nước UNI, bút dạ ký, bút dạ kim</v>
          </cell>
          <cell r="O1" t="str">
            <v>Bút dạ bảng, bút dạ dầu, bút dạ kính</v>
          </cell>
          <cell r="P1" t="str">
            <v>Bút nhớ dòng, bút phủ, băng xóa</v>
          </cell>
          <cell r="Q1" t="str">
            <v>Giá cắm bút, khay mica</v>
          </cell>
          <cell r="R1" t="str">
            <v>Bút chì, ruột chì</v>
          </cell>
          <cell r="S1" t="str">
            <v>Gọt bút chì, tẩy chì</v>
          </cell>
          <cell r="T1" t="str">
            <v>Chia File</v>
          </cell>
          <cell r="U1" t="str">
            <v>File còng bật Trà my, Kokuyo, Kingjim</v>
          </cell>
          <cell r="V1" t="str">
            <v>Các loại File khác</v>
          </cell>
          <cell r="W1" t="str">
            <v>Trình ký, File lá, cặp bìa da</v>
          </cell>
          <cell r="X1" t="str">
            <v>Túi đựng hồ sơ</v>
          </cell>
          <cell r="Y1" t="str">
            <v>File nan, hộp tài liệu</v>
          </cell>
          <cell r="Z1" t="str">
            <v>Các loại cặp văn phòng</v>
          </cell>
          <cell r="AA1" t="str">
            <v>Băng dính</v>
          </cell>
          <cell r="AB1" t="str">
            <v>Cắt băng dính</v>
          </cell>
          <cell r="AC1" t="str">
            <v>Giấy Fax, Film Fax</v>
          </cell>
          <cell r="AD1" t="str">
            <v>Hồ dán, keo dán</v>
          </cell>
          <cell r="AE1" t="str">
            <v>Dập ghim, nhổ gim</v>
          </cell>
          <cell r="AF1" t="str">
            <v>Ghim dập, ghim cài</v>
          </cell>
          <cell r="AG1" t="str">
            <v>Đột lỗ, dập số</v>
          </cell>
          <cell r="AH1" t="str">
            <v>Kéo, dao, lưỡi dao</v>
          </cell>
          <cell r="AI1" t="str">
            <v>Kẹp Clip, Que cài</v>
          </cell>
          <cell r="AJ1" t="str">
            <v>Bảng chức danh tên cài, thẻ, dây thẻ</v>
          </cell>
          <cell r="AK1" t="str">
            <v>Thước kẻ, đồ dùng giáo viên,học sinh</v>
          </cell>
          <cell r="AL1" t="str">
            <v>Máy tính</v>
          </cell>
          <cell r="AM1" t="str">
            <v>Pin</v>
          </cell>
          <cell r="AN1" t="str">
            <v>Dấu, mực dấu , mút đếm tiền,nước lau, GVS</v>
          </cell>
          <cell r="AO1" t="str">
            <v>Phong bì</v>
          </cell>
          <cell r="AP1" t="str">
            <v>Sổ card điện thoại</v>
          </cell>
          <cell r="AQ1" t="str">
            <v>Vở học sinh, Giấy kiểm tra, Giấy thếp</v>
          </cell>
          <cell r="AR1" t="str">
            <v>Sổ bìa da</v>
          </cell>
          <cell r="AS1" t="str">
            <v>Sổ ghi chép A5 các loại</v>
          </cell>
          <cell r="AT1" t="str">
            <v>Sổ ghi chép A4 các loại</v>
          </cell>
          <cell r="AU1" t="str">
            <v>Sổ sách kế toán 1</v>
          </cell>
          <cell r="AV1" t="str">
            <v>Sổ sách kế toán 2</v>
          </cell>
          <cell r="AW1" t="str">
            <v>Vòng xoắn đóng gáy, lò xo</v>
          </cell>
          <cell r="AX1" t="str">
            <v>Đĩa vi tính, đựng đĩa</v>
          </cell>
          <cell r="AY1" t="str">
            <v>Hàng tạp phẩm</v>
          </cell>
          <cell r="AZ1" t="str">
            <v>Hàng thêm thẻ</v>
          </cell>
          <cell r="BA1" t="str">
            <v>Hàng thêm File</v>
          </cell>
          <cell r="BB1" t="str">
            <v>Hàng thêm máy tính</v>
          </cell>
          <cell r="BC1" t="str">
            <v>Hàng tin học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pane ySplit="5" topLeftCell="A6" activePane="bottomLeft" state="frozen"/>
      <selection pane="bottomLeft" activeCell="F13" sqref="F13"/>
    </sheetView>
  </sheetViews>
  <sheetFormatPr defaultRowHeight="14.5" x14ac:dyDescent="0.35"/>
  <cols>
    <col min="1" max="1" width="13.81640625" customWidth="1"/>
    <col min="2" max="2" width="6.7265625" customWidth="1"/>
    <col min="3" max="3" width="6.1796875" customWidth="1"/>
    <col min="4" max="4" width="32.81640625" customWidth="1"/>
    <col min="5" max="5" width="30.453125" customWidth="1"/>
    <col min="6" max="6" width="48.54296875" customWidth="1"/>
    <col min="7" max="7" width="10" customWidth="1"/>
    <col min="8" max="8" width="12.7265625" customWidth="1"/>
    <col min="9" max="9" width="12.54296875" customWidth="1"/>
    <col min="10" max="10" width="11.26953125" customWidth="1"/>
    <col min="11" max="11" width="8.81640625" customWidth="1"/>
    <col min="12" max="12" width="11.54296875" customWidth="1"/>
    <col min="13" max="13" width="11" customWidth="1"/>
    <col min="14" max="14" width="17.453125" customWidth="1"/>
    <col min="15" max="15" width="27.1796875" customWidth="1"/>
  </cols>
  <sheetData>
    <row r="1" spans="1:15" ht="23.25" customHeight="1" x14ac:dyDescent="0.35">
      <c r="A1" s="32" t="s">
        <v>0</v>
      </c>
      <c r="B1" s="32"/>
      <c r="C1" s="32"/>
      <c r="D1" s="33"/>
      <c r="E1" s="34"/>
      <c r="F1" s="35"/>
      <c r="G1" s="36"/>
      <c r="H1" s="36"/>
      <c r="I1" s="37"/>
      <c r="J1" s="38"/>
      <c r="K1" s="38"/>
      <c r="L1" s="37"/>
      <c r="M1" s="37" t="s">
        <v>1</v>
      </c>
      <c r="N1" s="39"/>
      <c r="O1" s="40"/>
    </row>
    <row r="2" spans="1:15" ht="25" customHeight="1" x14ac:dyDescent="0.35">
      <c r="A2" s="41" t="s">
        <v>2</v>
      </c>
      <c r="B2" s="41"/>
      <c r="C2" s="41"/>
      <c r="D2" s="42"/>
      <c r="E2" s="43"/>
      <c r="F2" s="44"/>
      <c r="G2" s="45"/>
      <c r="H2" s="45"/>
      <c r="I2" s="46"/>
      <c r="J2" s="47"/>
      <c r="K2" s="46"/>
      <c r="L2" s="47"/>
      <c r="M2" s="47"/>
      <c r="N2" s="48"/>
      <c r="O2" s="49"/>
    </row>
    <row r="3" spans="1:15" ht="25" customHeight="1" x14ac:dyDescent="0.35">
      <c r="A3" s="50" t="s">
        <v>3</v>
      </c>
      <c r="B3" s="50" t="s">
        <v>4</v>
      </c>
      <c r="C3" s="50" t="s">
        <v>5</v>
      </c>
      <c r="D3" s="51" t="s">
        <v>6</v>
      </c>
      <c r="E3" s="52" t="s">
        <v>7</v>
      </c>
      <c r="F3" s="53" t="s">
        <v>8</v>
      </c>
      <c r="G3" s="52" t="s">
        <v>9</v>
      </c>
      <c r="H3" s="52" t="s">
        <v>10</v>
      </c>
      <c r="I3" s="54" t="s">
        <v>11</v>
      </c>
      <c r="J3" s="54" t="s">
        <v>12</v>
      </c>
      <c r="K3" s="54" t="s">
        <v>13</v>
      </c>
      <c r="L3" s="54" t="s">
        <v>14</v>
      </c>
      <c r="M3" s="54" t="s">
        <v>15</v>
      </c>
      <c r="N3" s="55" t="s">
        <v>16</v>
      </c>
      <c r="O3" s="56" t="s">
        <v>17</v>
      </c>
    </row>
    <row r="4" spans="1:15" ht="25" customHeight="1" x14ac:dyDescent="0.35">
      <c r="A4" s="57" t="s">
        <v>18</v>
      </c>
      <c r="B4" s="57" t="s">
        <v>19</v>
      </c>
      <c r="C4" s="57" t="s">
        <v>20</v>
      </c>
      <c r="D4" s="58" t="s">
        <v>21</v>
      </c>
      <c r="E4" s="59" t="s">
        <v>22</v>
      </c>
      <c r="F4" s="60" t="s">
        <v>23</v>
      </c>
      <c r="G4" s="60" t="s">
        <v>24</v>
      </c>
      <c r="H4" s="61" t="s">
        <v>25</v>
      </c>
      <c r="I4" s="62" t="s">
        <v>26</v>
      </c>
      <c r="J4" s="62" t="s">
        <v>27</v>
      </c>
      <c r="K4" s="62" t="s">
        <v>28</v>
      </c>
      <c r="L4" s="62" t="s">
        <v>29</v>
      </c>
      <c r="M4" s="62" t="s">
        <v>30</v>
      </c>
      <c r="N4" s="63" t="s">
        <v>31</v>
      </c>
      <c r="O4" s="64" t="s">
        <v>32</v>
      </c>
    </row>
    <row r="5" spans="1:15" ht="25" customHeight="1" x14ac:dyDescent="0.35">
      <c r="A5" s="65"/>
      <c r="B5" s="66">
        <v>1</v>
      </c>
      <c r="C5" s="66">
        <v>1</v>
      </c>
      <c r="D5" s="67"/>
      <c r="E5" s="68"/>
      <c r="F5" s="67"/>
      <c r="G5" s="69"/>
      <c r="H5" s="70"/>
      <c r="I5" s="71"/>
      <c r="J5" s="71"/>
      <c r="K5" s="71"/>
      <c r="L5" s="71"/>
      <c r="M5" s="72"/>
      <c r="N5" s="73"/>
      <c r="O5" s="74"/>
    </row>
  </sheetData>
  <autoFilter ref="A5:O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27"/>
  <sheetViews>
    <sheetView showGridLines="0" view="pageBreakPreview" zoomScale="150" zoomScaleNormal="100" zoomScaleSheetLayoutView="86" workbookViewId="0"/>
  </sheetViews>
  <sheetFormatPr defaultColWidth="9.1796875" defaultRowHeight="14" x14ac:dyDescent="0.35"/>
  <cols>
    <col min="1" max="1" width="34.453125" style="2" customWidth="1"/>
    <col min="2" max="13" width="8.6328125" style="2" customWidth="1"/>
    <col min="14" max="14" width="10.81640625" style="2" customWidth="1"/>
    <col min="15" max="15" width="10.453125" style="2" customWidth="1"/>
    <col min="16" max="16" width="19.1796875" style="2" customWidth="1"/>
    <col min="17" max="17" width="11.81640625" style="2" customWidth="1"/>
    <col min="18" max="18" width="9.1796875" style="2" customWidth="1"/>
    <col min="19" max="16384" width="9.1796875" style="2"/>
  </cols>
  <sheetData>
    <row r="1" spans="1:17" ht="25" customHeight="1" x14ac:dyDescent="0.35">
      <c r="A1" s="1"/>
      <c r="B1" s="1"/>
      <c r="C1" s="1"/>
      <c r="D1" s="1"/>
      <c r="E1" s="1"/>
      <c r="F1" s="20" t="s">
        <v>33</v>
      </c>
      <c r="G1" s="1"/>
      <c r="H1" s="1"/>
      <c r="I1" s="1"/>
      <c r="J1" s="1"/>
      <c r="K1" s="1"/>
      <c r="L1" s="1"/>
      <c r="M1" s="4"/>
      <c r="N1" s="4"/>
    </row>
    <row r="2" spans="1:17" ht="18" customHeight="1" x14ac:dyDescent="0.35">
      <c r="A2" s="1"/>
      <c r="B2" s="1"/>
      <c r="C2" s="1"/>
      <c r="D2" s="1"/>
      <c r="E2" s="1"/>
      <c r="F2" s="21" t="s">
        <v>34</v>
      </c>
      <c r="G2" s="1"/>
      <c r="H2" s="1"/>
      <c r="I2" s="1"/>
      <c r="J2" s="1"/>
      <c r="K2" s="1"/>
      <c r="L2" s="1"/>
      <c r="M2" s="4" t="s">
        <v>35</v>
      </c>
      <c r="N2" s="75">
        <f ca="1">TODAY()</f>
        <v>46234</v>
      </c>
    </row>
    <row r="3" spans="1:17" ht="18.75" customHeight="1" x14ac:dyDescent="0.35">
      <c r="A3" s="1"/>
      <c r="B3" s="1"/>
      <c r="C3" s="1"/>
      <c r="D3" s="1"/>
      <c r="E3" s="22" t="s">
        <v>36</v>
      </c>
      <c r="F3" s="23">
        <v>2026</v>
      </c>
      <c r="G3" s="1"/>
      <c r="H3" s="1"/>
      <c r="I3" s="1"/>
      <c r="J3" s="3"/>
      <c r="K3" s="3"/>
      <c r="L3" s="3"/>
      <c r="M3" s="1"/>
      <c r="N3" s="4" t="s">
        <v>37</v>
      </c>
      <c r="O3" s="11"/>
    </row>
    <row r="4" spans="1:17" ht="15" hidden="1" customHeight="1" x14ac:dyDescent="0.35">
      <c r="A4" s="76" t="s">
        <v>38</v>
      </c>
      <c r="B4" s="5">
        <f>DATE(F3,1,1)</f>
        <v>46023</v>
      </c>
      <c r="C4" s="5">
        <f t="shared" ref="C4:M4" si="0">EDATE(B4,1)</f>
        <v>46054</v>
      </c>
      <c r="D4" s="5">
        <f t="shared" si="0"/>
        <v>46082</v>
      </c>
      <c r="E4" s="5">
        <f t="shared" si="0"/>
        <v>46113</v>
      </c>
      <c r="F4" s="5">
        <f t="shared" si="0"/>
        <v>46143</v>
      </c>
      <c r="G4" s="5">
        <f t="shared" si="0"/>
        <v>46174</v>
      </c>
      <c r="H4" s="5">
        <f t="shared" si="0"/>
        <v>46204</v>
      </c>
      <c r="I4" s="5">
        <f t="shared" si="0"/>
        <v>46235</v>
      </c>
      <c r="J4" s="5">
        <f t="shared" si="0"/>
        <v>46266</v>
      </c>
      <c r="K4" s="5">
        <f t="shared" si="0"/>
        <v>46296</v>
      </c>
      <c r="L4" s="5">
        <f t="shared" si="0"/>
        <v>46327</v>
      </c>
      <c r="M4" s="6">
        <f t="shared" si="0"/>
        <v>46357</v>
      </c>
      <c r="N4" s="1"/>
    </row>
    <row r="5" spans="1:17" ht="15" hidden="1" customHeight="1" x14ac:dyDescent="0.35">
      <c r="A5" s="77"/>
      <c r="B5" s="7">
        <f t="shared" ref="B5:M5" si="1">EOMONTH(B4,0)</f>
        <v>46053</v>
      </c>
      <c r="C5" s="7">
        <f t="shared" si="1"/>
        <v>46081</v>
      </c>
      <c r="D5" s="7">
        <f t="shared" si="1"/>
        <v>46112</v>
      </c>
      <c r="E5" s="7">
        <f t="shared" si="1"/>
        <v>46142</v>
      </c>
      <c r="F5" s="7">
        <f t="shared" si="1"/>
        <v>46173</v>
      </c>
      <c r="G5" s="7">
        <f t="shared" si="1"/>
        <v>46203</v>
      </c>
      <c r="H5" s="7">
        <f t="shared" si="1"/>
        <v>46234</v>
      </c>
      <c r="I5" s="7">
        <f t="shared" si="1"/>
        <v>46265</v>
      </c>
      <c r="J5" s="7">
        <f t="shared" si="1"/>
        <v>46295</v>
      </c>
      <c r="K5" s="7">
        <f t="shared" si="1"/>
        <v>46326</v>
      </c>
      <c r="L5" s="7">
        <f t="shared" si="1"/>
        <v>46356</v>
      </c>
      <c r="M5" s="8">
        <f t="shared" si="1"/>
        <v>46387</v>
      </c>
      <c r="N5" s="1"/>
    </row>
    <row r="6" spans="1:17" ht="22.5" customHeight="1" x14ac:dyDescent="0.35">
      <c r="A6" s="9" t="s">
        <v>39</v>
      </c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  <c r="J6" s="10">
        <v>9</v>
      </c>
      <c r="K6" s="10">
        <v>10</v>
      </c>
      <c r="L6" s="10">
        <v>11</v>
      </c>
      <c r="M6" s="10">
        <v>12</v>
      </c>
      <c r="N6" s="10" t="s">
        <v>40</v>
      </c>
      <c r="O6" s="26" t="s">
        <v>41</v>
      </c>
      <c r="P6" s="11"/>
    </row>
    <row r="7" spans="1:17" ht="30" customHeight="1" x14ac:dyDescent="0.35">
      <c r="A7" s="12" t="s">
        <v>42</v>
      </c>
      <c r="B7" s="13">
        <f>SUMPRODUCT((Allocated!$B$2:$B$13737&gt;=B$4)*(Allocated!$B$2:$B$13737&lt;=B$5)*Allocated!$I$2:$I$13737)</f>
        <v>0</v>
      </c>
      <c r="C7" s="13">
        <f>SUMPRODUCT((Allocated!$B$2:$B$13737&gt;=C$4)*(Allocated!$B$2:$B$13737&lt;=C$5)*Allocated!$I$2:$I$13737)</f>
        <v>0</v>
      </c>
      <c r="D7" s="13">
        <f>SUMPRODUCT((Allocated!$B$2:$B$13737&gt;=D$4)*(Allocated!$B$2:$B$13737&lt;=D$5)*Allocated!$I$2:$I$13737)</f>
        <v>0</v>
      </c>
      <c r="E7" s="13">
        <f>SUMPRODUCT((Allocated!$B$2:$B$13737&gt;=E$4)*(Allocated!$B$2:$B$13737&lt;=E$5)*Allocated!$I$2:$I$13737)</f>
        <v>0</v>
      </c>
      <c r="F7" s="13">
        <f>SUMPRODUCT((Allocated!$B$2:$B$13737&gt;=F$4)*(Allocated!$B$2:$B$13737&lt;=F$5)*Allocated!$I$2:$I$13737)</f>
        <v>0</v>
      </c>
      <c r="G7" s="13">
        <f>SUMPRODUCT((Allocated!$B$2:$B$13737&gt;=G$4)*(Allocated!$B$2:$B$13737&lt;=G$5)*Allocated!$I$2:$I$13737)</f>
        <v>0</v>
      </c>
      <c r="H7" s="13">
        <f>SUMPRODUCT((Allocated!$B$2:$B$13737&gt;=H$4)*(Allocated!$B$2:$B$13737&lt;=H$5)*Allocated!$I$2:$I$13737)</f>
        <v>0</v>
      </c>
      <c r="I7" s="13">
        <f>SUMPRODUCT((Allocated!$B$2:$B$13737&gt;=I$4)*(Allocated!$B$2:$B$13737&lt;=I$5)*Allocated!$I$2:$I$13737)</f>
        <v>0</v>
      </c>
      <c r="J7" s="13">
        <f>SUMPRODUCT((Allocated!$B$2:$B$13737&gt;=J$4)*(Allocated!$B$2:$B$13737&lt;=J$5)*Allocated!$I$2:$I$13737)</f>
        <v>0</v>
      </c>
      <c r="K7" s="13">
        <f>SUMPRODUCT((Allocated!$B$2:$B$13737&gt;=K$4)*(Allocated!$B$2:$B$13737&lt;=K$5)*Allocated!$I$2:$I$13737)</f>
        <v>0</v>
      </c>
      <c r="L7" s="13">
        <f>SUMPRODUCT((Allocated!$B$2:$B$13737&gt;=L$4)*(Allocated!$B$2:$B$13737&lt;=L$5)*Allocated!$I$2:$I$13737)</f>
        <v>0</v>
      </c>
      <c r="M7" s="13">
        <f>SUMPRODUCT((Allocated!$B$2:$B$13737&gt;=M$4)*(Allocated!$B$2:$B$13737&lt;=M$5)*Allocated!$I$2:$I$13737)</f>
        <v>0</v>
      </c>
      <c r="N7" s="27">
        <f t="shared" ref="N7:N12" si="2">SUM(B7:M7)</f>
        <v>0</v>
      </c>
      <c r="O7" s="11"/>
      <c r="P7" s="11"/>
      <c r="Q7" s="11"/>
    </row>
    <row r="8" spans="1:17" ht="30" customHeight="1" x14ac:dyDescent="0.35">
      <c r="A8" s="12" t="s">
        <v>43</v>
      </c>
      <c r="B8" s="13">
        <f>SUMPRODUCT((Allocated!$B$2:$B$13737&gt;=B$4)*(Allocated!$B$2:$B$13737&lt;=B$5)*(Allocated!$J$2:$J$13737="Services")*Allocated!$I$2:$I$13737)</f>
        <v>0</v>
      </c>
      <c r="C8" s="13">
        <f>SUMPRODUCT((Allocated!$B$2:$B$13737&gt;=C$4)*(Allocated!$B$2:$B$13737&lt;=C$5)*(Allocated!$J$2:$J$13737="Services")*Allocated!$I$2:$I$13737)</f>
        <v>0</v>
      </c>
      <c r="D8" s="13">
        <f>SUMPRODUCT((Allocated!$B$2:$B$13737&gt;=D$4)*(Allocated!$B$2:$B$13737&lt;=D$5)*(Allocated!$J$2:$J$13737="Services")*Allocated!$I$2:$I$13737)</f>
        <v>0</v>
      </c>
      <c r="E8" s="13">
        <f>SUMPRODUCT((Allocated!$B$2:$B$13737&gt;=E$4)*(Allocated!$B$2:$B$13737&lt;=E$5)*(Allocated!$J$2:$J$13737="Services")*Allocated!$I$2:$I$13737)</f>
        <v>0</v>
      </c>
      <c r="F8" s="13">
        <f>SUMPRODUCT((Allocated!$B$2:$B$13737&gt;=F$4)*(Allocated!$B$2:$B$13737&lt;=F$5)*(Allocated!$J$2:$J$13737="Services")*Allocated!$I$2:$I$13737)</f>
        <v>0</v>
      </c>
      <c r="G8" s="13">
        <f>SUMPRODUCT((Allocated!$B$2:$B$13737&gt;=G$4)*(Allocated!$B$2:$B$13737&lt;=G$5)*(Allocated!$J$2:$J$13737="Services")*Allocated!$I$2:$I$13737)</f>
        <v>0</v>
      </c>
      <c r="H8" s="13">
        <f>SUMPRODUCT((Allocated!$B$2:$B$13737&gt;=H$4)*(Allocated!$B$2:$B$13737&lt;=H$5)*(Allocated!$J$2:$J$13737="Services")*Allocated!$I$2:$I$13737)</f>
        <v>0</v>
      </c>
      <c r="I8" s="13">
        <f>SUMPRODUCT((Allocated!$B$2:$B$13737&gt;=I$4)*(Allocated!$B$2:$B$13737&lt;=I$5)*(Allocated!$J$2:$J$13737="Services")*Allocated!$I$2:$I$13737)</f>
        <v>0</v>
      </c>
      <c r="J8" s="13">
        <f>SUMPRODUCT((Allocated!$B$2:$B$13737&gt;=J$4)*(Allocated!$B$2:$B$13737&lt;=J$5)*(Allocated!$J$2:$J$13737="Services")*Allocated!$I$2:$I$13737)</f>
        <v>0</v>
      </c>
      <c r="K8" s="13">
        <f>SUMPRODUCT((Allocated!$B$2:$B$13737&gt;=K$4)*(Allocated!$B$2:$B$13737&lt;=K$5)*(Allocated!$J$2:$J$13737="Services")*Allocated!$I$2:$I$13737)</f>
        <v>0</v>
      </c>
      <c r="L8" s="13">
        <f>SUMPRODUCT((Allocated!$B$2:$B$13737&gt;=L$4)*(Allocated!$B$2:$B$13737&lt;=L$5)*(Allocated!$J$2:$J$13737="Services")*Allocated!$I$2:$I$13737)</f>
        <v>0</v>
      </c>
      <c r="M8" s="13">
        <f>SUMPRODUCT((Allocated!$B$2:$B$13737&gt;=M$4)*(Allocated!$B$2:$B$13737&lt;=M$5)*(Allocated!$J$2:$J$13737="Services")*Allocated!$I$2:$I$13737)</f>
        <v>0</v>
      </c>
      <c r="N8" s="27">
        <f t="shared" si="2"/>
        <v>0</v>
      </c>
      <c r="O8" s="14" t="e">
        <f>N8/$N$7</f>
        <v>#DIV/0!</v>
      </c>
      <c r="P8" s="11"/>
      <c r="Q8" s="11"/>
    </row>
    <row r="9" spans="1:17" ht="30" customHeight="1" x14ac:dyDescent="0.35">
      <c r="A9" s="12" t="s">
        <v>44</v>
      </c>
      <c r="B9" s="13">
        <f>SUMPRODUCT((Allocated!$B$2:$B$13737&gt;=B$4)*(Allocated!$B$2:$B$13737&lt;=B$5)*(Allocated!$J$2:$J$13737="Maintenance")*Allocated!$I$2:$I$13737)</f>
        <v>0</v>
      </c>
      <c r="C9" s="13">
        <f>SUMPRODUCT((Allocated!$B$2:$B$13737&gt;=C$4)*(Allocated!$B$2:$B$13737&lt;=C$5)*(Allocated!$J$2:$J$13737="Maintenance")*Allocated!$I$2:$I$13737)</f>
        <v>0</v>
      </c>
      <c r="D9" s="13">
        <f>SUMPRODUCT((Allocated!$B$2:$B$13737&gt;=D$4)*(Allocated!$B$2:$B$13737&lt;=D$5)*(Allocated!$J$2:$J$13737="Maintenance")*Allocated!$I$2:$I$13737)</f>
        <v>0</v>
      </c>
      <c r="E9" s="13">
        <f>SUMPRODUCT((Allocated!$B$2:$B$13737&gt;=E$4)*(Allocated!$B$2:$B$13737&lt;=E$5)*(Allocated!$J$2:$J$13737="Maintenance")*Allocated!$I$2:$I$13737)</f>
        <v>0</v>
      </c>
      <c r="F9" s="13">
        <f>SUMPRODUCT((Allocated!$B$2:$B$13737&gt;=F$4)*(Allocated!$B$2:$B$13737&lt;=F$5)*(Allocated!$J$2:$J$13737="Maintenance")*Allocated!$I$2:$I$13737)</f>
        <v>0</v>
      </c>
      <c r="G9" s="13">
        <f>SUMPRODUCT((Allocated!$B$2:$B$13737&gt;=G$4)*(Allocated!$B$2:$B$13737&lt;=G$5)*(Allocated!$J$2:$J$13737="Maintenance")*Allocated!$I$2:$I$13737)</f>
        <v>0</v>
      </c>
      <c r="H9" s="13">
        <f>SUMPRODUCT((Allocated!$B$2:$B$13737&gt;=H$4)*(Allocated!$B$2:$B$13737&lt;=H$5)*(Allocated!$J$2:$J$13737="Maintenance")*Allocated!$I$2:$I$13737)</f>
        <v>0</v>
      </c>
      <c r="I9" s="13">
        <f>SUMPRODUCT((Allocated!$B$2:$B$13737&gt;=I$4)*(Allocated!$B$2:$B$13737&lt;=I$5)*(Allocated!$J$2:$J$13737="Maintenance")*Allocated!$I$2:$I$13737)</f>
        <v>0</v>
      </c>
      <c r="J9" s="13">
        <f>SUMPRODUCT((Allocated!$B$2:$B$13737&gt;=J$4)*(Allocated!$B$2:$B$13737&lt;=J$5)*(Allocated!$J$2:$J$13737="Maintenance")*Allocated!$I$2:$I$13737)</f>
        <v>0</v>
      </c>
      <c r="K9" s="13">
        <f>SUMPRODUCT((Allocated!$B$2:$B$13737&gt;=K$4)*(Allocated!$B$2:$B$13737&lt;=K$5)*(Allocated!$J$2:$J$13737="Maintenance")*Allocated!$I$2:$I$13737)</f>
        <v>0</v>
      </c>
      <c r="L9" s="13">
        <f>SUMPRODUCT((Allocated!$B$2:$B$13737&gt;=L$4)*(Allocated!$B$2:$B$13737&lt;=L$5)*(Allocated!$J$2:$J$13737="Maintenance")*Allocated!$I$2:$I$13737)</f>
        <v>0</v>
      </c>
      <c r="M9" s="13">
        <f>SUMPRODUCT((Allocated!$B$2:$B$13737&gt;=M$4)*(Allocated!$B$2:$B$13737&lt;=M$5)*(Allocated!$J$2:$J$13737="Maintenance")*Allocated!$I$2:$I$13737)</f>
        <v>0</v>
      </c>
      <c r="N9" s="27">
        <f t="shared" si="2"/>
        <v>0</v>
      </c>
      <c r="O9" s="14" t="e">
        <f>N9/$N$7</f>
        <v>#DIV/0!</v>
      </c>
      <c r="P9" s="11"/>
      <c r="Q9" s="11"/>
    </row>
    <row r="10" spans="1:17" ht="30" customHeight="1" x14ac:dyDescent="0.35">
      <c r="A10" s="12" t="s">
        <v>45</v>
      </c>
      <c r="B10" s="13">
        <f>SUMPRODUCT((Allocated!$B$2:$B$13737&gt;=B$4)*(Allocated!$B$2:$B$13737&lt;=B$5)*(Allocated!$J$2:$J$13737="FM")*Allocated!$I$2:$I$13737)</f>
        <v>0</v>
      </c>
      <c r="C10" s="13">
        <f>SUMPRODUCT((Allocated!$B$2:$B$13737&gt;=C$4)*(Allocated!$B$2:$B$13737&lt;=C$5)*(Allocated!$J$2:$J$13737="FM")*Allocated!$I$2:$I$13737)</f>
        <v>0</v>
      </c>
      <c r="D10" s="13">
        <f>SUMPRODUCT((Allocated!$B$2:$B$13737&gt;=D$4)*(Allocated!$B$2:$B$13737&lt;=D$5)*(Allocated!$J$2:$J$13737="FM")*Allocated!$I$2:$I$13737)</f>
        <v>0</v>
      </c>
      <c r="E10" s="13">
        <f>SUMPRODUCT((Allocated!$B$2:$B$13737&gt;=E$4)*(Allocated!$B$2:$B$13737&lt;=E$5)*(Allocated!$J$2:$J$13737="FM")*Allocated!$I$2:$I$13737)</f>
        <v>0</v>
      </c>
      <c r="F10" s="13">
        <f>SUMPRODUCT((Allocated!$B$2:$B$13737&gt;=F$4)*(Allocated!$B$2:$B$13737&lt;=F$5)*(Allocated!$J$2:$J$13737="FM")*Allocated!$I$2:$I$13737)</f>
        <v>0</v>
      </c>
      <c r="G10" s="13">
        <f>SUMPRODUCT((Allocated!$B$2:$B$13737&gt;=G$4)*(Allocated!$B$2:$B$13737&lt;=G$5)*(Allocated!$J$2:$J$13737="FM")*Allocated!$I$2:$I$13737)</f>
        <v>0</v>
      </c>
      <c r="H10" s="13">
        <f>SUMPRODUCT((Allocated!$B$2:$B$13737&gt;=H$4)*(Allocated!$B$2:$B$13737&lt;=H$5)*(Allocated!$J$2:$J$13737="FM")*Allocated!$I$2:$I$13737)</f>
        <v>0</v>
      </c>
      <c r="I10" s="13">
        <f>SUMPRODUCT((Allocated!$B$2:$B$13737&gt;=I$4)*(Allocated!$B$2:$B$13737&lt;=I$5)*(Allocated!$J$2:$J$13737="FM")*Allocated!$I$2:$I$13737)</f>
        <v>0</v>
      </c>
      <c r="J10" s="13">
        <f>SUMPRODUCT((Allocated!$B$2:$B$13737&gt;=J$4)*(Allocated!$B$2:$B$13737&lt;=J$5)*(Allocated!$J$2:$J$13737="FM")*Allocated!$I$2:$I$13737)</f>
        <v>0</v>
      </c>
      <c r="K10" s="13">
        <f>SUMPRODUCT((Allocated!$B$2:$B$13737&gt;=K$4)*(Allocated!$B$2:$B$13737&lt;=K$5)*(Allocated!$J$2:$J$13737="FM")*Allocated!$I$2:$I$13737)</f>
        <v>0</v>
      </c>
      <c r="L10" s="13">
        <f>SUMPRODUCT((Allocated!$B$2:$B$13737&gt;=L$4)*(Allocated!$B$2:$B$13737&lt;=L$5)*(Allocated!$J$2:$J$13737="FM")*Allocated!$I$2:$I$13737)</f>
        <v>0</v>
      </c>
      <c r="M10" s="13">
        <f>SUMPRODUCT((Allocated!$B$2:$B$13737&gt;=M$4)*(Allocated!$B$2:$B$13737&lt;=M$5)*(Allocated!$J$2:$J$13737="FM")*Allocated!$I$2:$I$13737)</f>
        <v>0</v>
      </c>
      <c r="N10" s="27">
        <f t="shared" si="2"/>
        <v>0</v>
      </c>
      <c r="O10" s="14" t="e">
        <f>N10/$N$7</f>
        <v>#DIV/0!</v>
      </c>
      <c r="P10" s="19"/>
      <c r="Q10" s="11"/>
    </row>
    <row r="11" spans="1:17" ht="30" customHeight="1" x14ac:dyDescent="0.35">
      <c r="A11" s="12" t="s">
        <v>46</v>
      </c>
      <c r="B11" s="13">
        <f>SUMPRODUCT((Allocated!$B$2:$B$13737&gt;=B$4)*(Allocated!$B$2:$B$13737&lt;=B$5)*(Allocated!$J$2:$J$13737="Non Project")*Allocated!$I$2:$I$13737)</f>
        <v>0</v>
      </c>
      <c r="C11" s="13">
        <f>SUMPRODUCT((Allocated!$B$2:$B$13737&gt;=C$4)*(Allocated!$B$2:$B$13737&lt;=C$5)*(Allocated!$J$2:$J$13737="Non Project")*Allocated!$I$2:$I$13737)</f>
        <v>0</v>
      </c>
      <c r="D11" s="13">
        <f>SUMPRODUCT((Allocated!$B$2:$B$13737&gt;=D$4)*(Allocated!$B$2:$B$13737&lt;=D$5)*(Allocated!$J$2:$J$13737="Non Project")*Allocated!$I$2:$I$13737)</f>
        <v>0</v>
      </c>
      <c r="E11" s="13">
        <f>SUMPRODUCT((Allocated!$B$2:$B$13737&gt;=E$4)*(Allocated!$B$2:$B$13737&lt;=E$5)*(Allocated!$J$2:$J$13737="Non Project")*Allocated!$I$2:$I$13737)</f>
        <v>0</v>
      </c>
      <c r="F11" s="13">
        <f>SUMPRODUCT((Allocated!$B$2:$B$13737&gt;=F$4)*(Allocated!$B$2:$B$13737&lt;=F$5)*(Allocated!$J$2:$J$13737="Non Project")*Allocated!$I$2:$I$13737)</f>
        <v>0</v>
      </c>
      <c r="G11" s="13">
        <f>SUMPRODUCT((Allocated!$B$2:$B$13737&gt;=G$4)*(Allocated!$B$2:$B$13737&lt;=G$5)*(Allocated!$J$2:$J$13737="Non Project")*Allocated!$I$2:$I$13737)</f>
        <v>0</v>
      </c>
      <c r="H11" s="13">
        <f>SUMPRODUCT((Allocated!$B$2:$B$13737&gt;=H$4)*(Allocated!$B$2:$B$13737&lt;=H$5)*(Allocated!$J$2:$J$13737="Non Project")*Allocated!$I$2:$I$13737)</f>
        <v>0</v>
      </c>
      <c r="I11" s="13">
        <f>SUMPRODUCT((Allocated!$B$2:$B$13737&gt;=I$4)*(Allocated!$B$2:$B$13737&lt;=I$5)*(Allocated!$J$2:$J$13737="Non Project")*Allocated!$I$2:$I$13737)</f>
        <v>0</v>
      </c>
      <c r="J11" s="13">
        <f>SUMPRODUCT((Allocated!$B$2:$B$13737&gt;=J$4)*(Allocated!$B$2:$B$13737&lt;=J$5)*(Allocated!$J$2:$J$13737="Non Project")*Allocated!$I$2:$I$13737)</f>
        <v>0</v>
      </c>
      <c r="K11" s="13">
        <f>SUMPRODUCT((Allocated!$B$2:$B$13737&gt;=K$4)*(Allocated!$B$2:$B$13737&lt;=K$5)*(Allocated!$J$2:$J$13737="Non Project")*Allocated!$I$2:$I$13737)</f>
        <v>0</v>
      </c>
      <c r="L11" s="13">
        <f>SUMPRODUCT((Allocated!$B$2:$B$13737&gt;=L$4)*(Allocated!$B$2:$B$13737&lt;=L$5)*(Allocated!$J$2:$J$13737="Non Project")*Allocated!$I$2:$I$13737)</f>
        <v>0</v>
      </c>
      <c r="M11" s="13">
        <f>SUMPRODUCT((Allocated!$B$2:$B$13737&gt;=M$4)*(Allocated!$B$2:$B$13737&lt;=M$5)*(Allocated!$J$2:$J$13737="Non Project")*Allocated!$I$2:$I$13737)</f>
        <v>0</v>
      </c>
      <c r="N11" s="27">
        <f t="shared" si="2"/>
        <v>0</v>
      </c>
      <c r="O11" s="14" t="e">
        <f>N11/$N$7</f>
        <v>#DIV/0!</v>
      </c>
      <c r="P11" s="11"/>
      <c r="Q11" s="11"/>
    </row>
    <row r="12" spans="1:17" ht="30" customHeight="1" x14ac:dyDescent="0.35">
      <c r="A12" s="15" t="s">
        <v>47</v>
      </c>
      <c r="B12" s="13">
        <f>SUMPRODUCT((Allocated!$B$2:$B$13737&gt;=B$4)*(Allocated!$B$2:$B$13737&lt;=B$5)*(Allocated!$J$2:$J$13737="Standby")*Allocated!$I$2:$I$13737)</f>
        <v>0</v>
      </c>
      <c r="C12" s="13">
        <f>SUMPRODUCT((Allocated!$B$2:$B$13737&gt;=C$4)*(Allocated!$B$2:$B$13737&lt;=C$5)*(Allocated!$J$2:$J$13737="Standby")*Allocated!$I$2:$I$13737)</f>
        <v>0</v>
      </c>
      <c r="D12" s="13">
        <f>SUMPRODUCT((Allocated!$B$2:$B$13737&gt;=D$4)*(Allocated!$B$2:$B$13737&lt;=D$5)*(Allocated!$J$2:$J$13737="Standby")*Allocated!$I$2:$I$13737)</f>
        <v>0</v>
      </c>
      <c r="E12" s="13">
        <f>SUMPRODUCT((Allocated!$B$2:$B$13737&gt;=E$4)*(Allocated!$B$2:$B$13737&lt;=E$5)*(Allocated!$J$2:$J$13737="Standby")*Allocated!$I$2:$I$13737)</f>
        <v>0</v>
      </c>
      <c r="F12" s="13">
        <f>SUMPRODUCT((Allocated!$B$2:$B$13737&gt;=F$4)*(Allocated!$B$2:$B$13737&lt;=F$5)*(Allocated!$J$2:$J$13737="Standby")*Allocated!$I$2:$I$13737)</f>
        <v>0</v>
      </c>
      <c r="G12" s="13">
        <f>SUMPRODUCT((Allocated!$B$2:$B$13737&gt;=G$4)*(Allocated!$B$2:$B$13737&lt;=G$5)*(Allocated!$J$2:$J$13737="Standby")*Allocated!$I$2:$I$13737)</f>
        <v>0</v>
      </c>
      <c r="H12" s="13">
        <f>SUMPRODUCT((Allocated!$B$2:$B$13737&gt;=H$4)*(Allocated!$B$2:$B$13737&lt;=H$5)*(Allocated!$J$2:$J$13737="Standby")*Allocated!$I$2:$I$13737)</f>
        <v>0</v>
      </c>
      <c r="I12" s="13">
        <f>SUMPRODUCT((Allocated!$B$2:$B$13737&gt;=I$4)*(Allocated!$B$2:$B$13737&lt;=I$5)*(Allocated!$J$2:$J$13737="Standby")*Allocated!$I$2:$I$13737)</f>
        <v>0</v>
      </c>
      <c r="J12" s="13">
        <f>SUMPRODUCT((Allocated!$B$2:$B$13737&gt;=J$4)*(Allocated!$B$2:$B$13737&lt;=J$5)*(Allocated!$J$2:$J$13737="Standby")*Allocated!$I$2:$I$13737)</f>
        <v>0</v>
      </c>
      <c r="K12" s="13">
        <f>SUMPRODUCT((Allocated!$B$2:$B$13737&gt;=K$4)*(Allocated!$B$2:$B$13737&lt;=K$5)*(Allocated!$J$2:$J$13737="Standby")*Allocated!$I$2:$I$13737)</f>
        <v>0</v>
      </c>
      <c r="L12" s="13">
        <f>SUMPRODUCT((Allocated!$B$2:$B$13737&gt;=L$4)*(Allocated!$B$2:$B$13737&lt;=L$5)*(Allocated!$J$2:$J$13737="Standby")*Allocated!$I$2:$I$13737)</f>
        <v>0</v>
      </c>
      <c r="M12" s="13">
        <f>SUMPRODUCT((Allocated!$B$2:$B$13737&gt;=M$4)*(Allocated!$B$2:$B$13737&lt;=M$5)*(Allocated!$J$2:$J$13737="Standby")*Allocated!$I$2:$I$13737)</f>
        <v>0</v>
      </c>
      <c r="N12" s="27">
        <f t="shared" si="2"/>
        <v>0</v>
      </c>
      <c r="O12" s="14" t="e">
        <f>N12/$N$7</f>
        <v>#DIV/0!</v>
      </c>
      <c r="Q12" s="11"/>
    </row>
    <row r="13" spans="1:17" ht="30" customHeight="1" x14ac:dyDescent="0.35">
      <c r="A13" s="24" t="s">
        <v>48</v>
      </c>
      <c r="B13" s="16" t="e">
        <f t="shared" ref="B13:N13" si="3">(B8+B9+B10)/B7</f>
        <v>#DIV/0!</v>
      </c>
      <c r="C13" s="16" t="e">
        <f t="shared" si="3"/>
        <v>#DIV/0!</v>
      </c>
      <c r="D13" s="16" t="e">
        <f t="shared" si="3"/>
        <v>#DIV/0!</v>
      </c>
      <c r="E13" s="16" t="e">
        <f t="shared" si="3"/>
        <v>#DIV/0!</v>
      </c>
      <c r="F13" s="16" t="e">
        <f t="shared" si="3"/>
        <v>#DIV/0!</v>
      </c>
      <c r="G13" s="16" t="e">
        <f t="shared" si="3"/>
        <v>#DIV/0!</v>
      </c>
      <c r="H13" s="16" t="e">
        <f t="shared" si="3"/>
        <v>#DIV/0!</v>
      </c>
      <c r="I13" s="16" t="e">
        <f t="shared" si="3"/>
        <v>#DIV/0!</v>
      </c>
      <c r="J13" s="16" t="e">
        <f t="shared" si="3"/>
        <v>#DIV/0!</v>
      </c>
      <c r="K13" s="16" t="e">
        <f t="shared" si="3"/>
        <v>#DIV/0!</v>
      </c>
      <c r="L13" s="16" t="e">
        <f t="shared" si="3"/>
        <v>#DIV/0!</v>
      </c>
      <c r="M13" s="16" t="e">
        <f t="shared" si="3"/>
        <v>#DIV/0!</v>
      </c>
      <c r="N13" s="16" t="e">
        <f t="shared" si="3"/>
        <v>#DIV/0!</v>
      </c>
      <c r="O13" s="17"/>
    </row>
    <row r="14" spans="1:17" ht="30" customHeight="1" x14ac:dyDescent="0.35">
      <c r="A14" s="18" t="s">
        <v>49</v>
      </c>
      <c r="B14" s="28">
        <v>0.92500000000000004</v>
      </c>
      <c r="C14" s="28">
        <v>0.92500000000000004</v>
      </c>
      <c r="D14" s="28">
        <v>0.92500000000000004</v>
      </c>
      <c r="E14" s="28">
        <v>0.92500000000000004</v>
      </c>
      <c r="F14" s="28">
        <v>0.92500000000000004</v>
      </c>
      <c r="G14" s="28">
        <v>0.92500000000000004</v>
      </c>
      <c r="H14" s="28">
        <v>0.92500000000000004</v>
      </c>
      <c r="I14" s="28">
        <v>0.92500000000000004</v>
      </c>
      <c r="J14" s="28">
        <v>0.92500000000000004</v>
      </c>
      <c r="K14" s="28">
        <v>0.92500000000000004</v>
      </c>
      <c r="L14" s="28">
        <v>0.92500000000000004</v>
      </c>
      <c r="M14" s="28">
        <v>0.92500000000000004</v>
      </c>
      <c r="N14" s="28">
        <f>$B$14</f>
        <v>0.92500000000000004</v>
      </c>
      <c r="O14" s="19"/>
      <c r="P14" s="11"/>
    </row>
    <row r="15" spans="1:17" ht="18" customHeight="1" x14ac:dyDescent="0.35"/>
    <row r="16" spans="1:17" ht="18" customHeight="1" x14ac:dyDescent="0.35">
      <c r="O16" s="11"/>
    </row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</sheetData>
  <conditionalFormatting sqref="B13:N13">
    <cfRule type="cellIs" dxfId="2" priority="1" operator="between">
      <formula>0.925</formula>
      <formula>1</formula>
    </cfRule>
    <cfRule type="cellIs" dxfId="1" priority="3" operator="lessThan">
      <formula>0.925</formula>
    </cfRule>
  </conditionalFormatting>
  <conditionalFormatting sqref="N12">
    <cfRule type="cellIs" dxfId="0" priority="2" operator="greaterThan">
      <formula>0</formula>
    </cfRule>
  </conditionalFormatting>
  <printOptions horizontalCentered="1"/>
  <pageMargins left="0.3" right="0.2" top="0.35" bottom="0.2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"/>
  <sheetViews>
    <sheetView view="pageBreakPreview" zoomScale="85" zoomScaleNormal="100" zoomScaleSheetLayoutView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43" sqref="L43"/>
    </sheetView>
  </sheetViews>
  <sheetFormatPr defaultColWidth="16.1796875" defaultRowHeight="14.5" x14ac:dyDescent="0.35"/>
  <cols>
    <col min="1" max="2" width="16.1796875" style="25" customWidth="1"/>
    <col min="3" max="3" width="18.453125" style="25" customWidth="1"/>
    <col min="4" max="4" width="22.1796875" style="25" customWidth="1"/>
    <col min="5" max="6" width="16.1796875" style="25" customWidth="1"/>
    <col min="7" max="7" width="22.1796875" style="25" customWidth="1"/>
    <col min="8" max="8" width="16.1796875" style="25" customWidth="1"/>
    <col min="9" max="9" width="11.453125" style="25" customWidth="1"/>
    <col min="10" max="10" width="14.81640625" style="25" customWidth="1"/>
    <col min="11" max="11" width="15.6328125" style="25" customWidth="1"/>
    <col min="12" max="12" width="10.81640625" style="25" bestFit="1" customWidth="1"/>
    <col min="13" max="13" width="16.1796875" style="25" customWidth="1"/>
    <col min="14" max="16384" width="16.1796875" style="25"/>
  </cols>
  <sheetData>
    <row r="1" spans="1:12" ht="32" customHeight="1" x14ac:dyDescent="0.35">
      <c r="A1" s="31" t="s">
        <v>3</v>
      </c>
      <c r="B1" s="31" t="s">
        <v>18</v>
      </c>
      <c r="C1" s="31" t="s">
        <v>50</v>
      </c>
      <c r="D1" s="31" t="s">
        <v>50</v>
      </c>
      <c r="E1" s="31" t="s">
        <v>51</v>
      </c>
      <c r="F1" s="31" t="s">
        <v>52</v>
      </c>
      <c r="G1" s="31" t="s">
        <v>53</v>
      </c>
      <c r="H1" s="31" t="s">
        <v>54</v>
      </c>
      <c r="I1" s="29" t="s">
        <v>55</v>
      </c>
      <c r="J1" s="30" t="s">
        <v>56</v>
      </c>
      <c r="K1" s="31" t="s">
        <v>57</v>
      </c>
      <c r="L1" s="31" t="s">
        <v>58</v>
      </c>
    </row>
  </sheetData>
  <autoFilter ref="A1:L4183" xr:uid="{00000000-0009-0000-0000-000002000000}"/>
  <pageMargins left="0.7" right="0.7" top="0.75" bottom="0.75" header="0.3" footer="0.3"/>
  <pageSetup paperSize="9" scale="83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Estimation</vt:lpstr>
      <vt:lpstr>E(%)</vt:lpstr>
      <vt:lpstr>Allocated</vt:lpstr>
      <vt:lpstr>Allocated!Print_Area</vt:lpstr>
      <vt:lpstr>'E(%)'!Print_Area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Nghia.nt</dc:creator>
  <cp:lastModifiedBy>Cường Nguyễn</cp:lastModifiedBy>
  <cp:lastPrinted>2026-04-07T09:57:22Z</cp:lastPrinted>
  <dcterms:created xsi:type="dcterms:W3CDTF">2021-08-12T11:18:58Z</dcterms:created>
  <dcterms:modified xsi:type="dcterms:W3CDTF">2026-07-31T07:36:04Z</dcterms:modified>
</cp:coreProperties>
</file>