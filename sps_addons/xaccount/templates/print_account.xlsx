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<sst xmlns="http://schemas.openxmlformats.org/spreadsheetml/2006/main" count="50" uniqueCount="21">
  <si>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CÔNG TY CỔ PHẦN DỊCH VỤ SPS</t>
  </si>
  <si>
    <t>(Ban hành theo TT số 200/2014/TT-BTC ngày 22/12/2014 của BTC)</t>
  </si>
  <si>
    <t>Quyển số:</t>
  </si>
  <si>
    <t>Số:</t>
  </si>
  <si>
    <t>Địa chỉ:</t>
  </si>
  <si>
    <t>Số tiền:</t>
  </si>
  <si>
    <t>Viết bằng chữ:</t>
  </si>
  <si>
    <t>Kèm theo:</t>
  </si>
  <si>
    <t>…………..</t>
  </si>
  <si>
    <t>Chứng từ gốc:</t>
  </si>
  <si>
    <t>………………………………………………………………………………..</t>
  </si>
  <si>
    <t>Giám đốc</t>
  </si>
  <si>
    <t>Phụ trách kế toán</t>
  </si>
  <si>
    <t>Người lập phiếu</t>
  </si>
  <si>
    <t>Thủ quỹ</t>
  </si>
  <si>
    <t>(Ký, họ tên, đóng dấu)</t>
  </si>
  <si>
    <t>(Ký, họ tên)</t>
  </si>
  <si>
    <t>…………………………………………………………..…………………….</t>
  </si>
  <si>
    <t>+ Tỷ giá ngoại tệ (vàng bạc, đá quý):</t>
  </si>
  <si>
    <t xml:space="preserve">+ Số tiền quy đổi: </t>
  </si>
  <si>
    <t>…………………………………………………………………………………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</si>
</sst>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Ngày &quot;dd&quot; tháng &quot;mm&quot; năm &quot;yyyy"/>
    <numFmt numFmtId="178" formatCode="_-* #,##0_-;\-* #,##0_-;_-* &quot;-&quot;??_-;_-@_-"/>
  </numFmts>
  <fonts count="3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i/>
      <sz val="12"/>
      <color rgb="FFFF0000"/>
      <name val="Times New Roman"/>
      <charset val="134"/>
    </font>
    <font>
      <b/>
      <sz val="18"/>
      <name val="Times New Roman"/>
      <charset val="134"/>
    </font>
    <font>
      <sz val="12"/>
      <name val="Times New Roman"/>
      <charset val="134"/>
    </font>
    <font>
      <b/>
      <i/>
      <sz val="12"/>
      <color theme="1"/>
      <name val="Times New Roman"/>
      <charset val="134"/>
    </font>
    <font>
      <i/>
      <sz val="12"/>
      <name val="Times New Roman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55">
    <xf numFmtId="0" fontId="0" fillId="0" borderId="0" xfId="0"/>
    <xf numFmtId="0" fontId="1" fillId="0" borderId="0" xfId="0" applyFont="1"/>
    <xf numFmtId="0" fontId="2" fillId="2" borderId="0" xfId="49" applyFont="1" applyFill="1" applyAlignment="1" applyProtection="1">
      <alignment horizontal="left"/>
      <protection hidden="1"/>
    </xf>
    <xf numFmtId="0" fontId="3" fillId="2" borderId="0" xfId="49" applyFont="1" applyFill="1" applyProtection="1">
      <protection hidden="1"/>
    </xf>
    <xf numFmtId="0" fontId="4" fillId="2" borderId="0" xfId="49" applyFont="1" applyFill="1" applyProtection="1">
      <protection hidden="1"/>
    </xf>
    <xf numFmtId="0" fontId="5" fillId="2" borderId="0" xfId="49" applyFont="1" applyFill="1" applyAlignment="1" applyProtection="1">
      <alignment horizontal="center"/>
      <protection hidden="1"/>
    </xf>
    <xf numFmtId="0" fontId="4" fillId="2" borderId="0" xfId="0" applyFont="1" applyFill="1"/>
    <xf numFmtId="0" fontId="3" fillId="2" borderId="0" xfId="49" applyFont="1" applyFill="1" applyAlignment="1" applyProtection="1">
      <alignment horizontal="center"/>
      <protection hidden="1"/>
    </xf>
    <xf numFmtId="0" fontId="6" fillId="2" borderId="0" xfId="49" applyFont="1" applyFill="1" applyAlignment="1" applyProtection="1">
      <alignment horizontal="left"/>
      <protection hidden="1"/>
    </xf>
    <xf numFmtId="0" fontId="4" fillId="0" borderId="0" xfId="0" applyFont="1"/>
    <xf numFmtId="0" fontId="7" fillId="2" borderId="0" xfId="49" applyFont="1" applyFill="1" applyAlignment="1" applyProtection="1">
      <alignment vertical="center"/>
      <protection hidden="1"/>
    </xf>
    <xf numFmtId="177" fontId="5" fillId="2" borderId="0" xfId="49" applyNumberFormat="1" applyFont="1" applyFill="1" applyProtection="1">
      <protection hidden="1"/>
    </xf>
    <xf numFmtId="177" fontId="5" fillId="2" borderId="0" xfId="49" applyNumberFormat="1" applyFont="1" applyFill="1" applyAlignment="1" applyProtection="1">
      <alignment horizontal="center"/>
      <protection hidden="1"/>
    </xf>
    <xf numFmtId="0" fontId="4" fillId="2" borderId="0" xfId="49" applyFont="1" applyFill="1" applyProtection="1">
      <protection locked="0"/>
    </xf>
    <xf numFmtId="0" fontId="5" fillId="2" borderId="0" xfId="49" applyFont="1" applyFill="1" applyProtection="1">
      <protection locked="0"/>
    </xf>
    <xf numFmtId="0" fontId="5" fillId="2" borderId="0" xfId="49" applyFont="1" applyFill="1" applyAlignment="1" applyProtection="1">
      <alignment horizontal="center"/>
      <protection locked="0"/>
    </xf>
    <xf numFmtId="58" fontId="5" fillId="2" borderId="0" xfId="49" applyNumberFormat="1" applyFont="1" applyFill="1" applyProtection="1">
      <protection locked="0"/>
    </xf>
    <xf numFmtId="0" fontId="5" fillId="2" borderId="0" xfId="49" applyFont="1" applyFill="1" applyAlignment="1" applyProtection="1">
      <alignment horizontal="left"/>
      <protection locked="0"/>
    </xf>
    <xf numFmtId="3" fontId="3" fillId="2" borderId="0" xfId="49" applyNumberFormat="1" applyFont="1" applyFill="1" applyProtection="1">
      <protection hidden="1"/>
    </xf>
    <xf numFmtId="0" fontId="4" fillId="2" borderId="0" xfId="49" applyFont="1" applyFill="1" applyAlignment="1" applyProtection="1">
      <alignment vertical="top"/>
      <protection hidden="1"/>
    </xf>
    <xf numFmtId="3" fontId="4" fillId="2" borderId="0" xfId="49" applyNumberFormat="1" applyFont="1" applyFill="1" applyAlignment="1" applyProtection="1">
      <alignment vertical="top"/>
      <protection hidden="1"/>
    </xf>
    <xf numFmtId="3" fontId="4" fillId="2" borderId="0" xfId="49" applyNumberFormat="1" applyFont="1" applyFill="1" applyAlignment="1" applyProtection="1">
      <alignment vertical="top" wrapText="1"/>
      <protection hidden="1"/>
    </xf>
    <xf numFmtId="0" fontId="4" fillId="2" borderId="0" xfId="0" applyFont="1" applyFill="1" applyAlignment="1">
      <alignment horizontal="left"/>
    </xf>
    <xf numFmtId="0" fontId="5" fillId="2" borderId="0" xfId="49" applyFont="1" applyFill="1" applyAlignment="1" applyProtection="1">
      <alignment horizontal="left" vertical="center"/>
      <protection locked="0"/>
    </xf>
    <xf numFmtId="0" fontId="8" fillId="2" borderId="0" xfId="49" applyFont="1" applyFill="1" applyProtection="1">
      <protection hidden="1"/>
    </xf>
    <xf numFmtId="41" fontId="8" fillId="2" borderId="0" xfId="49" applyNumberFormat="1" applyFont="1" applyFill="1" applyProtection="1">
      <protection hidden="1"/>
    </xf>
    <xf numFmtId="0" fontId="5" fillId="2" borderId="0" xfId="49" applyFont="1" applyFill="1" applyProtection="1">
      <protection hidden="1"/>
    </xf>
    <xf numFmtId="0" fontId="3" fillId="2" borderId="0" xfId="49" applyFont="1" applyFill="1" applyAlignment="1" applyProtection="1">
      <alignment horizontal="center"/>
      <protection locked="0"/>
    </xf>
    <xf numFmtId="0" fontId="4" fillId="2" borderId="0" xfId="49" applyFont="1" applyFill="1" applyAlignment="1" applyProtection="1">
      <alignment horizontal="center"/>
      <protection locked="0"/>
    </xf>
    <xf numFmtId="0" fontId="4" fillId="2" borderId="1" xfId="49" applyFont="1" applyFill="1" applyBorder="1" applyProtection="1">
      <protection locked="0"/>
    </xf>
    <xf numFmtId="0" fontId="3" fillId="2" borderId="0" xfId="0" applyFont="1" applyFill="1"/>
    <xf numFmtId="0" fontId="7" fillId="2" borderId="0" xfId="49" applyFont="1" applyFill="1" applyProtection="1">
      <protection hidden="1"/>
    </xf>
    <xf numFmtId="3" fontId="4" fillId="2" borderId="0" xfId="49" applyNumberFormat="1" applyFont="1" applyFill="1" applyProtection="1">
      <protection hidden="1"/>
    </xf>
    <xf numFmtId="178" fontId="5" fillId="2" borderId="0" xfId="1" applyNumberFormat="1" applyFont="1" applyFill="1" applyBorder="1" applyAlignment="1" applyProtection="1">
      <alignment horizontal="left"/>
      <protection hidden="1"/>
    </xf>
    <xf numFmtId="0" fontId="9" fillId="2" borderId="0" xfId="49" applyFont="1" applyFill="1" applyAlignment="1" applyProtection="1">
      <alignment horizontal="right"/>
      <protection hidden="1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49" applyFont="1" applyFill="1" applyAlignment="1" applyProtection="1">
      <alignment horizontal="left"/>
      <protection locked="0"/>
    </xf>
    <xf numFmtId="0" fontId="1" fillId="2" borderId="0" xfId="0" applyFont="1" applyFill="1"/>
    <xf numFmtId="0" fontId="3" fillId="2" borderId="0" xfId="49" applyFont="1" applyFill="1" applyAlignment="1" applyProtection="1">
      <alignment horizontal="right"/>
      <protection hidden="1"/>
    </xf>
    <xf numFmtId="0" fontId="5" fillId="2" borderId="0" xfId="49" applyFont="1" applyFill="1" applyAlignment="1" applyProtection="1">
      <alignment horizontal="right"/>
      <protection hidden="1"/>
    </xf>
    <xf numFmtId="177" fontId="9" fillId="2" borderId="0" xfId="49" applyNumberFormat="1" applyFont="1" applyFill="1" applyProtection="1">
      <protection hidden="1"/>
    </xf>
    <xf numFmtId="0" fontId="3" fillId="2" borderId="0" xfId="49" applyFont="1" applyFill="1" applyAlignment="1" applyProtection="1">
      <alignment horizontal="right"/>
      <protection locked="0"/>
    </xf>
    <xf numFmtId="0" fontId="3" fillId="2" borderId="0" xfId="49" applyFont="1" applyFill="1" applyProtection="1">
      <protection locked="0"/>
    </xf>
    <xf numFmtId="0" fontId="3" fillId="2" borderId="0" xfId="49" applyFont="1" applyFill="1" applyAlignment="1" applyProtection="1">
      <alignment horizontal="left" vertical="center"/>
      <protection locked="0"/>
    </xf>
    <xf numFmtId="1" fontId="8" fillId="2" borderId="0" xfId="0" applyNumberFormat="1" applyFont="1" applyFill="1" applyAlignment="1">
      <alignment horizontal="center" vertical="center"/>
    </xf>
    <xf numFmtId="0" fontId="4" fillId="2" borderId="0" xfId="49" applyFont="1" applyFill="1" applyAlignment="1" applyProtection="1">
      <alignment horizontal="left"/>
      <protection hidden="1"/>
    </xf>
    <xf numFmtId="0" fontId="4" fillId="2" borderId="0" xfId="0" applyFont="1" applyFill="1" applyAlignment="1">
      <alignment horizontal="right"/>
    </xf>
    <xf numFmtId="0" fontId="4" fillId="2" borderId="0" xfId="49" applyFont="1" applyFill="1" applyAlignment="1" applyProtection="1">
      <alignment horizontal="left" vertical="top"/>
      <protection hidden="1"/>
    </xf>
    <xf numFmtId="0" fontId="3" fillId="2" borderId="1" xfId="49" applyFont="1" applyFill="1" applyBorder="1" applyProtection="1">
      <protection locked="0"/>
    </xf>
    <xf numFmtId="0" fontId="3" fillId="2" borderId="0" xfId="0" applyFont="1" applyFill="1" applyAlignment="1">
      <alignment horizontal="right"/>
    </xf>
    <xf numFmtId="0" fontId="4" fillId="2" borderId="0" xfId="49" applyFont="1" applyFill="1" applyAlignment="1" applyProtection="1">
      <alignment horizontal="center"/>
      <protection hidden="1"/>
    </xf>
    <xf numFmtId="177" fontId="4" fillId="2" borderId="0" xfId="49" applyNumberFormat="1" applyFont="1" applyFill="1" applyAlignment="1" applyProtection="1">
      <alignment horizontal="right"/>
      <protection hidden="1"/>
    </xf>
    <xf numFmtId="177" fontId="10" fillId="2" borderId="0" xfId="49" applyNumberFormat="1" applyFont="1" applyFill="1" applyAlignment="1" applyProtection="1">
      <alignment horizontal="center"/>
      <protection hidden="1"/>
    </xf>
    <xf numFmtId="0" fontId="11" fillId="2" borderId="0" xfId="0" applyFont="1" applyFill="1"/>
    <xf numFmtId="0" fontId="4" fillId="2" borderId="0" xfId="49" applyFont="1" applyFill="1" applyProtection="1" quotePrefix="1"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zoomScale="70" zoomScaleNormal="70" topLeftCell="A8" workbookViewId="0">
      <selection activeCell="K37" sqref="K37"/>
    </sheetView>
  </sheetViews>
  <sheetFormatPr defaultColWidth="9" defaultRowHeight="15.75"/>
  <cols>
    <col min="1" max="1" width="10" style="1" customWidth="1"/>
    <col min="2" max="2" width="10.1047619047619" style="1" customWidth="1"/>
    <col min="3" max="4" width="8.88571428571429" style="1"/>
    <col min="5" max="5" width="12.8857142857143" style="1" customWidth="1"/>
    <col min="6" max="6" width="8.88571428571429" style="1"/>
    <col min="7" max="7" width="10.3333333333333" style="1" customWidth="1"/>
    <col min="8" max="10" width="8.88571428571429" style="1"/>
    <col min="11" max="11" width="5.33333333333333" style="1" customWidth="1"/>
    <col min="12" max="12" width="6.33333333333333" style="1" customWidth="1"/>
    <col min="13" max="13" width="12.6666666666667" style="1" customWidth="1"/>
    <col min="14" max="16384" width="8.88571428571429" style="1"/>
  </cols>
  <sheetData>
    <row r="1" spans="1:13">
      <c r="A1" s="2" t="s">
        <v>0</v>
      </c>
      <c r="B1" s="3"/>
      <c r="C1" s="4"/>
      <c r="D1" s="4"/>
      <c r="E1" s="4"/>
      <c r="F1" s="5"/>
      <c r="G1" s="6"/>
      <c r="H1" s="7"/>
      <c r="I1" s="7"/>
      <c r="J1" s="6"/>
      <c r="K1" s="9"/>
      <c r="L1" s="4"/>
      <c r="M1" s="39" t="str">
        <f>"Mẫu số 0"&amp;IF(LEFT($L$7,2)="PT",1,2)&amp;"-TT"</f>
        <v>Mẫu số 02-TT</v>
      </c>
    </row>
    <row r="2" spans="1:13">
      <c r="A2" s="8"/>
      <c r="B2" s="3"/>
      <c r="C2" s="4"/>
      <c r="D2" s="4"/>
      <c r="E2" s="4"/>
      <c r="F2" s="6"/>
      <c r="G2" s="5"/>
      <c r="H2" s="5"/>
      <c r="I2" s="5"/>
      <c r="J2" s="6"/>
      <c r="K2" s="5"/>
      <c r="L2" s="4"/>
      <c r="M2" s="40" t="s">
        <v>1</v>
      </c>
    </row>
    <row r="3" spans="1:13">
      <c r="A3" s="4"/>
      <c r="B3" s="4"/>
      <c r="C3" s="4"/>
      <c r="D3" s="4"/>
      <c r="E3" s="4"/>
      <c r="F3" s="5"/>
      <c r="G3" s="4"/>
      <c r="H3" s="5"/>
      <c r="I3" s="5"/>
      <c r="J3" s="6"/>
      <c r="K3" s="5"/>
      <c r="L3" s="4"/>
      <c r="M3" s="3"/>
    </row>
    <row r="4" ht="22.5" spans="1:13">
      <c r="A4" s="9"/>
      <c r="B4" s="10"/>
      <c r="C4" s="10"/>
      <c r="D4" s="10"/>
      <c r="E4" s="10"/>
      <c r="F4" s="10" t="str">
        <f>"PHIẾU "&amp;IF(MID($L$7,3,2)="PT","THU","CHI")</f>
        <v>PHIẾU CHI</v>
      </c>
      <c r="G4" s="10"/>
      <c r="H4" s="10"/>
      <c r="I4" s="10"/>
      <c r="J4" s="10"/>
      <c r="K4" s="10"/>
      <c r="L4" s="10"/>
      <c r="M4" s="10"/>
    </row>
    <row r="5" spans="1:13">
      <c r="A5" s="11"/>
      <c r="B5" s="11"/>
      <c r="C5" s="11"/>
      <c r="D5" s="11"/>
      <c r="E5" s="12"/>
      <c r="F5" s="12"/>
      <c r="G5" s="12"/>
      <c r="H5" s="12"/>
      <c r="I5" s="11"/>
      <c r="J5" s="11"/>
      <c r="K5" s="11"/>
      <c r="L5" s="11"/>
      <c r="M5" s="41"/>
    </row>
    <row r="6" spans="1:13">
      <c r="A6" s="13"/>
      <c r="B6" s="13"/>
      <c r="C6" s="13"/>
      <c r="D6" s="14"/>
      <c r="E6" s="14"/>
      <c r="F6" s="15"/>
      <c r="G6" s="16"/>
      <c r="H6" s="17"/>
      <c r="I6" s="13"/>
      <c r="J6" s="6"/>
      <c r="K6" s="42" t="s">
        <v>2</v>
      </c>
      <c r="L6" s="43"/>
      <c r="M6" s="30"/>
    </row>
    <row r="7" spans="1:13">
      <c r="A7" s="13"/>
      <c r="B7" s="13"/>
      <c r="C7" s="13"/>
      <c r="D7" s="14"/>
      <c r="E7" s="14"/>
      <c r="F7" s="15"/>
      <c r="G7" s="16"/>
      <c r="H7" s="17"/>
      <c r="I7" s="13"/>
      <c r="J7" s="6"/>
      <c r="K7" s="44" t="s">
        <v>3</v>
      </c>
      <c r="L7" s="45"/>
      <c r="M7" s="45"/>
    </row>
    <row r="8" spans="1:13">
      <c r="A8" s="4"/>
      <c r="B8" s="4"/>
      <c r="C8" s="4"/>
      <c r="D8" s="4"/>
      <c r="E8" s="4"/>
      <c r="F8" s="4"/>
      <c r="G8" s="4"/>
      <c r="H8" s="4"/>
      <c r="I8" s="4"/>
      <c r="J8" s="6"/>
      <c r="K8" s="46"/>
      <c r="L8" s="46"/>
      <c r="M8" s="47"/>
    </row>
    <row r="9" spans="1:13">
      <c r="A9" s="4" t="str">
        <f>"Họ và tên người "&amp;IF(MID($L$7,1,2)="PT","nộp","nhận")&amp;" tiền:"</f>
        <v>Họ và tên người nhận tiền:</v>
      </c>
      <c r="B9" s="4"/>
      <c r="C9" s="18"/>
      <c r="D9" s="4"/>
      <c r="E9" s="4"/>
      <c r="F9" s="4"/>
      <c r="G9" s="4"/>
      <c r="H9" s="4"/>
      <c r="I9" s="4"/>
      <c r="J9" s="6"/>
      <c r="K9" s="48"/>
      <c r="L9" s="46"/>
      <c r="M9" s="47"/>
    </row>
    <row r="10" spans="1:13">
      <c r="A10" s="4" t="s">
        <v>4</v>
      </c>
      <c r="B10" s="4"/>
      <c r="C10" s="4"/>
      <c r="D10" s="6"/>
      <c r="E10" s="4"/>
      <c r="F10" s="4"/>
      <c r="G10" s="4"/>
      <c r="H10" s="4"/>
      <c r="I10" s="4"/>
      <c r="J10" s="4"/>
      <c r="K10" s="4"/>
      <c r="L10" s="4"/>
      <c r="M10" s="3"/>
    </row>
    <row r="11" spans="1:13">
      <c r="A11" s="19" t="str">
        <f>"Lý do "&amp;IF(MID($L$7,3,2)="PT","nộp:","chi:")</f>
        <v>Lý do chi:</v>
      </c>
      <c r="B11" s="6"/>
      <c r="C11" s="20"/>
      <c r="D11" s="6"/>
      <c r="E11" s="21"/>
      <c r="F11" s="21"/>
      <c r="G11" s="21"/>
      <c r="H11" s="21"/>
      <c r="I11" s="21"/>
      <c r="J11" s="21"/>
      <c r="K11" s="21"/>
      <c r="L11" s="21"/>
      <c r="M11" s="21"/>
    </row>
    <row r="12" spans="1:13">
      <c r="A12" s="4" t="s">
        <v>5</v>
      </c>
      <c r="B12" s="6"/>
      <c r="C12" s="6"/>
      <c r="D12" s="22"/>
      <c r="E12" s="6"/>
      <c r="F12" s="4"/>
      <c r="G12" s="4"/>
      <c r="H12" s="4"/>
      <c r="I12" s="4"/>
      <c r="J12" s="4"/>
      <c r="K12" s="4"/>
      <c r="L12" s="4"/>
      <c r="M12" s="3"/>
    </row>
    <row r="13" spans="1:13">
      <c r="A13" s="13" t="s">
        <v>6</v>
      </c>
      <c r="B13" s="13"/>
      <c r="C13" s="23"/>
      <c r="D13" s="23"/>
      <c r="E13" s="23"/>
      <c r="F13" s="23"/>
      <c r="G13" s="23"/>
      <c r="H13" s="23"/>
      <c r="I13" s="23"/>
      <c r="J13" s="14"/>
      <c r="K13" s="14"/>
      <c r="L13" s="14"/>
      <c r="M13" s="14"/>
    </row>
    <row r="14" spans="1:13">
      <c r="A14" s="4" t="s">
        <v>7</v>
      </c>
      <c r="B14" s="4" t="s">
        <v>8</v>
      </c>
      <c r="C14" s="24" t="s">
        <v>9</v>
      </c>
      <c r="D14" s="24"/>
      <c r="E14" s="25" t="s">
        <v>10</v>
      </c>
      <c r="F14" s="25"/>
      <c r="G14" s="25"/>
      <c r="H14" s="25"/>
      <c r="I14" s="25"/>
      <c r="J14" s="25"/>
      <c r="K14" s="25"/>
      <c r="L14" s="25"/>
      <c r="M14" s="3"/>
    </row>
    <row r="15" spans="1:13">
      <c r="A15" s="4"/>
      <c r="B15" s="4"/>
      <c r="C15" s="4"/>
      <c r="D15" s="4"/>
      <c r="E15" s="4"/>
      <c r="F15" s="4"/>
      <c r="G15" s="4"/>
      <c r="H15" s="26"/>
      <c r="I15" s="26"/>
      <c r="J15" s="12"/>
      <c r="K15" s="12"/>
      <c r="L15" s="12"/>
      <c r="M15" s="12"/>
    </row>
    <row r="16" spans="1:13">
      <c r="A16" s="27" t="s">
        <v>11</v>
      </c>
      <c r="B16" s="27"/>
      <c r="C16" s="27" t="s">
        <v>12</v>
      </c>
      <c r="D16" s="27"/>
      <c r="E16" s="27"/>
      <c r="F16" s="27" t="str">
        <f>"Người "&amp;IF(MID($L$7,1,2)="PT","nộp","nhận")&amp;" tiền"</f>
        <v>Người nhận tiền</v>
      </c>
      <c r="G16" s="27"/>
      <c r="H16" s="6"/>
      <c r="I16" s="27" t="s">
        <v>13</v>
      </c>
      <c r="J16" s="27"/>
      <c r="K16" s="13"/>
      <c r="L16" s="27" t="s">
        <v>14</v>
      </c>
      <c r="M16" s="27"/>
    </row>
    <row r="17" spans="1:13">
      <c r="A17" s="15" t="s">
        <v>15</v>
      </c>
      <c r="B17" s="15"/>
      <c r="C17" s="13"/>
      <c r="D17" s="15" t="s">
        <v>16</v>
      </c>
      <c r="E17" s="13"/>
      <c r="F17" s="15" t="s">
        <v>16</v>
      </c>
      <c r="G17" s="15"/>
      <c r="H17" s="6"/>
      <c r="I17" s="15" t="s">
        <v>16</v>
      </c>
      <c r="J17" s="15"/>
      <c r="K17" s="13"/>
      <c r="L17" s="15" t="s">
        <v>16</v>
      </c>
      <c r="M17" s="15"/>
    </row>
    <row r="18" spans="1:13">
      <c r="A18" s="13"/>
      <c r="B18" s="13"/>
      <c r="C18" s="13"/>
      <c r="D18" s="13"/>
      <c r="E18" s="13"/>
      <c r="F18" s="6"/>
      <c r="G18" s="13"/>
      <c r="H18" s="13"/>
      <c r="I18" s="13"/>
      <c r="J18" s="13"/>
      <c r="K18" s="13"/>
      <c r="L18" s="13"/>
      <c r="M18" s="43"/>
    </row>
    <row r="19" spans="1:13">
      <c r="A19" s="13"/>
      <c r="B19" s="13"/>
      <c r="C19" s="13"/>
      <c r="D19" s="13"/>
      <c r="E19" s="13"/>
      <c r="F19" s="6"/>
      <c r="G19" s="13"/>
      <c r="H19" s="13"/>
      <c r="I19" s="13"/>
      <c r="J19" s="13"/>
      <c r="K19" s="13"/>
      <c r="L19" s="13"/>
      <c r="M19" s="43"/>
    </row>
    <row r="20" spans="1:13">
      <c r="A20" s="13"/>
      <c r="B20" s="13"/>
      <c r="C20" s="13"/>
      <c r="D20" s="13"/>
      <c r="E20" s="13"/>
      <c r="F20" s="6"/>
      <c r="G20" s="13"/>
      <c r="H20" s="13"/>
      <c r="I20" s="13"/>
      <c r="J20" s="13"/>
      <c r="K20" s="6"/>
      <c r="L20" s="13"/>
      <c r="M20" s="43"/>
    </row>
    <row r="21" spans="1:13">
      <c r="A21" s="28"/>
      <c r="B21" s="28"/>
      <c r="C21" s="28"/>
      <c r="D21" s="28"/>
      <c r="E21" s="28"/>
      <c r="F21" s="28"/>
      <c r="G21" s="28"/>
      <c r="H21" s="6"/>
      <c r="I21" s="28"/>
      <c r="J21" s="28"/>
      <c r="K21" s="13"/>
      <c r="L21" s="28"/>
      <c r="M21" s="28"/>
    </row>
    <row r="22" spans="1:1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43"/>
    </row>
    <row r="23" spans="1:13">
      <c r="A23" s="13" t="str">
        <f>"Đã "&amp;IF(MID($L$7,1,2)="PT","nộp","nhận")&amp;" đủ số tiền (viết bằng chữ):"</f>
        <v>Đã nhận đủ số tiền (viết bằng chữ):</v>
      </c>
      <c r="B23" s="13"/>
      <c r="C23" s="13"/>
      <c r="D23" s="13"/>
      <c r="E23" s="13" t="s">
        <v>17</v>
      </c>
      <c r="F23" s="13"/>
      <c r="G23" s="13"/>
      <c r="H23" s="13"/>
      <c r="I23" s="13"/>
      <c r="J23" s="13"/>
      <c r="K23" s="13"/>
      <c r="L23" s="13"/>
      <c r="M23" s="43"/>
    </row>
    <row r="24" spans="1:13">
      <c r="A24" s="55" t="s">
        <v>18</v>
      </c>
      <c r="B24" s="13"/>
      <c r="C24" s="13"/>
      <c r="D24" s="13"/>
      <c r="E24" s="13" t="s">
        <v>17</v>
      </c>
      <c r="F24" s="13"/>
      <c r="G24" s="13"/>
      <c r="H24" s="13"/>
      <c r="I24" s="13"/>
      <c r="J24" s="13"/>
      <c r="K24" s="13"/>
      <c r="L24" s="13"/>
      <c r="M24" s="43"/>
    </row>
    <row r="25" spans="1:13">
      <c r="A25" s="55" t="s">
        <v>19</v>
      </c>
      <c r="B25" s="13"/>
      <c r="C25" s="13"/>
      <c r="D25" s="13"/>
      <c r="E25" s="13" t="s">
        <v>17</v>
      </c>
      <c r="F25" s="13"/>
      <c r="G25" s="13"/>
      <c r="H25" s="13"/>
      <c r="I25" s="13"/>
      <c r="J25" s="13"/>
      <c r="K25" s="13"/>
      <c r="L25" s="13"/>
      <c r="M25" s="43"/>
    </row>
    <row r="26" spans="1:1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43"/>
    </row>
    <row r="27" spans="1:1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49"/>
    </row>
    <row r="28" spans="1:1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43"/>
    </row>
    <row r="29" spans="1:13">
      <c r="A29" s="30" t="s">
        <v>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50" t="str">
        <f>"Mẫu số 0"&amp;IF(LEFT($L$7,2)="PT",1,2)&amp;"-TT"</f>
        <v>Mẫu số 02-TT</v>
      </c>
    </row>
    <row r="30" spans="1:13">
      <c r="A30" s="2"/>
      <c r="B30" s="3"/>
      <c r="C30" s="4"/>
      <c r="D30" s="4"/>
      <c r="E30" s="4"/>
      <c r="F30" s="5"/>
      <c r="G30" s="6"/>
      <c r="H30" s="7"/>
      <c r="I30" s="51"/>
      <c r="J30" s="6"/>
      <c r="K30" s="9"/>
      <c r="L30" s="4"/>
      <c r="M30" s="40" t="s">
        <v>1</v>
      </c>
    </row>
    <row r="31" spans="1:13">
      <c r="A31" s="8"/>
      <c r="B31" s="3"/>
      <c r="C31" s="4"/>
      <c r="D31" s="4"/>
      <c r="E31" s="4"/>
      <c r="F31" s="6"/>
      <c r="G31" s="5"/>
      <c r="H31" s="5"/>
      <c r="I31" s="5"/>
      <c r="J31" s="6"/>
      <c r="K31" s="5"/>
      <c r="L31" s="4"/>
      <c r="M31" s="4"/>
    </row>
    <row r="32" spans="1:13">
      <c r="A32" s="4"/>
      <c r="B32" s="4"/>
      <c r="C32" s="4"/>
      <c r="D32" s="4"/>
      <c r="E32" s="4"/>
      <c r="F32" s="5"/>
      <c r="G32" s="4"/>
      <c r="H32" s="5"/>
      <c r="I32" s="5"/>
      <c r="J32" s="6"/>
      <c r="K32" s="5"/>
      <c r="L32" s="4"/>
      <c r="M32" s="3"/>
    </row>
    <row r="33" ht="22.5" spans="1:13">
      <c r="A33" s="9"/>
      <c r="B33" s="31"/>
      <c r="C33" s="31"/>
      <c r="D33" s="31"/>
      <c r="E33" s="31"/>
      <c r="F33" s="31" t="str">
        <f>"PHIẾU "&amp;IF(MID($L$35,3,2)="PT","THU","CHI")</f>
        <v>PHIẾU CHI</v>
      </c>
      <c r="G33" s="31"/>
      <c r="H33" s="31"/>
      <c r="I33" s="31"/>
      <c r="J33" s="31"/>
      <c r="K33" s="31"/>
      <c r="L33" s="31"/>
      <c r="M33" s="31"/>
    </row>
    <row r="34" spans="1:13">
      <c r="A34" s="11"/>
      <c r="B34" s="11"/>
      <c r="C34" s="11"/>
      <c r="D34" s="11"/>
      <c r="E34" s="12"/>
      <c r="F34" s="12"/>
      <c r="G34" s="12"/>
      <c r="H34" s="12"/>
      <c r="I34" s="11"/>
      <c r="J34" s="11"/>
      <c r="K34" s="52" t="s">
        <v>2</v>
      </c>
      <c r="L34" s="41"/>
      <c r="M34" s="6"/>
    </row>
    <row r="35" spans="1:13">
      <c r="A35" s="13"/>
      <c r="B35" s="13"/>
      <c r="C35" s="13"/>
      <c r="D35" s="14"/>
      <c r="E35" s="14"/>
      <c r="F35" s="15"/>
      <c r="G35" s="16"/>
      <c r="H35" s="17"/>
      <c r="I35" s="13"/>
      <c r="J35" s="6"/>
      <c r="K35" s="37" t="s">
        <v>3</v>
      </c>
      <c r="L35" s="45"/>
      <c r="M35" s="45"/>
    </row>
    <row r="36" spans="1:13">
      <c r="A36" s="13"/>
      <c r="B36" s="13"/>
      <c r="C36" s="13"/>
      <c r="D36" s="14"/>
      <c r="E36" s="14"/>
      <c r="F36" s="15"/>
      <c r="G36" s="16"/>
      <c r="H36" s="17"/>
      <c r="I36" s="13"/>
      <c r="J36" s="6"/>
      <c r="K36" s="37"/>
      <c r="L36" s="45"/>
      <c r="M36" s="6"/>
    </row>
    <row r="37" spans="1:13">
      <c r="A37" s="4" t="str">
        <f>"Họ và tên người "&amp;IF(MID($L$35,1,2)="PT","nộp","nhận")&amp;" tiền:"</f>
        <v>Họ và tên người nhận tiền:</v>
      </c>
      <c r="B37" s="4"/>
      <c r="C37" s="4"/>
      <c r="D37" s="4"/>
      <c r="E37" s="4"/>
      <c r="F37" s="4"/>
      <c r="G37" s="4"/>
      <c r="H37" s="4"/>
      <c r="I37" s="4"/>
      <c r="J37" s="6"/>
      <c r="K37" s="46"/>
      <c r="L37" s="3"/>
      <c r="M37" s="6"/>
    </row>
    <row r="38" spans="1:13">
      <c r="A38" s="4" t="s">
        <v>4</v>
      </c>
      <c r="B38" s="4"/>
      <c r="C38" s="4"/>
      <c r="D38" s="9"/>
      <c r="E38" s="4"/>
      <c r="F38" s="4"/>
      <c r="G38" s="4"/>
      <c r="H38" s="4"/>
      <c r="I38" s="4"/>
      <c r="J38" s="6"/>
      <c r="K38" s="6"/>
      <c r="L38" s="19"/>
      <c r="M38" s="3"/>
    </row>
    <row r="39" spans="1:13">
      <c r="A39" s="4" t="str">
        <f>"Lý do "&amp;IF(MID(L35,3,2)="PT","nộp:","chi:")</f>
        <v>Lý do chi:</v>
      </c>
      <c r="B39" s="4"/>
      <c r="C39" s="32"/>
      <c r="D39" s="4"/>
      <c r="E39" s="4"/>
      <c r="F39" s="4"/>
      <c r="G39" s="4"/>
      <c r="H39" s="4"/>
      <c r="I39" s="4"/>
      <c r="J39" s="4"/>
      <c r="K39" s="4"/>
      <c r="L39" s="4"/>
      <c r="M39" s="3"/>
    </row>
    <row r="40" spans="1:13">
      <c r="A40" s="19" t="s">
        <v>5</v>
      </c>
      <c r="B40" s="6"/>
      <c r="C40" s="6"/>
      <c r="D40" s="22"/>
      <c r="E40" s="6"/>
      <c r="F40" s="21"/>
      <c r="G40" s="21"/>
      <c r="H40" s="21"/>
      <c r="I40" s="21"/>
      <c r="J40" s="21"/>
      <c r="K40" s="21"/>
      <c r="L40" s="21"/>
      <c r="M40" s="21"/>
    </row>
    <row r="41" spans="1:13">
      <c r="A41" s="4" t="s">
        <v>6</v>
      </c>
      <c r="B41" s="6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>
      <c r="A42" s="13" t="s">
        <v>7</v>
      </c>
      <c r="B42" s="13" t="s">
        <v>8</v>
      </c>
      <c r="C42" s="13" t="s">
        <v>9</v>
      </c>
      <c r="D42" s="13"/>
      <c r="E42" s="13" t="s">
        <v>20</v>
      </c>
      <c r="F42" s="13"/>
      <c r="G42" s="13"/>
      <c r="H42" s="13"/>
      <c r="I42" s="13"/>
      <c r="J42" s="13"/>
      <c r="K42" s="13"/>
      <c r="L42" s="13"/>
      <c r="M42" s="43"/>
    </row>
    <row r="43" spans="1:13">
      <c r="A43" s="4"/>
      <c r="B43" s="4"/>
      <c r="C43" s="24"/>
      <c r="D43" s="24"/>
      <c r="E43" s="9"/>
      <c r="F43" s="24"/>
      <c r="G43" s="24"/>
      <c r="H43" s="24"/>
      <c r="I43" s="24"/>
      <c r="J43" s="53"/>
      <c r="K43" s="53"/>
      <c r="L43" s="53"/>
      <c r="M43" s="53"/>
    </row>
    <row r="44" spans="1:13">
      <c r="A44" s="7" t="s">
        <v>11</v>
      </c>
      <c r="B44" s="7"/>
      <c r="C44" s="7" t="s">
        <v>12</v>
      </c>
      <c r="D44" s="7"/>
      <c r="E44" s="7"/>
      <c r="F44" s="7" t="str">
        <f>"Người "&amp;IF(MID($L$7,1,2)="PT","nộp","nhận")&amp;" tiền"</f>
        <v>Người nhận tiền</v>
      </c>
      <c r="G44" s="7"/>
      <c r="H44" s="34"/>
      <c r="I44" s="27" t="s">
        <v>13</v>
      </c>
      <c r="J44" s="27"/>
      <c r="K44" s="43"/>
      <c r="L44" s="27" t="s">
        <v>14</v>
      </c>
      <c r="M44" s="27"/>
    </row>
    <row r="45" spans="1:13">
      <c r="A45" s="15" t="s">
        <v>15</v>
      </c>
      <c r="B45" s="15"/>
      <c r="C45" s="15" t="s">
        <v>16</v>
      </c>
      <c r="D45" s="15"/>
      <c r="E45" s="15"/>
      <c r="F45" s="15" t="s">
        <v>16</v>
      </c>
      <c r="G45" s="15"/>
      <c r="H45" s="35"/>
      <c r="I45" s="15" t="s">
        <v>16</v>
      </c>
      <c r="J45" s="15"/>
      <c r="K45" s="14"/>
      <c r="L45" s="15" t="s">
        <v>16</v>
      </c>
      <c r="M45" s="15"/>
    </row>
    <row r="46" spans="1:13">
      <c r="A46" s="15"/>
      <c r="B46" s="15"/>
      <c r="C46" s="13"/>
      <c r="D46" s="15"/>
      <c r="E46" s="13"/>
      <c r="F46" s="15"/>
      <c r="G46" s="15"/>
      <c r="H46" s="6"/>
      <c r="I46" s="13"/>
      <c r="J46" s="13"/>
      <c r="K46" s="13"/>
      <c r="L46" s="13"/>
      <c r="M46" s="43"/>
    </row>
    <row r="47" spans="1:13">
      <c r="A47" s="13"/>
      <c r="B47" s="13"/>
      <c r="C47" s="13"/>
      <c r="D47" s="13"/>
      <c r="E47" s="13"/>
      <c r="F47" s="6"/>
      <c r="G47" s="13"/>
      <c r="H47" s="13"/>
      <c r="I47" s="6"/>
      <c r="J47" s="13"/>
      <c r="K47" s="13"/>
      <c r="L47" s="13"/>
      <c r="M47" s="43"/>
    </row>
    <row r="48" spans="1:13">
      <c r="A48" s="13"/>
      <c r="B48" s="13"/>
      <c r="C48" s="13"/>
      <c r="D48" s="13"/>
      <c r="E48" s="13"/>
      <c r="F48" s="6"/>
      <c r="G48" s="13"/>
      <c r="H48" s="13"/>
      <c r="I48" s="6"/>
      <c r="J48" s="13"/>
      <c r="K48" s="13"/>
      <c r="L48" s="13"/>
      <c r="M48" s="43"/>
    </row>
    <row r="49" spans="1:13">
      <c r="A49" s="28"/>
      <c r="B49" s="28"/>
      <c r="C49" s="28"/>
      <c r="D49" s="28"/>
      <c r="E49" s="28"/>
      <c r="F49" s="36"/>
      <c r="G49" s="36"/>
      <c r="H49" s="13"/>
      <c r="I49" s="28"/>
      <c r="J49" s="28"/>
      <c r="K49" s="6"/>
      <c r="L49" s="28"/>
      <c r="M49" s="28"/>
    </row>
    <row r="50" spans="1:1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43"/>
    </row>
    <row r="51" spans="1:13">
      <c r="A51" s="37" t="str">
        <f>"Đã "&amp;IF(MID(L35,1,2)="PT","nộp","nhận")&amp;" đủ số tiền (viết bằng chữ): "</f>
        <v>Đã nhận đủ số tiền (viết bằng chữ): </v>
      </c>
      <c r="B51" s="37"/>
      <c r="C51" s="37"/>
      <c r="D51" s="37"/>
      <c r="E51" s="13" t="s">
        <v>20</v>
      </c>
      <c r="F51" s="13"/>
      <c r="G51" s="13"/>
      <c r="H51" s="6"/>
      <c r="I51" s="13"/>
      <c r="J51" s="13"/>
      <c r="K51" s="13"/>
      <c r="L51" s="13"/>
      <c r="M51" s="13"/>
    </row>
    <row r="52" spans="1:13">
      <c r="A52" s="37" t="s">
        <v>18</v>
      </c>
      <c r="B52" s="37"/>
      <c r="C52" s="37"/>
      <c r="D52" s="37"/>
      <c r="E52" s="13" t="s">
        <v>20</v>
      </c>
      <c r="F52" s="13"/>
      <c r="G52" s="13"/>
      <c r="H52" s="13"/>
      <c r="I52" s="13"/>
      <c r="J52" s="13"/>
      <c r="K52" s="13"/>
      <c r="L52" s="13"/>
      <c r="M52" s="43"/>
    </row>
    <row r="53" spans="1:13">
      <c r="A53" s="37" t="s">
        <v>19</v>
      </c>
      <c r="B53" s="37"/>
      <c r="C53" s="37"/>
      <c r="D53" s="37"/>
      <c r="E53" s="13" t="s">
        <v>20</v>
      </c>
      <c r="F53" s="13"/>
      <c r="G53" s="13"/>
      <c r="H53" s="13"/>
      <c r="I53" s="13"/>
      <c r="J53" s="13"/>
      <c r="K53" s="13"/>
      <c r="L53" s="13"/>
      <c r="M53" s="43"/>
    </row>
    <row r="54" spans="1:1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54"/>
    </row>
  </sheetData>
  <mergeCells count="41">
    <mergeCell ref="E5:H5"/>
    <mergeCell ref="L7:M7"/>
    <mergeCell ref="C13:I13"/>
    <mergeCell ref="J15:M15"/>
    <mergeCell ref="A16:B16"/>
    <mergeCell ref="C16:E16"/>
    <mergeCell ref="F16:G16"/>
    <mergeCell ref="I16:J16"/>
    <mergeCell ref="L16:M16"/>
    <mergeCell ref="A17:B17"/>
    <mergeCell ref="F17:G17"/>
    <mergeCell ref="I17:J17"/>
    <mergeCell ref="L17:M17"/>
    <mergeCell ref="A21:B21"/>
    <mergeCell ref="C21:E21"/>
    <mergeCell ref="F21:G21"/>
    <mergeCell ref="I21:J21"/>
    <mergeCell ref="L21:M21"/>
    <mergeCell ref="E34:H34"/>
    <mergeCell ref="L35:M35"/>
    <mergeCell ref="C41:M41"/>
    <mergeCell ref="J43:M43"/>
    <mergeCell ref="A44:B44"/>
    <mergeCell ref="C44:E44"/>
    <mergeCell ref="F44:G44"/>
    <mergeCell ref="I44:J44"/>
    <mergeCell ref="L44:M44"/>
    <mergeCell ref="A45:B45"/>
    <mergeCell ref="C45:E45"/>
    <mergeCell ref="F45:G45"/>
    <mergeCell ref="I45:J45"/>
    <mergeCell ref="L45:M45"/>
    <mergeCell ref="A46:B46"/>
    <mergeCell ref="F46:G46"/>
    <mergeCell ref="A49:B49"/>
    <mergeCell ref="C49:E49"/>
    <mergeCell ref="F49:G49"/>
    <mergeCell ref="I49:J49"/>
    <mergeCell ref="L49:M49"/>
    <mergeCell ref="A51:D51"/>
    <mergeCell ref="A52:D52"/>
  </mergeCells>
  <pageMargins left="0.7" right="0.7" top="0.75" bottom="0.75" header="0.3" footer="0.3"/>
  <pageSetup paperSize="9" scale="7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Đặng</cp:lastModifiedBy>
  <dcterms:created xsi:type="dcterms:W3CDTF">2022-08-29T06:20:00Z</dcterms:created>
  <cp:lastPrinted>2022-11-18T03:39:00Z</cp:lastPrinted>
  <dcterms:modified xsi:type="dcterms:W3CDTF">2024-06-10T11:17:02Z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CB2CB04AD70C4361B8286C2E629BF772_12</vt:lpwstr>
  </property>
  <property fmtid="{D5CDD505-2E9C-101B-9397-08002B2CF9AE}" pid="3" name="KSOProductBuildVer">
    <vt:lpwstr>1033-12.2.0.17119</vt:lpwstr>
  </property>
</Properties>
</file>