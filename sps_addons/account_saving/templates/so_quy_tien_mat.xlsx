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S\addons_sps\account_saving\templates\"/>
    </mc:Choice>
  </mc:AlternateContent>
  <xr:revisionPtr revIDLastSave="0" documentId="13_ncr:1_{8CD9958B-4DFF-48FF-94DD-C46846CB80FC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Data" sheetId="43" r:id="rId1"/>
    <sheet name="Report" sheetId="53" r:id="rId2"/>
    <sheet name="Phieuthu_chi" sheetId="55" r:id="rId3"/>
    <sheet name="Classification" sheetId="56" r:id="rId4"/>
    <sheet name="Lãi tiền gửi" sheetId="5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Data!$A$4:$N$4</definedName>
    <definedName name="DATA">[1]SO_QUY!$B$10:$I$46</definedName>
    <definedName name="DMNV">'[1]DMNV '!$A$4:$G$23</definedName>
    <definedName name="DSCBNV">'[2]Du lieu'!$AA$5:$AA$18</definedName>
    <definedName name="du_an">'[3]Không xóa'!$E$5:$E$9</definedName>
    <definedName name="Gio_cong_tieu_chuan">'[4]Du lieu'!$P$4:$S$4</definedName>
    <definedName name="he_so">'[4]Du lieu'!$E$4:$E$7</definedName>
    <definedName name="Ho_ten">'[5]Du lieu'!$AA$5:$AA$18</definedName>
    <definedName name="Lam_sach">'[6]khong xoa'!$A$1:$A$12</definedName>
    <definedName name="_xlnm.Print_Area" localSheetId="0">Data!$A$1:$N$4</definedName>
    <definedName name="_xlnm.Print_Area" localSheetId="4">'Lãi tiền gửi'!$A$1:$D$16</definedName>
    <definedName name="_xlnm.Print_Area" localSheetId="2">Phieuthu_chi!$A$1:$M$54</definedName>
    <definedName name="_xlnm.Print_Area" localSheetId="1">Report!$A$1:$Q$48</definedName>
    <definedName name="_xlnm.Print_Titles" localSheetId="0">Data!$3:$4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0" i="55" l="1"/>
  <c r="E34" i="55" l="1"/>
  <c r="A37" i="55" l="1"/>
  <c r="A9" i="55"/>
  <c r="C26" i="53" l="1"/>
  <c r="B26" i="53"/>
  <c r="C25" i="53"/>
  <c r="B25" i="53"/>
  <c r="B22" i="53"/>
  <c r="C22" i="53"/>
  <c r="B23" i="53"/>
  <c r="C23" i="53"/>
  <c r="B19" i="53"/>
  <c r="C19" i="53"/>
  <c r="B20" i="53"/>
  <c r="C20" i="53"/>
  <c r="B21" i="53"/>
  <c r="C21" i="53"/>
  <c r="B15" i="53"/>
  <c r="C15" i="53"/>
  <c r="B16" i="53"/>
  <c r="C16" i="53"/>
  <c r="C17" i="53"/>
  <c r="B17" i="53"/>
  <c r="B18" i="53"/>
  <c r="C18" i="53"/>
  <c r="C14" i="53"/>
  <c r="C13" i="53"/>
  <c r="C12" i="53"/>
  <c r="C11" i="53"/>
  <c r="B9" i="53"/>
  <c r="B8" i="53"/>
  <c r="C9" i="53"/>
  <c r="C8" i="53"/>
  <c r="Q2" i="53" l="1"/>
  <c r="A39" i="55" l="1"/>
  <c r="C12" i="55"/>
  <c r="C11" i="55"/>
  <c r="C10" i="55"/>
  <c r="D9" i="55"/>
  <c r="F21" i="55" s="1"/>
  <c r="E5" i="55"/>
  <c r="C39" i="55" l="1"/>
  <c r="C38" i="55"/>
  <c r="D37" i="55"/>
  <c r="C13" i="55"/>
  <c r="L2" i="43" l="1"/>
  <c r="F33" i="55" l="1"/>
  <c r="C41" i="55"/>
  <c r="J43" i="55" l="1"/>
  <c r="F44" i="55"/>
  <c r="F49" i="55"/>
  <c r="M29" i="55"/>
  <c r="A11" i="54" l="1"/>
  <c r="A12" i="54" s="1"/>
  <c r="A13" i="54" s="1"/>
  <c r="A14" i="54" s="1"/>
  <c r="A15" i="54" s="1"/>
  <c r="A16" i="54" s="1"/>
  <c r="A11" i="55" l="1"/>
  <c r="F16" i="55" l="1"/>
  <c r="F4" i="55"/>
  <c r="J15" i="55" l="1"/>
  <c r="M1" i="55" l="1"/>
  <c r="O6" i="53" l="1"/>
  <c r="I3" i="53" l="1"/>
  <c r="D3" i="53" l="1"/>
  <c r="F3" i="53"/>
  <c r="J3" i="53"/>
  <c r="L3" i="53"/>
  <c r="I5" i="53"/>
  <c r="I6" i="53"/>
  <c r="I4" i="53"/>
  <c r="K3" i="53"/>
  <c r="E3" i="53"/>
  <c r="M3" i="53"/>
  <c r="N3" i="53"/>
  <c r="G3" i="53"/>
  <c r="O3" i="53"/>
  <c r="H3" i="53"/>
  <c r="I16" i="53" l="1"/>
  <c r="I15" i="53"/>
  <c r="I17" i="53"/>
  <c r="I19" i="53"/>
  <c r="I21" i="53"/>
  <c r="I8" i="53"/>
  <c r="I22" i="53"/>
  <c r="I20" i="53"/>
  <c r="I23" i="53"/>
  <c r="I11" i="53"/>
  <c r="I14" i="53"/>
  <c r="I18" i="53"/>
  <c r="I12" i="53"/>
  <c r="I13" i="53"/>
  <c r="I9" i="53"/>
  <c r="I26" i="53"/>
  <c r="I25" i="53"/>
  <c r="D6" i="53"/>
  <c r="J6" i="53"/>
  <c r="L6" i="53"/>
  <c r="L4" i="53"/>
  <c r="L5" i="53"/>
  <c r="J5" i="53"/>
  <c r="J4" i="53"/>
  <c r="D4" i="53"/>
  <c r="F6" i="53"/>
  <c r="F4" i="53"/>
  <c r="D5" i="53"/>
  <c r="F5" i="53"/>
  <c r="K6" i="53"/>
  <c r="K4" i="53"/>
  <c r="K5" i="53"/>
  <c r="E6" i="53"/>
  <c r="E4" i="53"/>
  <c r="E5" i="53"/>
  <c r="O5" i="53"/>
  <c r="O4" i="53"/>
  <c r="H5" i="53"/>
  <c r="H6" i="53"/>
  <c r="H4" i="53"/>
  <c r="M6" i="53"/>
  <c r="M4" i="53"/>
  <c r="M5" i="53"/>
  <c r="G5" i="53"/>
  <c r="G6" i="53"/>
  <c r="G4" i="53"/>
  <c r="N5" i="53"/>
  <c r="N6" i="53"/>
  <c r="N4" i="53"/>
  <c r="D18" i="53" l="1"/>
  <c r="K16" i="53"/>
  <c r="G16" i="53"/>
  <c r="O16" i="53"/>
  <c r="L16" i="53"/>
  <c r="F16" i="53"/>
  <c r="N16" i="53"/>
  <c r="D16" i="53"/>
  <c r="H16" i="53"/>
  <c r="J16" i="53"/>
  <c r="M16" i="53"/>
  <c r="E16" i="53"/>
  <c r="N15" i="53"/>
  <c r="J15" i="53"/>
  <c r="D15" i="53"/>
  <c r="O15" i="53"/>
  <c r="F15" i="53"/>
  <c r="H15" i="53"/>
  <c r="K15" i="53"/>
  <c r="G15" i="53"/>
  <c r="L15" i="53"/>
  <c r="M15" i="53"/>
  <c r="E15" i="53"/>
  <c r="I24" i="53"/>
  <c r="K19" i="53"/>
  <c r="K9" i="53"/>
  <c r="K23" i="53"/>
  <c r="K22" i="53"/>
  <c r="K14" i="53"/>
  <c r="K11" i="53"/>
  <c r="K12" i="53"/>
  <c r="K17" i="53"/>
  <c r="K8" i="53"/>
  <c r="K21" i="53"/>
  <c r="K18" i="53"/>
  <c r="K13" i="53"/>
  <c r="K20" i="53"/>
  <c r="K26" i="53"/>
  <c r="K25" i="53"/>
  <c r="F13" i="53"/>
  <c r="F20" i="53"/>
  <c r="F23" i="53"/>
  <c r="F11" i="53"/>
  <c r="F12" i="53"/>
  <c r="F8" i="53"/>
  <c r="F14" i="53"/>
  <c r="F22" i="53"/>
  <c r="F17" i="53"/>
  <c r="F19" i="53"/>
  <c r="F21" i="53"/>
  <c r="F18" i="53"/>
  <c r="F9" i="53"/>
  <c r="F26" i="53"/>
  <c r="F25" i="53"/>
  <c r="G18" i="53"/>
  <c r="G13" i="53"/>
  <c r="G20" i="53"/>
  <c r="G23" i="53"/>
  <c r="G11" i="53"/>
  <c r="G22" i="53"/>
  <c r="G19" i="53"/>
  <c r="G21" i="53"/>
  <c r="G14" i="53"/>
  <c r="G17" i="53"/>
  <c r="G12" i="53"/>
  <c r="G9" i="53"/>
  <c r="G8" i="53"/>
  <c r="G26" i="53"/>
  <c r="G25" i="53"/>
  <c r="M21" i="53"/>
  <c r="M18" i="53"/>
  <c r="M13" i="53"/>
  <c r="M20" i="53"/>
  <c r="M17" i="53"/>
  <c r="M8" i="53"/>
  <c r="M22" i="53"/>
  <c r="M14" i="53"/>
  <c r="M12" i="53"/>
  <c r="M19" i="53"/>
  <c r="M9" i="53"/>
  <c r="M11" i="53"/>
  <c r="M23" i="53"/>
  <c r="M26" i="53"/>
  <c r="M25" i="53"/>
  <c r="E14" i="53"/>
  <c r="E22" i="53"/>
  <c r="E20" i="53"/>
  <c r="E23" i="53"/>
  <c r="E11" i="53"/>
  <c r="E19" i="53"/>
  <c r="E21" i="53"/>
  <c r="E17" i="53"/>
  <c r="E18" i="53"/>
  <c r="E12" i="53"/>
  <c r="E8" i="53"/>
  <c r="E13" i="53"/>
  <c r="E26" i="53"/>
  <c r="E9" i="53"/>
  <c r="E25" i="53"/>
  <c r="N20" i="53"/>
  <c r="N17" i="53"/>
  <c r="N11" i="53"/>
  <c r="N12" i="53"/>
  <c r="N9" i="53"/>
  <c r="N19" i="53"/>
  <c r="N23" i="53"/>
  <c r="N22" i="53"/>
  <c r="N14" i="53"/>
  <c r="N8" i="53"/>
  <c r="N21" i="53"/>
  <c r="N18" i="53"/>
  <c r="N13" i="53"/>
  <c r="N26" i="53"/>
  <c r="N25" i="53"/>
  <c r="O19" i="53"/>
  <c r="O9" i="53"/>
  <c r="O17" i="53"/>
  <c r="O23" i="53"/>
  <c r="O22" i="53"/>
  <c r="O14" i="53"/>
  <c r="O11" i="53"/>
  <c r="O12" i="53"/>
  <c r="O20" i="53"/>
  <c r="O21" i="53"/>
  <c r="O18" i="53"/>
  <c r="O13" i="53"/>
  <c r="O8" i="53"/>
  <c r="O26" i="53"/>
  <c r="P26" i="53" s="1"/>
  <c r="O25" i="53"/>
  <c r="D26" i="53"/>
  <c r="D23" i="53"/>
  <c r="D12" i="53"/>
  <c r="D17" i="53"/>
  <c r="D19" i="53"/>
  <c r="D22" i="53"/>
  <c r="D14" i="53"/>
  <c r="D11" i="53"/>
  <c r="D20" i="53"/>
  <c r="D13" i="53"/>
  <c r="D9" i="53"/>
  <c r="D21" i="53"/>
  <c r="D8" i="53"/>
  <c r="D25" i="53"/>
  <c r="L23" i="53"/>
  <c r="L22" i="53"/>
  <c r="L14" i="53"/>
  <c r="L8" i="53"/>
  <c r="L21" i="53"/>
  <c r="L18" i="53"/>
  <c r="L13" i="53"/>
  <c r="L9" i="53"/>
  <c r="L19" i="53"/>
  <c r="L20" i="53"/>
  <c r="L17" i="53"/>
  <c r="L11" i="53"/>
  <c r="L12" i="53"/>
  <c r="L26" i="53"/>
  <c r="L25" i="53"/>
  <c r="H19" i="53"/>
  <c r="H21" i="53"/>
  <c r="H8" i="53"/>
  <c r="H18" i="53"/>
  <c r="H13" i="53"/>
  <c r="H20" i="53"/>
  <c r="H23" i="53"/>
  <c r="H11" i="53"/>
  <c r="H22" i="53"/>
  <c r="H9" i="53"/>
  <c r="H17" i="53"/>
  <c r="H12" i="53"/>
  <c r="H14" i="53"/>
  <c r="H26" i="53"/>
  <c r="H25" i="53"/>
  <c r="J22" i="53"/>
  <c r="J20" i="53"/>
  <c r="J23" i="53"/>
  <c r="J11" i="53"/>
  <c r="J12" i="53"/>
  <c r="J18" i="53"/>
  <c r="J17" i="53"/>
  <c r="J13" i="53"/>
  <c r="J19" i="53"/>
  <c r="J21" i="53"/>
  <c r="J8" i="53"/>
  <c r="J14" i="53"/>
  <c r="J9" i="53"/>
  <c r="J26" i="53"/>
  <c r="J25" i="53"/>
  <c r="O7" i="53"/>
  <c r="D10" i="53"/>
  <c r="D7" i="53"/>
  <c r="K7" i="53"/>
  <c r="J10" i="53"/>
  <c r="K10" i="53"/>
  <c r="J7" i="53"/>
  <c r="E7" i="53"/>
  <c r="M7" i="53"/>
  <c r="F7" i="53"/>
  <c r="F10" i="53"/>
  <c r="G7" i="53"/>
  <c r="N7" i="53"/>
  <c r="N10" i="53"/>
  <c r="E10" i="53"/>
  <c r="M10" i="53"/>
  <c r="L10" i="53"/>
  <c r="L7" i="53"/>
  <c r="I7" i="53"/>
  <c r="I10" i="53"/>
  <c r="O10" i="53"/>
  <c r="H7" i="53"/>
  <c r="H10" i="53"/>
  <c r="G10" i="53"/>
  <c r="P16" i="53" l="1"/>
  <c r="P15" i="53"/>
  <c r="E24" i="53"/>
  <c r="J24" i="53"/>
  <c r="D24" i="53"/>
  <c r="H24" i="53"/>
  <c r="L24" i="53"/>
  <c r="N24" i="53"/>
  <c r="M24" i="53"/>
  <c r="G24" i="53"/>
  <c r="F24" i="53"/>
  <c r="K24" i="53"/>
  <c r="P25" i="53"/>
  <c r="O24" i="53"/>
  <c r="P21" i="53"/>
  <c r="P20" i="53"/>
  <c r="P19" i="53"/>
  <c r="P18" i="53"/>
  <c r="P17" i="53"/>
  <c r="P22" i="53"/>
  <c r="P23" i="53"/>
  <c r="P12" i="53"/>
  <c r="P11" i="53"/>
  <c r="P8" i="53"/>
  <c r="P9" i="53"/>
  <c r="P13" i="53"/>
  <c r="P14" i="53"/>
  <c r="P10" i="53"/>
  <c r="P7" i="53"/>
  <c r="Q16" i="53" l="1"/>
  <c r="Q15" i="53"/>
  <c r="Q21" i="53"/>
  <c r="Q20" i="53"/>
  <c r="Q19" i="53"/>
  <c r="Q23" i="53"/>
  <c r="Q22" i="53"/>
  <c r="Q17" i="53"/>
  <c r="Q18" i="53"/>
  <c r="Q11" i="53"/>
  <c r="Q12" i="53"/>
  <c r="Q8" i="53"/>
  <c r="Q9" i="53"/>
  <c r="Q14" i="53"/>
  <c r="Q13" i="53"/>
  <c r="P24" i="53" l="1"/>
  <c r="Q24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Phong.hv</author>
  </authors>
  <commentList>
    <comment ref="G3" authorId="0" shapeId="0" xr:uid="{00000000-0006-0000-0000-000001000000}">
      <text>
        <r>
          <rPr>
            <b/>
            <sz val="10.5"/>
            <color indexed="81"/>
            <rFont val="Tahoma"/>
            <family val="2"/>
          </rPr>
          <t>T</t>
        </r>
        <r>
          <rPr>
            <sz val="10.5"/>
            <color indexed="81"/>
            <rFont val="Tahoma"/>
            <family val="2"/>
          </rPr>
          <t xml:space="preserve">AX: Đáp ứng yêu cầu thuế
</t>
        </r>
        <r>
          <rPr>
            <b/>
            <sz val="10.5"/>
            <color indexed="81"/>
            <rFont val="Tahoma"/>
            <family val="2"/>
          </rPr>
          <t>I</t>
        </r>
        <r>
          <rPr>
            <sz val="10.5"/>
            <color indexed="81"/>
            <rFont val="Tahoma"/>
            <family val="2"/>
          </rPr>
          <t>nternal: Nội bộ</t>
        </r>
      </text>
    </comment>
    <comment ref="H3" authorId="0" shapeId="0" xr:uid="{00000000-0006-0000-0000-000002000000}">
      <text>
        <r>
          <rPr>
            <sz val="10.5"/>
            <color indexed="81"/>
            <rFont val="Tahoma"/>
            <family val="2"/>
          </rPr>
          <t>Xem hướng dẫn tại sheet "</t>
        </r>
        <r>
          <rPr>
            <b/>
            <sz val="10.5"/>
            <color indexed="81"/>
            <rFont val="Tahoma"/>
            <family val="2"/>
          </rPr>
          <t>Classification</t>
        </r>
        <r>
          <rPr>
            <sz val="10.5"/>
            <color indexed="81"/>
            <rFont val="Tahoma"/>
            <family val="2"/>
          </rPr>
          <t>"</t>
        </r>
      </text>
    </comment>
    <comment ref="I3" authorId="0" shapeId="0" xr:uid="{00000000-0006-0000-0000-000003000000}">
      <text>
        <r>
          <rPr>
            <b/>
            <sz val="10.5"/>
            <color indexed="81"/>
            <rFont val="Tahoma"/>
            <family val="2"/>
          </rPr>
          <t>B</t>
        </r>
        <r>
          <rPr>
            <sz val="10.5"/>
            <color indexed="81"/>
            <rFont val="Tahoma"/>
            <family val="2"/>
          </rPr>
          <t xml:space="preserve">IDV: chuyển khoản BIDV
</t>
        </r>
        <r>
          <rPr>
            <b/>
            <sz val="10.5"/>
            <color indexed="81"/>
            <rFont val="Tahoma"/>
            <family val="2"/>
          </rPr>
          <t>T</t>
        </r>
        <r>
          <rPr>
            <sz val="10.5"/>
            <color indexed="81"/>
            <rFont val="Tahoma"/>
            <family val="2"/>
          </rPr>
          <t xml:space="preserve">CB: Chuyển khoản TCB
</t>
        </r>
        <r>
          <rPr>
            <b/>
            <sz val="10.5"/>
            <color indexed="81"/>
            <rFont val="Tahoma"/>
            <family val="2"/>
          </rPr>
          <t>C</t>
        </r>
        <r>
          <rPr>
            <sz val="10.5"/>
            <color indexed="81"/>
            <rFont val="Tahoma"/>
            <family val="2"/>
          </rPr>
          <t xml:space="preserve">ash: Tiền mặt
</t>
        </r>
        <r>
          <rPr>
            <b/>
            <sz val="10.5"/>
            <color indexed="81"/>
            <rFont val="Tahoma"/>
            <family val="2"/>
          </rPr>
          <t>I</t>
        </r>
        <r>
          <rPr>
            <sz val="10.5"/>
            <color indexed="81"/>
            <rFont val="Tahoma"/>
            <family val="2"/>
          </rPr>
          <t>-TCB: Chuyển khoản nội bộ</t>
        </r>
      </text>
    </comment>
  </commentList>
</comments>
</file>

<file path=xl/sharedStrings.xml><?xml version="1.0" encoding="utf-8"?>
<sst xmlns="http://schemas.openxmlformats.org/spreadsheetml/2006/main" count="221" uniqueCount="178">
  <si>
    <t>Total</t>
  </si>
  <si>
    <t>Nội dung</t>
  </si>
  <si>
    <t>Ngày</t>
  </si>
  <si>
    <t>Ghi chú</t>
  </si>
  <si>
    <t xml:space="preserve"> </t>
  </si>
  <si>
    <t>Lãi tiền gửi</t>
  </si>
  <si>
    <t>Số hiệu chứng từ</t>
  </si>
  <si>
    <t xml:space="preserve">SỔ QUỸ NỘI BỘ </t>
  </si>
  <si>
    <t>BÁO CÁO TÌNH HÌNH THU CHI QUỸ NỘI BỘ</t>
  </si>
  <si>
    <t>Ghi chú: Thống kê số liệu 12 tháng gần nhất</t>
  </si>
  <si>
    <t xml:space="preserve">Updated </t>
  </si>
  <si>
    <r>
      <t xml:space="preserve">Phân loại
</t>
    </r>
    <r>
      <rPr>
        <i/>
        <sz val="11"/>
        <color theme="1"/>
        <rFont val="Calibri"/>
        <family val="2"/>
        <scheme val="minor"/>
      </rPr>
      <t>Classification</t>
    </r>
  </si>
  <si>
    <t>Tỉ lệ
%</t>
  </si>
  <si>
    <t>Công thức trung gian lọc ra năm</t>
  </si>
  <si>
    <t>Công thức trung gian lọc ra tháng</t>
  </si>
  <si>
    <t>Công thức trung gian lọc ra ngày</t>
  </si>
  <si>
    <t>Các khoản chi có HĐ</t>
  </si>
  <si>
    <t>Các khoản chi không có HĐ</t>
  </si>
  <si>
    <t>Tổng tiền còn tồn</t>
  </si>
  <si>
    <t>Cash</t>
  </si>
  <si>
    <t>Chi tiền mặt</t>
  </si>
  <si>
    <t>Chi chuyển khoản</t>
  </si>
  <si>
    <t>TAX</t>
  </si>
  <si>
    <t>Internal</t>
  </si>
  <si>
    <t>Số tiền</t>
  </si>
  <si>
    <t>CÔNG TY CỔ PHẦN DỊCH VỤ SPS</t>
  </si>
  <si>
    <t>Số:</t>
  </si>
  <si>
    <t>Nợ:</t>
  </si>
  <si>
    <t>Địa chỉ:</t>
  </si>
  <si>
    <t>Số tiền:</t>
  </si>
  <si>
    <t>Viết bằng chữ:</t>
  </si>
  <si>
    <t>Kèm theo:</t>
  </si>
  <si>
    <t>Chứng từ gốc:</t>
  </si>
  <si>
    <t>Giám đốc</t>
  </si>
  <si>
    <t>Thủ quỹ</t>
  </si>
  <si>
    <t>(Ký, họ tên, đóng dấu)</t>
  </si>
  <si>
    <t>(Ký, họ tên)</t>
  </si>
  <si>
    <t>Quyển số:</t>
  </si>
  <si>
    <t xml:space="preserve">Có: </t>
  </si>
  <si>
    <t>Phụ trách kế toán</t>
  </si>
  <si>
    <t>Đã nhận đủ số tiền (viết bằng chữ):</t>
  </si>
  <si>
    <t>Hoàng Văn Phong</t>
  </si>
  <si>
    <t>Đỗ Thị Loan</t>
  </si>
  <si>
    <t>…………..</t>
  </si>
  <si>
    <t>……………………………………………………………………………………</t>
  </si>
  <si>
    <t>+ Tỷ giá ngoại tệ (vàng bạc, đá quý):</t>
  </si>
  <si>
    <t xml:space="preserve">+ Số tiền quy đổi: </t>
  </si>
  <si>
    <t>Người lập phiếu</t>
  </si>
  <si>
    <t>………</t>
  </si>
  <si>
    <t>……….</t>
  </si>
  <si>
    <t>……..</t>
  </si>
  <si>
    <t>Phân loại chứng từ</t>
  </si>
  <si>
    <t>CR</t>
  </si>
  <si>
    <t>Chứng từ thuế</t>
  </si>
  <si>
    <t>Chứng từ nội bộ</t>
  </si>
  <si>
    <t>Tiền mặt</t>
  </si>
  <si>
    <t>Lãi tiền gửi tháng 11/2020</t>
  </si>
  <si>
    <t>Lãi tiền gửi tháng 12/2020</t>
  </si>
  <si>
    <t>Lãi tiền gửi tháng 01/2021</t>
  </si>
  <si>
    <t>Lãi tiền gửi tháng 02/2021</t>
  </si>
  <si>
    <t>Lãi tiền gửi tháng 03/2021</t>
  </si>
  <si>
    <t>Lãi tiền gửi tháng 04/2021</t>
  </si>
  <si>
    <t>Lãi tiền gửi tháng 05/2021</t>
  </si>
  <si>
    <t>Lãi tiền gửi tháng 06/2021</t>
  </si>
  <si>
    <t>Prepared by Thuong.dt</t>
  </si>
  <si>
    <t>TT</t>
  </si>
  <si>
    <t>Thời gian</t>
  </si>
  <si>
    <t>Tiết kiệm</t>
  </si>
  <si>
    <t xml:space="preserve">Updated by: </t>
  </si>
  <si>
    <t xml:space="preserve">Date: </t>
  </si>
  <si>
    <t>Đối chiếu</t>
  </si>
  <si>
    <t>I-TCB</t>
  </si>
  <si>
    <t>…………………………………………………………..……………………………</t>
  </si>
  <si>
    <t>(Ban hành theo TT số 200/2014/TT-BTC ngày 22/12/2014 của BTC)</t>
  </si>
  <si>
    <r>
      <t xml:space="preserve">Mã
</t>
    </r>
    <r>
      <rPr>
        <i/>
        <sz val="11"/>
        <color theme="1"/>
        <rFont val="Calibri"/>
        <family val="2"/>
        <scheme val="minor"/>
      </rPr>
      <t>Code</t>
    </r>
  </si>
  <si>
    <t>I. Phân loại các khoản thu:</t>
  </si>
  <si>
    <t>Thu từ Bảo trì &amp; Dịch vụ</t>
  </si>
  <si>
    <t>RMS</t>
  </si>
  <si>
    <t>Thu từ quản lý vận hành tòa nhà</t>
  </si>
  <si>
    <t>RFM</t>
  </si>
  <si>
    <t>Thu từ lãi tiền gửi hoặc lãi đầu tư tài chính, thanh lý tài sản</t>
  </si>
  <si>
    <t>RIN</t>
  </si>
  <si>
    <t>ROT</t>
  </si>
  <si>
    <t>SC</t>
  </si>
  <si>
    <t>PHÂN LOẠI &amp; MÃ KHOẢN MỤC:</t>
  </si>
  <si>
    <t>Các khoản chi cho các dự án Bảo trì &amp; Dịch vụ</t>
  </si>
  <si>
    <t>MS</t>
  </si>
  <si>
    <t>FM</t>
  </si>
  <si>
    <t>SS</t>
  </si>
  <si>
    <t>CS</t>
  </si>
  <si>
    <t>PG</t>
  </si>
  <si>
    <t>LC</t>
  </si>
  <si>
    <t>Chi phí quan hệ khách hàng</t>
  </si>
  <si>
    <t>Vật tư tiêu hao dùng chung</t>
  </si>
  <si>
    <t>GC</t>
  </si>
  <si>
    <t>AT</t>
  </si>
  <si>
    <t>OH</t>
  </si>
  <si>
    <t>TA</t>
  </si>
  <si>
    <t>Thanh toán khoản vay, trả tiền cổ đông, chi trả cổ tức</t>
  </si>
  <si>
    <t>DP</t>
  </si>
  <si>
    <t>XLHĐ</t>
  </si>
  <si>
    <t>IV</t>
  </si>
  <si>
    <t>BA</t>
  </si>
  <si>
    <t>Tiền mặt quỹ</t>
  </si>
  <si>
    <t>Ngân hàng nội bộ</t>
  </si>
  <si>
    <t>Ngân hàng BIDV</t>
  </si>
  <si>
    <t>BIDV</t>
  </si>
  <si>
    <t>Ngân hàng Techcombank</t>
  </si>
  <si>
    <t>TCB</t>
  </si>
  <si>
    <t>Lương nhân viên &amp; BHXH, BHYT, đồng phục, giày, trợ cấp điện thoại</t>
  </si>
  <si>
    <t>Tài sản, công cụ dụng cụ, máy tính, trang thiết bị văn phòng, trang bị an toàn (mũ, kính, đai an toàn…)</t>
  </si>
  <si>
    <t>Thu khác: thu tạm ứng thừa, tiền chuyển sai, thu từ XLHĐ, thu tiền mua hộ</t>
  </si>
  <si>
    <t>II. Tiền gửi tiết kiệm: bao gồm cả khoản gửi và rút</t>
  </si>
  <si>
    <t>III. Phân loại chi phí:</t>
  </si>
  <si>
    <t>IV. Phân loại chứng từ:</t>
  </si>
  <si>
    <t>V. Hình thức thu chi:</t>
  </si>
  <si>
    <t>Chỉnh sửa, hiệu chỉnh số liệu</t>
  </si>
  <si>
    <t>N/A</t>
  </si>
  <si>
    <t>VI. Khác:</t>
  </si>
  <si>
    <t>Mã
khoản tiền</t>
  </si>
  <si>
    <t>Hình thức
Thu / Chi</t>
  </si>
  <si>
    <r>
      <rPr>
        <sz val="10"/>
        <rFont val="Times New Roman"/>
        <family val="1"/>
      </rPr>
      <t xml:space="preserve"> Thuế </t>
    </r>
    <r>
      <rPr>
        <i/>
        <sz val="10"/>
        <rFont val="Times New Roman"/>
        <family val="1"/>
      </rPr>
      <t xml:space="preserve">(TAX)
</t>
    </r>
    <r>
      <rPr>
        <sz val="10"/>
        <rFont val="Times New Roman"/>
        <family val="1"/>
      </rPr>
      <t xml:space="preserve">/ Nội bộ </t>
    </r>
    <r>
      <rPr>
        <i/>
        <sz val="10"/>
        <rFont val="Times New Roman"/>
        <family val="1"/>
      </rPr>
      <t>(Internal)</t>
    </r>
  </si>
  <si>
    <t>Value Code</t>
  </si>
  <si>
    <t xml:space="preserve"> Cash/
BIDV/ TCB/ I-TCB</t>
  </si>
  <si>
    <t>Người nhận or nộp tiền</t>
  </si>
  <si>
    <t>Tên khách hàng/ nhà thầu</t>
  </si>
  <si>
    <t>Diễn giải</t>
  </si>
  <si>
    <r>
      <rPr>
        <b/>
        <sz val="11"/>
        <rFont val="Times New Roman"/>
        <family val="1"/>
      </rPr>
      <t>Mã dự án</t>
    </r>
    <r>
      <rPr>
        <b/>
        <i/>
        <sz val="11"/>
        <rFont val="Times New Roman"/>
        <family val="1"/>
      </rPr>
      <t/>
    </r>
  </si>
  <si>
    <r>
      <rPr>
        <b/>
        <sz val="11"/>
        <rFont val="Times New Roman"/>
        <family val="1"/>
      </rPr>
      <t xml:space="preserve">Số tiền
</t>
    </r>
    <r>
      <rPr>
        <i/>
        <sz val="11"/>
        <rFont val="Times New Roman"/>
        <family val="1"/>
      </rPr>
      <t>Amount</t>
    </r>
  </si>
  <si>
    <t>Date</t>
  </si>
  <si>
    <t>Recipients
or payers</t>
  </si>
  <si>
    <t>Client's name/ Contractor's name</t>
  </si>
  <si>
    <t>Items</t>
  </si>
  <si>
    <t>Project's code</t>
  </si>
  <si>
    <r>
      <rPr>
        <b/>
        <sz val="11"/>
        <rFont val="Times New Roman"/>
        <family val="1"/>
      </rPr>
      <t>Thu</t>
    </r>
    <r>
      <rPr>
        <i/>
        <sz val="11"/>
        <rFont val="Times New Roman"/>
        <family val="1"/>
      </rPr>
      <t xml:space="preserve">
Value of receiving</t>
    </r>
  </si>
  <si>
    <r>
      <rPr>
        <b/>
        <sz val="11"/>
        <rFont val="Times New Roman"/>
        <family val="1"/>
      </rPr>
      <t>Chi</t>
    </r>
    <r>
      <rPr>
        <i/>
        <sz val="11"/>
        <rFont val="Times New Roman"/>
        <family val="1"/>
      </rPr>
      <t xml:space="preserve">
Value of payment</t>
    </r>
  </si>
  <si>
    <t>Remarks</t>
  </si>
  <si>
    <t>Tổng tiền thu:</t>
  </si>
  <si>
    <t>Tổng tiền chi:</t>
  </si>
  <si>
    <r>
      <rPr>
        <b/>
        <i/>
        <sz val="10"/>
        <rFont val="Times New Roman"/>
        <family val="1"/>
      </rPr>
      <t>R</t>
    </r>
    <r>
      <rPr>
        <i/>
        <sz val="10"/>
        <rFont val="Times New Roman"/>
        <family val="1"/>
      </rPr>
      <t xml:space="preserve">evenue from </t>
    </r>
    <r>
      <rPr>
        <b/>
        <i/>
        <sz val="10"/>
        <rFont val="Times New Roman"/>
        <family val="1"/>
      </rPr>
      <t>M</t>
    </r>
    <r>
      <rPr>
        <i/>
        <sz val="10"/>
        <rFont val="Times New Roman"/>
        <family val="1"/>
      </rPr>
      <t xml:space="preserve">aintenance &amp; </t>
    </r>
    <r>
      <rPr>
        <b/>
        <i/>
        <sz val="10"/>
        <rFont val="Times New Roman"/>
        <family val="1"/>
      </rPr>
      <t>S</t>
    </r>
    <r>
      <rPr>
        <i/>
        <sz val="10"/>
        <rFont val="Times New Roman"/>
        <family val="1"/>
      </rPr>
      <t>ervices</t>
    </r>
  </si>
  <si>
    <r>
      <rPr>
        <b/>
        <i/>
        <sz val="10"/>
        <rFont val="Times New Roman"/>
        <family val="1"/>
      </rPr>
      <t>R</t>
    </r>
    <r>
      <rPr>
        <i/>
        <sz val="10"/>
        <rFont val="Times New Roman"/>
        <family val="1"/>
      </rPr>
      <t xml:space="preserve">evenue from </t>
    </r>
    <r>
      <rPr>
        <b/>
        <i/>
        <sz val="10"/>
        <rFont val="Times New Roman"/>
        <family val="1"/>
      </rPr>
      <t>F</t>
    </r>
    <r>
      <rPr>
        <i/>
        <sz val="10"/>
        <rFont val="Times New Roman"/>
        <family val="1"/>
      </rPr>
      <t xml:space="preserve">acility </t>
    </r>
    <r>
      <rPr>
        <b/>
        <i/>
        <sz val="10"/>
        <rFont val="Times New Roman"/>
        <family val="1"/>
      </rPr>
      <t>M</t>
    </r>
    <r>
      <rPr>
        <i/>
        <sz val="10"/>
        <rFont val="Times New Roman"/>
        <family val="1"/>
      </rPr>
      <t>anagement</t>
    </r>
  </si>
  <si>
    <r>
      <rPr>
        <b/>
        <i/>
        <sz val="8"/>
        <rFont val="Times New Roman"/>
        <family val="1"/>
      </rPr>
      <t>R</t>
    </r>
    <r>
      <rPr>
        <i/>
        <sz val="8"/>
        <rFont val="Times New Roman"/>
        <family val="1"/>
      </rPr>
      <t xml:space="preserve">evenue from financial </t>
    </r>
    <r>
      <rPr>
        <b/>
        <i/>
        <sz val="8"/>
        <rFont val="Times New Roman"/>
        <family val="1"/>
      </rPr>
      <t>IN</t>
    </r>
    <r>
      <rPr>
        <i/>
        <sz val="8"/>
        <rFont val="Times New Roman"/>
        <family val="1"/>
      </rPr>
      <t>vestment, deposit interest, liquidation of assets</t>
    </r>
  </si>
  <si>
    <r>
      <rPr>
        <b/>
        <i/>
        <sz val="10"/>
        <rFont val="Times New Roman"/>
        <family val="1"/>
      </rPr>
      <t>R</t>
    </r>
    <r>
      <rPr>
        <i/>
        <sz val="10"/>
        <rFont val="Times New Roman"/>
        <family val="1"/>
      </rPr>
      <t xml:space="preserve">evenue from </t>
    </r>
    <r>
      <rPr>
        <b/>
        <i/>
        <sz val="10"/>
        <rFont val="Times New Roman"/>
        <family val="1"/>
      </rPr>
      <t>OT</t>
    </r>
    <r>
      <rPr>
        <i/>
        <sz val="10"/>
        <rFont val="Times New Roman"/>
        <family val="1"/>
      </rPr>
      <t>hers Income: excess advance, return money…</t>
    </r>
  </si>
  <si>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 xml:space="preserve">apital </t>
    </r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 xml:space="preserve">ontribution or </t>
    </r>
    <r>
      <rPr>
        <b/>
        <i/>
        <sz val="10"/>
        <rFont val="Times New Roman"/>
        <family val="1"/>
      </rPr>
      <t>L</t>
    </r>
    <r>
      <rPr>
        <i/>
        <sz val="10"/>
        <rFont val="Times New Roman"/>
        <family val="1"/>
      </rPr>
      <t>oan</t>
    </r>
  </si>
  <si>
    <t>CCL</t>
  </si>
  <si>
    <t>Vốn góp hoặc các khoản vay</t>
  </si>
  <si>
    <r>
      <rPr>
        <b/>
        <i/>
        <sz val="10"/>
        <rFont val="Times New Roman"/>
        <family val="1"/>
      </rPr>
      <t>S</t>
    </r>
    <r>
      <rPr>
        <i/>
        <sz val="10"/>
        <rFont val="Times New Roman"/>
        <family val="1"/>
      </rPr>
      <t xml:space="preserve">aving </t>
    </r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>ash</t>
    </r>
  </si>
  <si>
    <r>
      <rPr>
        <b/>
        <i/>
        <sz val="10"/>
        <rFont val="Times New Roman"/>
        <family val="1"/>
      </rPr>
      <t>M</t>
    </r>
    <r>
      <rPr>
        <i/>
        <sz val="10"/>
        <rFont val="Times New Roman"/>
        <family val="1"/>
      </rPr>
      <t xml:space="preserve">aintenance &amp; </t>
    </r>
    <r>
      <rPr>
        <b/>
        <i/>
        <sz val="10"/>
        <rFont val="Times New Roman"/>
        <family val="1"/>
      </rPr>
      <t>S</t>
    </r>
    <r>
      <rPr>
        <i/>
        <sz val="10"/>
        <rFont val="Times New Roman"/>
        <family val="1"/>
      </rPr>
      <t>ervices</t>
    </r>
  </si>
  <si>
    <r>
      <rPr>
        <b/>
        <i/>
        <sz val="10"/>
        <rFont val="Times New Roman"/>
        <family val="1"/>
      </rPr>
      <t>S</t>
    </r>
    <r>
      <rPr>
        <i/>
        <sz val="10"/>
        <rFont val="Times New Roman"/>
        <family val="1"/>
      </rPr>
      <t xml:space="preserve">ercurity </t>
    </r>
    <r>
      <rPr>
        <b/>
        <i/>
        <sz val="10"/>
        <rFont val="Times New Roman"/>
        <family val="1"/>
      </rPr>
      <t>S</t>
    </r>
    <r>
      <rPr>
        <i/>
        <sz val="10"/>
        <rFont val="Times New Roman"/>
        <family val="1"/>
      </rPr>
      <t>ervice</t>
    </r>
  </si>
  <si>
    <r>
      <rPr>
        <b/>
        <i/>
        <sz val="10"/>
        <rFont val="Times New Roman"/>
        <family val="1"/>
      </rPr>
      <t>FM</t>
    </r>
    <r>
      <rPr>
        <i/>
        <sz val="10"/>
        <rFont val="Times New Roman"/>
        <family val="1"/>
      </rPr>
      <t xml:space="preserve"> related costs</t>
    </r>
  </si>
  <si>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 xml:space="preserve">leaning </t>
    </r>
    <r>
      <rPr>
        <b/>
        <i/>
        <sz val="10"/>
        <rFont val="Times New Roman"/>
        <family val="1"/>
      </rPr>
      <t>S</t>
    </r>
    <r>
      <rPr>
        <i/>
        <sz val="10"/>
        <rFont val="Times New Roman"/>
        <family val="1"/>
      </rPr>
      <t>ervice</t>
    </r>
  </si>
  <si>
    <r>
      <rPr>
        <b/>
        <i/>
        <sz val="10"/>
        <rFont val="Times New Roman"/>
        <family val="1"/>
      </rPr>
      <t>P</t>
    </r>
    <r>
      <rPr>
        <i/>
        <sz val="10"/>
        <rFont val="Times New Roman"/>
        <family val="1"/>
      </rPr>
      <t xml:space="preserve">est control, </t>
    </r>
    <r>
      <rPr>
        <b/>
        <i/>
        <sz val="10"/>
        <rFont val="Times New Roman"/>
        <family val="1"/>
      </rPr>
      <t>G</t>
    </r>
    <r>
      <rPr>
        <i/>
        <sz val="10"/>
        <rFont val="Times New Roman"/>
        <family val="1"/>
      </rPr>
      <t>ardening</t>
    </r>
  </si>
  <si>
    <r>
      <rPr>
        <b/>
        <i/>
        <sz val="10"/>
        <rFont val="Times New Roman"/>
        <family val="1"/>
      </rPr>
      <t>L</t>
    </r>
    <r>
      <rPr>
        <i/>
        <sz val="10"/>
        <rFont val="Times New Roman"/>
        <family val="1"/>
      </rPr>
      <t xml:space="preserve">abor </t>
    </r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>ost</t>
    </r>
  </si>
  <si>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 xml:space="preserve">ustomer </t>
    </r>
    <r>
      <rPr>
        <b/>
        <i/>
        <sz val="10"/>
        <rFont val="Times New Roman"/>
        <family val="1"/>
      </rPr>
      <t>R</t>
    </r>
    <r>
      <rPr>
        <i/>
        <sz val="10"/>
        <rFont val="Times New Roman"/>
        <family val="1"/>
      </rPr>
      <t>elationship</t>
    </r>
  </si>
  <si>
    <r>
      <rPr>
        <b/>
        <i/>
        <sz val="10"/>
        <rFont val="Times New Roman"/>
        <family val="1"/>
      </rPr>
      <t>G</t>
    </r>
    <r>
      <rPr>
        <i/>
        <sz val="10"/>
        <rFont val="Times New Roman"/>
        <family val="1"/>
      </rPr>
      <t xml:space="preserve">eneral </t>
    </r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>onsumables</t>
    </r>
  </si>
  <si>
    <r>
      <rPr>
        <b/>
        <i/>
        <sz val="10"/>
        <rFont val="Times New Roman"/>
        <family val="1"/>
      </rPr>
      <t>A</t>
    </r>
    <r>
      <rPr>
        <i/>
        <sz val="10"/>
        <rFont val="Times New Roman"/>
        <family val="1"/>
      </rPr>
      <t xml:space="preserve">sset &amp; </t>
    </r>
    <r>
      <rPr>
        <b/>
        <i/>
        <sz val="10"/>
        <rFont val="Times New Roman"/>
        <family val="1"/>
      </rPr>
      <t>T</t>
    </r>
    <r>
      <rPr>
        <i/>
        <sz val="10"/>
        <rFont val="Times New Roman"/>
        <family val="1"/>
      </rPr>
      <t>ools fees</t>
    </r>
  </si>
  <si>
    <r>
      <rPr>
        <b/>
        <i/>
        <sz val="10"/>
        <rFont val="Times New Roman"/>
        <family val="1"/>
      </rPr>
      <t>O</t>
    </r>
    <r>
      <rPr>
        <i/>
        <sz val="10"/>
        <rFont val="Times New Roman"/>
        <family val="1"/>
      </rPr>
      <t>ver</t>
    </r>
    <r>
      <rPr>
        <b/>
        <i/>
        <sz val="10"/>
        <rFont val="Times New Roman"/>
        <family val="1"/>
      </rPr>
      <t>H</t>
    </r>
    <r>
      <rPr>
        <i/>
        <sz val="10"/>
        <rFont val="Times New Roman"/>
        <family val="1"/>
      </rPr>
      <t>ead cost</t>
    </r>
  </si>
  <si>
    <r>
      <rPr>
        <b/>
        <i/>
        <sz val="10"/>
        <rFont val="Times New Roman"/>
        <family val="1"/>
      </rPr>
      <t>TA</t>
    </r>
    <r>
      <rPr>
        <i/>
        <sz val="10"/>
        <rFont val="Times New Roman"/>
        <family val="1"/>
      </rPr>
      <t>x, fee</t>
    </r>
  </si>
  <si>
    <r>
      <rPr>
        <b/>
        <i/>
        <sz val="10"/>
        <rFont val="Times New Roman"/>
        <family val="1"/>
      </rPr>
      <t>D</t>
    </r>
    <r>
      <rPr>
        <i/>
        <sz val="10"/>
        <rFont val="Times New Roman"/>
        <family val="1"/>
      </rPr>
      <t xml:space="preserve">ebt &amp; dividends </t>
    </r>
    <r>
      <rPr>
        <b/>
        <i/>
        <sz val="10"/>
        <rFont val="Times New Roman"/>
        <family val="1"/>
      </rPr>
      <t>P</t>
    </r>
    <r>
      <rPr>
        <i/>
        <sz val="10"/>
        <rFont val="Times New Roman"/>
        <family val="1"/>
      </rPr>
      <t>ayment</t>
    </r>
  </si>
  <si>
    <r>
      <rPr>
        <b/>
        <i/>
        <sz val="10"/>
        <rFont val="Times New Roman"/>
        <family val="1"/>
      </rPr>
      <t>I</t>
    </r>
    <r>
      <rPr>
        <i/>
        <sz val="10"/>
        <rFont val="Times New Roman"/>
        <family val="1"/>
      </rPr>
      <t>n</t>
    </r>
    <r>
      <rPr>
        <b/>
        <i/>
        <sz val="10"/>
        <rFont val="Times New Roman"/>
        <family val="1"/>
      </rPr>
      <t>V</t>
    </r>
    <r>
      <rPr>
        <i/>
        <sz val="10"/>
        <rFont val="Times New Roman"/>
        <family val="1"/>
      </rPr>
      <t>oices</t>
    </r>
  </si>
  <si>
    <t>Chuyển tiền giữa các TK, đổi tiền, chi mua bán hộ, vay/tạm ứng (có trả lại) …</t>
  </si>
  <si>
    <r>
      <t xml:space="preserve">Money transfer </t>
    </r>
    <r>
      <rPr>
        <b/>
        <i/>
        <sz val="10"/>
        <rFont val="Times New Roman"/>
        <family val="1"/>
      </rPr>
      <t>B</t>
    </r>
    <r>
      <rPr>
        <i/>
        <sz val="10"/>
        <rFont val="Times New Roman"/>
        <family val="1"/>
      </rPr>
      <t xml:space="preserve">etween </t>
    </r>
    <r>
      <rPr>
        <b/>
        <i/>
        <sz val="10"/>
        <rFont val="Times New Roman"/>
        <family val="1"/>
      </rPr>
      <t>A</t>
    </r>
    <r>
      <rPr>
        <i/>
        <sz val="10"/>
        <rFont val="Times New Roman"/>
        <family val="1"/>
      </rPr>
      <t xml:space="preserve">ccounts, </t>
    </r>
  </si>
  <si>
    <r>
      <rPr>
        <b/>
        <i/>
        <sz val="10"/>
        <rFont val="Times New Roman"/>
        <family val="1"/>
      </rPr>
      <t>TAX</t>
    </r>
    <r>
      <rPr>
        <i/>
        <sz val="10"/>
        <rFont val="Times New Roman"/>
        <family val="1"/>
      </rPr>
      <t xml:space="preserve"> document</t>
    </r>
  </si>
  <si>
    <r>
      <rPr>
        <b/>
        <i/>
        <sz val="10"/>
        <rFont val="Times New Roman"/>
        <family val="1"/>
      </rPr>
      <t>Internal</t>
    </r>
    <r>
      <rPr>
        <i/>
        <sz val="10"/>
        <rFont val="Times New Roman"/>
        <family val="1"/>
      </rPr>
      <t xml:space="preserve"> document</t>
    </r>
  </si>
  <si>
    <r>
      <rPr>
        <b/>
        <i/>
        <sz val="10"/>
        <rFont val="Times New Roman"/>
        <family val="1"/>
      </rPr>
      <t>Cash</t>
    </r>
    <r>
      <rPr>
        <i/>
        <sz val="10"/>
        <rFont val="Times New Roman"/>
        <family val="1"/>
      </rPr>
      <t xml:space="preserve"> in hand</t>
    </r>
  </si>
  <si>
    <r>
      <rPr>
        <b/>
        <i/>
        <sz val="10"/>
        <rFont val="Times New Roman"/>
        <family val="1"/>
      </rPr>
      <t>I</t>
    </r>
    <r>
      <rPr>
        <i/>
        <sz val="10"/>
        <rFont val="Times New Roman"/>
        <family val="1"/>
      </rPr>
      <t xml:space="preserve">nternal bank account </t>
    </r>
    <r>
      <rPr>
        <b/>
        <i/>
        <sz val="10"/>
        <rFont val="Times New Roman"/>
        <family val="1"/>
      </rPr>
      <t>TCB</t>
    </r>
  </si>
  <si>
    <r>
      <rPr>
        <b/>
        <i/>
        <sz val="10"/>
        <rFont val="Times New Roman"/>
        <family val="1"/>
      </rPr>
      <t>BIDV</t>
    </r>
    <r>
      <rPr>
        <i/>
        <sz val="10"/>
        <rFont val="Times New Roman"/>
        <family val="1"/>
      </rPr>
      <t xml:space="preserve"> bank account</t>
    </r>
  </si>
  <si>
    <r>
      <rPr>
        <b/>
        <i/>
        <sz val="10"/>
        <rFont val="Times New Roman"/>
        <family val="1"/>
      </rPr>
      <t>T</t>
    </r>
    <r>
      <rPr>
        <i/>
        <sz val="10"/>
        <rFont val="Times New Roman"/>
        <family val="1"/>
      </rPr>
      <t>ech</t>
    </r>
    <r>
      <rPr>
        <b/>
        <i/>
        <sz val="10"/>
        <rFont val="Times New Roman"/>
        <family val="1"/>
      </rPr>
      <t>C</t>
    </r>
    <r>
      <rPr>
        <i/>
        <sz val="10"/>
        <rFont val="Times New Roman"/>
        <family val="1"/>
      </rPr>
      <t>om</t>
    </r>
    <r>
      <rPr>
        <b/>
        <i/>
        <sz val="10"/>
        <rFont val="Times New Roman"/>
        <family val="1"/>
      </rPr>
      <t>B</t>
    </r>
    <r>
      <rPr>
        <i/>
        <sz val="10"/>
        <rFont val="Times New Roman"/>
        <family val="1"/>
      </rPr>
      <t>ank account</t>
    </r>
  </si>
  <si>
    <r>
      <t>Data correction (</t>
    </r>
    <r>
      <rPr>
        <b/>
        <i/>
        <sz val="10"/>
        <rFont val="Times New Roman"/>
        <family val="1"/>
      </rPr>
      <t>N</t>
    </r>
    <r>
      <rPr>
        <i/>
        <sz val="10"/>
        <rFont val="Times New Roman"/>
        <family val="1"/>
      </rPr>
      <t xml:space="preserve">o </t>
    </r>
    <r>
      <rPr>
        <b/>
        <i/>
        <sz val="10"/>
        <rFont val="Times New Roman"/>
        <family val="1"/>
      </rPr>
      <t>A</t>
    </r>
    <r>
      <rPr>
        <i/>
        <sz val="10"/>
        <rFont val="Times New Roman"/>
        <family val="1"/>
      </rPr>
      <t>vailable)</t>
    </r>
  </si>
  <si>
    <t>Các khoản chi liên quan tới dự án vận hành tòa nhà</t>
  </si>
  <si>
    <t>Phí dịch vụ bảo vệ thuộc quản lý vận hành tòa nhà</t>
  </si>
  <si>
    <t>Phí làm sạch thuộc quản lý vận hành tòa nhà</t>
  </si>
  <si>
    <t>Kiểm soát côn trùng, chăm sóc cây xanh thuộc quản lý vận hành tòa nhà</t>
  </si>
  <si>
    <t>Chi phí quản lý: Chi phí văn phòng, phí ngân hàng, tiếp khách, liên hoan, bảo hiểm TNNN, tai nạn…</t>
  </si>
  <si>
    <t>Thuế VAT, TNDN, phí nộp nhà nước</t>
  </si>
  <si>
    <t>Trần Thị Nga</t>
  </si>
  <si>
    <t>Nga.tt</t>
  </si>
  <si>
    <t>22PC06_28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</si>
</sst>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[$-1010000]d/m/yyyy;@"/>
    <numFmt numFmtId="168" formatCode="[$-409]d\-mmm\-yy;@"/>
    <numFmt numFmtId="169" formatCode="[$-14809]d\ mmm\ yyyy;@"/>
    <numFmt numFmtId="170" formatCode="[$-409]mmm\-yy;@"/>
    <numFmt numFmtId="171" formatCode="&quot;Ngày &quot;dd&quot; tháng &quot;mm&quot; năm &quot;yyyy"/>
    <numFmt numFmtId="172" formatCode="[$-409]d\-mmm\-yyyy;@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바탕체"/>
      <family val="1"/>
      <charset val="129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26"/>
      <name val="Times New Roman"/>
      <family val="1"/>
    </font>
    <font>
      <i/>
      <sz val="12"/>
      <color theme="1"/>
      <name val="Times New Roman"/>
      <family val="1"/>
    </font>
    <font>
      <i/>
      <sz val="10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Times New Roman"/>
      <family val="1"/>
    </font>
    <font>
      <b/>
      <sz val="24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4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  <charset val="163"/>
    </font>
    <font>
      <i/>
      <sz val="10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b/>
      <sz val="10.5"/>
      <color indexed="81"/>
      <name val="Tahoma"/>
      <family val="2"/>
    </font>
    <font>
      <sz val="10.5"/>
      <color indexed="81"/>
      <name val="Tahoma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i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ashDot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6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0" fillId="0" borderId="0"/>
  </cellStyleXfs>
  <cellXfs count="250">
    <xf numFmtId="0" fontId="0" fillId="0" borderId="0" xfId="0"/>
    <xf numFmtId="165" fontId="0" fillId="0" borderId="0" xfId="1" applyNumberFormat="1" applyFont="1"/>
    <xf numFmtId="0" fontId="0" fillId="0" borderId="5" xfId="0" applyBorder="1"/>
    <xf numFmtId="0" fontId="0" fillId="3" borderId="0" xfId="0" applyFill="1"/>
    <xf numFmtId="165" fontId="0" fillId="0" borderId="5" xfId="1" applyNumberFormat="1" applyFont="1" applyBorder="1"/>
    <xf numFmtId="0" fontId="1" fillId="3" borderId="0" xfId="9" applyFill="1" applyAlignment="1">
      <alignment vertical="center"/>
    </xf>
    <xf numFmtId="0" fontId="12" fillId="3" borderId="0" xfId="9" applyFont="1" applyFill="1" applyAlignment="1">
      <alignment horizontal="center" vertical="center"/>
    </xf>
    <xf numFmtId="0" fontId="1" fillId="3" borderId="0" xfId="9" applyFill="1" applyAlignment="1">
      <alignment horizontal="right" vertical="center"/>
    </xf>
    <xf numFmtId="0" fontId="1" fillId="3" borderId="0" xfId="9" applyFill="1" applyAlignment="1">
      <alignment horizontal="right"/>
    </xf>
    <xf numFmtId="0" fontId="1" fillId="0" borderId="0" xfId="9"/>
    <xf numFmtId="0" fontId="13" fillId="3" borderId="0" xfId="9" applyFont="1" applyFill="1"/>
    <xf numFmtId="0" fontId="13" fillId="3" borderId="0" xfId="9" applyFont="1" applyFill="1" applyAlignment="1">
      <alignment horizontal="center" vertical="top"/>
    </xf>
    <xf numFmtId="0" fontId="14" fillId="3" borderId="0" xfId="9" applyFont="1" applyFill="1" applyAlignment="1">
      <alignment horizontal="right" vertical="center"/>
    </xf>
    <xf numFmtId="0" fontId="0" fillId="2" borderId="5" xfId="0" applyFill="1" applyBorder="1" applyAlignment="1">
      <alignment horizontal="centerContinuous" vertical="center" wrapText="1"/>
    </xf>
    <xf numFmtId="170" fontId="0" fillId="2" borderId="5" xfId="0" applyNumberFormat="1" applyFill="1" applyBorder="1" applyAlignment="1">
      <alignment horizontal="centerContinuous" vertical="center"/>
    </xf>
    <xf numFmtId="170" fontId="0" fillId="2" borderId="5" xfId="0" applyNumberFormat="1" applyFill="1" applyBorder="1" applyAlignment="1">
      <alignment horizontal="center" vertical="center" shrinkToFit="1"/>
    </xf>
    <xf numFmtId="0" fontId="14" fillId="4" borderId="7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 vertical="center" shrinkToFit="1"/>
    </xf>
    <xf numFmtId="0" fontId="3" fillId="3" borderId="1" xfId="9" applyFont="1" applyFill="1" applyBorder="1" applyAlignment="1">
      <alignment horizontal="left" vertical="center"/>
    </xf>
    <xf numFmtId="0" fontId="0" fillId="0" borderId="0" xfId="9" applyFont="1" applyAlignment="1">
      <alignment horizontal="right"/>
    </xf>
    <xf numFmtId="0" fontId="3" fillId="3" borderId="10" xfId="9" applyFont="1" applyFill="1" applyBorder="1" applyAlignment="1">
      <alignment horizontal="left" vertical="center"/>
    </xf>
    <xf numFmtId="165" fontId="1" fillId="0" borderId="0" xfId="1" applyNumberFormat="1"/>
    <xf numFmtId="170" fontId="0" fillId="3" borderId="0" xfId="0" applyNumberFormat="1" applyFill="1"/>
    <xf numFmtId="170" fontId="3" fillId="2" borderId="5" xfId="0" applyNumberFormat="1" applyFont="1" applyFill="1" applyBorder="1" applyAlignment="1">
      <alignment horizontal="center" vertical="center" shrinkToFit="1"/>
    </xf>
    <xf numFmtId="0" fontId="18" fillId="2" borderId="5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shrinkToFit="1"/>
    </xf>
    <xf numFmtId="0" fontId="19" fillId="4" borderId="8" xfId="0" applyFont="1" applyFill="1" applyBorder="1" applyAlignment="1">
      <alignment horizontal="center" vertical="center" wrapText="1"/>
    </xf>
    <xf numFmtId="0" fontId="3" fillId="3" borderId="6" xfId="9" applyFont="1" applyFill="1" applyBorder="1" applyAlignment="1">
      <alignment horizontal="left" vertical="center"/>
    </xf>
    <xf numFmtId="0" fontId="3" fillId="3" borderId="0" xfId="9" applyFont="1" applyFill="1" applyAlignment="1">
      <alignment horizontal="left" vertical="center"/>
    </xf>
    <xf numFmtId="0" fontId="3" fillId="3" borderId="11" xfId="9" applyFont="1" applyFill="1" applyBorder="1" applyAlignment="1">
      <alignment horizontal="left" vertical="center"/>
    </xf>
    <xf numFmtId="0" fontId="3" fillId="3" borderId="1" xfId="9" applyFont="1" applyFill="1" applyBorder="1" applyAlignment="1">
      <alignment horizontal="left" vertical="center" shrinkToFit="1"/>
    </xf>
    <xf numFmtId="165" fontId="17" fillId="0" borderId="0" xfId="1" applyNumberFormat="1" applyFont="1"/>
    <xf numFmtId="165" fontId="15" fillId="0" borderId="0" xfId="1" applyNumberFormat="1" applyFont="1" applyAlignment="1">
      <alignment horizontal="center" vertical="center" wrapText="1"/>
    </xf>
    <xf numFmtId="165" fontId="18" fillId="3" borderId="1" xfId="1" applyNumberFormat="1" applyFont="1" applyFill="1" applyBorder="1" applyAlignment="1">
      <alignment horizontal="center" vertical="center" shrinkToFit="1"/>
    </xf>
    <xf numFmtId="9" fontId="3" fillId="3" borderId="1" xfId="9" applyNumberFormat="1" applyFont="1" applyFill="1" applyBorder="1" applyAlignment="1">
      <alignment horizontal="center" vertical="center"/>
    </xf>
    <xf numFmtId="0" fontId="3" fillId="3" borderId="13" xfId="9" applyFont="1" applyFill="1" applyBorder="1" applyAlignment="1">
      <alignment horizontal="left" vertical="center"/>
    </xf>
    <xf numFmtId="0" fontId="0" fillId="3" borderId="1" xfId="9" applyFont="1" applyFill="1" applyBorder="1" applyAlignment="1">
      <alignment horizontal="left" vertical="center" shrinkToFit="1"/>
    </xf>
    <xf numFmtId="0" fontId="3" fillId="3" borderId="12" xfId="9" applyFont="1" applyFill="1" applyBorder="1" applyAlignment="1">
      <alignment horizontal="left" vertical="center"/>
    </xf>
    <xf numFmtId="0" fontId="21" fillId="3" borderId="0" xfId="3" applyFont="1" applyFill="1" applyProtection="1">
      <protection hidden="1"/>
    </xf>
    <xf numFmtId="0" fontId="22" fillId="3" borderId="0" xfId="3" applyFont="1" applyFill="1" applyProtection="1">
      <protection hidden="1"/>
    </xf>
    <xf numFmtId="0" fontId="23" fillId="3" borderId="0" xfId="3" applyFont="1" applyFill="1" applyAlignment="1" applyProtection="1">
      <alignment horizontal="center"/>
      <protection hidden="1"/>
    </xf>
    <xf numFmtId="0" fontId="24" fillId="3" borderId="0" xfId="3" applyFont="1" applyFill="1" applyAlignment="1" applyProtection="1">
      <alignment horizontal="center"/>
      <protection hidden="1"/>
    </xf>
    <xf numFmtId="0" fontId="21" fillId="3" borderId="0" xfId="3" applyFont="1" applyFill="1" applyAlignment="1" applyProtection="1">
      <alignment horizontal="center"/>
      <protection hidden="1"/>
    </xf>
    <xf numFmtId="0" fontId="25" fillId="3" borderId="0" xfId="3" applyFont="1" applyFill="1" applyProtection="1">
      <protection hidden="1"/>
    </xf>
    <xf numFmtId="171" fontId="24" fillId="3" borderId="0" xfId="3" applyNumberFormat="1" applyFont="1" applyFill="1" applyProtection="1">
      <protection hidden="1"/>
    </xf>
    <xf numFmtId="0" fontId="11" fillId="3" borderId="0" xfId="3" applyFont="1" applyFill="1" applyProtection="1">
      <protection locked="0"/>
    </xf>
    <xf numFmtId="0" fontId="26" fillId="3" borderId="0" xfId="3" applyFont="1" applyFill="1" applyProtection="1">
      <protection locked="0"/>
    </xf>
    <xf numFmtId="0" fontId="26" fillId="3" borderId="0" xfId="3" applyFont="1" applyFill="1" applyAlignment="1" applyProtection="1">
      <alignment horizontal="center"/>
      <protection locked="0"/>
    </xf>
    <xf numFmtId="14" fontId="26" fillId="3" borderId="0" xfId="3" applyNumberFormat="1" applyFont="1" applyFill="1" applyProtection="1">
      <protection locked="0"/>
    </xf>
    <xf numFmtId="0" fontId="26" fillId="3" borderId="0" xfId="3" applyFont="1" applyFill="1" applyAlignment="1" applyProtection="1">
      <alignment horizontal="left"/>
      <protection locked="0"/>
    </xf>
    <xf numFmtId="0" fontId="11" fillId="3" borderId="0" xfId="3" applyFont="1" applyFill="1" applyProtection="1">
      <protection hidden="1"/>
    </xf>
    <xf numFmtId="0" fontId="27" fillId="3" borderId="0" xfId="3" applyFont="1" applyFill="1" applyAlignment="1" applyProtection="1">
      <alignment horizontal="left"/>
      <protection hidden="1"/>
    </xf>
    <xf numFmtId="0" fontId="28" fillId="3" borderId="0" xfId="3" applyFont="1" applyFill="1" applyProtection="1">
      <protection locked="0"/>
    </xf>
    <xf numFmtId="0" fontId="29" fillId="3" borderId="0" xfId="3" applyFont="1" applyFill="1" applyAlignment="1" applyProtection="1">
      <alignment horizontal="left"/>
      <protection hidden="1"/>
    </xf>
    <xf numFmtId="0" fontId="1" fillId="3" borderId="6" xfId="9" applyFill="1" applyBorder="1" applyAlignment="1">
      <alignment horizontal="left" vertical="center"/>
    </xf>
    <xf numFmtId="0" fontId="1" fillId="3" borderId="4" xfId="9" applyFill="1" applyBorder="1" applyAlignment="1">
      <alignment horizontal="left" vertical="center"/>
    </xf>
    <xf numFmtId="0" fontId="3" fillId="3" borderId="14" xfId="9" applyFont="1" applyFill="1" applyBorder="1" applyAlignment="1">
      <alignment horizontal="left" vertical="center" shrinkToFit="1"/>
    </xf>
    <xf numFmtId="165" fontId="15" fillId="3" borderId="14" xfId="1" applyNumberFormat="1" applyFont="1" applyFill="1" applyBorder="1" applyAlignment="1">
      <alignment horizontal="center" vertical="center" shrinkToFit="1"/>
    </xf>
    <xf numFmtId="165" fontId="18" fillId="3" borderId="14" xfId="1" applyNumberFormat="1" applyFont="1" applyFill="1" applyBorder="1" applyAlignment="1">
      <alignment horizontal="center" vertical="center" shrinkToFit="1"/>
    </xf>
    <xf numFmtId="9" fontId="3" fillId="3" borderId="14" xfId="9" applyNumberFormat="1" applyFont="1" applyFill="1" applyBorder="1" applyAlignment="1">
      <alignment horizontal="center" vertical="center"/>
    </xf>
    <xf numFmtId="165" fontId="18" fillId="3" borderId="15" xfId="1" applyNumberFormat="1" applyFont="1" applyFill="1" applyBorder="1" applyAlignment="1">
      <alignment horizontal="center" vertical="center" shrinkToFit="1"/>
    </xf>
    <xf numFmtId="9" fontId="3" fillId="3" borderId="15" xfId="9" applyNumberFormat="1" applyFont="1" applyFill="1" applyBorder="1" applyAlignment="1">
      <alignment horizontal="center" vertical="center"/>
    </xf>
    <xf numFmtId="0" fontId="3" fillId="3" borderId="15" xfId="9" applyFont="1" applyFill="1" applyBorder="1" applyAlignment="1">
      <alignment horizontal="left" vertical="center" shrinkToFit="1"/>
    </xf>
    <xf numFmtId="165" fontId="15" fillId="3" borderId="15" xfId="1" applyNumberFormat="1" applyFont="1" applyFill="1" applyBorder="1" applyAlignment="1">
      <alignment horizontal="center" vertical="center" shrinkToFit="1"/>
    </xf>
    <xf numFmtId="169" fontId="0" fillId="3" borderId="0" xfId="9" applyNumberFormat="1" applyFont="1" applyFill="1" applyAlignment="1">
      <alignment horizontal="left" vertical="center" shrinkToFit="1"/>
    </xf>
    <xf numFmtId="0" fontId="3" fillId="3" borderId="16" xfId="9" applyFont="1" applyFill="1" applyBorder="1" applyAlignment="1">
      <alignment horizontal="left" vertical="center" shrinkToFit="1"/>
    </xf>
    <xf numFmtId="165" fontId="15" fillId="3" borderId="16" xfId="1" applyNumberFormat="1" applyFont="1" applyFill="1" applyBorder="1" applyAlignment="1">
      <alignment horizontal="center" vertical="center" shrinkToFit="1"/>
    </xf>
    <xf numFmtId="165" fontId="18" fillId="3" borderId="16" xfId="1" applyNumberFormat="1" applyFont="1" applyFill="1" applyBorder="1" applyAlignment="1">
      <alignment horizontal="center" vertical="center" shrinkToFit="1"/>
    </xf>
    <xf numFmtId="9" fontId="3" fillId="3" borderId="16" xfId="9" applyNumberFormat="1" applyFont="1" applyFill="1" applyBorder="1" applyAlignment="1">
      <alignment horizontal="center" vertical="center"/>
    </xf>
    <xf numFmtId="165" fontId="35" fillId="3" borderId="17" xfId="1" applyNumberFormat="1" applyFont="1" applyFill="1" applyBorder="1" applyAlignment="1">
      <alignment horizontal="center" vertical="center" shrinkToFit="1"/>
    </xf>
    <xf numFmtId="165" fontId="36" fillId="3" borderId="17" xfId="1" applyNumberFormat="1" applyFont="1" applyFill="1" applyBorder="1" applyAlignment="1">
      <alignment horizontal="center" vertical="center" shrinkToFit="1"/>
    </xf>
    <xf numFmtId="9" fontId="37" fillId="3" borderId="17" xfId="9" applyNumberFormat="1" applyFont="1" applyFill="1" applyBorder="1" applyAlignment="1">
      <alignment horizontal="center" vertical="center"/>
    </xf>
    <xf numFmtId="165" fontId="33" fillId="3" borderId="17" xfId="1" applyNumberFormat="1" applyFont="1" applyFill="1" applyBorder="1" applyAlignment="1">
      <alignment horizontal="center" vertical="center" shrinkToFit="1"/>
    </xf>
    <xf numFmtId="165" fontId="18" fillId="3" borderId="17" xfId="1" applyNumberFormat="1" applyFont="1" applyFill="1" applyBorder="1" applyAlignment="1">
      <alignment horizontal="center" vertical="center" shrinkToFit="1"/>
    </xf>
    <xf numFmtId="9" fontId="3" fillId="3" borderId="17" xfId="9" applyNumberFormat="1" applyFont="1" applyFill="1" applyBorder="1" applyAlignment="1">
      <alignment horizontal="center" vertical="center"/>
    </xf>
    <xf numFmtId="165" fontId="18" fillId="3" borderId="18" xfId="1" applyNumberFormat="1" applyFont="1" applyFill="1" applyBorder="1" applyAlignment="1">
      <alignment horizontal="center" vertical="center" shrinkToFit="1"/>
    </xf>
    <xf numFmtId="9" fontId="3" fillId="3" borderId="18" xfId="9" applyNumberFormat="1" applyFont="1" applyFill="1" applyBorder="1" applyAlignment="1">
      <alignment horizontal="center" vertical="center"/>
    </xf>
    <xf numFmtId="0" fontId="33" fillId="3" borderId="17" xfId="9" quotePrefix="1" applyFont="1" applyFill="1" applyBorder="1" applyAlignment="1">
      <alignment horizontal="left" vertical="center" wrapText="1" shrinkToFi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1" fontId="38" fillId="3" borderId="0" xfId="3" applyNumberFormat="1" applyFont="1" applyFill="1" applyProtection="1">
      <protection hidden="1"/>
    </xf>
    <xf numFmtId="0" fontId="32" fillId="3" borderId="0" xfId="3" applyFont="1" applyFill="1" applyProtection="1">
      <protection locked="0"/>
    </xf>
    <xf numFmtId="0" fontId="32" fillId="3" borderId="0" xfId="3" applyFont="1" applyFill="1" applyProtection="1">
      <protection hidden="1"/>
    </xf>
    <xf numFmtId="0" fontId="3" fillId="3" borderId="0" xfId="0" applyFont="1" applyFill="1"/>
    <xf numFmtId="165" fontId="17" fillId="3" borderId="0" xfId="1" applyNumberFormat="1" applyFont="1" applyFill="1"/>
    <xf numFmtId="165" fontId="1" fillId="3" borderId="0" xfId="1" applyNumberFormat="1" applyFill="1"/>
    <xf numFmtId="0" fontId="1" fillId="3" borderId="0" xfId="9" applyFill="1"/>
    <xf numFmtId="165" fontId="15" fillId="0" borderId="14" xfId="1" applyNumberFormat="1" applyFont="1" applyFill="1" applyBorder="1" applyAlignment="1">
      <alignment horizontal="center" vertical="center" shrinkToFit="1"/>
    </xf>
    <xf numFmtId="165" fontId="15" fillId="0" borderId="15" xfId="1" applyNumberFormat="1" applyFont="1" applyFill="1" applyBorder="1" applyAlignment="1">
      <alignment horizontal="center" vertical="center" shrinkToFit="1"/>
    </xf>
    <xf numFmtId="165" fontId="0" fillId="3" borderId="0" xfId="0" applyNumberFormat="1" applyFill="1"/>
    <xf numFmtId="165" fontId="0" fillId="3" borderId="0" xfId="1" applyNumberFormat="1" applyFont="1" applyFill="1"/>
    <xf numFmtId="0" fontId="30" fillId="3" borderId="0" xfId="0" applyFont="1" applyFill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5" fontId="3" fillId="0" borderId="5" xfId="1" applyNumberFormat="1" applyFont="1" applyBorder="1"/>
    <xf numFmtId="17" fontId="0" fillId="0" borderId="5" xfId="0" applyNumberForma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165" fontId="0" fillId="5" borderId="5" xfId="1" applyNumberFormat="1" applyFont="1" applyFill="1" applyBorder="1"/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165" fontId="9" fillId="3" borderId="0" xfId="1" applyNumberFormat="1" applyFont="1" applyFill="1" applyAlignment="1">
      <alignment vertical="center"/>
    </xf>
    <xf numFmtId="165" fontId="40" fillId="3" borderId="0" xfId="1" applyNumberFormat="1" applyFont="1" applyFill="1" applyAlignment="1">
      <alignment horizontal="right"/>
    </xf>
    <xf numFmtId="168" fontId="40" fillId="3" borderId="0" xfId="0" applyNumberFormat="1" applyFont="1" applyFill="1" applyAlignment="1">
      <alignment vertical="center"/>
    </xf>
    <xf numFmtId="0" fontId="40" fillId="3" borderId="0" xfId="0" applyFont="1" applyFill="1" applyAlignment="1">
      <alignment horizontal="center" vertical="center" wrapText="1"/>
    </xf>
    <xf numFmtId="0" fontId="40" fillId="3" borderId="0" xfId="0" applyFont="1" applyFill="1" applyAlignment="1">
      <alignment horizontal="center" vertical="center"/>
    </xf>
    <xf numFmtId="165" fontId="40" fillId="3" borderId="0" xfId="1" applyNumberFormat="1" applyFont="1" applyFill="1" applyAlignment="1">
      <alignment vertical="center"/>
    </xf>
    <xf numFmtId="166" fontId="40" fillId="3" borderId="0" xfId="0" applyNumberFormat="1" applyFont="1" applyFill="1" applyAlignment="1">
      <alignment horizontal="right" vertical="center"/>
    </xf>
    <xf numFmtId="1" fontId="10" fillId="0" borderId="5" xfId="0" applyNumberFormat="1" applyFont="1" applyBorder="1" applyAlignment="1">
      <alignment horizontal="center" vertical="center"/>
    </xf>
    <xf numFmtId="0" fontId="41" fillId="3" borderId="0" xfId="0" applyFont="1" applyFill="1"/>
    <xf numFmtId="172" fontId="10" fillId="3" borderId="0" xfId="0" applyNumberFormat="1" applyFont="1" applyFill="1" applyAlignment="1">
      <alignment horizontal="left" vertical="center" wrapText="1"/>
    </xf>
    <xf numFmtId="0" fontId="42" fillId="3" borderId="0" xfId="0" applyFont="1" applyFill="1" applyAlignment="1">
      <alignment horizontal="center" vertical="center"/>
    </xf>
    <xf numFmtId="9" fontId="1" fillId="3" borderId="14" xfId="9" applyNumberFormat="1" applyFill="1" applyBorder="1" applyAlignment="1">
      <alignment horizontal="center" vertical="center"/>
    </xf>
    <xf numFmtId="9" fontId="1" fillId="3" borderId="15" xfId="9" applyNumberFormat="1" applyFill="1" applyBorder="1" applyAlignment="1">
      <alignment horizontal="center" vertical="center"/>
    </xf>
    <xf numFmtId="0" fontId="1" fillId="3" borderId="14" xfId="9" applyFill="1" applyBorder="1" applyAlignment="1">
      <alignment horizontal="left" vertical="center" shrinkToFit="1"/>
    </xf>
    <xf numFmtId="0" fontId="1" fillId="3" borderId="15" xfId="9" applyFill="1" applyBorder="1" applyAlignment="1">
      <alignment horizontal="left" vertical="center" shrinkToFit="1"/>
    </xf>
    <xf numFmtId="165" fontId="1" fillId="3" borderId="0" xfId="9" applyNumberFormat="1" applyFill="1"/>
    <xf numFmtId="0" fontId="11" fillId="3" borderId="0" xfId="3" applyFont="1" applyFill="1" applyAlignment="1" applyProtection="1">
      <alignment horizontal="right"/>
      <protection locked="0"/>
    </xf>
    <xf numFmtId="0" fontId="11" fillId="3" borderId="0" xfId="3" applyFont="1" applyFill="1" applyAlignment="1" applyProtection="1">
      <alignment horizontal="right"/>
      <protection hidden="1"/>
    </xf>
    <xf numFmtId="0" fontId="44" fillId="3" borderId="0" xfId="3" applyFont="1" applyFill="1" applyProtection="1">
      <protection hidden="1"/>
    </xf>
    <xf numFmtId="3" fontId="31" fillId="3" borderId="0" xfId="3" applyNumberFormat="1" applyFont="1" applyFill="1" applyProtection="1">
      <protection hidden="1"/>
    </xf>
    <xf numFmtId="0" fontId="45" fillId="3" borderId="0" xfId="0" applyFont="1" applyFill="1"/>
    <xf numFmtId="0" fontId="44" fillId="3" borderId="0" xfId="3" applyFont="1" applyFill="1" applyAlignment="1" applyProtection="1">
      <alignment horizontal="right" vertical="top"/>
      <protection hidden="1"/>
    </xf>
    <xf numFmtId="0" fontId="31" fillId="3" borderId="0" xfId="3" applyFont="1" applyFill="1" applyProtection="1">
      <protection hidden="1"/>
    </xf>
    <xf numFmtId="0" fontId="45" fillId="0" borderId="0" xfId="0" applyFont="1"/>
    <xf numFmtId="0" fontId="44" fillId="3" borderId="0" xfId="3" applyFont="1" applyFill="1" applyAlignment="1" applyProtection="1">
      <alignment vertical="top"/>
      <protection hidden="1"/>
    </xf>
    <xf numFmtId="3" fontId="44" fillId="3" borderId="0" xfId="3" applyNumberFormat="1" applyFont="1" applyFill="1" applyAlignment="1" applyProtection="1">
      <alignment vertical="top"/>
      <protection hidden="1"/>
    </xf>
    <xf numFmtId="3" fontId="44" fillId="3" borderId="0" xfId="3" applyNumberFormat="1" applyFont="1" applyFill="1" applyAlignment="1" applyProtection="1">
      <alignment vertical="top" wrapText="1"/>
      <protection hidden="1"/>
    </xf>
    <xf numFmtId="0" fontId="44" fillId="3" borderId="0" xfId="3" applyFont="1" applyFill="1" applyProtection="1">
      <protection locked="0"/>
    </xf>
    <xf numFmtId="0" fontId="47" fillId="3" borderId="0" xfId="3" applyFont="1" applyFill="1" applyProtection="1">
      <protection hidden="1"/>
    </xf>
    <xf numFmtId="41" fontId="47" fillId="3" borderId="0" xfId="3" applyNumberFormat="1" applyFont="1" applyFill="1" applyProtection="1">
      <protection hidden="1"/>
    </xf>
    <xf numFmtId="0" fontId="46" fillId="3" borderId="0" xfId="3" applyFont="1" applyFill="1" applyAlignment="1" applyProtection="1">
      <alignment horizontal="right"/>
      <protection hidden="1"/>
    </xf>
    <xf numFmtId="0" fontId="46" fillId="3" borderId="0" xfId="3" applyFont="1" applyFill="1" applyAlignment="1" applyProtection="1">
      <alignment horizontal="center"/>
      <protection locked="0"/>
    </xf>
    <xf numFmtId="0" fontId="31" fillId="3" borderId="0" xfId="3" applyFont="1" applyFill="1" applyProtection="1">
      <protection locked="0"/>
    </xf>
    <xf numFmtId="0" fontId="44" fillId="3" borderId="0" xfId="3" quotePrefix="1" applyFont="1" applyFill="1" applyProtection="1">
      <protection locked="0"/>
    </xf>
    <xf numFmtId="0" fontId="44" fillId="3" borderId="19" xfId="3" applyFont="1" applyFill="1" applyBorder="1" applyProtection="1">
      <protection locked="0"/>
    </xf>
    <xf numFmtId="0" fontId="31" fillId="3" borderId="19" xfId="3" applyFont="1" applyFill="1" applyBorder="1" applyProtection="1">
      <protection locked="0"/>
    </xf>
    <xf numFmtId="171" fontId="46" fillId="3" borderId="0" xfId="3" applyNumberFormat="1" applyFont="1" applyFill="1" applyProtection="1">
      <protection hidden="1"/>
    </xf>
    <xf numFmtId="171" fontId="48" fillId="3" borderId="0" xfId="3" applyNumberFormat="1" applyFont="1" applyFill="1" applyProtection="1">
      <protection hidden="1"/>
    </xf>
    <xf numFmtId="0" fontId="46" fillId="3" borderId="0" xfId="3" applyFont="1" applyFill="1" applyProtection="1">
      <protection locked="0"/>
    </xf>
    <xf numFmtId="14" fontId="46" fillId="3" borderId="0" xfId="3" applyNumberFormat="1" applyFont="1" applyFill="1" applyProtection="1">
      <protection locked="0"/>
    </xf>
    <xf numFmtId="0" fontId="46" fillId="3" borderId="0" xfId="3" applyFont="1" applyFill="1" applyAlignment="1" applyProtection="1">
      <alignment horizontal="left"/>
      <protection locked="0"/>
    </xf>
    <xf numFmtId="1" fontId="47" fillId="3" borderId="0" xfId="0" applyNumberFormat="1" applyFont="1" applyFill="1" applyAlignment="1">
      <alignment horizontal="center" vertical="center"/>
    </xf>
    <xf numFmtId="0" fontId="31" fillId="3" borderId="0" xfId="3" applyFont="1" applyFill="1" applyAlignment="1" applyProtection="1">
      <alignment horizontal="centerContinuous"/>
      <protection hidden="1"/>
    </xf>
    <xf numFmtId="0" fontId="48" fillId="3" borderId="0" xfId="3" applyFont="1" applyFill="1" applyAlignment="1" applyProtection="1">
      <alignment horizontal="right"/>
      <protection hidden="1"/>
    </xf>
    <xf numFmtId="0" fontId="31" fillId="3" borderId="0" xfId="3" applyFont="1" applyFill="1" applyAlignment="1" applyProtection="1">
      <alignment horizontal="centerContinuous"/>
      <protection locked="0"/>
    </xf>
    <xf numFmtId="0" fontId="46" fillId="3" borderId="0" xfId="3" applyFont="1" applyFill="1" applyAlignment="1" applyProtection="1">
      <alignment horizontal="centerContinuous"/>
      <protection locked="0"/>
    </xf>
    <xf numFmtId="0" fontId="49" fillId="3" borderId="0" xfId="0" applyFont="1" applyFill="1"/>
    <xf numFmtId="0" fontId="50" fillId="3" borderId="0" xfId="0" applyFont="1" applyFill="1"/>
    <xf numFmtId="171" fontId="44" fillId="3" borderId="0" xfId="3" applyNumberFormat="1" applyFont="1" applyFill="1" applyAlignment="1" applyProtection="1">
      <alignment horizontal="right"/>
      <protection hidden="1"/>
    </xf>
    <xf numFmtId="0" fontId="44" fillId="3" borderId="0" xfId="3" applyFont="1" applyFill="1" applyAlignment="1" applyProtection="1">
      <alignment horizontal="right"/>
      <protection locked="0"/>
    </xf>
    <xf numFmtId="0" fontId="44" fillId="3" borderId="0" xfId="3" applyFont="1" applyFill="1" applyAlignment="1" applyProtection="1">
      <alignment horizontal="right"/>
      <protection hidden="1"/>
    </xf>
    <xf numFmtId="0" fontId="45" fillId="2" borderId="0" xfId="0" applyFont="1" applyFill="1"/>
    <xf numFmtId="0" fontId="3" fillId="2" borderId="0" xfId="0" applyFont="1" applyFill="1"/>
    <xf numFmtId="0" fontId="22" fillId="3" borderId="0" xfId="3" applyFont="1" applyFill="1" applyAlignment="1" applyProtection="1">
      <alignment horizontal="center"/>
      <protection hidden="1"/>
    </xf>
    <xf numFmtId="0" fontId="24" fillId="3" borderId="0" xfId="3" applyFont="1" applyFill="1" applyAlignment="1" applyProtection="1">
      <alignment horizontal="right"/>
      <protection hidden="1"/>
    </xf>
    <xf numFmtId="0" fontId="43" fillId="3" borderId="0" xfId="0" applyFont="1" applyFill="1" applyAlignment="1">
      <alignment horizontal="right"/>
    </xf>
    <xf numFmtId="0" fontId="32" fillId="3" borderId="0" xfId="3" applyFont="1" applyFill="1" applyAlignment="1" applyProtection="1">
      <alignment horizontal="right"/>
      <protection hidden="1"/>
    </xf>
    <xf numFmtId="1" fontId="10" fillId="3" borderId="5" xfId="0" applyNumberFormat="1" applyFont="1" applyFill="1" applyBorder="1" applyAlignment="1">
      <alignment horizontal="center" vertical="center"/>
    </xf>
    <xf numFmtId="170" fontId="0" fillId="2" borderId="5" xfId="0" applyNumberFormat="1" applyFill="1" applyBorder="1" applyAlignment="1">
      <alignment horizontal="centerContinuous" vertical="center" wrapText="1"/>
    </xf>
    <xf numFmtId="0" fontId="34" fillId="3" borderId="17" xfId="9" quotePrefix="1" applyFont="1" applyFill="1" applyBorder="1" applyAlignment="1">
      <alignment horizontal="center" vertical="center" shrinkToFit="1"/>
    </xf>
    <xf numFmtId="0" fontId="13" fillId="3" borderId="17" xfId="9" quotePrefix="1" applyFont="1" applyFill="1" applyBorder="1" applyAlignment="1">
      <alignment horizontal="center" vertical="center" shrinkToFit="1"/>
    </xf>
    <xf numFmtId="0" fontId="1" fillId="3" borderId="14" xfId="9" applyFill="1" applyBorder="1" applyAlignment="1">
      <alignment horizontal="center" vertical="center" shrinkToFit="1"/>
    </xf>
    <xf numFmtId="0" fontId="1" fillId="3" borderId="15" xfId="9" applyFill="1" applyBorder="1" applyAlignment="1">
      <alignment horizontal="center" vertical="center" shrinkToFit="1"/>
    </xf>
    <xf numFmtId="0" fontId="1" fillId="3" borderId="1" xfId="9" applyFill="1" applyBorder="1" applyAlignment="1">
      <alignment horizontal="left" vertical="center" shrinkToFit="1"/>
    </xf>
    <xf numFmtId="0" fontId="1" fillId="3" borderId="16" xfId="9" applyFill="1" applyBorder="1" applyAlignment="1">
      <alignment horizontal="center" vertical="center" shrinkToFit="1"/>
    </xf>
    <xf numFmtId="0" fontId="1" fillId="3" borderId="1" xfId="9" applyFill="1" applyBorder="1" applyAlignment="1">
      <alignment horizontal="center" vertical="center" shrinkToFi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52" fillId="3" borderId="20" xfId="0" applyFont="1" applyFill="1" applyBorder="1" applyAlignment="1">
      <alignment vertical="center" shrinkToFit="1"/>
    </xf>
    <xf numFmtId="0" fontId="53" fillId="3" borderId="21" xfId="0" applyFont="1" applyFill="1" applyBorder="1" applyAlignment="1">
      <alignment vertical="center" shrinkToFit="1"/>
    </xf>
    <xf numFmtId="0" fontId="53" fillId="3" borderId="22" xfId="0" applyFont="1" applyFill="1" applyBorder="1" applyAlignment="1">
      <alignment vertical="center"/>
    </xf>
    <xf numFmtId="0" fontId="53" fillId="3" borderId="23" xfId="0" applyFont="1" applyFill="1" applyBorder="1" applyAlignment="1">
      <alignment vertical="center" shrinkToFit="1"/>
    </xf>
    <xf numFmtId="0" fontId="54" fillId="3" borderId="24" xfId="0" applyFont="1" applyFill="1" applyBorder="1" applyAlignment="1">
      <alignment vertical="center" shrinkToFit="1"/>
    </xf>
    <xf numFmtId="0" fontId="53" fillId="3" borderId="25" xfId="0" applyFont="1" applyFill="1" applyBorder="1" applyAlignment="1">
      <alignment horizontal="center" vertical="center"/>
    </xf>
    <xf numFmtId="0" fontId="55" fillId="3" borderId="24" xfId="0" applyFont="1" applyFill="1" applyBorder="1" applyAlignment="1">
      <alignment vertical="center" shrinkToFit="1"/>
    </xf>
    <xf numFmtId="0" fontId="52" fillId="3" borderId="0" xfId="0" applyFont="1" applyFill="1" applyAlignment="1">
      <alignment vertical="center"/>
    </xf>
    <xf numFmtId="0" fontId="53" fillId="3" borderId="0" xfId="0" applyFont="1" applyFill="1" applyAlignment="1">
      <alignment vertical="center"/>
    </xf>
    <xf numFmtId="0" fontId="53" fillId="0" borderId="0" xfId="0" applyFont="1" applyAlignment="1">
      <alignment vertical="center"/>
    </xf>
    <xf numFmtId="0" fontId="54" fillId="3" borderId="21" xfId="0" applyFont="1" applyFill="1" applyBorder="1" applyAlignment="1">
      <alignment vertical="center" shrinkToFit="1"/>
    </xf>
    <xf numFmtId="0" fontId="53" fillId="3" borderId="29" xfId="0" applyFont="1" applyFill="1" applyBorder="1" applyAlignment="1">
      <alignment vertical="center" shrinkToFit="1"/>
    </xf>
    <xf numFmtId="0" fontId="54" fillId="3" borderId="30" xfId="0" applyFont="1" applyFill="1" applyBorder="1" applyAlignment="1">
      <alignment vertical="center" shrinkToFit="1"/>
    </xf>
    <xf numFmtId="0" fontId="52" fillId="3" borderId="20" xfId="0" applyFont="1" applyFill="1" applyBorder="1" applyAlignment="1">
      <alignment shrinkToFit="1"/>
    </xf>
    <xf numFmtId="0" fontId="53" fillId="3" borderId="3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53" fillId="0" borderId="25" xfId="0" applyFont="1" applyBorder="1" applyAlignment="1">
      <alignment horizontal="center" vertical="center"/>
    </xf>
    <xf numFmtId="0" fontId="53" fillId="0" borderId="28" xfId="0" applyFont="1" applyBorder="1" applyAlignment="1">
      <alignment horizontal="center" vertical="center"/>
    </xf>
    <xf numFmtId="0" fontId="53" fillId="0" borderId="31" xfId="0" applyFont="1" applyBorder="1" applyAlignment="1">
      <alignment horizontal="center" vertical="center"/>
    </xf>
    <xf numFmtId="0" fontId="35" fillId="3" borderId="17" xfId="9" quotePrefix="1" applyFont="1" applyFill="1" applyBorder="1" applyAlignment="1">
      <alignment horizontal="left" vertical="center" wrapText="1" shrinkToFit="1"/>
    </xf>
    <xf numFmtId="0" fontId="9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4" fillId="2" borderId="4" xfId="0" applyFont="1" applyFill="1" applyBorder="1" applyAlignment="1">
      <alignment horizontal="center" vertical="center" wrapText="1"/>
    </xf>
    <xf numFmtId="0" fontId="58" fillId="2" borderId="4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wrapText="1"/>
    </xf>
    <xf numFmtId="168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61" fillId="2" borderId="1" xfId="0" applyFont="1" applyFill="1" applyBorder="1" applyAlignment="1">
      <alignment horizontal="center" wrapText="1"/>
    </xf>
    <xf numFmtId="0" fontId="61" fillId="2" borderId="2" xfId="0" applyFont="1" applyFill="1" applyBorder="1" applyAlignment="1">
      <alignment horizontal="centerContinuous" vertical="center" wrapText="1"/>
    </xf>
    <xf numFmtId="0" fontId="61" fillId="2" borderId="9" xfId="0" applyFont="1" applyFill="1" applyBorder="1" applyAlignment="1">
      <alignment horizontal="centerContinuous" vertical="center" wrapText="1"/>
    </xf>
    <xf numFmtId="14" fontId="58" fillId="2" borderId="4" xfId="0" applyNumberFormat="1" applyFont="1" applyFill="1" applyBorder="1" applyAlignment="1">
      <alignment horizontal="center" vertical="top" wrapText="1"/>
    </xf>
    <xf numFmtId="168" fontId="5" fillId="2" borderId="4" xfId="0" applyNumberFormat="1" applyFont="1" applyFill="1" applyBorder="1" applyAlignment="1">
      <alignment horizontal="center" vertical="top" wrapText="1"/>
    </xf>
    <xf numFmtId="0" fontId="58" fillId="2" borderId="4" xfId="0" applyFont="1" applyFill="1" applyBorder="1" applyAlignment="1">
      <alignment horizontal="center" vertical="top" wrapText="1"/>
    </xf>
    <xf numFmtId="0" fontId="58" fillId="2" borderId="5" xfId="0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vertical="center" shrinkToFit="1"/>
    </xf>
    <xf numFmtId="0" fontId="54" fillId="0" borderId="27" xfId="0" applyFont="1" applyBorder="1" applyAlignment="1">
      <alignment vertical="center" shrinkToFit="1"/>
    </xf>
    <xf numFmtId="0" fontId="56" fillId="0" borderId="2" xfId="0" applyFont="1" applyBorder="1" applyAlignment="1">
      <alignment vertical="center" shrinkToFit="1"/>
    </xf>
    <xf numFmtId="0" fontId="54" fillId="0" borderId="9" xfId="0" applyFont="1" applyBorder="1" applyAlignment="1">
      <alignment vertical="center" shrinkToFit="1"/>
    </xf>
    <xf numFmtId="0" fontId="53" fillId="0" borderId="3" xfId="0" applyFont="1" applyBorder="1" applyAlignment="1">
      <alignment horizontal="center" vertical="center"/>
    </xf>
    <xf numFmtId="0" fontId="52" fillId="0" borderId="20" xfId="0" applyFont="1" applyBorder="1" applyAlignment="1">
      <alignment vertical="center" shrinkToFit="1"/>
    </xf>
    <xf numFmtId="0" fontId="54" fillId="0" borderId="21" xfId="0" applyFont="1" applyBorder="1" applyAlignment="1">
      <alignment vertical="center" shrinkToFit="1"/>
    </xf>
    <xf numFmtId="0" fontId="53" fillId="0" borderId="22" xfId="0" applyFont="1" applyBorder="1" applyAlignment="1">
      <alignment horizontal="center" vertical="center"/>
    </xf>
    <xf numFmtId="0" fontId="53" fillId="0" borderId="23" xfId="0" applyFont="1" applyBorder="1" applyAlignment="1">
      <alignment vertical="center" shrinkToFit="1"/>
    </xf>
    <xf numFmtId="0" fontId="54" fillId="0" borderId="24" xfId="0" applyFont="1" applyBorder="1" applyAlignment="1">
      <alignment vertical="center" shrinkToFit="1"/>
    </xf>
    <xf numFmtId="0" fontId="53" fillId="0" borderId="29" xfId="0" applyFont="1" applyBorder="1" applyAlignment="1">
      <alignment vertical="center" shrinkToFit="1"/>
    </xf>
    <xf numFmtId="0" fontId="54" fillId="0" borderId="30" xfId="0" applyFont="1" applyBorder="1" applyAlignment="1">
      <alignment vertical="center" shrinkToFit="1"/>
    </xf>
    <xf numFmtId="0" fontId="52" fillId="0" borderId="20" xfId="0" applyFont="1" applyBorder="1" applyAlignment="1">
      <alignment shrinkToFit="1"/>
    </xf>
    <xf numFmtId="0" fontId="53" fillId="0" borderId="22" xfId="0" applyFont="1" applyBorder="1" applyAlignment="1">
      <alignment vertical="center"/>
    </xf>
    <xf numFmtId="168" fontId="40" fillId="0" borderId="0" xfId="0" applyNumberFormat="1" applyFont="1" applyAlignment="1" applyProtection="1">
      <alignment vertical="center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vertic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165" fontId="40" fillId="0" borderId="0" xfId="1" applyNumberFormat="1" applyFont="1" applyAlignment="1" applyProtection="1">
      <alignment vertical="center"/>
      <protection locked="0"/>
    </xf>
    <xf numFmtId="0" fontId="39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3" fontId="44" fillId="3" borderId="0" xfId="3" applyNumberFormat="1" applyFont="1" applyFill="1" applyProtection="1">
      <protection hidden="1"/>
    </xf>
    <xf numFmtId="171" fontId="51" fillId="3" borderId="0" xfId="3" applyNumberFormat="1" applyFont="1" applyFill="1" applyAlignment="1" applyProtection="1">
      <alignment horizontal="center"/>
      <protection hidden="1"/>
    </xf>
    <xf numFmtId="171" fontId="46" fillId="3" borderId="0" xfId="3" applyNumberFormat="1" applyFont="1" applyFill="1" applyAlignment="1" applyProtection="1">
      <alignment horizontal="center"/>
      <protection hidden="1"/>
    </xf>
    <xf numFmtId="0" fontId="44" fillId="3" borderId="0" xfId="3" applyFont="1" applyFill="1" applyAlignment="1" applyProtection="1">
      <alignment horizontal="center"/>
      <protection locked="0"/>
    </xf>
    <xf numFmtId="0" fontId="31" fillId="3" borderId="0" xfId="3" applyFont="1" applyFill="1" applyAlignment="1" applyProtection="1">
      <alignment horizontal="center"/>
      <protection locked="0"/>
    </xf>
    <xf numFmtId="0" fontId="46" fillId="3" borderId="0" xfId="3" applyFont="1" applyFill="1" applyAlignment="1" applyProtection="1">
      <alignment horizontal="center"/>
      <protection locked="0"/>
    </xf>
    <xf numFmtId="0" fontId="25" fillId="3" borderId="0" xfId="3" applyFont="1" applyFill="1" applyAlignment="1" applyProtection="1">
      <alignment horizontal="center"/>
      <protection hidden="1"/>
    </xf>
    <xf numFmtId="165" fontId="46" fillId="3" borderId="0" xfId="1" applyNumberFormat="1" applyFont="1" applyFill="1" applyBorder="1" applyAlignment="1" applyProtection="1">
      <alignment horizontal="left"/>
      <protection hidden="1"/>
    </xf>
    <xf numFmtId="3" fontId="44" fillId="3" borderId="0" xfId="3" applyNumberFormat="1" applyFont="1" applyFill="1" applyAlignment="1" applyProtection="1">
      <alignment horizontal="left" vertical="top" wrapText="1"/>
      <protection hidden="1"/>
    </xf>
    <xf numFmtId="0" fontId="46" fillId="3" borderId="0" xfId="3" applyFont="1" applyFill="1" applyAlignment="1" applyProtection="1">
      <alignment horizontal="left"/>
      <protection locked="0"/>
    </xf>
    <xf numFmtId="0" fontId="44" fillId="3" borderId="0" xfId="0" applyFont="1" applyFill="1" applyAlignment="1">
      <alignment horizontal="center"/>
    </xf>
    <xf numFmtId="165" fontId="44" fillId="3" borderId="0" xfId="1" applyNumberFormat="1" applyFont="1" applyFill="1" applyBorder="1" applyAlignment="1" applyProtection="1">
      <alignment horizontal="left"/>
      <protection hidden="1"/>
    </xf>
  </cellXfs>
  <cellStyles count="11">
    <cellStyle name="Comma" xfId="1" builtinId="3"/>
    <cellStyle name="Comma 14" xfId="5" xr:uid="{00000000-0005-0000-0000-000001000000}"/>
    <cellStyle name="Comma 2" xfId="2" xr:uid="{00000000-0005-0000-0000-000002000000}"/>
    <cellStyle name="Comma 2 6" xfId="7" xr:uid="{00000000-0005-0000-0000-000003000000}"/>
    <cellStyle name="Comma 6" xfId="8" xr:uid="{00000000-0005-0000-0000-000004000000}"/>
    <cellStyle name="Normal" xfId="0" builtinId="0"/>
    <cellStyle name="Normal 2" xfId="3" xr:uid="{00000000-0005-0000-0000-000006000000}"/>
    <cellStyle name="Normal 2 2" xfId="6" xr:uid="{00000000-0005-0000-0000-000007000000}"/>
    <cellStyle name="Normal 3 2" xfId="4" xr:uid="{00000000-0005-0000-0000-000008000000}"/>
    <cellStyle name="Normal 4" xfId="9" xr:uid="{00000000-0005-0000-0000-000009000000}"/>
    <cellStyle name="표준_Q'TN-SUB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82646332204069"/>
          <c:y val="2.8825052040908666E-2"/>
          <c:w val="0.66132729003588209"/>
          <c:h val="0.86578067396747815"/>
        </c:manualLayout>
      </c:layout>
      <c:barChart>
        <c:barDir val="col"/>
        <c:grouping val="stacked"/>
        <c:varyColors val="0"/>
        <c:ser>
          <c:idx val="3"/>
          <c:order val="3"/>
          <c:tx>
            <c:v>Các khoản chi có HĐ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Report!$D$3:$O$4</c:f>
              <c:numCache>
                <c:formatCode>[$-409]mmm\-yy;@</c:formatCode>
                <c:ptCount val="12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</c:numCache>
            </c:numRef>
          </c:cat>
          <c:val>
            <c:numRef>
              <c:f>Report!$D$13:$O$13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7-4297-8B8D-185982631764}"/>
            </c:ext>
          </c:extLst>
        </c:ser>
        <c:ser>
          <c:idx val="4"/>
          <c:order val="4"/>
          <c:tx>
            <c:v>Các khoản chi không có HĐ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Report!$D$3:$O$4</c:f>
              <c:numCache>
                <c:formatCode>[$-409]mmm\-yy;@</c:formatCode>
                <c:ptCount val="12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</c:numCache>
            </c:numRef>
          </c:cat>
          <c:val>
            <c:numRef>
              <c:f>Report!$D$14:$O$14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27-4297-8B8D-18598263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114853248"/>
        <c:axId val="-111484726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Report!#REF!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Report!$D$3:$O$4</c15:sqref>
                        </c15:formulaRef>
                      </c:ext>
                    </c:extLst>
                    <c:numCache>
                      <c:formatCode>[$-409]mmm\-yy;@</c:formatCode>
                      <c:ptCount val="12"/>
                      <c:pt idx="0">
                        <c:v>44561</c:v>
                      </c:pt>
                      <c:pt idx="1">
                        <c:v>44592</c:v>
                      </c:pt>
                      <c:pt idx="2">
                        <c:v>44620</c:v>
                      </c:pt>
                      <c:pt idx="3">
                        <c:v>44651</c:v>
                      </c:pt>
                      <c:pt idx="4">
                        <c:v>44681</c:v>
                      </c:pt>
                      <c:pt idx="5">
                        <c:v>44712</c:v>
                      </c:pt>
                      <c:pt idx="6">
                        <c:v>44742</c:v>
                      </c:pt>
                      <c:pt idx="7">
                        <c:v>44773</c:v>
                      </c:pt>
                      <c:pt idx="8">
                        <c:v>44804</c:v>
                      </c:pt>
                      <c:pt idx="9">
                        <c:v>44834</c:v>
                      </c:pt>
                      <c:pt idx="10">
                        <c:v>44865</c:v>
                      </c:pt>
                      <c:pt idx="11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F27-4297-8B8D-185982631764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ser>
          <c:idx val="0"/>
          <c:order val="0"/>
          <c:tx>
            <c:strRef>
              <c:f>Report!$A$5:$B$5</c:f>
              <c:strCache>
                <c:ptCount val="2"/>
                <c:pt idx="0">
                  <c:v>Công thức trung gian lọc ra tháng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Report!$D$3:$O$4</c:f>
              <c:numCache>
                <c:formatCode>[$-409]mmm\-yy;@</c:formatCode>
                <c:ptCount val="12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</c:numCache>
            </c:numRef>
          </c:cat>
          <c:val>
            <c:numRef>
              <c:f>Report!$D$5:$O$5</c:f>
            </c:numRef>
          </c:val>
          <c:extLst>
            <c:ext xmlns:c16="http://schemas.microsoft.com/office/drawing/2014/chart" uri="{C3380CC4-5D6E-409C-BE32-E72D297353CC}">
              <c16:uniqueId val="{00000000-5F27-4297-8B8D-185982631764}"/>
            </c:ext>
          </c:extLst>
        </c:ser>
        <c:ser>
          <c:idx val="1"/>
          <c:order val="1"/>
          <c:tx>
            <c:strRef>
              <c:f>Report!$A$6:$B$6</c:f>
              <c:strCache>
                <c:ptCount val="2"/>
                <c:pt idx="0">
                  <c:v>Công thức trung gian lọc ra ngày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Report!$D$3:$O$4</c:f>
              <c:numCache>
                <c:formatCode>[$-409]mmm\-yy;@</c:formatCode>
                <c:ptCount val="12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</c:numCache>
            </c:numRef>
          </c:cat>
          <c:val>
            <c:numRef>
              <c:f>Report!$D$6:$O$6</c:f>
            </c:numRef>
          </c:val>
          <c:extLst>
            <c:ext xmlns:c16="http://schemas.microsoft.com/office/drawing/2014/chart" uri="{C3380CC4-5D6E-409C-BE32-E72D297353CC}">
              <c16:uniqueId val="{00000001-5F27-4297-8B8D-18598263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114853248"/>
        <c:axId val="-1114847264"/>
        <c:extLst/>
      </c:barChart>
      <c:lineChart>
        <c:grouping val="standard"/>
        <c:varyColors val="0"/>
        <c:ser>
          <c:idx val="2"/>
          <c:order val="2"/>
          <c:tx>
            <c:strRef>
              <c:f>Report!$A$7:$B$7</c:f>
              <c:strCache>
                <c:ptCount val="2"/>
                <c:pt idx="0">
                  <c:v>Tổng tiền thu: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Report!$D$3:$O$4</c:f>
              <c:numCache>
                <c:formatCode>[$-409]mmm\-yy;@</c:formatCode>
                <c:ptCount val="12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</c:numCache>
            </c:numRef>
          </c:cat>
          <c:val>
            <c:numRef>
              <c:f>Report!$D$7:$O$7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27-4297-8B8D-18598263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14853248"/>
        <c:axId val="-1114847264"/>
      </c:lineChart>
      <c:dateAx>
        <c:axId val="-111485324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4847264"/>
        <c:crosses val="autoZero"/>
        <c:auto val="1"/>
        <c:lblOffset val="100"/>
        <c:baseTimeUnit val="months"/>
      </c:dateAx>
      <c:valAx>
        <c:axId val="-11148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485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158497433140627E-3"/>
          <c:y val="9.3809965773005322E-2"/>
          <c:w val="0.15652202065050241"/>
          <c:h val="0.802060570815417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111617</xdr:rowOff>
    </xdr:to>
    <xdr:sp macro="" textlink="">
      <xdr:nvSpPr>
        <xdr:cNvPr id="20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5029200" y="9926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075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64184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9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123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123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558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558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994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994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994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994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8994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37840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24580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7360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7360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7360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594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594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89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94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94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94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94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94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75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51666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1171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090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03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02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768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768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768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768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5961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7087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04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4706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4706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4706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2462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138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252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252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252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7252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12913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5990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5034643" y="32507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6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7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51247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8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1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3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4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59644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3820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3820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583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583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3820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5832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14143820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5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0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1075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1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2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3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4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5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6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5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6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7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8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9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00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01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02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03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04" name="AutoShape 17" descr="blob:file:///29247db8-b128-4210-8fd0-9840f377fdac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5017394" y="246174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28575</xdr:rowOff>
    </xdr:from>
    <xdr:to>
      <xdr:col>16</xdr:col>
      <xdr:colOff>361950</xdr:colOff>
      <xdr:row>47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6_Accounting\Users\HP\Downloads\H&#431;&#7898;NG%20D&#7850;N%20T&#7840;O%20PHI&#7870;U%20THU%20CHI%20&amp;%20C&#193;CH%20THI&#7870;T%20L&#7852;P%20IN%20&#7844;N%20T&#7920;%20&#272;&#7896;NG%20PHI&#7870;U%20THU%20CHI%20TR&#202;N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6_Accounting\Hien\L&#431;&#416;NG\L&#432;&#417;ng%202018\Luong%20T8.2018\Thang%209_%20Bang%20tong%20hop%20luong-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6_Accounting\PH&#431;&#7906;NG\B&#7843;ng%20l&#432;&#417;ng%20th&#225;ng%2012%20chu&#7849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6_Accounting\Users\HP\Downloads\Thang%209_%20Bang%20tong%20hop%20luong-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6_Accounting\Users\ADMINI~1\AppData\Local\Temp\Rar$DIa0.411\Thang%209_%20Bang%20tong%20hop%20luong-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6_Accounting\Data\Data\DOC-TFM-05_Nh&#226;n%20s&#7921;\1_Ch&#7845;m%20c&#244;ng%20_________Timesheet\2014\8.August\Timesheet%20_TFM_Fsoft%2008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VnToolsExcel\VnTools-Exce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NV "/>
      <sheetName val="SO_QUY"/>
      <sheetName val="P.CHI"/>
    </sheetNames>
    <sheetDataSet>
      <sheetData sheetId="0">
        <row r="4">
          <cell r="A4" t="str">
            <v>MA_NV</v>
          </cell>
          <cell r="B4" t="str">
            <v>HO_TEN</v>
          </cell>
          <cell r="C4" t="str">
            <v>NGAY_SINH</v>
          </cell>
          <cell r="D4" t="str">
            <v>NGAY_VAO_LAM</v>
          </cell>
          <cell r="E4" t="str">
            <v>CHUC_VU</v>
          </cell>
          <cell r="F4" t="str">
            <v>BO_PHAN</v>
          </cell>
          <cell r="G4" t="str">
            <v>NGUOI_PT</v>
          </cell>
        </row>
        <row r="5">
          <cell r="A5" t="str">
            <v>NV001</v>
          </cell>
          <cell r="B5" t="str">
            <v>Lê Quang Toàn</v>
          </cell>
          <cell r="C5">
            <v>0</v>
          </cell>
          <cell r="D5">
            <v>0</v>
          </cell>
          <cell r="E5" t="str">
            <v>TP</v>
          </cell>
          <cell r="F5" t="str">
            <v>Bộ phận Bán hàng</v>
          </cell>
          <cell r="G5">
            <v>1</v>
          </cell>
        </row>
        <row r="6">
          <cell r="A6" t="str">
            <v>NV002</v>
          </cell>
          <cell r="B6" t="str">
            <v>Lê Thị Oanh</v>
          </cell>
          <cell r="C6">
            <v>1</v>
          </cell>
          <cell r="D6">
            <v>1</v>
          </cell>
          <cell r="E6" t="str">
            <v>PP</v>
          </cell>
          <cell r="F6" t="str">
            <v>Phòng kế toán (BH)</v>
          </cell>
          <cell r="G6">
            <v>1</v>
          </cell>
        </row>
        <row r="7">
          <cell r="A7" t="str">
            <v>NV003</v>
          </cell>
          <cell r="B7" t="str">
            <v>Bùi Thu Hường</v>
          </cell>
          <cell r="C7">
            <v>1</v>
          </cell>
          <cell r="D7">
            <v>1</v>
          </cell>
          <cell r="E7" t="str">
            <v>NV</v>
          </cell>
          <cell r="F7" t="str">
            <v>Bộ phận Bán hàng</v>
          </cell>
          <cell r="G7">
            <v>1</v>
          </cell>
        </row>
        <row r="8">
          <cell r="A8" t="str">
            <v>NV004</v>
          </cell>
          <cell r="B8" t="str">
            <v>Trần Đức Trung</v>
          </cell>
          <cell r="C8">
            <v>1</v>
          </cell>
          <cell r="D8">
            <v>1</v>
          </cell>
          <cell r="E8" t="str">
            <v>NV</v>
          </cell>
          <cell r="F8" t="str">
            <v>Bộ phận Bán hàng</v>
          </cell>
          <cell r="G8">
            <v>1</v>
          </cell>
        </row>
        <row r="9">
          <cell r="A9" t="str">
            <v>NV005</v>
          </cell>
          <cell r="B9" t="str">
            <v>Nguyễn Việt Hưng</v>
          </cell>
          <cell r="C9">
            <v>1</v>
          </cell>
          <cell r="D9">
            <v>1</v>
          </cell>
          <cell r="E9" t="str">
            <v>NV</v>
          </cell>
          <cell r="F9" t="str">
            <v>Bộ phận Bán hàng</v>
          </cell>
          <cell r="G9">
            <v>1</v>
          </cell>
        </row>
        <row r="10">
          <cell r="A10" t="str">
            <v>NV006</v>
          </cell>
          <cell r="B10" t="str">
            <v>Nguyễn Bảo Ninh</v>
          </cell>
          <cell r="C10">
            <v>1</v>
          </cell>
          <cell r="D10">
            <v>1</v>
          </cell>
          <cell r="E10" t="str">
            <v>GD</v>
          </cell>
          <cell r="F10" t="str">
            <v>Bộ phận Quản lý</v>
          </cell>
          <cell r="G10">
            <v>1</v>
          </cell>
        </row>
        <row r="11">
          <cell r="A11" t="str">
            <v>NV007</v>
          </cell>
          <cell r="B11" t="str">
            <v>Nguyễn Văn Hiệu</v>
          </cell>
          <cell r="C11">
            <v>1</v>
          </cell>
          <cell r="D11">
            <v>1</v>
          </cell>
          <cell r="E11" t="str">
            <v>PGD</v>
          </cell>
          <cell r="F11" t="str">
            <v>Bộ phận Quản lý</v>
          </cell>
          <cell r="G11">
            <v>1</v>
          </cell>
        </row>
        <row r="12">
          <cell r="A12" t="str">
            <v>NV008</v>
          </cell>
          <cell r="B12" t="str">
            <v>Phạm Linh Phương</v>
          </cell>
          <cell r="C12">
            <v>1</v>
          </cell>
          <cell r="D12">
            <v>1</v>
          </cell>
          <cell r="E12" t="str">
            <v>TP</v>
          </cell>
          <cell r="F12" t="str">
            <v>Phòng kế toán (QL)</v>
          </cell>
          <cell r="G12">
            <v>1</v>
          </cell>
        </row>
        <row r="13">
          <cell r="A13" t="str">
            <v>NV009</v>
          </cell>
          <cell r="B13" t="str">
            <v>Trần Thu Lý</v>
          </cell>
          <cell r="C13">
            <v>1</v>
          </cell>
          <cell r="D13">
            <v>1</v>
          </cell>
          <cell r="E13" t="str">
            <v>TK</v>
          </cell>
          <cell r="F13" t="str">
            <v>Bộ phận Quản lý</v>
          </cell>
          <cell r="G13">
            <v>1</v>
          </cell>
        </row>
        <row r="14">
          <cell r="A14" t="str">
            <v>NV010</v>
          </cell>
          <cell r="B14" t="str">
            <v>Phạm Quỳnh Chi</v>
          </cell>
          <cell r="C14">
            <v>1</v>
          </cell>
          <cell r="D14">
            <v>1</v>
          </cell>
          <cell r="E14" t="str">
            <v>TQ</v>
          </cell>
          <cell r="F14" t="str">
            <v>Bộ phận Quản lý</v>
          </cell>
          <cell r="G14">
            <v>1</v>
          </cell>
        </row>
        <row r="15">
          <cell r="A15" t="str">
            <v>NV011</v>
          </cell>
          <cell r="B15" t="str">
            <v>Hoàng Ngọc Hoa</v>
          </cell>
          <cell r="C15">
            <v>1</v>
          </cell>
          <cell r="D15">
            <v>1</v>
          </cell>
          <cell r="E15" t="str">
            <v>KT</v>
          </cell>
          <cell r="F15" t="str">
            <v>Phòng kế toán (QL)</v>
          </cell>
          <cell r="G15">
            <v>1</v>
          </cell>
        </row>
        <row r="16">
          <cell r="A16" t="str">
            <v>NV012</v>
          </cell>
          <cell r="B16" t="str">
            <v>Nguyễn Văn Huy</v>
          </cell>
          <cell r="C16">
            <v>1</v>
          </cell>
          <cell r="D16">
            <v>1</v>
          </cell>
          <cell r="E16" t="str">
            <v>TP</v>
          </cell>
          <cell r="F16" t="str">
            <v>Bộ phận Sản xuất</v>
          </cell>
          <cell r="G16">
            <v>1</v>
          </cell>
        </row>
        <row r="17">
          <cell r="A17" t="str">
            <v>NV013</v>
          </cell>
          <cell r="B17" t="str">
            <v>Trần Văn Quang</v>
          </cell>
          <cell r="C17">
            <v>1</v>
          </cell>
          <cell r="D17">
            <v>1</v>
          </cell>
          <cell r="E17" t="str">
            <v>NV</v>
          </cell>
          <cell r="F17" t="str">
            <v>Bộ phận Sản xuất</v>
          </cell>
          <cell r="G17">
            <v>1</v>
          </cell>
        </row>
        <row r="18">
          <cell r="A18" t="str">
            <v>NV014</v>
          </cell>
          <cell r="B18" t="str">
            <v>Lê Đức Tâm</v>
          </cell>
          <cell r="C18">
            <v>1</v>
          </cell>
          <cell r="D18">
            <v>1</v>
          </cell>
          <cell r="E18" t="str">
            <v>NV</v>
          </cell>
          <cell r="F18" t="str">
            <v>Bộ phận Sản xuất</v>
          </cell>
          <cell r="G18">
            <v>1</v>
          </cell>
        </row>
        <row r="19">
          <cell r="A19" t="str">
            <v>NV015</v>
          </cell>
          <cell r="B19" t="str">
            <v>Nguyễn Thu Hằng</v>
          </cell>
          <cell r="C19">
            <v>1</v>
          </cell>
          <cell r="D19">
            <v>1</v>
          </cell>
          <cell r="E19" t="str">
            <v>NV</v>
          </cell>
          <cell r="F19" t="str">
            <v>Bộ phận Sản xuất</v>
          </cell>
          <cell r="G19">
            <v>1</v>
          </cell>
        </row>
        <row r="20">
          <cell r="A20" t="str">
            <v>NV016</v>
          </cell>
          <cell r="B20" t="str">
            <v>Lê Đức Tâm</v>
          </cell>
          <cell r="C20">
            <v>1</v>
          </cell>
          <cell r="D20">
            <v>1</v>
          </cell>
          <cell r="E20" t="str">
            <v>NV</v>
          </cell>
          <cell r="F20" t="str">
            <v>Bộ phận Sản xuất</v>
          </cell>
          <cell r="G20">
            <v>1</v>
          </cell>
        </row>
        <row r="21">
          <cell r="A21" t="str">
            <v>NV017</v>
          </cell>
          <cell r="B21" t="str">
            <v>Nguyễn Thu Hằng</v>
          </cell>
          <cell r="C21">
            <v>1</v>
          </cell>
          <cell r="D21">
            <v>1</v>
          </cell>
          <cell r="E21" t="str">
            <v>NV</v>
          </cell>
          <cell r="F21" t="str">
            <v>Bộ phận Sản xuất</v>
          </cell>
          <cell r="G21">
            <v>1</v>
          </cell>
        </row>
        <row r="22">
          <cell r="A22" t="str">
            <v>NV018</v>
          </cell>
          <cell r="B22" t="str">
            <v>Nguyễn Trung Hiếu</v>
          </cell>
          <cell r="C22">
            <v>1</v>
          </cell>
          <cell r="D22">
            <v>1</v>
          </cell>
          <cell r="E22" t="str">
            <v>NV</v>
          </cell>
          <cell r="F22" t="str">
            <v>Bộ phận Sản xuất</v>
          </cell>
          <cell r="G22">
            <v>1</v>
          </cell>
        </row>
        <row r="23">
          <cell r="A23" t="str">
            <v>NV019</v>
          </cell>
          <cell r="B23" t="str">
            <v>Lê Quang Toàn</v>
          </cell>
          <cell r="C23">
            <v>1</v>
          </cell>
          <cell r="D23">
            <v>1</v>
          </cell>
          <cell r="E23" t="str">
            <v>NV</v>
          </cell>
          <cell r="F23" t="str">
            <v>Bộ phận Sản xuất</v>
          </cell>
          <cell r="G23">
            <v>1</v>
          </cell>
        </row>
      </sheetData>
      <sheetData sheetId="1">
        <row r="10">
          <cell r="B10" t="str">
            <v>SO_CT</v>
          </cell>
          <cell r="C10" t="str">
            <v>NGAY_CT</v>
          </cell>
          <cell r="D10" t="str">
            <v>DIEN_GIAI</v>
          </cell>
          <cell r="E10" t="str">
            <v>TKDU</v>
          </cell>
          <cell r="F10" t="str">
            <v>THU</v>
          </cell>
          <cell r="G10" t="str">
            <v>CHI</v>
          </cell>
          <cell r="H10" t="str">
            <v>TON</v>
          </cell>
          <cell r="I10" t="str">
            <v>MA_NV</v>
          </cell>
        </row>
        <row r="11">
          <cell r="B11" t="str">
            <v>PC001</v>
          </cell>
          <cell r="C11">
            <v>42737</v>
          </cell>
          <cell r="D11" t="str">
            <v>Thanh toán tiền internet tháng 12 cho bộ phận quản lý</v>
          </cell>
          <cell r="E11" t="str">
            <v>6422</v>
          </cell>
          <cell r="F11">
            <v>0</v>
          </cell>
          <cell r="G11">
            <v>669500</v>
          </cell>
          <cell r="H11">
            <v>179950500</v>
          </cell>
          <cell r="I11" t="str">
            <v>NV001</v>
          </cell>
        </row>
        <row r="12">
          <cell r="B12" t="str">
            <v>PC001</v>
          </cell>
          <cell r="C12">
            <v>42737</v>
          </cell>
          <cell r="D12" t="str">
            <v>Thanh toán tiền internet tháng 12 cho bộ phận quản lý</v>
          </cell>
          <cell r="E12" t="str">
            <v>1331</v>
          </cell>
          <cell r="F12">
            <v>0</v>
          </cell>
          <cell r="G12">
            <v>66950</v>
          </cell>
          <cell r="H12">
            <v>179883550</v>
          </cell>
          <cell r="I12" t="str">
            <v>NV002</v>
          </cell>
        </row>
        <row r="13">
          <cell r="B13" t="str">
            <v>PC002</v>
          </cell>
          <cell r="C13">
            <v>42743</v>
          </cell>
          <cell r="D13" t="str">
            <v>Thanh toán tiền tiếp khách</v>
          </cell>
          <cell r="E13" t="str">
            <v>6422</v>
          </cell>
          <cell r="F13">
            <v>0</v>
          </cell>
          <cell r="G13">
            <v>3680000</v>
          </cell>
          <cell r="H13">
            <v>176203550</v>
          </cell>
          <cell r="I13" t="str">
            <v>NV003</v>
          </cell>
        </row>
        <row r="14">
          <cell r="B14" t="str">
            <v>PC002</v>
          </cell>
          <cell r="C14">
            <v>42743</v>
          </cell>
          <cell r="D14" t="str">
            <v>Thanh toán tiền tiếp khách</v>
          </cell>
          <cell r="E14" t="str">
            <v>1331</v>
          </cell>
          <cell r="F14">
            <v>0</v>
          </cell>
          <cell r="G14">
            <v>368000</v>
          </cell>
          <cell r="H14">
            <v>175835550</v>
          </cell>
          <cell r="I14" t="str">
            <v>NV004</v>
          </cell>
        </row>
        <row r="15">
          <cell r="B15" t="str">
            <v>PC003</v>
          </cell>
          <cell r="C15">
            <v>42766</v>
          </cell>
          <cell r="D15" t="str">
            <v>Chi tiền trả lương cho cán bộ nhân viên tháng 1</v>
          </cell>
          <cell r="E15" t="str">
            <v>334</v>
          </cell>
          <cell r="F15">
            <v>0</v>
          </cell>
          <cell r="G15">
            <v>84996055.65384616</v>
          </cell>
          <cell r="H15">
            <v>90839494.346200004</v>
          </cell>
          <cell r="I15" t="str">
            <v>NV005</v>
          </cell>
        </row>
        <row r="16">
          <cell r="B16" t="str">
            <v>PC004</v>
          </cell>
          <cell r="C16">
            <v>42768</v>
          </cell>
          <cell r="D16" t="str">
            <v>Chi tiền tạm ứng cho nhân viên đi công tác</v>
          </cell>
          <cell r="E16" t="str">
            <v>141</v>
          </cell>
          <cell r="F16">
            <v>0</v>
          </cell>
          <cell r="G16">
            <v>6000000</v>
          </cell>
          <cell r="H16">
            <v>84839494.346200004</v>
          </cell>
          <cell r="I16" t="str">
            <v>NV006</v>
          </cell>
        </row>
        <row r="17">
          <cell r="B17" t="str">
            <v>PC005</v>
          </cell>
          <cell r="C17">
            <v>42772</v>
          </cell>
          <cell r="D17" t="str">
            <v>Thanh toán cước internet tháng 1/2017 (QL)</v>
          </cell>
          <cell r="E17" t="str">
            <v>6422</v>
          </cell>
          <cell r="F17">
            <v>0</v>
          </cell>
          <cell r="G17">
            <v>500000</v>
          </cell>
          <cell r="H17">
            <v>84339494.346200004</v>
          </cell>
          <cell r="I17" t="str">
            <v>NV007</v>
          </cell>
        </row>
        <row r="18">
          <cell r="B18" t="str">
            <v>PC005</v>
          </cell>
          <cell r="C18">
            <v>42772</v>
          </cell>
          <cell r="D18" t="str">
            <v>Thanh toán cước internet tháng 1/2017 (QL)</v>
          </cell>
          <cell r="E18" t="str">
            <v>1331</v>
          </cell>
          <cell r="F18">
            <v>0</v>
          </cell>
          <cell r="G18">
            <v>50000</v>
          </cell>
          <cell r="H18">
            <v>84289494.346200004</v>
          </cell>
          <cell r="I18" t="str">
            <v>NV008</v>
          </cell>
        </row>
        <row r="19">
          <cell r="B19" t="str">
            <v>PC006</v>
          </cell>
          <cell r="C19">
            <v>42772</v>
          </cell>
          <cell r="D19" t="str">
            <v>Thanh toán tiền điện tháng 1/2017 của bộ phận quản lý</v>
          </cell>
          <cell r="E19" t="str">
            <v>6422</v>
          </cell>
          <cell r="F19">
            <v>0</v>
          </cell>
          <cell r="G19">
            <v>824646</v>
          </cell>
          <cell r="H19">
            <v>83464848.346200004</v>
          </cell>
          <cell r="I19" t="str">
            <v>NV009</v>
          </cell>
        </row>
        <row r="20">
          <cell r="B20" t="str">
            <v>PC006</v>
          </cell>
          <cell r="C20">
            <v>42772</v>
          </cell>
          <cell r="D20" t="str">
            <v>Thanh toán tiền điện tháng 1/2017 của bộ phận quản lý</v>
          </cell>
          <cell r="E20" t="str">
            <v>1331</v>
          </cell>
          <cell r="F20">
            <v>0</v>
          </cell>
          <cell r="G20">
            <v>82464.600000000006</v>
          </cell>
          <cell r="H20">
            <v>83382383.74620001</v>
          </cell>
          <cell r="I20" t="str">
            <v>NV010</v>
          </cell>
        </row>
        <row r="21">
          <cell r="B21" t="str">
            <v>PT001</v>
          </cell>
          <cell r="C21">
            <v>42774</v>
          </cell>
          <cell r="D21" t="str">
            <v>Thu tiền hoàn ứng đi công tác Huế</v>
          </cell>
          <cell r="E21" t="str">
            <v>141</v>
          </cell>
          <cell r="F21">
            <v>1900000</v>
          </cell>
          <cell r="G21">
            <v>0</v>
          </cell>
          <cell r="H21">
            <v>85282383.746199995</v>
          </cell>
          <cell r="I21" t="str">
            <v>NV011</v>
          </cell>
        </row>
        <row r="22">
          <cell r="B22" t="str">
            <v>PC007</v>
          </cell>
          <cell r="C22">
            <v>42775</v>
          </cell>
          <cell r="D22" t="str">
            <v>Thanh toán tiền mua máy in cho bộ phận QL và phí đăng kiểm ô tô</v>
          </cell>
          <cell r="E22" t="str">
            <v>242</v>
          </cell>
          <cell r="F22">
            <v>0</v>
          </cell>
          <cell r="G22">
            <v>9000000</v>
          </cell>
          <cell r="H22">
            <v>76282383.746199995</v>
          </cell>
          <cell r="I22" t="str">
            <v>NV012</v>
          </cell>
        </row>
        <row r="23">
          <cell r="B23" t="str">
            <v>PC007</v>
          </cell>
          <cell r="C23">
            <v>42775</v>
          </cell>
          <cell r="D23" t="str">
            <v>Thanh toán tiền mua máy in cho bộ phận QL và phí đăng kiểm ô tô</v>
          </cell>
          <cell r="E23" t="str">
            <v>1331</v>
          </cell>
          <cell r="F23">
            <v>0</v>
          </cell>
          <cell r="G23">
            <v>900000</v>
          </cell>
          <cell r="H23">
            <v>75382383.746199995</v>
          </cell>
          <cell r="I23" t="str">
            <v>NV013</v>
          </cell>
        </row>
        <row r="24">
          <cell r="B24" t="str">
            <v>PC008</v>
          </cell>
          <cell r="C24">
            <v>42775</v>
          </cell>
          <cell r="D24" t="str">
            <v>Thanh toán tiền mua máy in cho bộ phận QL và phí đăng kiểm ô tô</v>
          </cell>
          <cell r="E24" t="str">
            <v>6422</v>
          </cell>
          <cell r="F24">
            <v>0</v>
          </cell>
          <cell r="G24">
            <v>186364</v>
          </cell>
          <cell r="H24">
            <v>75196019.746199995</v>
          </cell>
          <cell r="I24" t="str">
            <v>NV014</v>
          </cell>
        </row>
        <row r="25">
          <cell r="B25" t="str">
            <v>PC008</v>
          </cell>
          <cell r="C25">
            <v>42775</v>
          </cell>
          <cell r="D25" t="str">
            <v>Thanh toán tiền mua máy in cho bộ phận QL và phí đăng kiểm ô tô</v>
          </cell>
          <cell r="E25" t="str">
            <v>1331</v>
          </cell>
          <cell r="F25">
            <v>0</v>
          </cell>
          <cell r="G25">
            <v>13636</v>
          </cell>
          <cell r="H25">
            <v>75182383.746199995</v>
          </cell>
          <cell r="I25" t="str">
            <v>NV015</v>
          </cell>
        </row>
        <row r="26">
          <cell r="B26" t="str">
            <v>PC009</v>
          </cell>
          <cell r="C26">
            <v>42778</v>
          </cell>
          <cell r="D26" t="str">
            <v>Cước vận chuyển mua hàng (HĐ:0000335)</v>
          </cell>
          <cell r="E26" t="str">
            <v>156</v>
          </cell>
          <cell r="F26">
            <v>0</v>
          </cell>
          <cell r="G26">
            <v>67178.202317569681</v>
          </cell>
          <cell r="H26">
            <v>75115205.543899998</v>
          </cell>
          <cell r="I26" t="str">
            <v>NV016</v>
          </cell>
        </row>
        <row r="27">
          <cell r="B27" t="str">
            <v>PC009</v>
          </cell>
          <cell r="C27">
            <v>42778</v>
          </cell>
          <cell r="D27" t="str">
            <v>Cước vận chuyển mua hàng (HĐ:0000335)</v>
          </cell>
          <cell r="E27" t="str">
            <v>156</v>
          </cell>
          <cell r="F27">
            <v>0</v>
          </cell>
          <cell r="G27">
            <v>111963.6705292828</v>
          </cell>
          <cell r="H27">
            <v>75003241.873400003</v>
          </cell>
          <cell r="I27" t="str">
            <v>NV017</v>
          </cell>
        </row>
        <row r="28">
          <cell r="B28" t="str">
            <v>PC009</v>
          </cell>
          <cell r="C28">
            <v>42778</v>
          </cell>
          <cell r="D28" t="str">
            <v>Cước vận chuyển mua hàng (HĐ:0000335)</v>
          </cell>
          <cell r="E28" t="str">
            <v>156</v>
          </cell>
          <cell r="F28">
            <v>0</v>
          </cell>
          <cell r="G28">
            <v>738960.22549326648</v>
          </cell>
          <cell r="H28">
            <v>74264281.6479</v>
          </cell>
          <cell r="I28" t="str">
            <v>NV018</v>
          </cell>
        </row>
        <row r="29">
          <cell r="B29" t="str">
            <v>PC009</v>
          </cell>
          <cell r="C29">
            <v>42778</v>
          </cell>
          <cell r="D29" t="str">
            <v>Cước vận chuyển mua hàng (HĐ:0000335)</v>
          </cell>
          <cell r="E29" t="str">
            <v>156</v>
          </cell>
          <cell r="F29">
            <v>0</v>
          </cell>
          <cell r="G29">
            <v>181897.90165988097</v>
          </cell>
          <cell r="H29">
            <v>74082383.746199995</v>
          </cell>
          <cell r="I29" t="str">
            <v>NV019</v>
          </cell>
        </row>
        <row r="30">
          <cell r="B30" t="str">
            <v>PC009</v>
          </cell>
          <cell r="C30">
            <v>42778</v>
          </cell>
          <cell r="D30" t="str">
            <v>Cước vận chuyển mua hàng (HĐ:0000335)</v>
          </cell>
          <cell r="E30" t="str">
            <v>1331</v>
          </cell>
          <cell r="F30">
            <v>0</v>
          </cell>
          <cell r="G30">
            <v>110000</v>
          </cell>
          <cell r="H30">
            <v>73972383.746199995</v>
          </cell>
          <cell r="I30" t="str">
            <v>NV001</v>
          </cell>
        </row>
        <row r="31">
          <cell r="B31" t="str">
            <v>PC010</v>
          </cell>
          <cell r="C31">
            <v>42791</v>
          </cell>
          <cell r="D31" t="str">
            <v>Thanh toán tiền mua xăng xăng cho bộ phận VP, dầu cho bộ phận BH</v>
          </cell>
          <cell r="E31" t="str">
            <v>6422</v>
          </cell>
          <cell r="F31">
            <v>0</v>
          </cell>
          <cell r="G31">
            <v>1572250</v>
          </cell>
          <cell r="H31">
            <v>72400133.746199995</v>
          </cell>
          <cell r="I31" t="str">
            <v>NV002</v>
          </cell>
        </row>
        <row r="32">
          <cell r="B32" t="str">
            <v>PC010</v>
          </cell>
          <cell r="C32">
            <v>42791</v>
          </cell>
          <cell r="D32" t="str">
            <v>Thanh toán tiền mua xăng xăng cho bộ phận VP, dầu cho bộ phận BH</v>
          </cell>
          <cell r="E32" t="str">
            <v>6421</v>
          </cell>
          <cell r="F32">
            <v>0</v>
          </cell>
          <cell r="G32">
            <v>1290300</v>
          </cell>
          <cell r="H32">
            <v>71109833.746199995</v>
          </cell>
          <cell r="I32" t="str">
            <v>NV003</v>
          </cell>
        </row>
        <row r="33">
          <cell r="B33" t="str">
            <v>PC010</v>
          </cell>
          <cell r="C33">
            <v>42791</v>
          </cell>
          <cell r="D33" t="str">
            <v>Thanh toán tiền mua xăng xăng cho bộ phận VP, dầu cho bộ phận BH</v>
          </cell>
          <cell r="E33" t="str">
            <v>1331</v>
          </cell>
          <cell r="F33">
            <v>0</v>
          </cell>
          <cell r="G33">
            <v>286255</v>
          </cell>
          <cell r="H33">
            <v>70823578.746199995</v>
          </cell>
          <cell r="I33" t="str">
            <v>NV004</v>
          </cell>
        </row>
        <row r="34">
          <cell r="B34" t="str">
            <v>PT002</v>
          </cell>
          <cell r="C34">
            <v>42794</v>
          </cell>
          <cell r="D34" t="str">
            <v>Rút tiền gửi ngân hàng nhập quỹ tiền mặt</v>
          </cell>
          <cell r="E34" t="str">
            <v>1121VCB</v>
          </cell>
          <cell r="F34">
            <v>200000000</v>
          </cell>
          <cell r="G34">
            <v>0</v>
          </cell>
          <cell r="H34">
            <v>270823578.74619997</v>
          </cell>
          <cell r="I34" t="str">
            <v>NV005</v>
          </cell>
        </row>
        <row r="35">
          <cell r="B35" t="str">
            <v>PC011</v>
          </cell>
          <cell r="C35">
            <v>42794</v>
          </cell>
          <cell r="D35" t="str">
            <v>Chi tiền trả lương cho cán bộ nhân viên tháng 2</v>
          </cell>
          <cell r="E35" t="str">
            <v>334</v>
          </cell>
          <cell r="F35">
            <v>0</v>
          </cell>
          <cell r="G35">
            <v>79602009.5</v>
          </cell>
          <cell r="H35">
            <v>191221569.24620003</v>
          </cell>
          <cell r="I35" t="str">
            <v>NV006</v>
          </cell>
        </row>
        <row r="36">
          <cell r="B36" t="str">
            <v>PC012</v>
          </cell>
          <cell r="C36">
            <v>42801</v>
          </cell>
          <cell r="D36" t="str">
            <v>Thanh toán cước internet tháng 2/2016 (QL)</v>
          </cell>
          <cell r="E36" t="str">
            <v>6422</v>
          </cell>
          <cell r="F36">
            <v>0</v>
          </cell>
          <cell r="G36">
            <v>500000</v>
          </cell>
          <cell r="H36">
            <v>190721569.2462</v>
          </cell>
          <cell r="I36" t="str">
            <v>NV007</v>
          </cell>
        </row>
        <row r="37">
          <cell r="B37" t="str">
            <v>PC012</v>
          </cell>
          <cell r="C37">
            <v>42801</v>
          </cell>
          <cell r="D37" t="str">
            <v>Thanh toán cước internet tháng 2/2016 (QL)</v>
          </cell>
          <cell r="E37" t="str">
            <v>1331</v>
          </cell>
          <cell r="F37">
            <v>0</v>
          </cell>
          <cell r="G37">
            <v>50000</v>
          </cell>
          <cell r="H37">
            <v>190671569.2462</v>
          </cell>
          <cell r="I37" t="str">
            <v>NV008</v>
          </cell>
        </row>
        <row r="38">
          <cell r="B38" t="str">
            <v>PC013</v>
          </cell>
          <cell r="C38">
            <v>42801</v>
          </cell>
          <cell r="D38" t="str">
            <v>Thanh toán tiền điện tháng 2/2016 (QL)</v>
          </cell>
          <cell r="E38" t="str">
            <v>6422</v>
          </cell>
          <cell r="F38">
            <v>0</v>
          </cell>
          <cell r="G38">
            <v>1091107</v>
          </cell>
          <cell r="H38">
            <v>189580462.2462</v>
          </cell>
          <cell r="I38" t="str">
            <v>NV009</v>
          </cell>
        </row>
        <row r="39">
          <cell r="B39" t="str">
            <v>PC013</v>
          </cell>
          <cell r="C39">
            <v>42801</v>
          </cell>
          <cell r="D39" t="str">
            <v>Thanh toán tiền điện tháng 2/2016 (QL)</v>
          </cell>
          <cell r="E39" t="str">
            <v>1331</v>
          </cell>
          <cell r="F39">
            <v>0</v>
          </cell>
          <cell r="G39">
            <v>109110.70000000001</v>
          </cell>
          <cell r="H39">
            <v>189471351.54620001</v>
          </cell>
          <cell r="I39" t="str">
            <v>NV010</v>
          </cell>
        </row>
        <row r="40">
          <cell r="B40" t="str">
            <v>PC014</v>
          </cell>
          <cell r="C40">
            <v>42806</v>
          </cell>
          <cell r="D40" t="str">
            <v>Thanh toán tiền mua đồng phục và, nước uống, văn phòng phẩm</v>
          </cell>
          <cell r="E40" t="str">
            <v>6422</v>
          </cell>
          <cell r="F40">
            <v>0</v>
          </cell>
          <cell r="G40">
            <v>500000</v>
          </cell>
          <cell r="H40">
            <v>188971351.54620001</v>
          </cell>
          <cell r="I40" t="str">
            <v>NV011</v>
          </cell>
        </row>
        <row r="41">
          <cell r="B41" t="str">
            <v>PC014</v>
          </cell>
          <cell r="C41">
            <v>42806</v>
          </cell>
          <cell r="D41" t="str">
            <v>Thanh toán tiền mua đồng phục và, nước uống, văn phòng phẩm</v>
          </cell>
          <cell r="E41" t="str">
            <v>242</v>
          </cell>
          <cell r="F41">
            <v>0</v>
          </cell>
          <cell r="G41">
            <v>9000000</v>
          </cell>
          <cell r="H41">
            <v>179971351.54620001</v>
          </cell>
          <cell r="I41" t="str">
            <v>NV012</v>
          </cell>
        </row>
        <row r="42">
          <cell r="B42" t="str">
            <v>PC014</v>
          </cell>
          <cell r="C42">
            <v>42806</v>
          </cell>
          <cell r="D42" t="str">
            <v>Thanh toán tiền mua đồng phục và, nước uống, văn phòng phẩm</v>
          </cell>
          <cell r="E42" t="str">
            <v>6422</v>
          </cell>
          <cell r="F42">
            <v>0</v>
          </cell>
          <cell r="G42">
            <v>308200</v>
          </cell>
          <cell r="H42">
            <v>179663151.54620001</v>
          </cell>
          <cell r="I42" t="str">
            <v>NV013</v>
          </cell>
        </row>
        <row r="43">
          <cell r="B43" t="str">
            <v>PC014</v>
          </cell>
          <cell r="C43">
            <v>42806</v>
          </cell>
          <cell r="D43" t="str">
            <v>Thanh toán tiền mua đồng phục và, nước uống, văn phòng phẩm</v>
          </cell>
          <cell r="E43" t="str">
            <v>1331</v>
          </cell>
          <cell r="F43">
            <v>0</v>
          </cell>
          <cell r="G43">
            <v>30820</v>
          </cell>
          <cell r="H43">
            <v>179632331.54620001</v>
          </cell>
          <cell r="I43" t="str">
            <v>NV014</v>
          </cell>
        </row>
        <row r="44">
          <cell r="B44" t="str">
            <v>PC015</v>
          </cell>
          <cell r="C44">
            <v>42813</v>
          </cell>
          <cell r="D44" t="str">
            <v>Phí vận chuyển hàng NK</v>
          </cell>
          <cell r="E44" t="str">
            <v>156</v>
          </cell>
          <cell r="F44">
            <v>0</v>
          </cell>
          <cell r="G44">
            <v>2000000</v>
          </cell>
          <cell r="H44">
            <v>177632331.54620001</v>
          </cell>
          <cell r="I44" t="str">
            <v>NV015</v>
          </cell>
        </row>
        <row r="45">
          <cell r="B45" t="str">
            <v>PC015</v>
          </cell>
          <cell r="C45">
            <v>42813</v>
          </cell>
          <cell r="D45" t="str">
            <v>Phí vận chuyển hàng NK</v>
          </cell>
          <cell r="E45" t="str">
            <v>1331</v>
          </cell>
          <cell r="F45">
            <v>0</v>
          </cell>
          <cell r="G45">
            <v>200000</v>
          </cell>
          <cell r="H45">
            <v>177432331.54620001</v>
          </cell>
          <cell r="I45" t="str">
            <v>NV016</v>
          </cell>
        </row>
        <row r="46">
          <cell r="B46" t="str">
            <v>PC016</v>
          </cell>
          <cell r="C46">
            <v>42825</v>
          </cell>
          <cell r="D46" t="str">
            <v>Chi tiền trả lương cho cán bộ nhân viên tháng 3</v>
          </cell>
          <cell r="E46" t="str">
            <v>334</v>
          </cell>
          <cell r="F46">
            <v>0</v>
          </cell>
          <cell r="G46">
            <v>8318482.807692308</v>
          </cell>
          <cell r="H46">
            <v>169113848.7385</v>
          </cell>
          <cell r="I46" t="str">
            <v>NV017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</row>
        <row r="5">
          <cell r="AA5" t="str">
            <v>Hoàng Văn Phong</v>
          </cell>
        </row>
        <row r="6">
          <cell r="AA6" t="str">
            <v>Lê Đức Thành</v>
          </cell>
        </row>
        <row r="7">
          <cell r="AA7" t="str">
            <v>Lê Trường Thọ</v>
          </cell>
        </row>
        <row r="8">
          <cell r="AA8" t="str">
            <v>Bùi Hữu Cường</v>
          </cell>
        </row>
        <row r="9">
          <cell r="AA9" t="str">
            <v>Trần Huyền Trang</v>
          </cell>
        </row>
        <row r="10">
          <cell r="AA10" t="str">
            <v>Hoàng Quyền</v>
          </cell>
        </row>
        <row r="11">
          <cell r="AA11" t="str">
            <v>Mông Văn Thương</v>
          </cell>
        </row>
        <row r="12">
          <cell r="AA12" t="str">
            <v>Lê Đức Anh</v>
          </cell>
        </row>
        <row r="13">
          <cell r="AA13" t="str">
            <v>Ngô Đình Điệu</v>
          </cell>
        </row>
        <row r="14">
          <cell r="AA14" t="str">
            <v>Cù Mai Thanh</v>
          </cell>
        </row>
        <row r="15">
          <cell r="AA15" t="str">
            <v>Hà Đình Diên</v>
          </cell>
        </row>
        <row r="16">
          <cell r="AA16" t="str">
            <v>Lê Thị An</v>
          </cell>
        </row>
        <row r="17">
          <cell r="AA17" t="str">
            <v>Trương Đức Tính</v>
          </cell>
        </row>
        <row r="18">
          <cell r="AA18" t="str">
            <v>Chu Trọng Thao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Phe duyet luong"/>
      <sheetName val="Phan bo luong"/>
      <sheetName val="CHI TIẾT LƯƠNG"/>
      <sheetName val="Sheet7"/>
      <sheetName val="Chi tiet cong"/>
      <sheetName val="Tong gio lam them"/>
      <sheetName val="OT thán12"/>
      <sheetName val="Chi  tiết OT"/>
      <sheetName val="Chi tiet lam them"/>
      <sheetName val="Không xóa"/>
      <sheetName val="Sheet3"/>
      <sheetName val="Payslip"/>
      <sheetName val="Sheet5"/>
      <sheetName val="khong xoa"/>
      <sheetName val="Sheet6"/>
      <sheetName val="Sheet2"/>
      <sheetName val="Sheet1"/>
      <sheetName val="Sheet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>
            <v>9166</v>
          </cell>
        </row>
        <row r="6">
          <cell r="E6">
            <v>10039</v>
          </cell>
        </row>
        <row r="7">
          <cell r="E7">
            <v>10035</v>
          </cell>
        </row>
        <row r="8">
          <cell r="E8">
            <v>10081</v>
          </cell>
        </row>
        <row r="9">
          <cell r="E9">
            <v>10155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  <cell r="E4" t="str">
            <v>Bình thường</v>
          </cell>
          <cell r="P4" t="str">
            <v>Chỉ nghỉ CN</v>
          </cell>
          <cell r="Q4" t="str">
            <v>Nghỉ nửa T7</v>
          </cell>
          <cell r="R4" t="str">
            <v>Nghỉ cả T7</v>
          </cell>
          <cell r="S4" t="str">
            <v>Thời vụ</v>
          </cell>
        </row>
        <row r="5">
          <cell r="E5" t="str">
            <v>Tăng ca</v>
          </cell>
        </row>
        <row r="6">
          <cell r="E6" t="str">
            <v>CN</v>
          </cell>
        </row>
        <row r="7">
          <cell r="E7" t="str">
            <v>Lễ, tết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/>
      <sheetData sheetId="3"/>
      <sheetData sheetId="4">
        <row r="5">
          <cell r="AA5" t="str">
            <v>Hoàng Văn Phong</v>
          </cell>
        </row>
        <row r="6">
          <cell r="AA6" t="str">
            <v>Lê Đức Thành</v>
          </cell>
        </row>
        <row r="7">
          <cell r="AA7" t="str">
            <v>Lê Trường Thọ</v>
          </cell>
        </row>
        <row r="8">
          <cell r="AA8" t="str">
            <v>Bùi Hữu Cường</v>
          </cell>
        </row>
        <row r="9">
          <cell r="AA9" t="str">
            <v>Trần Huyền Trang</v>
          </cell>
        </row>
        <row r="10">
          <cell r="AA10" t="str">
            <v>Hoàng Quyền</v>
          </cell>
        </row>
        <row r="11">
          <cell r="AA11" t="str">
            <v>Mông Văn Thương</v>
          </cell>
        </row>
        <row r="12">
          <cell r="AA12" t="str">
            <v>Lê Đức Anh</v>
          </cell>
        </row>
        <row r="13">
          <cell r="AA13" t="str">
            <v>Ngô Đình Điệu</v>
          </cell>
        </row>
        <row r="14">
          <cell r="AA14" t="str">
            <v>Cù Mai Thanh</v>
          </cell>
        </row>
        <row r="15">
          <cell r="AA15" t="str">
            <v>Hà Đình Diên</v>
          </cell>
        </row>
        <row r="16">
          <cell r="AA16" t="str">
            <v>Lê Thị An</v>
          </cell>
        </row>
        <row r="17">
          <cell r="AA17" t="str">
            <v>Trương Đức Tính</v>
          </cell>
        </row>
        <row r="18">
          <cell r="AA18" t="str">
            <v>Chu Trọng Thao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udget comparison"/>
      <sheetName val="OT Soft service by project"/>
      <sheetName val="Summary OT_Soft"/>
      <sheetName val="Timesheet FSoft"/>
      <sheetName val="OT FSoft"/>
      <sheetName val="Summary_OT BQL"/>
      <sheetName val="F-HRD-CB FINAL"/>
      <sheetName val="OT FINAL"/>
      <sheetName val="khong xoa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Bùi Thị Thọ</v>
          </cell>
        </row>
        <row r="2">
          <cell r="A2" t="str">
            <v>Bùi Thị Thủy</v>
          </cell>
        </row>
        <row r="3">
          <cell r="A3" t="str">
            <v>Đỗ Thị Nga</v>
          </cell>
        </row>
        <row r="4">
          <cell r="A4" t="str">
            <v>Đoàn Thị Khái</v>
          </cell>
        </row>
        <row r="5">
          <cell r="A5" t="str">
            <v>Hoàng Thị Luyến</v>
          </cell>
        </row>
        <row r="6">
          <cell r="A6" t="str">
            <v>Ngô Thị Tuyết</v>
          </cell>
        </row>
        <row r="7">
          <cell r="A7" t="str">
            <v>Nguyễn Thị Chiều</v>
          </cell>
        </row>
        <row r="8">
          <cell r="A8" t="str">
            <v>Nguyễn Thị Thanh A</v>
          </cell>
        </row>
        <row r="9">
          <cell r="A9" t="str">
            <v>Nguyễn Thị Thanh B</v>
          </cell>
        </row>
        <row r="10">
          <cell r="A10" t="str">
            <v>Nguyễn Thị Vân A</v>
          </cell>
        </row>
        <row r="11">
          <cell r="A11" t="str">
            <v>Nguyễn Thị Vân B</v>
          </cell>
        </row>
        <row r="12">
          <cell r="A12" t="str">
            <v>Tạ Thị Nhung</v>
          </cell>
        </row>
      </sheetData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nTools-Excel"/>
    </sheetNames>
    <definedNames>
      <definedName name="VN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4"/>
  <sheetViews>
    <sheetView view="pageBreakPreview" zoomScale="71" zoomScaleNormal="100" zoomScaleSheetLayoutView="7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5" sqref="A5:XFD5"/>
    </sheetView>
  </sheetViews>
  <sheetFormatPr defaultColWidth="9.109375" defaultRowHeight="15.6" x14ac:dyDescent="0.3"/>
  <cols>
    <col min="1" max="1" width="14.33203125" style="229" customWidth="1"/>
    <col min="2" max="2" width="13.5546875" style="229" customWidth="1"/>
    <col min="3" max="3" width="23.109375" style="230" customWidth="1"/>
    <col min="4" max="4" width="24.44140625" style="230" customWidth="1"/>
    <col min="5" max="5" width="67.88671875" style="231" customWidth="1"/>
    <col min="6" max="6" width="14.44140625" style="230" customWidth="1"/>
    <col min="7" max="7" width="15" style="232" customWidth="1"/>
    <col min="8" max="8" width="12.88671875" style="230" customWidth="1"/>
    <col min="9" max="9" width="11" style="230" bestFit="1" customWidth="1"/>
    <col min="10" max="11" width="18.6640625" style="233" customWidth="1"/>
    <col min="12" max="12" width="28.33203125" style="234" customWidth="1"/>
    <col min="13" max="13" width="2.44140625" style="235" customWidth="1"/>
    <col min="14" max="14" width="16.88671875" style="236" bestFit="1" customWidth="1"/>
    <col min="15" max="16384" width="9.109375" style="235"/>
  </cols>
  <sheetData>
    <row r="1" spans="1:14" s="237" customFormat="1" ht="30" customHeight="1" x14ac:dyDescent="0.3">
      <c r="A1" s="105"/>
      <c r="B1" s="105"/>
      <c r="C1" s="105"/>
      <c r="D1" s="173"/>
      <c r="E1" s="117" t="s">
        <v>7</v>
      </c>
      <c r="F1" s="105"/>
      <c r="G1" s="105"/>
      <c r="H1" s="105"/>
      <c r="I1" s="106"/>
      <c r="J1" s="107"/>
      <c r="K1" s="108" t="s">
        <v>68</v>
      </c>
      <c r="L1" s="115" t="s">
        <v>176</v>
      </c>
      <c r="M1" s="174"/>
      <c r="N1" s="175"/>
    </row>
    <row r="2" spans="1:14" x14ac:dyDescent="0.3">
      <c r="A2" s="109"/>
      <c r="B2" s="109"/>
      <c r="C2" s="110"/>
      <c r="D2" s="110"/>
      <c r="E2" s="110"/>
      <c r="F2" s="110"/>
      <c r="G2" s="111"/>
      <c r="H2" s="110"/>
      <c r="I2" s="110"/>
      <c r="J2" s="112"/>
      <c r="K2" s="113" t="s">
        <v>69</v>
      </c>
      <c r="L2" s="116">
        <f ca="1">TODAY()</f>
        <v>44882</v>
      </c>
      <c r="M2" s="176"/>
      <c r="N2" s="177"/>
    </row>
    <row r="3" spans="1:14" ht="39.75" customHeight="1" x14ac:dyDescent="0.25">
      <c r="A3" s="195" t="s">
        <v>6</v>
      </c>
      <c r="B3" s="205" t="s">
        <v>2</v>
      </c>
      <c r="C3" s="205" t="s">
        <v>124</v>
      </c>
      <c r="D3" s="206" t="s">
        <v>125</v>
      </c>
      <c r="E3" s="207" t="s">
        <v>126</v>
      </c>
      <c r="F3" s="208" t="s">
        <v>127</v>
      </c>
      <c r="G3" s="201" t="s">
        <v>51</v>
      </c>
      <c r="H3" s="201" t="s">
        <v>119</v>
      </c>
      <c r="I3" s="202" t="s">
        <v>120</v>
      </c>
      <c r="J3" s="209" t="s">
        <v>128</v>
      </c>
      <c r="K3" s="210"/>
      <c r="L3" s="207" t="s">
        <v>3</v>
      </c>
      <c r="M3" s="174"/>
      <c r="N3" s="178" t="s">
        <v>70</v>
      </c>
    </row>
    <row r="4" spans="1:14" ht="39.6" customHeight="1" x14ac:dyDescent="0.3">
      <c r="A4" s="200"/>
      <c r="B4" s="211" t="s">
        <v>129</v>
      </c>
      <c r="C4" s="211" t="s">
        <v>130</v>
      </c>
      <c r="D4" s="212" t="s">
        <v>131</v>
      </c>
      <c r="E4" s="213" t="s">
        <v>132</v>
      </c>
      <c r="F4" s="213" t="s">
        <v>133</v>
      </c>
      <c r="G4" s="203" t="s">
        <v>121</v>
      </c>
      <c r="H4" s="204" t="s">
        <v>122</v>
      </c>
      <c r="I4" s="204" t="s">
        <v>123</v>
      </c>
      <c r="J4" s="214" t="s">
        <v>134</v>
      </c>
      <c r="K4" s="214" t="s">
        <v>135</v>
      </c>
      <c r="L4" s="213" t="s">
        <v>136</v>
      </c>
      <c r="M4" s="174"/>
      <c r="N4" s="179" t="s">
        <v>55</v>
      </c>
    </row>
  </sheetData>
  <sheetProtection algorithmName="SHA-512" hashValue="hv3f9CgVfQvb1dujVmoKaIANutSJliw6zQw1OxjnwWNw7KO3AhH+1Fq7MgPkjydM3nB8+JGRE5hSE4R7dqwZkg==" saltValue="rZAU5GfnIgevjaW09Cz0CQ==" spinCount="100000" sheet="1" objects="1" scenarios="1"/>
  <autoFilter ref="A4:N4" xr:uid="{00000000-0009-0000-0000-000000000000}"/>
  <phoneticPr fontId="39" type="noConversion"/>
  <pageMargins left="0.2" right="0.2" top="0.33" bottom="0.75" header="0.3" footer="0.3"/>
  <pageSetup paperSize="9" scale="3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T48"/>
  <sheetViews>
    <sheetView view="pageBreakPreview" zoomScaleNormal="100" zoomScaleSheetLayoutView="100" workbookViewId="0">
      <pane xSplit="2" ySplit="6" topLeftCell="F7" activePane="bottomRight" state="frozen"/>
      <selection pane="topRight" activeCell="C1" sqref="C1"/>
      <selection pane="bottomLeft" activeCell="A7" sqref="A7"/>
      <selection pane="bottomRight" activeCell="S26" sqref="S26"/>
    </sheetView>
  </sheetViews>
  <sheetFormatPr defaultRowHeight="14.4" x14ac:dyDescent="0.3"/>
  <cols>
    <col min="1" max="1" width="3.5546875" customWidth="1"/>
    <col min="2" max="2" width="35.109375" customWidth="1"/>
    <col min="3" max="3" width="9.109375" customWidth="1"/>
    <col min="4" max="15" width="10.6640625" customWidth="1"/>
    <col min="16" max="16" width="12.6640625" customWidth="1"/>
    <col min="17" max="17" width="5.6640625" customWidth="1"/>
    <col min="18" max="18" width="15.33203125" style="1" bestFit="1" customWidth="1"/>
    <col min="19" max="19" width="14.33203125" style="1" bestFit="1" customWidth="1"/>
    <col min="20" max="20" width="13.33203125" bestFit="1" customWidth="1"/>
  </cols>
  <sheetData>
    <row r="1" spans="1:20" s="9" customFormat="1" ht="31.2" x14ac:dyDescent="0.3">
      <c r="A1" s="5"/>
      <c r="B1" s="5"/>
      <c r="C1" s="5"/>
      <c r="D1" s="5"/>
      <c r="E1" s="5"/>
      <c r="F1" s="5"/>
      <c r="G1" s="5"/>
      <c r="H1" s="6" t="s">
        <v>8</v>
      </c>
      <c r="I1" s="5"/>
      <c r="J1" s="5"/>
      <c r="K1" s="5"/>
      <c r="L1" s="5"/>
      <c r="M1" s="5"/>
      <c r="N1" s="7"/>
      <c r="O1" s="8"/>
      <c r="P1" s="8"/>
      <c r="Q1" s="20" t="s">
        <v>64</v>
      </c>
      <c r="R1" s="22"/>
      <c r="S1" s="22"/>
    </row>
    <row r="2" spans="1:20" s="9" customFormat="1" ht="21.75" customHeight="1" x14ac:dyDescent="0.3">
      <c r="A2" s="10" t="s">
        <v>9</v>
      </c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O2" s="12"/>
      <c r="P2" s="12" t="s">
        <v>10</v>
      </c>
      <c r="Q2" s="65">
        <f ca="1">TODAY()</f>
        <v>44882</v>
      </c>
      <c r="R2" s="32"/>
      <c r="S2" s="22"/>
    </row>
    <row r="3" spans="1:20" ht="29.25" customHeight="1" x14ac:dyDescent="0.3">
      <c r="A3" s="13" t="s">
        <v>11</v>
      </c>
      <c r="B3" s="14"/>
      <c r="C3" s="165" t="s">
        <v>74</v>
      </c>
      <c r="D3" s="15">
        <f ca="1">EOMONTH($Q$2,-11)</f>
        <v>44561</v>
      </c>
      <c r="E3" s="15">
        <f ca="1">EOMONTH($Q$2,-10)</f>
        <v>44592</v>
      </c>
      <c r="F3" s="15">
        <f ca="1">EOMONTH($Q$2,-9)</f>
        <v>44620</v>
      </c>
      <c r="G3" s="15">
        <f ca="1">EOMONTH($Q$2,-8)</f>
        <v>44651</v>
      </c>
      <c r="H3" s="15">
        <f ca="1">EOMONTH($Q$2,-7)</f>
        <v>44681</v>
      </c>
      <c r="I3" s="15">
        <f ca="1">EOMONTH($Q$2,-6)</f>
        <v>44712</v>
      </c>
      <c r="J3" s="15">
        <f ca="1">EOMONTH($Q$2,-5)</f>
        <v>44742</v>
      </c>
      <c r="K3" s="15">
        <f ca="1">EOMONTH($Q$2,-4)</f>
        <v>44773</v>
      </c>
      <c r="L3" s="15">
        <f ca="1">EOMONTH($Q$2,-3)</f>
        <v>44804</v>
      </c>
      <c r="M3" s="15">
        <f ca="1">EOMONTH($Q$2,-2)</f>
        <v>44834</v>
      </c>
      <c r="N3" s="15">
        <f ca="1">EOMONTH($Q$2,-1)</f>
        <v>44865</v>
      </c>
      <c r="O3" s="15">
        <f ca="1">EOMONTH($Q$2,0)</f>
        <v>44895</v>
      </c>
      <c r="P3" s="24" t="s">
        <v>0</v>
      </c>
      <c r="Q3" s="25" t="s">
        <v>12</v>
      </c>
      <c r="R3" s="32"/>
    </row>
    <row r="4" spans="1:20" ht="20.100000000000001" hidden="1" customHeight="1" x14ac:dyDescent="0.3">
      <c r="A4" s="16" t="s">
        <v>13</v>
      </c>
      <c r="B4" s="17"/>
      <c r="C4" s="17"/>
      <c r="D4" s="18">
        <f t="shared" ref="D4:O4" ca="1" si="0">YEAR(D3)</f>
        <v>2021</v>
      </c>
      <c r="E4" s="18">
        <f t="shared" ca="1" si="0"/>
        <v>2022</v>
      </c>
      <c r="F4" s="18">
        <f t="shared" ca="1" si="0"/>
        <v>2022</v>
      </c>
      <c r="G4" s="18">
        <f t="shared" ca="1" si="0"/>
        <v>2022</v>
      </c>
      <c r="H4" s="18">
        <f t="shared" ca="1" si="0"/>
        <v>2022</v>
      </c>
      <c r="I4" s="18">
        <f t="shared" ca="1" si="0"/>
        <v>2022</v>
      </c>
      <c r="J4" s="18">
        <f t="shared" ca="1" si="0"/>
        <v>2022</v>
      </c>
      <c r="K4" s="18">
        <f t="shared" ca="1" si="0"/>
        <v>2022</v>
      </c>
      <c r="L4" s="18">
        <f t="shared" ca="1" si="0"/>
        <v>2022</v>
      </c>
      <c r="M4" s="18">
        <f t="shared" ca="1" si="0"/>
        <v>2022</v>
      </c>
      <c r="N4" s="18">
        <f t="shared" ca="1" si="0"/>
        <v>2022</v>
      </c>
      <c r="O4" s="18">
        <f t="shared" ca="1" si="0"/>
        <v>2022</v>
      </c>
      <c r="P4" s="26"/>
      <c r="Q4" s="27"/>
      <c r="R4" s="33"/>
    </row>
    <row r="5" spans="1:20" ht="20.100000000000001" hidden="1" customHeight="1" x14ac:dyDescent="0.3">
      <c r="A5" s="16" t="s">
        <v>14</v>
      </c>
      <c r="B5" s="17"/>
      <c r="C5" s="17"/>
      <c r="D5" s="18">
        <f t="shared" ref="D5:O5" ca="1" si="1">MONTH(D3)</f>
        <v>12</v>
      </c>
      <c r="E5" s="18">
        <f t="shared" ca="1" si="1"/>
        <v>1</v>
      </c>
      <c r="F5" s="18">
        <f t="shared" ca="1" si="1"/>
        <v>2</v>
      </c>
      <c r="G5" s="18">
        <f t="shared" ca="1" si="1"/>
        <v>3</v>
      </c>
      <c r="H5" s="18">
        <f t="shared" ca="1" si="1"/>
        <v>4</v>
      </c>
      <c r="I5" s="18">
        <f t="shared" ca="1" si="1"/>
        <v>5</v>
      </c>
      <c r="J5" s="18">
        <f t="shared" ca="1" si="1"/>
        <v>6</v>
      </c>
      <c r="K5" s="18">
        <f t="shared" ca="1" si="1"/>
        <v>7</v>
      </c>
      <c r="L5" s="18">
        <f t="shared" ca="1" si="1"/>
        <v>8</v>
      </c>
      <c r="M5" s="18">
        <f t="shared" ca="1" si="1"/>
        <v>9</v>
      </c>
      <c r="N5" s="18">
        <f t="shared" ca="1" si="1"/>
        <v>10</v>
      </c>
      <c r="O5" s="18">
        <f t="shared" ca="1" si="1"/>
        <v>11</v>
      </c>
      <c r="P5" s="26"/>
      <c r="Q5" s="27"/>
      <c r="R5" s="33"/>
    </row>
    <row r="6" spans="1:20" ht="20.100000000000001" hidden="1" customHeight="1" x14ac:dyDescent="0.3">
      <c r="A6" s="16" t="s">
        <v>15</v>
      </c>
      <c r="B6" s="17"/>
      <c r="C6" s="17"/>
      <c r="D6" s="18">
        <f t="shared" ref="D6:N6" ca="1" si="2">DAY(D3)</f>
        <v>31</v>
      </c>
      <c r="E6" s="18">
        <f t="shared" ca="1" si="2"/>
        <v>31</v>
      </c>
      <c r="F6" s="18">
        <f t="shared" ca="1" si="2"/>
        <v>28</v>
      </c>
      <c r="G6" s="18">
        <f t="shared" ca="1" si="2"/>
        <v>31</v>
      </c>
      <c r="H6" s="18">
        <f t="shared" ca="1" si="2"/>
        <v>30</v>
      </c>
      <c r="I6" s="18">
        <f t="shared" ca="1" si="2"/>
        <v>31</v>
      </c>
      <c r="J6" s="18">
        <f t="shared" ca="1" si="2"/>
        <v>30</v>
      </c>
      <c r="K6" s="18">
        <f t="shared" ca="1" si="2"/>
        <v>31</v>
      </c>
      <c r="L6" s="18">
        <f t="shared" ca="1" si="2"/>
        <v>31</v>
      </c>
      <c r="M6" s="18">
        <f t="shared" ca="1" si="2"/>
        <v>30</v>
      </c>
      <c r="N6" s="18">
        <f t="shared" ca="1" si="2"/>
        <v>31</v>
      </c>
      <c r="O6" s="18">
        <f ca="1">DAY(Q2)</f>
        <v>17</v>
      </c>
      <c r="P6" s="26"/>
      <c r="Q6" s="27"/>
      <c r="R6" s="33"/>
    </row>
    <row r="7" spans="1:20" s="9" customFormat="1" ht="24.9" customHeight="1" x14ac:dyDescent="0.3">
      <c r="A7" s="19" t="s">
        <v>137</v>
      </c>
      <c r="B7" s="31"/>
      <c r="C7" s="170"/>
      <c r="D7" s="34">
        <f ca="1">SUMIFS(Data!$J:$J,Data!$B:$B,"&gt;="&amp;DATE(D4,D5,1),Data!$B:$B,"&lt;="&amp;DATE(D4,D5,D6))</f>
        <v>0</v>
      </c>
      <c r="E7" s="34">
        <f ca="1">SUMIFS(Data!$J:$J,Data!$B:$B,"&gt;"&amp;DATE(D4,D5,D6),Data!$B:$B,"&lt;="&amp;DATE(E4,E5,E6))</f>
        <v>0</v>
      </c>
      <c r="F7" s="34">
        <f ca="1">SUMIFS(Data!$J:$J,Data!$B:$B,"&gt;"&amp;DATE(E4,E5,E6),Data!$B:$B,"&lt;="&amp;DATE(F4,F5,F6))</f>
        <v>0</v>
      </c>
      <c r="G7" s="34">
        <f ca="1">SUMIFS(Data!$J:$J,Data!$B:$B,"&gt;"&amp;DATE(F4,F5,F6),Data!$B:$B,"&lt;="&amp;DATE(G4,G5,G6))</f>
        <v>0</v>
      </c>
      <c r="H7" s="34">
        <f ca="1">SUMIFS(Data!$J:$J,Data!$B:$B,"&gt;"&amp;DATE(G4,G5,G6),Data!$B:$B,"&lt;="&amp;DATE(H4,H5,H6))</f>
        <v>0</v>
      </c>
      <c r="I7" s="34">
        <f ca="1">SUMIFS(Data!$J:$J,Data!$B:$B,"&gt;"&amp;DATE(H4,H5,H6),Data!$B:$B,"&lt;="&amp;DATE(I4,I5,I6))</f>
        <v>0</v>
      </c>
      <c r="J7" s="34">
        <f ca="1">SUMIFS(Data!$J:$J,Data!$B:$B,"&gt;"&amp;DATE(I4,I5,I6),Data!$B:$B,"&lt;="&amp;DATE(J4,J5,J6))</f>
        <v>0</v>
      </c>
      <c r="K7" s="34">
        <f ca="1">SUMIFS(Data!$J:$J,Data!$B:$B,"&gt;"&amp;DATE(J4,J5,J6),Data!$B:$B,"&lt;="&amp;DATE(K4,K5,K6))</f>
        <v>0</v>
      </c>
      <c r="L7" s="34">
        <f ca="1">SUMIFS(Data!$J:$J,Data!$B:$B,"&gt;"&amp;DATE(K4,K5,K6),Data!$B:$B,"&lt;="&amp;DATE(L4,L5,L6))</f>
        <v>0</v>
      </c>
      <c r="M7" s="34">
        <f ca="1">SUMIFS(Data!$J:$J,Data!$B:$B,"&gt;"&amp;DATE(L4,L5,L6),Data!$B:$B,"&lt;="&amp;DATE(M4,M5,M6))</f>
        <v>0</v>
      </c>
      <c r="N7" s="34">
        <f ca="1">SUMIFS(Data!$J:$J,Data!$B:$B,"&gt;"&amp;DATE(M4,M5,M6),Data!$B:$B,"&lt;="&amp;DATE(N4,N5,N6))</f>
        <v>0</v>
      </c>
      <c r="O7" s="34">
        <f ca="1">SUMIFS(Data!$J:$J,Data!$B:$B,"&gt;"&amp;DATE(N4,N5,N6),Data!$B:$B,"&lt;="&amp;DATE(O4,O5,O6))</f>
        <v>0</v>
      </c>
      <c r="P7" s="34">
        <f ca="1">SUM(D7:O7)</f>
        <v>0</v>
      </c>
      <c r="Q7" s="35">
        <v>1</v>
      </c>
      <c r="R7" s="22"/>
      <c r="S7" s="22"/>
    </row>
    <row r="8" spans="1:20" s="9" customFormat="1" ht="24.9" customHeight="1" x14ac:dyDescent="0.3">
      <c r="A8" s="29"/>
      <c r="B8" s="57" t="str">
        <f>Classification!A28</f>
        <v>Tiền mặt quỹ</v>
      </c>
      <c r="C8" s="168" t="str">
        <f>Classification!C28</f>
        <v>Cash</v>
      </c>
      <c r="D8" s="58">
        <f ca="1">SUMIFS(Data!$J:$J,Data!$B:$B,"&gt;="&amp;DATE(D4,D5,1),Data!$B:$B,"&lt;="&amp;DATE(D4,D5,D6),Data!$I:$I,$C$8)</f>
        <v>0</v>
      </c>
      <c r="E8" s="58">
        <f ca="1">SUMIFS(Data!$J:$J,Data!$B:$B,"&gt;="&amp;DATE(E4,E5,1),Data!$B:$B,"&lt;="&amp;DATE(E4,E5,E6),Data!$I:$I,$C8)</f>
        <v>0</v>
      </c>
      <c r="F8" s="58">
        <f ca="1">SUMIFS(Data!$J:$J,Data!$B:$B,"&gt;="&amp;DATE(F4,F5,1),Data!$B:$B,"&lt;="&amp;DATE(F4,F5,F6),Data!$I:$I,$C8)</f>
        <v>0</v>
      </c>
      <c r="G8" s="58">
        <f ca="1">SUMIFS(Data!$J:$J,Data!$B:$B,"&gt;="&amp;DATE(G4,G5,1),Data!$B:$B,"&lt;="&amp;DATE(G4,G5,G6),Data!$I:$I,$C8)</f>
        <v>0</v>
      </c>
      <c r="H8" s="58">
        <f ca="1">SUMIFS(Data!$J:$J,Data!$B:$B,"&gt;="&amp;DATE(H4,H5,1),Data!$B:$B,"&lt;="&amp;DATE(H4,H5,H6),Data!$I:$I,$C8)</f>
        <v>0</v>
      </c>
      <c r="I8" s="58">
        <f ca="1">SUMIFS(Data!$J:$J,Data!$B:$B,"&gt;="&amp;DATE(I4,I5,1),Data!$B:$B,"&lt;="&amp;DATE(I4,I5,I6),Data!$I:$I,$C8)</f>
        <v>0</v>
      </c>
      <c r="J8" s="58">
        <f ca="1">SUMIFS(Data!$J:$J,Data!$B:$B,"&gt;="&amp;DATE(J4,J5,1),Data!$B:$B,"&lt;="&amp;DATE(J4,J5,J6),Data!$I:$I,$C8)</f>
        <v>0</v>
      </c>
      <c r="K8" s="58">
        <f ca="1">SUMIFS(Data!$J:$J,Data!$B:$B,"&gt;="&amp;DATE(K4,K5,1),Data!$B:$B,"&lt;="&amp;DATE(K4,K5,K6),Data!$I:$I,$C8)</f>
        <v>0</v>
      </c>
      <c r="L8" s="58">
        <f ca="1">SUMIFS(Data!$J:$J,Data!$B:$B,"&gt;="&amp;DATE(L4,L5,1),Data!$B:$B,"&lt;="&amp;DATE(L4,L5,L6),Data!$I:$I,$C8)</f>
        <v>0</v>
      </c>
      <c r="M8" s="58">
        <f ca="1">SUMIFS(Data!$J:$J,Data!$B:$B,"&gt;="&amp;DATE(M4,M5,1),Data!$B:$B,"&lt;="&amp;DATE(M4,M5,M6),Data!$I:$I,$C8)</f>
        <v>0</v>
      </c>
      <c r="N8" s="58">
        <f ca="1">SUMIFS(Data!$J:$J,Data!$B:$B,"&gt;="&amp;DATE(N4,N5,1),Data!$B:$B,"&lt;="&amp;DATE(N4,N5,N6),Data!$I:$I,$C8)</f>
        <v>0</v>
      </c>
      <c r="O8" s="58">
        <f ca="1">SUMIFS(Data!$J:$J,Data!$B:$B,"&gt;="&amp;DATE(O4,O5,1),Data!$B:$B,"&lt;="&amp;DATE(O4,O5,O6),Data!$I:$I,$C8)</f>
        <v>0</v>
      </c>
      <c r="P8" s="59">
        <f ca="1">SUM(D8:O8)</f>
        <v>0</v>
      </c>
      <c r="Q8" s="60" t="e">
        <f ca="1">P8/$P$7</f>
        <v>#DIV/0!</v>
      </c>
      <c r="R8" s="22"/>
      <c r="S8" s="1"/>
    </row>
    <row r="9" spans="1:20" s="9" customFormat="1" ht="25.5" customHeight="1" x14ac:dyDescent="0.3">
      <c r="A9" s="30"/>
      <c r="B9" s="63" t="str">
        <f>Classification!A29</f>
        <v>Ngân hàng nội bộ</v>
      </c>
      <c r="C9" s="169" t="str">
        <f>Classification!C29</f>
        <v>I-TCB</v>
      </c>
      <c r="D9" s="64">
        <f ca="1">SUMIFS(Data!$J:$J,Data!$B:$B,"&gt;="&amp;DATE(D4,D5,1),Data!$B:$B,"&lt;="&amp;DATE(D4,D5,D6),Data!$I:$I,$C$9)</f>
        <v>0</v>
      </c>
      <c r="E9" s="64">
        <f ca="1">SUMIFS(Data!$J:$J,Data!$B:$B,"&gt;="&amp;DATE(E4,E5,1),Data!$B:$B,"&lt;="&amp;DATE(E4,E5,E6),Data!$I:$I,$C9)</f>
        <v>0</v>
      </c>
      <c r="F9" s="64">
        <f ca="1">SUMIFS(Data!$J:$J,Data!$B:$B,"&gt;="&amp;DATE(F4,F5,1),Data!$B:$B,"&lt;="&amp;DATE(F4,F5,F6),Data!$I:$I,$C9)</f>
        <v>0</v>
      </c>
      <c r="G9" s="64">
        <f ca="1">SUMIFS(Data!$J:$J,Data!$B:$B,"&gt;="&amp;DATE(G4,G5,1),Data!$B:$B,"&lt;="&amp;DATE(G4,G5,G6),Data!$I:$I,$C9)</f>
        <v>0</v>
      </c>
      <c r="H9" s="64">
        <f ca="1">SUMIFS(Data!$J:$J,Data!$B:$B,"&gt;="&amp;DATE(H4,H5,1),Data!$B:$B,"&lt;="&amp;DATE(H4,H5,H6),Data!$I:$I,$C9)</f>
        <v>0</v>
      </c>
      <c r="I9" s="64">
        <f ca="1">SUMIFS(Data!$J:$J,Data!$B:$B,"&gt;="&amp;DATE(I4,I5,1),Data!$B:$B,"&lt;="&amp;DATE(I4,I5,I6),Data!$I:$I,$C9)</f>
        <v>0</v>
      </c>
      <c r="J9" s="64">
        <f ca="1">SUMIFS(Data!$J:$J,Data!$B:$B,"&gt;="&amp;DATE(J4,J5,1),Data!$B:$B,"&lt;="&amp;DATE(J4,J5,J6),Data!$I:$I,$C9)</f>
        <v>0</v>
      </c>
      <c r="K9" s="64">
        <f ca="1">SUMIFS(Data!$J:$J,Data!$B:$B,"&gt;="&amp;DATE(K4,K5,1),Data!$B:$B,"&lt;="&amp;DATE(K4,K5,K6),Data!$I:$I,$C9)</f>
        <v>0</v>
      </c>
      <c r="L9" s="64">
        <f ca="1">SUMIFS(Data!$J:$J,Data!$B:$B,"&gt;="&amp;DATE(L4,L5,1),Data!$B:$B,"&lt;="&amp;DATE(L4,L5,L6),Data!$I:$I,$C9)</f>
        <v>0</v>
      </c>
      <c r="M9" s="64">
        <f ca="1">SUMIFS(Data!$J:$J,Data!$B:$B,"&gt;="&amp;DATE(M4,M5,1),Data!$B:$B,"&lt;="&amp;DATE(M4,M5,M6),Data!$I:$I,$C9)</f>
        <v>0</v>
      </c>
      <c r="N9" s="64">
        <f ca="1">SUMIFS(Data!$J:$J,Data!$B:$B,"&gt;="&amp;DATE(N4,N5,1),Data!$B:$B,"&lt;="&amp;DATE(N4,N5,N6),Data!$I:$I,$C9)</f>
        <v>0</v>
      </c>
      <c r="O9" s="64">
        <f ca="1">SUMIFS(Data!$J:$J,Data!$B:$B,"&gt;="&amp;DATE(O4,O5,1),Data!$B:$B,"&lt;="&amp;DATE(O4,O5,O6),Data!$I:$I,$C9)</f>
        <v>0</v>
      </c>
      <c r="P9" s="61">
        <f ca="1">SUM(D9:O9)</f>
        <v>0</v>
      </c>
      <c r="Q9" s="62" t="e">
        <f ca="1">P9/$P$7</f>
        <v>#DIV/0!</v>
      </c>
      <c r="R9" s="22"/>
      <c r="S9" s="1"/>
    </row>
    <row r="10" spans="1:20" s="9" customFormat="1" ht="24.9" customHeight="1" x14ac:dyDescent="0.3">
      <c r="A10" s="28" t="s">
        <v>138</v>
      </c>
      <c r="B10" s="31"/>
      <c r="C10" s="170"/>
      <c r="D10" s="34">
        <f ca="1">SUMIFS(Data!$K:$K,Data!$B:$B,"&gt;="&amp;DATE(D4,D5,1),Data!$B:$B,"&lt;="&amp;DATE(D4,D5,D6))</f>
        <v>0</v>
      </c>
      <c r="E10" s="34">
        <f ca="1">SUMIFS(Data!$K:$K,Data!$B:$B,"&gt;"&amp;DATE(D4,D5,D6),Data!$B:$B,"&lt;="&amp;DATE(E4,E5,E6))</f>
        <v>0</v>
      </c>
      <c r="F10" s="34">
        <f ca="1">SUMIFS(Data!$K:$K,Data!$B:$B,"&gt;"&amp;DATE(E4,E5,E6),Data!$B:$B,"&lt;="&amp;DATE(F4,F5,F6))</f>
        <v>0</v>
      </c>
      <c r="G10" s="34">
        <f ca="1">SUMIFS(Data!$K:$K,Data!$B:$B,"&gt;"&amp;DATE(F4,F5,F6),Data!$B:$B,"&lt;="&amp;DATE(G4,G5,G6))</f>
        <v>0</v>
      </c>
      <c r="H10" s="34">
        <f ca="1">SUMIFS(Data!$K:$K,Data!$B:$B,"&gt;"&amp;DATE(G4,G5,G6),Data!$B:$B,"&lt;="&amp;DATE(H4,H5,H6))</f>
        <v>0</v>
      </c>
      <c r="I10" s="34">
        <f ca="1">SUMIFS(Data!$K:$K,Data!$B:$B,"&gt;"&amp;DATE(H4,H5,H6),Data!$B:$B,"&lt;="&amp;DATE(I4,I5,I6))</f>
        <v>0</v>
      </c>
      <c r="J10" s="34">
        <f ca="1">SUMIFS(Data!$K:$K,Data!$B:$B,"&gt;"&amp;DATE(I4,I5,I6),Data!$B:$B,"&lt;="&amp;DATE(J4,J5,J6))</f>
        <v>0</v>
      </c>
      <c r="K10" s="34">
        <f ca="1">SUMIFS(Data!$K:$K,Data!$B:$B,"&gt;"&amp;DATE(J4,J5,J6),Data!$B:$B,"&lt;="&amp;DATE(K4,K5,K6))</f>
        <v>0</v>
      </c>
      <c r="L10" s="34">
        <f ca="1">SUMIFS(Data!$K:$K,Data!$B:$B,"&gt;"&amp;DATE(K4,K5,K6),Data!$B:$B,"&lt;="&amp;DATE(L4,L5,L6))</f>
        <v>0</v>
      </c>
      <c r="M10" s="34">
        <f ca="1">SUMIFS(Data!$K:$K,Data!$B:$B,"&gt;"&amp;DATE(L4,L5,L6),Data!$B:$B,"&lt;="&amp;DATE(M4,M5,M6))</f>
        <v>0</v>
      </c>
      <c r="N10" s="34">
        <f ca="1">SUMIFS(Data!$K:$K,Data!$B:$B,"&gt;"&amp;DATE(M4,M5,M6),Data!$B:$B,"&lt;="&amp;DATE(N4,N5,N6))</f>
        <v>0</v>
      </c>
      <c r="O10" s="34">
        <f ca="1">SUMIFS(Data!$K:$K,Data!$B:$B,"&gt;"&amp;DATE(N4,N5,N6),Data!$B:$B,"&lt;="&amp;DATE(O4,O5,O6))</f>
        <v>0</v>
      </c>
      <c r="P10" s="34">
        <f ca="1">SUM(D10:O10)</f>
        <v>0</v>
      </c>
      <c r="Q10" s="35">
        <v>1</v>
      </c>
      <c r="R10" s="32"/>
      <c r="S10" s="22"/>
    </row>
    <row r="11" spans="1:20" s="9" customFormat="1" ht="24.9" customHeight="1" x14ac:dyDescent="0.3">
      <c r="A11" s="21"/>
      <c r="B11" s="57" t="s">
        <v>20</v>
      </c>
      <c r="C11" s="168" t="str">
        <f>Classification!C28</f>
        <v>Cash</v>
      </c>
      <c r="D11" s="58">
        <f ca="1">SUMIFS(Data!$K:$K,Data!$B:$B,"&gt;="&amp;DATE(D4,D5,1),Data!$B:$B,"&lt;="&amp;DATE(D4,D5,D6),Data!$I:$I,$C$11)</f>
        <v>0</v>
      </c>
      <c r="E11" s="58">
        <f ca="1">SUMIFS(Data!$K:$K,Data!$B:$B,"&gt;="&amp;DATE(E4,E5,1),Data!$B:$B,"&lt;="&amp;DATE(E4,E5,E6),Data!$I:$I,$C$11)</f>
        <v>0</v>
      </c>
      <c r="F11" s="58">
        <f ca="1">SUMIFS(Data!$K:$K,Data!$B:$B,"&gt;="&amp;DATE(F4,F5,1),Data!$B:$B,"&lt;="&amp;DATE(F4,F5,F6),Data!$I:$I,$C$11)</f>
        <v>0</v>
      </c>
      <c r="G11" s="58">
        <f ca="1">SUMIFS(Data!$K:$K,Data!$B:$B,"&gt;="&amp;DATE(G4,G5,1),Data!$B:$B,"&lt;="&amp;DATE(G4,G5,G6),Data!$I:$I,$C$11)</f>
        <v>0</v>
      </c>
      <c r="H11" s="58">
        <f ca="1">SUMIFS(Data!$K:$K,Data!$B:$B,"&gt;="&amp;DATE(H4,H5,1),Data!$B:$B,"&lt;="&amp;DATE(H4,H5,H6),Data!$I:$I,$C$11)</f>
        <v>0</v>
      </c>
      <c r="I11" s="58">
        <f ca="1">SUMIFS(Data!$K:$K,Data!$B:$B,"&gt;="&amp;DATE(I4,I5,1),Data!$B:$B,"&lt;="&amp;DATE(I4,I5,I6),Data!$I:$I,$C$11)</f>
        <v>0</v>
      </c>
      <c r="J11" s="58">
        <f ca="1">SUMIFS(Data!$K:$K,Data!$B:$B,"&gt;="&amp;DATE(J4,J5,1),Data!$B:$B,"&lt;="&amp;DATE(J4,J5,J6),Data!$I:$I,$C$11)</f>
        <v>0</v>
      </c>
      <c r="K11" s="58">
        <f ca="1">SUMIFS(Data!$K:$K,Data!$B:$B,"&gt;="&amp;DATE(K4,K5,1),Data!$B:$B,"&lt;="&amp;DATE(K4,K5,K6),Data!$I:$I,$C$11)</f>
        <v>0</v>
      </c>
      <c r="L11" s="58">
        <f ca="1">SUMIFS(Data!$K:$K,Data!$B:$B,"&gt;="&amp;DATE(L4,L5,1),Data!$B:$B,"&lt;="&amp;DATE(L4,L5,L6),Data!$I:$I,$C$11)</f>
        <v>0</v>
      </c>
      <c r="M11" s="58">
        <f ca="1">SUMIFS(Data!$K:$K,Data!$B:$B,"&gt;="&amp;DATE(M4,M5,1),Data!$B:$B,"&lt;="&amp;DATE(M4,M5,M6),Data!$I:$I,$C$11)</f>
        <v>0</v>
      </c>
      <c r="N11" s="58">
        <f ca="1">SUMIFS(Data!$K:$K,Data!$B:$B,"&gt;="&amp;DATE(N4,N5,1),Data!$B:$B,"&lt;="&amp;DATE(N4,N5,N6),Data!$I:$I,$C$11)</f>
        <v>0</v>
      </c>
      <c r="O11" s="58">
        <f ca="1">SUMIFS(Data!$K:$K,Data!$B:$B,"&gt;="&amp;DATE(O4,O5,1),Data!$B:$B,"&lt;="&amp;DATE(O4,O5,O6),Data!$I:$I,$C$11)</f>
        <v>0</v>
      </c>
      <c r="P11" s="59">
        <f t="shared" ref="P11:P23" ca="1" si="3">SUM(D11:O11)</f>
        <v>0</v>
      </c>
      <c r="Q11" s="60" t="e">
        <f ca="1">P11/$P$10</f>
        <v>#DIV/0!</v>
      </c>
      <c r="R11" s="32"/>
      <c r="S11" s="22"/>
    </row>
    <row r="12" spans="1:20" s="9" customFormat="1" ht="24.9" customHeight="1" x14ac:dyDescent="0.3">
      <c r="A12" s="28"/>
      <c r="B12" s="63" t="s">
        <v>21</v>
      </c>
      <c r="C12" s="169" t="str">
        <f>Classification!C29</f>
        <v>I-TCB</v>
      </c>
      <c r="D12" s="64">
        <f ca="1">SUMIFS(Data!$K:$K,Data!$B:$B,"&gt;="&amp;DATE(D4,D5,1),Data!$B:$B,"&lt;="&amp;DATE(D4,D5,D6),Data!$I:$I,$C$12)</f>
        <v>0</v>
      </c>
      <c r="E12" s="64">
        <f ca="1">SUMIFS(Data!$K:$K,Data!$B:$B,"&gt;="&amp;DATE(E4,E5,1),Data!$B:$B,"&lt;="&amp;DATE(E4,E5,E6),Data!$I:$I,$C$12)</f>
        <v>0</v>
      </c>
      <c r="F12" s="64">
        <f ca="1">SUMIFS(Data!$K:$K,Data!$B:$B,"&gt;="&amp;DATE(F4,F5,1),Data!$B:$B,"&lt;="&amp;DATE(F4,F5,F6),Data!$I:$I,$C$12)</f>
        <v>0</v>
      </c>
      <c r="G12" s="64">
        <f ca="1">SUMIFS(Data!$K:$K,Data!$B:$B,"&gt;="&amp;DATE(G4,G5,1),Data!$B:$B,"&lt;="&amp;DATE(G4,G5,G6),Data!$I:$I,$C$12)</f>
        <v>0</v>
      </c>
      <c r="H12" s="64">
        <f ca="1">SUMIFS(Data!$K:$K,Data!$B:$B,"&gt;="&amp;DATE(H4,H5,1),Data!$B:$B,"&lt;="&amp;DATE(H4,H5,H6),Data!$I:$I,$C$12)</f>
        <v>0</v>
      </c>
      <c r="I12" s="64">
        <f ca="1">SUMIFS(Data!$K:$K,Data!$B:$B,"&gt;="&amp;DATE(I4,I5,1),Data!$B:$B,"&lt;="&amp;DATE(I4,I5,I6),Data!$I:$I,$C$12)</f>
        <v>0</v>
      </c>
      <c r="J12" s="64">
        <f ca="1">SUMIFS(Data!$K:$K,Data!$B:$B,"&gt;="&amp;DATE(J4,J5,1),Data!$B:$B,"&lt;="&amp;DATE(J4,J5,J6),Data!$I:$I,$C$12)</f>
        <v>0</v>
      </c>
      <c r="K12" s="64">
        <f ca="1">SUMIFS(Data!$K:$K,Data!$B:$B,"&gt;="&amp;DATE(K4,K5,1),Data!$B:$B,"&lt;="&amp;DATE(K4,K5,K6),Data!$I:$I,$C$12)</f>
        <v>0</v>
      </c>
      <c r="L12" s="64">
        <f ca="1">SUMIFS(Data!$K:$K,Data!$B:$B,"&gt;="&amp;DATE(L4,L5,1),Data!$B:$B,"&lt;="&amp;DATE(L4,L5,L6),Data!$I:$I,$C$12)</f>
        <v>0</v>
      </c>
      <c r="M12" s="64">
        <f ca="1">SUMIFS(Data!$K:$K,Data!$B:$B,"&gt;="&amp;DATE(M4,M5,1),Data!$B:$B,"&lt;="&amp;DATE(M4,M5,M6),Data!$I:$I,$C$12)</f>
        <v>0</v>
      </c>
      <c r="N12" s="64">
        <f ca="1">SUMIFS(Data!$K:$K,Data!$B:$B,"&gt;="&amp;DATE(N4,N5,1),Data!$B:$B,"&lt;="&amp;DATE(N4,N5,N6),Data!$I:$I,$C$12)</f>
        <v>0</v>
      </c>
      <c r="O12" s="64">
        <f ca="1">SUMIFS(Data!$K:$K,Data!$B:$B,"&gt;="&amp;DATE(O4,O5,1),Data!$B:$B,"&lt;="&amp;DATE(O4,O5,O6),Data!$I:$I,$C$12)</f>
        <v>0</v>
      </c>
      <c r="P12" s="61">
        <f t="shared" ca="1" si="3"/>
        <v>0</v>
      </c>
      <c r="Q12" s="62" t="e">
        <f ca="1">P12/$P$10</f>
        <v>#DIV/0!</v>
      </c>
      <c r="R12" s="32"/>
      <c r="S12" s="22"/>
    </row>
    <row r="13" spans="1:20" s="9" customFormat="1" ht="24.9" customHeight="1" x14ac:dyDescent="0.3">
      <c r="A13" s="55"/>
      <c r="B13" s="57" t="s">
        <v>16</v>
      </c>
      <c r="C13" s="168" t="str">
        <f>Classification!C25</f>
        <v>TAX</v>
      </c>
      <c r="D13" s="58">
        <f ca="1">SUMIFS(Data!$K:$K,Data!$B:$B,"&gt;="&amp;DATE(D4,D5,1),Data!$B:$B,"&lt;="&amp;DATE(D4,D5,D6),Data!$G:$G,$C$13)</f>
        <v>0</v>
      </c>
      <c r="E13" s="58">
        <f ca="1">SUMIFS(Data!$K:$K,Data!$B:$B,"&gt;="&amp;DATE(E4,E5,1),Data!$B:$B,"&lt;="&amp;DATE(E4,E5,E6),Data!$G:$G,$C$13)</f>
        <v>0</v>
      </c>
      <c r="F13" s="58">
        <f ca="1">SUMIFS(Data!$K:$K,Data!$B:$B,"&gt;="&amp;DATE(F4,F5,1),Data!$B:$B,"&lt;="&amp;DATE(F4,F5,F6),Data!$G:$G,$C$13)</f>
        <v>0</v>
      </c>
      <c r="G13" s="58">
        <f ca="1">SUMIFS(Data!$K:$K,Data!$B:$B,"&gt;="&amp;DATE(G4,G5,1),Data!$B:$B,"&lt;="&amp;DATE(G4,G5,G6),Data!$G:$G,$C$13)</f>
        <v>0</v>
      </c>
      <c r="H13" s="58">
        <f ca="1">SUMIFS(Data!$K:$K,Data!$B:$B,"&gt;="&amp;DATE(H4,H5,1),Data!$B:$B,"&lt;="&amp;DATE(H4,H5,H6),Data!$G:$G,$C$13)</f>
        <v>0</v>
      </c>
      <c r="I13" s="58">
        <f ca="1">SUMIFS(Data!$K:$K,Data!$B:$B,"&gt;="&amp;DATE(I4,I5,1),Data!$B:$B,"&lt;="&amp;DATE(I4,I5,I6),Data!$G:$G,$C$13)</f>
        <v>0</v>
      </c>
      <c r="J13" s="58">
        <f ca="1">SUMIFS(Data!$K:$K,Data!$B:$B,"&gt;="&amp;DATE(J4,J5,1),Data!$B:$B,"&lt;="&amp;DATE(J4,J5,J6),Data!$G:$G,$C$13)</f>
        <v>0</v>
      </c>
      <c r="K13" s="58">
        <f ca="1">SUMIFS(Data!$K:$K,Data!$B:$B,"&gt;="&amp;DATE(K4,K5,1),Data!$B:$B,"&lt;="&amp;DATE(K4,K5,K6),Data!$G:$G,$C$13)</f>
        <v>0</v>
      </c>
      <c r="L13" s="58">
        <f ca="1">SUMIFS(Data!$K:$K,Data!$B:$B,"&gt;="&amp;DATE(L4,L5,1),Data!$B:$B,"&lt;="&amp;DATE(L4,L5,L6),Data!$G:$G,$C$13)</f>
        <v>0</v>
      </c>
      <c r="M13" s="58">
        <f ca="1">SUMIFS(Data!$K:$K,Data!$B:$B,"&gt;="&amp;DATE(M4,M5,1),Data!$B:$B,"&lt;="&amp;DATE(M4,M5,M6),Data!$G:$G,$C$13)</f>
        <v>0</v>
      </c>
      <c r="N13" s="58">
        <f ca="1">SUMIFS(Data!$K:$K,Data!$B:$B,"&gt;="&amp;DATE(N4,N5,1),Data!$B:$B,"&lt;="&amp;DATE(N4,N5,N6),Data!$G:$G,$C$13)</f>
        <v>0</v>
      </c>
      <c r="O13" s="58">
        <f ca="1">SUMIFS(Data!$K:$K,Data!$B:$B,"&gt;="&amp;DATE(O4,O5,1),Data!$B:$B,"&lt;="&amp;DATE(O4,O5,O6),Data!$G:$G,$C$13)</f>
        <v>0</v>
      </c>
      <c r="P13" s="59">
        <f t="shared" ca="1" si="3"/>
        <v>0</v>
      </c>
      <c r="Q13" s="60" t="e">
        <f ca="1">P13/$P$10</f>
        <v>#DIV/0!</v>
      </c>
      <c r="R13" s="22"/>
      <c r="S13" s="22"/>
    </row>
    <row r="14" spans="1:20" s="9" customFormat="1" ht="24.9" customHeight="1" x14ac:dyDescent="0.3">
      <c r="A14" s="55"/>
      <c r="B14" s="66" t="s">
        <v>17</v>
      </c>
      <c r="C14" s="171" t="str">
        <f>Classification!C26</f>
        <v>Internal</v>
      </c>
      <c r="D14" s="67">
        <f ca="1">SUMIFS(Data!$K:$K,Data!$B:$B,"&gt;="&amp;DATE(D4,D5,1),Data!$B:$B,"&lt;="&amp;DATE(D4,D5,D6),Data!$G:$G,$C$14)</f>
        <v>0</v>
      </c>
      <c r="E14" s="67">
        <f ca="1">SUMIFS(Data!$K:$K,Data!$B:$B,"&gt;="&amp;DATE(E4,E5,1),Data!$B:$B,"&lt;="&amp;DATE(E4,E5,E6),Data!$G:$G,$C$14)</f>
        <v>0</v>
      </c>
      <c r="F14" s="67">
        <f ca="1">SUMIFS(Data!$K:$K,Data!$B:$B,"&gt;="&amp;DATE(F4,F5,1),Data!$B:$B,"&lt;="&amp;DATE(F4,F5,F6),Data!$G:$G,$C$14)</f>
        <v>0</v>
      </c>
      <c r="G14" s="67">
        <f ca="1">SUMIFS(Data!$K:$K,Data!$B:$B,"&gt;="&amp;DATE(G4,G5,1),Data!$B:$B,"&lt;="&amp;DATE(G4,G5,G6),Data!$G:$G,$C$14)</f>
        <v>0</v>
      </c>
      <c r="H14" s="67">
        <f ca="1">SUMIFS(Data!$K:$K,Data!$B:$B,"&gt;="&amp;DATE(H4,H5,1),Data!$B:$B,"&lt;="&amp;DATE(H4,H5,H6),Data!$G:$G,$C$14)</f>
        <v>0</v>
      </c>
      <c r="I14" s="67">
        <f ca="1">SUMIFS(Data!$K:$K,Data!$B:$B,"&gt;="&amp;DATE(I4,I5,1),Data!$B:$B,"&lt;="&amp;DATE(I4,I5,I6),Data!$G:$G,$C$14)</f>
        <v>0</v>
      </c>
      <c r="J14" s="67">
        <f ca="1">SUMIFS(Data!$K:$K,Data!$B:$B,"&gt;="&amp;DATE(J4,J5,1),Data!$B:$B,"&lt;="&amp;DATE(J4,J5,J6),Data!$G:$G,$C$14)</f>
        <v>0</v>
      </c>
      <c r="K14" s="67">
        <f ca="1">SUMIFS(Data!$K:$K,Data!$B:$B,"&gt;="&amp;DATE(K4,K5,1),Data!$B:$B,"&lt;="&amp;DATE(K4,K5,K6),Data!$G:$G,$C$14)</f>
        <v>0</v>
      </c>
      <c r="L14" s="67">
        <f ca="1">SUMIFS(Data!$K:$K,Data!$B:$B,"&gt;="&amp;DATE(L4,L5,1),Data!$B:$B,"&lt;="&amp;DATE(L4,L5,L6),Data!$G:$G,$C$14)</f>
        <v>0</v>
      </c>
      <c r="M14" s="67">
        <f ca="1">SUMIFS(Data!$K:$K,Data!$B:$B,"&gt;="&amp;DATE(M4,M5,1),Data!$B:$B,"&lt;="&amp;DATE(M4,M5,M6),Data!$G:$G,$C$14)</f>
        <v>0</v>
      </c>
      <c r="N14" s="67">
        <f ca="1">SUMIFS(Data!$K:$K,Data!$B:$B,"&gt;="&amp;DATE(N4,N5,1),Data!$B:$B,"&lt;="&amp;DATE(N4,N5,N6),Data!$G:$G,$C$14)</f>
        <v>0</v>
      </c>
      <c r="O14" s="67">
        <f ca="1">SUMIFS(Data!$K:$K,Data!$B:$B,"&gt;="&amp;DATE(O4,O5,1),Data!$B:$B,"&lt;="&amp;DATE(O4,O5,O6),Data!$G:$G,$C$14)</f>
        <v>0</v>
      </c>
      <c r="P14" s="68">
        <f t="shared" ca="1" si="3"/>
        <v>0</v>
      </c>
      <c r="Q14" s="69" t="e">
        <f ca="1">P14/$P$10</f>
        <v>#DIV/0!</v>
      </c>
      <c r="R14" s="22"/>
      <c r="S14" s="22"/>
      <c r="T14" s="22"/>
    </row>
    <row r="15" spans="1:20" s="9" customFormat="1" ht="24.9" customHeight="1" x14ac:dyDescent="0.3">
      <c r="A15" s="55"/>
      <c r="B15" s="199" t="str">
        <f>Classification!A10</f>
        <v>Các khoản chi cho các dự án Bảo trì &amp; Dịch vụ</v>
      </c>
      <c r="C15" s="166" t="str">
        <f>Classification!C10</f>
        <v>MS</v>
      </c>
      <c r="D15" s="70">
        <f ca="1">SUMIFS(Data!$K:$K,Data!$B:$B,"&gt;="&amp;DATE(D$4,D$5,1),Data!$B:$B,"&lt;="&amp;DATE(D$4,D$5,D$6),Data!$G:$G,$C$14,Data!$H:$H,$C15)</f>
        <v>0</v>
      </c>
      <c r="E15" s="70">
        <f ca="1">SUMIFS(Data!$K:$K,Data!$B:$B,"&gt;="&amp;DATE(E$4,E$5,1),Data!$B:$B,"&lt;="&amp;DATE(E$4,E$5,E$6),Data!$G:$G,$C$14,Data!$H:$H,$C15)</f>
        <v>0</v>
      </c>
      <c r="F15" s="70">
        <f ca="1">SUMIFS(Data!$K:$K,Data!$B:$B,"&gt;="&amp;DATE(F$4,F$5,1),Data!$B:$B,"&lt;="&amp;DATE(F$4,F$5,F$6),Data!$G:$G,$C$14,Data!$H:$H,$C15)</f>
        <v>0</v>
      </c>
      <c r="G15" s="70">
        <f ca="1">SUMIFS(Data!$K:$K,Data!$B:$B,"&gt;="&amp;DATE(G$4,G$5,1),Data!$B:$B,"&lt;="&amp;DATE(G$4,G$5,G$6),Data!$G:$G,$C$14,Data!$H:$H,$C15)</f>
        <v>0</v>
      </c>
      <c r="H15" s="70">
        <f ca="1">SUMIFS(Data!$K:$K,Data!$B:$B,"&gt;="&amp;DATE(H$4,H$5,1),Data!$B:$B,"&lt;="&amp;DATE(H$4,H$5,H$6),Data!$G:$G,$C$14,Data!$H:$H,$C15)</f>
        <v>0</v>
      </c>
      <c r="I15" s="70">
        <f ca="1">SUMIFS(Data!$K:$K,Data!$B:$B,"&gt;="&amp;DATE(I$4,I$5,1),Data!$B:$B,"&lt;="&amp;DATE(I$4,I$5,I$6),Data!$G:$G,$C$14,Data!$H:$H,$C15)</f>
        <v>0</v>
      </c>
      <c r="J15" s="70">
        <f ca="1">SUMIFS(Data!$K:$K,Data!$B:$B,"&gt;="&amp;DATE(J$4,J$5,1),Data!$B:$B,"&lt;="&amp;DATE(J$4,J$5,J$6),Data!$G:$G,$C$14,Data!$H:$H,$C15)</f>
        <v>0</v>
      </c>
      <c r="K15" s="70">
        <f ca="1">SUMIFS(Data!$K:$K,Data!$B:$B,"&gt;="&amp;DATE(K$4,K$5,1),Data!$B:$B,"&lt;="&amp;DATE(K$4,K$5,K$6),Data!$G:$G,$C$14,Data!$H:$H,$C15)</f>
        <v>0</v>
      </c>
      <c r="L15" s="70">
        <f ca="1">SUMIFS(Data!$K:$K,Data!$B:$B,"&gt;="&amp;DATE(L$4,L$5,1),Data!$B:$B,"&lt;="&amp;DATE(L$4,L$5,L$6),Data!$G:$G,$C$14,Data!$H:$H,$C15)</f>
        <v>0</v>
      </c>
      <c r="M15" s="70">
        <f ca="1">SUMIFS(Data!$K:$K,Data!$B:$B,"&gt;="&amp;DATE(M$4,M$5,1),Data!$B:$B,"&lt;="&amp;DATE(M$4,M$5,M$6),Data!$G:$G,$C$14,Data!$H:$H,$C15)</f>
        <v>0</v>
      </c>
      <c r="N15" s="70">
        <f ca="1">SUMIFS(Data!$K:$K,Data!$B:$B,"&gt;="&amp;DATE(N$4,N$5,1),Data!$B:$B,"&lt;="&amp;DATE(N$4,N$5,N$6),Data!$G:$G,$C$14,Data!$H:$H,$C15)</f>
        <v>0</v>
      </c>
      <c r="O15" s="70">
        <f ca="1">SUMIFS(Data!$K:$K,Data!$B:$B,"&gt;="&amp;DATE(O$4,O$5,1),Data!$B:$B,"&lt;="&amp;DATE(O$4,O$5,O$6),Data!$G:$G,$C$14,Data!$H:$H,$C15)</f>
        <v>0</v>
      </c>
      <c r="P15" s="71">
        <f t="shared" ref="P15" ca="1" si="4">SUM(D15:O15)</f>
        <v>0</v>
      </c>
      <c r="Q15" s="72" t="e">
        <f t="shared" ref="Q15:Q16" ca="1" si="5">P15/($P$13+$P$14)</f>
        <v>#DIV/0!</v>
      </c>
      <c r="R15" s="22"/>
      <c r="S15" s="22"/>
      <c r="T15" s="22"/>
    </row>
    <row r="16" spans="1:20" s="9" customFormat="1" ht="24.9" customHeight="1" x14ac:dyDescent="0.3">
      <c r="A16" s="55"/>
      <c r="B16" s="199" t="str">
        <f>Classification!A11</f>
        <v>Các khoản chi liên quan tới dự án vận hành tòa nhà</v>
      </c>
      <c r="C16" s="166" t="str">
        <f>Classification!C11</f>
        <v>FM</v>
      </c>
      <c r="D16" s="70">
        <f ca="1">SUMIFS(Data!$K:$K,Data!$B:$B,"&gt;="&amp;DATE(D$4,D$5,1),Data!$B:$B,"&lt;="&amp;DATE(D$4,D$5,D$6),Data!$G:$G,$C$14,Data!$H:$H,$C16)</f>
        <v>0</v>
      </c>
      <c r="E16" s="70">
        <f ca="1">SUMIFS(Data!$K:$K,Data!$B:$B,"&gt;="&amp;DATE(E$4,E$5,1),Data!$B:$B,"&lt;="&amp;DATE(E$4,E$5,E$6),Data!$G:$G,$C$14,Data!$H:$H,$C16)</f>
        <v>0</v>
      </c>
      <c r="F16" s="70">
        <f ca="1">SUMIFS(Data!$K:$K,Data!$B:$B,"&gt;="&amp;DATE(F$4,F$5,1),Data!$B:$B,"&lt;="&amp;DATE(F$4,F$5,F$6),Data!$G:$G,$C$14,Data!$H:$H,$C16)</f>
        <v>0</v>
      </c>
      <c r="G16" s="70">
        <f ca="1">SUMIFS(Data!$K:$K,Data!$B:$B,"&gt;="&amp;DATE(G$4,G$5,1),Data!$B:$B,"&lt;="&amp;DATE(G$4,G$5,G$6),Data!$G:$G,$C$14,Data!$H:$H,$C16)</f>
        <v>0</v>
      </c>
      <c r="H16" s="70">
        <f ca="1">SUMIFS(Data!$K:$K,Data!$B:$B,"&gt;="&amp;DATE(H$4,H$5,1),Data!$B:$B,"&lt;="&amp;DATE(H$4,H$5,H$6),Data!$G:$G,$C$14,Data!$H:$H,$C16)</f>
        <v>0</v>
      </c>
      <c r="I16" s="70">
        <f ca="1">SUMIFS(Data!$K:$K,Data!$B:$B,"&gt;="&amp;DATE(I$4,I$5,1),Data!$B:$B,"&lt;="&amp;DATE(I$4,I$5,I$6),Data!$G:$G,$C$14,Data!$H:$H,$C16)</f>
        <v>0</v>
      </c>
      <c r="J16" s="70">
        <f ca="1">SUMIFS(Data!$K:$K,Data!$B:$B,"&gt;="&amp;DATE(J$4,J$5,1),Data!$B:$B,"&lt;="&amp;DATE(J$4,J$5,J$6),Data!$G:$G,$C$14,Data!$H:$H,$C16)</f>
        <v>0</v>
      </c>
      <c r="K16" s="70">
        <f ca="1">SUMIFS(Data!$K:$K,Data!$B:$B,"&gt;="&amp;DATE(K$4,K$5,1),Data!$B:$B,"&lt;="&amp;DATE(K$4,K$5,K$6),Data!$G:$G,$C$14,Data!$H:$H,$C16)</f>
        <v>0</v>
      </c>
      <c r="L16" s="70">
        <f ca="1">SUMIFS(Data!$K:$K,Data!$B:$B,"&gt;="&amp;DATE(L$4,L$5,1),Data!$B:$B,"&lt;="&amp;DATE(L$4,L$5,L$6),Data!$G:$G,$C$14,Data!$H:$H,$C16)</f>
        <v>0</v>
      </c>
      <c r="M16" s="70">
        <f ca="1">SUMIFS(Data!$K:$K,Data!$B:$B,"&gt;="&amp;DATE(M$4,M$5,1),Data!$B:$B,"&lt;="&amp;DATE(M$4,M$5,M$6),Data!$G:$G,$C$14,Data!$H:$H,$C16)</f>
        <v>0</v>
      </c>
      <c r="N16" s="70">
        <f ca="1">SUMIFS(Data!$K:$K,Data!$B:$B,"&gt;="&amp;DATE(N$4,N$5,1),Data!$B:$B,"&lt;="&amp;DATE(N$4,N$5,N$6),Data!$G:$G,$C$14,Data!$H:$H,$C16)</f>
        <v>0</v>
      </c>
      <c r="O16" s="70">
        <f ca="1">SUMIFS(Data!$K:$K,Data!$B:$B,"&gt;="&amp;DATE(O$4,O$5,1),Data!$B:$B,"&lt;="&amp;DATE(O$4,O$5,O$6),Data!$G:$G,$C$14,Data!$H:$H,$C16)</f>
        <v>0</v>
      </c>
      <c r="P16" s="71">
        <f t="shared" ref="P16" ca="1" si="6">SUM(D16:O16)</f>
        <v>0</v>
      </c>
      <c r="Q16" s="72" t="e">
        <f t="shared" ca="1" si="5"/>
        <v>#DIV/0!</v>
      </c>
      <c r="R16" s="22"/>
      <c r="S16" s="22"/>
      <c r="T16" s="22"/>
    </row>
    <row r="17" spans="1:20" s="9" customFormat="1" ht="24.9" customHeight="1" x14ac:dyDescent="0.3">
      <c r="A17" s="55"/>
      <c r="B17" s="199" t="str">
        <f>Classification!A15</f>
        <v>Lương nhân viên &amp; BHXH, BHYT, đồng phục, giày, trợ cấp điện thoại</v>
      </c>
      <c r="C17" s="166" t="str">
        <f>Classification!C15</f>
        <v>LC</v>
      </c>
      <c r="D17" s="70">
        <f ca="1">SUMIFS(Data!$K:$K,Data!$B:$B,"&gt;="&amp;DATE(D$4,D$5,1),Data!$B:$B,"&lt;="&amp;DATE(D$4,D$5,D$6),Data!$G:$G,$C$14,Data!$H:$H,$C17)</f>
        <v>0</v>
      </c>
      <c r="E17" s="70">
        <f ca="1">SUMIFS(Data!$K:$K,Data!$B:$B,"&gt;="&amp;DATE(E$4,E$5,1),Data!$B:$B,"&lt;="&amp;DATE(E$4,E$5,E$6),Data!$G:$G,$C$14,Data!$H:$H,$C17)</f>
        <v>0</v>
      </c>
      <c r="F17" s="70">
        <f ca="1">SUMIFS(Data!$K:$K,Data!$B:$B,"&gt;="&amp;DATE(F$4,F$5,1),Data!$B:$B,"&lt;="&amp;DATE(F$4,F$5,F$6),Data!$G:$G,$C$14,Data!$H:$H,$C17)</f>
        <v>0</v>
      </c>
      <c r="G17" s="70">
        <f ca="1">SUMIFS(Data!$K:$K,Data!$B:$B,"&gt;="&amp;DATE(G$4,G$5,1),Data!$B:$B,"&lt;="&amp;DATE(G$4,G$5,G$6),Data!$G:$G,$C$14,Data!$H:$H,$C17)</f>
        <v>0</v>
      </c>
      <c r="H17" s="70">
        <f ca="1">SUMIFS(Data!$K:$K,Data!$B:$B,"&gt;="&amp;DATE(H$4,H$5,1),Data!$B:$B,"&lt;="&amp;DATE(H$4,H$5,H$6),Data!$G:$G,$C$14,Data!$H:$H,$C17)</f>
        <v>0</v>
      </c>
      <c r="I17" s="70">
        <f ca="1">SUMIFS(Data!$K:$K,Data!$B:$B,"&gt;="&amp;DATE(I$4,I$5,1),Data!$B:$B,"&lt;="&amp;DATE(I$4,I$5,I$6),Data!$G:$G,$C$14,Data!$H:$H,$C17)</f>
        <v>0</v>
      </c>
      <c r="J17" s="70">
        <f ca="1">SUMIFS(Data!$K:$K,Data!$B:$B,"&gt;="&amp;DATE(J$4,J$5,1),Data!$B:$B,"&lt;="&amp;DATE(J$4,J$5,J$6),Data!$G:$G,$C$14,Data!$H:$H,$C17)</f>
        <v>0</v>
      </c>
      <c r="K17" s="70">
        <f ca="1">SUMIFS(Data!$K:$K,Data!$B:$B,"&gt;="&amp;DATE(K$4,K$5,1),Data!$B:$B,"&lt;="&amp;DATE(K$4,K$5,K$6),Data!$G:$G,$C$14,Data!$H:$H,$C17)</f>
        <v>0</v>
      </c>
      <c r="L17" s="70">
        <f ca="1">SUMIFS(Data!$K:$K,Data!$B:$B,"&gt;="&amp;DATE(L$4,L$5,1),Data!$B:$B,"&lt;="&amp;DATE(L$4,L$5,L$6),Data!$G:$G,$C$14,Data!$H:$H,$C17)</f>
        <v>0</v>
      </c>
      <c r="M17" s="70">
        <f ca="1">SUMIFS(Data!$K:$K,Data!$B:$B,"&gt;="&amp;DATE(M$4,M$5,1),Data!$B:$B,"&lt;="&amp;DATE(M$4,M$5,M$6),Data!$G:$G,$C$14,Data!$H:$H,$C17)</f>
        <v>0</v>
      </c>
      <c r="N17" s="70">
        <f ca="1">SUMIFS(Data!$K:$K,Data!$B:$B,"&gt;="&amp;DATE(N$4,N$5,1),Data!$B:$B,"&lt;="&amp;DATE(N$4,N$5,N$6),Data!$G:$G,$C$14,Data!$H:$H,$C17)</f>
        <v>0</v>
      </c>
      <c r="O17" s="70">
        <f ca="1">SUMIFS(Data!$K:$K,Data!$B:$B,"&gt;="&amp;DATE(O$4,O$5,1),Data!$B:$B,"&lt;="&amp;DATE(O$4,O$5,O$6),Data!$G:$G,$C$14,Data!$H:$H,$C17)</f>
        <v>0</v>
      </c>
      <c r="P17" s="71">
        <f t="shared" ca="1" si="3"/>
        <v>0</v>
      </c>
      <c r="Q17" s="72" t="e">
        <f t="shared" ref="Q17:Q24" ca="1" si="7">P17/($P$13+$P$14)</f>
        <v>#DIV/0!</v>
      </c>
      <c r="R17" s="22"/>
      <c r="S17" s="22"/>
      <c r="T17" s="22"/>
    </row>
    <row r="18" spans="1:20" s="9" customFormat="1" ht="24.9" customHeight="1" x14ac:dyDescent="0.3">
      <c r="A18" s="55"/>
      <c r="B18" s="199" t="str">
        <f>Classification!A16</f>
        <v>Chi phí quan hệ khách hàng</v>
      </c>
      <c r="C18" s="166" t="str">
        <f>Classification!C16</f>
        <v>CR</v>
      </c>
      <c r="D18" s="70">
        <f ca="1">SUMIFS(Data!$K:$K,Data!$B:$B,"&gt;="&amp;DATE(D$4,D$5,1),Data!$B:$B,"&lt;="&amp;DATE(D$4,D$5,D$6),Data!$G:$G,$C$14,Data!$H:$H,$C18)</f>
        <v>0</v>
      </c>
      <c r="E18" s="70">
        <f ca="1">SUMIFS(Data!$K:$K,Data!$B:$B,"&gt;="&amp;DATE(E$4,E$5,1),Data!$B:$B,"&lt;="&amp;DATE(E$4,E$5,E$6),Data!$G:$G,$C$14,Data!$H:$H,$C18)</f>
        <v>0</v>
      </c>
      <c r="F18" s="70">
        <f ca="1">SUMIFS(Data!$K:$K,Data!$B:$B,"&gt;="&amp;DATE(F$4,F$5,1),Data!$B:$B,"&lt;="&amp;DATE(F$4,F$5,F$6),Data!$G:$G,$C$14,Data!$H:$H,$C18)</f>
        <v>0</v>
      </c>
      <c r="G18" s="70">
        <f ca="1">SUMIFS(Data!$K:$K,Data!$B:$B,"&gt;="&amp;DATE(G$4,G$5,1),Data!$B:$B,"&lt;="&amp;DATE(G$4,G$5,G$6),Data!$G:$G,$C$14,Data!$H:$H,$C18)</f>
        <v>0</v>
      </c>
      <c r="H18" s="70">
        <f ca="1">SUMIFS(Data!$K:$K,Data!$B:$B,"&gt;="&amp;DATE(H$4,H$5,1),Data!$B:$B,"&lt;="&amp;DATE(H$4,H$5,H$6),Data!$G:$G,$C$14,Data!$H:$H,$C18)</f>
        <v>0</v>
      </c>
      <c r="I18" s="70">
        <f ca="1">SUMIFS(Data!$K:$K,Data!$B:$B,"&gt;="&amp;DATE(I$4,I$5,1),Data!$B:$B,"&lt;="&amp;DATE(I$4,I$5,I$6),Data!$G:$G,$C$14,Data!$H:$H,$C18)</f>
        <v>0</v>
      </c>
      <c r="J18" s="70">
        <f ca="1">SUMIFS(Data!$K:$K,Data!$B:$B,"&gt;="&amp;DATE(J$4,J$5,1),Data!$B:$B,"&lt;="&amp;DATE(J$4,J$5,J$6),Data!$G:$G,$C$14,Data!$H:$H,$C18)</f>
        <v>0</v>
      </c>
      <c r="K18" s="70">
        <f ca="1">SUMIFS(Data!$K:$K,Data!$B:$B,"&gt;="&amp;DATE(K$4,K$5,1),Data!$B:$B,"&lt;="&amp;DATE(K$4,K$5,K$6),Data!$G:$G,$C$14,Data!$H:$H,$C18)</f>
        <v>0</v>
      </c>
      <c r="L18" s="70">
        <f ca="1">SUMIFS(Data!$K:$K,Data!$B:$B,"&gt;="&amp;DATE(L$4,L$5,1),Data!$B:$B,"&lt;="&amp;DATE(L$4,L$5,L$6),Data!$G:$G,$C$14,Data!$H:$H,$C18)</f>
        <v>0</v>
      </c>
      <c r="M18" s="70">
        <f ca="1">SUMIFS(Data!$K:$K,Data!$B:$B,"&gt;="&amp;DATE(M$4,M$5,1),Data!$B:$B,"&lt;="&amp;DATE(M$4,M$5,M$6),Data!$G:$G,$C$14,Data!$H:$H,$C18)</f>
        <v>0</v>
      </c>
      <c r="N18" s="70">
        <f ca="1">SUMIFS(Data!$K:$K,Data!$B:$B,"&gt;="&amp;DATE(N$4,N$5,1),Data!$B:$B,"&lt;="&amp;DATE(N$4,N$5,N$6),Data!$G:$G,$C$14,Data!$H:$H,$C18)</f>
        <v>0</v>
      </c>
      <c r="O18" s="70">
        <f ca="1">SUMIFS(Data!$K:$K,Data!$B:$B,"&gt;="&amp;DATE(O$4,O$5,1),Data!$B:$B,"&lt;="&amp;DATE(O$4,O$5,O$6),Data!$G:$G,$C$14,Data!$H:$H,$C18)</f>
        <v>0</v>
      </c>
      <c r="P18" s="71">
        <f ca="1">SUM(D18:O18)</f>
        <v>0</v>
      </c>
      <c r="Q18" s="72" t="e">
        <f ca="1">P18/($P$13+$P$14)</f>
        <v>#DIV/0!</v>
      </c>
      <c r="R18" s="22"/>
      <c r="S18" s="22"/>
      <c r="T18" s="22"/>
    </row>
    <row r="19" spans="1:20" s="9" customFormat="1" ht="24.9" customHeight="1" x14ac:dyDescent="0.3">
      <c r="A19" s="55"/>
      <c r="B19" s="199" t="str">
        <f>Classification!A17</f>
        <v>Vật tư tiêu hao dùng chung</v>
      </c>
      <c r="C19" s="166" t="str">
        <f>Classification!C17</f>
        <v>GC</v>
      </c>
      <c r="D19" s="70">
        <f ca="1">SUMIFS(Data!$K:$K,Data!$B:$B,"&gt;="&amp;DATE(D$4,D$5,1),Data!$B:$B,"&lt;="&amp;DATE(D$4,D$5,D$6),Data!$G:$G,$C$14,Data!$H:$H,$C19)</f>
        <v>0</v>
      </c>
      <c r="E19" s="70">
        <f ca="1">SUMIFS(Data!$K:$K,Data!$B:$B,"&gt;="&amp;DATE(E$4,E$5,1),Data!$B:$B,"&lt;="&amp;DATE(E$4,E$5,E$6),Data!$G:$G,$C$14,Data!$H:$H,$C19)</f>
        <v>0</v>
      </c>
      <c r="F19" s="70">
        <f ca="1">SUMIFS(Data!$K:$K,Data!$B:$B,"&gt;="&amp;DATE(F$4,F$5,1),Data!$B:$B,"&lt;="&amp;DATE(F$4,F$5,F$6),Data!$G:$G,$C$14,Data!$H:$H,$C19)</f>
        <v>0</v>
      </c>
      <c r="G19" s="70">
        <f ca="1">SUMIFS(Data!$K:$K,Data!$B:$B,"&gt;="&amp;DATE(G$4,G$5,1),Data!$B:$B,"&lt;="&amp;DATE(G$4,G$5,G$6),Data!$G:$G,$C$14,Data!$H:$H,$C19)</f>
        <v>0</v>
      </c>
      <c r="H19" s="70">
        <f ca="1">SUMIFS(Data!$K:$K,Data!$B:$B,"&gt;="&amp;DATE(H$4,H$5,1),Data!$B:$B,"&lt;="&amp;DATE(H$4,H$5,H$6),Data!$G:$G,$C$14,Data!$H:$H,$C19)</f>
        <v>0</v>
      </c>
      <c r="I19" s="70">
        <f ca="1">SUMIFS(Data!$K:$K,Data!$B:$B,"&gt;="&amp;DATE(I$4,I$5,1),Data!$B:$B,"&lt;="&amp;DATE(I$4,I$5,I$6),Data!$G:$G,$C$14,Data!$H:$H,$C19)</f>
        <v>0</v>
      </c>
      <c r="J19" s="70">
        <f ca="1">SUMIFS(Data!$K:$K,Data!$B:$B,"&gt;="&amp;DATE(J$4,J$5,1),Data!$B:$B,"&lt;="&amp;DATE(J$4,J$5,J$6),Data!$G:$G,$C$14,Data!$H:$H,$C19)</f>
        <v>0</v>
      </c>
      <c r="K19" s="70">
        <f ca="1">SUMIFS(Data!$K:$K,Data!$B:$B,"&gt;="&amp;DATE(K$4,K$5,1),Data!$B:$B,"&lt;="&amp;DATE(K$4,K$5,K$6),Data!$G:$G,$C$14,Data!$H:$H,$C19)</f>
        <v>0</v>
      </c>
      <c r="L19" s="70">
        <f ca="1">SUMIFS(Data!$K:$K,Data!$B:$B,"&gt;="&amp;DATE(L$4,L$5,1),Data!$B:$B,"&lt;="&amp;DATE(L$4,L$5,L$6),Data!$G:$G,$C$14,Data!$H:$H,$C19)</f>
        <v>0</v>
      </c>
      <c r="M19" s="70">
        <f ca="1">SUMIFS(Data!$K:$K,Data!$B:$B,"&gt;="&amp;DATE(M$4,M$5,1),Data!$B:$B,"&lt;="&amp;DATE(M$4,M$5,M$6),Data!$G:$G,$C$14,Data!$H:$H,$C19)</f>
        <v>0</v>
      </c>
      <c r="N19" s="70">
        <f ca="1">SUMIFS(Data!$K:$K,Data!$B:$B,"&gt;="&amp;DATE(N$4,N$5,1),Data!$B:$B,"&lt;="&amp;DATE(N$4,N$5,N$6),Data!$G:$G,$C$14,Data!$H:$H,$C19)</f>
        <v>0</v>
      </c>
      <c r="O19" s="70">
        <f ca="1">SUMIFS(Data!$K:$K,Data!$B:$B,"&gt;="&amp;DATE(O$4,O$5,1),Data!$B:$B,"&lt;="&amp;DATE(O$4,O$5,O$6),Data!$G:$G,$C$14,Data!$H:$H,$C19)</f>
        <v>0</v>
      </c>
      <c r="P19" s="71">
        <f t="shared" ca="1" si="3"/>
        <v>0</v>
      </c>
      <c r="Q19" s="72" t="e">
        <f t="shared" ca="1" si="7"/>
        <v>#DIV/0!</v>
      </c>
      <c r="R19" s="22"/>
      <c r="S19" s="22"/>
      <c r="T19" s="22"/>
    </row>
    <row r="20" spans="1:20" s="9" customFormat="1" ht="24.9" customHeight="1" x14ac:dyDescent="0.3">
      <c r="A20" s="55"/>
      <c r="B20" s="199" t="str">
        <f>Classification!A18</f>
        <v>Tài sản, công cụ dụng cụ, máy tính, trang thiết bị văn phòng, trang bị an toàn (mũ, kính, đai an toàn…)</v>
      </c>
      <c r="C20" s="166" t="str">
        <f>Classification!C18</f>
        <v>AT</v>
      </c>
      <c r="D20" s="70">
        <f ca="1">SUMIFS(Data!$K:$K,Data!$B:$B,"&gt;="&amp;DATE(D$4,D$5,1),Data!$B:$B,"&lt;="&amp;DATE(D$4,D$5,D$6),Data!$G:$G,$C$14,Data!$H:$H,$C20)</f>
        <v>0</v>
      </c>
      <c r="E20" s="70">
        <f ca="1">SUMIFS(Data!$K:$K,Data!$B:$B,"&gt;="&amp;DATE(E$4,E$5,1),Data!$B:$B,"&lt;="&amp;DATE(E$4,E$5,E$6),Data!$G:$G,$C$14,Data!$H:$H,$C20)</f>
        <v>0</v>
      </c>
      <c r="F20" s="70">
        <f ca="1">SUMIFS(Data!$K:$K,Data!$B:$B,"&gt;="&amp;DATE(F$4,F$5,1),Data!$B:$B,"&lt;="&amp;DATE(F$4,F$5,F$6),Data!$G:$G,$C$14,Data!$H:$H,$C20)</f>
        <v>0</v>
      </c>
      <c r="G20" s="70">
        <f ca="1">SUMIFS(Data!$K:$K,Data!$B:$B,"&gt;="&amp;DATE(G$4,G$5,1),Data!$B:$B,"&lt;="&amp;DATE(G$4,G$5,G$6),Data!$G:$G,$C$14,Data!$H:$H,$C20)</f>
        <v>0</v>
      </c>
      <c r="H20" s="70">
        <f ca="1">SUMIFS(Data!$K:$K,Data!$B:$B,"&gt;="&amp;DATE(H$4,H$5,1),Data!$B:$B,"&lt;="&amp;DATE(H$4,H$5,H$6),Data!$G:$G,$C$14,Data!$H:$H,$C20)</f>
        <v>0</v>
      </c>
      <c r="I20" s="70">
        <f ca="1">SUMIFS(Data!$K:$K,Data!$B:$B,"&gt;="&amp;DATE(I$4,I$5,1),Data!$B:$B,"&lt;="&amp;DATE(I$4,I$5,I$6),Data!$G:$G,$C$14,Data!$H:$H,$C20)</f>
        <v>0</v>
      </c>
      <c r="J20" s="70">
        <f ca="1">SUMIFS(Data!$K:$K,Data!$B:$B,"&gt;="&amp;DATE(J$4,J$5,1),Data!$B:$B,"&lt;="&amp;DATE(J$4,J$5,J$6),Data!$G:$G,$C$14,Data!$H:$H,$C20)</f>
        <v>0</v>
      </c>
      <c r="K20" s="70">
        <f ca="1">SUMIFS(Data!$K:$K,Data!$B:$B,"&gt;="&amp;DATE(K$4,K$5,1),Data!$B:$B,"&lt;="&amp;DATE(K$4,K$5,K$6),Data!$G:$G,$C$14,Data!$H:$H,$C20)</f>
        <v>0</v>
      </c>
      <c r="L20" s="70">
        <f ca="1">SUMIFS(Data!$K:$K,Data!$B:$B,"&gt;="&amp;DATE(L$4,L$5,1),Data!$B:$B,"&lt;="&amp;DATE(L$4,L$5,L$6),Data!$G:$G,$C$14,Data!$H:$H,$C20)</f>
        <v>0</v>
      </c>
      <c r="M20" s="70">
        <f ca="1">SUMIFS(Data!$K:$K,Data!$B:$B,"&gt;="&amp;DATE(M$4,M$5,1),Data!$B:$B,"&lt;="&amp;DATE(M$4,M$5,M$6),Data!$G:$G,$C$14,Data!$H:$H,$C20)</f>
        <v>0</v>
      </c>
      <c r="N20" s="70">
        <f ca="1">SUMIFS(Data!$K:$K,Data!$B:$B,"&gt;="&amp;DATE(N$4,N$5,1),Data!$B:$B,"&lt;="&amp;DATE(N$4,N$5,N$6),Data!$G:$G,$C$14,Data!$H:$H,$C20)</f>
        <v>0</v>
      </c>
      <c r="O20" s="70">
        <f ca="1">SUMIFS(Data!$K:$K,Data!$B:$B,"&gt;="&amp;DATE(O$4,O$5,1),Data!$B:$B,"&lt;="&amp;DATE(O$4,O$5,O$6),Data!$G:$G,$C$14,Data!$H:$H,$C20)</f>
        <v>0</v>
      </c>
      <c r="P20" s="71">
        <f ca="1">SUM(D20:O20)</f>
        <v>0</v>
      </c>
      <c r="Q20" s="72" t="e">
        <f ca="1">P20/($P$13+$P$14)</f>
        <v>#DIV/0!</v>
      </c>
      <c r="R20" s="22"/>
      <c r="S20" s="22"/>
      <c r="T20" s="22"/>
    </row>
    <row r="21" spans="1:20" s="9" customFormat="1" ht="24.9" customHeight="1" x14ac:dyDescent="0.3">
      <c r="A21" s="55"/>
      <c r="B21" s="199" t="str">
        <f>Classification!A19</f>
        <v>Chi phí quản lý: Chi phí văn phòng, phí ngân hàng, tiếp khách, liên hoan, bảo hiểm TNNN, tai nạn…</v>
      </c>
      <c r="C21" s="166" t="str">
        <f>Classification!C19</f>
        <v>OH</v>
      </c>
      <c r="D21" s="70">
        <f ca="1">SUMIFS(Data!$K:$K,Data!$B:$B,"&gt;="&amp;DATE(D$4,D$5,1),Data!$B:$B,"&lt;="&amp;DATE(D$4,D$5,D$6),Data!$G:$G,$C$14,Data!$H:$H,$C21)</f>
        <v>0</v>
      </c>
      <c r="E21" s="70">
        <f ca="1">SUMIFS(Data!$K:$K,Data!$B:$B,"&gt;="&amp;DATE(E$4,E$5,1),Data!$B:$B,"&lt;="&amp;DATE(E$4,E$5,E$6),Data!$G:$G,$C$14,Data!$H:$H,$C21)</f>
        <v>0</v>
      </c>
      <c r="F21" s="70">
        <f ca="1">SUMIFS(Data!$K:$K,Data!$B:$B,"&gt;="&amp;DATE(F$4,F$5,1),Data!$B:$B,"&lt;="&amp;DATE(F$4,F$5,F$6),Data!$G:$G,$C$14,Data!$H:$H,$C21)</f>
        <v>0</v>
      </c>
      <c r="G21" s="70">
        <f ca="1">SUMIFS(Data!$K:$K,Data!$B:$B,"&gt;="&amp;DATE(G$4,G$5,1),Data!$B:$B,"&lt;="&amp;DATE(G$4,G$5,G$6),Data!$G:$G,$C$14,Data!$H:$H,$C21)</f>
        <v>0</v>
      </c>
      <c r="H21" s="70">
        <f ca="1">SUMIFS(Data!$K:$K,Data!$B:$B,"&gt;="&amp;DATE(H$4,H$5,1),Data!$B:$B,"&lt;="&amp;DATE(H$4,H$5,H$6),Data!$G:$G,$C$14,Data!$H:$H,$C21)</f>
        <v>0</v>
      </c>
      <c r="I21" s="70">
        <f ca="1">SUMIFS(Data!$K:$K,Data!$B:$B,"&gt;="&amp;DATE(I$4,I$5,1),Data!$B:$B,"&lt;="&amp;DATE(I$4,I$5,I$6),Data!$G:$G,$C$14,Data!$H:$H,$C21)</f>
        <v>0</v>
      </c>
      <c r="J21" s="70">
        <f ca="1">SUMIFS(Data!$K:$K,Data!$B:$B,"&gt;="&amp;DATE(J$4,J$5,1),Data!$B:$B,"&lt;="&amp;DATE(J$4,J$5,J$6),Data!$G:$G,$C$14,Data!$H:$H,$C21)</f>
        <v>0</v>
      </c>
      <c r="K21" s="70">
        <f ca="1">SUMIFS(Data!$K:$K,Data!$B:$B,"&gt;="&amp;DATE(K$4,K$5,1),Data!$B:$B,"&lt;="&amp;DATE(K$4,K$5,K$6),Data!$G:$G,$C$14,Data!$H:$H,$C21)</f>
        <v>0</v>
      </c>
      <c r="L21" s="70">
        <f ca="1">SUMIFS(Data!$K:$K,Data!$B:$B,"&gt;="&amp;DATE(L$4,L$5,1),Data!$B:$B,"&lt;="&amp;DATE(L$4,L$5,L$6),Data!$G:$G,$C$14,Data!$H:$H,$C21)</f>
        <v>0</v>
      </c>
      <c r="M21" s="70">
        <f ca="1">SUMIFS(Data!$K:$K,Data!$B:$B,"&gt;="&amp;DATE(M$4,M$5,1),Data!$B:$B,"&lt;="&amp;DATE(M$4,M$5,M$6),Data!$G:$G,$C$14,Data!$H:$H,$C21)</f>
        <v>0</v>
      </c>
      <c r="N21" s="70">
        <f ca="1">SUMIFS(Data!$K:$K,Data!$B:$B,"&gt;="&amp;DATE(N$4,N$5,1),Data!$B:$B,"&lt;="&amp;DATE(N$4,N$5,N$6),Data!$G:$G,$C$14,Data!$H:$H,$C21)</f>
        <v>0</v>
      </c>
      <c r="O21" s="70">
        <f ca="1">SUMIFS(Data!$K:$K,Data!$B:$B,"&gt;="&amp;DATE(O$4,O$5,1),Data!$B:$B,"&lt;="&amp;DATE(O$4,O$5,O$6),Data!$G:$G,$C$14,Data!$H:$H,$C21)</f>
        <v>0</v>
      </c>
      <c r="P21" s="71">
        <f ca="1">SUM(D21:O21)</f>
        <v>0</v>
      </c>
      <c r="Q21" s="72" t="e">
        <f ca="1">P21/($P$13+$P$14)</f>
        <v>#DIV/0!</v>
      </c>
      <c r="R21" s="22"/>
      <c r="S21" s="22"/>
      <c r="T21" s="22"/>
    </row>
    <row r="22" spans="1:20" s="9" customFormat="1" ht="24.9" customHeight="1" x14ac:dyDescent="0.3">
      <c r="A22" s="55"/>
      <c r="B22" s="78" t="str">
        <f>Classification!A22</f>
        <v>XLHĐ</v>
      </c>
      <c r="C22" s="167" t="str">
        <f>Classification!C22</f>
        <v>IV</v>
      </c>
      <c r="D22" s="73">
        <f ca="1">SUMIFS(Data!$K:$K,Data!$B:$B,"&gt;="&amp;DATE(D$4,D$5,1),Data!$B:$B,"&lt;="&amp;DATE(D$4,D$5,D$6),Data!$G:$G,$C$14,Data!$H:$H,$C22)</f>
        <v>0</v>
      </c>
      <c r="E22" s="73">
        <f ca="1">SUMIFS(Data!$K:$K,Data!$B:$B,"&gt;="&amp;DATE(E$4,E$5,1),Data!$B:$B,"&lt;="&amp;DATE(E$4,E$5,E$6),Data!$G:$G,$C$14,Data!$H:$H,$C22)</f>
        <v>0</v>
      </c>
      <c r="F22" s="73">
        <f ca="1">SUMIFS(Data!$K:$K,Data!$B:$B,"&gt;="&amp;DATE(F$4,F$5,1),Data!$B:$B,"&lt;="&amp;DATE(F$4,F$5,F$6),Data!$G:$G,$C$14,Data!$H:$H,$C22)</f>
        <v>0</v>
      </c>
      <c r="G22" s="73">
        <f ca="1">SUMIFS(Data!$K:$K,Data!$B:$B,"&gt;="&amp;DATE(G$4,G$5,1),Data!$B:$B,"&lt;="&amp;DATE(G$4,G$5,G$6),Data!$G:$G,$C$14,Data!$H:$H,$C22)</f>
        <v>0</v>
      </c>
      <c r="H22" s="73">
        <f ca="1">SUMIFS(Data!$K:$K,Data!$B:$B,"&gt;="&amp;DATE(H$4,H$5,1),Data!$B:$B,"&lt;="&amp;DATE(H$4,H$5,H$6),Data!$G:$G,$C$14,Data!$H:$H,$C22)</f>
        <v>0</v>
      </c>
      <c r="I22" s="73">
        <f ca="1">SUMIFS(Data!$K:$K,Data!$B:$B,"&gt;="&amp;DATE(I$4,I$5,1),Data!$B:$B,"&lt;="&amp;DATE(I$4,I$5,I$6),Data!$G:$G,$C$14,Data!$H:$H,$C22)</f>
        <v>0</v>
      </c>
      <c r="J22" s="73">
        <f ca="1">SUMIFS(Data!$K:$K,Data!$B:$B,"&gt;="&amp;DATE(J$4,J$5,1),Data!$B:$B,"&lt;="&amp;DATE(J$4,J$5,J$6),Data!$G:$G,$C$14,Data!$H:$H,$C22)</f>
        <v>0</v>
      </c>
      <c r="K22" s="73">
        <f ca="1">SUMIFS(Data!$K:$K,Data!$B:$B,"&gt;="&amp;DATE(K$4,K$5,1),Data!$B:$B,"&lt;="&amp;DATE(K$4,K$5,K$6),Data!$G:$G,$C$14,Data!$H:$H,$C22)</f>
        <v>0</v>
      </c>
      <c r="L22" s="73">
        <f ca="1">SUMIFS(Data!$K:$K,Data!$B:$B,"&gt;="&amp;DATE(L$4,L$5,1),Data!$B:$B,"&lt;="&amp;DATE(L$4,L$5,L$6),Data!$G:$G,$C$14,Data!$H:$H,$C22)</f>
        <v>0</v>
      </c>
      <c r="M22" s="73">
        <f ca="1">SUMIFS(Data!$K:$K,Data!$B:$B,"&gt;="&amp;DATE(M$4,M$5,1),Data!$B:$B,"&lt;="&amp;DATE(M$4,M$5,M$6),Data!$G:$G,$C$14,Data!$H:$H,$C22)</f>
        <v>0</v>
      </c>
      <c r="N22" s="73">
        <f ca="1">SUMIFS(Data!$K:$K,Data!$B:$B,"&gt;="&amp;DATE(N$4,N$5,1),Data!$B:$B,"&lt;="&amp;DATE(N$4,N$5,N$6),Data!$G:$G,$C$14,Data!$H:$H,$C22)</f>
        <v>0</v>
      </c>
      <c r="O22" s="73">
        <f ca="1">SUMIFS(Data!$K:$K,Data!$B:$B,"&gt;="&amp;DATE(O$4,O$5,1),Data!$B:$B,"&lt;="&amp;DATE(O$4,O$5,O$6),Data!$G:$G,$C$14,Data!$H:$H,$C22)</f>
        <v>0</v>
      </c>
      <c r="P22" s="74">
        <f ca="1">SUM(D22:O22)</f>
        <v>0</v>
      </c>
      <c r="Q22" s="75" t="e">
        <f ca="1">P22/($P$13+$P$14)</f>
        <v>#DIV/0!</v>
      </c>
      <c r="R22" s="22"/>
      <c r="S22" s="22"/>
      <c r="T22" s="22"/>
    </row>
    <row r="23" spans="1:20" s="9" customFormat="1" ht="24.9" customHeight="1" x14ac:dyDescent="0.3">
      <c r="A23" s="56"/>
      <c r="B23" s="78" t="str">
        <f>Classification!A23</f>
        <v>Chuyển tiền giữa các TK, đổi tiền, chi mua bán hộ, vay/tạm ứng (có trả lại) …</v>
      </c>
      <c r="C23" s="167" t="str">
        <f>Classification!C23</f>
        <v>BA</v>
      </c>
      <c r="D23" s="73">
        <f ca="1">SUMIFS(Data!$K:$K,Data!$B:$B,"&gt;="&amp;DATE(D$4,D$5,1),Data!$B:$B,"&lt;="&amp;DATE(D$4,D$5,D$6),Data!$G:$G,$C$14,Data!$H:$H,$C23)</f>
        <v>0</v>
      </c>
      <c r="E23" s="73">
        <f ca="1">SUMIFS(Data!$K:$K,Data!$B:$B,"&gt;="&amp;DATE(E$4,E$5,1),Data!$B:$B,"&lt;="&amp;DATE(E$4,E$5,E$6),Data!$G:$G,$C$14,Data!$H:$H,$C23)</f>
        <v>0</v>
      </c>
      <c r="F23" s="73">
        <f ca="1">SUMIFS(Data!$K:$K,Data!$B:$B,"&gt;="&amp;DATE(F$4,F$5,1),Data!$B:$B,"&lt;="&amp;DATE(F$4,F$5,F$6),Data!$G:$G,$C$14,Data!$H:$H,$C23)</f>
        <v>0</v>
      </c>
      <c r="G23" s="73">
        <f ca="1">SUMIFS(Data!$K:$K,Data!$B:$B,"&gt;="&amp;DATE(G$4,G$5,1),Data!$B:$B,"&lt;="&amp;DATE(G$4,G$5,G$6),Data!$G:$G,$C$14,Data!$H:$H,$C23)</f>
        <v>0</v>
      </c>
      <c r="H23" s="73">
        <f ca="1">SUMIFS(Data!$K:$K,Data!$B:$B,"&gt;="&amp;DATE(H$4,H$5,1),Data!$B:$B,"&lt;="&amp;DATE(H$4,H$5,H$6),Data!$G:$G,$C$14,Data!$H:$H,$C23)</f>
        <v>0</v>
      </c>
      <c r="I23" s="73">
        <f ca="1">SUMIFS(Data!$K:$K,Data!$B:$B,"&gt;="&amp;DATE(I$4,I$5,1),Data!$B:$B,"&lt;="&amp;DATE(I$4,I$5,I$6),Data!$G:$G,$C$14,Data!$H:$H,$C23)</f>
        <v>0</v>
      </c>
      <c r="J23" s="73">
        <f ca="1">SUMIFS(Data!$K:$K,Data!$B:$B,"&gt;="&amp;DATE(J$4,J$5,1),Data!$B:$B,"&lt;="&amp;DATE(J$4,J$5,J$6),Data!$G:$G,$C$14,Data!$H:$H,$C23)</f>
        <v>0</v>
      </c>
      <c r="K23" s="73">
        <f ca="1">SUMIFS(Data!$K:$K,Data!$B:$B,"&gt;="&amp;DATE(K$4,K$5,1),Data!$B:$B,"&lt;="&amp;DATE(K$4,K$5,K$6),Data!$G:$G,$C$14,Data!$H:$H,$C23)</f>
        <v>0</v>
      </c>
      <c r="L23" s="73">
        <f ca="1">SUMIFS(Data!$K:$K,Data!$B:$B,"&gt;="&amp;DATE(L$4,L$5,1),Data!$B:$B,"&lt;="&amp;DATE(L$4,L$5,L$6),Data!$G:$G,$C$14,Data!$H:$H,$C23)</f>
        <v>0</v>
      </c>
      <c r="M23" s="73">
        <f ca="1">SUMIFS(Data!$K:$K,Data!$B:$B,"&gt;="&amp;DATE(M$4,M$5,1),Data!$B:$B,"&lt;="&amp;DATE(M$4,M$5,M$6),Data!$G:$G,$C$14,Data!$H:$H,$C23)</f>
        <v>0</v>
      </c>
      <c r="N23" s="73">
        <f ca="1">SUMIFS(Data!$K:$K,Data!$B:$B,"&gt;="&amp;DATE(N$4,N$5,1),Data!$B:$B,"&lt;="&amp;DATE(N$4,N$5,N$6),Data!$G:$G,$C$14,Data!$H:$H,$C23)</f>
        <v>0</v>
      </c>
      <c r="O23" s="73">
        <f ca="1">SUMIFS(Data!$K:$K,Data!$B:$B,"&gt;="&amp;DATE(O$4,O$5,1),Data!$B:$B,"&lt;="&amp;DATE(O$4,O$5,O$6),Data!$G:$G,$C$14,Data!$H:$H,$C23)</f>
        <v>0</v>
      </c>
      <c r="P23" s="76">
        <f t="shared" ca="1" si="3"/>
        <v>0</v>
      </c>
      <c r="Q23" s="77" t="e">
        <f t="shared" ca="1" si="7"/>
        <v>#DIV/0!</v>
      </c>
      <c r="R23" s="22"/>
      <c r="S23" s="22"/>
      <c r="T23" s="22"/>
    </row>
    <row r="24" spans="1:20" s="87" customFormat="1" ht="24.9" customHeight="1" x14ac:dyDescent="0.3">
      <c r="A24" s="36" t="s">
        <v>18</v>
      </c>
      <c r="B24" s="37"/>
      <c r="C24" s="172"/>
      <c r="D24" s="34">
        <f t="shared" ref="D24:E24" ca="1" si="8">D25+D26</f>
        <v>0</v>
      </c>
      <c r="E24" s="34">
        <f t="shared" ca="1" si="8"/>
        <v>0</v>
      </c>
      <c r="F24" s="34">
        <f ca="1">F25+F26</f>
        <v>0</v>
      </c>
      <c r="G24" s="34">
        <f t="shared" ref="G24:O24" ca="1" si="9">G25+G26</f>
        <v>0</v>
      </c>
      <c r="H24" s="34">
        <f t="shared" ca="1" si="9"/>
        <v>0</v>
      </c>
      <c r="I24" s="34">
        <f t="shared" ca="1" si="9"/>
        <v>0</v>
      </c>
      <c r="J24" s="34">
        <f t="shared" ca="1" si="9"/>
        <v>0</v>
      </c>
      <c r="K24" s="34">
        <f t="shared" ca="1" si="9"/>
        <v>0</v>
      </c>
      <c r="L24" s="34">
        <f t="shared" ca="1" si="9"/>
        <v>0</v>
      </c>
      <c r="M24" s="34">
        <f t="shared" ca="1" si="9"/>
        <v>0</v>
      </c>
      <c r="N24" s="34">
        <f t="shared" ca="1" si="9"/>
        <v>0</v>
      </c>
      <c r="O24" s="34">
        <f t="shared" ca="1" si="9"/>
        <v>0</v>
      </c>
      <c r="P24" s="34">
        <f ca="1">O24</f>
        <v>0</v>
      </c>
      <c r="Q24" s="35" t="e">
        <f t="shared" ca="1" si="7"/>
        <v>#DIV/0!</v>
      </c>
      <c r="R24" s="85"/>
      <c r="S24" s="86"/>
    </row>
    <row r="25" spans="1:20" s="87" customFormat="1" ht="24.9" customHeight="1" x14ac:dyDescent="0.3">
      <c r="A25" s="21"/>
      <c r="B25" s="120" t="str">
        <f>Classification!A28</f>
        <v>Tiền mặt quỹ</v>
      </c>
      <c r="C25" s="168" t="str">
        <f>Classification!C28</f>
        <v>Cash</v>
      </c>
      <c r="D25" s="88">
        <f ca="1">SUMIFS(Data!$J:$J,Data!$B:$B,"&lt;="&amp;DATE(D$4,D$5,D$6),Data!$I:$I,$C25)-SUMIFS(Data!$K:$K,Data!$B:$B,"&lt;="&amp;DATE(D$4,D$5,D$6),Data!$I:$I,$C25)</f>
        <v>0</v>
      </c>
      <c r="E25" s="88">
        <f ca="1">SUMIFS(Data!$J:$J,Data!$B:$B,"&lt;="&amp;DATE(E4,E5,E6),Data!$I:$I,$C25)-SUMIFS(Data!$K:$K,Data!$B:$B,"&lt;="&amp;DATE(E4,E5,E6),Data!$I:$I,$C25)</f>
        <v>0</v>
      </c>
      <c r="F25" s="88">
        <f ca="1">SUMIFS(Data!$J:$J,Data!$B:$B,"&lt;="&amp;DATE(F4,F5,F6),Data!$I:$I,$C25)-SUMIFS(Data!$K:$K,Data!$B:$B,"&lt;="&amp;DATE(F4,F5,F6),Data!$I:$I,$C25)</f>
        <v>0</v>
      </c>
      <c r="G25" s="88">
        <f ca="1">SUMIFS(Data!$J:$J,Data!$B:$B,"&lt;="&amp;DATE(G4,G5,G6),Data!$I:$I,$C25)-SUMIFS(Data!$K:$K,Data!$B:$B,"&lt;="&amp;DATE(G4,G5,G6),Data!$I:$I,$C25)</f>
        <v>0</v>
      </c>
      <c r="H25" s="88">
        <f ca="1">SUMIFS(Data!$J:$J,Data!$B:$B,"&lt;="&amp;DATE(H4,H5,H6),Data!$I:$I,$C25)-SUMIFS(Data!$K:$K,Data!$B:$B,"&lt;="&amp;DATE(H4,H5,H6),Data!$I:$I,$C25)</f>
        <v>0</v>
      </c>
      <c r="I25" s="88">
        <f ca="1">SUMIFS(Data!$J:$J,Data!$B:$B,"&lt;="&amp;DATE(I4,I5,I6),Data!$I:$I,$C25)-SUMIFS(Data!$K:$K,Data!$B:$B,"&lt;="&amp;DATE(I4,I5,I6),Data!$I:$I,$C25)</f>
        <v>0</v>
      </c>
      <c r="J25" s="88">
        <f ca="1">SUMIFS(Data!$J:$J,Data!$B:$B,"&lt;="&amp;DATE(J4,J5,J6),Data!$I:$I,$C25)-SUMIFS(Data!$K:$K,Data!$B:$B,"&lt;="&amp;DATE(J4,J5,J6),Data!$I:$I,$C25)</f>
        <v>0</v>
      </c>
      <c r="K25" s="88">
        <f ca="1">SUMIFS(Data!$J:$J,Data!$B:$B,"&lt;="&amp;DATE(K4,K5,K6),Data!$I:$I,$C25)-SUMIFS(Data!$K:$K,Data!$B:$B,"&lt;="&amp;DATE(K4,K5,K6),Data!$I:$I,$C25)</f>
        <v>0</v>
      </c>
      <c r="L25" s="88">
        <f ca="1">SUMIFS(Data!$J:$J,Data!$B:$B,"&lt;="&amp;DATE(L4,L5,L6),Data!$I:$I,$C25)-SUMIFS(Data!$K:$K,Data!$B:$B,"&lt;="&amp;DATE(L4,L5,L6),Data!$I:$I,$C25)</f>
        <v>0</v>
      </c>
      <c r="M25" s="88">
        <f ca="1">SUMIFS(Data!$J:$J,Data!$B:$B,"&lt;="&amp;DATE(M4,M5,M6),Data!$I:$I,$C25)-SUMIFS(Data!$K:$K,Data!$B:$B,"&lt;="&amp;DATE(M4,M5,M6),Data!$I:$I,$C25)</f>
        <v>0</v>
      </c>
      <c r="N25" s="88">
        <f ca="1">SUMIFS(Data!$J:$J,Data!$B:$B,"&lt;="&amp;DATE(N4,N5,N6),Data!$I:$I,$C25)-SUMIFS(Data!$K:$K,Data!$B:$B,"&lt;="&amp;DATE(N4,N5,N6),Data!$I:$I,$C25)</f>
        <v>0</v>
      </c>
      <c r="O25" s="88">
        <f ca="1">SUMIFS(Data!$J:$J,Data!$B:$B,"&lt;="&amp;DATE(O4,O5,O6),Data!$I:$I,$C25)-SUMIFS(Data!$K:$K,Data!$B:$B,"&lt;="&amp;DATE(O4,O5,O6),Data!$I:$I,$C25)</f>
        <v>0</v>
      </c>
      <c r="P25" s="58">
        <f ca="1">O25</f>
        <v>0</v>
      </c>
      <c r="Q25" s="118"/>
      <c r="R25" s="86"/>
      <c r="S25" s="122"/>
    </row>
    <row r="26" spans="1:20" s="87" customFormat="1" ht="24.9" customHeight="1" x14ac:dyDescent="0.3">
      <c r="A26" s="38"/>
      <c r="B26" s="121" t="str">
        <f>Classification!A29</f>
        <v>Ngân hàng nội bộ</v>
      </c>
      <c r="C26" s="169" t="str">
        <f>Classification!C29</f>
        <v>I-TCB</v>
      </c>
      <c r="D26" s="89">
        <f ca="1">SUMIFS(Data!$J:$J,Data!$B:$B,"&lt;="&amp;DATE(D$4,D$5,D$6),Data!$I:$I,$C26)-SUMIFS(Data!$K:$K,Data!$B:$B,"&lt;="&amp;DATE(D$4,D$5,D$6),Data!$I:$I,$C26)</f>
        <v>0</v>
      </c>
      <c r="E26" s="89">
        <f ca="1">SUMIFS(Data!$J:$J,Data!$B:$B,"&lt;="&amp;DATE(E$4,E$5,E$6),Data!$I:$I,$C26)-SUMIFS(Data!$K:$K,Data!$B:$B,"&lt;="&amp;DATE(E$4,E$5,E$6),Data!$I:$I,$C26)</f>
        <v>0</v>
      </c>
      <c r="F26" s="89">
        <f ca="1">SUMIFS(Data!$J:$J,Data!$B:$B,"&lt;="&amp;DATE(F$4,F$5,F$6),Data!$I:$I,$C26)-SUMIFS(Data!$K:$K,Data!$B:$B,"&lt;="&amp;DATE(F$4,F$5,F$6),Data!$I:$I,$C26)</f>
        <v>0</v>
      </c>
      <c r="G26" s="89">
        <f ca="1">SUMIFS(Data!$J:$J,Data!$B:$B,"&lt;="&amp;DATE(G$4,G$5,G$6),Data!$I:$I,$C26)-SUMIFS(Data!$K:$K,Data!$B:$B,"&lt;="&amp;DATE(G$4,G$5,G$6),Data!$I:$I,$C26)</f>
        <v>0</v>
      </c>
      <c r="H26" s="89">
        <f ca="1">SUMIFS(Data!$J:$J,Data!$B:$B,"&lt;="&amp;DATE(H$4,H$5,H$6),Data!$I:$I,$C26)-SUMIFS(Data!$K:$K,Data!$B:$B,"&lt;="&amp;DATE(H$4,H$5,H$6),Data!$I:$I,$C26)</f>
        <v>0</v>
      </c>
      <c r="I26" s="89">
        <f ca="1">SUMIFS(Data!$J:$J,Data!$B:$B,"&lt;="&amp;DATE(I$4,I$5,I$6),Data!$I:$I,$C26)-SUMIFS(Data!$K:$K,Data!$B:$B,"&lt;="&amp;DATE(I$4,I$5,I$6),Data!$I:$I,$C26)</f>
        <v>0</v>
      </c>
      <c r="J26" s="89">
        <f ca="1">SUMIFS(Data!$J:$J,Data!$B:$B,"&lt;="&amp;DATE(J$4,J$5,J$6),Data!$I:$I,$C26)-SUMIFS(Data!$K:$K,Data!$B:$B,"&lt;="&amp;DATE(J$4,J$5,J$6),Data!$I:$I,$C26)</f>
        <v>0</v>
      </c>
      <c r="K26" s="89">
        <f ca="1">SUMIFS(Data!$J:$J,Data!$B:$B,"&lt;="&amp;DATE(K$4,K$5,K$6),Data!$I:$I,$C26)-SUMIFS(Data!$K:$K,Data!$B:$B,"&lt;="&amp;DATE(K$4,K$5,K$6),Data!$I:$I,$C26)</f>
        <v>0</v>
      </c>
      <c r="L26" s="89">
        <f ca="1">SUMIFS(Data!$J:$J,Data!$B:$B,"&lt;="&amp;DATE(L$4,L$5,L$6),Data!$I:$I,$C26)-SUMIFS(Data!$K:$K,Data!$B:$B,"&lt;="&amp;DATE(L$4,L$5,L$6),Data!$I:$I,$C26)</f>
        <v>0</v>
      </c>
      <c r="M26" s="89">
        <f ca="1">SUMIFS(Data!$J:$J,Data!$B:$B,"&lt;="&amp;DATE(M$4,M$5,M$6),Data!$I:$I,$C26)-SUMIFS(Data!$K:$K,Data!$B:$B,"&lt;="&amp;DATE(M$4,M$5,M$6),Data!$I:$I,$C26)</f>
        <v>0</v>
      </c>
      <c r="N26" s="89">
        <f ca="1">SUMIFS(Data!$J:$J,Data!$B:$B,"&lt;="&amp;DATE(N$4,N$5,N$6),Data!$I:$I,$C26)-SUMIFS(Data!$K:$K,Data!$B:$B,"&lt;="&amp;DATE(N$4,N$5,N$6),Data!$I:$I,$C26)</f>
        <v>0</v>
      </c>
      <c r="O26" s="89">
        <f ca="1">SUMIFS(Data!$J:$J,Data!$B:$B,"&lt;="&amp;DATE(O$4,O$5,O$6),Data!$I:$I,$C26)-SUMIFS(Data!$K:$K,Data!$B:$B,"&lt;="&amp;DATE(O$4,O$5,O$6),Data!$I:$I,$C26)</f>
        <v>0</v>
      </c>
      <c r="P26" s="64">
        <f ca="1">O26</f>
        <v>0</v>
      </c>
      <c r="Q26" s="119"/>
      <c r="R26" s="86"/>
      <c r="S26" s="122"/>
    </row>
    <row r="27" spans="1:2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91"/>
      <c r="P27" s="90"/>
      <c r="Q27" s="3"/>
    </row>
    <row r="28" spans="1:2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2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3"/>
      <c r="R30" s="32"/>
    </row>
    <row r="31" spans="1:2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2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</sheetData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P54"/>
  <sheetViews>
    <sheetView view="pageBreakPreview" zoomScale="85" zoomScaleNormal="85" zoomScaleSheetLayoutView="85" workbookViewId="0">
      <selection activeCell="J5" sqref="J5"/>
    </sheetView>
  </sheetViews>
  <sheetFormatPr defaultRowHeight="14.4" x14ac:dyDescent="0.3"/>
  <cols>
    <col min="1" max="1" width="13.6640625" customWidth="1"/>
    <col min="2" max="2" width="13.5546875" customWidth="1"/>
    <col min="3" max="3" width="7.109375" customWidth="1"/>
    <col min="4" max="4" width="14" customWidth="1"/>
    <col min="5" max="5" width="11.44140625" customWidth="1"/>
    <col min="6" max="6" width="15.5546875" customWidth="1"/>
    <col min="7" max="7" width="13.88671875" customWidth="1"/>
    <col min="9" max="9" width="9.44140625" customWidth="1"/>
    <col min="10" max="10" width="12" customWidth="1"/>
    <col min="11" max="11" width="5" customWidth="1"/>
    <col min="12" max="12" width="13" customWidth="1"/>
    <col min="13" max="13" width="12.33203125" style="84" customWidth="1"/>
    <col min="15" max="15" width="11.5546875" bestFit="1" customWidth="1"/>
  </cols>
  <sheetData>
    <row r="1" spans="1:15" ht="20.100000000000001" customHeight="1" x14ac:dyDescent="0.3">
      <c r="A1" s="54" t="s">
        <v>25</v>
      </c>
      <c r="B1" s="39"/>
      <c r="C1" s="40"/>
      <c r="D1" s="40"/>
      <c r="E1" s="40"/>
      <c r="F1" s="41"/>
      <c r="G1" s="3"/>
      <c r="H1" s="43"/>
      <c r="I1" s="43"/>
      <c r="J1" s="3"/>
      <c r="L1" s="40"/>
      <c r="M1" s="163" t="str">
        <f>"Mẫu số 0"&amp;IF(LEFT($L$7,2)="PT",1,2)&amp;"-TT"</f>
        <v>Mẫu số 02-TT</v>
      </c>
    </row>
    <row r="2" spans="1:15" ht="20.100000000000001" customHeight="1" x14ac:dyDescent="0.3">
      <c r="A2" s="52"/>
      <c r="B2" s="39"/>
      <c r="C2" s="40"/>
      <c r="D2" s="40"/>
      <c r="E2" s="40"/>
      <c r="F2" s="3"/>
      <c r="G2" s="41"/>
      <c r="H2" s="41"/>
      <c r="I2" s="41"/>
      <c r="J2" s="3"/>
      <c r="K2" s="42"/>
      <c r="L2" s="40"/>
      <c r="M2" s="161" t="s">
        <v>73</v>
      </c>
    </row>
    <row r="3" spans="1:15" ht="20.100000000000001" customHeight="1" x14ac:dyDescent="0.3">
      <c r="A3" s="40"/>
      <c r="B3" s="40"/>
      <c r="C3" s="40"/>
      <c r="D3" s="40"/>
      <c r="E3" s="40"/>
      <c r="F3" s="41"/>
      <c r="G3" s="40"/>
      <c r="H3" s="41"/>
      <c r="I3" s="41"/>
      <c r="J3" s="3"/>
      <c r="K3" s="42"/>
      <c r="L3" s="40"/>
      <c r="M3" s="39"/>
    </row>
    <row r="4" spans="1:15" ht="30" customHeight="1" x14ac:dyDescent="0.5">
      <c r="A4" s="44"/>
      <c r="B4" s="44"/>
      <c r="C4" s="44"/>
      <c r="D4" s="44"/>
      <c r="E4" s="3"/>
      <c r="F4" s="244" t="str">
        <f>"PHIẾU "&amp;IF(MID($L$7,3,2)="PT","THU","CHI")</f>
        <v>PHIẾU CHI</v>
      </c>
      <c r="G4" s="244"/>
      <c r="H4" s="44"/>
      <c r="I4" s="44"/>
      <c r="J4" s="44"/>
      <c r="K4" s="44"/>
      <c r="L4" s="44"/>
      <c r="M4" s="44"/>
    </row>
    <row r="5" spans="1:15" ht="20.100000000000001" customHeight="1" x14ac:dyDescent="0.35">
      <c r="A5" s="45"/>
      <c r="B5" s="45"/>
      <c r="C5" s="45"/>
      <c r="D5" s="45"/>
      <c r="E5" s="240" t="e">
        <f>IF(MID($L$7,3,2)="PT",INDEX(Data!$B:$B,MATCH($L$7,Data!$A:$A,0)),INDEX(Data!$B:$B,MATCH($L$7,Data!A:A,0)))</f>
        <v>#N/A</v>
      </c>
      <c r="F5" s="240"/>
      <c r="G5" s="240"/>
      <c r="H5" s="240"/>
      <c r="I5" s="45"/>
      <c r="J5" s="45"/>
      <c r="K5" s="45"/>
      <c r="L5" s="45"/>
      <c r="M5" s="81"/>
    </row>
    <row r="6" spans="1:15" ht="20.100000000000001" customHeight="1" x14ac:dyDescent="0.3">
      <c r="A6" s="46"/>
      <c r="B6" s="46"/>
      <c r="C6" s="46"/>
      <c r="D6" s="47"/>
      <c r="E6" s="47"/>
      <c r="F6" s="48"/>
      <c r="G6" s="49"/>
      <c r="H6" s="50"/>
      <c r="I6" s="46"/>
      <c r="J6" s="3"/>
      <c r="K6" s="123" t="s">
        <v>37</v>
      </c>
      <c r="L6" s="82" t="s">
        <v>48</v>
      </c>
    </row>
    <row r="7" spans="1:15" ht="20.100000000000001" customHeight="1" x14ac:dyDescent="0.3">
      <c r="A7" s="46"/>
      <c r="B7" s="46"/>
      <c r="C7" s="46"/>
      <c r="D7" s="47"/>
      <c r="E7" s="47"/>
      <c r="F7" s="48"/>
      <c r="G7" s="49"/>
      <c r="H7" s="50"/>
      <c r="I7" s="46"/>
      <c r="J7" s="3"/>
      <c r="K7" s="123" t="s">
        <v>26</v>
      </c>
      <c r="L7" s="114" t="s">
        <v>177</v>
      </c>
      <c r="M7" s="159"/>
    </row>
    <row r="8" spans="1:15" ht="20.100000000000001" customHeight="1" x14ac:dyDescent="0.3">
      <c r="A8" s="51"/>
      <c r="B8" s="51"/>
      <c r="C8" s="51"/>
      <c r="D8" s="51"/>
      <c r="E8" s="51"/>
      <c r="F8" s="51"/>
      <c r="G8" s="51"/>
      <c r="H8" s="51"/>
      <c r="I8" s="51"/>
      <c r="J8" s="3"/>
      <c r="K8" s="124" t="s">
        <v>27</v>
      </c>
      <c r="L8" s="83"/>
    </row>
    <row r="9" spans="1:15" s="130" customFormat="1" ht="20.100000000000001" customHeight="1" x14ac:dyDescent="0.35">
      <c r="A9" s="125" t="str">
        <f>"Họ và tên người "&amp;IF(MID($L$7,3,2)="PT","nộp","nhận")&amp;" tiền:"</f>
        <v>Họ và tên người nhận tiền:</v>
      </c>
      <c r="B9" s="125"/>
      <c r="C9" s="126"/>
      <c r="D9" s="125" t="e">
        <f>IF(MID($L$7,3,2)="PT",INDEX(Data!C:C,MATCH($L$7,Data!$A:$A,0)),INDEX(Data!C:C,MATCH($L$7,Data!A:A,0)))</f>
        <v>#N/A</v>
      </c>
      <c r="E9" s="125"/>
      <c r="F9" s="125"/>
      <c r="G9" s="125"/>
      <c r="H9" s="125"/>
      <c r="I9" s="125"/>
      <c r="J9" s="127"/>
      <c r="K9" s="128" t="s">
        <v>38</v>
      </c>
      <c r="L9" s="129"/>
      <c r="M9" s="127"/>
      <c r="O9" s="130" t="s">
        <v>4</v>
      </c>
    </row>
    <row r="10" spans="1:15" s="130" customFormat="1" ht="20.100000000000001" customHeight="1" x14ac:dyDescent="0.35">
      <c r="A10" s="125" t="s">
        <v>28</v>
      </c>
      <c r="B10" s="125"/>
      <c r="C10" s="125" t="e">
        <f>IF(MID($L$7,3,2)="PT",INDEX(Data!$D:$D,MATCH($L$7,Data!$A:$A,0)),INDEX(Data!$D:$D,MATCH($L$7,Data!A:A,0)))</f>
        <v>#N/A</v>
      </c>
      <c r="D10" s="127"/>
      <c r="E10" s="125"/>
      <c r="F10" s="125"/>
      <c r="G10" s="125"/>
      <c r="H10" s="125"/>
      <c r="I10" s="125"/>
      <c r="J10" s="125"/>
      <c r="K10" s="125"/>
      <c r="L10" s="125"/>
      <c r="M10" s="129"/>
    </row>
    <row r="11" spans="1:15" s="130" customFormat="1" ht="20.100000000000001" customHeight="1" x14ac:dyDescent="0.35">
      <c r="A11" s="131" t="str">
        <f>"Lý do "&amp;IF(MID($L$7,3,2)="PT","nộp:","chi:")</f>
        <v>Lý do chi:</v>
      </c>
      <c r="B11" s="127"/>
      <c r="C11" s="132" t="e">
        <f>IF(MID($L$7,3,2)="PT",INDEX(Data!$E:$E,MATCH($L$7,Data!$A:$A,0)),INDEX(Data!$E:$E,MATCH($L$7,Data!A:A,0)))</f>
        <v>#N/A</v>
      </c>
      <c r="D11" s="127"/>
      <c r="E11" s="133"/>
      <c r="F11" s="133"/>
      <c r="G11" s="133"/>
      <c r="H11" s="133"/>
      <c r="I11" s="133"/>
      <c r="J11" s="133"/>
      <c r="K11" s="133"/>
      <c r="L11" s="133"/>
      <c r="M11" s="133"/>
    </row>
    <row r="12" spans="1:15" s="130" customFormat="1" ht="20.100000000000001" customHeight="1" x14ac:dyDescent="0.35">
      <c r="A12" s="125" t="s">
        <v>29</v>
      </c>
      <c r="B12" s="127"/>
      <c r="C12" s="249" t="e">
        <f>IF(MID($L$7,3,2)="PT",INDEX(Data!$J:$J,MATCH($L$7,Data!$A:$A,0)),INDEX(Data!$K:$K,MATCH($L$7,Data!A:A,0)))</f>
        <v>#N/A</v>
      </c>
      <c r="D12" s="249"/>
      <c r="E12" s="125"/>
      <c r="F12" s="125"/>
      <c r="G12" s="125"/>
      <c r="H12" s="125"/>
      <c r="I12" s="125"/>
      <c r="J12" s="125"/>
      <c r="K12" s="125"/>
      <c r="L12" s="125"/>
      <c r="M12" s="129"/>
    </row>
    <row r="13" spans="1:15" s="130" customFormat="1" ht="20.100000000000001" customHeight="1" x14ac:dyDescent="0.35">
      <c r="A13" s="134" t="s">
        <v>30</v>
      </c>
      <c r="B13" s="134"/>
      <c r="C13" s="247" t="e">
        <f ca="1">[7]!VND(C12)</f>
        <v>#NAME?</v>
      </c>
      <c r="D13" s="247"/>
      <c r="E13" s="247"/>
      <c r="F13" s="247"/>
      <c r="G13" s="247"/>
      <c r="H13" s="247"/>
      <c r="I13" s="247"/>
      <c r="J13" s="247"/>
      <c r="K13" s="247"/>
      <c r="L13" s="247"/>
      <c r="M13" s="247"/>
    </row>
    <row r="14" spans="1:15" s="130" customFormat="1" ht="20.100000000000001" customHeight="1" x14ac:dyDescent="0.35">
      <c r="A14" s="125" t="s">
        <v>31</v>
      </c>
      <c r="B14" s="125" t="s">
        <v>43</v>
      </c>
      <c r="C14" s="135" t="s">
        <v>32</v>
      </c>
      <c r="D14" s="135"/>
      <c r="E14" s="136" t="s">
        <v>44</v>
      </c>
      <c r="F14" s="136"/>
      <c r="G14" s="136"/>
      <c r="H14" s="136"/>
      <c r="I14" s="136"/>
      <c r="J14" s="136"/>
      <c r="K14" s="136"/>
      <c r="L14" s="136"/>
      <c r="M14" s="129"/>
    </row>
    <row r="15" spans="1:15" s="130" customFormat="1" ht="20.100000000000001" customHeight="1" x14ac:dyDescent="0.35">
      <c r="A15" s="125"/>
      <c r="B15" s="125"/>
      <c r="C15" s="125"/>
      <c r="D15" s="125"/>
      <c r="E15" s="125"/>
      <c r="F15" s="125"/>
      <c r="G15" s="125"/>
      <c r="H15" s="137"/>
      <c r="J15" s="240" t="e">
        <f>E5</f>
        <v>#N/A</v>
      </c>
      <c r="K15" s="240"/>
      <c r="L15" s="240"/>
      <c r="M15" s="240"/>
    </row>
    <row r="16" spans="1:15" s="130" customFormat="1" ht="20.100000000000001" customHeight="1" x14ac:dyDescent="0.35">
      <c r="A16" s="242" t="s">
        <v>33</v>
      </c>
      <c r="B16" s="242"/>
      <c r="C16" s="242" t="s">
        <v>39</v>
      </c>
      <c r="D16" s="242"/>
      <c r="E16" s="242"/>
      <c r="F16" s="242" t="str">
        <f>"Người "&amp;IF(MID($L$7,3,2)="PT","nộp","nhận")&amp;" tiền"</f>
        <v>Người nhận tiền</v>
      </c>
      <c r="G16" s="242"/>
      <c r="H16" s="127"/>
      <c r="I16" s="242" t="s">
        <v>47</v>
      </c>
      <c r="J16" s="242"/>
      <c r="K16" s="134"/>
      <c r="L16" s="242" t="s">
        <v>34</v>
      </c>
      <c r="M16" s="242"/>
    </row>
    <row r="17" spans="1:13" s="130" customFormat="1" ht="20.100000000000001" customHeight="1" x14ac:dyDescent="0.35">
      <c r="A17" s="243" t="s">
        <v>35</v>
      </c>
      <c r="B17" s="243"/>
      <c r="C17" s="134"/>
      <c r="D17" s="138" t="s">
        <v>36</v>
      </c>
      <c r="E17" s="134"/>
      <c r="F17" s="243" t="s">
        <v>36</v>
      </c>
      <c r="G17" s="243"/>
      <c r="H17" s="127"/>
      <c r="I17" s="243" t="s">
        <v>36</v>
      </c>
      <c r="J17" s="243"/>
      <c r="K17" s="134"/>
      <c r="L17" s="243" t="s">
        <v>36</v>
      </c>
      <c r="M17" s="243"/>
    </row>
    <row r="18" spans="1:13" s="130" customFormat="1" ht="20.100000000000001" customHeight="1" x14ac:dyDescent="0.35">
      <c r="A18" s="134"/>
      <c r="B18" s="134"/>
      <c r="C18" s="134"/>
      <c r="D18" s="134"/>
      <c r="E18" s="134"/>
      <c r="F18" s="127"/>
      <c r="G18" s="134"/>
      <c r="H18" s="134"/>
      <c r="I18" s="134"/>
      <c r="J18" s="134"/>
      <c r="K18" s="134"/>
      <c r="L18" s="134"/>
      <c r="M18" s="139"/>
    </row>
    <row r="19" spans="1:13" s="130" customFormat="1" ht="20.100000000000001" customHeight="1" x14ac:dyDescent="0.35">
      <c r="A19" s="134"/>
      <c r="B19" s="134"/>
      <c r="C19" s="134"/>
      <c r="D19" s="134"/>
      <c r="E19" s="134"/>
      <c r="F19" s="127"/>
      <c r="G19" s="134"/>
      <c r="H19" s="134"/>
      <c r="I19" s="134"/>
      <c r="J19" s="134"/>
      <c r="K19" s="134"/>
      <c r="L19" s="134"/>
      <c r="M19" s="139"/>
    </row>
    <row r="20" spans="1:13" s="130" customFormat="1" ht="20.100000000000001" customHeight="1" x14ac:dyDescent="0.35">
      <c r="A20" s="134"/>
      <c r="B20" s="134"/>
      <c r="C20" s="134"/>
      <c r="D20" s="134"/>
      <c r="E20" s="134"/>
      <c r="F20" s="127"/>
      <c r="G20" s="134"/>
      <c r="H20" s="134"/>
      <c r="I20" s="134"/>
      <c r="J20" s="134"/>
      <c r="K20" s="127"/>
      <c r="L20" s="134"/>
      <c r="M20" s="139"/>
    </row>
    <row r="21" spans="1:13" s="130" customFormat="1" ht="20.100000000000001" customHeight="1" x14ac:dyDescent="0.35">
      <c r="A21" s="241" t="s">
        <v>41</v>
      </c>
      <c r="B21" s="241"/>
      <c r="C21" s="241" t="s">
        <v>42</v>
      </c>
      <c r="D21" s="241"/>
      <c r="E21" s="241"/>
      <c r="F21" s="241" t="e">
        <f>D9</f>
        <v>#N/A</v>
      </c>
      <c r="G21" s="241"/>
      <c r="H21" s="127"/>
      <c r="I21" s="134" t="s">
        <v>175</v>
      </c>
      <c r="J21" s="134"/>
      <c r="K21" s="134"/>
      <c r="L21" s="241" t="s">
        <v>175</v>
      </c>
      <c r="M21" s="241"/>
    </row>
    <row r="22" spans="1:13" s="130" customFormat="1" ht="20.100000000000001" customHeight="1" x14ac:dyDescent="0.35">
      <c r="A22" s="140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9"/>
    </row>
    <row r="23" spans="1:13" s="130" customFormat="1" ht="20.100000000000001" customHeight="1" x14ac:dyDescent="0.35">
      <c r="A23" s="134" t="s">
        <v>40</v>
      </c>
      <c r="B23" s="134"/>
      <c r="C23" s="134"/>
      <c r="D23" s="134"/>
      <c r="E23" s="134" t="s">
        <v>72</v>
      </c>
      <c r="F23" s="134"/>
      <c r="G23" s="134"/>
      <c r="H23" s="134"/>
      <c r="I23" s="134"/>
      <c r="J23" s="134"/>
      <c r="K23" s="134"/>
      <c r="L23" s="134"/>
      <c r="M23" s="139"/>
    </row>
    <row r="24" spans="1:13" s="130" customFormat="1" ht="20.100000000000001" customHeight="1" x14ac:dyDescent="0.35">
      <c r="A24" s="140" t="s">
        <v>45</v>
      </c>
      <c r="B24" s="140"/>
      <c r="C24" s="134"/>
      <c r="D24" s="134"/>
      <c r="E24" s="134" t="s">
        <v>72</v>
      </c>
      <c r="F24" s="134"/>
      <c r="G24" s="134"/>
      <c r="H24" s="134"/>
      <c r="I24" s="134"/>
      <c r="J24" s="134"/>
      <c r="K24" s="134"/>
      <c r="L24" s="134"/>
      <c r="M24" s="139"/>
    </row>
    <row r="25" spans="1:13" s="130" customFormat="1" ht="20.100000000000001" customHeight="1" x14ac:dyDescent="0.35">
      <c r="A25" s="140" t="s">
        <v>46</v>
      </c>
      <c r="B25" s="134"/>
      <c r="C25" s="134"/>
      <c r="D25" s="134"/>
      <c r="E25" s="134" t="s">
        <v>72</v>
      </c>
      <c r="F25" s="134"/>
      <c r="G25" s="134"/>
      <c r="H25" s="134"/>
      <c r="I25" s="134"/>
      <c r="J25" s="134"/>
      <c r="K25" s="134"/>
      <c r="L25" s="134"/>
      <c r="M25" s="139"/>
    </row>
    <row r="26" spans="1:13" s="130" customFormat="1" ht="20.100000000000001" customHeight="1" x14ac:dyDescent="0.35">
      <c r="A26" s="140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9"/>
    </row>
    <row r="27" spans="1:13" s="130" customFormat="1" ht="20.100000000000001" customHeight="1" x14ac:dyDescent="0.35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2"/>
    </row>
    <row r="28" spans="1:13" ht="20.100000000000001" customHeight="1" x14ac:dyDescent="0.3">
      <c r="A28" s="53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82"/>
    </row>
    <row r="29" spans="1:13" ht="20.100000000000001" customHeight="1" x14ac:dyDescent="0.3">
      <c r="A29" s="92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62" t="str">
        <f>"Mẫu số 0"&amp;IF(LEFT($L$7,2)="PT",1,2)&amp;"-TT"</f>
        <v>Mẫu số 02-TT</v>
      </c>
    </row>
    <row r="30" spans="1:13" ht="20.100000000000001" customHeight="1" x14ac:dyDescent="0.3">
      <c r="A30" s="54"/>
      <c r="B30" s="39"/>
      <c r="C30" s="40"/>
      <c r="D30" s="40"/>
      <c r="E30" s="40"/>
      <c r="F30" s="41"/>
      <c r="G30" s="3"/>
      <c r="H30" s="43"/>
      <c r="I30" s="160"/>
      <c r="J30" s="3"/>
      <c r="L30" s="40"/>
      <c r="M30" s="161" t="s">
        <v>73</v>
      </c>
    </row>
    <row r="31" spans="1:13" ht="20.100000000000001" customHeight="1" x14ac:dyDescent="0.3">
      <c r="A31" s="52"/>
      <c r="B31" s="39"/>
      <c r="C31" s="40"/>
      <c r="D31" s="40"/>
      <c r="E31" s="40"/>
      <c r="F31" s="3"/>
      <c r="G31" s="41"/>
      <c r="H31" s="41"/>
      <c r="I31" s="41"/>
      <c r="J31" s="3"/>
      <c r="K31" s="42"/>
      <c r="L31" s="40"/>
      <c r="M31" s="40"/>
    </row>
    <row r="32" spans="1:13" ht="20.100000000000001" customHeight="1" x14ac:dyDescent="0.3">
      <c r="A32" s="40"/>
      <c r="B32" s="40"/>
      <c r="C32" s="40"/>
      <c r="D32" s="40"/>
      <c r="E32" s="40"/>
      <c r="F32" s="41"/>
      <c r="G32" s="40"/>
      <c r="H32" s="41"/>
      <c r="I32" s="41"/>
      <c r="J32" s="3"/>
      <c r="K32" s="42"/>
      <c r="L32" s="40"/>
      <c r="M32" s="39"/>
    </row>
    <row r="33" spans="1:16" ht="30" customHeight="1" x14ac:dyDescent="0.5">
      <c r="A33" s="44"/>
      <c r="B33" s="44"/>
      <c r="C33" s="44"/>
      <c r="D33" s="44"/>
      <c r="E33" s="3"/>
      <c r="F33" s="244" t="str">
        <f>"PHIẾU "&amp;IF(MID($L$35,3,2)="PT","THU","CHI")</f>
        <v>PHIẾU CHI</v>
      </c>
      <c r="G33" s="244"/>
      <c r="H33" s="44"/>
      <c r="I33" s="44"/>
      <c r="J33" s="44"/>
      <c r="K33" s="44"/>
      <c r="L33" s="44"/>
      <c r="M33" s="44"/>
    </row>
    <row r="34" spans="1:16" s="130" customFormat="1" ht="20.100000000000001" customHeight="1" x14ac:dyDescent="0.35">
      <c r="A34" s="143"/>
      <c r="B34" s="143"/>
      <c r="C34" s="143"/>
      <c r="D34" s="143"/>
      <c r="E34" s="240" t="e">
        <f>IF(MID($L$35,3,2)="PT",INDEX(Data!$B:$B,MATCH($L$35,Data!$A:$A,0)),INDEX(Data!$B:$B,MATCH($L$35,Data!A:A,0)))</f>
        <v>#N/A</v>
      </c>
      <c r="F34" s="240"/>
      <c r="G34" s="240"/>
      <c r="H34" s="240"/>
      <c r="I34" s="143"/>
      <c r="J34" s="143"/>
      <c r="K34" s="155" t="s">
        <v>37</v>
      </c>
      <c r="L34" s="144" t="s">
        <v>48</v>
      </c>
      <c r="M34" s="127"/>
    </row>
    <row r="35" spans="1:16" s="130" customFormat="1" ht="20.100000000000001" customHeight="1" x14ac:dyDescent="0.35">
      <c r="A35" s="134"/>
      <c r="B35" s="134"/>
      <c r="C35" s="134"/>
      <c r="D35" s="145"/>
      <c r="E35" s="145"/>
      <c r="F35" s="138"/>
      <c r="G35" s="146"/>
      <c r="H35" s="147"/>
      <c r="I35" s="134"/>
      <c r="J35" s="127"/>
      <c r="K35" s="156" t="s">
        <v>26</v>
      </c>
      <c r="L35" s="164" t="s">
        <v>177</v>
      </c>
      <c r="M35" s="158"/>
    </row>
    <row r="36" spans="1:16" s="130" customFormat="1" ht="20.100000000000001" customHeight="1" x14ac:dyDescent="0.35">
      <c r="A36" s="134"/>
      <c r="B36" s="134"/>
      <c r="C36" s="134"/>
      <c r="D36" s="145"/>
      <c r="E36" s="145"/>
      <c r="F36" s="138"/>
      <c r="G36" s="146"/>
      <c r="H36" s="147"/>
      <c r="I36" s="134"/>
      <c r="J36" s="127"/>
      <c r="K36" s="156" t="s">
        <v>27</v>
      </c>
      <c r="L36" s="148" t="s">
        <v>49</v>
      </c>
      <c r="M36" s="127"/>
    </row>
    <row r="37" spans="1:16" s="130" customFormat="1" ht="20.100000000000001" customHeight="1" x14ac:dyDescent="0.35">
      <c r="A37" s="125" t="str">
        <f>"Họ và tên người "&amp;IF(MID($L$35,3,2)="PT","nộp","nhận")&amp;" tiền:"</f>
        <v>Họ và tên người nhận tiền:</v>
      </c>
      <c r="B37" s="125"/>
      <c r="C37" s="125"/>
      <c r="D37" s="125" t="e">
        <f>IF(MID($L$35,3,2)="PT",INDEX(Data!C:C,MATCH($L$35,Data!$A:$A,0)),INDEX(Data!C:C,MATCH($L$35,Data!A:A,0)))</f>
        <v>#N/A</v>
      </c>
      <c r="E37" s="125"/>
      <c r="F37" s="125"/>
      <c r="G37" s="125"/>
      <c r="H37" s="125"/>
      <c r="I37" s="125"/>
      <c r="J37" s="127"/>
      <c r="K37" s="157" t="s">
        <v>38</v>
      </c>
      <c r="L37" s="129" t="s">
        <v>50</v>
      </c>
      <c r="M37" s="127"/>
    </row>
    <row r="38" spans="1:16" s="130" customFormat="1" ht="20.100000000000001" customHeight="1" x14ac:dyDescent="0.35">
      <c r="A38" s="125" t="s">
        <v>28</v>
      </c>
      <c r="B38" s="125"/>
      <c r="C38" s="125" t="e">
        <f>IF(MID($L$35,3,2)="PT",INDEX(Data!$D:$D,MATCH($L$35,Data!$A:$A,0)),INDEX(Data!$D:$D,MATCH($L$35,Data!A:A,0)))</f>
        <v>#N/A</v>
      </c>
      <c r="E38" s="125"/>
      <c r="F38" s="125"/>
      <c r="G38" s="125"/>
      <c r="H38" s="125"/>
      <c r="I38" s="125"/>
      <c r="J38" s="127"/>
      <c r="K38" s="127"/>
      <c r="L38" s="131"/>
      <c r="M38" s="129"/>
    </row>
    <row r="39" spans="1:16" s="130" customFormat="1" ht="20.100000000000001" customHeight="1" x14ac:dyDescent="0.35">
      <c r="A39" s="125" t="str">
        <f>"Lý do "&amp;IF(MID(L35,3,2)="PT","nộp:","chi:")</f>
        <v>Lý do chi:</v>
      </c>
      <c r="B39" s="125"/>
      <c r="C39" s="238" t="e">
        <f>IF(MID($L$35,3,2)="PT",INDEX(Data!$E:$E,MATCH($L$35,Data!$A:$A,0)),INDEX(Data!$E:$E,MATCH($L$35,Data!A:A,0)))</f>
        <v>#N/A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9"/>
    </row>
    <row r="40" spans="1:16" s="130" customFormat="1" ht="20.100000000000001" customHeight="1" x14ac:dyDescent="0.35">
      <c r="A40" s="131" t="s">
        <v>29</v>
      </c>
      <c r="B40" s="127"/>
      <c r="C40" s="246" t="e">
        <f>IF(MID($L$35,3,2)="PT",INDEX(Data!$J:$J,MATCH($L$35,Data!$A:$A,0)),INDEX(Data!$K:$K,MATCH($L$35,Data!A:A,0)))</f>
        <v>#N/A</v>
      </c>
      <c r="D40" s="246"/>
      <c r="E40" s="133"/>
      <c r="F40" s="133"/>
      <c r="G40" s="133"/>
      <c r="H40" s="133"/>
      <c r="I40" s="133"/>
      <c r="J40" s="133"/>
      <c r="K40" s="133"/>
      <c r="L40" s="133"/>
      <c r="M40" s="133"/>
    </row>
    <row r="41" spans="1:16" s="130" customFormat="1" ht="20.100000000000001" customHeight="1" x14ac:dyDescent="0.35">
      <c r="A41" s="125" t="s">
        <v>30</v>
      </c>
      <c r="B41" s="127"/>
      <c r="C41" s="245" t="e">
        <f ca="1">[7]!VND(C40)</f>
        <v>#NAME?</v>
      </c>
      <c r="D41" s="245"/>
      <c r="E41" s="245"/>
      <c r="F41" s="245"/>
      <c r="G41" s="245"/>
      <c r="H41" s="245"/>
      <c r="I41" s="245"/>
      <c r="J41" s="245"/>
      <c r="K41" s="245"/>
      <c r="L41" s="245"/>
      <c r="M41" s="245"/>
    </row>
    <row r="42" spans="1:16" s="130" customFormat="1" ht="20.100000000000001" customHeight="1" x14ac:dyDescent="0.35">
      <c r="A42" s="134" t="s">
        <v>31</v>
      </c>
      <c r="B42" s="134" t="s">
        <v>43</v>
      </c>
      <c r="C42" s="134" t="s">
        <v>32</v>
      </c>
      <c r="D42" s="134"/>
      <c r="E42" s="134" t="s">
        <v>44</v>
      </c>
      <c r="F42" s="134"/>
      <c r="G42" s="134"/>
      <c r="H42" s="134"/>
      <c r="I42" s="134"/>
      <c r="J42" s="134"/>
      <c r="K42" s="134"/>
      <c r="L42" s="134"/>
      <c r="M42" s="139"/>
    </row>
    <row r="43" spans="1:16" s="130" customFormat="1" ht="20.100000000000001" customHeight="1" x14ac:dyDescent="0.35">
      <c r="A43" s="125"/>
      <c r="B43" s="125"/>
      <c r="C43" s="135"/>
      <c r="D43" s="135"/>
      <c r="F43" s="135"/>
      <c r="G43" s="135"/>
      <c r="H43" s="135"/>
      <c r="I43" s="135"/>
      <c r="J43" s="239" t="e">
        <f>E34</f>
        <v>#N/A</v>
      </c>
      <c r="K43" s="239"/>
      <c r="L43" s="239"/>
      <c r="M43" s="239"/>
    </row>
    <row r="44" spans="1:16" s="130" customFormat="1" ht="20.100000000000001" customHeight="1" x14ac:dyDescent="0.35">
      <c r="A44" s="149" t="s">
        <v>33</v>
      </c>
      <c r="B44" s="149"/>
      <c r="C44" s="129"/>
      <c r="D44" s="149" t="s">
        <v>39</v>
      </c>
      <c r="E44" s="149"/>
      <c r="F44" s="149" t="str">
        <f>"Người "&amp;IF(MID($L$7,3,2)="PT","nộp","nhận")&amp;" tiền"</f>
        <v>Người nhận tiền</v>
      </c>
      <c r="G44" s="149"/>
      <c r="H44" s="150"/>
      <c r="I44" s="151" t="s">
        <v>47</v>
      </c>
      <c r="J44" s="151"/>
      <c r="K44" s="139"/>
      <c r="L44" s="151" t="s">
        <v>34</v>
      </c>
      <c r="M44" s="151"/>
    </row>
    <row r="45" spans="1:16" s="130" customFormat="1" ht="20.100000000000001" customHeight="1" x14ac:dyDescent="0.35">
      <c r="A45" s="152" t="s">
        <v>35</v>
      </c>
      <c r="B45" s="152"/>
      <c r="C45" s="145"/>
      <c r="D45" s="152" t="s">
        <v>36</v>
      </c>
      <c r="E45" s="152"/>
      <c r="F45" s="152" t="s">
        <v>36</v>
      </c>
      <c r="G45" s="152"/>
      <c r="H45" s="153"/>
      <c r="I45" s="152" t="s">
        <v>36</v>
      </c>
      <c r="J45" s="152"/>
      <c r="K45" s="145"/>
      <c r="L45" s="152" t="s">
        <v>36</v>
      </c>
      <c r="M45" s="152"/>
    </row>
    <row r="46" spans="1:16" s="130" customFormat="1" ht="20.100000000000001" customHeight="1" x14ac:dyDescent="0.35">
      <c r="A46" s="243"/>
      <c r="B46" s="243"/>
      <c r="C46" s="134"/>
      <c r="D46" s="138"/>
      <c r="E46" s="134"/>
      <c r="F46" s="243"/>
      <c r="G46" s="243"/>
      <c r="H46" s="127"/>
      <c r="I46" s="134"/>
      <c r="J46" s="134"/>
      <c r="K46" s="134"/>
      <c r="L46" s="134"/>
      <c r="M46" s="139"/>
    </row>
    <row r="47" spans="1:16" s="130" customFormat="1" ht="20.100000000000001" customHeight="1" x14ac:dyDescent="0.35">
      <c r="A47" s="134"/>
      <c r="B47" s="134"/>
      <c r="C47" s="134"/>
      <c r="D47" s="134"/>
      <c r="E47" s="134"/>
      <c r="F47" s="127"/>
      <c r="G47" s="134"/>
      <c r="H47" s="134"/>
      <c r="I47" s="127"/>
      <c r="J47" s="134"/>
      <c r="K47" s="134"/>
      <c r="L47" s="134"/>
      <c r="M47" s="139"/>
    </row>
    <row r="48" spans="1:16" s="130" customFormat="1" ht="20.100000000000001" customHeight="1" x14ac:dyDescent="0.35">
      <c r="A48" s="134"/>
      <c r="B48" s="134"/>
      <c r="C48" s="134"/>
      <c r="D48" s="134"/>
      <c r="E48" s="134"/>
      <c r="F48" s="127"/>
      <c r="G48" s="134"/>
      <c r="H48" s="134"/>
      <c r="I48" s="127"/>
      <c r="J48" s="134"/>
      <c r="K48" s="134"/>
      <c r="L48" s="134"/>
      <c r="M48" s="139"/>
      <c r="P48" s="130" t="s">
        <v>4</v>
      </c>
    </row>
    <row r="49" spans="1:13" s="130" customFormat="1" ht="20.100000000000001" customHeight="1" x14ac:dyDescent="0.35">
      <c r="A49" s="134" t="s">
        <v>41</v>
      </c>
      <c r="B49" s="134"/>
      <c r="C49" s="241" t="s">
        <v>42</v>
      </c>
      <c r="D49" s="241"/>
      <c r="E49" s="241"/>
      <c r="F49" s="248" t="e">
        <f>D37</f>
        <v>#N/A</v>
      </c>
      <c r="G49" s="248"/>
      <c r="H49" s="134"/>
      <c r="I49" s="134" t="s">
        <v>175</v>
      </c>
      <c r="J49" s="134"/>
      <c r="K49" s="127"/>
      <c r="L49" s="134" t="s">
        <v>175</v>
      </c>
      <c r="M49" s="139"/>
    </row>
    <row r="50" spans="1:13" s="130" customFormat="1" ht="20.100000000000001" customHeight="1" x14ac:dyDescent="0.35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9"/>
    </row>
    <row r="51" spans="1:13" s="130" customFormat="1" ht="20.100000000000001" customHeight="1" x14ac:dyDescent="0.35">
      <c r="A51" s="134" t="s">
        <v>40</v>
      </c>
      <c r="B51" s="134"/>
      <c r="C51" s="134"/>
      <c r="D51" s="134"/>
      <c r="E51" s="134" t="s">
        <v>72</v>
      </c>
      <c r="F51" s="134"/>
      <c r="G51" s="134"/>
      <c r="H51" s="127"/>
      <c r="I51" s="134"/>
      <c r="J51" s="134"/>
      <c r="K51" s="134"/>
      <c r="L51" s="134"/>
      <c r="M51" s="134"/>
    </row>
    <row r="52" spans="1:13" s="130" customFormat="1" ht="20.100000000000001" customHeight="1" x14ac:dyDescent="0.35">
      <c r="A52" s="134" t="s">
        <v>45</v>
      </c>
      <c r="B52" s="134"/>
      <c r="C52" s="134"/>
      <c r="D52" s="134"/>
      <c r="E52" s="134" t="s">
        <v>72</v>
      </c>
      <c r="F52" s="134"/>
      <c r="G52" s="134"/>
      <c r="H52" s="134"/>
      <c r="I52" s="134"/>
      <c r="J52" s="134"/>
      <c r="K52" s="134"/>
      <c r="L52" s="134"/>
      <c r="M52" s="139"/>
    </row>
    <row r="53" spans="1:13" s="130" customFormat="1" ht="20.100000000000001" customHeight="1" x14ac:dyDescent="0.35">
      <c r="A53" s="134" t="s">
        <v>46</v>
      </c>
      <c r="B53" s="134"/>
      <c r="C53" s="134"/>
      <c r="D53" s="134"/>
      <c r="E53" s="134" t="s">
        <v>72</v>
      </c>
      <c r="F53" s="134"/>
      <c r="G53" s="134"/>
      <c r="H53" s="134"/>
      <c r="I53" s="134"/>
      <c r="J53" s="134"/>
      <c r="K53" s="134"/>
      <c r="L53" s="134"/>
      <c r="M53" s="139"/>
    </row>
    <row r="54" spans="1:13" s="130" customFormat="1" ht="20.100000000000001" customHeight="1" x14ac:dyDescent="0.35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54"/>
    </row>
  </sheetData>
  <mergeCells count="27">
    <mergeCell ref="A46:B46"/>
    <mergeCell ref="F46:G46"/>
    <mergeCell ref="F49:G49"/>
    <mergeCell ref="C49:E49"/>
    <mergeCell ref="C12:D12"/>
    <mergeCell ref="C16:E16"/>
    <mergeCell ref="F4:G4"/>
    <mergeCell ref="L16:M16"/>
    <mergeCell ref="L17:M17"/>
    <mergeCell ref="I16:J16"/>
    <mergeCell ref="F16:G16"/>
    <mergeCell ref="F17:G17"/>
    <mergeCell ref="I17:J17"/>
    <mergeCell ref="C13:M13"/>
    <mergeCell ref="E5:H5"/>
    <mergeCell ref="J43:M43"/>
    <mergeCell ref="J15:M15"/>
    <mergeCell ref="A21:B21"/>
    <mergeCell ref="C21:E21"/>
    <mergeCell ref="A16:B16"/>
    <mergeCell ref="A17:B17"/>
    <mergeCell ref="L21:M21"/>
    <mergeCell ref="F21:G21"/>
    <mergeCell ref="F33:G33"/>
    <mergeCell ref="C41:M41"/>
    <mergeCell ref="C40:D40"/>
    <mergeCell ref="E34:H34"/>
  </mergeCells>
  <pageMargins left="0.19685039370078741" right="0" top="0.74803149606299213" bottom="0.74803149606299213" header="0" footer="0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  <pageSetUpPr fitToPage="1"/>
  </sheetPr>
  <dimension ref="A1:C34"/>
  <sheetViews>
    <sheetView showGridLines="0" view="pageBreakPreview" zoomScaleNormal="100" zoomScaleSheetLayoutView="100" workbookViewId="0">
      <selection activeCell="A11" sqref="A11"/>
    </sheetView>
  </sheetViews>
  <sheetFormatPr defaultColWidth="9.109375" defaultRowHeight="15.6" x14ac:dyDescent="0.3"/>
  <cols>
    <col min="1" max="1" width="74" style="93" customWidth="1"/>
    <col min="2" max="2" width="55.88671875" style="94" customWidth="1"/>
    <col min="3" max="3" width="7.109375" style="95" customWidth="1"/>
    <col min="4" max="16384" width="9.109375" style="93"/>
  </cols>
  <sheetData>
    <row r="1" spans="1:3" s="189" customFormat="1" ht="18.75" customHeight="1" x14ac:dyDescent="0.3">
      <c r="A1" s="187" t="s">
        <v>84</v>
      </c>
      <c r="B1" s="188"/>
      <c r="C1" s="188"/>
    </row>
    <row r="2" spans="1:3" s="189" customFormat="1" ht="15.9" customHeight="1" x14ac:dyDescent="0.3">
      <c r="A2" s="180" t="s">
        <v>75</v>
      </c>
      <c r="B2" s="181"/>
      <c r="C2" s="182"/>
    </row>
    <row r="3" spans="1:3" s="189" customFormat="1" ht="15.9" customHeight="1" x14ac:dyDescent="0.3">
      <c r="A3" s="183" t="s">
        <v>76</v>
      </c>
      <c r="B3" s="184" t="s">
        <v>139</v>
      </c>
      <c r="C3" s="185" t="s">
        <v>77</v>
      </c>
    </row>
    <row r="4" spans="1:3" s="189" customFormat="1" ht="15.9" customHeight="1" x14ac:dyDescent="0.3">
      <c r="A4" s="183" t="s">
        <v>78</v>
      </c>
      <c r="B4" s="184" t="s">
        <v>140</v>
      </c>
      <c r="C4" s="185" t="s">
        <v>79</v>
      </c>
    </row>
    <row r="5" spans="1:3" s="189" customFormat="1" ht="15.9" customHeight="1" x14ac:dyDescent="0.3">
      <c r="A5" s="183" t="s">
        <v>80</v>
      </c>
      <c r="B5" s="186" t="s">
        <v>141</v>
      </c>
      <c r="C5" s="185" t="s">
        <v>81</v>
      </c>
    </row>
    <row r="6" spans="1:3" s="189" customFormat="1" ht="15.9" customHeight="1" x14ac:dyDescent="0.3">
      <c r="A6" s="183" t="s">
        <v>111</v>
      </c>
      <c r="B6" s="184" t="s">
        <v>142</v>
      </c>
      <c r="C6" s="185" t="s">
        <v>82</v>
      </c>
    </row>
    <row r="7" spans="1:3" s="189" customFormat="1" ht="15.9" customHeight="1" x14ac:dyDescent="0.3">
      <c r="A7" s="215" t="s">
        <v>145</v>
      </c>
      <c r="B7" s="216" t="s">
        <v>143</v>
      </c>
      <c r="C7" s="197" t="s">
        <v>144</v>
      </c>
    </row>
    <row r="8" spans="1:3" s="189" customFormat="1" ht="15.9" customHeight="1" x14ac:dyDescent="0.3">
      <c r="A8" s="217" t="s">
        <v>112</v>
      </c>
      <c r="B8" s="218" t="s">
        <v>146</v>
      </c>
      <c r="C8" s="219" t="s">
        <v>83</v>
      </c>
    </row>
    <row r="9" spans="1:3" s="189" customFormat="1" ht="15.9" customHeight="1" x14ac:dyDescent="0.3">
      <c r="A9" s="220" t="s">
        <v>113</v>
      </c>
      <c r="B9" s="221"/>
      <c r="C9" s="222"/>
    </row>
    <row r="10" spans="1:3" s="189" customFormat="1" ht="15.9" customHeight="1" x14ac:dyDescent="0.3">
      <c r="A10" s="223" t="s">
        <v>85</v>
      </c>
      <c r="B10" s="224" t="s">
        <v>147</v>
      </c>
      <c r="C10" s="196" t="s">
        <v>86</v>
      </c>
    </row>
    <row r="11" spans="1:3" s="189" customFormat="1" ht="15.9" customHeight="1" x14ac:dyDescent="0.3">
      <c r="A11" s="223" t="s">
        <v>169</v>
      </c>
      <c r="B11" s="224" t="s">
        <v>149</v>
      </c>
      <c r="C11" s="196" t="s">
        <v>87</v>
      </c>
    </row>
    <row r="12" spans="1:3" s="189" customFormat="1" ht="15.9" customHeight="1" x14ac:dyDescent="0.3">
      <c r="A12" s="223" t="s">
        <v>170</v>
      </c>
      <c r="B12" s="224" t="s">
        <v>148</v>
      </c>
      <c r="C12" s="196" t="s">
        <v>88</v>
      </c>
    </row>
    <row r="13" spans="1:3" s="189" customFormat="1" ht="15.9" customHeight="1" x14ac:dyDescent="0.3">
      <c r="A13" s="223" t="s">
        <v>171</v>
      </c>
      <c r="B13" s="224" t="s">
        <v>150</v>
      </c>
      <c r="C13" s="196" t="s">
        <v>89</v>
      </c>
    </row>
    <row r="14" spans="1:3" s="189" customFormat="1" ht="15.9" customHeight="1" x14ac:dyDescent="0.3">
      <c r="A14" s="223" t="s">
        <v>172</v>
      </c>
      <c r="B14" s="224" t="s">
        <v>151</v>
      </c>
      <c r="C14" s="196" t="s">
        <v>90</v>
      </c>
    </row>
    <row r="15" spans="1:3" s="189" customFormat="1" ht="15.9" customHeight="1" x14ac:dyDescent="0.3">
      <c r="A15" s="223" t="s">
        <v>109</v>
      </c>
      <c r="B15" s="224" t="s">
        <v>152</v>
      </c>
      <c r="C15" s="196" t="s">
        <v>91</v>
      </c>
    </row>
    <row r="16" spans="1:3" s="189" customFormat="1" ht="15.9" customHeight="1" x14ac:dyDescent="0.3">
      <c r="A16" s="223" t="s">
        <v>92</v>
      </c>
      <c r="B16" s="224" t="s">
        <v>153</v>
      </c>
      <c r="C16" s="196" t="s">
        <v>52</v>
      </c>
    </row>
    <row r="17" spans="1:3" s="189" customFormat="1" ht="15.9" customHeight="1" x14ac:dyDescent="0.3">
      <c r="A17" s="223" t="s">
        <v>93</v>
      </c>
      <c r="B17" s="224" t="s">
        <v>154</v>
      </c>
      <c r="C17" s="196" t="s">
        <v>94</v>
      </c>
    </row>
    <row r="18" spans="1:3" s="189" customFormat="1" ht="15.9" customHeight="1" x14ac:dyDescent="0.3">
      <c r="A18" s="223" t="s">
        <v>110</v>
      </c>
      <c r="B18" s="224" t="s">
        <v>155</v>
      </c>
      <c r="C18" s="196" t="s">
        <v>95</v>
      </c>
    </row>
    <row r="19" spans="1:3" s="189" customFormat="1" ht="15.9" customHeight="1" x14ac:dyDescent="0.3">
      <c r="A19" s="223" t="s">
        <v>173</v>
      </c>
      <c r="B19" s="224" t="s">
        <v>156</v>
      </c>
      <c r="C19" s="196" t="s">
        <v>96</v>
      </c>
    </row>
    <row r="20" spans="1:3" s="189" customFormat="1" ht="15.9" customHeight="1" x14ac:dyDescent="0.3">
      <c r="A20" s="223" t="s">
        <v>174</v>
      </c>
      <c r="B20" s="224" t="s">
        <v>157</v>
      </c>
      <c r="C20" s="196" t="s">
        <v>97</v>
      </c>
    </row>
    <row r="21" spans="1:3" s="189" customFormat="1" ht="15.9" customHeight="1" x14ac:dyDescent="0.3">
      <c r="A21" s="223" t="s">
        <v>98</v>
      </c>
      <c r="B21" s="224" t="s">
        <v>158</v>
      </c>
      <c r="C21" s="196" t="s">
        <v>99</v>
      </c>
    </row>
    <row r="22" spans="1:3" s="189" customFormat="1" ht="15.9" customHeight="1" x14ac:dyDescent="0.3">
      <c r="A22" s="215" t="s">
        <v>100</v>
      </c>
      <c r="B22" s="216" t="s">
        <v>159</v>
      </c>
      <c r="C22" s="197" t="s">
        <v>101</v>
      </c>
    </row>
    <row r="23" spans="1:3" s="189" customFormat="1" ht="15.9" customHeight="1" x14ac:dyDescent="0.3">
      <c r="A23" s="225" t="s">
        <v>160</v>
      </c>
      <c r="B23" s="226" t="s">
        <v>161</v>
      </c>
      <c r="C23" s="198" t="s">
        <v>102</v>
      </c>
    </row>
    <row r="24" spans="1:3" s="189" customFormat="1" ht="15.9" customHeight="1" x14ac:dyDescent="0.25">
      <c r="A24" s="227" t="s">
        <v>114</v>
      </c>
      <c r="B24" s="221"/>
      <c r="C24" s="228"/>
    </row>
    <row r="25" spans="1:3" s="189" customFormat="1" ht="15.9" customHeight="1" x14ac:dyDescent="0.3">
      <c r="A25" s="223" t="s">
        <v>53</v>
      </c>
      <c r="B25" s="224" t="s">
        <v>162</v>
      </c>
      <c r="C25" s="196" t="s">
        <v>22</v>
      </c>
    </row>
    <row r="26" spans="1:3" s="189" customFormat="1" ht="15.9" customHeight="1" x14ac:dyDescent="0.3">
      <c r="A26" s="225" t="s">
        <v>54</v>
      </c>
      <c r="B26" s="226" t="s">
        <v>163</v>
      </c>
      <c r="C26" s="198" t="s">
        <v>23</v>
      </c>
    </row>
    <row r="27" spans="1:3" s="189" customFormat="1" ht="15.9" customHeight="1" x14ac:dyDescent="0.25">
      <c r="A27" s="227" t="s">
        <v>115</v>
      </c>
      <c r="B27" s="221"/>
      <c r="C27" s="228"/>
    </row>
    <row r="28" spans="1:3" s="189" customFormat="1" ht="15.9" customHeight="1" x14ac:dyDescent="0.3">
      <c r="A28" s="223" t="s">
        <v>103</v>
      </c>
      <c r="B28" s="224" t="s">
        <v>164</v>
      </c>
      <c r="C28" s="196" t="s">
        <v>19</v>
      </c>
    </row>
    <row r="29" spans="1:3" s="189" customFormat="1" ht="15.9" customHeight="1" x14ac:dyDescent="0.3">
      <c r="A29" s="223" t="s">
        <v>104</v>
      </c>
      <c r="B29" s="224" t="s">
        <v>165</v>
      </c>
      <c r="C29" s="196" t="s">
        <v>71</v>
      </c>
    </row>
    <row r="30" spans="1:3" s="189" customFormat="1" ht="15.9" customHeight="1" x14ac:dyDescent="0.3">
      <c r="A30" s="223" t="s">
        <v>105</v>
      </c>
      <c r="B30" s="224" t="s">
        <v>166</v>
      </c>
      <c r="C30" s="196" t="s">
        <v>106</v>
      </c>
    </row>
    <row r="31" spans="1:3" s="189" customFormat="1" ht="15.9" customHeight="1" x14ac:dyDescent="0.3">
      <c r="A31" s="223" t="s">
        <v>107</v>
      </c>
      <c r="B31" s="224" t="s">
        <v>167</v>
      </c>
      <c r="C31" s="196" t="s">
        <v>108</v>
      </c>
    </row>
    <row r="32" spans="1:3" x14ac:dyDescent="0.25">
      <c r="A32" s="193" t="s">
        <v>118</v>
      </c>
      <c r="B32" s="190"/>
      <c r="C32" s="182"/>
    </row>
    <row r="33" spans="1:3" x14ac:dyDescent="0.3">
      <c r="A33" s="183" t="s">
        <v>116</v>
      </c>
      <c r="B33" s="184" t="s">
        <v>168</v>
      </c>
      <c r="C33" s="185" t="s">
        <v>117</v>
      </c>
    </row>
    <row r="34" spans="1:3" x14ac:dyDescent="0.3">
      <c r="A34" s="191"/>
      <c r="B34" s="192"/>
      <c r="C34" s="194"/>
    </row>
  </sheetData>
  <printOptions horizontalCentered="1"/>
  <pageMargins left="0.45866141700000002" right="0.45866141700000002" top="0.49803149600000002" bottom="0.24803149599999999" header="0.31496062992126" footer="0.31496062992126"/>
  <pageSetup paperSize="9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tabSelected="1" view="pageBreakPreview" zoomScale="115" zoomScaleNormal="100" zoomScaleSheetLayoutView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0" sqref="D10"/>
    </sheetView>
  </sheetViews>
  <sheetFormatPr defaultRowHeight="14.4" x14ac:dyDescent="0.3"/>
  <cols>
    <col min="1" max="1" width="4.88671875" style="80" customWidth="1"/>
    <col min="2" max="2" width="11.33203125" customWidth="1"/>
    <col min="3" max="3" width="28" customWidth="1"/>
    <col min="4" max="4" width="9.5546875" style="1" bestFit="1" customWidth="1"/>
  </cols>
  <sheetData>
    <row r="1" spans="1:4" x14ac:dyDescent="0.3">
      <c r="A1" s="97" t="s">
        <v>65</v>
      </c>
      <c r="B1" s="98" t="s">
        <v>66</v>
      </c>
      <c r="C1" s="99" t="s">
        <v>1</v>
      </c>
      <c r="D1" s="100" t="s">
        <v>24</v>
      </c>
    </row>
    <row r="2" spans="1:4" x14ac:dyDescent="0.3">
      <c r="A2" s="79">
        <v>1</v>
      </c>
      <c r="B2" s="101">
        <v>44044</v>
      </c>
      <c r="C2" s="2" t="s">
        <v>5</v>
      </c>
      <c r="D2" s="4">
        <v>3271</v>
      </c>
    </row>
    <row r="3" spans="1:4" x14ac:dyDescent="0.3">
      <c r="A3" s="79">
        <v>2</v>
      </c>
      <c r="B3" s="101">
        <v>44075</v>
      </c>
      <c r="C3" s="2" t="s">
        <v>5</v>
      </c>
      <c r="D3" s="4">
        <v>3635</v>
      </c>
    </row>
    <row r="4" spans="1:4" x14ac:dyDescent="0.3">
      <c r="A4" s="79">
        <v>3</v>
      </c>
      <c r="B4" s="101">
        <v>44105</v>
      </c>
      <c r="C4" s="2" t="s">
        <v>5</v>
      </c>
      <c r="D4" s="4">
        <v>6088</v>
      </c>
    </row>
    <row r="5" spans="1:4" x14ac:dyDescent="0.3">
      <c r="A5" s="79">
        <v>4</v>
      </c>
      <c r="B5" s="102"/>
      <c r="C5" s="103" t="s">
        <v>67</v>
      </c>
      <c r="D5" s="104">
        <v>177261</v>
      </c>
    </row>
    <row r="6" spans="1:4" x14ac:dyDescent="0.3">
      <c r="A6" s="79">
        <v>5</v>
      </c>
      <c r="B6" s="101">
        <v>44136</v>
      </c>
      <c r="C6" s="2" t="s">
        <v>56</v>
      </c>
      <c r="D6" s="4">
        <v>7617</v>
      </c>
    </row>
    <row r="7" spans="1:4" x14ac:dyDescent="0.3">
      <c r="A7" s="79">
        <v>6</v>
      </c>
      <c r="B7" s="101">
        <v>44166</v>
      </c>
      <c r="C7" s="2" t="s">
        <v>57</v>
      </c>
      <c r="D7" s="4">
        <v>3031</v>
      </c>
    </row>
    <row r="8" spans="1:4" x14ac:dyDescent="0.3">
      <c r="A8" s="79">
        <v>7</v>
      </c>
      <c r="B8" s="101">
        <v>44197</v>
      </c>
      <c r="C8" s="2" t="s">
        <v>58</v>
      </c>
      <c r="D8" s="4">
        <v>3782</v>
      </c>
    </row>
    <row r="9" spans="1:4" x14ac:dyDescent="0.3">
      <c r="A9" s="79">
        <v>8</v>
      </c>
      <c r="B9" s="101">
        <v>44228</v>
      </c>
      <c r="C9" s="2" t="s">
        <v>59</v>
      </c>
      <c r="D9" s="4">
        <v>2734</v>
      </c>
    </row>
    <row r="10" spans="1:4" x14ac:dyDescent="0.3">
      <c r="A10" s="79">
        <v>9</v>
      </c>
      <c r="B10" s="101">
        <v>44256</v>
      </c>
      <c r="C10" s="2" t="s">
        <v>60</v>
      </c>
      <c r="D10" s="4">
        <v>459</v>
      </c>
    </row>
    <row r="11" spans="1:4" x14ac:dyDescent="0.3">
      <c r="A11" s="79">
        <f>A10+1</f>
        <v>10</v>
      </c>
      <c r="B11" s="101">
        <v>44287</v>
      </c>
      <c r="C11" s="2" t="s">
        <v>61</v>
      </c>
      <c r="D11" s="4"/>
    </row>
    <row r="12" spans="1:4" x14ac:dyDescent="0.3">
      <c r="A12" s="79">
        <f t="shared" ref="A12:A16" si="0">A11+1</f>
        <v>11</v>
      </c>
      <c r="B12" s="101">
        <v>44317</v>
      </c>
      <c r="C12" s="2" t="s">
        <v>62</v>
      </c>
      <c r="D12" s="4">
        <v>698</v>
      </c>
    </row>
    <row r="13" spans="1:4" x14ac:dyDescent="0.3">
      <c r="A13" s="79">
        <f t="shared" si="0"/>
        <v>12</v>
      </c>
      <c r="B13" s="101">
        <v>44348</v>
      </c>
      <c r="C13" s="2" t="s">
        <v>63</v>
      </c>
      <c r="D13" s="4">
        <v>1967</v>
      </c>
    </row>
    <row r="14" spans="1:4" x14ac:dyDescent="0.3">
      <c r="A14" s="79">
        <f t="shared" si="0"/>
        <v>13</v>
      </c>
      <c r="B14" s="96"/>
      <c r="C14" s="2"/>
      <c r="D14" s="4"/>
    </row>
    <row r="15" spans="1:4" x14ac:dyDescent="0.3">
      <c r="A15" s="79">
        <f t="shared" si="0"/>
        <v>14</v>
      </c>
      <c r="B15" s="96"/>
      <c r="C15" s="2"/>
      <c r="D15" s="4"/>
    </row>
    <row r="16" spans="1:4" x14ac:dyDescent="0.3">
      <c r="A16" s="79">
        <f t="shared" si="0"/>
        <v>15</v>
      </c>
      <c r="B16" s="96"/>
      <c r="C16" s="2"/>
      <c r="D16" s="4"/>
    </row>
  </sheetData>
  <phoneticPr fontId="3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Data</vt:lpstr>
      <vt:lpstr>Report</vt:lpstr>
      <vt:lpstr>Phieuthu_chi</vt:lpstr>
      <vt:lpstr>Classification</vt:lpstr>
      <vt:lpstr>Lãi tiền gửi</vt:lpstr>
      <vt:lpstr>Data!Print_Area</vt:lpstr>
      <vt:lpstr>'Lãi tiền gửi'!Print_Area</vt:lpstr>
      <vt:lpstr>Phieuthu_chi!Print_Area</vt:lpstr>
      <vt:lpstr>Report!Print_Area</vt:lpstr>
      <vt:lpstr>Data!Print_Titles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Nghia.nt</dc:creator>
  <cp:lastModifiedBy>Admin</cp:lastModifiedBy>
  <cp:lastPrinted>2022-06-11T04:53:02Z</cp:lastPrinted>
  <dcterms:created xsi:type="dcterms:W3CDTF">2017-03-01T15:14:07Z</dcterms:created>
  <dcterms:modified xsi:type="dcterms:W3CDTF">2022-11-17T07:29:38Z</dcterms:modified>
</cp:coreProperties>
</file>