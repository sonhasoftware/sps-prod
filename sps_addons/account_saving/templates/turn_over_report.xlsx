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965" yWindow="3135" windowWidth="28800" windowHeight="15285" tabRatio="600" firstSheet="0" activeTab="0" autoFilterDateGrouping="1"/>
  </bookViews>
  <sheets>
    <sheet xmlns:r="http://schemas.openxmlformats.org/officeDocument/2006/relationships" name="DATA" sheetId="1" state="visible" r:id="rId1"/>
    <sheet xmlns:r="http://schemas.openxmlformats.org/officeDocument/2006/relationships" name="Status" sheetId="2" state="visible" r:id="rId2"/>
    <sheet xmlns:r="http://schemas.openxmlformats.org/officeDocument/2006/relationships" name="PlanActual" sheetId="3" state="visible" r:id="rId3"/>
    <sheet xmlns:r="http://schemas.openxmlformats.org/officeDocument/2006/relationships" name="Annual" sheetId="4" state="visible" r:id="rId4"/>
    <sheet xmlns:r="http://schemas.openxmlformats.org/officeDocument/2006/relationships" name="Debt report" sheetId="5" state="visible" r:id="rId5"/>
    <sheet xmlns:r="http://schemas.openxmlformats.org/officeDocument/2006/relationships" name="Note" sheetId="6" state="hidden" r:id="rId6"/>
  </sheets>
  <definedNames>
    <definedName name="_xlnm._FilterDatabase" localSheetId="0" hidden="1">'DATA'!$A$6:$W$1768</definedName>
    <definedName name="_xlnm.Print_Area" localSheetId="0">'DATA'!$A$1:$W$1766</definedName>
    <definedName name="_xlnm.Print_Area" localSheetId="1">'Status'!$B$1:$G$13</definedName>
    <definedName name="_xlnm._FilterDatabase" localSheetId="2" hidden="1">'PlanActual'!$C$4:$C$1009</definedName>
    <definedName name="_xlnm.Print_Area" localSheetId="2">'PlanActual'!$A$1:$P$1082</definedName>
    <definedName name="_xlnm._FilterDatabase" localSheetId="3" hidden="1">'Annual'!$A$5:$K$510</definedName>
    <definedName name="_xlnm.Print_Area" localSheetId="3">'Annual'!$A$1:$K$530</definedName>
    <definedName name="_xlnm._FilterDatabase" localSheetId="5" hidden="1">'Note'!$A$13:$H$18</definedName>
    <definedName name="_xlnm.Print_Area" localSheetId="5">'Note'!$A$1:$H$22</definedName>
  </definedNames>
  <calcPr calcId="191029" fullCalcOnLoad="1"/>
</workbook>
</file>

<file path=xl/styles.xml><?xml version="1.0" encoding="utf-8"?>
<styleSheet xmlns="http://schemas.openxmlformats.org/spreadsheetml/2006/main">
  <numFmts count="70">
    <numFmt numFmtId="164" formatCode="_(* #,##0_);_(* \(#,##0\);_(* &quot;-&quot;??_);_(@_)"/>
    <numFmt numFmtId="165" formatCode="_(* #,##0.0_);_(* \(#,##0.0\);_(* &quot;-&quot;?_);_(@_)"/>
    <numFmt numFmtId="166" formatCode="[$-1010000]d/m/yyyy;@"/>
    <numFmt numFmtId="167" formatCode="[$-409]d\-mmm\-yyyy;@"/>
    <numFmt numFmtId="168" formatCode="[$-409]dd\-mmm\-yy;@"/>
    <numFmt numFmtId="169" formatCode="[$-409]mmmm\ d\,\ yyyy;@"/>
    <numFmt numFmtId="170" formatCode="0.0%"/>
    <numFmt numFmtId="171" formatCode="[$-409]d\-mmm\-yy;@"/>
    <numFmt numFmtId="172" formatCode="_-&quot;$&quot;* #,##0_-;\-&quot;$&quot;* #,##0_-;_-&quot;$&quot;* &quot;-&quot;_-;_-@_-"/>
    <numFmt numFmtId="173" formatCode="&quot;$&quot;#,##0.00;[Red]&quot;$&quot;&quot;$&quot;&quot;$&quot;&quot;$&quot;&quot;$&quot;&quot;$&quot;\-#,##0.00"/>
    <numFmt numFmtId="174" formatCode="&quot;$&quot;#,##0;[Red]&quot;$&quot;&quot;$&quot;\-#,##0"/>
    <numFmt numFmtId="175" formatCode="_ * #,##0.00_ ;_ * \-#,##0.00_ ;_ * &quot;-&quot;??_ ;_ @_ "/>
    <numFmt numFmtId="176" formatCode="_-&quot;£&quot;* #,##0_-;\-&quot;£&quot;* #,##0_-;_-&quot;£&quot;* &quot;-&quot;_-;_-@_-"/>
    <numFmt numFmtId="177" formatCode="_ &quot;$&quot;* #,##0_ ;_ &quot;$&quot;* \-#,##0_ ;_ &quot;$&quot;* &quot;-&quot;_ ;_ @_ "/>
    <numFmt numFmtId="178" formatCode="_-* #,##0.00\ _F_B_-;\-* #,##0.00\ _F_B_-;_-* &quot;-&quot;??\ _F_B_-;_-@_-"/>
    <numFmt numFmtId="179" formatCode="_ * #,##0_ ;_ * \-#,##0_ ;_ * &quot;-&quot;_ ;_ @_ "/>
    <numFmt numFmtId="180" formatCode="_-* #,##0\ _F_B_-;\-* #,##0\ _F_B_-;_-* &quot;-&quot;\ _F_B_-;_-@_-"/>
    <numFmt numFmtId="181" formatCode="_-&quot;¥&quot;* #,##0_-;\-&quot;¥&quot;* #,##0_-;_-&quot;¥&quot;* &quot;-&quot;_-;_-@_-"/>
    <numFmt numFmtId="182" formatCode="_-&quot;$&quot;* #,##0.00_-;\-&quot;$&quot;* #,##0.00_-;_-&quot;$&quot;* &quot;-&quot;??_-;_-@_-"/>
    <numFmt numFmtId="183" formatCode="_(* #,##0.00_);_(* &quot;¥&quot;&quot;¥&quot;&quot;¥&quot;\(#,##0.00&quot;¥&quot;&quot;¥&quot;&quot;¥&quot;\);_(* &quot;-&quot;??_);_(@_)"/>
    <numFmt numFmtId="184" formatCode="_(* #,##0_);_(* &quot;¥&quot;&quot;¥&quot;&quot;¥&quot;\(#,##0&quot;¥&quot;&quot;¥&quot;&quot;¥&quot;\);_(* &quot;-&quot;_);_(@_)"/>
    <numFmt numFmtId="185" formatCode="&quot;¥&quot;#,##0.00;[Red]&quot;¥&quot;&quot;¥&quot;\-#,##0.00"/>
    <numFmt numFmtId="186" formatCode="&quot;¥&quot;#,##0.00;[Red]&quot;¥&quot;\-#,##0.00"/>
    <numFmt numFmtId="187" formatCode="&quot;¥&quot;#,##0;[Red]&quot;¥&quot;&quot;¥&quot;\-#,##0"/>
    <numFmt numFmtId="188" formatCode="&quot;¥&quot;#,##0;[Red]&quot;¥&quot;\-#,##0"/>
    <numFmt numFmtId="189" formatCode="_ &quot;¥&quot;* #,##0_ ;_ &quot;¥&quot;* \-#,##0_ ;_ &quot;¥&quot;* &quot;-&quot;_ ;_ @_ "/>
    <numFmt numFmtId="190" formatCode="&quot;ß&quot;\t#,##0_);\(&quot;ß&quot;\t#,##0\)"/>
    <numFmt numFmtId="191" formatCode="_ &quot;¥&quot;* #,##0.00_ ;_ &quot;¥&quot;* \-#,##0.00_ ;_ &quot;¥&quot;* &quot;-&quot;??_ ;_ @_ "/>
    <numFmt numFmtId="192" formatCode="_(&quot;ß&quot;* \t#,##0_);_(&quot;ß&quot;* \(\t#,##0\);_(&quot;ß&quot;* &quot;-&quot;_);_(@_)"/>
    <numFmt numFmtId="193" formatCode="&quot;ß&quot;\t#,##0_);[Red]\(&quot;ß&quot;\t#,##0\)"/>
    <numFmt numFmtId="194" formatCode="_(* #,##0.000_);_(* \(#,##0.000\);_(* &quot;-&quot;??_);_(@_)"/>
    <numFmt numFmtId="195" formatCode="#,##0;\-#,##0;&quot;-&quot;"/>
    <numFmt numFmtId="196" formatCode="General_)"/>
    <numFmt numFmtId="197" formatCode="0.000"/>
    <numFmt numFmtId="198" formatCode="#,##0.0_);\(#,##0.0\)"/>
    <numFmt numFmtId="199" formatCode="#,##0.000_);\(#,##0.000\)"/>
    <numFmt numFmtId="200" formatCode="\t#,##0.00"/>
    <numFmt numFmtId="201" formatCode="mmmm\ d\,\ yyyy"/>
    <numFmt numFmtId="202" formatCode="_-* #,##0.00\ &quot;F&quot;_-;\-* #,##0.00\ &quot;F&quot;_-;_-* &quot;-&quot;??\ &quot;F&quot;_-;_-@_-"/>
    <numFmt numFmtId="203" formatCode="#,##0_);[Red]\(#,##0\);;@"/>
    <numFmt numFmtId="204" formatCode="_-* #,##0.0000_-;\-* #,##0.0000_-;_-* &quot;-&quot;??_-;_-@_-"/>
    <numFmt numFmtId="205" formatCode="\$#,##0\ ;\(\$#,##0\)"/>
    <numFmt numFmtId="206" formatCode="\t#\ ?/?"/>
    <numFmt numFmtId="207" formatCode="0.0#"/>
    <numFmt numFmtId="208" formatCode="\t#,##0_);\(\t#,##0\)"/>
    <numFmt numFmtId="209" formatCode="\t0.00E+00"/>
    <numFmt numFmtId="210" formatCode="[$€]#,##0.00_);[Red]\([$€]#,##0.00\)"/>
    <numFmt numFmtId="211" formatCode="0.00_)"/>
    <numFmt numFmtId="212" formatCode="#,##0.000"/>
    <numFmt numFmtId="213" formatCode="#,##0.00\ &quot;F&quot;;[Red]\-#,##0.00\ &quot;F&quot;"/>
    <numFmt numFmtId="214" formatCode="#,##0\ \ "/>
    <numFmt numFmtId="215" formatCode="#,##0\ "/>
    <numFmt numFmtId="216" formatCode="_-* #,##0\ &quot;F&quot;_-;\-* #,##0\ &quot;F&quot;_-;_-* &quot;-&quot;\ &quot;F&quot;_-;_-@_-"/>
    <numFmt numFmtId="217" formatCode="#,##0\ &quot;F&quot;;[Red]\-#,##0\ &quot;F&quot;"/>
    <numFmt numFmtId="218" formatCode="#,##0.00\ &quot;F&quot;;\-#,##0.00\ &quot;F&quot;"/>
    <numFmt numFmtId="219" formatCode="&quot;¥&quot;#,##0.00;&quot;¥&quot;&quot;¥&quot;\-#,##0.00"/>
    <numFmt numFmtId="220" formatCode="_ &quot;¥&quot;* #,##0_ ;_ &quot;¥&quot;* &quot;¥&quot;\-#,##0_ ;_ &quot;¥&quot;* &quot;-&quot;_ ;_ @_ "/>
    <numFmt numFmtId="221" formatCode="&quot;$&quot;#,##0.00"/>
    <numFmt numFmtId="222" formatCode="&quot;¥&quot;#,##0;&quot;¥&quot;&quot;¥&quot;&quot;¥&quot;&quot;¥&quot;\-#,##0"/>
    <numFmt numFmtId="223" formatCode="#,##0;[Red]&quot;-&quot;#,##0"/>
    <numFmt numFmtId="224" formatCode="&quot;¥&quot;#,##0;[Red]&quot;¥&quot;&quot;¥&quot;&quot;¥&quot;&quot;¥&quot;\-#,##0"/>
    <numFmt numFmtId="225" formatCode="&quot;¥&quot;#,##0;&quot;¥&quot;\-#,##0"/>
    <numFmt numFmtId="226" formatCode="00.000"/>
    <numFmt numFmtId="227" formatCode="_-* #,##0.00_-;&quot;¥&quot;&quot;¥&quot;\-* #,##0.00_-;_-* &quot;-&quot;??_-;_-@_-"/>
    <numFmt numFmtId="228" formatCode="_-&quot;¥&quot;* #,##0.00_-;&quot;¥&quot;&quot;¥&quot;\-&quot;¥&quot;* #,##0.00_-;_-&quot;¥&quot;* &quot;-&quot;??_-;_-@_-"/>
    <numFmt numFmtId="229" formatCode="&quot;¥&quot;#,##0.00;&quot;¥&quot;&quot;¥&quot;&quot;¥&quot;&quot;¥&quot;\-#,##0.00"/>
    <numFmt numFmtId="230" formatCode="_ &quot;ﾄ.鮻&quot;* #,##0.00_ ;_ &quot;ﾄ.鮻&quot;* \-#,##0.00_ ;_ &quot;ﾄ.鮻&quot;* &quot;-&quot;??_ ;_ @_ "/>
    <numFmt numFmtId="231" formatCode="_ &quot;ﾄ.鮻&quot;* #,##0_ ;_ &quot;ﾄ.鮻&quot;* \-#,##0_ ;_ &quot;ﾄ.鮻&quot;* &quot;-&quot;_ ;_ @_ "/>
    <numFmt numFmtId="232" formatCode="_(* #,##0.0000_);_(* \(#,##0.0000\);_(* &quot;-&quot;_);_(@_)"/>
    <numFmt numFmtId="233" formatCode="mm/yyyy"/>
  </numFmts>
  <fonts count="176">
    <font>
      <name val="Calibri"/>
      <family val="2"/>
      <color theme="1"/>
      <sz val="11"/>
      <scheme val="minor"/>
    </font>
    <font>
      <name val="Calibri"/>
      <family val="2"/>
      <color theme="1"/>
      <sz val="11"/>
      <scheme val="minor"/>
    </font>
    <font>
      <name val="Calibri"/>
      <family val="2"/>
      <color indexed="8"/>
      <sz val="11"/>
    </font>
    <font>
      <name val="Times New Roman"/>
      <family val="1"/>
      <color theme="1"/>
      <sz val="11"/>
    </font>
    <font>
      <name val="Arial"/>
      <family val="2"/>
      <color theme="1"/>
      <sz val="13"/>
    </font>
    <font>
      <name val="Times New Roman"/>
      <family val="1"/>
      <b val="1"/>
      <color theme="1"/>
      <sz val="11"/>
    </font>
    <font>
      <name val="Times New Roman"/>
      <family val="1"/>
      <sz val="11"/>
    </font>
    <font>
      <name val="Arial"/>
      <family val="2"/>
      <sz val="10"/>
    </font>
    <font>
      <name val="Times New Roman"/>
      <family val="1"/>
      <i val="1"/>
      <sz val="11"/>
    </font>
    <font>
      <name val="Times New Roman"/>
      <family val="1"/>
      <color theme="1"/>
      <sz val="12"/>
    </font>
    <font>
      <name val="Times New Roman"/>
      <family val="1"/>
      <b val="1"/>
      <color theme="1"/>
      <sz val="8"/>
    </font>
    <font>
      <name val="Times New Roman"/>
      <family val="1"/>
      <b val="1"/>
      <color theme="1"/>
      <sz val="24"/>
    </font>
    <font>
      <name val="Times New Roman"/>
      <family val="1"/>
      <i val="1"/>
      <color theme="1"/>
      <sz val="14"/>
    </font>
    <font>
      <name val="Times New Roman"/>
      <family val="1"/>
      <b val="1"/>
      <sz val="8"/>
    </font>
    <font>
      <name val="Times New Roman"/>
      <family val="1"/>
      <sz val="10"/>
    </font>
    <font>
      <name val="Times New Roman"/>
      <family val="1"/>
      <b val="1"/>
      <color theme="8" tint="-0.499984740745262"/>
      <sz val="12"/>
    </font>
    <font>
      <name val="Arial"/>
      <charset val="163"/>
      <family val="2"/>
      <sz val="10"/>
    </font>
    <font>
      <name val="Times New Roman"/>
      <family val="1"/>
      <sz val="12"/>
    </font>
    <font>
      <name val="Times New Roman"/>
      <family val="1"/>
      <b val="1"/>
      <sz val="12"/>
    </font>
    <font>
      <name val="Times New Roman"/>
      <family val="1"/>
      <b val="1"/>
      <sz val="10"/>
    </font>
    <font>
      <name val="Arial"/>
      <family val="2"/>
      <color indexed="12"/>
      <sz val="10"/>
      <u val="single"/>
    </font>
    <font>
      <name val="Arial"/>
      <family val="2"/>
      <color theme="1"/>
      <sz val="11"/>
    </font>
    <font>
      <name val="Arial"/>
      <family val="2"/>
      <b val="1"/>
      <sz val="14"/>
    </font>
    <font>
      <name val="Calibri"/>
      <family val="2"/>
      <b val="1"/>
      <color theme="1"/>
      <sz val="11"/>
      <scheme val="minor"/>
    </font>
    <font>
      <name val="Times New Roman"/>
      <family val="1"/>
      <b val="1"/>
      <color rgb="FF0070C0"/>
      <sz val="20"/>
    </font>
    <font>
      <name val="Times New Roman"/>
      <family val="1"/>
      <color theme="1"/>
      <sz val="11"/>
      <u val="single"/>
    </font>
    <font>
      <name val="Times New Roman"/>
      <family val="1"/>
      <b val="1"/>
      <sz val="11"/>
    </font>
    <font>
      <name val="Times New Roman"/>
      <family val="1"/>
      <b val="1"/>
      <i val="1"/>
      <sz val="11"/>
    </font>
    <font>
      <name val="Times New Roman"/>
      <family val="1"/>
      <sz val="8"/>
    </font>
    <font>
      <name val="Times New Roman"/>
      <family val="1"/>
      <b val="1"/>
      <color theme="1"/>
      <sz val="28"/>
    </font>
    <font>
      <name val="Times New Roman"/>
      <family val="1"/>
      <color theme="1"/>
      <sz val="18"/>
      <u val="single"/>
    </font>
    <font>
      <name val="Times New Roman"/>
      <family val="1"/>
      <b val="1"/>
      <color rgb="FF0070C0"/>
      <sz val="18"/>
    </font>
    <font>
      <name val="Times New Roman"/>
      <family val="1"/>
      <sz val="14"/>
    </font>
    <font>
      <name val="Times New Roman"/>
      <family val="1"/>
      <b val="1"/>
      <color theme="1"/>
      <sz val="12"/>
    </font>
    <font>
      <name val="Arial"/>
      <family val="2"/>
      <b val="1"/>
      <color theme="0"/>
      <sz val="14"/>
    </font>
    <font>
      <name val="Calibri"/>
      <family val="2"/>
      <b val="1"/>
      <color theme="1"/>
      <sz val="13"/>
      <scheme val="minor"/>
    </font>
    <font>
      <name val="Calibri"/>
      <family val="2"/>
      <b val="1"/>
      <sz val="13"/>
      <scheme val="minor"/>
    </font>
    <font>
      <name val="Calibri"/>
      <family val="2"/>
      <sz val="13"/>
      <scheme val="minor"/>
    </font>
    <font>
      <name val="Calibri"/>
      <family val="2"/>
      <b val="1"/>
      <color rgb="FFFF0000"/>
      <sz val="13"/>
      <scheme val="minor"/>
    </font>
    <font>
      <name val="Times New Roman"/>
      <family val="1"/>
      <color rgb="FFFF0000"/>
      <sz val="11"/>
    </font>
    <font>
      <name val="Times New Roman"/>
      <family val="1"/>
      <color theme="1"/>
      <sz val="16"/>
    </font>
    <font>
      <name val="Times New Roman"/>
      <family val="1"/>
      <b val="1"/>
      <i val="1"/>
      <color theme="1"/>
      <sz val="16"/>
    </font>
    <font>
      <name val="Times New Roman"/>
      <family val="1"/>
      <color rgb="FF0070C0"/>
      <sz val="12"/>
    </font>
    <font>
      <name val="Times New Roman"/>
      <family val="1"/>
      <b val="1"/>
      <color theme="1"/>
      <sz val="20"/>
    </font>
    <font>
      <name val="ＭＳ Ｐゴシック"/>
      <charset val="128"/>
      <family val="3"/>
      <sz val="11"/>
    </font>
    <font>
      <name val="Arial"/>
      <family val="2"/>
      <sz val="12"/>
    </font>
    <font>
      <name val="VNI-Times"/>
      <sz val="12"/>
    </font>
    <font>
      <name val=".VnArial"/>
      <family val="2"/>
      <sz val="10"/>
    </font>
    <font>
      <name val="바탕체"/>
      <charset val="129"/>
      <family val="3"/>
      <sz val="12"/>
    </font>
    <font>
      <name val="?? ??"/>
      <charset val="128"/>
      <family val="3"/>
      <sz val="14"/>
    </font>
    <font>
      <name val="VNI-Aptima"/>
      <color indexed="36"/>
      <sz val="7.5"/>
      <u val="single"/>
    </font>
    <font>
      <name val="VNI-Aptima"/>
      <color indexed="12"/>
      <sz val="7.5"/>
      <u val="single"/>
    </font>
    <font>
      <name val="Arial Rounded MT Bold"/>
      <family val="2"/>
      <sz val="10"/>
    </font>
    <font>
      <name val="???"/>
      <charset val="129"/>
      <family val="1"/>
      <sz val="12"/>
    </font>
    <font>
      <name val="???"/>
      <charset val="129"/>
      <family val="3"/>
      <sz val="10"/>
    </font>
    <font>
      <name val="?l?r ??’?"/>
      <charset val="128"/>
      <family val="3"/>
      <sz val="14"/>
    </font>
    <font>
      <name val="?l?r ??·"/>
      <charset val="128"/>
      <family val="3"/>
      <sz val="14"/>
    </font>
    <font>
      <name val="?l?r ???"/>
      <charset val="128"/>
      <family val="3"/>
      <sz val="14"/>
    </font>
    <font>
      <name val="?l?r ??c"/>
      <charset val="128"/>
      <family val="3"/>
      <sz val="14"/>
    </font>
    <font>
      <name val="굴림체"/>
      <charset val="129"/>
      <family val="3"/>
      <sz val="10"/>
    </font>
    <font>
      <name val="VNI-Times"/>
      <sz val="10"/>
    </font>
    <font>
      <name val="Helv"/>
      <family val="2"/>
      <sz val="10"/>
    </font>
    <font>
      <name val="‚l‚r –¾’©"/>
      <charset val="128"/>
      <family val="3"/>
      <sz val="14"/>
    </font>
    <font>
      <name val="MS Sans Serif"/>
      <family val="2"/>
      <sz val="10"/>
    </font>
    <font>
      <name val="Osaka"/>
      <charset val="128"/>
      <sz val="12"/>
    </font>
    <font>
      <name val="lr oSVbN"/>
      <family val="3"/>
      <color indexed="36"/>
      <sz val="11"/>
      <u val="single"/>
    </font>
    <font>
      <name val="Geneva"/>
      <family val="2"/>
      <sz val="10"/>
    </font>
    <font>
      <name val="lr oSVbN"/>
      <family val="3"/>
      <sz val="11"/>
    </font>
    <font>
      <name val="lr oSVbN"/>
      <family val="3"/>
      <color indexed="12"/>
      <sz val="11"/>
      <u val="single"/>
    </font>
    <font>
      <name val="¾©"/>
      <family val="1"/>
      <sz val="11"/>
    </font>
    <font>
      <name val="¹ÙÅÁÃ¼"/>
      <family val="1"/>
      <sz val="12"/>
    </font>
    <font>
      <name val="ＭＳ Ｐゴシック"/>
      <charset val="128"/>
      <family val="3"/>
      <color indexed="8"/>
      <sz val="11"/>
    </font>
    <font>
      <name val="ＭＳ Ｐゴシック"/>
      <charset val="128"/>
      <family val="3"/>
      <color indexed="9"/>
      <sz val="11"/>
    </font>
    <font>
      <name val="Arial"/>
      <family val="2"/>
      <sz val="9"/>
    </font>
    <font>
      <name val="Calibri"/>
      <family val="2"/>
      <color indexed="9"/>
      <sz val="11"/>
    </font>
    <font>
      <name val="Arial"/>
      <family val="2"/>
      <sz val="8"/>
    </font>
    <font>
      <name val="μ¸¿o"/>
      <charset val="129"/>
      <family val="3"/>
      <sz val="11"/>
    </font>
    <font>
      <name val="¹UAAA¼"/>
      <charset val="129"/>
      <family val="3"/>
      <sz val="12"/>
    </font>
    <font>
      <name val="Arial"/>
      <family val="2"/>
      <b val="1"/>
      <color indexed="9"/>
      <sz val="10"/>
    </font>
    <font>
      <name val="Times New Roman"/>
      <family val="1"/>
      <b val="1"/>
      <color indexed="18"/>
      <sz val="11"/>
    </font>
    <font>
      <name val="µ¸¿ò"/>
      <charset val="129"/>
      <family val="2"/>
      <sz val="11"/>
    </font>
    <font>
      <name val="±¼¸²A¼"/>
      <charset val="129"/>
      <family val="3"/>
      <sz val="10"/>
    </font>
    <font>
      <name val="±¼¸²Ã¼"/>
      <charset val="129"/>
      <family val="3"/>
      <sz val="12"/>
    </font>
    <font>
      <name val="Arial"/>
      <family val="2"/>
      <color indexed="8"/>
      <sz val="10"/>
    </font>
    <font>
      <name val="Times New Roman"/>
      <family val="1"/>
      <sz val="9"/>
    </font>
    <font>
      <name val="Courier"/>
      <family val="3"/>
      <sz val="10"/>
    </font>
    <font>
      <name val="AngsanaUPC"/>
      <family val="1"/>
      <sz val="14"/>
    </font>
    <font>
      <name val="Helv"/>
      <family val="2"/>
      <b val="1"/>
      <sz val="10"/>
    </font>
    <font>
      <name val=".VnVogueH"/>
      <family val="2"/>
      <sz val="10"/>
    </font>
    <font>
      <name val="EucrosiaUPC"/>
      <charset val="222"/>
      <family val="2"/>
      <sz val="14"/>
    </font>
    <font>
      <name val="MS Serif"/>
      <charset val="177"/>
      <family val="1"/>
      <sz val="10"/>
    </font>
    <font>
      <name val="Helv"/>
      <family val="2"/>
      <sz val="12"/>
    </font>
    <font>
      <name val="돋움"/>
      <charset val="129"/>
      <family val="2"/>
      <sz val="11"/>
    </font>
    <font>
      <name val="Calibri"/>
      <family val="2"/>
      <b val="1"/>
      <color indexed="8"/>
      <sz val="11"/>
    </font>
    <font>
      <name val="MS Sans Serif"/>
      <charset val="177"/>
      <family val="2"/>
      <sz val="10"/>
    </font>
    <font>
      <name val="Courier"/>
      <family val="3"/>
      <color indexed="8"/>
      <sz val="1"/>
    </font>
    <font>
      <name val="Courier"/>
      <family val="3"/>
      <i val="1"/>
      <color indexed="8"/>
      <sz val="1"/>
    </font>
    <font>
      <name val="Book Antiqua"/>
      <family val="1"/>
      <color indexed="12"/>
      <sz val="11"/>
      <u val="single"/>
    </font>
    <font>
      <name val="Helv"/>
      <family val="2"/>
      <b val="1"/>
      <sz val="12"/>
    </font>
    <font>
      <name val="Arial"/>
      <family val="2"/>
      <b val="1"/>
      <sz val="12"/>
    </font>
    <font>
      <name val="Arial"/>
      <family val="2"/>
      <b val="1"/>
      <sz val="18"/>
    </font>
    <font>
      <name val="Univers (WN)"/>
      <family val="2"/>
      <sz val="10"/>
    </font>
    <font>
      <name val="Arial Cyr"/>
      <charset val="204"/>
      <family val="2"/>
      <color indexed="12"/>
      <sz val="8"/>
      <u val="single"/>
    </font>
    <font>
      <name val="Helv"/>
      <family val="2"/>
      <b val="1"/>
      <sz val="14"/>
    </font>
    <font>
      <name val="Helv"/>
      <family val="2"/>
      <b val="1"/>
      <sz val="11"/>
    </font>
    <font>
      <name val="Small Fonts"/>
      <charset val="177"/>
      <family val="2"/>
      <sz val="7"/>
    </font>
    <font>
      <name val="Helv"/>
      <family val="2"/>
      <b val="1"/>
      <i val="1"/>
      <sz val="16"/>
    </font>
    <font>
      <name val="標準明朝"/>
      <charset val="128"/>
      <family val="1"/>
      <sz val="12"/>
    </font>
    <font>
      <name val="Arial Cyr"/>
      <charset val="204"/>
      <family val="2"/>
      <sz val="8"/>
    </font>
    <font>
      <name val="ＭＳ 明朝"/>
      <charset val="128"/>
      <family val="1"/>
      <sz val="10"/>
    </font>
    <font>
      <name val="ＭＳ 明朝"/>
      <charset val="128"/>
      <family val="1"/>
      <sz val="14"/>
    </font>
    <font>
      <name val="Times New Roman"/>
      <family val="1"/>
      <color indexed="8"/>
      <sz val="12"/>
    </font>
    <font>
      <name val="Century Schoolbook"/>
      <family val="1"/>
      <color indexed="16"/>
      <sz val="8"/>
    </font>
    <font>
      <name val="Times New Roman"/>
      <family val="1"/>
      <b val="1"/>
      <i val="1"/>
      <sz val="10"/>
    </font>
    <font>
      <name val="Cambria"/>
      <family val="2"/>
      <b val="1"/>
      <color indexed="62"/>
      <sz val="18"/>
    </font>
    <font>
      <name val=".VnTime"/>
      <family val="2"/>
      <sz val="13"/>
    </font>
    <font>
      <name val="Helv"/>
      <family val="2"/>
      <color indexed="13"/>
      <sz val="24"/>
    </font>
    <font>
      <name val="Arial"/>
      <family val="2"/>
      <color indexed="12"/>
      <sz val="10"/>
    </font>
    <font>
      <name val="VNtimes new roman"/>
      <family val="2"/>
      <sz val="10"/>
    </font>
    <font>
      <name val=".VnArial"/>
      <family val="2"/>
      <sz val="14"/>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明朝"/>
      <charset val="128"/>
      <family val="1"/>
      <sz val="11"/>
    </font>
    <font>
      <name val="ＭＳ Ｐゴシック"/>
      <charset val="128"/>
      <family val="3"/>
      <color indexed="52"/>
      <sz val="11"/>
    </font>
    <font>
      <name val="Helv"/>
      <charset val="204"/>
      <sz val="10"/>
    </font>
    <font>
      <name val="Tms Rmn"/>
      <family val="1"/>
      <sz val="12"/>
    </font>
    <font>
      <name val=" "/>
      <charset val="136"/>
      <family val="1"/>
      <sz val="10"/>
    </font>
    <font>
      <name val="Courier"/>
      <family val="3"/>
      <b val="1"/>
      <color indexed="8"/>
      <sz val="1"/>
    </font>
    <font>
      <name val="뼻뮝"/>
      <charset val="129"/>
      <family val="3"/>
      <sz val="14"/>
    </font>
    <font>
      <name val="뼻뮝"/>
      <charset val="129"/>
      <family val="3"/>
      <sz val="12"/>
    </font>
    <font>
      <name val="굴림체"/>
      <charset val="129"/>
      <family val="3"/>
      <b val="1"/>
      <color indexed="16"/>
      <sz val="12"/>
    </font>
    <font>
      <name val="명조"/>
      <charset val="129"/>
      <family val="3"/>
      <sz val="10"/>
    </font>
    <font>
      <name val="ＭＳ Ｐゴシック"/>
      <charset val="128"/>
      <family val="3"/>
      <color indexed="62"/>
      <sz val="11"/>
    </font>
    <font>
      <name val="ＭＳ Ｐゴシック"/>
      <charset val="128"/>
      <family val="3"/>
      <b val="1"/>
      <color indexed="63"/>
      <sz val="11"/>
    </font>
    <font>
      <name val="宋体"/>
      <charset val="129"/>
      <sz val="12"/>
    </font>
    <font>
      <name val="賴於"/>
      <charset val="128"/>
      <family val="1"/>
      <sz val="11"/>
    </font>
    <font>
      <name val="ＭＳ Ｐゴシック"/>
      <charset val="128"/>
      <family val="3"/>
      <color indexed="20"/>
      <sz val="11"/>
    </font>
    <font>
      <name val="ＭＳ 明朝"/>
      <charset val="128"/>
      <family val="1"/>
      <sz val="11"/>
    </font>
    <font>
      <name val="ＭＳ 明朝"/>
      <charset val="128"/>
      <family val="1"/>
      <sz val="10.5"/>
    </font>
    <font>
      <name val="ＭＳ Ｐゴシック"/>
      <charset val="128"/>
      <family val="3"/>
      <color indexed="17"/>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ゴシック"/>
      <charset val="128"/>
      <family val="3"/>
      <sz val="10"/>
    </font>
    <font>
      <name val="ＭＳ Ｐゴシック"/>
      <charset val="128"/>
      <family val="3"/>
      <b val="1"/>
      <color indexed="52"/>
      <sz val="11"/>
    </font>
    <font>
      <name val="ＭＳ Ｐゴシック"/>
      <charset val="128"/>
      <family val="3"/>
      <i val="1"/>
      <color indexed="23"/>
      <sz val="11"/>
    </font>
    <font>
      <name val="ＭＳ Ｐゴシック"/>
      <charset val="128"/>
      <family val="3"/>
      <color indexed="10"/>
      <sz val="11"/>
    </font>
    <font>
      <name val="Courier"/>
      <family val="3"/>
      <sz val="12"/>
    </font>
    <font>
      <name val="ＭＳ Ｐゴシック"/>
      <charset val="128"/>
      <family val="3"/>
      <b val="1"/>
      <color indexed="8"/>
      <sz val="11"/>
    </font>
    <font>
      <name val="ＭＳ Ｐゴシック"/>
      <charset val="128"/>
      <family val="3"/>
      <color theme="10"/>
      <sz val="11"/>
      <u val="single"/>
    </font>
    <font>
      <name val="Calibri"/>
      <family val="2"/>
      <color theme="1"/>
      <sz val="11"/>
    </font>
    <font>
      <name val="Times New Roman"/>
      <family val="1"/>
      <b val="1"/>
      <sz val="18"/>
    </font>
    <font>
      <name val="Times New Roman"/>
      <charset val="163"/>
      <family val="1"/>
      <b val="1"/>
      <sz val="14"/>
    </font>
    <font>
      <name val="Times New Roman"/>
      <family val="1"/>
      <b val="1"/>
      <sz val="14"/>
    </font>
    <font>
      <name val="Times New Roman"/>
      <family val="1"/>
      <b val="1"/>
      <i val="1"/>
      <sz val="14"/>
    </font>
    <font>
      <name val="Times New Roman"/>
      <family val="1"/>
      <b val="1"/>
      <color theme="1"/>
      <sz val="11.5"/>
    </font>
    <font>
      <name val="Times New Roman"/>
      <family val="1"/>
      <color theme="0" tint="-0.499984740745262"/>
      <sz val="11.5"/>
    </font>
    <font>
      <name val="Times New Roman"/>
      <family val="1"/>
      <color theme="1"/>
      <sz val="11.5"/>
    </font>
    <font>
      <name val="Times New Roman"/>
      <family val="1"/>
      <b val="1"/>
      <sz val="11.5"/>
    </font>
    <font>
      <name val="Times New Roman"/>
      <family val="1"/>
      <sz val="11.5"/>
    </font>
    <font>
      <name val="Calibri"/>
      <family val="2"/>
      <sz val="13"/>
    </font>
    <font>
      <name val="Times New Roman"/>
      <family val="1"/>
      <sz val="11"/>
    </font>
    <font>
      <name val="Times New Roman"/>
      <family val="1"/>
      <color theme="1"/>
      <sz val="13"/>
    </font>
    <font>
      <name val="Times New Roman"/>
      <family val="1"/>
      <b val="1"/>
      <color theme="1"/>
      <sz val="25"/>
    </font>
    <font>
      <name val="Times New Roman"/>
      <family val="1"/>
      <b val="1"/>
      <i val="1"/>
      <color theme="1"/>
      <sz val="25"/>
    </font>
    <font>
      <name val="Times New Roman"/>
      <family val="1"/>
      <b val="1"/>
      <color theme="1"/>
      <sz val="13"/>
    </font>
    <font>
      <name val="Times New Roman"/>
      <family val="1"/>
      <b val="1"/>
      <color theme="1"/>
      <sz val="18"/>
      <u val="single"/>
    </font>
    <font>
      <name val="Times New Roman"/>
      <family val="1"/>
      <b val="1"/>
      <color theme="1"/>
      <sz val="18"/>
    </font>
    <font>
      <name val="Times New Roman"/>
      <family val="1"/>
      <b val="1"/>
      <color theme="1"/>
      <sz val="16"/>
    </font>
    <font>
      <name val="Times New Roman"/>
      <family val="1"/>
      <b val="1"/>
      <color theme="1"/>
      <sz val="15"/>
    </font>
    <font>
      <name val="Times New Roman"/>
      <family val="1"/>
      <b val="1"/>
      <color rgb="FFFF0000"/>
      <sz val="13"/>
    </font>
    <font>
      <name val="Times New Roman"/>
      <family val="1"/>
      <b val="1"/>
      <color theme="1"/>
      <sz val="14"/>
    </font>
    <font>
      <name val="Times New Roman"/>
      <family val="1"/>
      <b val="1"/>
      <color rgb="FFFF0000"/>
      <sz val="14"/>
    </font>
    <font>
      <name val="Calibri"/>
      <family val="2"/>
      <b val="1"/>
      <color theme="1"/>
      <sz val="12"/>
      <scheme val="minor"/>
    </font>
    <font>
      <name val="Calibri"/>
      <family val="2"/>
      <color theme="1"/>
      <sz val="12"/>
      <scheme val="minor"/>
    </font>
  </fonts>
  <fills count="55">
    <fill>
      <patternFill/>
    </fill>
    <fill>
      <patternFill patternType="gray125"/>
    </fill>
    <fill>
      <patternFill patternType="solid">
        <fgColor indexed="44"/>
        <bgColor indexed="64"/>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theme="0" tint="-0.249977111117893"/>
        <bgColor indexed="64"/>
      </patternFill>
    </fill>
    <fill>
      <patternFill patternType="solid">
        <fgColor indexed="45"/>
        <bgColor indexed="64"/>
      </patternFill>
    </fill>
    <fill>
      <patternFill patternType="solid">
        <fgColor theme="8" tint="0.7999816888943144"/>
        <bgColor indexed="64"/>
      </patternFill>
    </fill>
    <fill>
      <patternFill patternType="solid">
        <fgColor theme="0" tint="-0.0499893185216834"/>
        <bgColor indexed="64"/>
      </patternFill>
    </fill>
    <fill>
      <patternFill patternType="solid">
        <fgColor theme="9" tint="0.7999816888943144"/>
        <bgColor indexed="64"/>
      </patternFill>
    </fill>
    <fill>
      <patternFill patternType="solid">
        <fgColor rgb="FFFF6699"/>
        <bgColor indexed="64"/>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13"/>
        <bgColor indexed="64"/>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53"/>
      </patternFill>
    </fill>
    <fill>
      <patternFill patternType="solid">
        <fgColor indexed="47"/>
        <bgColor indexed="47"/>
      </patternFill>
    </fill>
    <fill>
      <patternFill patternType="solid">
        <fgColor indexed="8"/>
        <bgColor indexed="64"/>
      </patternFill>
    </fill>
    <fill>
      <patternFill patternType="solid">
        <fgColor indexed="22"/>
      </patternFill>
    </fill>
    <fill>
      <patternFill patternType="solid">
        <fgColor indexed="55"/>
      </patternFill>
    </fill>
    <fill>
      <patternFill patternType="solid">
        <fgColor indexed="22"/>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13"/>
      </patternFill>
    </fill>
    <fill>
      <patternFill patternType="solid">
        <fgColor indexed="43"/>
      </patternFill>
    </fill>
    <fill>
      <patternFill patternType="solid">
        <fgColor indexed="26"/>
      </patternFill>
    </fill>
    <fill>
      <patternFill patternType="solid">
        <fgColor indexed="15"/>
      </patternFill>
    </fill>
    <fill>
      <patternFill patternType="solid">
        <fgColor indexed="12"/>
      </patternFill>
    </fill>
    <fill>
      <patternFill patternType="solid">
        <fgColor theme="6" tint="0.7999816888943144"/>
        <bgColor indexed="64"/>
      </patternFill>
    </fill>
    <fill>
      <patternFill patternType="solid">
        <fgColor theme="3" tint="0.7999816888943144"/>
        <bgColor indexed="64"/>
      </patternFill>
    </fill>
    <fill>
      <patternFill patternType="solid">
        <fgColor theme="8" tint="0.5999938962981048"/>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thin">
        <color indexed="62"/>
      </top>
      <bottom style="double">
        <color indexed="62"/>
      </bottom>
      <diagonal/>
    </border>
    <border>
      <left style="thin">
        <color indexed="8"/>
      </left>
      <right style="thin">
        <color indexed="8"/>
      </right>
      <top style="double">
        <color indexed="8"/>
      </top>
      <bottom style="thin">
        <color indexed="8"/>
      </bottom>
      <diagonal/>
    </border>
    <border>
      <left/>
      <right/>
      <top/>
      <bottom style="hair">
        <color indexed="64"/>
      </bottom>
      <diagonal/>
    </border>
    <border>
      <left/>
      <right/>
      <top style="double">
        <color indexed="64"/>
      </top>
      <bottom/>
      <diagonal/>
    </border>
    <border>
      <left style="thin">
        <color indexed="64"/>
      </left>
      <right/>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bottom/>
      <diagonal/>
    </border>
  </borders>
  <cellStyleXfs count="501">
    <xf numFmtId="0" fontId="1" fillId="0" borderId="0"/>
    <xf numFmtId="43" fontId="1" fillId="0" borderId="0"/>
    <xf numFmtId="0" fontId="1" fillId="0" borderId="0"/>
    <xf numFmtId="0" fontId="2" fillId="0" borderId="0"/>
    <xf numFmtId="43" fontId="4" fillId="0" borderId="0"/>
    <xf numFmtId="0" fontId="4" fillId="0" borderId="0"/>
    <xf numFmtId="43" fontId="2" fillId="0" borderId="0"/>
    <xf numFmtId="0" fontId="1" fillId="0" borderId="0"/>
    <xf numFmtId="0" fontId="7" fillId="0" borderId="0"/>
    <xf numFmtId="0" fontId="7" fillId="0" borderId="0"/>
    <xf numFmtId="0" fontId="7" fillId="0" borderId="0"/>
    <xf numFmtId="0" fontId="1" fillId="0" borderId="0"/>
    <xf numFmtId="0" fontId="16" fillId="0" borderId="0"/>
    <xf numFmtId="9" fontId="16" fillId="0" borderId="0"/>
    <xf numFmtId="43" fontId="7" fillId="0" borderId="0"/>
    <xf numFmtId="9" fontId="7" fillId="0" borderId="0"/>
    <xf numFmtId="43" fontId="7" fillId="0" borderId="0"/>
    <xf numFmtId="43" fontId="7" fillId="0" borderId="0"/>
    <xf numFmtId="43" fontId="7" fillId="0" borderId="0"/>
    <xf numFmtId="44" fontId="7" fillId="0" borderId="0"/>
    <xf numFmtId="44" fontId="16" fillId="0" borderId="0"/>
    <xf numFmtId="0" fontId="20" fillId="0" borderId="0" applyAlignment="1" applyProtection="1">
      <alignment vertical="top"/>
      <protection locked="0" hidden="0"/>
    </xf>
    <xf numFmtId="0" fontId="7" fillId="0" borderId="0"/>
    <xf numFmtId="0" fontId="21" fillId="0" borderId="0"/>
    <xf numFmtId="9" fontId="7" fillId="0" borderId="0"/>
    <xf numFmtId="9" fontId="7" fillId="0" borderId="0"/>
    <xf numFmtId="9" fontId="7" fillId="0" borderId="0"/>
    <xf numFmtId="9" fontId="1" fillId="0" borderId="0"/>
    <xf numFmtId="0" fontId="44" fillId="0" borderId="0"/>
    <xf numFmtId="172" fontId="46" fillId="0" borderId="0"/>
    <xf numFmtId="173" fontId="7" fillId="0" borderId="0"/>
    <xf numFmtId="44" fontId="47" fillId="0" borderId="0"/>
    <xf numFmtId="174" fontId="7" fillId="0" borderId="0"/>
    <xf numFmtId="0" fontId="48" fillId="0" borderId="0"/>
    <xf numFmtId="0" fontId="48" fillId="0" borderId="0"/>
    <xf numFmtId="175" fontId="47" fillId="0" borderId="0"/>
    <xf numFmtId="0" fontId="49" fillId="0" borderId="0"/>
    <xf numFmtId="0" fontId="50" fillId="0" borderId="0" applyAlignment="1" applyProtection="1">
      <alignment vertical="top"/>
      <protection locked="0" hidden="0"/>
    </xf>
    <xf numFmtId="0" fontId="50" fillId="0" borderId="0" applyAlignment="1" applyProtection="1">
      <alignment vertical="top"/>
      <protection locked="0" hidden="0"/>
    </xf>
    <xf numFmtId="0" fontId="51" fillId="0" borderId="0" applyAlignment="1" applyProtection="1">
      <alignment vertical="top"/>
      <protection locked="0" hidden="0"/>
    </xf>
    <xf numFmtId="41" fontId="52" fillId="0" borderId="0"/>
    <xf numFmtId="9" fontId="53" fillId="0" borderId="0"/>
    <xf numFmtId="0" fontId="54" fillId="0" borderId="0"/>
    <xf numFmtId="0" fontId="55" fillId="0" borderId="0"/>
    <xf numFmtId="0" fontId="56" fillId="0" borderId="0"/>
    <xf numFmtId="0" fontId="57" fillId="0" borderId="0"/>
    <xf numFmtId="0" fontId="58" fillId="0" borderId="0"/>
    <xf numFmtId="0" fontId="59" fillId="0" borderId="0"/>
    <xf numFmtId="0" fontId="59" fillId="0" borderId="0"/>
    <xf numFmtId="42" fontId="60" fillId="0" borderId="0"/>
    <xf numFmtId="0" fontId="61" fillId="0" borderId="0"/>
    <xf numFmtId="0" fontId="61" fillId="0" borderId="0"/>
    <xf numFmtId="0" fontId="61" fillId="0" borderId="0"/>
    <xf numFmtId="0" fontId="61" fillId="0" borderId="0"/>
    <xf numFmtId="0" fontId="61" fillId="0" borderId="0"/>
    <xf numFmtId="176" fontId="7" fillId="0" borderId="0"/>
    <xf numFmtId="177" fontId="60" fillId="0" borderId="0"/>
    <xf numFmtId="172" fontId="46" fillId="0" borderId="0"/>
    <xf numFmtId="43" fontId="46" fillId="0" borderId="0"/>
    <xf numFmtId="43" fontId="46" fillId="0" borderId="0"/>
    <xf numFmtId="43" fontId="46" fillId="0" borderId="0"/>
    <xf numFmtId="43" fontId="46" fillId="0" borderId="0"/>
    <xf numFmtId="175" fontId="60" fillId="0" borderId="0"/>
    <xf numFmtId="178" fontId="60" fillId="0" borderId="0"/>
    <xf numFmtId="41" fontId="46" fillId="0" borderId="0"/>
    <xf numFmtId="41" fontId="46" fillId="0" borderId="0"/>
    <xf numFmtId="41" fontId="46" fillId="0" borderId="0"/>
    <xf numFmtId="41" fontId="46" fillId="0" borderId="0"/>
    <xf numFmtId="177" fontId="60" fillId="0" borderId="0"/>
    <xf numFmtId="42" fontId="60" fillId="0" borderId="0"/>
    <xf numFmtId="175" fontId="60" fillId="0" borderId="0"/>
    <xf numFmtId="178" fontId="60" fillId="0" borderId="0"/>
    <xf numFmtId="43" fontId="46" fillId="0" borderId="0"/>
    <xf numFmtId="43" fontId="46" fillId="0" borderId="0"/>
    <xf numFmtId="43" fontId="46" fillId="0" borderId="0"/>
    <xf numFmtId="43" fontId="46" fillId="0" borderId="0"/>
    <xf numFmtId="179" fontId="60" fillId="0" borderId="0"/>
    <xf numFmtId="180" fontId="60" fillId="0" borderId="0"/>
    <xf numFmtId="42" fontId="60" fillId="0" borderId="0"/>
    <xf numFmtId="41" fontId="46" fillId="0" borderId="0"/>
    <xf numFmtId="41" fontId="46" fillId="0" borderId="0"/>
    <xf numFmtId="41" fontId="46" fillId="0" borderId="0"/>
    <xf numFmtId="41" fontId="46" fillId="0" borderId="0"/>
    <xf numFmtId="43" fontId="46" fillId="0" borderId="0"/>
    <xf numFmtId="179" fontId="60" fillId="0" borderId="0"/>
    <xf numFmtId="180" fontId="60" fillId="0" borderId="0"/>
    <xf numFmtId="175" fontId="60" fillId="0" borderId="0"/>
    <xf numFmtId="178" fontId="60" fillId="0" borderId="0"/>
    <xf numFmtId="41" fontId="46" fillId="0" borderId="0"/>
    <xf numFmtId="41" fontId="46" fillId="0" borderId="0"/>
    <xf numFmtId="41" fontId="46" fillId="0" borderId="0"/>
    <xf numFmtId="41" fontId="46" fillId="0" borderId="0"/>
    <xf numFmtId="172" fontId="46" fillId="0" borderId="0"/>
    <xf numFmtId="43" fontId="46" fillId="0" borderId="0"/>
    <xf numFmtId="43" fontId="46" fillId="0" borderId="0"/>
    <xf numFmtId="43" fontId="46" fillId="0" borderId="0"/>
    <xf numFmtId="41" fontId="46" fillId="0" borderId="0"/>
    <xf numFmtId="179" fontId="60" fillId="0" borderId="0"/>
    <xf numFmtId="180" fontId="60" fillId="0" borderId="0"/>
    <xf numFmtId="175" fontId="60" fillId="0" borderId="0"/>
    <xf numFmtId="178" fontId="60" fillId="0" borderId="0"/>
    <xf numFmtId="172" fontId="46" fillId="0" borderId="0"/>
    <xf numFmtId="181" fontId="46" fillId="0" borderId="0"/>
    <xf numFmtId="43" fontId="46" fillId="0" borderId="0"/>
    <xf numFmtId="43" fontId="46" fillId="0" borderId="0"/>
    <xf numFmtId="43" fontId="46" fillId="0" borderId="0"/>
    <xf numFmtId="43" fontId="46" fillId="0" borderId="0"/>
    <xf numFmtId="41" fontId="46" fillId="0" borderId="0"/>
    <xf numFmtId="41" fontId="46" fillId="0" borderId="0"/>
    <xf numFmtId="41" fontId="46" fillId="0" borderId="0"/>
    <xf numFmtId="182" fontId="52" fillId="0" borderId="0"/>
    <xf numFmtId="172" fontId="52" fillId="0" borderId="0"/>
    <xf numFmtId="0" fontId="62" fillId="0" borderId="0"/>
    <xf numFmtId="9" fontId="7" fillId="12" borderId="0"/>
    <xf numFmtId="0" fontId="63" fillId="0" borderId="0"/>
    <xf numFmtId="0" fontId="7" fillId="0" borderId="0"/>
    <xf numFmtId="0" fontId="64" fillId="0" borderId="0"/>
    <xf numFmtId="0" fontId="65" fillId="0" borderId="0" applyAlignment="1" applyProtection="1">
      <alignment vertical="top"/>
      <protection locked="0" hidden="0"/>
    </xf>
    <xf numFmtId="183" fontId="66" fillId="0" borderId="0"/>
    <xf numFmtId="184" fontId="66" fillId="0" borderId="0"/>
    <xf numFmtId="185" fontId="67" fillId="0" borderId="0"/>
    <xf numFmtId="186" fontId="67" fillId="0" borderId="0"/>
    <xf numFmtId="187" fontId="67" fillId="0" borderId="0"/>
    <xf numFmtId="188" fontId="67" fillId="0" borderId="0"/>
    <xf numFmtId="0" fontId="68" fillId="0" borderId="0" applyAlignment="1" applyProtection="1">
      <alignment vertical="top"/>
      <protection locked="0" hidden="0"/>
    </xf>
    <xf numFmtId="0" fontId="69" fillId="0" borderId="0"/>
    <xf numFmtId="9" fontId="70" fillId="0" borderId="0"/>
    <xf numFmtId="0" fontId="48" fillId="0" borderId="14" applyAlignment="1">
      <alignment horizontal="center"/>
    </xf>
    <xf numFmtId="0" fontId="71" fillId="13" borderId="0" applyAlignment="1">
      <alignment vertical="center"/>
    </xf>
    <xf numFmtId="0" fontId="71" fillId="14" borderId="0" applyAlignment="1">
      <alignment vertical="center"/>
    </xf>
    <xf numFmtId="0" fontId="71" fillId="15" borderId="0" applyAlignment="1">
      <alignment vertical="center"/>
    </xf>
    <xf numFmtId="0" fontId="71" fillId="16" borderId="0" applyAlignment="1">
      <alignment vertical="center"/>
    </xf>
    <xf numFmtId="0" fontId="71" fillId="17" borderId="0" applyAlignment="1">
      <alignment vertical="center"/>
    </xf>
    <xf numFmtId="0" fontId="71" fillId="18" borderId="0" applyAlignment="1">
      <alignment vertical="center"/>
    </xf>
    <xf numFmtId="0" fontId="71" fillId="19" borderId="0" applyAlignment="1">
      <alignment vertical="center"/>
    </xf>
    <xf numFmtId="0" fontId="71" fillId="20" borderId="0" applyAlignment="1">
      <alignment vertical="center"/>
    </xf>
    <xf numFmtId="0" fontId="71" fillId="21" borderId="0" applyAlignment="1">
      <alignment vertical="center"/>
    </xf>
    <xf numFmtId="0" fontId="71" fillId="16" borderId="0" applyAlignment="1">
      <alignment vertical="center"/>
    </xf>
    <xf numFmtId="0" fontId="71" fillId="19" borderId="0" applyAlignment="1">
      <alignment vertical="center"/>
    </xf>
    <xf numFmtId="0" fontId="71" fillId="22" borderId="0" applyAlignment="1">
      <alignment vertical="center"/>
    </xf>
    <xf numFmtId="0" fontId="72" fillId="23" borderId="0" applyAlignment="1">
      <alignment vertical="center"/>
    </xf>
    <xf numFmtId="0" fontId="72" fillId="20" borderId="0" applyAlignment="1">
      <alignment vertical="center"/>
    </xf>
    <xf numFmtId="0" fontId="72" fillId="21" borderId="0" applyAlignment="1">
      <alignment vertical="center"/>
    </xf>
    <xf numFmtId="0" fontId="72" fillId="24" borderId="0" applyAlignment="1">
      <alignment vertical="center"/>
    </xf>
    <xf numFmtId="0" fontId="72" fillId="25" borderId="0" applyAlignment="1">
      <alignment vertical="center"/>
    </xf>
    <xf numFmtId="0" fontId="72" fillId="26" borderId="0" applyAlignment="1">
      <alignment vertical="center"/>
    </xf>
    <xf numFmtId="0" fontId="73" fillId="27" borderId="15" applyAlignment="1">
      <alignment horizontal="center" vertical="center"/>
    </xf>
    <xf numFmtId="0" fontId="2" fillId="29" borderId="0"/>
    <xf numFmtId="0" fontId="2" fillId="29" borderId="0"/>
    <xf numFmtId="0" fontId="74" fillId="30" borderId="0"/>
    <xf numFmtId="0" fontId="2" fillId="32" borderId="0"/>
    <xf numFmtId="0" fontId="2" fillId="33" borderId="0"/>
    <xf numFmtId="0" fontId="74" fillId="34" borderId="0"/>
    <xf numFmtId="0" fontId="2" fillId="32" borderId="0"/>
    <xf numFmtId="0" fontId="2" fillId="36" borderId="0"/>
    <xf numFmtId="0" fontId="74" fillId="33" borderId="0"/>
    <xf numFmtId="0" fontId="2" fillId="29" borderId="0"/>
    <xf numFmtId="0" fontId="2" fillId="33" borderId="0"/>
    <xf numFmtId="0" fontId="74" fillId="33" borderId="0"/>
    <xf numFmtId="0" fontId="2" fillId="37" borderId="0"/>
    <xf numFmtId="0" fontId="2" fillId="29" borderId="0"/>
    <xf numFmtId="0" fontId="74" fillId="30" borderId="0"/>
    <xf numFmtId="0" fontId="2" fillId="32" borderId="0"/>
    <xf numFmtId="0" fontId="2" fillId="39" borderId="0"/>
    <xf numFmtId="0" fontId="74" fillId="39" borderId="0"/>
    <xf numFmtId="0" fontId="75" fillId="0" borderId="0"/>
    <xf numFmtId="189" fontId="70" fillId="0" borderId="0"/>
    <xf numFmtId="189" fontId="76" fillId="0" borderId="0"/>
    <xf numFmtId="190" fontId="7" fillId="0" borderId="0"/>
    <xf numFmtId="0" fontId="77" fillId="0" borderId="0"/>
    <xf numFmtId="190" fontId="7" fillId="0" borderId="0"/>
    <xf numFmtId="191" fontId="70" fillId="0" borderId="0"/>
    <xf numFmtId="191" fontId="76" fillId="0" borderId="0"/>
    <xf numFmtId="192" fontId="7" fillId="0" borderId="0"/>
    <xf numFmtId="0" fontId="77" fillId="0" borderId="0"/>
    <xf numFmtId="192" fontId="7" fillId="0" borderId="0"/>
    <xf numFmtId="0" fontId="28" fillId="0" borderId="0" applyAlignment="1" applyProtection="1">
      <alignment horizontal="center" wrapText="1"/>
      <protection locked="0" hidden="0"/>
    </xf>
    <xf numFmtId="179" fontId="70" fillId="0" borderId="0"/>
    <xf numFmtId="179" fontId="76" fillId="0" borderId="0"/>
    <xf numFmtId="193" fontId="7" fillId="0" borderId="0"/>
    <xf numFmtId="0" fontId="77" fillId="0" borderId="0"/>
    <xf numFmtId="193" fontId="7" fillId="0" borderId="0"/>
    <xf numFmtId="175" fontId="70" fillId="0" borderId="0"/>
    <xf numFmtId="175" fontId="76" fillId="0" borderId="0"/>
    <xf numFmtId="194" fontId="7" fillId="0" borderId="0"/>
    <xf numFmtId="0" fontId="77" fillId="0" borderId="0"/>
    <xf numFmtId="194" fontId="7" fillId="0" borderId="0"/>
    <xf numFmtId="172" fontId="46" fillId="0" borderId="0"/>
    <xf numFmtId="0" fontId="48" fillId="0" borderId="0"/>
    <xf numFmtId="0" fontId="78" fillId="40" borderId="0"/>
    <xf numFmtId="0" fontId="79" fillId="0" borderId="0"/>
    <xf numFmtId="0" fontId="77" fillId="0" borderId="0"/>
    <xf numFmtId="0" fontId="80" fillId="0" borderId="0"/>
    <xf numFmtId="0" fontId="81" fillId="0" borderId="0"/>
    <xf numFmtId="0" fontId="82" fillId="0" borderId="0"/>
    <xf numFmtId="195" fontId="83" fillId="0" borderId="0"/>
    <xf numFmtId="196" fontId="84" fillId="0" borderId="0"/>
    <xf numFmtId="197" fontId="84" fillId="0" borderId="0"/>
    <xf numFmtId="198" fontId="85" fillId="0" borderId="0"/>
    <xf numFmtId="199" fontId="85" fillId="0" borderId="0"/>
    <xf numFmtId="200" fontId="66" fillId="0" borderId="0"/>
    <xf numFmtId="201" fontId="86" fillId="0" borderId="0"/>
    <xf numFmtId="196" fontId="84" fillId="0" borderId="0"/>
    <xf numFmtId="0" fontId="87" fillId="0" borderId="0"/>
    <xf numFmtId="202" fontId="60" fillId="0" borderId="0"/>
    <xf numFmtId="43" fontId="44" fillId="0" borderId="0"/>
    <xf numFmtId="41" fontId="7" fillId="0" borderId="0"/>
    <xf numFmtId="38" fontId="44" fillId="0" borderId="0"/>
    <xf numFmtId="41" fontId="88" fillId="0" borderId="0"/>
    <xf numFmtId="41" fontId="17" fillId="0" borderId="0"/>
    <xf numFmtId="38" fontId="44" fillId="0" borderId="0" applyAlignment="1">
      <alignment vertical="center"/>
    </xf>
    <xf numFmtId="41" fontId="71" fillId="0" borderId="0"/>
    <xf numFmtId="41" fontId="71" fillId="0" borderId="0"/>
    <xf numFmtId="41" fontId="89" fillId="0" borderId="0"/>
    <xf numFmtId="200" fontId="66" fillId="0" borderId="0"/>
    <xf numFmtId="43" fontId="1" fillId="0" borderId="0"/>
    <xf numFmtId="43" fontId="1" fillId="0" borderId="0"/>
    <xf numFmtId="43" fontId="7" fillId="0" borderId="0"/>
    <xf numFmtId="43" fontId="83" fillId="0" borderId="0"/>
    <xf numFmtId="43" fontId="7" fillId="0" borderId="0"/>
    <xf numFmtId="43" fontId="7" fillId="0" borderId="0"/>
    <xf numFmtId="40" fontId="44" fillId="0" borderId="0" applyAlignment="1">
      <alignment vertical="center"/>
    </xf>
    <xf numFmtId="40" fontId="44" fillId="0" borderId="0"/>
    <xf numFmtId="43" fontId="7" fillId="0" borderId="0"/>
    <xf numFmtId="43" fontId="88" fillId="0" borderId="0"/>
    <xf numFmtId="40" fontId="44" fillId="0" borderId="0"/>
    <xf numFmtId="203" fontId="7" fillId="0" borderId="0"/>
    <xf numFmtId="40" fontId="45" fillId="0" borderId="0" applyAlignment="1">
      <alignment vertical="top"/>
    </xf>
    <xf numFmtId="40" fontId="44" fillId="0" borderId="0" applyAlignment="1">
      <alignment vertical="center"/>
    </xf>
    <xf numFmtId="43" fontId="44" fillId="0" borderId="0"/>
    <xf numFmtId="43" fontId="89" fillId="0" borderId="0"/>
    <xf numFmtId="43" fontId="1" fillId="0" borderId="0"/>
    <xf numFmtId="175" fontId="7" fillId="0" borderId="0"/>
    <xf numFmtId="175" fontId="7" fillId="0" borderId="0"/>
    <xf numFmtId="40" fontId="44" fillId="0" borderId="0"/>
    <xf numFmtId="43" fontId="1" fillId="0" borderId="0"/>
    <xf numFmtId="204" fontId="7" fillId="0" borderId="0"/>
    <xf numFmtId="3" fontId="7" fillId="0" borderId="0"/>
    <xf numFmtId="0" fontId="90" fillId="0" borderId="0" applyAlignment="1">
      <alignment horizontal="left"/>
    </xf>
    <xf numFmtId="188" fontId="44" fillId="0" borderId="0"/>
    <xf numFmtId="196" fontId="84" fillId="0" borderId="0"/>
    <xf numFmtId="205" fontId="7" fillId="0" borderId="0"/>
    <xf numFmtId="206" fontId="7" fillId="0" borderId="0"/>
    <xf numFmtId="207" fontId="7" fillId="43" borderId="0"/>
    <xf numFmtId="0" fontId="91" fillId="0" borderId="0"/>
    <xf numFmtId="0" fontId="91" fillId="0" borderId="18"/>
    <xf numFmtId="0" fontId="7" fillId="0" borderId="0"/>
    <xf numFmtId="14" fontId="83" fillId="0" borderId="0"/>
    <xf numFmtId="0" fontId="45" fillId="0" borderId="0"/>
    <xf numFmtId="208" fontId="66" fillId="0" borderId="19" applyAlignment="1">
      <alignment vertical="center"/>
    </xf>
    <xf numFmtId="42" fontId="92" fillId="0" borderId="0"/>
    <xf numFmtId="44" fontId="92" fillId="0" borderId="0"/>
    <xf numFmtId="209" fontId="7" fillId="0" borderId="0"/>
    <xf numFmtId="0" fontId="93" fillId="44" borderId="0"/>
    <xf numFmtId="0" fontId="93" fillId="45" borderId="0"/>
    <xf numFmtId="0" fontId="93" fillId="46" borderId="0"/>
    <xf numFmtId="200" fontId="66" fillId="0" borderId="0"/>
    <xf numFmtId="196" fontId="84" fillId="0" borderId="0"/>
    <xf numFmtId="200" fontId="66" fillId="0" borderId="0"/>
    <xf numFmtId="201" fontId="86" fillId="0" borderId="0"/>
    <xf numFmtId="196" fontId="84" fillId="0" borderId="0"/>
    <xf numFmtId="0" fontId="84" fillId="0" borderId="0" applyAlignment="1">
      <alignment horizontal="left"/>
    </xf>
    <xf numFmtId="210" fontId="94" fillId="0" borderId="0"/>
    <xf numFmtId="0" fontId="95" fillId="0" borderId="0" applyProtection="1">
      <protection locked="0" hidden="0"/>
    </xf>
    <xf numFmtId="0" fontId="95" fillId="0" borderId="0" applyProtection="1">
      <protection locked="0" hidden="0"/>
    </xf>
    <xf numFmtId="0" fontId="96" fillId="0" borderId="0" applyProtection="1">
      <protection locked="0" hidden="0"/>
    </xf>
    <xf numFmtId="0" fontId="95" fillId="0" borderId="0" applyProtection="1">
      <protection locked="0" hidden="0"/>
    </xf>
    <xf numFmtId="0" fontId="95" fillId="0" borderId="0" applyProtection="1">
      <protection locked="0" hidden="0"/>
    </xf>
    <xf numFmtId="0" fontId="95" fillId="0" borderId="0" applyProtection="1">
      <protection locked="0" hidden="0"/>
    </xf>
    <xf numFmtId="0" fontId="96" fillId="0" borderId="0" applyProtection="1">
      <protection locked="0" hidden="0"/>
    </xf>
    <xf numFmtId="2" fontId="7" fillId="0" borderId="0"/>
    <xf numFmtId="0" fontId="97" fillId="0" borderId="0" applyAlignment="1" applyProtection="1">
      <alignment vertical="top"/>
      <protection locked="0" hidden="0"/>
    </xf>
    <xf numFmtId="38" fontId="75" fillId="43" borderId="0"/>
    <xf numFmtId="0" fontId="98" fillId="0" borderId="0" applyAlignment="1">
      <alignment horizontal="left"/>
    </xf>
    <xf numFmtId="0" fontId="99" fillId="0" borderId="20" applyAlignment="1">
      <alignment horizontal="left" vertical="center"/>
    </xf>
    <xf numFmtId="0" fontId="99" fillId="0" borderId="3" applyAlignment="1">
      <alignment horizontal="left" vertical="center"/>
    </xf>
    <xf numFmtId="0" fontId="100" fillId="0" borderId="0"/>
    <xf numFmtId="0" fontId="99" fillId="0" borderId="0"/>
    <xf numFmtId="0" fontId="101" fillId="0" borderId="0"/>
    <xf numFmtId="0" fontId="150" fillId="0" borderId="0"/>
    <xf numFmtId="0" fontId="102" fillId="0" borderId="0" applyAlignment="1" applyProtection="1">
      <alignment vertical="top"/>
      <protection locked="0" hidden="0"/>
    </xf>
    <xf numFmtId="180" fontId="60" fillId="0" borderId="0"/>
    <xf numFmtId="10" fontId="75" fillId="5" borderId="1"/>
    <xf numFmtId="0" fontId="7" fillId="0" borderId="0"/>
    <xf numFmtId="0" fontId="103" fillId="47" borderId="18"/>
    <xf numFmtId="200" fontId="66" fillId="0" borderId="0"/>
    <xf numFmtId="196" fontId="84" fillId="0" borderId="0"/>
    <xf numFmtId="200" fontId="66" fillId="0" borderId="0"/>
    <xf numFmtId="201" fontId="86" fillId="0" borderId="0"/>
    <xf numFmtId="196" fontId="84" fillId="0" borderId="0"/>
    <xf numFmtId="41" fontId="7" fillId="0" borderId="0"/>
    <xf numFmtId="43" fontId="7" fillId="0" borderId="0"/>
    <xf numFmtId="0" fontId="104" fillId="0" borderId="25"/>
    <xf numFmtId="6" fontId="7" fillId="0" borderId="0"/>
    <xf numFmtId="7" fontId="7" fillId="0" borderId="0"/>
    <xf numFmtId="0" fontId="94" fillId="0" borderId="0" applyAlignment="1">
      <alignment horizontal="right"/>
    </xf>
    <xf numFmtId="0" fontId="45" fillId="0" borderId="0"/>
    <xf numFmtId="37" fontId="105" fillId="0" borderId="0"/>
    <xf numFmtId="211" fontId="106"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107" fillId="0" borderId="0"/>
    <xf numFmtId="0" fontId="7" fillId="0" borderId="0"/>
    <xf numFmtId="0" fontId="1" fillId="0" borderId="0"/>
    <xf numFmtId="0" fontId="1" fillId="0" borderId="0"/>
    <xf numFmtId="0" fontId="7" fillId="0" borderId="0"/>
    <xf numFmtId="0" fontId="44" fillId="0" borderId="0"/>
    <xf numFmtId="0" fontId="63" fillId="0" borderId="0"/>
    <xf numFmtId="0" fontId="44" fillId="0" borderId="0"/>
    <xf numFmtId="0" fontId="63" fillId="0" borderId="0"/>
    <xf numFmtId="0" fontId="7" fillId="0" borderId="0"/>
    <xf numFmtId="0" fontId="44" fillId="0" borderId="0"/>
    <xf numFmtId="0" fontId="44" fillId="0" borderId="0"/>
    <xf numFmtId="0" fontId="88" fillId="0" borderId="0"/>
    <xf numFmtId="0" fontId="91" fillId="0" borderId="0"/>
    <xf numFmtId="0" fontId="1" fillId="0" borderId="0"/>
    <xf numFmtId="0" fontId="44" fillId="0" borderId="0"/>
    <xf numFmtId="0" fontId="108" fillId="0" borderId="0"/>
    <xf numFmtId="0" fontId="44" fillId="0" borderId="0" applyAlignment="1">
      <alignment vertical="center"/>
    </xf>
    <xf numFmtId="0" fontId="151" fillId="0" borderId="0"/>
    <xf numFmtId="0" fontId="44" fillId="0" borderId="0"/>
    <xf numFmtId="0" fontId="89" fillId="0" borderId="0"/>
    <xf numFmtId="0" fontId="151" fillId="0" borderId="0"/>
    <xf numFmtId="0" fontId="109" fillId="0" borderId="0"/>
    <xf numFmtId="0" fontId="110" fillId="0" borderId="0" applyAlignment="1">
      <alignment vertical="top"/>
    </xf>
    <xf numFmtId="43" fontId="52" fillId="0" borderId="0"/>
    <xf numFmtId="41" fontId="52" fillId="0" borderId="0"/>
    <xf numFmtId="0" fontId="111" fillId="5" borderId="0"/>
    <xf numFmtId="187" fontId="44" fillId="0" borderId="0"/>
    <xf numFmtId="185" fontId="44" fillId="0" borderId="0"/>
    <xf numFmtId="14" fontId="28" fillId="0" borderId="0" applyAlignment="1" applyProtection="1">
      <alignment horizontal="center" wrapText="1"/>
      <protection locked="0" hidden="0"/>
    </xf>
    <xf numFmtId="9" fontId="44" fillId="0" borderId="0"/>
    <xf numFmtId="199" fontId="85" fillId="0" borderId="0"/>
    <xf numFmtId="212" fontId="7" fillId="0" borderId="0"/>
    <xf numFmtId="10" fontId="7" fillId="0" borderId="0"/>
    <xf numFmtId="9" fontId="71" fillId="0" borderId="0"/>
    <xf numFmtId="9" fontId="71" fillId="0" borderId="0"/>
    <xf numFmtId="9" fontId="89" fillId="0" borderId="0"/>
    <xf numFmtId="9" fontId="7" fillId="0" borderId="0"/>
    <xf numFmtId="9" fontId="44" fillId="0" borderId="0"/>
    <xf numFmtId="9" fontId="1" fillId="0" borderId="0"/>
    <xf numFmtId="9" fontId="1" fillId="0" borderId="0"/>
    <xf numFmtId="9" fontId="1" fillId="0" borderId="0"/>
    <xf numFmtId="9" fontId="1" fillId="0" borderId="0"/>
    <xf numFmtId="9" fontId="63" fillId="0" borderId="28"/>
    <xf numFmtId="200" fontId="66" fillId="0" borderId="0"/>
    <xf numFmtId="196" fontId="84" fillId="0" borderId="0"/>
    <xf numFmtId="200" fontId="66" fillId="0" borderId="0"/>
    <xf numFmtId="201" fontId="86" fillId="0" borderId="0"/>
    <xf numFmtId="196" fontId="84" fillId="0" borderId="0"/>
    <xf numFmtId="4" fontId="84" fillId="0" borderId="0" applyAlignment="1">
      <alignment horizontal="right"/>
    </xf>
    <xf numFmtId="0" fontId="91" fillId="0" borderId="0"/>
    <xf numFmtId="4" fontId="112" fillId="0" borderId="0" applyAlignment="1">
      <alignment horizontal="right"/>
    </xf>
    <xf numFmtId="180" fontId="60" fillId="0" borderId="0"/>
    <xf numFmtId="0" fontId="113" fillId="0" borderId="0" applyAlignment="1">
      <alignment horizontal="left"/>
    </xf>
    <xf numFmtId="0" fontId="114" fillId="0" borderId="0"/>
    <xf numFmtId="213" fontId="94" fillId="0" borderId="0" applyAlignment="1">
      <alignment horizontal="center"/>
    </xf>
    <xf numFmtId="0" fontId="107" fillId="50" borderId="0"/>
    <xf numFmtId="177" fontId="60" fillId="0" borderId="0"/>
    <xf numFmtId="179" fontId="60" fillId="0" borderId="0"/>
    <xf numFmtId="180" fontId="60" fillId="0" borderId="0"/>
    <xf numFmtId="179" fontId="60" fillId="0" borderId="0"/>
    <xf numFmtId="180" fontId="60" fillId="0" borderId="0"/>
    <xf numFmtId="177" fontId="60" fillId="0" borderId="0"/>
    <xf numFmtId="42" fontId="60" fillId="0" borderId="0"/>
    <xf numFmtId="0" fontId="104" fillId="0" borderId="0"/>
    <xf numFmtId="213" fontId="115" fillId="0" borderId="2" applyAlignment="1">
      <alignment horizontal="right" vertical="center"/>
    </xf>
    <xf numFmtId="0" fontId="91" fillId="0" borderId="18"/>
    <xf numFmtId="49" fontId="83" fillId="0" borderId="0"/>
    <xf numFmtId="214" fontId="86" fillId="0" borderId="0"/>
    <xf numFmtId="215" fontId="86" fillId="0" borderId="0"/>
    <xf numFmtId="216" fontId="115" fillId="0" borderId="2" applyAlignment="1">
      <alignment horizontal="center"/>
    </xf>
    <xf numFmtId="40" fontId="26" fillId="0" borderId="0"/>
    <xf numFmtId="0" fontId="116" fillId="51" borderId="0"/>
    <xf numFmtId="0" fontId="103" fillId="0" borderId="30"/>
    <xf numFmtId="0" fontId="103" fillId="0" borderId="18"/>
    <xf numFmtId="41" fontId="7" fillId="0" borderId="0"/>
    <xf numFmtId="43" fontId="7" fillId="0" borderId="0"/>
    <xf numFmtId="9" fontId="117" fillId="0" borderId="0"/>
    <xf numFmtId="172" fontId="7" fillId="0" borderId="0"/>
    <xf numFmtId="182" fontId="7" fillId="0" borderId="0"/>
    <xf numFmtId="217" fontId="115" fillId="0" borderId="0"/>
    <xf numFmtId="218" fontId="115" fillId="0" borderId="1"/>
    <xf numFmtId="219" fontId="44" fillId="0" borderId="0"/>
    <xf numFmtId="220" fontId="44" fillId="0" borderId="0"/>
    <xf numFmtId="0" fontId="118" fillId="0" borderId="0"/>
    <xf numFmtId="0" fontId="118" fillId="0" borderId="0"/>
    <xf numFmtId="8" fontId="92" fillId="0" borderId="0"/>
    <xf numFmtId="41" fontId="92" fillId="0" borderId="0"/>
    <xf numFmtId="0" fontId="119" fillId="0" borderId="0"/>
    <xf numFmtId="0" fontId="72" fillId="28" borderId="0" applyAlignment="1">
      <alignment vertical="center"/>
    </xf>
    <xf numFmtId="0" fontId="72" fillId="31" borderId="0" applyAlignment="1">
      <alignment vertical="center"/>
    </xf>
    <xf numFmtId="0" fontId="72" fillId="35" borderId="0" applyAlignment="1">
      <alignment vertical="center"/>
    </xf>
    <xf numFmtId="0" fontId="72" fillId="24" borderId="0" applyAlignment="1">
      <alignment vertical="center"/>
    </xf>
    <xf numFmtId="0" fontId="72" fillId="25" borderId="0" applyAlignment="1">
      <alignment vertical="center"/>
    </xf>
    <xf numFmtId="0" fontId="72" fillId="38" borderId="0" applyAlignment="1">
      <alignment vertical="center"/>
    </xf>
    <xf numFmtId="0" fontId="120" fillId="0" borderId="0" applyAlignment="1">
      <alignment vertical="center"/>
    </xf>
    <xf numFmtId="0" fontId="121" fillId="42" borderId="17" applyAlignment="1">
      <alignment vertical="center"/>
    </xf>
    <xf numFmtId="0" fontId="122" fillId="48" borderId="0" applyAlignment="1">
      <alignment vertical="center"/>
    </xf>
    <xf numFmtId="164" fontId="123" fillId="0" borderId="0"/>
    <xf numFmtId="221" fontId="123" fillId="0" borderId="0"/>
    <xf numFmtId="9" fontId="44" fillId="0" borderId="0"/>
    <xf numFmtId="0" fontId="61" fillId="0" borderId="0"/>
    <xf numFmtId="0" fontId="44" fillId="49" borderId="26" applyAlignment="1">
      <alignment vertical="center"/>
    </xf>
    <xf numFmtId="179" fontId="7" fillId="0" borderId="0"/>
    <xf numFmtId="4" fontId="61" fillId="0" borderId="0"/>
    <xf numFmtId="0" fontId="124" fillId="0" borderId="24" applyAlignment="1">
      <alignment vertical="center"/>
    </xf>
    <xf numFmtId="0" fontId="125" fillId="0" borderId="0"/>
    <xf numFmtId="38" fontId="63" fillId="0" borderId="0"/>
    <xf numFmtId="40" fontId="63" fillId="0" borderId="0"/>
    <xf numFmtId="6" fontId="63" fillId="0" borderId="0"/>
    <xf numFmtId="8" fontId="63" fillId="0" borderId="0"/>
    <xf numFmtId="37" fontId="126" fillId="0" borderId="0"/>
    <xf numFmtId="0" fontId="127" fillId="0" borderId="0"/>
    <xf numFmtId="0" fontId="127" fillId="0" borderId="0"/>
    <xf numFmtId="0" fontId="17" fillId="0" borderId="0" applyAlignment="1">
      <alignment vertical="center"/>
    </xf>
    <xf numFmtId="222" fontId="48" fillId="0" borderId="0" applyProtection="1">
      <protection locked="0" hidden="0"/>
    </xf>
    <xf numFmtId="0" fontId="128" fillId="0" borderId="0" applyProtection="1">
      <protection locked="0" hidden="0"/>
    </xf>
    <xf numFmtId="0" fontId="128" fillId="0" borderId="0" applyProtection="1">
      <protection locked="0" hidden="0"/>
    </xf>
    <xf numFmtId="0" fontId="95" fillId="0" borderId="0" applyProtection="1">
      <protection locked="0" hidden="0"/>
    </xf>
    <xf numFmtId="0" fontId="95" fillId="0" borderId="0" applyProtection="1">
      <protection locked="0" hidden="0"/>
    </xf>
    <xf numFmtId="40" fontId="129" fillId="0" borderId="0"/>
    <xf numFmtId="38" fontId="129" fillId="0" borderId="0"/>
    <xf numFmtId="0" fontId="129" fillId="0" borderId="0"/>
    <xf numFmtId="0" fontId="129" fillId="0" borderId="0"/>
    <xf numFmtId="9" fontId="48" fillId="0" borderId="0"/>
    <xf numFmtId="0" fontId="130" fillId="0" borderId="0"/>
    <xf numFmtId="223" fontId="131" fillId="0" borderId="0" applyAlignment="1">
      <alignment vertical="center"/>
    </xf>
    <xf numFmtId="41" fontId="92" fillId="0" borderId="0"/>
    <xf numFmtId="0" fontId="63" fillId="0" borderId="0"/>
    <xf numFmtId="0" fontId="132" fillId="0" borderId="31"/>
    <xf numFmtId="4" fontId="95" fillId="0" borderId="0" applyProtection="1">
      <protection locked="0" hidden="0"/>
    </xf>
    <xf numFmtId="224" fontId="48" fillId="0" borderId="0" applyProtection="1">
      <protection locked="0" hidden="0"/>
    </xf>
    <xf numFmtId="0" fontId="48" fillId="0" borderId="0"/>
    <xf numFmtId="0" fontId="48" fillId="0" borderId="0"/>
    <xf numFmtId="0" fontId="48" fillId="0" borderId="0"/>
    <xf numFmtId="225" fontId="92" fillId="0" borderId="0"/>
    <xf numFmtId="226" fontId="92" fillId="0" borderId="0"/>
    <xf numFmtId="227" fontId="48" fillId="0" borderId="0" applyProtection="1">
      <protection locked="0" hidden="0"/>
    </xf>
    <xf numFmtId="0" fontId="59" fillId="0" borderId="0"/>
    <xf numFmtId="0" fontId="95" fillId="0" borderId="32" applyProtection="1">
      <protection locked="0" hidden="0"/>
    </xf>
    <xf numFmtId="228" fontId="48" fillId="0" borderId="0" applyProtection="1">
      <protection locked="0" hidden="0"/>
    </xf>
    <xf numFmtId="229" fontId="48" fillId="0" borderId="0" applyProtection="1">
      <protection locked="0" hidden="0"/>
    </xf>
    <xf numFmtId="0" fontId="45" fillId="0" borderId="0"/>
    <xf numFmtId="0" fontId="133" fillId="18" borderId="16" applyAlignment="1">
      <alignment vertical="center"/>
    </xf>
    <xf numFmtId="0" fontId="134" fillId="41" borderId="27" applyAlignment="1">
      <alignment vertical="center"/>
    </xf>
    <xf numFmtId="179" fontId="135" fillId="0" borderId="0"/>
    <xf numFmtId="175" fontId="135" fillId="0" borderId="0"/>
    <xf numFmtId="41" fontId="73" fillId="0" borderId="0"/>
    <xf numFmtId="43" fontId="73" fillId="0" borderId="0"/>
    <xf numFmtId="230" fontId="7" fillId="0" borderId="0"/>
    <xf numFmtId="231" fontId="7" fillId="0" borderId="0"/>
    <xf numFmtId="0" fontId="136" fillId="0" borderId="0"/>
    <xf numFmtId="0" fontId="135" fillId="0" borderId="0"/>
    <xf numFmtId="0" fontId="137" fillId="14" borderId="0" applyAlignment="1">
      <alignment vertical="center"/>
    </xf>
    <xf numFmtId="49" fontId="138" fillId="0" borderId="0"/>
    <xf numFmtId="0" fontId="110" fillId="0" borderId="0"/>
    <xf numFmtId="232" fontId="7" fillId="0" borderId="0"/>
    <xf numFmtId="40" fontId="44" fillId="0" borderId="0"/>
    <xf numFmtId="43" fontId="44" fillId="0" borderId="0"/>
    <xf numFmtId="43" fontId="88" fillId="0" borderId="0"/>
    <xf numFmtId="38" fontId="44" fillId="0" borderId="0" applyAlignment="1">
      <alignment vertical="center"/>
    </xf>
    <xf numFmtId="41" fontId="88" fillId="0" borderId="0"/>
    <xf numFmtId="183" fontId="66" fillId="0" borderId="0"/>
    <xf numFmtId="184" fontId="66" fillId="0" borderId="0"/>
    <xf numFmtId="0" fontId="7" fillId="0" borderId="0"/>
    <xf numFmtId="0" fontId="7" fillId="0" borderId="0"/>
    <xf numFmtId="0" fontId="44" fillId="0" borderId="0" applyAlignment="1">
      <alignment vertical="center"/>
    </xf>
    <xf numFmtId="0" fontId="44" fillId="0" borderId="0" applyAlignment="1">
      <alignment vertical="center"/>
    </xf>
    <xf numFmtId="0" fontId="109" fillId="0" borderId="0"/>
    <xf numFmtId="0" fontId="44" fillId="0" borderId="0" applyAlignment="1">
      <alignment vertical="center"/>
    </xf>
    <xf numFmtId="0" fontId="139" fillId="0" borderId="0" applyAlignment="1">
      <alignment vertical="center"/>
    </xf>
    <xf numFmtId="185" fontId="44" fillId="0" borderId="0"/>
    <xf numFmtId="187" fontId="44" fillId="0" borderId="0"/>
    <xf numFmtId="0" fontId="140" fillId="15" borderId="0" applyAlignment="1">
      <alignment vertical="center"/>
    </xf>
    <xf numFmtId="0" fontId="141" fillId="0" borderId="21" applyAlignment="1">
      <alignment vertical="center"/>
    </xf>
    <xf numFmtId="0" fontId="142" fillId="0" borderId="22" applyAlignment="1">
      <alignment vertical="center"/>
    </xf>
    <xf numFmtId="0" fontId="143" fillId="0" borderId="23" applyAlignment="1">
      <alignment vertical="center"/>
    </xf>
    <xf numFmtId="0" fontId="143" fillId="0" borderId="0" applyAlignment="1">
      <alignment vertical="center"/>
    </xf>
    <xf numFmtId="4" fontId="144" fillId="0" borderId="0" applyAlignment="1">
      <alignment vertical="center"/>
    </xf>
    <xf numFmtId="0" fontId="145" fillId="41" borderId="16" applyAlignment="1">
      <alignment vertical="center"/>
    </xf>
    <xf numFmtId="0" fontId="146" fillId="0" borderId="0" applyAlignment="1">
      <alignment vertical="center"/>
    </xf>
    <xf numFmtId="0" fontId="147" fillId="0" borderId="0" applyAlignment="1">
      <alignment vertical="center"/>
    </xf>
    <xf numFmtId="172" fontId="73" fillId="0" borderId="0"/>
    <xf numFmtId="6" fontId="148" fillId="0" borderId="0"/>
    <xf numFmtId="182" fontId="73" fillId="0" borderId="0"/>
    <xf numFmtId="189" fontId="135" fillId="0" borderId="0"/>
    <xf numFmtId="191" fontId="135" fillId="0" borderId="0"/>
    <xf numFmtId="0" fontId="7" fillId="0" borderId="0"/>
    <xf numFmtId="0" fontId="7" fillId="0" borderId="0"/>
    <xf numFmtId="0" fontId="149" fillId="0" borderId="29" applyAlignment="1">
      <alignment vertical="center"/>
    </xf>
    <xf numFmtId="175" fontId="7" fillId="0" borderId="0"/>
    <xf numFmtId="179" fontId="7" fillId="0" borderId="0"/>
    <xf numFmtId="9" fontId="7" fillId="0" borderId="0"/>
    <xf numFmtId="0" fontId="161" fillId="0" borderId="37" applyAlignment="1">
      <alignment wrapText="1"/>
    </xf>
    <xf numFmtId="14" fontId="162" fillId="0" borderId="37" applyAlignment="1">
      <alignment horizontal="center" vertical="center" wrapText="1"/>
    </xf>
    <xf numFmtId="233" fontId="162" fillId="0" borderId="37" applyAlignment="1">
      <alignment horizontal="center" vertical="center"/>
    </xf>
  </cellStyleXfs>
  <cellXfs count="340">
    <xf numFmtId="0" fontId="0" fillId="0" borderId="0" pivotButton="0" quotePrefix="0" xfId="0"/>
    <xf numFmtId="0" fontId="3" fillId="0" borderId="0" applyAlignment="1" pivotButton="0" quotePrefix="0" xfId="11">
      <alignment vertical="center"/>
    </xf>
    <xf numFmtId="0" fontId="9" fillId="0" borderId="0" applyAlignment="1" pivotButton="0" quotePrefix="0" xfId="11">
      <alignment horizontal="center" vertical="center"/>
    </xf>
    <xf numFmtId="0" fontId="10" fillId="3" borderId="0" applyAlignment="1" pivotButton="0" quotePrefix="0" xfId="11">
      <alignment horizontal="left" vertical="center" wrapText="1"/>
    </xf>
    <xf numFmtId="0" fontId="11" fillId="0" borderId="0" applyAlignment="1" pivotButton="0" quotePrefix="0" xfId="11">
      <alignment horizontal="centerContinuous" vertical="center"/>
    </xf>
    <xf numFmtId="0" fontId="3" fillId="0" borderId="0" applyAlignment="1" pivotButton="0" quotePrefix="0" xfId="11">
      <alignment horizontal="centerContinuous" vertical="center"/>
    </xf>
    <xf numFmtId="0" fontId="10" fillId="3" borderId="0" applyAlignment="1" pivotButton="0" quotePrefix="0" xfId="11">
      <alignment horizontal="center" vertical="center"/>
    </xf>
    <xf numFmtId="0" fontId="12" fillId="0" borderId="0" applyAlignment="1" pivotButton="0" quotePrefix="0" xfId="11">
      <alignment horizontal="centerContinuous" vertical="center"/>
    </xf>
    <xf numFmtId="0" fontId="13" fillId="3" borderId="0" applyAlignment="1" pivotButton="0" quotePrefix="0" xfId="10">
      <alignment vertical="center"/>
    </xf>
    <xf numFmtId="0" fontId="14" fillId="5" borderId="0" applyAlignment="1" pivotButton="0" quotePrefix="0" xfId="10">
      <alignment horizontal="center" vertical="center"/>
    </xf>
    <xf numFmtId="0" fontId="15" fillId="5" borderId="0" applyAlignment="1" pivotButton="0" quotePrefix="1" xfId="10">
      <alignment horizontal="left" vertical="center"/>
    </xf>
    <xf numFmtId="0" fontId="13" fillId="3" borderId="10" applyAlignment="1" pivotButton="0" quotePrefix="0" xfId="10">
      <alignment vertical="center" textRotation="90" wrapText="1"/>
    </xf>
    <xf numFmtId="0" fontId="13" fillId="3" borderId="0" applyAlignment="1" pivotButton="0" quotePrefix="0" xfId="10">
      <alignment vertical="center" textRotation="90" wrapText="1"/>
    </xf>
    <xf numFmtId="0" fontId="19" fillId="7" borderId="0" applyAlignment="1" pivotButton="0" quotePrefix="0" xfId="10">
      <alignment vertical="center" textRotation="90" wrapText="1"/>
    </xf>
    <xf numFmtId="0" fontId="13" fillId="3" borderId="8" applyAlignment="1" pivotButton="0" quotePrefix="0" xfId="10">
      <alignment vertical="center" wrapText="1"/>
    </xf>
    <xf numFmtId="0" fontId="13" fillId="3" borderId="0" applyAlignment="1" pivotButton="0" quotePrefix="0" xfId="10">
      <alignment vertical="center" wrapText="1"/>
    </xf>
    <xf numFmtId="0" fontId="8" fillId="3" borderId="9" applyAlignment="1" pivotButton="0" quotePrefix="0" xfId="9">
      <alignment vertical="center"/>
    </xf>
    <xf numFmtId="3" fontId="22" fillId="8" borderId="5" applyAlignment="1" pivotButton="0" quotePrefix="0" xfId="11">
      <alignment horizontal="right" vertical="center" wrapText="1"/>
    </xf>
    <xf numFmtId="3" fontId="22" fillId="4" borderId="1" applyAlignment="1" pivotButton="0" quotePrefix="0" xfId="11">
      <alignment horizontal="right" vertical="center" wrapText="1"/>
    </xf>
    <xf numFmtId="3" fontId="22" fillId="6" borderId="1" applyAlignment="1" pivotButton="0" quotePrefix="0" xfId="11">
      <alignment horizontal="right" vertical="center" wrapText="1"/>
    </xf>
    <xf numFmtId="0" fontId="3" fillId="3" borderId="0" applyAlignment="1" pivotButton="0" quotePrefix="0" xfId="0">
      <alignment vertical="center"/>
    </xf>
    <xf numFmtId="0" fontId="3" fillId="0" borderId="0" applyAlignment="1" pivotButton="0" quotePrefix="0" xfId="0">
      <alignment vertical="center"/>
    </xf>
    <xf numFmtId="0" fontId="3" fillId="3" borderId="0" applyAlignment="1" pivotButton="0" quotePrefix="0" xfId="0">
      <alignment horizontal="right" vertical="center"/>
    </xf>
    <xf numFmtId="0" fontId="3" fillId="0" borderId="0" applyAlignment="1" pivotButton="0" quotePrefix="0" xfId="11">
      <alignment horizontal="left" vertical="center"/>
    </xf>
    <xf numFmtId="0" fontId="24" fillId="0" borderId="0" applyAlignment="1" pivotButton="0" quotePrefix="0" xfId="11">
      <alignment horizontal="center" vertical="center"/>
    </xf>
    <xf numFmtId="0" fontId="25" fillId="0" borderId="0" applyAlignment="1" pivotButton="0" quotePrefix="0" xfId="11">
      <alignment horizontal="right" vertical="center"/>
    </xf>
    <xf numFmtId="0" fontId="17" fillId="0" borderId="0" applyAlignment="1" pivotButton="0" quotePrefix="0" xfId="12">
      <alignment horizontal="right" vertical="center" wrapText="1"/>
    </xf>
    <xf numFmtId="0" fontId="18" fillId="0" borderId="0" applyAlignment="1" pivotButton="0" quotePrefix="0" xfId="12">
      <alignment horizontal="center" vertical="center" wrapText="1"/>
    </xf>
    <xf numFmtId="0" fontId="0" fillId="3" borderId="0" pivotButton="0" quotePrefix="0" xfId="0"/>
    <xf numFmtId="0" fontId="0" fillId="3" borderId="0" applyAlignment="1" pivotButton="0" quotePrefix="0" xfId="0">
      <alignment horizontal="right"/>
    </xf>
    <xf numFmtId="0" fontId="3" fillId="3" borderId="0" applyAlignment="1" pivotButton="0" quotePrefix="0" xfId="0">
      <alignment vertical="center" wrapText="1"/>
    </xf>
    <xf numFmtId="0" fontId="0" fillId="0" borderId="0" applyAlignment="1" pivotButton="0" quotePrefix="0" xfId="0">
      <alignment wrapText="1"/>
    </xf>
    <xf numFmtId="0" fontId="3" fillId="0" borderId="0" applyAlignment="1" pivotButton="0" quotePrefix="0" xfId="0">
      <alignment vertical="center" wrapText="1"/>
    </xf>
    <xf numFmtId="0" fontId="6" fillId="3" borderId="0" applyAlignment="1" pivotButton="0" quotePrefix="0" xfId="0">
      <alignment horizontal="center" vertical="center"/>
    </xf>
    <xf numFmtId="0" fontId="8" fillId="3" borderId="0" applyAlignment="1" pivotButton="0" quotePrefix="0" xfId="9">
      <alignment horizontal="center" vertical="center"/>
    </xf>
    <xf numFmtId="0" fontId="6" fillId="3" borderId="0" applyAlignment="1" pivotButton="0" quotePrefix="0" xfId="0">
      <alignment horizontal="center" vertical="center" wrapText="1"/>
    </xf>
    <xf numFmtId="0" fontId="8" fillId="3" borderId="0" applyAlignment="1" pivotButton="0" quotePrefix="0" xfId="9">
      <alignment horizontal="center" vertical="center" wrapText="1"/>
    </xf>
    <xf numFmtId="0" fontId="1" fillId="0" borderId="1" applyAlignment="1" pivotButton="0" quotePrefix="0" xfId="2">
      <alignment vertical="center"/>
    </xf>
    <xf numFmtId="0" fontId="6" fillId="3" borderId="0" applyAlignment="1" pivotButton="0" quotePrefix="0" xfId="0">
      <alignment horizontal="right" vertical="center"/>
    </xf>
    <xf numFmtId="0" fontId="0" fillId="3" borderId="0" applyAlignment="1" pivotButton="0" quotePrefix="0" xfId="0">
      <alignment wrapText="1"/>
    </xf>
    <xf numFmtId="0" fontId="29" fillId="3" borderId="0" applyAlignment="1" pivotButton="0" quotePrefix="0" xfId="0">
      <alignment horizontal="center" vertical="center"/>
    </xf>
    <xf numFmtId="0" fontId="30" fillId="3" borderId="0" applyAlignment="1" pivotButton="0" quotePrefix="0" xfId="0">
      <alignment horizontal="right" vertical="center"/>
    </xf>
    <xf numFmtId="0" fontId="31" fillId="3" borderId="0" applyAlignment="1" pivotButton="0" quotePrefix="0" xfId="0">
      <alignment horizontal="center" vertical="center"/>
    </xf>
    <xf numFmtId="0" fontId="12" fillId="0" borderId="0" applyAlignment="1" pivotButton="0" quotePrefix="0" xfId="11">
      <alignment horizontal="center" vertical="center"/>
    </xf>
    <xf numFmtId="3" fontId="22" fillId="11" borderId="1" applyAlignment="1" pivotButton="0" quotePrefix="0" xfId="11">
      <alignment horizontal="right" vertical="center" wrapText="1"/>
    </xf>
    <xf numFmtId="0" fontId="32" fillId="4" borderId="7" applyAlignment="1" pivotButton="0" quotePrefix="0" xfId="12">
      <alignment horizontal="left" vertical="center" wrapText="1"/>
    </xf>
    <xf numFmtId="0" fontId="11" fillId="0" borderId="0" applyAlignment="1" pivotButton="0" quotePrefix="0" xfId="11">
      <alignment horizontal="center" vertical="center"/>
    </xf>
    <xf numFmtId="0" fontId="3" fillId="3" borderId="0"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18" fillId="3" borderId="0" applyAlignment="1" pivotButton="0" quotePrefix="0" xfId="10">
      <alignment horizontal="center" vertical="center" wrapText="1"/>
    </xf>
    <xf numFmtId="0" fontId="33" fillId="0" borderId="0" applyAlignment="1" pivotButton="0" quotePrefix="0" xfId="11">
      <alignment horizontal="center" vertical="center"/>
    </xf>
    <xf numFmtId="0" fontId="1" fillId="0" borderId="0" applyAlignment="1" pivotButton="0" quotePrefix="0" xfId="2">
      <alignment vertical="center"/>
    </xf>
    <xf numFmtId="0" fontId="3" fillId="3" borderId="0" applyAlignment="1" pivotButton="0" quotePrefix="0" xfId="0">
      <alignment horizontal="right"/>
    </xf>
    <xf numFmtId="0" fontId="23" fillId="0" borderId="1" applyAlignment="1" pivotButton="0" quotePrefix="0" xfId="0">
      <alignment horizontal="center" vertical="center"/>
    </xf>
    <xf numFmtId="0" fontId="3" fillId="3" borderId="0" applyAlignment="1" pivotButton="0" quotePrefix="0" xfId="2">
      <alignment vertical="center"/>
    </xf>
    <xf numFmtId="0" fontId="3" fillId="0" borderId="0" applyAlignment="1" pivotButton="0" quotePrefix="0" xfId="2">
      <alignment vertical="center"/>
    </xf>
    <xf numFmtId="0" fontId="3" fillId="3" borderId="0" applyAlignment="1" pivotButton="0" quotePrefix="0" xfId="2">
      <alignment vertical="center" wrapText="1"/>
    </xf>
    <xf numFmtId="0" fontId="3" fillId="3" borderId="0" applyAlignment="1" pivotButton="0" quotePrefix="0" xfId="2">
      <alignment horizontal="left" vertical="center" wrapText="1"/>
    </xf>
    <xf numFmtId="0" fontId="3" fillId="3" borderId="0" applyAlignment="1" pivotButton="0" quotePrefix="0" xfId="2">
      <alignment horizontal="center" vertical="center" wrapText="1"/>
    </xf>
    <xf numFmtId="0" fontId="3" fillId="3" borderId="0" applyAlignment="1" pivotButton="0" quotePrefix="0" xfId="2">
      <alignment horizontal="center" vertical="center"/>
    </xf>
    <xf numFmtId="0" fontId="3" fillId="3" borderId="0" applyAlignment="1" pivotButton="0" quotePrefix="0" xfId="2">
      <alignment horizontal="left" vertical="center"/>
    </xf>
    <xf numFmtId="0" fontId="3" fillId="0" borderId="0" applyAlignment="1" pivotButton="0" quotePrefix="0" xfId="2">
      <alignment vertical="center" wrapText="1"/>
    </xf>
    <xf numFmtId="0" fontId="3" fillId="0" borderId="0" applyAlignment="1" pivotButton="0" quotePrefix="0" xfId="2">
      <alignment horizontal="left" vertical="center" wrapText="1"/>
    </xf>
    <xf numFmtId="0" fontId="3" fillId="0" borderId="0" applyAlignment="1" pivotButton="0" quotePrefix="0" xfId="2">
      <alignment horizontal="center" vertical="center" wrapText="1"/>
    </xf>
    <xf numFmtId="0" fontId="3" fillId="0" borderId="0" applyAlignment="1" pivotButton="0" quotePrefix="0" xfId="2">
      <alignment horizontal="center" vertical="center"/>
    </xf>
    <xf numFmtId="0" fontId="3" fillId="0" borderId="0" applyAlignment="1" pivotButton="0" quotePrefix="0" xfId="2">
      <alignment horizontal="left" vertical="center"/>
    </xf>
    <xf numFmtId="0" fontId="0" fillId="0" borderId="0"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23" fillId="0" borderId="0" applyAlignment="1" pivotButton="0" quotePrefix="0" xfId="0">
      <alignment horizontal="center" vertical="center"/>
    </xf>
    <xf numFmtId="0" fontId="37" fillId="0" borderId="0" applyAlignment="1" pivotButton="0" quotePrefix="0" xfId="0">
      <alignment vertical="center"/>
    </xf>
    <xf numFmtId="0" fontId="0" fillId="0" borderId="1" applyAlignment="1" pivotButton="0" quotePrefix="1" xfId="0">
      <alignment vertical="center" wrapText="1"/>
    </xf>
    <xf numFmtId="3" fontId="9" fillId="0" borderId="0" applyAlignment="1" pivotButton="0" quotePrefix="0" xfId="11">
      <alignment vertical="center"/>
    </xf>
    <xf numFmtId="0" fontId="40" fillId="0" borderId="0" applyAlignment="1" pivotButton="0" quotePrefix="0" xfId="0">
      <alignment horizontal="center" vertical="center"/>
    </xf>
    <xf numFmtId="0" fontId="40" fillId="0" borderId="0" applyAlignment="1" pivotButton="0" quotePrefix="0" xfId="0">
      <alignment vertical="center" wrapText="1"/>
    </xf>
    <xf numFmtId="0" fontId="40" fillId="0" borderId="0" applyAlignment="1" pivotButton="0" quotePrefix="0" xfId="0">
      <alignment vertical="center"/>
    </xf>
    <xf numFmtId="0" fontId="9" fillId="3" borderId="2" applyAlignment="1" pivotButton="0" quotePrefix="0" xfId="0">
      <alignment horizontal="center" vertical="center"/>
    </xf>
    <xf numFmtId="0" fontId="9" fillId="3" borderId="4" applyAlignment="1" pivotButton="0" quotePrefix="0" xfId="0">
      <alignment horizontal="right" vertical="center" wrapText="1"/>
    </xf>
    <xf numFmtId="0" fontId="9" fillId="3" borderId="1" applyAlignment="1" pivotButton="0" quotePrefix="0" xfId="0">
      <alignment horizontal="center" vertical="center"/>
    </xf>
    <xf numFmtId="9" fontId="9" fillId="3" borderId="1" applyAlignment="1" pivotButton="0" quotePrefix="0" xfId="27">
      <alignment horizontal="center" vertical="center"/>
    </xf>
    <xf numFmtId="0" fontId="9" fillId="3" borderId="1" applyAlignment="1" pivotButton="0" quotePrefix="0" xfId="0">
      <alignment vertical="center"/>
    </xf>
    <xf numFmtId="0" fontId="9" fillId="0" borderId="0" applyAlignment="1" pivotButton="0" quotePrefix="0" xfId="0">
      <alignment vertical="center"/>
    </xf>
    <xf numFmtId="0" fontId="33" fillId="3" borderId="4" applyAlignment="1" pivotButton="0" quotePrefix="0" xfId="0">
      <alignment horizontal="right" vertical="center" wrapText="1"/>
    </xf>
    <xf numFmtId="0" fontId="41" fillId="3" borderId="0" applyAlignment="1" pivotButton="0" quotePrefix="0" xfId="0">
      <alignment horizontal="center" vertical="center"/>
    </xf>
    <xf numFmtId="0" fontId="33" fillId="8" borderId="1" applyAlignment="1" pivotButton="0" quotePrefix="0" xfId="0">
      <alignment horizontal="center" vertical="center"/>
    </xf>
    <xf numFmtId="0" fontId="33" fillId="8" borderId="1" applyAlignment="1" pivotButton="0" quotePrefix="0" xfId="0">
      <alignment horizontal="center" vertical="center" wrapText="1"/>
    </xf>
    <xf numFmtId="0" fontId="43" fillId="3" borderId="0" applyAlignment="1" pivotButton="0" quotePrefix="0" xfId="0">
      <alignment horizontal="center" vertical="center"/>
    </xf>
    <xf numFmtId="0" fontId="38" fillId="0" borderId="0" applyAlignment="1" pivotButton="0" quotePrefix="0" xfId="0">
      <alignment vertical="center" wrapText="1"/>
    </xf>
    <xf numFmtId="0" fontId="152" fillId="3" borderId="0" applyAlignment="1" pivotButton="0" quotePrefix="0" xfId="2">
      <alignment vertical="center"/>
    </xf>
    <xf numFmtId="0" fontId="152" fillId="3" borderId="0" applyAlignment="1" pivotButton="0" quotePrefix="0" xfId="2">
      <alignment vertical="center" wrapText="1"/>
    </xf>
    <xf numFmtId="0" fontId="152" fillId="3" borderId="0" applyAlignment="1" pivotButton="0" quotePrefix="0" xfId="2">
      <alignment horizontal="left" vertical="center" wrapText="1"/>
    </xf>
    <xf numFmtId="0" fontId="152" fillId="3" borderId="0" applyAlignment="1" pivotButton="0" quotePrefix="0" xfId="2">
      <alignment horizontal="center" vertical="center" wrapText="1"/>
    </xf>
    <xf numFmtId="0" fontId="152" fillId="3" borderId="0" applyAlignment="1" pivotButton="0" quotePrefix="0" xfId="2">
      <alignment horizontal="center" vertical="center"/>
    </xf>
    <xf numFmtId="3" fontId="18" fillId="3" borderId="0" applyAlignment="1" pivotButton="0" quotePrefix="0" xfId="2">
      <alignment horizontal="center" vertical="center"/>
    </xf>
    <xf numFmtId="3" fontId="6" fillId="0" borderId="0" applyAlignment="1" pivotButton="0" quotePrefix="0" xfId="2">
      <alignment vertical="center" wrapText="1"/>
    </xf>
    <xf numFmtId="0" fontId="152" fillId="3" borderId="0" applyAlignment="1" pivotButton="0" quotePrefix="0" xfId="2">
      <alignment horizontal="left" vertical="center"/>
    </xf>
    <xf numFmtId="0" fontId="6" fillId="3" borderId="0" applyAlignment="1" pivotButton="0" quotePrefix="0" xfId="2">
      <alignment vertical="center"/>
    </xf>
    <xf numFmtId="0" fontId="153" fillId="3" borderId="0" applyAlignment="1" pivotButton="0" quotePrefix="0" xfId="2">
      <alignment vertical="center"/>
    </xf>
    <xf numFmtId="0" fontId="154" fillId="3" borderId="0" applyAlignment="1" pivotButton="0" quotePrefix="0" xfId="2">
      <alignment vertical="center" wrapText="1"/>
    </xf>
    <xf numFmtId="0" fontId="154" fillId="3" borderId="0" applyAlignment="1" pivotButton="0" quotePrefix="0" xfId="2">
      <alignment horizontal="left" vertical="center" wrapText="1"/>
    </xf>
    <xf numFmtId="0" fontId="154" fillId="3" borderId="0" applyAlignment="1" pivotButton="0" quotePrefix="0" xfId="2">
      <alignment horizontal="center" vertical="center" wrapText="1"/>
    </xf>
    <xf numFmtId="16" fontId="154" fillId="3" borderId="0" applyAlignment="1" pivotButton="0" quotePrefix="0" xfId="2">
      <alignment horizontal="center" vertical="center"/>
    </xf>
    <xf numFmtId="0" fontId="155" fillId="3" borderId="0" applyAlignment="1" pivotButton="0" quotePrefix="0" xfId="2">
      <alignment horizontal="center" vertical="center"/>
    </xf>
    <xf numFmtId="0" fontId="154" fillId="3" borderId="0" applyAlignment="1" pivotButton="0" quotePrefix="0" xfId="2">
      <alignment vertical="center"/>
    </xf>
    <xf numFmtId="0" fontId="154" fillId="3" borderId="0" applyAlignment="1" pivotButton="0" quotePrefix="0" xfId="2">
      <alignment horizontal="left" vertical="center"/>
    </xf>
    <xf numFmtId="0" fontId="3" fillId="0" borderId="1" applyAlignment="1" pivotButton="0" quotePrefix="0" xfId="0">
      <alignment vertical="center" wrapText="1"/>
    </xf>
    <xf numFmtId="0" fontId="1" fillId="3" borderId="0" applyAlignment="1" pivotButton="0" quotePrefix="0" xfId="2">
      <alignment vertical="center"/>
    </xf>
    <xf numFmtId="0" fontId="156" fillId="8" borderId="1" applyAlignment="1" pivotButton="0" quotePrefix="0" xfId="0">
      <alignment vertical="center"/>
    </xf>
    <xf numFmtId="0" fontId="156" fillId="8" borderId="2" applyAlignment="1" pivotButton="0" quotePrefix="0" xfId="0">
      <alignment horizontal="centerContinuous" vertical="center" wrapText="1"/>
    </xf>
    <xf numFmtId="0" fontId="156" fillId="8" borderId="4" applyAlignment="1" pivotButton="0" quotePrefix="0" xfId="0">
      <alignment horizontal="centerContinuous" vertical="center" wrapText="1"/>
    </xf>
    <xf numFmtId="0" fontId="156" fillId="8" borderId="1" applyAlignment="1" pivotButton="0" quotePrefix="0" xfId="0">
      <alignment horizontal="center" vertical="center"/>
    </xf>
    <xf numFmtId="0" fontId="156" fillId="0" borderId="0" applyAlignment="1" pivotButton="0" quotePrefix="0" xfId="0">
      <alignment vertical="center"/>
    </xf>
    <xf numFmtId="0" fontId="157" fillId="9" borderId="2" applyAlignment="1" pivotButton="0" quotePrefix="0" xfId="0">
      <alignment horizontal="centerContinuous" vertical="center"/>
    </xf>
    <xf numFmtId="0" fontId="157" fillId="9" borderId="3" applyAlignment="1" pivotButton="0" quotePrefix="0" xfId="0">
      <alignment horizontal="centerContinuous" vertical="center" wrapText="1"/>
    </xf>
    <xf numFmtId="0" fontId="157" fillId="9" borderId="4" applyAlignment="1" pivotButton="0" quotePrefix="0" xfId="0">
      <alignment horizontal="centerContinuous" vertical="center" wrapText="1"/>
    </xf>
    <xf numFmtId="0" fontId="157" fillId="9" borderId="1" applyAlignment="1" pivotButton="0" quotePrefix="0" xfId="0">
      <alignment horizontal="center" vertical="center"/>
    </xf>
    <xf numFmtId="0" fontId="158" fillId="0" borderId="0" applyAlignment="1" pivotButton="0" quotePrefix="0" xfId="0">
      <alignment vertical="center"/>
    </xf>
    <xf numFmtId="0" fontId="158" fillId="0" borderId="1" applyAlignment="1" pivotButton="0" quotePrefix="0" xfId="0">
      <alignment vertical="center"/>
    </xf>
    <xf numFmtId="0" fontId="160" fillId="10" borderId="34" applyAlignment="1" pivotButton="0" quotePrefix="0" xfId="0">
      <alignment vertical="center" wrapText="1"/>
    </xf>
    <xf numFmtId="0" fontId="160" fillId="10" borderId="35" applyAlignment="1" pivotButton="0" quotePrefix="0" xfId="0">
      <alignment horizontal="right" vertical="center"/>
    </xf>
    <xf numFmtId="9" fontId="158" fillId="0" borderId="0" applyAlignment="1" pivotButton="0" quotePrefix="0" xfId="27">
      <alignment vertical="center"/>
    </xf>
    <xf numFmtId="0" fontId="160" fillId="10" borderId="36" applyAlignment="1" pivotButton="0" quotePrefix="0" xfId="0">
      <alignment horizontal="right" vertical="center"/>
    </xf>
    <xf numFmtId="0" fontId="0" fillId="0" borderId="1" applyAlignment="1" pivotButton="0" quotePrefix="0" xfId="0">
      <alignment horizontal="center" vertical="center" wrapText="1"/>
    </xf>
    <xf numFmtId="0" fontId="158" fillId="3" borderId="5" applyAlignment="1" pivotButton="0" quotePrefix="0" xfId="0">
      <alignment vertical="center" wrapText="1"/>
    </xf>
    <xf numFmtId="0" fontId="158" fillId="3" borderId="6" applyAlignment="1" pivotButton="0" quotePrefix="0" xfId="0">
      <alignment vertical="center" wrapText="1"/>
    </xf>
    <xf numFmtId="0" fontId="26" fillId="2" borderId="7" applyAlignment="1" pivotButton="0" quotePrefix="0" xfId="2">
      <alignment horizontal="center" vertical="center" wrapText="1"/>
    </xf>
    <xf numFmtId="164" fontId="152" fillId="3" borderId="0" applyAlignment="1" pivotButton="0" quotePrefix="0" xfId="2">
      <alignment vertical="center"/>
    </xf>
    <xf numFmtId="164" fontId="18" fillId="3" borderId="0" applyAlignment="1" pivotButton="0" quotePrefix="0" xfId="1">
      <alignment vertical="center"/>
    </xf>
    <xf numFmtId="164" fontId="6" fillId="3" borderId="0" applyAlignment="1" pivotButton="0" quotePrefix="0" xfId="0">
      <alignment horizontal="left" vertical="center"/>
    </xf>
    <xf numFmtId="164" fontId="154" fillId="3" borderId="0" applyAlignment="1" pivotButton="0" quotePrefix="0" xfId="1">
      <alignment horizontal="center" vertical="center" wrapText="1"/>
    </xf>
    <xf numFmtId="164" fontId="18" fillId="3" borderId="0" applyAlignment="1" pivotButton="0" quotePrefix="0" xfId="2">
      <alignment vertical="center"/>
    </xf>
    <xf numFmtId="164" fontId="6" fillId="3" borderId="0" applyAlignment="1" pivotButton="0" quotePrefix="0" xfId="2">
      <alignment vertical="center"/>
    </xf>
    <xf numFmtId="164" fontId="32" fillId="3" borderId="0" applyAlignment="1" pivotButton="0" quotePrefix="0" xfId="1">
      <alignment vertical="center"/>
    </xf>
    <xf numFmtId="164" fontId="18" fillId="3" borderId="0" applyAlignment="1" pivotButton="0" quotePrefix="0" xfId="2">
      <alignment horizontal="center" vertical="center"/>
    </xf>
    <xf numFmtId="165" fontId="6" fillId="0" borderId="0" applyAlignment="1" pivotButton="0" quotePrefix="0" xfId="2">
      <alignment vertical="center" wrapText="1"/>
    </xf>
    <xf numFmtId="43" fontId="6" fillId="3" borderId="0" applyAlignment="1" pivotButton="0" quotePrefix="0" xfId="0">
      <alignment horizontal="center" vertical="center"/>
    </xf>
    <xf numFmtId="166" fontId="6" fillId="3" borderId="0" applyAlignment="1" pivotButton="0" quotePrefix="0" xfId="0">
      <alignment horizontal="right" vertical="center"/>
    </xf>
    <xf numFmtId="167" fontId="6" fillId="3" borderId="0" applyAlignment="1" pivotButton="0" quotePrefix="0" xfId="2">
      <alignment horizontal="left" vertical="center"/>
    </xf>
    <xf numFmtId="164" fontId="3" fillId="3" borderId="0" applyAlignment="1" pivotButton="0" quotePrefix="0" xfId="2">
      <alignment horizontal="center" vertical="center" wrapText="1"/>
    </xf>
    <xf numFmtId="164" fontId="3" fillId="3" borderId="0" applyAlignment="1" pivotButton="0" quotePrefix="0" xfId="1">
      <alignment horizontal="center" vertical="center"/>
    </xf>
    <xf numFmtId="164" fontId="3" fillId="3" borderId="0" applyAlignment="1" pivotButton="0" quotePrefix="0" xfId="2">
      <alignment vertical="center"/>
    </xf>
    <xf numFmtId="164" fontId="3" fillId="3" borderId="0" applyAlignment="1" pivotButton="0" quotePrefix="0" xfId="1">
      <alignment vertical="center"/>
    </xf>
    <xf numFmtId="164" fontId="3" fillId="3" borderId="0" applyAlignment="1" pivotButton="0" quotePrefix="0" xfId="2">
      <alignment horizontal="center" vertical="center"/>
    </xf>
    <xf numFmtId="164" fontId="8" fillId="3" borderId="9" applyAlignment="1" pivotButton="0" quotePrefix="0" xfId="9">
      <alignment vertical="center"/>
    </xf>
    <xf numFmtId="43" fontId="8" fillId="3" borderId="9" applyAlignment="1" pivotButton="0" quotePrefix="0" xfId="9">
      <alignment horizontal="right" vertical="center" wrapText="1"/>
    </xf>
    <xf numFmtId="43" fontId="8" fillId="3" borderId="9" applyAlignment="1" pivotButton="0" quotePrefix="0" xfId="9">
      <alignment horizontal="center" vertical="center" shrinkToFit="1"/>
    </xf>
    <xf numFmtId="168" fontId="15" fillId="5" borderId="0" applyAlignment="1" pivotButton="0" quotePrefix="1" xfId="10">
      <alignment horizontal="left" vertical="center"/>
    </xf>
    <xf numFmtId="169" fontId="15" fillId="5" borderId="0" applyAlignment="1" pivotButton="0" quotePrefix="1" xfId="10">
      <alignment horizontal="left" vertical="center"/>
    </xf>
    <xf numFmtId="170" fontId="17" fillId="0" borderId="0" applyAlignment="1" pivotButton="0" quotePrefix="0" xfId="13">
      <alignment horizontal="center" vertical="center" shrinkToFit="1"/>
    </xf>
    <xf numFmtId="164" fontId="3" fillId="0" borderId="0" applyAlignment="1" pivotButton="0" quotePrefix="0" xfId="1">
      <alignment vertical="center"/>
    </xf>
    <xf numFmtId="164" fontId="3" fillId="0" borderId="0" applyAlignment="1" pivotButton="0" quotePrefix="0" xfId="11">
      <alignment vertical="center"/>
    </xf>
    <xf numFmtId="170" fontId="18" fillId="0" borderId="0" applyAlignment="1" pivotButton="0" quotePrefix="0" xfId="13">
      <alignment horizontal="center" vertical="center" shrinkToFit="1"/>
    </xf>
    <xf numFmtId="164" fontId="34" fillId="4" borderId="0" applyAlignment="1" pivotButton="0" quotePrefix="0" xfId="1">
      <alignment horizontal="right" vertical="center" wrapText="1"/>
    </xf>
    <xf numFmtId="43" fontId="3" fillId="0" borderId="0" applyAlignment="1" pivotButton="0" quotePrefix="0" xfId="11">
      <alignment vertical="center"/>
    </xf>
    <xf numFmtId="167" fontId="3" fillId="3" borderId="0" applyAlignment="1" pivotButton="0" quotePrefix="0" xfId="0">
      <alignment horizontal="left" shrinkToFit="1"/>
    </xf>
    <xf numFmtId="164" fontId="0" fillId="3" borderId="0" pivotButton="0" quotePrefix="0" xfId="1"/>
    <xf numFmtId="164" fontId="158" fillId="0" borderId="1" applyAlignment="1" pivotButton="0" quotePrefix="0" xfId="1">
      <alignment vertical="center" shrinkToFit="1"/>
    </xf>
    <xf numFmtId="164" fontId="156" fillId="0" borderId="1" applyAlignment="1" pivotButton="0" quotePrefix="0" xfId="27">
      <alignment vertical="center" shrinkToFit="1"/>
    </xf>
    <xf numFmtId="164" fontId="159" fillId="10" borderId="34" applyAlignment="1" pivotButton="0" quotePrefix="0" xfId="0">
      <alignment vertical="center"/>
    </xf>
    <xf numFmtId="164" fontId="159" fillId="10" borderId="34" applyAlignment="1" pivotButton="0" quotePrefix="0" xfId="27">
      <alignment vertical="center"/>
    </xf>
    <xf numFmtId="164" fontId="160" fillId="10" borderId="35" applyAlignment="1" pivotButton="0" quotePrefix="0" xfId="0">
      <alignment vertical="center"/>
    </xf>
    <xf numFmtId="164" fontId="160" fillId="10" borderId="35" applyAlignment="1" pivotButton="0" quotePrefix="0" xfId="27">
      <alignment vertical="center"/>
    </xf>
    <xf numFmtId="164" fontId="160" fillId="10" borderId="36" applyAlignment="1" pivotButton="0" quotePrefix="0" xfId="0">
      <alignment vertical="center"/>
    </xf>
    <xf numFmtId="164" fontId="160" fillId="10" borderId="36" applyAlignment="1" pivotButton="0" quotePrefix="0" xfId="27">
      <alignment vertical="center"/>
    </xf>
    <xf numFmtId="167" fontId="42" fillId="3" borderId="0" applyAlignment="1" pivotButton="0" quotePrefix="0" xfId="0">
      <alignment horizontal="left" vertical="center"/>
    </xf>
    <xf numFmtId="164" fontId="3" fillId="0" borderId="1" applyAlignment="1" pivotButton="0" quotePrefix="0" xfId="1">
      <alignment vertical="center"/>
    </xf>
    <xf numFmtId="164" fontId="5" fillId="0" borderId="1" applyAlignment="1" pivotButton="0" quotePrefix="0" xfId="0">
      <alignment vertical="center"/>
    </xf>
    <xf numFmtId="170" fontId="3" fillId="0" borderId="1" applyAlignment="1" pivotButton="0" quotePrefix="0" xfId="27">
      <alignment vertical="center"/>
    </xf>
    <xf numFmtId="164" fontId="3" fillId="0" borderId="0" applyAlignment="1" pivotButton="0" quotePrefix="0" xfId="0">
      <alignment vertical="center"/>
    </xf>
    <xf numFmtId="164" fontId="33" fillId="3" borderId="1" applyAlignment="1" pivotButton="0" quotePrefix="0" xfId="0">
      <alignment vertical="center"/>
    </xf>
    <xf numFmtId="164" fontId="33" fillId="3" borderId="1" applyAlignment="1" pivotButton="0" quotePrefix="0" xfId="0">
      <alignment vertical="center" wrapText="1"/>
    </xf>
    <xf numFmtId="164" fontId="39" fillId="0" borderId="0" applyAlignment="1" pivotButton="0" quotePrefix="0" xfId="1">
      <alignment vertical="center"/>
    </xf>
    <xf numFmtId="171" fontId="0" fillId="0" borderId="1" applyAlignment="1" pivotButton="0" quotePrefix="0" xfId="0">
      <alignment horizontal="center" vertical="center"/>
    </xf>
    <xf numFmtId="0" fontId="163" fillId="0" borderId="0" pivotButton="0" quotePrefix="0" xfId="0"/>
    <xf numFmtId="0" fontId="166" fillId="0" borderId="0" applyAlignment="1" pivotButton="0" quotePrefix="0" xfId="0">
      <alignment horizontal="center" vertical="center"/>
    </xf>
    <xf numFmtId="0" fontId="166" fillId="0" borderId="0" applyAlignment="1" pivotButton="0" quotePrefix="0" xfId="0">
      <alignment vertical="center"/>
    </xf>
    <xf numFmtId="0" fontId="167" fillId="0" borderId="0" applyAlignment="1" pivotButton="0" quotePrefix="0" xfId="0">
      <alignment horizontal="right" vertical="center"/>
    </xf>
    <xf numFmtId="0" fontId="168" fillId="0" borderId="0" applyAlignment="1" pivotButton="0" quotePrefix="0" xfId="0">
      <alignment horizontal="center" vertical="center"/>
    </xf>
    <xf numFmtId="0" fontId="169" fillId="0" borderId="0" applyAlignment="1" pivotButton="0" quotePrefix="0" xfId="0">
      <alignment vertical="center"/>
    </xf>
    <xf numFmtId="0" fontId="163" fillId="0" borderId="0" applyAlignment="1" pivotButton="0" quotePrefix="0" xfId="0">
      <alignment horizontal="center"/>
    </xf>
    <xf numFmtId="0" fontId="166" fillId="53" borderId="1" applyAlignment="1" pivotButton="0" quotePrefix="0" xfId="0">
      <alignment horizontal="center" vertical="center"/>
    </xf>
    <xf numFmtId="0" fontId="170" fillId="53" borderId="39" applyAlignment="1" pivotButton="0" quotePrefix="0" xfId="0">
      <alignment horizontal="left" vertical="center" wrapText="1"/>
    </xf>
    <xf numFmtId="0" fontId="166" fillId="10" borderId="1" applyAlignment="1" pivotButton="0" quotePrefix="0" xfId="0">
      <alignment horizontal="center" vertical="center" wrapText="1"/>
    </xf>
    <xf numFmtId="0" fontId="170" fillId="53" borderId="1" applyAlignment="1" pivotButton="0" quotePrefix="0" xfId="0">
      <alignment horizontal="center" vertical="center"/>
    </xf>
    <xf numFmtId="0" fontId="170" fillId="53" borderId="1" applyAlignment="1" pivotButton="0" quotePrefix="0" xfId="0">
      <alignment horizontal="center" vertical="center" wrapText="1"/>
    </xf>
    <xf numFmtId="0" fontId="170" fillId="10" borderId="1" applyAlignment="1" pivotButton="0" quotePrefix="0" xfId="0">
      <alignment horizontal="center" vertical="center" wrapText="1"/>
    </xf>
    <xf numFmtId="0" fontId="163" fillId="0" borderId="0" applyAlignment="1" pivotButton="0" quotePrefix="0" xfId="0">
      <alignment vertical="center"/>
    </xf>
    <xf numFmtId="0" fontId="163" fillId="0" borderId="1" applyAlignment="1" pivotButton="0" quotePrefix="0" xfId="0">
      <alignment horizontal="center"/>
    </xf>
    <xf numFmtId="0" fontId="163" fillId="10" borderId="1" applyAlignment="1" pivotButton="0" quotePrefix="0" xfId="0">
      <alignment horizontal="center"/>
    </xf>
    <xf numFmtId="0" fontId="163" fillId="0" borderId="1" pivotButton="0" quotePrefix="0" xfId="0"/>
    <xf numFmtId="0" fontId="163" fillId="10" borderId="1" pivotButton="0" quotePrefix="0" xfId="0"/>
    <xf numFmtId="0" fontId="166" fillId="52" borderId="2" applyAlignment="1" pivotButton="0" quotePrefix="0" xfId="0">
      <alignment vertical="center" wrapText="1"/>
    </xf>
    <xf numFmtId="3" fontId="171" fillId="10" borderId="1" applyAlignment="1" pivotButton="0" quotePrefix="0" xfId="0">
      <alignment vertical="center" shrinkToFit="1"/>
    </xf>
    <xf numFmtId="3" fontId="166" fillId="52" borderId="1" applyAlignment="1" pivotButton="0" quotePrefix="0" xfId="0">
      <alignment horizontal="right" vertical="center" shrinkToFit="1"/>
    </xf>
    <xf numFmtId="3" fontId="166" fillId="52" borderId="1" applyAlignment="1" pivotButton="0" quotePrefix="0" xfId="0">
      <alignment horizontal="right" vertical="center"/>
    </xf>
    <xf numFmtId="3" fontId="154" fillId="10" borderId="1" applyAlignment="1" pivotButton="0" quotePrefix="0" xfId="0">
      <alignment vertical="center" shrinkToFit="1"/>
    </xf>
    <xf numFmtId="0" fontId="166" fillId="4" borderId="1" applyAlignment="1" pivotButton="0" quotePrefix="0" xfId="0">
      <alignment horizontal="center" vertical="center"/>
    </xf>
    <xf numFmtId="0" fontId="166" fillId="4" borderId="2" applyAlignment="1" pivotButton="0" quotePrefix="0" xfId="0">
      <alignment vertical="center" wrapText="1"/>
    </xf>
    <xf numFmtId="3" fontId="171" fillId="4" borderId="1" applyAlignment="1" pivotButton="0" quotePrefix="0" xfId="0">
      <alignment vertical="center" shrinkToFit="1"/>
    </xf>
    <xf numFmtId="3" fontId="166" fillId="4" borderId="1" applyAlignment="1" pivotButton="0" quotePrefix="0" xfId="0">
      <alignment horizontal="right" vertical="center" shrinkToFit="1"/>
    </xf>
    <xf numFmtId="3" fontId="166" fillId="4" borderId="1" applyAlignment="1" pivotButton="0" quotePrefix="0" xfId="0">
      <alignment horizontal="right" vertical="center"/>
    </xf>
    <xf numFmtId="3" fontId="154" fillId="4" borderId="1" applyAlignment="1" pivotButton="0" quotePrefix="0" xfId="0">
      <alignment vertical="center" shrinkToFit="1"/>
    </xf>
    <xf numFmtId="0" fontId="166" fillId="0" borderId="1" applyAlignment="1" pivotButton="0" quotePrefix="0" xfId="0">
      <alignment horizontal="center" vertical="center"/>
    </xf>
    <xf numFmtId="0" fontId="166" fillId="0" borderId="1" applyAlignment="1" pivotButton="0" quotePrefix="0" xfId="0">
      <alignment vertical="center" wrapText="1"/>
    </xf>
    <xf numFmtId="3" fontId="163" fillId="10" borderId="1" applyAlignment="1" pivotButton="0" quotePrefix="0" xfId="0">
      <alignment vertical="center" shrinkToFit="1"/>
    </xf>
    <xf numFmtId="3" fontId="163" fillId="0" borderId="1" applyAlignment="1" pivotButton="0" quotePrefix="0" xfId="0">
      <alignment horizontal="right" vertical="center" shrinkToFit="1"/>
    </xf>
    <xf numFmtId="3" fontId="163" fillId="0" borderId="1" applyAlignment="1" pivotButton="0" quotePrefix="0" xfId="0">
      <alignment horizontal="right" vertical="center"/>
    </xf>
    <xf numFmtId="3" fontId="166" fillId="0" borderId="1" applyAlignment="1" pivotButton="0" quotePrefix="0" xfId="0">
      <alignment horizontal="right" vertical="center" shrinkToFit="1"/>
    </xf>
    <xf numFmtId="3" fontId="172" fillId="10" borderId="1" applyAlignment="1" pivotButton="0" quotePrefix="0" xfId="0">
      <alignment vertical="center" shrinkToFit="1"/>
    </xf>
    <xf numFmtId="164" fontId="163" fillId="0" borderId="0" applyAlignment="1" pivotButton="0" quotePrefix="0" xfId="1">
      <alignment vertical="center"/>
    </xf>
    <xf numFmtId="3" fontId="166" fillId="0" borderId="1" applyAlignment="1" pivotButton="0" quotePrefix="0" xfId="0">
      <alignment horizontal="right" vertical="center"/>
    </xf>
    <xf numFmtId="0" fontId="171" fillId="0" borderId="1" applyAlignment="1" pivotButton="0" quotePrefix="0" xfId="0">
      <alignment horizontal="center" vertical="center"/>
    </xf>
    <xf numFmtId="0" fontId="171" fillId="0" borderId="1" applyAlignment="1" pivotButton="0" quotePrefix="0" xfId="0">
      <alignment vertical="center" wrapText="1"/>
    </xf>
    <xf numFmtId="3" fontId="171" fillId="0" borderId="1" applyAlignment="1" pivotButton="0" quotePrefix="0" xfId="0">
      <alignment horizontal="right" vertical="center" shrinkToFit="1"/>
    </xf>
    <xf numFmtId="3" fontId="171" fillId="0" borderId="1" applyAlignment="1" pivotButton="0" quotePrefix="0" xfId="0">
      <alignment horizontal="right" vertical="center"/>
    </xf>
    <xf numFmtId="3" fontId="173" fillId="10" borderId="1" applyAlignment="1" pivotButton="0" quotePrefix="0" xfId="0">
      <alignment vertical="center" shrinkToFit="1"/>
    </xf>
    <xf numFmtId="0" fontId="171" fillId="0" borderId="0" applyAlignment="1" pivotButton="0" quotePrefix="0" xfId="0">
      <alignment vertical="center"/>
    </xf>
    <xf numFmtId="0" fontId="166" fillId="54" borderId="7" applyAlignment="1" pivotButton="0" quotePrefix="0" xfId="0">
      <alignment horizontal="center" vertical="center"/>
    </xf>
    <xf numFmtId="0" fontId="166" fillId="54" borderId="5" applyAlignment="1" pivotButton="0" quotePrefix="0" xfId="0">
      <alignment vertical="center" wrapText="1"/>
    </xf>
    <xf numFmtId="3" fontId="166" fillId="54" borderId="5" applyAlignment="1" pivotButton="0" quotePrefix="0" xfId="0">
      <alignment vertical="center" shrinkToFit="1"/>
    </xf>
    <xf numFmtId="3" fontId="166" fillId="54" borderId="5" applyAlignment="1" pivotButton="0" quotePrefix="0" xfId="0">
      <alignment horizontal="right" vertical="center" shrinkToFit="1"/>
    </xf>
    <xf numFmtId="3" fontId="166" fillId="54" borderId="5" applyAlignment="1" pivotButton="0" quotePrefix="0" xfId="0">
      <alignment horizontal="right" vertical="center"/>
    </xf>
    <xf numFmtId="3" fontId="172" fillId="54" borderId="5" applyAlignment="1" pivotButton="0" quotePrefix="0" xfId="0">
      <alignment vertical="center" shrinkToFit="1"/>
    </xf>
    <xf numFmtId="14" fontId="0" fillId="0" borderId="0" pivotButton="0" quotePrefix="0" xfId="0"/>
    <xf numFmtId="0" fontId="26" fillId="2" borderId="7" applyAlignment="1" pivotButton="0" quotePrefix="0" xfId="2">
      <alignment horizontal="left" vertical="center" wrapText="1"/>
    </xf>
    <xf numFmtId="0" fontId="26" fillId="2" borderId="10" applyAlignment="1" pivotButton="0" quotePrefix="0" xfId="2">
      <alignment horizontal="center" vertical="center" wrapText="1"/>
    </xf>
    <xf numFmtId="0" fontId="26" fillId="2" borderId="7" applyAlignment="1" pivotButton="0" quotePrefix="0" xfId="2">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pivotButton="0" quotePrefix="0" xfId="0"/>
    <xf numFmtId="0" fontId="1" fillId="3" borderId="1" applyAlignment="1" pivotButton="0" quotePrefix="0" xfId="2">
      <alignment vertical="center"/>
    </xf>
    <xf numFmtId="0" fontId="1" fillId="52" borderId="1" applyAlignment="1" pivotButton="0" quotePrefix="0" xfId="2">
      <alignment vertical="center"/>
    </xf>
    <xf numFmtId="43" fontId="8" fillId="3" borderId="0" applyAlignment="1" pivotButton="0" quotePrefix="0" xfId="9">
      <alignment horizontal="center" vertical="center" shrinkToFit="1"/>
    </xf>
    <xf numFmtId="0" fontId="26" fillId="2" borderId="6" applyAlignment="1" pivotButton="0" quotePrefix="0" xfId="2">
      <alignment horizontal="center" vertical="center" wrapText="1"/>
    </xf>
    <xf numFmtId="0" fontId="174" fillId="8" borderId="1" applyAlignment="1" pivotButton="0" quotePrefix="0" xfId="0">
      <alignment horizontal="center" vertical="center"/>
    </xf>
    <xf numFmtId="0" fontId="174" fillId="8" borderId="1" applyAlignment="1" pivotButton="0" quotePrefix="0" xfId="0">
      <alignment horizontal="center" vertical="center" wrapText="1"/>
    </xf>
    <xf numFmtId="0" fontId="175" fillId="0" borderId="1" applyAlignment="1" pivotButton="0" quotePrefix="0" xfId="0">
      <alignment horizontal="center" vertical="center"/>
    </xf>
    <xf numFmtId="0" fontId="175" fillId="0" borderId="1" applyAlignment="1" pivotButton="0" quotePrefix="0" xfId="0">
      <alignment horizontal="right" vertical="center"/>
    </xf>
    <xf numFmtId="0" fontId="174" fillId="0" borderId="1" applyAlignment="1" pivotButton="0" quotePrefix="0" xfId="0">
      <alignment horizontal="right" vertical="center" wrapText="1"/>
    </xf>
    <xf numFmtId="164" fontId="175" fillId="0" borderId="1" applyAlignment="1" pivotButton="0" quotePrefix="0" xfId="0">
      <alignment horizontal="center" vertical="center"/>
    </xf>
    <xf numFmtId="0" fontId="26" fillId="2" borderId="2" applyAlignment="1" pivotButton="0" quotePrefix="0" xfId="2">
      <alignment horizontal="center" vertical="center" wrapText="1"/>
    </xf>
    <xf numFmtId="0" fontId="26" fillId="2" borderId="4" applyAlignment="1" pivotButton="0" quotePrefix="0" xfId="2">
      <alignment horizontal="center" vertical="center" wrapText="1"/>
    </xf>
    <xf numFmtId="0" fontId="26" fillId="2" borderId="5" applyAlignment="1" pivotButton="0" quotePrefix="0" xfId="2">
      <alignment horizontal="center" vertical="center" wrapText="1"/>
    </xf>
    <xf numFmtId="0" fontId="26" fillId="2" borderId="7" applyAlignment="1" pivotButton="0" quotePrefix="0" xfId="2">
      <alignment horizontal="center" vertical="center" wrapText="1"/>
    </xf>
    <xf numFmtId="0" fontId="27" fillId="2" borderId="5" applyAlignment="1" pivotButton="0" quotePrefix="0" xfId="2">
      <alignment horizontal="center" vertical="center" wrapText="1"/>
    </xf>
    <xf numFmtId="0" fontId="32" fillId="6" borderId="2" applyAlignment="1" pivotButton="0" quotePrefix="0" xfId="12">
      <alignment horizontal="left" vertical="center" wrapText="1"/>
    </xf>
    <xf numFmtId="0" fontId="32" fillId="6" borderId="3" applyAlignment="1" pivotButton="0" quotePrefix="0" xfId="12">
      <alignment horizontal="left" vertical="center" wrapText="1"/>
    </xf>
    <xf numFmtId="0" fontId="32" fillId="6" borderId="4" applyAlignment="1" pivotButton="0" quotePrefix="0" xfId="12">
      <alignment horizontal="left" vertical="center" wrapText="1"/>
    </xf>
    <xf numFmtId="0" fontId="32" fillId="11" borderId="2" applyAlignment="1" pivotButton="0" quotePrefix="0" xfId="12">
      <alignment horizontal="left" vertical="center" wrapText="1"/>
    </xf>
    <xf numFmtId="0" fontId="32" fillId="11" borderId="3" applyAlignment="1" pivotButton="0" quotePrefix="0" xfId="12">
      <alignment horizontal="left" vertical="center" wrapText="1"/>
    </xf>
    <xf numFmtId="0" fontId="32" fillId="11" borderId="4" applyAlignment="1" pivotButton="0" quotePrefix="0" xfId="12">
      <alignment horizontal="left" vertical="center" wrapText="1"/>
    </xf>
    <xf numFmtId="0" fontId="32" fillId="8" borderId="2" applyAlignment="1" pivotButton="0" quotePrefix="0" xfId="12">
      <alignment horizontal="left" vertical="center" wrapText="1"/>
    </xf>
    <xf numFmtId="0" fontId="32" fillId="8" borderId="3" applyAlignment="1" pivotButton="0" quotePrefix="0" xfId="12">
      <alignment horizontal="left" vertical="center" wrapText="1"/>
    </xf>
    <xf numFmtId="0" fontId="32" fillId="8" borderId="4" applyAlignment="1" pivotButton="0" quotePrefix="0" xfId="12">
      <alignment horizontal="left" vertical="center" wrapText="1"/>
    </xf>
    <xf numFmtId="0" fontId="32" fillId="4" borderId="40" applyAlignment="1" pivotButton="0" quotePrefix="0" xfId="12">
      <alignment horizontal="left" vertical="center" wrapText="1"/>
    </xf>
    <xf numFmtId="0" fontId="32" fillId="4" borderId="8" applyAlignment="1" pivotButton="0" quotePrefix="0" xfId="12">
      <alignment horizontal="left" vertical="center" wrapText="1"/>
    </xf>
    <xf numFmtId="0" fontId="32" fillId="4" borderId="11" applyAlignment="1" pivotButton="0" quotePrefix="0" xfId="12">
      <alignment horizontal="left" vertical="center" wrapText="1"/>
    </xf>
    <xf numFmtId="0" fontId="32" fillId="4" borderId="2" applyAlignment="1" pivotButton="0" quotePrefix="0" xfId="12">
      <alignment horizontal="left" vertical="center" wrapText="1"/>
    </xf>
    <xf numFmtId="0" fontId="32" fillId="4" borderId="3" applyAlignment="1" pivotButton="0" quotePrefix="0" xfId="12">
      <alignment horizontal="left" vertical="center" wrapText="1"/>
    </xf>
    <xf numFmtId="0" fontId="32" fillId="4" borderId="4" applyAlignment="1" pivotButton="0" quotePrefix="0" xfId="12">
      <alignment horizontal="left" vertical="center" wrapText="1"/>
    </xf>
    <xf numFmtId="0" fontId="158" fillId="3" borderId="1" applyAlignment="1" pivotButton="0" quotePrefix="0" xfId="0">
      <alignment vertical="center" wrapText="1"/>
    </xf>
    <xf numFmtId="0" fontId="0" fillId="0" borderId="6" pivotButton="0" quotePrefix="0" xfId="0"/>
    <xf numFmtId="0" fontId="161" fillId="0" borderId="37" applyAlignment="1" pivotButton="0" quotePrefix="0" xfId="498">
      <alignment wrapText="1"/>
    </xf>
    <xf numFmtId="0" fontId="0" fillId="0" borderId="38" pivotButton="0" quotePrefix="0" xfId="0"/>
    <xf numFmtId="0" fontId="158" fillId="0" borderId="1" applyAlignment="1" pivotButton="0" quotePrefix="0" xfId="0">
      <alignment horizontal="center" vertical="center"/>
    </xf>
    <xf numFmtId="0" fontId="159" fillId="10" borderId="1" applyAlignment="1" pivotButton="0" quotePrefix="0" xfId="0">
      <alignment horizontal="center" vertical="center" wrapText="1"/>
    </xf>
    <xf numFmtId="0" fontId="0" fillId="0" borderId="11" pivotButton="0" quotePrefix="0" xfId="0"/>
    <xf numFmtId="0" fontId="0" fillId="0" borderId="33" pivotButton="0" quotePrefix="0" xfId="0"/>
    <xf numFmtId="0" fontId="0" fillId="0" borderId="10" pivotButton="0" quotePrefix="0" xfId="0"/>
    <xf numFmtId="0" fontId="0" fillId="0" borderId="13" pivotButton="0" quotePrefix="0" xfId="0"/>
    <xf numFmtId="0" fontId="0" fillId="0" borderId="12" pivotButton="0" quotePrefix="0" xfId="0"/>
    <xf numFmtId="0" fontId="164" fillId="3" borderId="0" applyAlignment="1" pivotButton="0" quotePrefix="0" xfId="0">
      <alignment horizontal="center" vertical="center" wrapText="1"/>
    </xf>
    <xf numFmtId="0" fontId="164" fillId="3" borderId="0" applyAlignment="1" pivotButton="0" quotePrefix="0" xfId="0">
      <alignment horizontal="center" vertical="center"/>
    </xf>
    <xf numFmtId="0" fontId="38" fillId="0" borderId="0" applyAlignment="1" pivotButton="0" quotePrefix="0" xfId="0">
      <alignment horizontal="left" vertical="center" wrapText="1"/>
    </xf>
    <xf numFmtId="0" fontId="0" fillId="0" borderId="0" applyAlignment="1" pivotButton="0" quotePrefix="0" xfId="0">
      <alignment vertical="center"/>
    </xf>
    <xf numFmtId="0" fontId="35" fillId="4" borderId="0" applyAlignment="1" pivotButton="0" quotePrefix="0" xfId="0">
      <alignment horizontal="center" vertical="center" wrapText="1"/>
    </xf>
    <xf numFmtId="0" fontId="36" fillId="4" borderId="9" applyAlignment="1" pivotButton="0" quotePrefix="0" xfId="0">
      <alignment horizontal="center" vertical="center" wrapText="1"/>
    </xf>
    <xf numFmtId="0" fontId="0" fillId="0" borderId="9" pivotButton="0" quotePrefix="0" xfId="0"/>
    <xf numFmtId="0" fontId="23" fillId="0" borderId="1" applyAlignment="1" pivotButton="0" quotePrefix="0" xfId="0">
      <alignment horizontal="center" vertical="center"/>
    </xf>
    <xf numFmtId="0" fontId="0" fillId="0" borderId="4" pivotButton="0" quotePrefix="0" xfId="0"/>
    <xf numFmtId="0" fontId="0" fillId="0" borderId="1" applyAlignment="1" pivotButton="0" quotePrefix="0" xfId="0">
      <alignment horizontal="left" vertical="center" wrapText="1"/>
    </xf>
    <xf numFmtId="164" fontId="152" fillId="3" borderId="0" applyAlignment="1" pivotButton="0" quotePrefix="0" xfId="2">
      <alignment vertical="center"/>
    </xf>
    <xf numFmtId="164" fontId="18" fillId="3" borderId="0" applyAlignment="1" pivotButton="0" quotePrefix="0" xfId="1">
      <alignment vertical="center"/>
    </xf>
    <xf numFmtId="164" fontId="6" fillId="3" borderId="0" applyAlignment="1" pivotButton="0" quotePrefix="0" xfId="0">
      <alignment horizontal="left" vertical="center"/>
    </xf>
    <xf numFmtId="164" fontId="154" fillId="3" borderId="0" applyAlignment="1" pivotButton="0" quotePrefix="0" xfId="1">
      <alignment horizontal="center" vertical="center" wrapText="1"/>
    </xf>
    <xf numFmtId="164" fontId="18" fillId="3" borderId="0" applyAlignment="1" pivotButton="0" quotePrefix="0" xfId="2">
      <alignment vertical="center"/>
    </xf>
    <xf numFmtId="164" fontId="6" fillId="3" borderId="0" applyAlignment="1" pivotButton="0" quotePrefix="0" xfId="2">
      <alignment vertical="center"/>
    </xf>
    <xf numFmtId="164" fontId="32" fillId="3" borderId="0" applyAlignment="1" pivotButton="0" quotePrefix="0" xfId="1">
      <alignment vertical="center"/>
    </xf>
    <xf numFmtId="164" fontId="18" fillId="3" borderId="0" applyAlignment="1" pivotButton="0" quotePrefix="0" xfId="2">
      <alignment horizontal="center" vertical="center"/>
    </xf>
    <xf numFmtId="165" fontId="6" fillId="0" borderId="0" applyAlignment="1" pivotButton="0" quotePrefix="0" xfId="2">
      <alignment vertical="center" wrapText="1"/>
    </xf>
    <xf numFmtId="166" fontId="6" fillId="3" borderId="0" applyAlignment="1" pivotButton="0" quotePrefix="0" xfId="0">
      <alignment horizontal="right" vertical="center"/>
    </xf>
    <xf numFmtId="167" fontId="6" fillId="3" borderId="0" applyAlignment="1" pivotButton="0" quotePrefix="0" xfId="2">
      <alignment horizontal="left" vertical="center"/>
    </xf>
    <xf numFmtId="164" fontId="3" fillId="3" borderId="0" applyAlignment="1" pivotButton="0" quotePrefix="0" xfId="2">
      <alignment horizontal="center" vertical="center" wrapText="1"/>
    </xf>
    <xf numFmtId="164" fontId="3" fillId="3" borderId="0" applyAlignment="1" pivotButton="0" quotePrefix="0" xfId="1">
      <alignment horizontal="center" vertical="center"/>
    </xf>
    <xf numFmtId="164" fontId="3" fillId="3" borderId="0" applyAlignment="1" pivotButton="0" quotePrefix="0" xfId="2">
      <alignment vertical="center"/>
    </xf>
    <xf numFmtId="164" fontId="3" fillId="3" borderId="0" applyAlignment="1" pivotButton="0" quotePrefix="0" xfId="1">
      <alignment vertical="center"/>
    </xf>
    <xf numFmtId="164" fontId="3" fillId="3" borderId="0" applyAlignment="1" pivotButton="0" quotePrefix="0" xfId="2">
      <alignment horizontal="center" vertical="center"/>
    </xf>
    <xf numFmtId="164" fontId="8" fillId="3" borderId="9" applyAlignment="1" pivotButton="0" quotePrefix="0" xfId="9">
      <alignment vertical="center"/>
    </xf>
    <xf numFmtId="0" fontId="26" fillId="2" borderId="1" applyAlignment="1" pivotButton="0" quotePrefix="0" xfId="2">
      <alignment horizontal="center" vertical="center" wrapText="1"/>
    </xf>
    <xf numFmtId="0" fontId="0" fillId="0" borderId="7" pivotButton="0" quotePrefix="0" xfId="0"/>
    <xf numFmtId="168" fontId="15" fillId="5" borderId="0" applyAlignment="1" pivotButton="0" quotePrefix="1" xfId="10">
      <alignment horizontal="left" vertical="center"/>
    </xf>
    <xf numFmtId="169" fontId="15" fillId="5" borderId="0" applyAlignment="1" pivotButton="0" quotePrefix="1" xfId="10">
      <alignment horizontal="left" vertical="center"/>
    </xf>
    <xf numFmtId="0" fontId="32" fillId="8" borderId="1" applyAlignment="1" pivotButton="0" quotePrefix="0" xfId="12">
      <alignment horizontal="left" vertical="center" wrapText="1"/>
    </xf>
    <xf numFmtId="0" fontId="0" fillId="0" borderId="3" pivotButton="0" quotePrefix="0" xfId="0"/>
    <xf numFmtId="170" fontId="17" fillId="0" borderId="0" applyAlignment="1" pivotButton="0" quotePrefix="0" xfId="13">
      <alignment horizontal="center" vertical="center" shrinkToFit="1"/>
    </xf>
    <xf numFmtId="0" fontId="32" fillId="4" borderId="5" applyAlignment="1" pivotButton="0" quotePrefix="0" xfId="12">
      <alignment horizontal="left" vertical="center" wrapText="1"/>
    </xf>
    <xf numFmtId="0" fontId="0" fillId="0" borderId="8" pivotButton="0" quotePrefix="0" xfId="0"/>
    <xf numFmtId="0" fontId="32" fillId="4" borderId="1" applyAlignment="1" pivotButton="0" quotePrefix="0" xfId="12">
      <alignment horizontal="left" vertical="center" wrapText="1"/>
    </xf>
    <xf numFmtId="0" fontId="32" fillId="11" borderId="1" applyAlignment="1" pivotButton="0" quotePrefix="0" xfId="12">
      <alignment horizontal="left" vertical="center" wrapText="1"/>
    </xf>
    <xf numFmtId="164" fontId="3" fillId="0" borderId="0" applyAlignment="1" pivotButton="0" quotePrefix="0" xfId="1">
      <alignment vertical="center"/>
    </xf>
    <xf numFmtId="164" fontId="3" fillId="0" borderId="0" applyAlignment="1" pivotButton="0" quotePrefix="0" xfId="11">
      <alignment vertical="center"/>
    </xf>
    <xf numFmtId="0" fontId="32" fillId="6" borderId="1" applyAlignment="1" pivotButton="0" quotePrefix="0" xfId="12">
      <alignment horizontal="left" vertical="center" wrapText="1"/>
    </xf>
    <xf numFmtId="170" fontId="18" fillId="0" borderId="0" applyAlignment="1" pivotButton="0" quotePrefix="0" xfId="13">
      <alignment horizontal="center" vertical="center" shrinkToFit="1"/>
    </xf>
    <xf numFmtId="164" fontId="34" fillId="4" borderId="0" applyAlignment="1" pivotButton="0" quotePrefix="0" xfId="1">
      <alignment horizontal="right" vertical="center" wrapText="1"/>
    </xf>
    <xf numFmtId="167" fontId="3" fillId="3" borderId="0" applyAlignment="1" pivotButton="0" quotePrefix="0" xfId="0">
      <alignment horizontal="left" shrinkToFit="1"/>
    </xf>
    <xf numFmtId="164" fontId="0" fillId="3" borderId="0" pivotButton="0" quotePrefix="0" xfId="1"/>
    <xf numFmtId="164" fontId="158" fillId="0" borderId="1" applyAlignment="1" pivotButton="0" quotePrefix="0" xfId="1">
      <alignment vertical="center" shrinkToFit="1"/>
    </xf>
    <xf numFmtId="164" fontId="156" fillId="0" borderId="1" applyAlignment="1" pivotButton="0" quotePrefix="0" xfId="27">
      <alignment vertical="center" shrinkToFit="1"/>
    </xf>
    <xf numFmtId="164" fontId="159" fillId="10" borderId="34" applyAlignment="1" pivotButton="0" quotePrefix="0" xfId="0">
      <alignment vertical="center"/>
    </xf>
    <xf numFmtId="164" fontId="159" fillId="10" borderId="34" applyAlignment="1" pivotButton="0" quotePrefix="0" xfId="27">
      <alignment vertical="center"/>
    </xf>
    <xf numFmtId="164" fontId="160" fillId="10" borderId="35" applyAlignment="1" pivotButton="0" quotePrefix="0" xfId="0">
      <alignment vertical="center"/>
    </xf>
    <xf numFmtId="164" fontId="160" fillId="10" borderId="35" applyAlignment="1" pivotButton="0" quotePrefix="0" xfId="27">
      <alignment vertical="center"/>
    </xf>
    <xf numFmtId="164" fontId="160" fillId="10" borderId="36" applyAlignment="1" pivotButton="0" quotePrefix="0" xfId="0">
      <alignment vertical="center"/>
    </xf>
    <xf numFmtId="164" fontId="160" fillId="10" borderId="36" applyAlignment="1" pivotButton="0" quotePrefix="0" xfId="27">
      <alignment vertical="center"/>
    </xf>
    <xf numFmtId="164" fontId="175" fillId="0" borderId="1" applyAlignment="1" pivotButton="0" quotePrefix="0" xfId="0">
      <alignment horizontal="center" vertical="center"/>
    </xf>
    <xf numFmtId="167" fontId="42" fillId="3" borderId="0" applyAlignment="1" pivotButton="0" quotePrefix="0" xfId="0">
      <alignment horizontal="left" vertical="center"/>
    </xf>
    <xf numFmtId="164" fontId="3" fillId="0" borderId="1" applyAlignment="1" pivotButton="0" quotePrefix="0" xfId="1">
      <alignment vertical="center"/>
    </xf>
    <xf numFmtId="164" fontId="5" fillId="0" borderId="1" applyAlignment="1" pivotButton="0" quotePrefix="0" xfId="0">
      <alignment vertical="center"/>
    </xf>
    <xf numFmtId="170" fontId="3" fillId="0" borderId="1" applyAlignment="1" pivotButton="0" quotePrefix="0" xfId="27">
      <alignment vertical="center"/>
    </xf>
    <xf numFmtId="164" fontId="3" fillId="0" borderId="0" applyAlignment="1" pivotButton="0" quotePrefix="0" xfId="0">
      <alignment vertical="center"/>
    </xf>
    <xf numFmtId="164" fontId="33" fillId="3" borderId="1" applyAlignment="1" pivotButton="0" quotePrefix="0" xfId="0">
      <alignment vertical="center"/>
    </xf>
    <xf numFmtId="164" fontId="33" fillId="3" borderId="1" applyAlignment="1" pivotButton="0" quotePrefix="0" xfId="0">
      <alignment vertical="center" wrapText="1"/>
    </xf>
    <xf numFmtId="164" fontId="39" fillId="0" borderId="0" applyAlignment="1" pivotButton="0" quotePrefix="0" xfId="1">
      <alignment vertical="center"/>
    </xf>
    <xf numFmtId="164" fontId="163" fillId="0" borderId="0" applyAlignment="1" pivotButton="0" quotePrefix="0" xfId="1">
      <alignment vertical="center"/>
    </xf>
    <xf numFmtId="171" fontId="0" fillId="0" borderId="1" applyAlignment="1" pivotButton="0" quotePrefix="0" xfId="0">
      <alignment horizontal="center" vertical="center"/>
    </xf>
  </cellXfs>
  <cellStyles count="501">
    <cellStyle name="Normal" xfId="0" builtinId="0"/>
    <cellStyle name="Comma" xfId="1" builtinId="3"/>
    <cellStyle name="Normal 8" xfId="2"/>
    <cellStyle name="Comma 6" xfId="3"/>
    <cellStyle name="Comma 2" xfId="4"/>
    <cellStyle name="Normal 2" xfId="5"/>
    <cellStyle name="Comma 2 6" xfId="6"/>
    <cellStyle name="Normal 8 2" xfId="7"/>
    <cellStyle name="Comma 14" xfId="8"/>
    <cellStyle name="Normal 3 2" xfId="9"/>
    <cellStyle name="Normal 2 3" xfId="10"/>
    <cellStyle name="Normal 2 2" xfId="11"/>
    <cellStyle name="Normal 3" xfId="12"/>
    <cellStyle name="Percent 2" xfId="13"/>
    <cellStyle name="Comma 4" xfId="14"/>
    <cellStyle name="Percent 3" xfId="15"/>
    <cellStyle name="Comma 3" xfId="16"/>
    <cellStyle name="Comma 5" xfId="17"/>
    <cellStyle name="Comma 6 2" xfId="18"/>
    <cellStyle name="Currency 2" xfId="19"/>
    <cellStyle name="Currency 4" xfId="20"/>
    <cellStyle name="Hyperlink 2" xfId="21"/>
    <cellStyle name="Normal 12" xfId="22"/>
    <cellStyle name="Normal 4" xfId="23"/>
    <cellStyle name="Percent 2 2" xfId="24"/>
    <cellStyle name="Percent 4" xfId="25"/>
    <cellStyle name="Percent 5" xfId="26"/>
    <cellStyle name="Percent" xfId="27" builtinId="5"/>
    <cellStyle name="Normal 13" xfId="28"/>
    <cellStyle name="_x0001_" xfId="29"/>
    <cellStyle name="??" xfId="30"/>
    <cellStyle name="?? [0.00]_List-dwg" xfId="31"/>
    <cellStyle name="?? [0]" xfId="32"/>
    <cellStyle name="??&amp;O?&amp;H?_x0008__x000f__x0007_?_x0007__x0001__x0001_" xfId="33"/>
    <cellStyle name="??&amp;O?&amp;H?_x0008_??_x0007__x0001__x0001_" xfId="34"/>
    <cellStyle name="???? [0.00]_List-dwg" xfId="35"/>
    <cellStyle name="??????" xfId="36"/>
    <cellStyle name="????????????DEC.4,97)-1_" xfId="37"/>
    <cellStyle name="????????????DEC.4,97)-1a" xfId="38"/>
    <cellStyle name="???????fcv1(DE" xfId="39"/>
    <cellStyle name="????_Add and Red2" xfId="40"/>
    <cellStyle name="???_??" xfId="41"/>
    <cellStyle name="??_(????)??????" xfId="42"/>
    <cellStyle name="??’??`" xfId="43"/>
    <cellStyle name="??·?`??" xfId="44"/>
    <cellStyle name="????`?" xfId="45"/>
    <cellStyle name="??e?`?f" xfId="46"/>
    <cellStyle name="_20040916-2 元積BQ(為替レート変更)" xfId="47"/>
    <cellStyle name="_aka" xfId="48"/>
    <cellStyle name="_Book1" xfId="49"/>
    <cellStyle name="_ELECTRICAL boq WITH TENDER FINAL" xfId="50"/>
    <cellStyle name="_ELECTRICAL boq WITH TENDER FINAL_060829_M&amp;E FACTORY SUMMARY OF PRICES_260806" xfId="51"/>
    <cellStyle name="_ELECTRICAL boq WITH TENDER FINAL_060829_M&amp;E FACTORY SUMMARY OF PRICES_3" xfId="52"/>
    <cellStyle name="_ELECTRICAL boq WITH TENDER FINAL_060829_単価確認・仮設試算" xfId="53"/>
    <cellStyle name="_ELECTRICAL boq WITH TENDER FINAL_①_ホンダ四輪工場_赤紙･内訳_RE 1_M&amp;E FACTORY SUMMARY OF PRICES" xfId="54"/>
    <cellStyle name="_Good Unit_Correlation_512 (2)" xfId="55"/>
    <cellStyle name="_KT (2)" xfId="56"/>
    <cellStyle name="_KT (2)_1" xfId="57"/>
    <cellStyle name="_KT (2)_2" xfId="58"/>
    <cellStyle name="_KT (2)_2_Inquiry quotation" xfId="59"/>
    <cellStyle name="_KT (2)_2_MS ASIA-16Aug07-Equipment List" xfId="60"/>
    <cellStyle name="_KT (2)_2_Outline of Elec system-28Aug07 (Thanh)" xfId="61"/>
    <cellStyle name="_KT (2)_2_TG-TH" xfId="62"/>
    <cellStyle name="_KT (2)_2_TG-TH_Book1" xfId="63"/>
    <cellStyle name="_KT (2)_3" xfId="64"/>
    <cellStyle name="_KT (2)_3_Inquiry quotation" xfId="65"/>
    <cellStyle name="_KT (2)_3_MS ASIA-16Aug07-Equipment List" xfId="66"/>
    <cellStyle name="_KT (2)_3_Outline of Elec system-28Aug07 (Thanh)" xfId="67"/>
    <cellStyle name="_KT (2)_3_TG-TH" xfId="68"/>
    <cellStyle name="_KT (2)_3_TG-TH_Book1" xfId="69"/>
    <cellStyle name="_KT (2)_4" xfId="70"/>
    <cellStyle name="_KT (2)_4_Book1" xfId="71"/>
    <cellStyle name="_KT (2)_4_TG-TH" xfId="72"/>
    <cellStyle name="_KT (2)_4_TG-TH_Inquiry quotation" xfId="73"/>
    <cellStyle name="_KT (2)_4_TG-TH_MS ASIA-16Aug07-Equipment List" xfId="74"/>
    <cellStyle name="_KT (2)_4_TG-TH_Outline of Elec system-28Aug07 (Thanh)" xfId="75"/>
    <cellStyle name="_KT (2)_5" xfId="76"/>
    <cellStyle name="_KT (2)_5_Book1" xfId="77"/>
    <cellStyle name="_KT (2)_Book1" xfId="78"/>
    <cellStyle name="_KT (2)_TG-TH" xfId="79"/>
    <cellStyle name="_KT (2)_TG-TH_Inquiry quotation" xfId="80"/>
    <cellStyle name="_KT (2)_TG-TH_MS ASIA-16Aug07-Equipment List" xfId="81"/>
    <cellStyle name="_KT (2)_TG-TH_Outline of Elec system-28Aug07 (Thanh)" xfId="82"/>
    <cellStyle name="_KT_TG" xfId="83"/>
    <cellStyle name="_KT_TG_1" xfId="84"/>
    <cellStyle name="_KT_TG_1_Book1" xfId="85"/>
    <cellStyle name="_KT_TG_2" xfId="86"/>
    <cellStyle name="_KT_TG_2_Book1" xfId="87"/>
    <cellStyle name="_KT_TG_3" xfId="88"/>
    <cellStyle name="_KT_TG_3_Inquiry quotation" xfId="89"/>
    <cellStyle name="_KT_TG_3_MS ASIA-16Aug07-Equipment List" xfId="90"/>
    <cellStyle name="_KT_TG_3_Outline of Elec system-28Aug07 (Thanh)" xfId="91"/>
    <cellStyle name="_KT_TG_4" xfId="92"/>
    <cellStyle name="_KT_TG_Inquiry quotation" xfId="93"/>
    <cellStyle name="_KT_TG_MS ASIA-16Aug07-Equipment List" xfId="94"/>
    <cellStyle name="_KT_TG_Outline of Elec system-28Aug07 (Thanh)" xfId="95"/>
    <cellStyle name="_TG-TH" xfId="96"/>
    <cellStyle name="_TG-TH_1" xfId="97"/>
    <cellStyle name="_TG-TH_1_Book1" xfId="98"/>
    <cellStyle name="_TG-TH_2" xfId="99"/>
    <cellStyle name="_TG-TH_2_Book1" xfId="100"/>
    <cellStyle name="_TG-TH_3" xfId="101"/>
    <cellStyle name="_TG-TH_3_RHYTHM PHASE-2工事概要_HAL EXTENTION" xfId="102"/>
    <cellStyle name="_TG-TH_4" xfId="103"/>
    <cellStyle name="_TG-TH_4_Inquiry quotation" xfId="104"/>
    <cellStyle name="_TG-TH_4_MS ASIA-16Aug07-Equipment List" xfId="105"/>
    <cellStyle name="_TG-TH_4_Outline of Elec system-28Aug07 (Thanh)" xfId="106"/>
    <cellStyle name="_TG-TH_Inquiry quotation" xfId="107"/>
    <cellStyle name="_TG-TH_MS ASIA-16Aug07-Equipment List" xfId="108"/>
    <cellStyle name="_TG-TH_Outline of Elec system-28Aug07 (Thanh)" xfId="109"/>
    <cellStyle name="’Ê‰Ý [0.00]_Add and Red2" xfId="110"/>
    <cellStyle name="’Ê‰Ý_Add and Red2" xfId="111"/>
    <cellStyle name="–¢’è‹`" xfId="112"/>
    <cellStyle name="=C:\WINDOWS\SYSTEM32\COMMAND.COM" xfId="113"/>
    <cellStyle name="•W?_Pacific Region P&amp;L" xfId="114"/>
    <cellStyle name="•W€_Add and Red" xfId="115"/>
    <cellStyle name="•W_‹ó—“" xfId="116"/>
    <cellStyle name="\¦ÏÝÌnCp[N" xfId="117"/>
    <cellStyle name="aOe [0.00]_s-ns-bq" xfId="118"/>
    <cellStyle name="aOe_s-ns-bq" xfId="119"/>
    <cellStyle name="EY [0.00]_CONDITION (2)" xfId="120"/>
    <cellStyle name="ÊÝ [0.00]_laroux" xfId="121"/>
    <cellStyle name="EY_CONDITION (2)" xfId="122"/>
    <cellStyle name="ÊÝ_laroux" xfId="123"/>
    <cellStyle name="nCp[N" xfId="124"/>
    <cellStyle name="W_{Ì" xfId="125"/>
    <cellStyle name="¹éºÐÀ²_±âÅ¸" xfId="126"/>
    <cellStyle name="2)" xfId="127"/>
    <cellStyle name="20% - アクセント 1" xfId="128"/>
    <cellStyle name="20% - アクセント 2" xfId="129"/>
    <cellStyle name="20% - アクセント 3" xfId="130"/>
    <cellStyle name="20% - アクセント 4" xfId="131"/>
    <cellStyle name="20% - アクセント 5" xfId="132"/>
    <cellStyle name="20% - アクセント 6" xfId="133"/>
    <cellStyle name="40% - アクセント 1" xfId="134"/>
    <cellStyle name="40% - アクセント 2" xfId="135"/>
    <cellStyle name="40% - アクセント 3" xfId="136"/>
    <cellStyle name="40% - アクセント 4" xfId="137"/>
    <cellStyle name="40% - アクセント 5" xfId="138"/>
    <cellStyle name="40% - アクセント 6" xfId="139"/>
    <cellStyle name="60% - アクセント 1" xfId="140"/>
    <cellStyle name="60% - アクセント 2" xfId="141"/>
    <cellStyle name="60% - アクセント 3" xfId="142"/>
    <cellStyle name="60% - アクセント 4" xfId="143"/>
    <cellStyle name="60% - アクセント 5" xfId="144"/>
    <cellStyle name="60% - アクセント 6" xfId="145"/>
    <cellStyle name="ＡＡ" xfId="146"/>
    <cellStyle name="Accent1 - 20%" xfId="147"/>
    <cellStyle name="Accent1 - 40%" xfId="148"/>
    <cellStyle name="Accent1 - 60%" xfId="149"/>
    <cellStyle name="Accent2 - 20%" xfId="150"/>
    <cellStyle name="Accent2 - 40%" xfId="151"/>
    <cellStyle name="Accent2 - 60%" xfId="152"/>
    <cellStyle name="Accent3 - 20%" xfId="153"/>
    <cellStyle name="Accent3 - 40%" xfId="154"/>
    <cellStyle name="Accent3 - 60%" xfId="155"/>
    <cellStyle name="Accent4 - 20%" xfId="156"/>
    <cellStyle name="Accent4 - 40%" xfId="157"/>
    <cellStyle name="Accent4 - 60%" xfId="158"/>
    <cellStyle name="Accent5 - 20%" xfId="159"/>
    <cellStyle name="Accent5 - 40%" xfId="160"/>
    <cellStyle name="Accent5 - 60%" xfId="161"/>
    <cellStyle name="Accent6 - 20%" xfId="162"/>
    <cellStyle name="Accent6 - 40%" xfId="163"/>
    <cellStyle name="Accent6 - 60%" xfId="164"/>
    <cellStyle name="active" xfId="165"/>
    <cellStyle name="ÅëÈ­ [0]_´ë¿©ÀüÃ¼" xfId="166"/>
    <cellStyle name="AeE­ [0]_´eºnC￥ " xfId="167"/>
    <cellStyle name="ÅëÈ­ [0]_±âÅ¸" xfId="168"/>
    <cellStyle name="AeE­ [0]_INQUIRY ¿μ¾÷AßAø " xfId="169"/>
    <cellStyle name="ÅëÈ­ [0]_ÿÿÿÿÿÿ" xfId="170"/>
    <cellStyle name="ÅëÈ­_´ë¿©ÀüÃ¼" xfId="171"/>
    <cellStyle name="AeE­_´eºnC￥ " xfId="172"/>
    <cellStyle name="ÅëÈ­_±âÅ¸" xfId="173"/>
    <cellStyle name="AeE­_INQUIRY ¿µ¾÷AßAø " xfId="174"/>
    <cellStyle name="ÅëÈ­_ÿÿÿÿÿÿ" xfId="175"/>
    <cellStyle name="args.style" xfId="176"/>
    <cellStyle name="ÄÞ¸¶ [0]_´ë¿©ÀüÃ¼" xfId="177"/>
    <cellStyle name="AÞ¸¶ [0]_´eºnC￥ " xfId="178"/>
    <cellStyle name="ÄÞ¸¶ [0]_±âÅ¸" xfId="179"/>
    <cellStyle name="AÞ¸¶ [0]_INQUIRY ¿?¾÷AßAø " xfId="180"/>
    <cellStyle name="ÄÞ¸¶ [0]_ÿÿÿÿÿÿ" xfId="181"/>
    <cellStyle name="ÄÞ¸¶_´ë¿©ÀüÃ¼" xfId="182"/>
    <cellStyle name="AÞ¸¶_´eºnC￥ " xfId="183"/>
    <cellStyle name="ÄÞ¸¶_±âÅ¸" xfId="184"/>
    <cellStyle name="AÞ¸¶_INQUIRY ¿?¾÷AßAø " xfId="185"/>
    <cellStyle name="ÄÞ¸¶_ÿÿÿÿÿÿ" xfId="186"/>
    <cellStyle name="AutoFormat Options" xfId="187"/>
    <cellStyle name="_x0001_b" xfId="188"/>
    <cellStyle name="black bar" xfId="189"/>
    <cellStyle name="Blue,Bold,12pt" xfId="190"/>
    <cellStyle name="C?AØ_¿?¾÷CoE² " xfId="191"/>
    <cellStyle name="Ç¥ÁØ_#2(M17)_1" xfId="192"/>
    <cellStyle name="C￥AØ_´eºnC￥ (2)_1_ºI´eAa°ø " xfId="193"/>
    <cellStyle name="Ç¥ÁØ_¿ù°£¿ä¾àº¸°í" xfId="194"/>
    <cellStyle name="Calc Currency (0)" xfId="195"/>
    <cellStyle name="Calc Currency (2)" xfId="196"/>
    <cellStyle name="Calc Percent (0)" xfId="197"/>
    <cellStyle name="Calc Percent (1)" xfId="198"/>
    <cellStyle name="Calc Percent (2)" xfId="199"/>
    <cellStyle name="Calc Units (0)" xfId="200"/>
    <cellStyle name="Calc Units (1)" xfId="201"/>
    <cellStyle name="Calc Units (2)" xfId="202"/>
    <cellStyle name="category" xfId="203"/>
    <cellStyle name="Cerrency_Sheet2_XANGDAU" xfId="204"/>
    <cellStyle name="Comma 12" xfId="205"/>
    <cellStyle name="Comma [0] 2" xfId="206"/>
    <cellStyle name="Comma [0] 2 2" xfId="207"/>
    <cellStyle name="Comma [0] 3" xfId="208"/>
    <cellStyle name="Comma [0] 4" xfId="209"/>
    <cellStyle name="Comma [0] 5" xfId="210"/>
    <cellStyle name="Comma [0] 6" xfId="211"/>
    <cellStyle name="Comma [0] 7" xfId="212"/>
    <cellStyle name="Comma [0] 8" xfId="213"/>
    <cellStyle name="Comma [00]" xfId="214"/>
    <cellStyle name="Comma 10" xfId="215"/>
    <cellStyle name="Comma 10 2" xfId="216"/>
    <cellStyle name="Comma 11" xfId="217"/>
    <cellStyle name="Comma 19" xfId="218"/>
    <cellStyle name="Comma 2 5" xfId="219"/>
    <cellStyle name="Comma 2 2" xfId="220"/>
    <cellStyle name="Comma 2 3" xfId="221"/>
    <cellStyle name="Comma 2 4" xfId="222"/>
    <cellStyle name="Comma 2_Submit Quo Mech(Hamaden -Fujita) - Jul 29, 2010 (QH10-0578-01)" xfId="223"/>
    <cellStyle name="Comma 3 3" xfId="224"/>
    <cellStyle name="Comma 3 2" xfId="225"/>
    <cellStyle name="Comma 3 2 2 2 2" xfId="226"/>
    <cellStyle name="Comma 4 2" xfId="227"/>
    <cellStyle name="Comma 5 2" xfId="228"/>
    <cellStyle name="Comma 6 3" xfId="229"/>
    <cellStyle name="Comma 7" xfId="230"/>
    <cellStyle name="Comma 7 2" xfId="231"/>
    <cellStyle name="Comma 8" xfId="232"/>
    <cellStyle name="Comma 9" xfId="233"/>
    <cellStyle name="Comma 9 2" xfId="234"/>
    <cellStyle name="Comma 9 4" xfId="235"/>
    <cellStyle name="comma zerodec" xfId="236"/>
    <cellStyle name="Comma0" xfId="237"/>
    <cellStyle name="Copied" xfId="238"/>
    <cellStyle name="Currency [0] 2" xfId="239"/>
    <cellStyle name="Currency [00]" xfId="240"/>
    <cellStyle name="Currency0" xfId="241"/>
    <cellStyle name="Currency1" xfId="242"/>
    <cellStyle name="custom" xfId="243"/>
    <cellStyle name="Custom - Style8" xfId="244"/>
    <cellStyle name="Data   - Style2" xfId="245"/>
    <cellStyle name="Date" xfId="246"/>
    <cellStyle name="Date Short" xfId="247"/>
    <cellStyle name="Date_050212_間接費試算" xfId="248"/>
    <cellStyle name="DELTA" xfId="249"/>
    <cellStyle name="Dezimal [0]_KHI_KAB1" xfId="250"/>
    <cellStyle name="Dezimal_KHI_KAB1" xfId="251"/>
    <cellStyle name="Dollar (zero dec)" xfId="252"/>
    <cellStyle name="Emphasis 1" xfId="253"/>
    <cellStyle name="Emphasis 2" xfId="254"/>
    <cellStyle name="Emphasis 3" xfId="255"/>
    <cellStyle name="Enter Currency (0)" xfId="256"/>
    <cellStyle name="Enter Currency (2)" xfId="257"/>
    <cellStyle name="Enter Units (0)" xfId="258"/>
    <cellStyle name="Enter Units (1)" xfId="259"/>
    <cellStyle name="Enter Units (2)" xfId="260"/>
    <cellStyle name="entry" xfId="261"/>
    <cellStyle name="Euro" xfId="262"/>
    <cellStyle name="F2" xfId="263"/>
    <cellStyle name="F3" xfId="264"/>
    <cellStyle name="F4" xfId="265"/>
    <cellStyle name="F5" xfId="266"/>
    <cellStyle name="F6" xfId="267"/>
    <cellStyle name="F7" xfId="268"/>
    <cellStyle name="F8" xfId="269"/>
    <cellStyle name="Fixed" xfId="270"/>
    <cellStyle name="ƒnƒCƒp[ƒŠƒ“ƒN" xfId="271"/>
    <cellStyle name="Grey" xfId="272"/>
    <cellStyle name="HEADER" xfId="273"/>
    <cellStyle name="Header1" xfId="274"/>
    <cellStyle name="Header2" xfId="275"/>
    <cellStyle name="HEADING1" xfId="276"/>
    <cellStyle name="HEADING2" xfId="277"/>
    <cellStyle name="Helv8_PFD4.XLS" xfId="278"/>
    <cellStyle name="Hyperlink 3" xfId="279"/>
    <cellStyle name="Hyperlink 2 2" xfId="280"/>
    <cellStyle name="i·0" xfId="281"/>
    <cellStyle name="Input [yellow]" xfId="282"/>
    <cellStyle name="Kostnadskalkyl" xfId="283"/>
    <cellStyle name="Labels - Style3" xfId="284"/>
    <cellStyle name="Link Currency (0)" xfId="285"/>
    <cellStyle name="Link Currency (2)" xfId="286"/>
    <cellStyle name="Link Units (0)" xfId="287"/>
    <cellStyle name="Link Units (1)" xfId="288"/>
    <cellStyle name="Link Units (2)" xfId="289"/>
    <cellStyle name="Milliers [0]_      " xfId="290"/>
    <cellStyle name="Milliers_      " xfId="291"/>
    <cellStyle name="Model" xfId="292"/>
    <cellStyle name="Monétaire [0]_      " xfId="293"/>
    <cellStyle name="Monétaire_      " xfId="294"/>
    <cellStyle name="MS_Hebrew" xfId="295"/>
    <cellStyle name="n" xfId="296"/>
    <cellStyle name="no dec" xfId="297"/>
    <cellStyle name="Normal - Style1" xfId="298"/>
    <cellStyle name="Normal - スタイル2" xfId="299"/>
    <cellStyle name="Normal - スタイル3" xfId="300"/>
    <cellStyle name="Normal - スタイル4" xfId="301"/>
    <cellStyle name="Normal - スタイル5" xfId="302"/>
    <cellStyle name="Normal - スタイル6" xfId="303"/>
    <cellStyle name="Normal - スタイル7" xfId="304"/>
    <cellStyle name="Normal - スタイル8" xfId="305"/>
    <cellStyle name="Normal 10" xfId="306"/>
    <cellStyle name="Normal 11" xfId="307"/>
    <cellStyle name="Normal 11 2" xfId="308"/>
    <cellStyle name="Normal 12 2" xfId="309"/>
    <cellStyle name="Normal 15" xfId="310"/>
    <cellStyle name="Normal 2 2 2" xfId="311"/>
    <cellStyle name="Normal 2 2 6" xfId="312"/>
    <cellStyle name="Normal 2 3 2" xfId="313"/>
    <cellStyle name="Normal 2 4" xfId="314"/>
    <cellStyle name="Normal 2 5" xfId="315"/>
    <cellStyle name="Normal 2_Condition(THK)17-Jun-08_Original(E)Quo(THK)17-Jun-08(457-01)" xfId="316"/>
    <cellStyle name="Normal 3 5" xfId="317"/>
    <cellStyle name="Normal 3 3" xfId="318"/>
    <cellStyle name="Normal 3 4" xfId="319"/>
    <cellStyle name="Normal 3_Mech Condition Form-15.Nov.2008" xfId="320"/>
    <cellStyle name="Normal 4 2" xfId="321"/>
    <cellStyle name="Normal 5" xfId="322"/>
    <cellStyle name="Normal 6" xfId="323"/>
    <cellStyle name="Normal 6 2" xfId="324"/>
    <cellStyle name="Normal 7" xfId="325"/>
    <cellStyle name="Normal 8 3" xfId="326"/>
    <cellStyle name="Normal 9" xfId="327"/>
    <cellStyle name="Œ©Ï-1" xfId="328"/>
    <cellStyle name="Œ…‹æØ‚è [0.00]_Add and Red2" xfId="329"/>
    <cellStyle name="Œ…‹æØ‚è_Add and Red2" xfId="330"/>
    <cellStyle name="paint" xfId="331"/>
    <cellStyle name="ParaBirimi [0]_RESULTS" xfId="332"/>
    <cellStyle name="ParaBirimi_RESULTS" xfId="333"/>
    <cellStyle name="per.style" xfId="334"/>
    <cellStyle name="Percent 7" xfId="335"/>
    <cellStyle name="Percent [0]" xfId="336"/>
    <cellStyle name="Percent [00]" xfId="337"/>
    <cellStyle name="Percent [2]" xfId="338"/>
    <cellStyle name="Percent 3 2" xfId="339"/>
    <cellStyle name="Percent 4 2" xfId="340"/>
    <cellStyle name="Percent 5 2" xfId="341"/>
    <cellStyle name="Percent 6" xfId="342"/>
    <cellStyle name="Percent 7 2" xfId="343"/>
    <cellStyle name="Percent 8" xfId="344"/>
    <cellStyle name="Percent 8 2" xfId="345"/>
    <cellStyle name="Percent 8 3 2" xfId="346"/>
    <cellStyle name="Percent 8 3 2 2" xfId="347"/>
    <cellStyle name="PERCENTAGE" xfId="348"/>
    <cellStyle name="PrePop Currency (0)" xfId="349"/>
    <cellStyle name="PrePop Currency (2)" xfId="350"/>
    <cellStyle name="PrePop Units (0)" xfId="351"/>
    <cellStyle name="PrePop Units (1)" xfId="352"/>
    <cellStyle name="PrePop Units (2)" xfId="353"/>
    <cellStyle name="price" xfId="354"/>
    <cellStyle name="Reset  - Style7" xfId="355"/>
    <cellStyle name="revised" xfId="356"/>
    <cellStyle name="S—_x0008_" xfId="357"/>
    <cellStyle name="section" xfId="358"/>
    <cellStyle name="Sheet Title" xfId="359"/>
    <cellStyle name="STANDARD" xfId="360"/>
    <cellStyle name="STYL1 - スタイル1" xfId="361"/>
    <cellStyle name="Style 1" xfId="362"/>
    <cellStyle name="Style 2" xfId="363"/>
    <cellStyle name="Style 3" xfId="364"/>
    <cellStyle name="Style 4" xfId="365"/>
    <cellStyle name="Style 5" xfId="366"/>
    <cellStyle name="Style 6" xfId="367"/>
    <cellStyle name="Style 7" xfId="368"/>
    <cellStyle name="subhead" xfId="369"/>
    <cellStyle name="T" xfId="370"/>
    <cellStyle name="Table  - Style6" xfId="371"/>
    <cellStyle name="Text Indent A" xfId="372"/>
    <cellStyle name="Text Indent B" xfId="373"/>
    <cellStyle name="Text Indent C" xfId="374"/>
    <cellStyle name="th" xfId="375"/>
    <cellStyle name="Times New Roman" xfId="376"/>
    <cellStyle name="Title  - Style1" xfId="377"/>
    <cellStyle name="TotCol - Style5" xfId="378"/>
    <cellStyle name="TotRow - Style4" xfId="379"/>
    <cellStyle name="Tusental (0)_pldt" xfId="380"/>
    <cellStyle name="Tusental_pldt" xfId="381"/>
    <cellStyle name="UPDATED%" xfId="382"/>
    <cellStyle name="Valuta (0)_pldt" xfId="383"/>
    <cellStyle name="Valuta_pldt" xfId="384"/>
    <cellStyle name="viet" xfId="385"/>
    <cellStyle name="viet2" xfId="386"/>
    <cellStyle name="Virg・ [0]_RESULTS" xfId="387"/>
    <cellStyle name="Virg・_RESULTS" xfId="388"/>
    <cellStyle name="VN new romanNormal" xfId="389"/>
    <cellStyle name="VN time new roman" xfId="390"/>
    <cellStyle name="W?rung [0]_KHI_KAB1" xfId="391"/>
    <cellStyle name="W?rung_KHI_KAB1" xfId="392"/>
    <cellStyle name="xuan" xfId="393"/>
    <cellStyle name="アクセント 1" xfId="394"/>
    <cellStyle name="アクセント 2" xfId="395"/>
    <cellStyle name="アクセント 3" xfId="396"/>
    <cellStyle name="アクセント 4" xfId="397"/>
    <cellStyle name="アクセント 5" xfId="398"/>
    <cellStyle name="アクセント 6" xfId="399"/>
    <cellStyle name="タイトル" xfId="400"/>
    <cellStyle name="チェック セル" xfId="401"/>
    <cellStyle name="どちらでもない" xfId="402"/>
    <cellStyle name="ﾄ褊褂燾・[0]_PERSONAL" xfId="403"/>
    <cellStyle name="ﾄ褊褂燾饑PERSONAL" xfId="404"/>
    <cellStyle name="パーセント 2" xfId="405"/>
    <cellStyle name="ﾎ磊隆_PERSONAL" xfId="406"/>
    <cellStyle name="メモ" xfId="407"/>
    <cellStyle name="ﾔ竟瑙糺・[0]_PERSONAL" xfId="408"/>
    <cellStyle name="ﾔ竟瑙糺饑PERSONAL" xfId="409"/>
    <cellStyle name="リンク セル" xfId="410"/>
    <cellStyle name="סגנון 1" xfId="411"/>
    <cellStyle name="เครื่องหมายจุลภาค [0]_PLDT" xfId="412"/>
    <cellStyle name="เครื่องหมายจุลภาค_PLDT" xfId="413"/>
    <cellStyle name="เครื่องหมายสกุลเงิน [0]_PLDT" xfId="414"/>
    <cellStyle name="เครื่องหมายสกุลเงิน_PLDT" xfId="415"/>
    <cellStyle name="ปกติ_PLDT" xfId="416"/>
    <cellStyle name=" [0.00]_ Att. 1- Cover" xfId="417"/>
    <cellStyle name="_ Att. 1- Cover" xfId="418"/>
    <cellStyle name="?_ Att. 1- Cover" xfId="419"/>
    <cellStyle name="고정소숫점" xfId="420"/>
    <cellStyle name="고정출력1" xfId="421"/>
    <cellStyle name="고정출력2" xfId="422"/>
    <cellStyle name="날짜" xfId="423"/>
    <cellStyle name="달러" xfId="424"/>
    <cellStyle name="똿뗦먛귟 [0.00]_PRODUCT DETAIL Q1" xfId="425"/>
    <cellStyle name="똿뗦먛귟_PRODUCT DETAIL Q1" xfId="426"/>
    <cellStyle name="믅됞 [0.00]_PRODUCT DETAIL Q1" xfId="427"/>
    <cellStyle name="믅됞_PRODUCT DETAIL Q1" xfId="428"/>
    <cellStyle name="백분율_95" xfId="429"/>
    <cellStyle name="뷭?_BOOKSHIP" xfId="430"/>
    <cellStyle name="숫자(R)" xfId="431"/>
    <cellStyle name="쉼표 [0]_Additional Work for Mussafah Pumping Station" xfId="432"/>
    <cellStyle name="스타일 1" xfId="433"/>
    <cellStyle name="안건회계법인" xfId="434"/>
    <cellStyle name="자리수" xfId="435"/>
    <cellStyle name="자리수0" xfId="436"/>
    <cellStyle name="지정되지 않음" xfId="437"/>
    <cellStyle name="콤마 [0]_  종  합  " xfId="438"/>
    <cellStyle name="콤마_  종  합  " xfId="439"/>
    <cellStyle name="통화 [0]_1202" xfId="440"/>
    <cellStyle name="통화_1202" xfId="441"/>
    <cellStyle name="퍼센트" xfId="442"/>
    <cellStyle name="표준_(정보부문)월별인원계획" xfId="443"/>
    <cellStyle name="합산" xfId="444"/>
    <cellStyle name="화폐기호" xfId="445"/>
    <cellStyle name="화폐기호0" xfId="446"/>
    <cellStyle name="一般_00Q3902REV.1" xfId="447"/>
    <cellStyle name="入力" xfId="448"/>
    <cellStyle name="出力" xfId="449"/>
    <cellStyle name="千位分隔[0]_BOQ" xfId="450"/>
    <cellStyle name="千位分隔_BOQ" xfId="451"/>
    <cellStyle name="千分位[0]_00Q3902REV.1" xfId="452"/>
    <cellStyle name="千分位_00Q3902REV.1" xfId="453"/>
    <cellStyle name="可・ [0.00]_Bill of Quantities" xfId="454"/>
    <cellStyle name="可・_Bill of Quantities" xfId="455"/>
    <cellStyle name="妓・_・・粨禮稟" xfId="456"/>
    <cellStyle name="常规_BOQ" xfId="457"/>
    <cellStyle name="悪い" xfId="458"/>
    <cellStyle name="文字列" xfId="459"/>
    <cellStyle name="未定義" xfId="460"/>
    <cellStyle name="桁区切り [0.00] 2" xfId="461"/>
    <cellStyle name="桁区切り [0.00] 2 2" xfId="462"/>
    <cellStyle name="桁区切り [0.00] 3" xfId="463"/>
    <cellStyle name="桁区切り [0.00]_02 Tel課金　見積" xfId="464"/>
    <cellStyle name="桁区切り 2" xfId="465"/>
    <cellStyle name="桁区切り_Budget Sheet KV" xfId="466"/>
    <cellStyle name="桁蟻唇Ｆ [0.00]_s-ns-bq" xfId="467"/>
    <cellStyle name="桁蟻唇Ｆ_s-ns-bq" xfId="468"/>
    <cellStyle name="標準 2" xfId="469"/>
    <cellStyle name="標準 2 2" xfId="470"/>
    <cellStyle name="標準 2 3" xfId="471"/>
    <cellStyle name="標準 3" xfId="472"/>
    <cellStyle name="標準 4" xfId="473"/>
    <cellStyle name="標準 5" xfId="474"/>
    <cellStyle name="標準_090917 Building List" xfId="475"/>
    <cellStyle name="脱浦 [0.00]_CONDITION (2)" xfId="476"/>
    <cellStyle name="脱浦_CONDITION (2)" xfId="477"/>
    <cellStyle name="良い" xfId="478"/>
    <cellStyle name="見出し 1" xfId="479"/>
    <cellStyle name="見出し 2" xfId="480"/>
    <cellStyle name="見出し 3" xfId="481"/>
    <cellStyle name="見出し 4" xfId="482"/>
    <cellStyle name="見積" xfId="483"/>
    <cellStyle name="計算" xfId="484"/>
    <cellStyle name="説明文" xfId="485"/>
    <cellStyle name="警告文" xfId="486"/>
    <cellStyle name="貨幣 [0]_00Q3902REV.1" xfId="487"/>
    <cellStyle name="貨幣[0]_BRE" xfId="488"/>
    <cellStyle name="貨幣_00Q3902REV.1" xfId="489"/>
    <cellStyle name="货币[0]_BOQ" xfId="490"/>
    <cellStyle name="货币_BOQ" xfId="491"/>
    <cellStyle name="通浦 [0.00]_laroux" xfId="492"/>
    <cellStyle name="通浦_laroux" xfId="493"/>
    <cellStyle name="集計" xfId="494"/>
    <cellStyle name="髙・・鱇 [0.00]_Bill of Quantities" xfId="495"/>
    <cellStyle name="髙・・鱇_Bill of Quantities" xfId="496"/>
    <cellStyle name="Percent 6 2" xfId="497"/>
    <cellStyle name="highlight" xfId="498"/>
    <cellStyle name="highlight17" xfId="499"/>
    <cellStyle name="highlight18" xfId="500"/>
  </cellStyles>
  <dxfs count="29113">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fill>
        <patternFill>
          <bgColor rgb="FFFFC000"/>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ill>
        <patternFill>
          <bgColor rgb="FFFF0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9C0006"/>
      </font>
      <fill>
        <patternFill>
          <bgColor rgb="FFFFC7CE"/>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
      <font>
        <b val="1"/>
        <color rgb="FFFF0000"/>
      </font>
      <fill>
        <patternFill>
          <bgColor rgb="FFFFC000"/>
        </patternFill>
      </fill>
    </dxf>
    <dxf>
      <font>
        <color rgb="FFFF0000"/>
      </font>
      <fill>
        <patternFill>
          <bgColor rgb="FF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cap="all" spc="150" baseline="0">
                <a:solidFill>
                  <a:schemeClr val="tx1">
                    <a:lumMod val="50000"/>
                    <a:lumOff val="50000"/>
                  </a:schemeClr>
                </a:solidFill>
                <a:latin typeface="+mn-lt"/>
                <a:ea typeface="+mn-ea"/>
                <a:cs typeface="+mn-cs"/>
              </a:defRPr>
            </a:pPr>
            <a:r>
              <a:rPr lang="en-US"/>
              <a:t>BIỂU ĐỒ KẾ HOẠCH VÀ THỰC TẾ THANH TOÁN</a:t>
            </a:r>
          </a:p>
        </rich>
      </tx>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0416783977787242"/>
          <y val="0.1035656793647303"/>
          <w val="0.8945648408749972"/>
          <h val="0.7827567261555295"/>
        </manualLayout>
      </layout>
      <barChart>
        <barDir val="col"/>
        <grouping val="stacked"/>
        <varyColors val="0"/>
        <ser>
          <idx val="1"/>
          <order val="0"/>
          <tx>
            <v>Thực tế</v>
          </tx>
          <spPr>
            <a:pattFill xmlns:a="http://schemas.openxmlformats.org/drawingml/2006/main" prst="narHorz">
              <a:fgClr>
                <a:schemeClr val="accent2"/>
              </a:fgClr>
              <a:bgClr>
                <a:schemeClr val="accent2">
                  <a:lumMod val="20000"/>
                  <a:lumOff val="80000"/>
                </a:schemeClr>
              </a:bgClr>
            </a:pattFill>
            <a:ln xmlns:a="http://schemas.openxmlformats.org/drawingml/2006/main">
              <a:solidFill>
                <a:schemeClr val="tx2">
                  <a:lumMod val="40000"/>
                  <a:lumOff val="60000"/>
                </a:schemeClr>
              </a:solidFill>
              <a:prstDash val="solid"/>
            </a:ln>
          </spPr>
          <invertIfNegative val="0"/>
          <val>
            <numRef>
              <f>PlanActual!$D$1009:$O$1009</f>
              <numCache>
                <formatCode>_(* #,##0_);_(* \(#,##0\);_(* "-"??_);_(@_)</formatCode>
                <ptCount val="12"/>
                <pt idx="0">
                  <v>0</v>
                </pt>
                <pt idx="1">
                  <v>0</v>
                </pt>
                <pt idx="2">
                  <v>0</v>
                </pt>
                <pt idx="3">
                  <v>0</v>
                </pt>
                <pt idx="4">
                  <v>0</v>
                </pt>
                <pt idx="5">
                  <v>0</v>
                </pt>
                <pt idx="6">
                  <v>0</v>
                </pt>
                <pt idx="7">
                  <v>0</v>
                </pt>
                <pt idx="8">
                  <v>0</v>
                </pt>
                <pt idx="9">
                  <v>0</v>
                </pt>
                <pt idx="10">
                  <v>0</v>
                </pt>
                <pt idx="11">
                  <v>0</v>
                </pt>
              </numCache>
            </numRef>
          </val>
        </ser>
        <dLbls>
          <showLegendKey val="0"/>
          <showVal val="0"/>
          <showCatName val="0"/>
          <showSerName val="0"/>
          <showPercent val="0"/>
          <showBubbleSize val="0"/>
        </dLbls>
        <gapWidth val="219"/>
        <overlap val="100"/>
        <axId val="1612578223"/>
        <axId val="1612597359"/>
      </barChart>
      <lineChart>
        <grouping val="standard"/>
        <varyColors val="0"/>
        <ser>
          <idx val="2"/>
          <order val="1"/>
          <tx>
            <v>Kế hoạch</v>
          </tx>
          <spPr>
            <a:ln xmlns:a="http://schemas.openxmlformats.org/drawingml/2006/main" w="28575" cap="rnd">
              <a:solidFill>
                <a:schemeClr val="accent1">
                  <a:lumMod val="40000"/>
                  <a:lumOff val="60000"/>
                </a:schemeClr>
              </a:solidFill>
              <a:prstDash val="solid"/>
              <a:round/>
            </a:ln>
          </spPr>
          <marker>
            <symbol val="circle"/>
            <size val="6"/>
            <spPr>
              <a:solidFill xmlns:a="http://schemas.openxmlformats.org/drawingml/2006/main">
                <a:schemeClr val="accent1"/>
              </a:solidFill>
              <a:ln xmlns:a="http://schemas.openxmlformats.org/drawingml/2006/main">
                <a:solidFill>
                  <a:schemeClr val="accent1">
                    <a:lumMod val="40000"/>
                    <a:lumOff val="60000"/>
                  </a:schemeClr>
                </a:solidFill>
                <a:prstDash val="solid"/>
              </a:ln>
            </spPr>
          </marker>
          <val>
            <numRef>
              <f>PlanActual!$D$1006:$O$1006</f>
              <numCache>
                <formatCode>_(* #,##0_);_(* \(#,##0\);_(* "-"??_);_(@_)</formatCode>
                <ptCount val="12"/>
                <pt idx="0">
                  <v>0</v>
                </pt>
                <pt idx="1">
                  <v>0</v>
                </pt>
                <pt idx="2">
                  <v>0</v>
                </pt>
                <pt idx="3">
                  <v>0</v>
                </pt>
                <pt idx="4">
                  <v>0</v>
                </pt>
                <pt idx="5">
                  <v>0</v>
                </pt>
                <pt idx="6">
                  <v>0</v>
                </pt>
                <pt idx="7">
                  <v>0</v>
                </pt>
                <pt idx="8">
                  <v>0</v>
                </pt>
                <pt idx="9">
                  <v>0</v>
                </pt>
                <pt idx="10">
                  <v>0</v>
                </pt>
                <pt idx="11">
                  <v>0</v>
                </pt>
              </numCache>
            </numRef>
          </val>
          <smooth val="0"/>
        </ser>
        <dLbls>
          <showLegendKey val="0"/>
          <showVal val="0"/>
          <showCatName val="0"/>
          <showSerName val="0"/>
          <showPercent val="0"/>
          <showBubbleSize val="0"/>
        </dLbls>
        <marker val="1"/>
        <smooth val="0"/>
        <axId val="1600003439"/>
        <axId val="1600005935"/>
      </lineChart>
      <catAx>
        <axId val="1612578223"/>
        <scaling>
          <orientation val="minMax"/>
        </scaling>
        <delete val="1"/>
        <axPos val="b"/>
        <majorTickMark val="none"/>
        <minorTickMark val="none"/>
        <tickLblPos val="nextTo"/>
        <crossAx val="1612597359"/>
        <crosses val="autoZero"/>
        <auto val="1"/>
        <lblAlgn val="ctr"/>
        <lblOffset val="100"/>
        <noMultiLvlLbl val="0"/>
      </catAx>
      <valAx>
        <axId val="1612597359"/>
        <scaling>
          <orientation val="minMax"/>
        </scaling>
        <delete val="1"/>
        <axPos val="r"/>
        <numFmt formatCode="_(* #,##0_);_(* \(#,##0\);_(* &quot;-&quot;??_);_(@_)" sourceLinked="1"/>
        <majorTickMark val="none"/>
        <minorTickMark val="none"/>
        <tickLblPos val="nextTo"/>
        <crossAx val="1612578223"/>
        <crosses val="max"/>
        <crossBetween val="between"/>
      </valAx>
      <catAx>
        <axId val="1600003439"/>
        <scaling>
          <orientation val="minMax"/>
        </scaling>
        <delete val="0"/>
        <axPos val="b"/>
        <majorTickMark val="none"/>
        <minorTickMark val="none"/>
        <tickLblPos val="nextTo"/>
        <spPr>
          <a:noFill xmlns:a="http://schemas.openxmlformats.org/drawingml/2006/main"/>
          <a:ln xmlns:a="http://schemas.openxmlformats.org/drawingml/2006/main" w="19050"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00005935"/>
        <crosses val="autoZero"/>
        <auto val="1"/>
        <lblAlgn val="ctr"/>
        <lblOffset val="100"/>
        <noMultiLvlLbl val="0"/>
      </catAx>
      <valAx>
        <axId val="1600005935"/>
        <scaling>
          <orientation val="minMax"/>
        </scaling>
        <delete val="0"/>
        <axPos val="l"/>
        <majorGridlines>
          <spPr>
            <a:ln xmlns:a="http://schemas.openxmlformats.org/drawingml/2006/main">
              <a:solidFill>
                <a:schemeClr val="tx1">
                  <a:lumMod val="15000"/>
                  <a:lumOff val="85000"/>
                </a:schemeClr>
              </a:solidFill>
              <a:prstDash val="solid"/>
            </a:ln>
          </spPr>
        </majorGridlines>
        <numFmt formatCode="_(* #,##0_);_(* \(#,##0\);_(* &quot;-&quot;??_);_(@_)"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600003439"/>
        <crosses val="autoZero"/>
        <crossBetween val="between"/>
      </valAx>
    </plotArea>
    <legend>
      <legendPos val="r"/>
      <layout>
        <manualLayout>
          <xMode val="edge"/>
          <yMode val="edge"/>
          <wMode val="factor"/>
          <hMode val="factor"/>
          <x val="0.9406243225297179"/>
          <y val="0.2917890448845549"/>
          <w val="0.05586613097415661"/>
          <h val="0.330004075928050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rPr lang="en-US" sz="1600"/>
              <a:t>VND</a:t>
            </a:r>
          </a:p>
        </rich>
      </tx>
      <layout>
        <manualLayout>
          <xMode val="edge"/>
          <yMode val="edge"/>
          <wMode val="factor"/>
          <hMode val="factor"/>
          <x val="0.1025434966591836"/>
          <y val="0.0299751119345376"/>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2371380560730605"/>
          <y val="0.0432212642234211"/>
          <w val="0.6297578659581595"/>
          <h val="0.8672214623361091"/>
        </manualLayout>
      </layout>
      <barChart>
        <barDir val="col"/>
        <grouping val="clustered"/>
        <varyColors val="0"/>
        <ser>
          <idx val="2"/>
          <order val="0"/>
          <tx>
            <strRef>
              <f>Annual!$B$506</f>
              <strCache>
                <ptCount val="1"/>
                <pt idx="0">
                  <v>Tổng cộng
Grand total:</v>
                </pt>
              </strCache>
            </strRef>
          </tx>
          <spPr>
            <a:gradFill xmlns:a="http://schemas.openxmlformats.org/drawingml/2006/main"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cat>
            <numRef>
              <f>Annual!$C$5:$I$5</f>
              <numCache>
                <formatCode>General</formatCode>
                <ptCount val="7"/>
                <pt idx="0">
                  <v>2020</v>
                </pt>
                <pt idx="1">
                  <v>2021</v>
                </pt>
                <pt idx="2">
                  <v>2022</v>
                </pt>
                <pt idx="3">
                  <v>2023</v>
                </pt>
                <pt idx="4">
                  <v>2024</v>
                </pt>
                <pt idx="5">
                  <v>2025</v>
                </pt>
                <pt idx="6">
                  <v>2026</v>
                </pt>
              </numCache>
            </numRef>
          </cat>
          <val>
            <numRef>
              <f>Annual!$C$506:$I$506</f>
              <numCache>
                <formatCode>_(* #,##0_);_(* \(#,##0\);_(* "-"??_);_(@_)</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axId val="471177256"/>
        <axId val="471181568"/>
      </barChart>
      <lineChart>
        <grouping val="stacked"/>
        <varyColors val="0"/>
        <dLbls>
          <showLegendKey val="0"/>
          <showVal val="0"/>
          <showCatName val="0"/>
          <showSerName val="0"/>
          <showPercent val="0"/>
          <showBubbleSize val="0"/>
        </dLbls>
        <marker val="1"/>
        <smooth val="0"/>
        <axId val="471177256"/>
        <axId val="471181568"/>
      </lineChart>
      <catAx>
        <axId val="471177256"/>
        <scaling>
          <orientation val="minMax"/>
        </scaling>
        <delete val="0"/>
        <axPos val="b"/>
        <numFmt formatCode="General" sourceLinked="1"/>
        <majorTickMark val="none"/>
        <minorTickMark val="none"/>
        <tickLblPos val="low"/>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0" spcFirstLastPara="1" vertOverflow="ellipsis" wrap="square" anchor="ctr" anchorCtr="1"/>
          <a:lstStyle xmlns:a="http://schemas.openxmlformats.org/drawingml/2006/main"/>
          <a:p xmlns:a="http://schemas.openxmlformats.org/drawingml/2006/main">
            <a:pPr>
              <a:defRPr sz="1600" b="0" i="0" strike="noStrike" kern="1200" baseline="0">
                <a:solidFill>
                  <a:schemeClr val="tx1">
                    <a:lumMod val="65000"/>
                    <a:lumOff val="35000"/>
                  </a:schemeClr>
                </a:solidFill>
                <a:latin typeface="+mn-lt"/>
                <a:ea typeface="+mn-ea"/>
                <a:cs typeface="+mn-cs"/>
              </a:defRPr>
            </a:pPr>
            <a:r>
              <a:t/>
            </a:r>
            <a:endParaRPr lang="en-US"/>
          </a:p>
        </txPr>
        <crossAx val="471181568"/>
        <crosses val="autoZero"/>
        <auto val="1"/>
        <lblAlgn val="ctr"/>
        <lblOffset val="100"/>
        <noMultiLvlLbl val="0"/>
      </catAx>
      <valAx>
        <axId val="471181568"/>
        <scaling>
          <orientation val="minMax"/>
          <max val="5000000000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low"/>
        <spPr>
          <a:noFill xmlns:a="http://schemas.openxmlformats.org/drawingml/2006/main"/>
          <a:ln xmlns:a="http://schemas.openxmlformats.org/drawingml/2006/main">
            <a:noFill/>
            <a:prstDash val="solid"/>
          </a:ln>
        </spPr>
        <txPr>
          <a:bodyPr xmlns:a="http://schemas.openxmlformats.org/drawingml/2006/main" rot="0" spcFirstLastPara="1" vertOverflow="ellipsis" wrap="square" anchor="ctr" anchorCtr="1"/>
          <a:lstStyle xmlns:a="http://schemas.openxmlformats.org/drawingml/2006/main"/>
          <a:p xmlns:a="http://schemas.openxmlformats.org/drawingml/2006/main">
            <a:pPr>
              <a:defRPr sz="1600" b="0" i="0" strike="noStrike" kern="1200" baseline="0">
                <a:solidFill>
                  <a:schemeClr val="tx1">
                    <a:lumMod val="65000"/>
                    <a:lumOff val="35000"/>
                  </a:schemeClr>
                </a:solidFill>
                <a:latin typeface="+mn-lt"/>
                <a:ea typeface="+mn-ea"/>
                <a:cs typeface="+mn-cs"/>
              </a:defRPr>
            </a:pPr>
            <a:r>
              <a:t/>
            </a:r>
            <a:endParaRPr lang="en-US"/>
          </a:p>
        </txPr>
        <crossAx val="471177256"/>
        <crosses val="autoZero"/>
        <crossBetween val="between"/>
      </valAx>
    </plotArea>
    <legend>
      <legendPos val="b"/>
      <layout>
        <manualLayout>
          <xMode val="edge"/>
          <yMode val="edge"/>
          <wMode val="factor"/>
          <hMode val="factor"/>
          <x val="0.8800053650747318"/>
          <y val="0.0320639802377644"/>
          <w val="0.0922498249763115"/>
          <h val="0.9576352014821676"/>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rPr lang="en-US" sz="1600"/>
              <a:t>VND</a:t>
            </a:r>
          </a:p>
        </rich>
      </tx>
      <layout>
        <manualLayout>
          <xMode val="edge"/>
          <yMode val="edge"/>
          <wMode val="factor"/>
          <hMode val="factor"/>
          <x val="0.1025434966591836"/>
          <y val="0.0299751119345376"/>
        </manualLayout>
      </layout>
      <overlay val="0"/>
      <spPr>
        <a:noFill xmlns:a="http://schemas.openxmlformats.org/drawingml/2006/main"/>
        <a:ln xmlns:a="http://schemas.openxmlformats.org/drawingml/2006/main">
          <a:noFill/>
          <a:prstDash val="solid"/>
        </a:ln>
      </spPr>
    </title>
    <plotArea>
      <layout>
        <manualLayout>
          <layoutTarget val="inner"/>
          <xMode val="edge"/>
          <yMode val="edge"/>
          <wMode val="factor"/>
          <hMode val="factor"/>
          <x val="0.2371380560730605"/>
          <y val="0.0432212642234211"/>
          <w val="0.6297578659581595"/>
          <h val="0.8672214623361091"/>
        </manualLayout>
      </layout>
      <barChart>
        <barDir val="col"/>
        <grouping val="clustered"/>
        <varyColors val="0"/>
        <ser>
          <idx val="2"/>
          <order val="0"/>
          <tx>
            <strRef>
              <f>Annual!$B$506</f>
              <strCache>
                <ptCount val="1"/>
                <pt idx="0">
                  <v>Tổng cộng
Grand total:</v>
                </pt>
              </strCache>
            </strRef>
          </tx>
          <spPr>
            <a:gradFill xmlns:a="http://schemas.openxmlformats.org/drawingml/2006/main" rotWithShape="1">
              <a:gsLst>
                <a:gs pos="0">
                  <a:schemeClr val="accent6">
                    <a:tint val="94000"/>
                    <a:satMod val="103000"/>
                    <a:lumMod val="102000"/>
                  </a:schemeClr>
                </a:gs>
                <a:gs pos="50000">
                  <a:schemeClr val="accent6">
                    <a:shade val="100000"/>
                    <a:satMod val="110000"/>
                    <a:lumMod val="100000"/>
                  </a:schemeClr>
                </a:gs>
                <a:gs pos="100000">
                  <a:schemeClr val="accent6">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cat>
            <numRef>
              <f>Annual!$C$5:$I$5</f>
              <numCache>
                <formatCode>General</formatCode>
                <ptCount val="7"/>
                <pt idx="0">
                  <v>2020</v>
                </pt>
                <pt idx="1">
                  <v>2021</v>
                </pt>
                <pt idx="2">
                  <v>2022</v>
                </pt>
                <pt idx="3">
                  <v>2023</v>
                </pt>
                <pt idx="4">
                  <v>2024</v>
                </pt>
                <pt idx="5">
                  <v>2025</v>
                </pt>
                <pt idx="6">
                  <v>2026</v>
                </pt>
              </numCache>
            </numRef>
          </cat>
          <val>
            <numRef>
              <f>Annual!$C$506:$I$506</f>
              <numCache>
                <formatCode>_(* #,##0_);_(* \(#,##0\);_(* "-"??_);_(@_)</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axId val="471177256"/>
        <axId val="471181568"/>
      </barChart>
      <lineChart>
        <grouping val="stacked"/>
        <varyColors val="0"/>
        <dLbls>
          <showLegendKey val="0"/>
          <showVal val="0"/>
          <showCatName val="0"/>
          <showSerName val="0"/>
          <showPercent val="0"/>
          <showBubbleSize val="0"/>
        </dLbls>
        <marker val="1"/>
        <smooth val="0"/>
        <axId val="471177256"/>
        <axId val="471181568"/>
      </lineChart>
      <catAx>
        <axId val="471177256"/>
        <scaling>
          <orientation val="minMax"/>
        </scaling>
        <delete val="0"/>
        <axPos val="b"/>
        <numFmt formatCode="General" sourceLinked="1"/>
        <majorTickMark val="none"/>
        <minorTickMark val="none"/>
        <tickLblPos val="low"/>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0" spcFirstLastPara="1" vertOverflow="ellipsis" wrap="square" anchor="ctr" anchorCtr="1"/>
          <a:lstStyle xmlns:a="http://schemas.openxmlformats.org/drawingml/2006/main"/>
          <a:p xmlns:a="http://schemas.openxmlformats.org/drawingml/2006/main">
            <a:pPr>
              <a:defRPr sz="1600" b="0" i="0" strike="noStrike" kern="1200" baseline="0">
                <a:solidFill>
                  <a:schemeClr val="tx1">
                    <a:lumMod val="65000"/>
                    <a:lumOff val="35000"/>
                  </a:schemeClr>
                </a:solidFill>
                <a:latin typeface="+mn-lt"/>
                <a:ea typeface="+mn-ea"/>
                <a:cs typeface="+mn-cs"/>
              </a:defRPr>
            </a:pPr>
            <a:r>
              <a:t/>
            </a:r>
            <a:endParaRPr lang="en-US"/>
          </a:p>
        </txPr>
        <crossAx val="471181568"/>
        <crosses val="autoZero"/>
        <auto val="1"/>
        <lblAlgn val="ctr"/>
        <lblOffset val="100"/>
        <noMultiLvlLbl val="0"/>
      </catAx>
      <valAx>
        <axId val="471181568"/>
        <scaling>
          <orientation val="minMax"/>
          <max val="50000000000"/>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low"/>
        <spPr>
          <a:noFill xmlns:a="http://schemas.openxmlformats.org/drawingml/2006/main"/>
          <a:ln xmlns:a="http://schemas.openxmlformats.org/drawingml/2006/main">
            <a:noFill/>
            <a:prstDash val="solid"/>
          </a:ln>
        </spPr>
        <txPr>
          <a:bodyPr xmlns:a="http://schemas.openxmlformats.org/drawingml/2006/main" rot="0" spcFirstLastPara="1" vertOverflow="ellipsis" wrap="square" anchor="ctr" anchorCtr="1"/>
          <a:lstStyle xmlns:a="http://schemas.openxmlformats.org/drawingml/2006/main"/>
          <a:p xmlns:a="http://schemas.openxmlformats.org/drawingml/2006/main">
            <a:pPr>
              <a:defRPr sz="1600" b="0" i="0" strike="noStrike" kern="1200" baseline="0">
                <a:solidFill>
                  <a:schemeClr val="tx1">
                    <a:lumMod val="65000"/>
                    <a:lumOff val="35000"/>
                  </a:schemeClr>
                </a:solidFill>
                <a:latin typeface="+mn-lt"/>
                <a:ea typeface="+mn-ea"/>
                <a:cs typeface="+mn-cs"/>
              </a:defRPr>
            </a:pPr>
            <a:r>
              <a:t/>
            </a:r>
            <a:endParaRPr lang="en-US"/>
          </a:p>
        </txPr>
        <crossAx val="471177256"/>
        <crosses val="autoZero"/>
        <crossBetween val="between"/>
      </valAx>
    </plotArea>
    <legend>
      <legendPos val="b"/>
      <layout>
        <manualLayout>
          <xMode val="edge"/>
          <yMode val="edge"/>
          <wMode val="factor"/>
          <hMode val="factor"/>
          <x val="0.8800053650747318"/>
          <y val="0.0320639802377644"/>
          <w val="0.0922498249763115"/>
          <h val="0.9576352014821676"/>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2.png" Id="rId3"/></Relationships>
</file>

<file path=xl/drawings/_rels/drawing3.xml.rels><Relationships xmlns="http://schemas.openxmlformats.org/package/2006/relationships"><Relationship Type="http://schemas.openxmlformats.org/officeDocument/2006/relationships/chart" Target="/xl/charts/chart3.xml" Id="rId1"/><Relationship Type="http://schemas.openxmlformats.org/officeDocument/2006/relationships/image" Target="/xl/media/image3.png" Id="rId2"/></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0</col>
      <colOff>116542</colOff>
      <row>0</row>
      <rowOff>35859</rowOff>
    </from>
    <to>
      <col>1</col>
      <colOff>682006</colOff>
      <row>1</row>
      <rowOff>216370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6542" y="35859"/>
          <a:ext cx="1192993" cy="467382"/>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1</col>
      <colOff>1165</colOff>
      <row>1012</row>
      <rowOff>41564</rowOff>
    </from>
    <to>
      <col>15</col>
      <colOff>1393372</colOff>
      <row>1046</row>
      <rowOff>12700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970298</colOff>
      <row>1056</row>
      <rowOff>29634</rowOff>
    </from>
    <to>
      <col>14</col>
      <colOff>469802</colOff>
      <row>1077</row>
      <rowOff>153459</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38100</colOff>
      <row>0</row>
      <rowOff>76200</rowOff>
    </from>
    <to>
      <col>2</col>
      <colOff>927100</colOff>
      <row>2</row>
      <rowOff>125730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68300" y="76200"/>
          <a:ext cx="2006600" cy="78613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0</colOff>
      <row>508</row>
      <rowOff>31750</rowOff>
    </from>
    <to>
      <col>11</col>
      <colOff>0</colOff>
      <row>529</row>
      <rowOff>158750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660400</colOff>
      <row>0</row>
      <rowOff>88900</rowOff>
    </from>
    <to>
      <col>1</col>
      <colOff>2489200</colOff>
      <row>3</row>
      <rowOff>56074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977900" y="88900"/>
          <a:ext cx="1828800" cy="716474"/>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365125</colOff>
      <row>0</row>
      <rowOff>190500</rowOff>
    </from>
    <to>
      <col>1</col>
      <colOff>1682750</colOff>
      <row>3</row>
      <rowOff>8370</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65125" y="190500"/>
          <a:ext cx="1689100" cy="70369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codeName="Sheet1">
    <tabColor rgb="FFFF0000"/>
    <outlinePr summaryBelow="1" summaryRight="1"/>
    <pageSetUpPr/>
  </sheetPr>
  <dimension ref="A1:W1048576"/>
  <sheetViews>
    <sheetView showGridLines="0" tabSelected="1" view="pageBreakPreview" zoomScale="85" zoomScaleNormal="80" zoomScaleSheetLayoutView="85" workbookViewId="0">
      <pane xSplit="5" ySplit="6" topLeftCell="F7" activePane="bottomRight" state="frozen"/>
      <selection pane="topRight" activeCell="F1" sqref="F1"/>
      <selection pane="bottomLeft" activeCell="A7" sqref="A7"/>
      <selection pane="bottomRight" activeCell="K11" sqref="K11"/>
    </sheetView>
  </sheetViews>
  <sheetFormatPr baseColWidth="8" defaultColWidth="9.140625" defaultRowHeight="15"/>
  <cols>
    <col width="9.140625" customWidth="1" style="52" min="1" max="1"/>
    <col width="33.5703125" customWidth="1" style="62" min="2" max="2"/>
    <col width="23.42578125" customWidth="1" style="63" min="3" max="3"/>
    <col width="19.5703125" customWidth="1" style="64" min="4" max="4"/>
    <col width="43.7109375" customWidth="1" style="63" min="5" max="5"/>
    <col width="18.42578125" customWidth="1" style="64" min="6" max="6"/>
    <col width="14.85546875" customWidth="1" style="65" min="7" max="7"/>
    <col width="15.140625" customWidth="1" style="65" min="8" max="8"/>
    <col width="16.7109375" customWidth="1" style="56" min="9" max="9"/>
    <col width="12" customWidth="1" style="56" min="10" max="10"/>
    <col width="18.42578125" customWidth="1" style="56" min="11" max="11"/>
    <col width="15.42578125" customWidth="1" style="56" min="12" max="12"/>
    <col width="16.7109375" customWidth="1" style="56" min="13" max="13"/>
    <col width="17" customWidth="1" style="65" min="14" max="14"/>
    <col width="16.5703125" customWidth="1" style="56" min="15" max="15"/>
    <col width="19" customWidth="1" style="62" min="16" max="16"/>
    <col width="17.42578125" customWidth="1" style="65" min="17" max="18"/>
    <col width="48.28515625" customWidth="1" style="66" min="19" max="19"/>
    <col width="19.42578125" customWidth="1" style="64" min="20" max="20"/>
    <col width="15" customWidth="1" style="64" min="21" max="21"/>
    <col width="12.42578125" customWidth="1" style="65" min="22" max="22"/>
    <col width="40" customWidth="1" style="56" min="23" max="23"/>
    <col width="9.140625" customWidth="1" style="52" min="24" max="16384"/>
  </cols>
  <sheetData>
    <row r="1" ht="22.9" customHeight="1">
      <c r="A1" s="90" t="n"/>
      <c r="B1" s="91" t="n"/>
      <c r="C1" s="92" t="n"/>
      <c r="D1" s="93" t="n"/>
      <c r="E1" s="92" t="n"/>
      <c r="F1" s="93" t="n"/>
      <c r="G1" s="94" t="n"/>
      <c r="H1" s="94" t="n"/>
      <c r="I1" s="94" t="inlineStr">
        <is>
          <t>BÁO CÁO DOANH THU DỰ ÁN</t>
        </is>
      </c>
      <c r="J1" s="90" t="n"/>
      <c r="K1" s="90" t="n"/>
      <c r="L1" s="286" t="n"/>
      <c r="M1" s="287" t="n"/>
      <c r="N1" s="95" t="n"/>
      <c r="O1" s="288" t="n"/>
      <c r="P1" s="96" t="n"/>
      <c r="Q1" s="33" t="n"/>
      <c r="R1" s="33" t="n"/>
      <c r="S1" s="97" t="n"/>
      <c r="T1" s="35" t="n"/>
      <c r="U1" s="35" t="n"/>
      <c r="V1" s="38" t="inlineStr">
        <is>
          <t>Người lập:</t>
        </is>
      </c>
      <c r="W1" s="98" t="inlineStr">
        <is>
          <t>N.T.T.Hằng</t>
        </is>
      </c>
    </row>
    <row r="2" ht="18" customHeight="1">
      <c r="A2" s="99" t="n"/>
      <c r="B2" s="100" t="n"/>
      <c r="C2" s="101" t="n"/>
      <c r="D2" s="102" t="n"/>
      <c r="E2" s="101" t="n"/>
      <c r="F2" s="289" t="n"/>
      <c r="G2" s="103" t="n"/>
      <c r="H2" s="103" t="n"/>
      <c r="I2" s="104" t="inlineStr">
        <is>
          <t>TURNOVER REPORT</t>
        </is>
      </c>
      <c r="J2" s="105" t="n"/>
      <c r="K2" s="290" t="n"/>
      <c r="L2" s="291" t="n"/>
      <c r="M2" s="292" t="n"/>
      <c r="N2" s="293" t="n"/>
      <c r="O2" s="288" t="n"/>
      <c r="P2" s="294" t="n"/>
      <c r="Q2" s="137" t="n"/>
      <c r="R2" s="137" t="n"/>
      <c r="S2" s="106" t="n"/>
      <c r="T2" s="35" t="n"/>
      <c r="U2" s="35" t="n"/>
      <c r="V2" s="295" t="inlineStr">
        <is>
          <t>Ngày báo cáo:</t>
        </is>
      </c>
      <c r="W2" s="296">
        <f>TODAY()</f>
        <v/>
      </c>
    </row>
    <row r="3" hidden="1" ht="30" customHeight="1">
      <c r="A3" s="108" t="n"/>
      <c r="B3" s="57" t="n"/>
      <c r="C3" s="58" t="n"/>
      <c r="D3" s="59" t="n"/>
      <c r="E3" s="58" t="n"/>
      <c r="F3" s="297" t="n"/>
      <c r="G3" s="298" t="n"/>
      <c r="H3" s="60" t="n"/>
      <c r="I3" s="299" t="n"/>
      <c r="J3" s="55" t="n"/>
      <c r="K3" s="299" t="n"/>
      <c r="L3" s="299" t="n"/>
      <c r="M3" s="300" t="n"/>
      <c r="N3" s="301" t="n"/>
      <c r="O3" s="302" t="n"/>
      <c r="P3" s="146" t="n"/>
      <c r="Q3" s="147" t="n"/>
      <c r="R3" s="237" t="n"/>
      <c r="S3" s="61" t="n"/>
      <c r="T3" s="36" t="n"/>
      <c r="U3" s="36" t="n"/>
      <c r="V3" s="34" t="n"/>
      <c r="W3" s="16" t="inlineStr">
        <is>
          <t>Đơn vị tính: đồng</t>
        </is>
      </c>
    </row>
    <row r="4" ht="47.25" customHeight="1">
      <c r="A4" s="247" t="inlineStr">
        <is>
          <t>TT
No</t>
        </is>
      </c>
      <c r="B4" s="247" t="inlineStr">
        <is>
          <t>Tên đơn vị nhận hóa đơn
Company's name</t>
        </is>
      </c>
      <c r="C4" s="247" t="inlineStr">
        <is>
          <t>Tên khách hàng
Client name</t>
        </is>
      </c>
      <c r="D4" s="249" t="inlineStr">
        <is>
          <t>Số hợp đồng/ dự án
Contract/ Prj number</t>
        </is>
      </c>
      <c r="E4" s="247" t="inlineStr">
        <is>
          <t>Tên dự án
Project name</t>
        </is>
      </c>
      <c r="F4" s="247" t="inlineStr">
        <is>
          <t>Phân loại
Classification</t>
        </is>
      </c>
      <c r="G4" s="303" t="inlineStr">
        <is>
          <t>Thời hạn hợp đồng
Contract duration</t>
        </is>
      </c>
      <c r="H4" s="284" t="n"/>
      <c r="I4" s="247" t="inlineStr">
        <is>
          <t xml:space="preserve">Giá trị hợp đồng (tạm tính/tháng)
Total contract </t>
        </is>
      </c>
      <c r="J4" s="247" t="inlineStr">
        <is>
          <t>Tháng-Năm
Month-Year</t>
        </is>
      </c>
      <c r="K4" s="247" t="inlineStr">
        <is>
          <t>KL nghiệm thu đã xuất hóa đơn/ giá trị tạm ứng
Invoice amount/ Advance amount</t>
        </is>
      </c>
      <c r="L4" s="247" t="inlineStr">
        <is>
          <t>CĐT trừ tiền
(Phạt, cung cấp thiếu...)
Deduct</t>
        </is>
      </c>
      <c r="M4" s="303" t="inlineStr">
        <is>
          <t>Khoản đã thu
Received amount</t>
        </is>
      </c>
      <c r="N4" s="284" t="n"/>
      <c r="O4" s="247" t="inlineStr">
        <is>
          <t>Còn phải thu
Remain amount</t>
        </is>
      </c>
      <c r="P4" s="247" t="inlineStr">
        <is>
          <t>Tình trạng dự án
Project status</t>
        </is>
      </c>
      <c r="Q4" s="247" t="inlineStr">
        <is>
          <t>Payment document submit date/
Ngày gửi HSTT cho KH</t>
        </is>
      </c>
      <c r="R4" s="247" t="inlineStr">
        <is>
          <t>Số hóa đơn GTGT
Invoice no.</t>
        </is>
      </c>
      <c r="S4" s="247" t="inlineStr">
        <is>
          <t>Điều khoản thanh toán
/Nội dung TT
Payment term
/Content payment</t>
        </is>
      </c>
      <c r="T4" s="247" t="inlineStr">
        <is>
          <t>Tần suất thanh toán/
Payment frequency</t>
        </is>
      </c>
      <c r="U4" s="247" t="inlineStr">
        <is>
          <t>Thời gian dự kiến phát hành hóa đơn/
Est. issuing invoice</t>
        </is>
      </c>
      <c r="V4" s="247" t="inlineStr">
        <is>
          <t>Contract status/
(Yes/ Pending/NA)</t>
        </is>
      </c>
      <c r="W4" s="247" t="inlineStr">
        <is>
          <t>Ghi chú
Remark</t>
        </is>
      </c>
    </row>
    <row r="5" ht="30" customHeight="1">
      <c r="A5" s="304" t="n"/>
      <c r="B5" s="304" t="n"/>
      <c r="C5" s="304" t="n"/>
      <c r="D5" s="304" t="n"/>
      <c r="E5" s="304" t="n"/>
      <c r="F5" s="304" t="n"/>
      <c r="G5" s="248" t="inlineStr">
        <is>
          <t>Từ
From</t>
        </is>
      </c>
      <c r="H5" s="248" t="inlineStr">
        <is>
          <t>Đến
To</t>
        </is>
      </c>
      <c r="I5" s="304" t="n"/>
      <c r="J5" s="304" t="n"/>
      <c r="K5" s="304" t="n"/>
      <c r="L5" s="304" t="n"/>
      <c r="M5" s="248" t="inlineStr">
        <is>
          <t>Số tiền
Amount</t>
        </is>
      </c>
      <c r="N5" s="248" t="inlineStr">
        <is>
          <t>Ngày thu
Received date</t>
        </is>
      </c>
      <c r="O5" s="304" t="n"/>
      <c r="P5" s="304" t="n"/>
      <c r="Q5" s="304" t="n"/>
      <c r="R5" s="304" t="n"/>
      <c r="S5" s="304" t="n"/>
      <c r="T5" s="304" t="n"/>
      <c r="U5" s="304" t="n"/>
      <c r="V5" s="304" t="n"/>
      <c r="W5" s="304" t="n"/>
    </row>
    <row r="6" ht="20.1" customHeight="1">
      <c r="A6" s="248" t="n"/>
      <c r="B6" s="248" t="n"/>
      <c r="C6" s="226" t="n"/>
      <c r="D6" s="248" t="n"/>
      <c r="E6" s="226" t="n"/>
      <c r="F6" s="248" t="n"/>
      <c r="G6" s="248" t="n"/>
      <c r="H6" s="227" t="n"/>
      <c r="I6" s="248" t="n"/>
      <c r="J6" s="248" t="n"/>
      <c r="K6" s="248" t="n"/>
      <c r="L6" s="228" t="n"/>
      <c r="M6" s="248" t="n"/>
      <c r="N6" s="248" t="n"/>
      <c r="O6" s="248" t="n"/>
      <c r="P6" s="248" t="n"/>
      <c r="Q6" s="248" t="n"/>
      <c r="R6" s="248" t="n"/>
      <c r="S6" s="226" t="n"/>
      <c r="T6" s="248" t="n"/>
      <c r="U6" s="248" t="n"/>
      <c r="V6" s="248" t="n"/>
      <c r="W6" s="238" t="n"/>
    </row>
    <row r="7" ht="54.95" customFormat="1" customHeight="1" s="37">
      <c r="A7" s="232" t="n"/>
      <c r="B7" s="232" t="n"/>
      <c r="C7" s="232" t="n"/>
      <c r="D7" s="233" t="n"/>
      <c r="E7" s="232" t="n"/>
      <c r="F7" s="233" t="n"/>
      <c r="G7" s="233" t="n"/>
      <c r="H7" s="233" t="n"/>
      <c r="I7" s="232" t="n"/>
      <c r="J7" s="233" t="n"/>
      <c r="K7" s="232" t="n"/>
      <c r="L7" s="232" t="n"/>
      <c r="M7" s="232" t="n"/>
      <c r="N7" s="233" t="n"/>
      <c r="O7" s="232" t="n"/>
      <c r="P7" s="233" t="n"/>
      <c r="Q7" s="233" t="n"/>
      <c r="R7" s="233" t="n"/>
      <c r="S7" s="232" t="n"/>
      <c r="T7" s="233" t="n"/>
      <c r="U7" s="233" t="n"/>
      <c r="V7" s="233" t="n"/>
      <c r="W7" s="232" t="n"/>
    </row>
    <row r="8" ht="54.95" customFormat="1" customHeight="1" s="37">
      <c r="A8" s="232" t="n"/>
      <c r="B8" s="232" t="n"/>
      <c r="C8" s="232" t="n"/>
      <c r="D8" s="233" t="n"/>
      <c r="E8" s="232" t="n"/>
      <c r="F8" s="233" t="n"/>
      <c r="G8" s="233" t="n"/>
      <c r="H8" s="233" t="n"/>
      <c r="I8" s="232" t="n"/>
      <c r="J8" s="233" t="n"/>
      <c r="K8" s="232" t="n"/>
      <c r="L8" s="232" t="n"/>
      <c r="M8" s="232" t="n"/>
      <c r="N8" s="233" t="n"/>
      <c r="O8" s="232" t="n"/>
      <c r="P8" s="233" t="n"/>
      <c r="Q8" s="233" t="n"/>
      <c r="R8" s="233" t="n"/>
      <c r="S8" s="232" t="n"/>
      <c r="T8" s="233" t="n"/>
      <c r="U8" s="233" t="n"/>
      <c r="V8" s="233" t="n"/>
      <c r="W8" s="232" t="n"/>
    </row>
    <row r="9" ht="54.95" customFormat="1" customHeight="1" s="37">
      <c r="A9" s="234" t="n"/>
      <c r="B9" s="234" t="n"/>
      <c r="C9" s="234" t="n"/>
      <c r="D9" s="234" t="n"/>
      <c r="E9" s="234" t="n"/>
      <c r="F9" s="234" t="n"/>
      <c r="G9" s="234" t="n"/>
      <c r="H9" s="234" t="n"/>
      <c r="I9" s="234" t="n"/>
      <c r="J9" s="234" t="n"/>
      <c r="K9" s="234" t="n"/>
      <c r="L9" s="234" t="n"/>
      <c r="M9" s="232" t="n"/>
      <c r="N9" s="233" t="n"/>
      <c r="O9" s="232" t="n"/>
      <c r="P9" s="234" t="n"/>
      <c r="Q9" s="234" t="n"/>
      <c r="R9" s="234" t="n"/>
      <c r="S9" s="234" t="n"/>
      <c r="T9" s="234" t="n"/>
      <c r="U9" s="234" t="n"/>
      <c r="V9" s="234" t="n"/>
      <c r="W9" s="234" t="n"/>
    </row>
    <row r="10" ht="54.95" customFormat="1" customHeight="1" s="37">
      <c r="A10" s="234" t="n"/>
      <c r="B10" s="234" t="n"/>
      <c r="C10" s="234" t="n"/>
      <c r="D10" s="234" t="n"/>
      <c r="E10" s="234" t="n"/>
      <c r="F10" s="234" t="n"/>
      <c r="G10" s="234" t="n"/>
      <c r="H10" s="234" t="n"/>
      <c r="I10" s="234" t="n"/>
      <c r="J10" s="234" t="n"/>
      <c r="K10" s="234" t="n"/>
      <c r="L10" s="234" t="n"/>
      <c r="M10" s="232" t="n"/>
      <c r="N10" s="233" t="n"/>
      <c r="O10" s="232" t="n"/>
      <c r="P10" s="234" t="n"/>
      <c r="Q10" s="234" t="n"/>
      <c r="R10" s="234" t="n"/>
      <c r="S10" s="234" t="n"/>
      <c r="T10" s="234" t="n"/>
      <c r="U10" s="234" t="n"/>
      <c r="V10" s="234" t="n"/>
      <c r="W10" s="234" t="n"/>
    </row>
    <row r="11" ht="54.95" customFormat="1" customHeight="1" s="37">
      <c r="A11" s="234" t="n"/>
      <c r="B11" s="234" t="n"/>
      <c r="C11" s="234" t="n"/>
      <c r="D11" s="234" t="n"/>
      <c r="E11" s="234" t="n"/>
      <c r="F11" s="234" t="n"/>
      <c r="G11" s="234" t="n"/>
      <c r="H11" s="234" t="n"/>
      <c r="I11" s="234" t="n"/>
      <c r="J11" s="234" t="n"/>
      <c r="K11" s="234" t="n"/>
      <c r="L11" s="234" t="n"/>
      <c r="M11" s="232" t="n"/>
      <c r="N11" s="233" t="n"/>
      <c r="O11" s="232" t="n"/>
      <c r="P11" s="234" t="n"/>
      <c r="Q11" s="234" t="n"/>
      <c r="R11" s="234" t="n"/>
      <c r="S11" s="234" t="n"/>
      <c r="T11" s="234" t="n"/>
      <c r="U11" s="234" t="n"/>
      <c r="V11" s="234" t="n"/>
      <c r="W11" s="234" t="n"/>
    </row>
    <row r="12" ht="54.95" customFormat="1" customHeight="1" s="37">
      <c r="A12" s="234" t="n"/>
      <c r="B12" s="234" t="n"/>
      <c r="C12" s="234" t="n"/>
      <c r="D12" s="234" t="n"/>
      <c r="E12" s="234" t="n"/>
      <c r="F12" s="234" t="n"/>
      <c r="G12" s="234" t="n"/>
      <c r="H12" s="234" t="n"/>
      <c r="I12" s="234" t="n"/>
      <c r="J12" s="234" t="n"/>
      <c r="K12" s="234" t="n"/>
      <c r="L12" s="234" t="n"/>
      <c r="M12" s="232" t="n"/>
      <c r="N12" s="233" t="n"/>
      <c r="O12" s="232" t="n"/>
      <c r="P12" s="234" t="n"/>
      <c r="Q12" s="234" t="n"/>
      <c r="R12" s="234" t="n"/>
      <c r="S12" s="234" t="n"/>
      <c r="T12" s="234" t="n"/>
      <c r="U12" s="234" t="n"/>
      <c r="V12" s="234" t="n"/>
      <c r="W12" s="234" t="n"/>
    </row>
    <row r="13" ht="54.95" customFormat="1" customHeight="1" s="37">
      <c r="A13" s="234" t="n"/>
      <c r="B13" s="234" t="n"/>
      <c r="C13" s="234" t="n"/>
      <c r="D13" s="234" t="n"/>
      <c r="E13" s="234" t="n"/>
      <c r="F13" s="234" t="n"/>
      <c r="G13" s="234" t="n"/>
      <c r="H13" s="234" t="n"/>
      <c r="I13" s="234" t="n"/>
      <c r="J13" s="234" t="n"/>
      <c r="K13" s="234" t="n"/>
      <c r="L13" s="234" t="n"/>
      <c r="M13" s="232" t="n"/>
      <c r="N13" s="233" t="n"/>
      <c r="O13" s="232" t="n"/>
      <c r="P13" s="234" t="n"/>
      <c r="Q13" s="234" t="n"/>
      <c r="R13" s="234" t="n"/>
      <c r="S13" s="234" t="n"/>
      <c r="T13" s="234" t="n"/>
      <c r="U13" s="234" t="n"/>
      <c r="V13" s="234" t="n"/>
      <c r="W13" s="234" t="n"/>
    </row>
    <row r="14" ht="54.95" customFormat="1" customHeight="1" s="37">
      <c r="A14" s="234" t="n"/>
      <c r="B14" s="234" t="n"/>
      <c r="C14" s="234" t="n"/>
      <c r="D14" s="234" t="n"/>
      <c r="E14" s="234" t="n"/>
      <c r="F14" s="234" t="n"/>
      <c r="G14" s="234" t="n"/>
      <c r="H14" s="234" t="n"/>
      <c r="I14" s="234" t="n"/>
      <c r="J14" s="234" t="n"/>
      <c r="K14" s="234" t="n"/>
      <c r="L14" s="234" t="n"/>
      <c r="M14" s="232" t="n"/>
      <c r="N14" s="233" t="n"/>
      <c r="O14" s="232" t="n"/>
      <c r="P14" s="234" t="n"/>
      <c r="Q14" s="234" t="n"/>
      <c r="R14" s="234" t="n"/>
      <c r="S14" s="234" t="n"/>
      <c r="T14" s="234" t="n"/>
      <c r="U14" s="234" t="n"/>
      <c r="V14" s="234" t="n"/>
      <c r="W14" s="234" t="n"/>
    </row>
    <row r="15" ht="54.95" customFormat="1" customHeight="1" s="37">
      <c r="A15" s="234" t="n"/>
      <c r="B15" s="234" t="n"/>
      <c r="C15" s="234" t="n"/>
      <c r="D15" s="234" t="n"/>
      <c r="E15" s="234" t="n"/>
      <c r="F15" s="234" t="n"/>
      <c r="G15" s="234" t="n"/>
      <c r="H15" s="234" t="n"/>
      <c r="I15" s="234" t="n"/>
      <c r="J15" s="234" t="n"/>
      <c r="K15" s="234" t="n"/>
      <c r="L15" s="234" t="n"/>
      <c r="M15" s="232" t="n"/>
      <c r="N15" s="233" t="n"/>
      <c r="O15" s="232" t="n"/>
      <c r="P15" s="234" t="n"/>
      <c r="Q15" s="234" t="n"/>
      <c r="R15" s="234" t="n"/>
      <c r="S15" s="234" t="n"/>
      <c r="T15" s="234" t="n"/>
      <c r="U15" s="234" t="n"/>
      <c r="V15" s="234" t="n"/>
      <c r="W15" s="234" t="n"/>
    </row>
    <row r="16" ht="54.95" customFormat="1" customHeight="1" s="37">
      <c r="A16" s="234" t="n"/>
      <c r="B16" s="234" t="n"/>
      <c r="C16" s="234" t="n"/>
      <c r="D16" s="234" t="n"/>
      <c r="E16" s="234" t="n"/>
      <c r="F16" s="234" t="n"/>
      <c r="G16" s="234" t="n"/>
      <c r="H16" s="234" t="n"/>
      <c r="I16" s="234" t="n"/>
      <c r="J16" s="234" t="n"/>
      <c r="K16" s="234" t="n"/>
      <c r="L16" s="234" t="n"/>
      <c r="M16" s="232" t="n"/>
      <c r="N16" s="233" t="n"/>
      <c r="O16" s="232" t="n"/>
      <c r="P16" s="234" t="n"/>
      <c r="Q16" s="234" t="n"/>
      <c r="R16" s="234" t="n"/>
      <c r="S16" s="234" t="n"/>
      <c r="T16" s="234" t="n"/>
      <c r="U16" s="234" t="n"/>
      <c r="V16" s="234" t="n"/>
      <c r="W16" s="234" t="n"/>
    </row>
    <row r="17" ht="54.95" customFormat="1" customHeight="1" s="37">
      <c r="A17" s="234" t="n"/>
      <c r="B17" s="234" t="n"/>
      <c r="C17" s="234" t="n"/>
      <c r="D17" s="234" t="n"/>
      <c r="E17" s="234" t="n"/>
      <c r="F17" s="234" t="n"/>
      <c r="G17" s="234" t="n"/>
      <c r="H17" s="234" t="n"/>
      <c r="I17" s="234" t="n"/>
      <c r="J17" s="234" t="n"/>
      <c r="K17" s="234" t="n"/>
      <c r="L17" s="234" t="n"/>
      <c r="M17" s="232" t="n"/>
      <c r="N17" s="233" t="n"/>
      <c r="O17" s="232" t="n"/>
      <c r="P17" s="234" t="n"/>
      <c r="Q17" s="234" t="n"/>
      <c r="R17" s="234" t="n"/>
      <c r="S17" s="234" t="n"/>
      <c r="T17" s="234" t="n"/>
      <c r="U17" s="234" t="n"/>
      <c r="V17" s="234" t="n"/>
      <c r="W17" s="234" t="n"/>
    </row>
    <row r="18" ht="54.95" customFormat="1" customHeight="1" s="37">
      <c r="A18" s="232" t="n"/>
      <c r="B18" s="232" t="n"/>
      <c r="C18" s="232" t="n"/>
      <c r="D18" s="233" t="n"/>
      <c r="E18" s="232" t="n"/>
      <c r="F18" s="233" t="n"/>
      <c r="G18" s="233" t="n"/>
      <c r="H18" s="233" t="n"/>
      <c r="I18" s="232" t="n"/>
      <c r="J18" s="233" t="n"/>
      <c r="K18" s="232" t="n"/>
      <c r="L18" s="232" t="n"/>
      <c r="M18" s="232" t="n"/>
      <c r="N18" s="233" t="n"/>
      <c r="O18" s="232" t="n"/>
      <c r="P18" s="233" t="n"/>
      <c r="Q18" s="233" t="n"/>
      <c r="R18" s="233" t="n"/>
      <c r="S18" s="232" t="n"/>
      <c r="T18" s="233" t="n"/>
      <c r="U18" s="233" t="n"/>
      <c r="V18" s="233" t="n"/>
      <c r="W18" s="232" t="n"/>
    </row>
    <row r="19" ht="54.95" customFormat="1" customHeight="1" s="37">
      <c r="A19" s="234" t="n"/>
      <c r="B19" s="234" t="n"/>
      <c r="C19" s="234" t="n"/>
      <c r="D19" s="234" t="n"/>
      <c r="E19" s="234" t="n"/>
      <c r="F19" s="234" t="n"/>
      <c r="G19" s="234" t="n"/>
      <c r="H19" s="234" t="n"/>
      <c r="I19" s="234" t="n"/>
      <c r="J19" s="234" t="n"/>
      <c r="K19" s="234" t="n"/>
      <c r="L19" s="234" t="n"/>
      <c r="M19" s="232" t="n"/>
      <c r="N19" s="233" t="n"/>
      <c r="O19" s="232" t="n"/>
      <c r="P19" s="234" t="n"/>
      <c r="Q19" s="234" t="n"/>
      <c r="R19" s="234" t="n"/>
      <c r="S19" s="234" t="n"/>
      <c r="T19" s="234" t="n"/>
      <c r="U19" s="234" t="n"/>
      <c r="V19" s="234" t="n"/>
      <c r="W19" s="234" t="n"/>
    </row>
    <row r="20" ht="54.95" customFormat="1" customHeight="1" s="37">
      <c r="A20" s="232" t="n"/>
      <c r="B20" s="232" t="n"/>
      <c r="C20" s="232" t="n"/>
      <c r="D20" s="233" t="n"/>
      <c r="E20" s="232" t="n"/>
      <c r="F20" s="233" t="n"/>
      <c r="G20" s="233" t="n"/>
      <c r="H20" s="233" t="n"/>
      <c r="I20" s="232" t="n"/>
      <c r="J20" s="233" t="n"/>
      <c r="K20" s="232" t="n"/>
      <c r="L20" s="232" t="n"/>
      <c r="M20" s="232" t="n"/>
      <c r="N20" s="233" t="n"/>
      <c r="O20" s="232" t="n"/>
      <c r="P20" s="233" t="n"/>
      <c r="Q20" s="233" t="n"/>
      <c r="R20" s="233" t="n"/>
      <c r="S20" s="232" t="n"/>
      <c r="T20" s="233" t="n"/>
      <c r="U20" s="233" t="n"/>
      <c r="V20" s="233" t="n"/>
      <c r="W20" s="232" t="n"/>
    </row>
    <row r="21" ht="54.95" customFormat="1" customHeight="1" s="37">
      <c r="A21" s="232" t="n"/>
      <c r="B21" s="232" t="n"/>
      <c r="C21" s="232" t="n"/>
      <c r="D21" s="233" t="n"/>
      <c r="E21" s="232" t="n"/>
      <c r="F21" s="233" t="n"/>
      <c r="G21" s="233" t="n"/>
      <c r="H21" s="233" t="n"/>
      <c r="I21" s="232" t="n"/>
      <c r="J21" s="233" t="n"/>
      <c r="K21" s="232" t="n"/>
      <c r="L21" s="232" t="n"/>
      <c r="M21" s="232" t="n"/>
      <c r="N21" s="233" t="n"/>
      <c r="O21" s="232" t="n"/>
      <c r="P21" s="233" t="n"/>
      <c r="Q21" s="233" t="n"/>
      <c r="R21" s="233" t="n"/>
      <c r="S21" s="232" t="n"/>
      <c r="T21" s="233" t="n"/>
      <c r="U21" s="233" t="n"/>
      <c r="V21" s="233" t="n"/>
      <c r="W21" s="232" t="n"/>
    </row>
    <row r="22" ht="54.95" customFormat="1" customHeight="1" s="37">
      <c r="A22" s="232" t="n"/>
      <c r="B22" s="232" t="n"/>
      <c r="C22" s="232" t="n"/>
      <c r="D22" s="233" t="n"/>
      <c r="E22" s="232" t="n"/>
      <c r="F22" s="233" t="n"/>
      <c r="G22" s="233" t="n"/>
      <c r="H22" s="233" t="n"/>
      <c r="I22" s="232" t="n"/>
      <c r="J22" s="233" t="n"/>
      <c r="K22" s="232" t="n"/>
      <c r="L22" s="232" t="n"/>
      <c r="M22" s="232" t="n"/>
      <c r="N22" s="233" t="n"/>
      <c r="O22" s="232" t="n"/>
      <c r="P22" s="233" t="n"/>
      <c r="Q22" s="233" t="n"/>
      <c r="R22" s="233" t="n"/>
      <c r="S22" s="232" t="n"/>
      <c r="T22" s="233" t="n"/>
      <c r="U22" s="233" t="n"/>
      <c r="V22" s="233" t="n"/>
      <c r="W22" s="232" t="n"/>
    </row>
    <row r="23" ht="54.95" customFormat="1" customHeight="1" s="37">
      <c r="A23" s="232" t="n"/>
      <c r="B23" s="232" t="n"/>
      <c r="C23" s="232" t="n"/>
      <c r="D23" s="233" t="n"/>
      <c r="E23" s="232" t="n"/>
      <c r="F23" s="233" t="n"/>
      <c r="G23" s="233" t="n"/>
      <c r="H23" s="233" t="n"/>
      <c r="I23" s="232" t="n"/>
      <c r="J23" s="233" t="n"/>
      <c r="K23" s="232" t="n"/>
      <c r="L23" s="232" t="n"/>
      <c r="M23" s="232" t="n"/>
      <c r="N23" s="233" t="n"/>
      <c r="O23" s="232" t="n"/>
      <c r="P23" s="233" t="n"/>
      <c r="Q23" s="233" t="n"/>
      <c r="R23" s="233" t="n"/>
      <c r="S23" s="232" t="n"/>
      <c r="T23" s="233" t="n"/>
      <c r="U23" s="233" t="n"/>
      <c r="V23" s="233" t="n"/>
      <c r="W23" s="232" t="n"/>
    </row>
    <row r="24" ht="54.95" customFormat="1" customHeight="1" s="37">
      <c r="A24" s="232" t="n"/>
      <c r="B24" s="232" t="n"/>
      <c r="C24" s="232" t="n"/>
      <c r="D24" s="233" t="n"/>
      <c r="E24" s="232" t="n"/>
      <c r="F24" s="233" t="n"/>
      <c r="G24" s="233" t="n"/>
      <c r="H24" s="233" t="n"/>
      <c r="I24" s="232" t="n"/>
      <c r="J24" s="233" t="n"/>
      <c r="K24" s="232" t="n"/>
      <c r="L24" s="232" t="n"/>
      <c r="M24" s="232" t="n"/>
      <c r="N24" s="233" t="n"/>
      <c r="O24" s="232" t="n"/>
      <c r="P24" s="233" t="n"/>
      <c r="Q24" s="233" t="n"/>
      <c r="R24" s="233" t="n"/>
      <c r="S24" s="232" t="n"/>
      <c r="T24" s="233" t="n"/>
      <c r="U24" s="233" t="n"/>
      <c r="V24" s="233" t="n"/>
      <c r="W24" s="232" t="n"/>
    </row>
    <row r="25" ht="54.95" customFormat="1" customHeight="1" s="37">
      <c r="A25" s="232" t="n"/>
      <c r="B25" s="232" t="n"/>
      <c r="C25" s="232" t="n"/>
      <c r="D25" s="233" t="n"/>
      <c r="E25" s="232" t="n"/>
      <c r="F25" s="233" t="n"/>
      <c r="G25" s="233" t="n"/>
      <c r="H25" s="233" t="n"/>
      <c r="I25" s="232" t="n"/>
      <c r="J25" s="233" t="n"/>
      <c r="K25" s="232" t="n"/>
      <c r="L25" s="232" t="n"/>
      <c r="M25" s="232" t="n"/>
      <c r="N25" s="233" t="n"/>
      <c r="O25" s="232" t="n"/>
      <c r="P25" s="233" t="n"/>
      <c r="Q25" s="233" t="n"/>
      <c r="R25" s="233" t="n"/>
      <c r="S25" s="232" t="n"/>
      <c r="T25" s="233" t="n"/>
      <c r="U25" s="233" t="n"/>
      <c r="V25" s="233" t="n"/>
      <c r="W25" s="232" t="n"/>
    </row>
    <row r="26" ht="54.95" customFormat="1" customHeight="1" s="37">
      <c r="A26" s="232" t="n"/>
      <c r="B26" s="232" t="n"/>
      <c r="C26" s="232" t="n"/>
      <c r="D26" s="233" t="n"/>
      <c r="E26" s="232" t="n"/>
      <c r="F26" s="233" t="n"/>
      <c r="G26" s="233" t="n"/>
      <c r="H26" s="233" t="n"/>
      <c r="I26" s="232" t="n"/>
      <c r="J26" s="233" t="n"/>
      <c r="K26" s="232" t="n"/>
      <c r="L26" s="232" t="n"/>
      <c r="M26" s="232" t="n"/>
      <c r="N26" s="233" t="n"/>
      <c r="O26" s="232" t="n"/>
      <c r="P26" s="233" t="n"/>
      <c r="Q26" s="233" t="n"/>
      <c r="R26" s="233" t="n"/>
      <c r="S26" s="232" t="n"/>
      <c r="T26" s="233" t="n"/>
      <c r="U26" s="233" t="n"/>
      <c r="V26" s="233" t="n"/>
      <c r="W26" s="232" t="n"/>
    </row>
    <row r="27" ht="54.95" customFormat="1" customHeight="1" s="37">
      <c r="A27" s="232" t="n"/>
      <c r="B27" s="232" t="n"/>
      <c r="C27" s="232" t="n"/>
      <c r="D27" s="233" t="n"/>
      <c r="E27" s="232" t="n"/>
      <c r="F27" s="233" t="n"/>
      <c r="G27" s="233" t="n"/>
      <c r="H27" s="233" t="n"/>
      <c r="I27" s="232" t="n"/>
      <c r="J27" s="233" t="n"/>
      <c r="K27" s="232" t="n"/>
      <c r="L27" s="232" t="n"/>
      <c r="M27" s="232" t="n"/>
      <c r="N27" s="233" t="n"/>
      <c r="O27" s="232" t="n"/>
      <c r="P27" s="233" t="n"/>
      <c r="Q27" s="233" t="n"/>
      <c r="R27" s="233" t="n"/>
      <c r="S27" s="232" t="n"/>
      <c r="T27" s="233" t="n"/>
      <c r="U27" s="233" t="n"/>
      <c r="V27" s="233" t="n"/>
      <c r="W27" s="232" t="n"/>
    </row>
    <row r="28" ht="54.95" customFormat="1" customHeight="1" s="37">
      <c r="A28" s="234" t="n"/>
      <c r="B28" s="234" t="n"/>
      <c r="C28" s="234" t="n"/>
      <c r="D28" s="234" t="n"/>
      <c r="E28" s="234" t="n"/>
      <c r="F28" s="234" t="n"/>
      <c r="G28" s="234" t="n"/>
      <c r="H28" s="234" t="n"/>
      <c r="I28" s="234" t="n"/>
      <c r="J28" s="234" t="n"/>
      <c r="K28" s="234" t="n"/>
      <c r="L28" s="234" t="n"/>
      <c r="M28" s="232" t="n"/>
      <c r="N28" s="233" t="n"/>
      <c r="O28" s="232" t="n"/>
      <c r="P28" s="234" t="n"/>
      <c r="Q28" s="234" t="n"/>
      <c r="R28" s="234" t="n"/>
      <c r="S28" s="234" t="n"/>
      <c r="T28" s="234" t="n"/>
      <c r="U28" s="234" t="n"/>
      <c r="V28" s="234" t="n"/>
      <c r="W28" s="234" t="n"/>
    </row>
    <row r="29" ht="54.95" customFormat="1" customHeight="1" s="37">
      <c r="A29" s="232" t="n"/>
      <c r="B29" s="232" t="n"/>
      <c r="C29" s="232" t="n"/>
      <c r="D29" s="233" t="n"/>
      <c r="E29" s="232" t="n"/>
      <c r="F29" s="233" t="n"/>
      <c r="G29" s="233" t="n"/>
      <c r="H29" s="233" t="n"/>
      <c r="I29" s="232" t="n"/>
      <c r="J29" s="233" t="n"/>
      <c r="K29" s="232" t="n"/>
      <c r="L29" s="232" t="n"/>
      <c r="M29" s="232" t="n"/>
      <c r="N29" s="233" t="n"/>
      <c r="O29" s="232" t="n"/>
      <c r="P29" s="233" t="n"/>
      <c r="Q29" s="233" t="n"/>
      <c r="R29" s="233" t="n"/>
      <c r="S29" s="232" t="n"/>
      <c r="T29" s="233" t="n"/>
      <c r="U29" s="233" t="n"/>
      <c r="V29" s="233" t="n"/>
      <c r="W29" s="232" t="n"/>
    </row>
    <row r="30" ht="54.95" customFormat="1" customHeight="1" s="37">
      <c r="A30" s="232" t="n"/>
      <c r="B30" s="232" t="n"/>
      <c r="C30" s="232" t="n"/>
      <c r="D30" s="233" t="n"/>
      <c r="E30" s="232" t="n"/>
      <c r="F30" s="233" t="n"/>
      <c r="G30" s="233" t="n"/>
      <c r="H30" s="233" t="n"/>
      <c r="I30" s="232" t="n"/>
      <c r="J30" s="233" t="n"/>
      <c r="K30" s="232" t="n"/>
      <c r="L30" s="232" t="n"/>
      <c r="M30" s="232" t="n"/>
      <c r="N30" s="233" t="n"/>
      <c r="O30" s="232" t="n"/>
      <c r="P30" s="233" t="n"/>
      <c r="Q30" s="233" t="n"/>
      <c r="R30" s="233" t="n"/>
      <c r="S30" s="232" t="n"/>
      <c r="T30" s="233" t="n"/>
      <c r="U30" s="233" t="n"/>
      <c r="V30" s="233" t="n"/>
      <c r="W30" s="232" t="n"/>
    </row>
    <row r="31" ht="54.95" customFormat="1" customHeight="1" s="37">
      <c r="A31" s="232" t="n"/>
      <c r="B31" s="232" t="n"/>
      <c r="C31" s="232" t="n"/>
      <c r="D31" s="233" t="n"/>
      <c r="E31" s="232" t="n"/>
      <c r="F31" s="233" t="n"/>
      <c r="G31" s="233" t="n"/>
      <c r="H31" s="233" t="n"/>
      <c r="I31" s="232" t="n"/>
      <c r="J31" s="233" t="n"/>
      <c r="K31" s="232" t="n"/>
      <c r="L31" s="232" t="n"/>
      <c r="M31" s="232" t="n"/>
      <c r="N31" s="233" t="n"/>
      <c r="O31" s="232" t="n"/>
      <c r="P31" s="233" t="n"/>
      <c r="Q31" s="233" t="n"/>
      <c r="R31" s="233" t="n"/>
      <c r="S31" s="232" t="n"/>
      <c r="T31" s="233" t="n"/>
      <c r="U31" s="233" t="n"/>
      <c r="V31" s="233" t="n"/>
      <c r="W31" s="232" t="n"/>
    </row>
    <row r="32" ht="54.95" customFormat="1" customHeight="1" s="37">
      <c r="A32" s="232" t="n"/>
      <c r="B32" s="232" t="n"/>
      <c r="C32" s="232" t="n"/>
      <c r="D32" s="233" t="n"/>
      <c r="E32" s="232" t="n"/>
      <c r="F32" s="233" t="n"/>
      <c r="G32" s="233" t="n"/>
      <c r="H32" s="233" t="n"/>
      <c r="I32" s="232" t="n"/>
      <c r="J32" s="233" t="n"/>
      <c r="K32" s="232" t="n"/>
      <c r="L32" s="232" t="n"/>
      <c r="M32" s="232" t="n"/>
      <c r="N32" s="233" t="n"/>
      <c r="O32" s="232" t="n"/>
      <c r="P32" s="233" t="n"/>
      <c r="Q32" s="233" t="n"/>
      <c r="R32" s="233" t="n"/>
      <c r="S32" s="232" t="n"/>
      <c r="T32" s="233" t="n"/>
      <c r="U32" s="233" t="n"/>
      <c r="V32" s="233" t="n"/>
      <c r="W32" s="232" t="n"/>
    </row>
    <row r="33" ht="54.95" customFormat="1" customHeight="1" s="37">
      <c r="A33" s="232" t="n"/>
      <c r="B33" s="232" t="n"/>
      <c r="C33" s="232" t="n"/>
      <c r="D33" s="233" t="n"/>
      <c r="E33" s="232" t="n"/>
      <c r="F33" s="233" t="n"/>
      <c r="G33" s="233" t="n"/>
      <c r="H33" s="233" t="n"/>
      <c r="I33" s="232" t="n"/>
      <c r="J33" s="233" t="n"/>
      <c r="K33" s="232" t="n"/>
      <c r="L33" s="232" t="n"/>
      <c r="M33" s="232" t="n"/>
      <c r="N33" s="233" t="n"/>
      <c r="O33" s="232" t="n"/>
      <c r="P33" s="233" t="n"/>
      <c r="Q33" s="233" t="n"/>
      <c r="R33" s="233" t="n"/>
      <c r="S33" s="232" t="n"/>
      <c r="T33" s="233" t="n"/>
      <c r="U33" s="233" t="n"/>
      <c r="V33" s="233" t="n"/>
      <c r="W33" s="232" t="n"/>
    </row>
    <row r="34" ht="54.95" customFormat="1" customHeight="1" s="37">
      <c r="A34" s="232" t="n"/>
      <c r="B34" s="232" t="n"/>
      <c r="C34" s="232" t="n"/>
      <c r="D34" s="233" t="n"/>
      <c r="E34" s="232" t="n"/>
      <c r="F34" s="233" t="n"/>
      <c r="G34" s="233" t="n"/>
      <c r="H34" s="233" t="n"/>
      <c r="I34" s="232" t="n"/>
      <c r="J34" s="233" t="n"/>
      <c r="K34" s="232" t="n"/>
      <c r="L34" s="232" t="n"/>
      <c r="M34" s="232" t="n"/>
      <c r="N34" s="233" t="n"/>
      <c r="O34" s="232" t="n"/>
      <c r="P34" s="233" t="n"/>
      <c r="Q34" s="233" t="n"/>
      <c r="R34" s="233" t="n"/>
      <c r="S34" s="232" t="n"/>
      <c r="T34" s="233" t="n"/>
      <c r="U34" s="233" t="n"/>
      <c r="V34" s="233" t="n"/>
      <c r="W34" s="232" t="n"/>
    </row>
    <row r="35" ht="54.95" customFormat="1" customHeight="1" s="37">
      <c r="A35" s="232" t="n"/>
      <c r="B35" s="232" t="n"/>
      <c r="C35" s="232" t="n"/>
      <c r="D35" s="233" t="n"/>
      <c r="E35" s="232" t="n"/>
      <c r="F35" s="233" t="n"/>
      <c r="G35" s="233" t="n"/>
      <c r="H35" s="233" t="n"/>
      <c r="I35" s="232" t="n"/>
      <c r="J35" s="233" t="n"/>
      <c r="K35" s="232" t="n"/>
      <c r="L35" s="232" t="n"/>
      <c r="M35" s="232" t="n"/>
      <c r="N35" s="233" t="n"/>
      <c r="O35" s="232" t="n"/>
      <c r="P35" s="233" t="n"/>
      <c r="Q35" s="233" t="n"/>
      <c r="R35" s="233" t="n"/>
      <c r="S35" s="232" t="n"/>
      <c r="T35" s="233" t="n"/>
      <c r="U35" s="233" t="n"/>
      <c r="V35" s="233" t="n"/>
      <c r="W35" s="232" t="n"/>
    </row>
    <row r="36" ht="54.95" customFormat="1" customHeight="1" s="37">
      <c r="A36" s="232" t="n"/>
      <c r="B36" s="232" t="n"/>
      <c r="C36" s="232" t="n"/>
      <c r="D36" s="233" t="n"/>
      <c r="E36" s="232" t="n"/>
      <c r="F36" s="233" t="n"/>
      <c r="G36" s="233" t="n"/>
      <c r="H36" s="233" t="n"/>
      <c r="I36" s="232" t="n"/>
      <c r="J36" s="233" t="n"/>
      <c r="K36" s="232" t="n"/>
      <c r="L36" s="232" t="n"/>
      <c r="M36" s="232" t="n"/>
      <c r="N36" s="233" t="n"/>
      <c r="O36" s="232" t="n"/>
      <c r="P36" s="233" t="n"/>
      <c r="Q36" s="233" t="n"/>
      <c r="R36" s="233" t="n"/>
      <c r="S36" s="232" t="n"/>
      <c r="T36" s="233" t="n"/>
      <c r="U36" s="233" t="n"/>
      <c r="V36" s="233" t="n"/>
      <c r="W36" s="232" t="n"/>
    </row>
    <row r="37" ht="54.95" customFormat="1" customHeight="1" s="37">
      <c r="A37" s="232" t="n"/>
      <c r="B37" s="232" t="n"/>
      <c r="C37" s="232" t="n"/>
      <c r="D37" s="233" t="n"/>
      <c r="E37" s="232" t="n"/>
      <c r="F37" s="233" t="n"/>
      <c r="G37" s="233" t="n"/>
      <c r="H37" s="233" t="n"/>
      <c r="I37" s="232" t="n"/>
      <c r="J37" s="233" t="n"/>
      <c r="K37" s="232" t="n"/>
      <c r="L37" s="232" t="n"/>
      <c r="M37" s="232" t="n"/>
      <c r="N37" s="233" t="n"/>
      <c r="O37" s="232" t="n"/>
      <c r="P37" s="233" t="n"/>
      <c r="Q37" s="233" t="n"/>
      <c r="R37" s="233" t="n"/>
      <c r="S37" s="232" t="n"/>
      <c r="T37" s="233" t="n"/>
      <c r="U37" s="233" t="n"/>
      <c r="V37" s="233" t="n"/>
      <c r="W37" s="232" t="n"/>
    </row>
    <row r="38" ht="54.95" customFormat="1" customHeight="1" s="37">
      <c r="A38" s="232" t="n"/>
      <c r="B38" s="232" t="n"/>
      <c r="C38" s="232" t="n"/>
      <c r="D38" s="233" t="n"/>
      <c r="E38" s="232" t="n"/>
      <c r="F38" s="233" t="n"/>
      <c r="G38" s="233" t="n"/>
      <c r="H38" s="233" t="n"/>
      <c r="I38" s="232" t="n"/>
      <c r="J38" s="233" t="n"/>
      <c r="K38" s="232" t="n"/>
      <c r="L38" s="232" t="n"/>
      <c r="M38" s="232" t="n"/>
      <c r="N38" s="233" t="n"/>
      <c r="O38" s="232" t="n"/>
      <c r="P38" s="233" t="n"/>
      <c r="Q38" s="233" t="n"/>
      <c r="R38" s="233" t="n"/>
      <c r="S38" s="232" t="n"/>
      <c r="T38" s="233" t="n"/>
      <c r="U38" s="233" t="n"/>
      <c r="V38" s="233" t="n"/>
      <c r="W38" s="232" t="n"/>
    </row>
    <row r="39" ht="54.95" customFormat="1" customHeight="1" s="37">
      <c r="A39" s="232" t="n"/>
      <c r="B39" s="232" t="n"/>
      <c r="C39" s="232" t="n"/>
      <c r="D39" s="233" t="n"/>
      <c r="E39" s="232" t="n"/>
      <c r="F39" s="233" t="n"/>
      <c r="G39" s="233" t="n"/>
      <c r="H39" s="233" t="n"/>
      <c r="I39" s="232" t="n"/>
      <c r="J39" s="233" t="n"/>
      <c r="K39" s="232" t="n"/>
      <c r="L39" s="232" t="n"/>
      <c r="M39" s="232" t="n"/>
      <c r="N39" s="233" t="n"/>
      <c r="O39" s="232" t="n"/>
      <c r="P39" s="233" t="n"/>
      <c r="Q39" s="233" t="n"/>
      <c r="R39" s="233" t="n"/>
      <c r="S39" s="232" t="n"/>
      <c r="T39" s="233" t="n"/>
      <c r="U39" s="233" t="n"/>
      <c r="V39" s="233" t="n"/>
      <c r="W39" s="232" t="n"/>
    </row>
    <row r="40" ht="54.95" customFormat="1" customHeight="1" s="37">
      <c r="A40" s="234" t="n"/>
      <c r="B40" s="234" t="n"/>
      <c r="C40" s="234" t="n"/>
      <c r="D40" s="234" t="n"/>
      <c r="E40" s="234" t="n"/>
      <c r="F40" s="234" t="n"/>
      <c r="G40" s="234" t="n"/>
      <c r="H40" s="234" t="n"/>
      <c r="I40" s="234" t="n"/>
      <c r="J40" s="234" t="n"/>
      <c r="K40" s="234" t="n"/>
      <c r="L40" s="234" t="n"/>
      <c r="M40" s="232" t="n"/>
      <c r="N40" s="233" t="n"/>
      <c r="O40" s="232" t="n"/>
      <c r="P40" s="234" t="n"/>
      <c r="Q40" s="234" t="n"/>
      <c r="R40" s="234" t="n"/>
      <c r="S40" s="234" t="n"/>
      <c r="T40" s="234" t="n"/>
      <c r="U40" s="234" t="n"/>
      <c r="V40" s="234" t="n"/>
      <c r="W40" s="234" t="n"/>
    </row>
    <row r="41" ht="54.95" customFormat="1" customHeight="1" s="37">
      <c r="A41" s="232" t="n"/>
      <c r="B41" s="232" t="n"/>
      <c r="C41" s="232" t="n"/>
      <c r="D41" s="233" t="n"/>
      <c r="E41" s="232" t="n"/>
      <c r="F41" s="233" t="n"/>
      <c r="G41" s="233" t="n"/>
      <c r="H41" s="233" t="n"/>
      <c r="I41" s="232" t="n"/>
      <c r="J41" s="233" t="n"/>
      <c r="K41" s="232" t="n"/>
      <c r="L41" s="232" t="n"/>
      <c r="M41" s="232" t="n"/>
      <c r="N41" s="233" t="n"/>
      <c r="O41" s="232" t="n"/>
      <c r="P41" s="233" t="n"/>
      <c r="Q41" s="233" t="n"/>
      <c r="R41" s="233" t="n"/>
      <c r="S41" s="232" t="n"/>
      <c r="T41" s="233" t="n"/>
      <c r="U41" s="233" t="n"/>
      <c r="V41" s="233" t="n"/>
      <c r="W41" s="232" t="n"/>
    </row>
    <row r="42" ht="54.95" customFormat="1" customHeight="1" s="37">
      <c r="A42" s="232" t="n"/>
      <c r="B42" s="232" t="n"/>
      <c r="C42" s="232" t="n"/>
      <c r="D42" s="233" t="n"/>
      <c r="E42" s="232" t="n"/>
      <c r="F42" s="233" t="n"/>
      <c r="G42" s="233" t="n"/>
      <c r="H42" s="233" t="n"/>
      <c r="I42" s="232" t="n"/>
      <c r="J42" s="233" t="n"/>
      <c r="K42" s="232" t="n"/>
      <c r="L42" s="232" t="n"/>
      <c r="M42" s="232" t="n"/>
      <c r="N42" s="233" t="n"/>
      <c r="O42" s="232" t="n"/>
      <c r="P42" s="233" t="n"/>
      <c r="Q42" s="233" t="n"/>
      <c r="R42" s="233" t="n"/>
      <c r="S42" s="232" t="n"/>
      <c r="T42" s="233" t="n"/>
      <c r="U42" s="233" t="n"/>
      <c r="V42" s="233" t="n"/>
      <c r="W42" s="232" t="n"/>
    </row>
    <row r="43" ht="54.95" customFormat="1" customHeight="1" s="37">
      <c r="A43" s="232" t="n"/>
      <c r="B43" s="232" t="n"/>
      <c r="C43" s="232" t="n"/>
      <c r="D43" s="233" t="n"/>
      <c r="E43" s="232" t="n"/>
      <c r="F43" s="233" t="n"/>
      <c r="G43" s="233" t="n"/>
      <c r="H43" s="233" t="n"/>
      <c r="I43" s="232" t="n"/>
      <c r="J43" s="233" t="n"/>
      <c r="K43" s="232" t="n"/>
      <c r="L43" s="232" t="n"/>
      <c r="M43" s="232" t="n"/>
      <c r="N43" s="233" t="n"/>
      <c r="O43" s="232" t="n"/>
      <c r="P43" s="233" t="n"/>
      <c r="Q43" s="233" t="n"/>
      <c r="R43" s="233" t="n"/>
      <c r="S43" s="232" t="n"/>
      <c r="T43" s="233" t="n"/>
      <c r="U43" s="233" t="n"/>
      <c r="V43" s="233" t="n"/>
      <c r="W43" s="232" t="n"/>
    </row>
    <row r="44" ht="54.95" customFormat="1" customHeight="1" s="37">
      <c r="A44" s="232" t="n"/>
      <c r="B44" s="232" t="n"/>
      <c r="C44" s="232" t="n"/>
      <c r="D44" s="233" t="n"/>
      <c r="E44" s="232" t="n"/>
      <c r="F44" s="233" t="n"/>
      <c r="G44" s="233" t="n"/>
      <c r="H44" s="233" t="n"/>
      <c r="I44" s="232" t="n"/>
      <c r="J44" s="233" t="n"/>
      <c r="K44" s="232" t="n"/>
      <c r="L44" s="232" t="n"/>
      <c r="M44" s="232" t="n"/>
      <c r="N44" s="233" t="n"/>
      <c r="O44" s="232" t="n"/>
      <c r="P44" s="233" t="n"/>
      <c r="Q44" s="233" t="n"/>
      <c r="R44" s="233" t="n"/>
      <c r="S44" s="232" t="n"/>
      <c r="T44" s="233" t="n"/>
      <c r="U44" s="233" t="n"/>
      <c r="V44" s="233" t="n"/>
      <c r="W44" s="232" t="n"/>
    </row>
    <row r="45" ht="54.95" customFormat="1" customHeight="1" s="37">
      <c r="A45" s="232" t="n"/>
      <c r="B45" s="232" t="n"/>
      <c r="C45" s="232" t="n"/>
      <c r="D45" s="233" t="n"/>
      <c r="E45" s="232" t="n"/>
      <c r="F45" s="233" t="n"/>
      <c r="G45" s="233" t="n"/>
      <c r="H45" s="233" t="n"/>
      <c r="I45" s="232" t="n"/>
      <c r="J45" s="233" t="n"/>
      <c r="K45" s="232" t="n"/>
      <c r="L45" s="232" t="n"/>
      <c r="M45" s="232" t="n"/>
      <c r="N45" s="233" t="n"/>
      <c r="O45" s="232" t="n"/>
      <c r="P45" s="233" t="n"/>
      <c r="Q45" s="233" t="n"/>
      <c r="R45" s="233" t="n"/>
      <c r="S45" s="232" t="n"/>
      <c r="T45" s="233" t="n"/>
      <c r="U45" s="233" t="n"/>
      <c r="V45" s="233" t="n"/>
      <c r="W45" s="232" t="n"/>
    </row>
    <row r="46" ht="54.95" customFormat="1" customHeight="1" s="37">
      <c r="A46" s="232" t="n"/>
      <c r="B46" s="232" t="n"/>
      <c r="C46" s="232" t="n"/>
      <c r="D46" s="233" t="n"/>
      <c r="E46" s="232" t="n"/>
      <c r="F46" s="233" t="n"/>
      <c r="G46" s="233" t="n"/>
      <c r="H46" s="233" t="n"/>
      <c r="I46" s="232" t="n"/>
      <c r="J46" s="233" t="n"/>
      <c r="K46" s="232" t="n"/>
      <c r="L46" s="232" t="n"/>
      <c r="M46" s="232" t="n"/>
      <c r="N46" s="233" t="n"/>
      <c r="O46" s="232" t="n"/>
      <c r="P46" s="233" t="n"/>
      <c r="Q46" s="233" t="n"/>
      <c r="R46" s="233" t="n"/>
      <c r="S46" s="232" t="n"/>
      <c r="T46" s="233" t="n"/>
      <c r="U46" s="233" t="n"/>
      <c r="V46" s="233" t="n"/>
      <c r="W46" s="232" t="n"/>
    </row>
    <row r="47" ht="54.95" customFormat="1" customHeight="1" s="37">
      <c r="A47" s="232" t="n"/>
      <c r="B47" s="232" t="n"/>
      <c r="C47" s="232" t="n"/>
      <c r="D47" s="233" t="n"/>
      <c r="E47" s="232" t="n"/>
      <c r="F47" s="233" t="n"/>
      <c r="G47" s="233" t="n"/>
      <c r="H47" s="233" t="n"/>
      <c r="I47" s="232" t="n"/>
      <c r="J47" s="233" t="n"/>
      <c r="K47" s="232" t="n"/>
      <c r="L47" s="232" t="n"/>
      <c r="M47" s="232" t="n"/>
      <c r="N47" s="233" t="n"/>
      <c r="O47" s="232" t="n"/>
      <c r="P47" s="233" t="n"/>
      <c r="Q47" s="233" t="n"/>
      <c r="R47" s="233" t="n"/>
      <c r="S47" s="232" t="n"/>
      <c r="T47" s="233" t="n"/>
      <c r="U47" s="233" t="n"/>
      <c r="V47" s="233" t="n"/>
      <c r="W47" s="232" t="n"/>
    </row>
    <row r="48" ht="54.95" customFormat="1" customHeight="1" s="37">
      <c r="A48" s="234" t="n"/>
      <c r="B48" s="234" t="n"/>
      <c r="C48" s="234" t="n"/>
      <c r="D48" s="234" t="n"/>
      <c r="E48" s="234" t="n"/>
      <c r="F48" s="234" t="n"/>
      <c r="G48" s="234" t="n"/>
      <c r="H48" s="234" t="n"/>
      <c r="I48" s="234" t="n"/>
      <c r="J48" s="234" t="n"/>
      <c r="K48" s="234" t="n"/>
      <c r="L48" s="234" t="n"/>
      <c r="M48" s="232" t="n"/>
      <c r="N48" s="233" t="n"/>
      <c r="O48" s="232" t="n"/>
      <c r="P48" s="234" t="n"/>
      <c r="Q48" s="234" t="n"/>
      <c r="R48" s="234" t="n"/>
      <c r="S48" s="234" t="n"/>
      <c r="T48" s="234" t="n"/>
      <c r="U48" s="234" t="n"/>
      <c r="V48" s="234" t="n"/>
      <c r="W48" s="234" t="n"/>
    </row>
    <row r="49" ht="54.95" customFormat="1" customHeight="1" s="37">
      <c r="A49" s="234" t="n"/>
      <c r="B49" s="234" t="n"/>
      <c r="C49" s="234" t="n"/>
      <c r="D49" s="234" t="n"/>
      <c r="E49" s="234" t="n"/>
      <c r="F49" s="234" t="n"/>
      <c r="G49" s="234" t="n"/>
      <c r="H49" s="234" t="n"/>
      <c r="I49" s="234" t="n"/>
      <c r="J49" s="234" t="n"/>
      <c r="K49" s="234" t="n"/>
      <c r="L49" s="234" t="n"/>
      <c r="M49" s="232" t="n"/>
      <c r="N49" s="233" t="n"/>
      <c r="O49" s="232" t="n"/>
      <c r="P49" s="234" t="n"/>
      <c r="Q49" s="234" t="n"/>
      <c r="R49" s="234" t="n"/>
      <c r="S49" s="234" t="n"/>
      <c r="T49" s="234" t="n"/>
      <c r="U49" s="234" t="n"/>
      <c r="V49" s="234" t="n"/>
      <c r="W49" s="234" t="n"/>
    </row>
    <row r="50" ht="54.95" customFormat="1" customHeight="1" s="235">
      <c r="A50" s="234" t="n"/>
      <c r="B50" s="234" t="n"/>
      <c r="C50" s="234" t="n"/>
      <c r="D50" s="234" t="n"/>
      <c r="E50" s="234" t="n"/>
      <c r="F50" s="234" t="n"/>
      <c r="G50" s="234" t="n"/>
      <c r="H50" s="234" t="n"/>
      <c r="I50" s="234" t="n"/>
      <c r="J50" s="234" t="n"/>
      <c r="K50" s="234" t="n"/>
      <c r="L50" s="234" t="n"/>
      <c r="M50" s="232" t="n"/>
      <c r="N50" s="233" t="n"/>
      <c r="O50" s="232" t="n"/>
      <c r="P50" s="234" t="n"/>
      <c r="Q50" s="234" t="n"/>
      <c r="R50" s="234" t="n"/>
      <c r="S50" s="234" t="n"/>
      <c r="T50" s="234" t="n"/>
      <c r="U50" s="234" t="n"/>
      <c r="V50" s="234" t="n"/>
      <c r="W50" s="234" t="n"/>
    </row>
    <row r="51" ht="54.95" customFormat="1" customHeight="1" s="235">
      <c r="A51" s="234" t="n"/>
      <c r="B51" s="234" t="n"/>
      <c r="C51" s="234" t="n"/>
      <c r="D51" s="234" t="n"/>
      <c r="E51" s="234" t="n"/>
      <c r="F51" s="234" t="n"/>
      <c r="G51" s="234" t="n"/>
      <c r="H51" s="234" t="n"/>
      <c r="I51" s="234" t="n"/>
      <c r="J51" s="234" t="n"/>
      <c r="K51" s="234" t="n"/>
      <c r="L51" s="234" t="n"/>
      <c r="M51" s="232" t="n"/>
      <c r="N51" s="233" t="n"/>
      <c r="O51" s="232" t="n"/>
      <c r="P51" s="234" t="n"/>
      <c r="Q51" s="234" t="n"/>
      <c r="R51" s="234" t="n"/>
      <c r="S51" s="234" t="n"/>
      <c r="T51" s="234" t="n"/>
      <c r="U51" s="234" t="n"/>
      <c r="V51" s="234" t="n"/>
      <c r="W51" s="234" t="n"/>
    </row>
    <row r="52" ht="54.95" customFormat="1" customHeight="1" s="37">
      <c r="A52" s="234" t="n"/>
      <c r="B52" s="234" t="n"/>
      <c r="C52" s="234" t="n"/>
      <c r="D52" s="234" t="n"/>
      <c r="E52" s="234" t="n"/>
      <c r="F52" s="234" t="n"/>
      <c r="G52" s="234" t="n"/>
      <c r="H52" s="234" t="n"/>
      <c r="I52" s="234" t="n"/>
      <c r="J52" s="234" t="n"/>
      <c r="K52" s="234" t="n"/>
      <c r="L52" s="234" t="n"/>
      <c r="M52" s="232" t="n"/>
      <c r="N52" s="233" t="n"/>
      <c r="O52" s="232" t="n"/>
      <c r="P52" s="234" t="n"/>
      <c r="Q52" s="234" t="n"/>
      <c r="R52" s="234" t="n"/>
      <c r="S52" s="234" t="n"/>
      <c r="T52" s="234" t="n"/>
      <c r="U52" s="234" t="n"/>
      <c r="V52" s="234" t="n"/>
      <c r="W52" s="234" t="n"/>
    </row>
    <row r="53" ht="54.95" customFormat="1" customHeight="1" s="37">
      <c r="A53" s="234" t="n"/>
      <c r="B53" s="234" t="n"/>
      <c r="C53" s="234" t="n"/>
      <c r="D53" s="234" t="n"/>
      <c r="E53" s="234" t="n"/>
      <c r="F53" s="234" t="n"/>
      <c r="G53" s="234" t="n"/>
      <c r="H53" s="234" t="n"/>
      <c r="I53" s="234" t="n"/>
      <c r="J53" s="234" t="n"/>
      <c r="K53" s="234" t="n"/>
      <c r="L53" s="234" t="n"/>
      <c r="M53" s="232" t="n"/>
      <c r="N53" s="233" t="n"/>
      <c r="O53" s="232" t="n"/>
      <c r="P53" s="234" t="n"/>
      <c r="Q53" s="234" t="n"/>
      <c r="R53" s="234" t="n"/>
      <c r="S53" s="234" t="n"/>
      <c r="T53" s="234" t="n"/>
      <c r="U53" s="234" t="n"/>
      <c r="V53" s="234" t="n"/>
      <c r="W53" s="234" t="n"/>
    </row>
    <row r="54" ht="54.95" customFormat="1" customHeight="1" s="37">
      <c r="A54" s="234" t="n"/>
      <c r="B54" s="234" t="n"/>
      <c r="C54" s="234" t="n"/>
      <c r="D54" s="234" t="n"/>
      <c r="E54" s="234" t="n"/>
      <c r="F54" s="234" t="n"/>
      <c r="G54" s="234" t="n"/>
      <c r="H54" s="234" t="n"/>
      <c r="I54" s="234" t="n"/>
      <c r="J54" s="234" t="n"/>
      <c r="K54" s="234" t="n"/>
      <c r="L54" s="234" t="n"/>
      <c r="M54" s="232" t="n"/>
      <c r="N54" s="233" t="n"/>
      <c r="O54" s="232" t="n"/>
      <c r="P54" s="234" t="n"/>
      <c r="Q54" s="234" t="n"/>
      <c r="R54" s="234" t="n"/>
      <c r="S54" s="234" t="n"/>
      <c r="T54" s="234" t="n"/>
      <c r="U54" s="234" t="n"/>
      <c r="V54" s="234" t="n"/>
      <c r="W54" s="234" t="n"/>
    </row>
    <row r="55" ht="54.95" customFormat="1" customHeight="1" s="37">
      <c r="A55" s="234" t="n"/>
      <c r="B55" s="234" t="n"/>
      <c r="C55" s="234" t="n"/>
      <c r="D55" s="234" t="n"/>
      <c r="E55" s="234" t="n"/>
      <c r="F55" s="234" t="n"/>
      <c r="G55" s="234" t="n"/>
      <c r="H55" s="234" t="n"/>
      <c r="I55" s="234" t="n"/>
      <c r="J55" s="234" t="n"/>
      <c r="K55" s="234" t="n"/>
      <c r="L55" s="234" t="n"/>
      <c r="M55" s="232" t="n"/>
      <c r="N55" s="233" t="n"/>
      <c r="O55" s="232" t="n"/>
      <c r="P55" s="234" t="n"/>
      <c r="Q55" s="234" t="n"/>
      <c r="R55" s="234" t="n"/>
      <c r="S55" s="234" t="n"/>
      <c r="T55" s="234" t="n"/>
      <c r="U55" s="234" t="n"/>
      <c r="V55" s="234" t="n"/>
      <c r="W55" s="234" t="n"/>
    </row>
    <row r="56" ht="54.95" customFormat="1" customHeight="1" s="37">
      <c r="A56" s="234" t="n"/>
      <c r="B56" s="234" t="n"/>
      <c r="C56" s="234" t="n"/>
      <c r="D56" s="234" t="n"/>
      <c r="E56" s="234" t="n"/>
      <c r="F56" s="234" t="n"/>
      <c r="G56" s="234" t="n"/>
      <c r="H56" s="234" t="n"/>
      <c r="I56" s="234" t="n"/>
      <c r="J56" s="234" t="n"/>
      <c r="K56" s="234" t="n"/>
      <c r="L56" s="234" t="n"/>
      <c r="M56" s="232" t="n"/>
      <c r="N56" s="233" t="n"/>
      <c r="O56" s="232" t="n"/>
      <c r="P56" s="234" t="n"/>
      <c r="Q56" s="234" t="n"/>
      <c r="R56" s="234" t="n"/>
      <c r="S56" s="234" t="n"/>
      <c r="T56" s="234" t="n"/>
      <c r="U56" s="234" t="n"/>
      <c r="V56" s="234" t="n"/>
      <c r="W56" s="234" t="n"/>
    </row>
    <row r="57" ht="54.95" customFormat="1" customHeight="1" s="37">
      <c r="A57" s="234" t="n"/>
      <c r="B57" s="234" t="n"/>
      <c r="C57" s="234" t="n"/>
      <c r="D57" s="234" t="n"/>
      <c r="E57" s="234" t="n"/>
      <c r="F57" s="234" t="n"/>
      <c r="G57" s="234" t="n"/>
      <c r="H57" s="234" t="n"/>
      <c r="I57" s="234" t="n"/>
      <c r="J57" s="234" t="n"/>
      <c r="K57" s="234" t="n"/>
      <c r="L57" s="234" t="n"/>
      <c r="M57" s="232" t="n"/>
      <c r="N57" s="233" t="n"/>
      <c r="O57" s="232" t="n"/>
      <c r="P57" s="234" t="n"/>
      <c r="Q57" s="234" t="n"/>
      <c r="R57" s="234" t="n"/>
      <c r="S57" s="234" t="n"/>
      <c r="T57" s="234" t="n"/>
      <c r="U57" s="234" t="n"/>
      <c r="V57" s="234" t="n"/>
      <c r="W57" s="234" t="n"/>
    </row>
    <row r="58" ht="54.95" customFormat="1" customHeight="1" s="37">
      <c r="A58" s="234" t="n"/>
      <c r="B58" s="234" t="n"/>
      <c r="C58" s="234" t="n"/>
      <c r="D58" s="234" t="n"/>
      <c r="E58" s="234" t="n"/>
      <c r="F58" s="234" t="n"/>
      <c r="G58" s="234" t="n"/>
      <c r="H58" s="234" t="n"/>
      <c r="I58" s="234" t="n"/>
      <c r="J58" s="234" t="n"/>
      <c r="K58" s="234" t="n"/>
      <c r="L58" s="234" t="n"/>
      <c r="M58" s="232" t="n"/>
      <c r="N58" s="233" t="n"/>
      <c r="O58" s="232" t="n"/>
      <c r="P58" s="234" t="n"/>
      <c r="Q58" s="234" t="n"/>
      <c r="R58" s="234" t="n"/>
      <c r="S58" s="234" t="n"/>
      <c r="T58" s="234" t="n"/>
      <c r="U58" s="234" t="n"/>
      <c r="V58" s="234" t="n"/>
      <c r="W58" s="234" t="n"/>
    </row>
    <row r="59" ht="54.95" customFormat="1" customHeight="1" s="37">
      <c r="A59" s="234" t="n"/>
      <c r="B59" s="234" t="n"/>
      <c r="C59" s="234" t="n"/>
      <c r="D59" s="234" t="n"/>
      <c r="E59" s="234" t="n"/>
      <c r="F59" s="234" t="n"/>
      <c r="G59" s="234" t="n"/>
      <c r="H59" s="234" t="n"/>
      <c r="I59" s="234" t="n"/>
      <c r="J59" s="234" t="n"/>
      <c r="K59" s="234" t="n"/>
      <c r="L59" s="234" t="n"/>
      <c r="M59" s="232" t="n"/>
      <c r="N59" s="233" t="n"/>
      <c r="O59" s="232" t="n"/>
      <c r="P59" s="234" t="n"/>
      <c r="Q59" s="234" t="n"/>
      <c r="R59" s="234" t="n"/>
      <c r="S59" s="234" t="n"/>
      <c r="T59" s="234" t="n"/>
      <c r="U59" s="234" t="n"/>
      <c r="V59" s="234" t="n"/>
      <c r="W59" s="234" t="n"/>
    </row>
    <row r="60" ht="54.95" customFormat="1" customHeight="1" s="37">
      <c r="A60" s="234" t="n"/>
      <c r="B60" s="234" t="n"/>
      <c r="C60" s="234" t="n"/>
      <c r="D60" s="234" t="n"/>
      <c r="E60" s="234" t="n"/>
      <c r="F60" s="234" t="n"/>
      <c r="G60" s="234" t="n"/>
      <c r="H60" s="234" t="n"/>
      <c r="I60" s="234" t="n"/>
      <c r="J60" s="234" t="n"/>
      <c r="K60" s="234" t="n"/>
      <c r="L60" s="234" t="n"/>
      <c r="M60" s="232" t="n"/>
      <c r="N60" s="233" t="n"/>
      <c r="O60" s="232" t="n"/>
      <c r="P60" s="234" t="n"/>
      <c r="Q60" s="234" t="n"/>
      <c r="R60" s="234" t="n"/>
      <c r="S60" s="234" t="n"/>
      <c r="T60" s="234" t="n"/>
      <c r="U60" s="234" t="n"/>
      <c r="V60" s="234" t="n"/>
      <c r="W60" s="234" t="n"/>
    </row>
    <row r="61" ht="54.95" customFormat="1" customHeight="1" s="37">
      <c r="A61" s="234" t="n"/>
      <c r="B61" s="234" t="n"/>
      <c r="C61" s="234" t="n"/>
      <c r="D61" s="234" t="n"/>
      <c r="E61" s="234" t="n"/>
      <c r="F61" s="234" t="n"/>
      <c r="G61" s="234" t="n"/>
      <c r="H61" s="234" t="n"/>
      <c r="I61" s="234" t="n"/>
      <c r="J61" s="234" t="n"/>
      <c r="K61" s="234" t="n"/>
      <c r="L61" s="234" t="n"/>
      <c r="M61" s="232" t="n"/>
      <c r="N61" s="233" t="n"/>
      <c r="O61" s="232" t="n"/>
      <c r="P61" s="234" t="n"/>
      <c r="Q61" s="234" t="n"/>
      <c r="R61" s="234" t="n"/>
      <c r="S61" s="234" t="n"/>
      <c r="T61" s="234" t="n"/>
      <c r="U61" s="234" t="n"/>
      <c r="V61" s="234" t="n"/>
      <c r="W61" s="234" t="n"/>
    </row>
    <row r="62" ht="54.95" customFormat="1" customHeight="1" s="37">
      <c r="A62" s="234" t="n"/>
      <c r="B62" s="234" t="n"/>
      <c r="C62" s="234" t="n"/>
      <c r="D62" s="234" t="n"/>
      <c r="E62" s="234" t="n"/>
      <c r="F62" s="234" t="n"/>
      <c r="G62" s="234" t="n"/>
      <c r="H62" s="234" t="n"/>
      <c r="I62" s="234" t="n"/>
      <c r="J62" s="234" t="n"/>
      <c r="K62" s="234" t="n"/>
      <c r="L62" s="234" t="n"/>
      <c r="M62" s="232" t="n"/>
      <c r="N62" s="233" t="n"/>
      <c r="O62" s="232" t="n"/>
      <c r="P62" s="234" t="n"/>
      <c r="Q62" s="234" t="n"/>
      <c r="R62" s="234" t="n"/>
      <c r="S62" s="234" t="n"/>
      <c r="T62" s="234" t="n"/>
      <c r="U62" s="234" t="n"/>
      <c r="V62" s="234" t="n"/>
      <c r="W62" s="234" t="n"/>
    </row>
    <row r="63" ht="54.95" customFormat="1" customHeight="1" s="37">
      <c r="A63" s="234" t="n"/>
      <c r="B63" s="234" t="n"/>
      <c r="C63" s="234" t="n"/>
      <c r="D63" s="234" t="n"/>
      <c r="E63" s="234" t="n"/>
      <c r="F63" s="234" t="n"/>
      <c r="G63" s="234" t="n"/>
      <c r="H63" s="234" t="n"/>
      <c r="I63" s="234" t="n"/>
      <c r="J63" s="234" t="n"/>
      <c r="K63" s="234" t="n"/>
      <c r="L63" s="234" t="n"/>
      <c r="M63" s="232" t="n"/>
      <c r="N63" s="233" t="n"/>
      <c r="O63" s="232" t="n"/>
      <c r="P63" s="234" t="n"/>
      <c r="Q63" s="234" t="n"/>
      <c r="R63" s="234" t="n"/>
      <c r="S63" s="234" t="n"/>
      <c r="T63" s="234" t="n"/>
      <c r="U63" s="234" t="n"/>
      <c r="V63" s="234" t="n"/>
      <c r="W63" s="234" t="n"/>
    </row>
    <row r="64" ht="54.95" customFormat="1" customHeight="1" s="37">
      <c r="A64" s="234" t="n"/>
      <c r="B64" s="234" t="n"/>
      <c r="C64" s="234" t="n"/>
      <c r="D64" s="234" t="n"/>
      <c r="E64" s="234" t="n"/>
      <c r="F64" s="234" t="n"/>
      <c r="G64" s="234" t="n"/>
      <c r="H64" s="234" t="n"/>
      <c r="I64" s="234" t="n"/>
      <c r="J64" s="234" t="n"/>
      <c r="K64" s="234" t="n"/>
      <c r="L64" s="234" t="n"/>
      <c r="M64" s="232" t="n"/>
      <c r="N64" s="233" t="n"/>
      <c r="O64" s="232" t="n"/>
      <c r="P64" s="234" t="n"/>
      <c r="Q64" s="234" t="n"/>
      <c r="R64" s="234" t="n"/>
      <c r="S64" s="234" t="n"/>
      <c r="T64" s="234" t="n"/>
      <c r="U64" s="234" t="n"/>
      <c r="V64" s="234" t="n"/>
      <c r="W64" s="234" t="n"/>
    </row>
    <row r="65" ht="54.95" customFormat="1" customHeight="1" s="37">
      <c r="A65" s="234" t="n"/>
      <c r="B65" s="234" t="n"/>
      <c r="C65" s="234" t="n"/>
      <c r="D65" s="234" t="n"/>
      <c r="E65" s="234" t="n"/>
      <c r="F65" s="234" t="n"/>
      <c r="G65" s="234" t="n"/>
      <c r="H65" s="234" t="n"/>
      <c r="I65" s="234" t="n"/>
      <c r="J65" s="234" t="n"/>
      <c r="K65" s="234" t="n"/>
      <c r="L65" s="234" t="n"/>
      <c r="M65" s="232" t="n"/>
      <c r="N65" s="233" t="n"/>
      <c r="O65" s="232" t="n"/>
      <c r="P65" s="234" t="n"/>
      <c r="Q65" s="234" t="n"/>
      <c r="R65" s="234" t="n"/>
      <c r="S65" s="234" t="n"/>
      <c r="T65" s="234" t="n"/>
      <c r="U65" s="234" t="n"/>
      <c r="V65" s="234" t="n"/>
      <c r="W65" s="234" t="n"/>
    </row>
    <row r="66" ht="54.95" customFormat="1" customHeight="1" s="37">
      <c r="A66" s="234" t="n"/>
      <c r="B66" s="234" t="n"/>
      <c r="C66" s="234" t="n"/>
      <c r="D66" s="234" t="n"/>
      <c r="E66" s="234" t="n"/>
      <c r="F66" s="234" t="n"/>
      <c r="G66" s="234" t="n"/>
      <c r="H66" s="234" t="n"/>
      <c r="I66" s="234" t="n"/>
      <c r="J66" s="234" t="n"/>
      <c r="K66" s="234" t="n"/>
      <c r="L66" s="234" t="n"/>
      <c r="M66" s="232" t="n"/>
      <c r="N66" s="233" t="n"/>
      <c r="O66" s="232" t="n"/>
      <c r="P66" s="234" t="n"/>
      <c r="Q66" s="234" t="n"/>
      <c r="R66" s="234" t="n"/>
      <c r="S66" s="234" t="n"/>
      <c r="T66" s="234" t="n"/>
      <c r="U66" s="234" t="n"/>
      <c r="V66" s="234" t="n"/>
      <c r="W66" s="234" t="n"/>
    </row>
    <row r="67" ht="54.95" customFormat="1" customHeight="1" s="37">
      <c r="A67" s="234" t="n"/>
      <c r="B67" s="234" t="n"/>
      <c r="C67" s="234" t="n"/>
      <c r="D67" s="234" t="n"/>
      <c r="E67" s="234" t="n"/>
      <c r="F67" s="234" t="n"/>
      <c r="G67" s="234" t="n"/>
      <c r="H67" s="234" t="n"/>
      <c r="I67" s="234" t="n"/>
      <c r="J67" s="234" t="n"/>
      <c r="K67" s="234" t="n"/>
      <c r="L67" s="234" t="n"/>
      <c r="M67" s="232" t="n"/>
      <c r="N67" s="233" t="n"/>
      <c r="O67" s="232" t="n"/>
      <c r="P67" s="234" t="n"/>
      <c r="Q67" s="234" t="n"/>
      <c r="R67" s="234" t="n"/>
      <c r="S67" s="234" t="n"/>
      <c r="T67" s="234" t="n"/>
      <c r="U67" s="234" t="n"/>
      <c r="V67" s="234" t="n"/>
      <c r="W67" s="234" t="n"/>
    </row>
    <row r="68" ht="54.95" customFormat="1" customHeight="1" s="37">
      <c r="A68" s="234" t="n"/>
      <c r="B68" s="234" t="n"/>
      <c r="C68" s="234" t="n"/>
      <c r="D68" s="234" t="n"/>
      <c r="E68" s="234" t="n"/>
      <c r="F68" s="234" t="n"/>
      <c r="G68" s="234" t="n"/>
      <c r="H68" s="234" t="n"/>
      <c r="I68" s="234" t="n"/>
      <c r="J68" s="234" t="n"/>
      <c r="K68" s="234" t="n"/>
      <c r="L68" s="234" t="n"/>
      <c r="M68" s="232" t="n"/>
      <c r="N68" s="233" t="n"/>
      <c r="O68" s="232" t="n"/>
      <c r="P68" s="234" t="n"/>
      <c r="Q68" s="234" t="n"/>
      <c r="R68" s="234" t="n"/>
      <c r="S68" s="234" t="n"/>
      <c r="T68" s="234" t="n"/>
      <c r="U68" s="234" t="n"/>
      <c r="V68" s="234" t="n"/>
      <c r="W68" s="234" t="n"/>
    </row>
    <row r="69" ht="54.95" customFormat="1" customHeight="1" s="37">
      <c r="A69" s="234" t="n"/>
      <c r="B69" s="234" t="n"/>
      <c r="C69" s="234" t="n"/>
      <c r="D69" s="234" t="n"/>
      <c r="E69" s="234" t="n"/>
      <c r="F69" s="234" t="n"/>
      <c r="G69" s="234" t="n"/>
      <c r="H69" s="234" t="n"/>
      <c r="I69" s="234" t="n"/>
      <c r="J69" s="234" t="n"/>
      <c r="K69" s="234" t="n"/>
      <c r="L69" s="234" t="n"/>
      <c r="M69" s="232" t="n"/>
      <c r="N69" s="233" t="n"/>
      <c r="O69" s="232" t="n"/>
      <c r="P69" s="234" t="n"/>
      <c r="Q69" s="234" t="n"/>
      <c r="R69" s="234" t="n"/>
      <c r="S69" s="234" t="n"/>
      <c r="T69" s="234" t="n"/>
      <c r="U69" s="234" t="n"/>
      <c r="V69" s="234" t="n"/>
      <c r="W69" s="234" t="n"/>
    </row>
    <row r="70" ht="54.95" customFormat="1" customHeight="1" s="37">
      <c r="A70" s="234" t="n"/>
      <c r="B70" s="234" t="n"/>
      <c r="C70" s="234" t="n"/>
      <c r="D70" s="234" t="n"/>
      <c r="E70" s="234" t="n"/>
      <c r="F70" s="234" t="n"/>
      <c r="G70" s="234" t="n"/>
      <c r="H70" s="234" t="n"/>
      <c r="I70" s="234" t="n"/>
      <c r="J70" s="234" t="n"/>
      <c r="K70" s="234" t="n"/>
      <c r="L70" s="234" t="n"/>
      <c r="M70" s="232" t="n"/>
      <c r="N70" s="233" t="n"/>
      <c r="O70" s="232" t="n"/>
      <c r="P70" s="234" t="n"/>
      <c r="Q70" s="234" t="n"/>
      <c r="R70" s="234" t="n"/>
      <c r="S70" s="234" t="n"/>
      <c r="T70" s="234" t="n"/>
      <c r="U70" s="234" t="n"/>
      <c r="V70" s="234" t="n"/>
      <c r="W70" s="234" t="n"/>
    </row>
    <row r="71" ht="54.95" customFormat="1" customHeight="1" s="37">
      <c r="A71" s="234" t="n"/>
      <c r="B71" s="234" t="n"/>
      <c r="C71" s="234" t="n"/>
      <c r="D71" s="234" t="n"/>
      <c r="E71" s="234" t="n"/>
      <c r="F71" s="234" t="n"/>
      <c r="G71" s="234" t="n"/>
      <c r="H71" s="234" t="n"/>
      <c r="I71" s="234" t="n"/>
      <c r="J71" s="234" t="n"/>
      <c r="K71" s="234" t="n"/>
      <c r="L71" s="234" t="n"/>
      <c r="M71" s="232" t="n"/>
      <c r="N71" s="233" t="n"/>
      <c r="O71" s="232" t="n"/>
      <c r="P71" s="234" t="n"/>
      <c r="Q71" s="234" t="n"/>
      <c r="R71" s="234" t="n"/>
      <c r="S71" s="234" t="n"/>
      <c r="T71" s="234" t="n"/>
      <c r="U71" s="234" t="n"/>
      <c r="V71" s="234" t="n"/>
      <c r="W71" s="234" t="n"/>
    </row>
    <row r="72" ht="54.95" customFormat="1" customHeight="1" s="37">
      <c r="A72" s="234" t="n"/>
      <c r="B72" s="234" t="n"/>
      <c r="C72" s="234" t="n"/>
      <c r="D72" s="234" t="n"/>
      <c r="E72" s="234" t="n"/>
      <c r="F72" s="234" t="n"/>
      <c r="G72" s="234" t="n"/>
      <c r="H72" s="234" t="n"/>
      <c r="I72" s="234" t="n"/>
      <c r="J72" s="234" t="n"/>
      <c r="K72" s="234" t="n"/>
      <c r="L72" s="234" t="n"/>
      <c r="M72" s="232" t="n"/>
      <c r="N72" s="233" t="n"/>
      <c r="O72" s="232" t="n"/>
      <c r="P72" s="234" t="n"/>
      <c r="Q72" s="234" t="n"/>
      <c r="R72" s="234" t="n"/>
      <c r="S72" s="234" t="n"/>
      <c r="T72" s="234" t="n"/>
      <c r="U72" s="234" t="n"/>
      <c r="V72" s="234" t="n"/>
      <c r="W72" s="234" t="n"/>
    </row>
    <row r="73" ht="54.95" customFormat="1" customHeight="1" s="37">
      <c r="A73" s="234" t="n"/>
      <c r="B73" s="234" t="n"/>
      <c r="C73" s="234" t="n"/>
      <c r="D73" s="234" t="n"/>
      <c r="E73" s="234" t="n"/>
      <c r="F73" s="234" t="n"/>
      <c r="G73" s="234" t="n"/>
      <c r="H73" s="234" t="n"/>
      <c r="I73" s="234" t="n"/>
      <c r="J73" s="234" t="n"/>
      <c r="K73" s="234" t="n"/>
      <c r="L73" s="234" t="n"/>
      <c r="M73" s="232" t="n"/>
      <c r="N73" s="233" t="n"/>
      <c r="O73" s="232" t="n"/>
      <c r="P73" s="234" t="n"/>
      <c r="Q73" s="234" t="n"/>
      <c r="R73" s="234" t="n"/>
      <c r="S73" s="234" t="n"/>
      <c r="T73" s="234" t="n"/>
      <c r="U73" s="234" t="n"/>
      <c r="V73" s="234" t="n"/>
      <c r="W73" s="234" t="n"/>
    </row>
    <row r="74" ht="54.95" customFormat="1" customHeight="1" s="37">
      <c r="A74" s="234" t="n"/>
      <c r="B74" s="234" t="n"/>
      <c r="C74" s="234" t="n"/>
      <c r="D74" s="234" t="n"/>
      <c r="E74" s="234" t="n"/>
      <c r="F74" s="234" t="n"/>
      <c r="G74" s="234" t="n"/>
      <c r="H74" s="234" t="n"/>
      <c r="I74" s="234" t="n"/>
      <c r="J74" s="234" t="n"/>
      <c r="K74" s="234" t="n"/>
      <c r="L74" s="234" t="n"/>
      <c r="M74" s="232" t="n"/>
      <c r="N74" s="233" t="n"/>
      <c r="O74" s="232" t="n"/>
      <c r="P74" s="234" t="n"/>
      <c r="Q74" s="234" t="n"/>
      <c r="R74" s="234" t="n"/>
      <c r="S74" s="234" t="n"/>
      <c r="T74" s="234" t="n"/>
      <c r="U74" s="234" t="n"/>
      <c r="V74" s="234" t="n"/>
      <c r="W74" s="234" t="n"/>
    </row>
    <row r="75" ht="54.95" customFormat="1" customHeight="1" s="37">
      <c r="A75" s="234" t="n"/>
      <c r="B75" s="234" t="n"/>
      <c r="C75" s="234" t="n"/>
      <c r="D75" s="234" t="n"/>
      <c r="E75" s="234" t="n"/>
      <c r="F75" s="234" t="n"/>
      <c r="G75" s="234" t="n"/>
      <c r="H75" s="234" t="n"/>
      <c r="I75" s="234" t="n"/>
      <c r="J75" s="234" t="n"/>
      <c r="K75" s="234" t="n"/>
      <c r="L75" s="234" t="n"/>
      <c r="M75" s="232" t="n"/>
      <c r="N75" s="233" t="n"/>
      <c r="O75" s="232" t="n"/>
      <c r="P75" s="234" t="n"/>
      <c r="Q75" s="234" t="n"/>
      <c r="R75" s="234" t="n"/>
      <c r="S75" s="234" t="n"/>
      <c r="T75" s="234" t="n"/>
      <c r="U75" s="234" t="n"/>
      <c r="V75" s="234" t="n"/>
      <c r="W75" s="234" t="n"/>
    </row>
    <row r="76" ht="54.95" customFormat="1" customHeight="1" s="37">
      <c r="A76" s="234" t="n"/>
      <c r="B76" s="234" t="n"/>
      <c r="C76" s="234" t="n"/>
      <c r="D76" s="234" t="n"/>
      <c r="E76" s="234" t="n"/>
      <c r="F76" s="234" t="n"/>
      <c r="G76" s="234" t="n"/>
      <c r="H76" s="234" t="n"/>
      <c r="I76" s="234" t="n"/>
      <c r="J76" s="234" t="n"/>
      <c r="K76" s="234" t="n"/>
      <c r="L76" s="234" t="n"/>
      <c r="M76" s="232" t="n"/>
      <c r="N76" s="233" t="n"/>
      <c r="O76" s="232" t="n"/>
      <c r="P76" s="234" t="n"/>
      <c r="Q76" s="234" t="n"/>
      <c r="R76" s="234" t="n"/>
      <c r="S76" s="234" t="n"/>
      <c r="T76" s="234" t="n"/>
      <c r="U76" s="234" t="n"/>
      <c r="V76" s="234" t="n"/>
      <c r="W76" s="234" t="n"/>
    </row>
    <row r="77" ht="54.95" customFormat="1" customHeight="1" s="37">
      <c r="A77" s="232" t="n"/>
      <c r="B77" s="232" t="n"/>
      <c r="C77" s="232" t="n"/>
      <c r="D77" s="233" t="n"/>
      <c r="E77" s="232" t="n"/>
      <c r="F77" s="233" t="n"/>
      <c r="G77" s="233" t="n"/>
      <c r="H77" s="233" t="n"/>
      <c r="I77" s="232" t="n"/>
      <c r="J77" s="233" t="n"/>
      <c r="K77" s="232" t="n"/>
      <c r="L77" s="232" t="n"/>
      <c r="M77" s="232" t="n"/>
      <c r="N77" s="233" t="n"/>
      <c r="O77" s="232" t="n"/>
      <c r="P77" s="233" t="n"/>
      <c r="Q77" s="233" t="n"/>
      <c r="R77" s="233" t="n"/>
      <c r="S77" s="232" t="n"/>
      <c r="T77" s="233" t="n"/>
      <c r="U77" s="233" t="n"/>
      <c r="V77" s="233" t="n"/>
      <c r="W77" s="232" t="n"/>
    </row>
    <row r="78" ht="54.95" customFormat="1" customHeight="1" s="37">
      <c r="A78" s="232" t="n"/>
      <c r="B78" s="232" t="n"/>
      <c r="C78" s="232" t="n"/>
      <c r="D78" s="233" t="n"/>
      <c r="E78" s="232" t="n"/>
      <c r="F78" s="233" t="n"/>
      <c r="G78" s="233" t="n"/>
      <c r="H78" s="233" t="n"/>
      <c r="I78" s="232" t="n"/>
      <c r="J78" s="233" t="n"/>
      <c r="K78" s="232" t="n"/>
      <c r="L78" s="232" t="n"/>
      <c r="M78" s="232" t="n"/>
      <c r="N78" s="233" t="n"/>
      <c r="O78" s="232" t="n"/>
      <c r="P78" s="233" t="n"/>
      <c r="Q78" s="233" t="n"/>
      <c r="R78" s="233" t="n"/>
      <c r="S78" s="232" t="n"/>
      <c r="T78" s="233" t="n"/>
      <c r="U78" s="233" t="n"/>
      <c r="V78" s="233" t="n"/>
      <c r="W78" s="232" t="n"/>
    </row>
    <row r="79" ht="54.95" customFormat="1" customHeight="1" s="37">
      <c r="A79" s="232" t="n"/>
      <c r="B79" s="232" t="n"/>
      <c r="C79" s="232" t="n"/>
      <c r="D79" s="233" t="n"/>
      <c r="E79" s="232" t="n"/>
      <c r="F79" s="233" t="n"/>
      <c r="G79" s="233" t="n"/>
      <c r="H79" s="233" t="n"/>
      <c r="I79" s="232" t="n"/>
      <c r="J79" s="233" t="n"/>
      <c r="K79" s="232" t="n"/>
      <c r="L79" s="232" t="n"/>
      <c r="M79" s="232" t="n"/>
      <c r="N79" s="233" t="n"/>
      <c r="O79" s="232" t="n"/>
      <c r="P79" s="233" t="n"/>
      <c r="Q79" s="233" t="n"/>
      <c r="R79" s="233" t="n"/>
      <c r="S79" s="232" t="n"/>
      <c r="T79" s="233" t="n"/>
      <c r="U79" s="233" t="n"/>
      <c r="V79" s="233" t="n"/>
      <c r="W79" s="232" t="n"/>
    </row>
    <row r="80" ht="54.95" customFormat="1" customHeight="1" s="37">
      <c r="A80" s="232" t="n"/>
      <c r="B80" s="232" t="n"/>
      <c r="C80" s="232" t="n"/>
      <c r="D80" s="233" t="n"/>
      <c r="E80" s="232" t="n"/>
      <c r="F80" s="233" t="n"/>
      <c r="G80" s="233" t="n"/>
      <c r="H80" s="233" t="n"/>
      <c r="I80" s="232" t="n"/>
      <c r="J80" s="233" t="n"/>
      <c r="K80" s="232" t="n"/>
      <c r="L80" s="232" t="n"/>
      <c r="M80" s="232" t="n"/>
      <c r="N80" s="233" t="n"/>
      <c r="O80" s="232" t="n"/>
      <c r="P80" s="233" t="n"/>
      <c r="Q80" s="233" t="n"/>
      <c r="R80" s="233" t="n"/>
      <c r="S80" s="232" t="n"/>
      <c r="T80" s="233" t="n"/>
      <c r="U80" s="233" t="n"/>
      <c r="V80" s="233" t="n"/>
      <c r="W80" s="232" t="n"/>
    </row>
    <row r="81" ht="54.95" customFormat="1" customHeight="1" s="37">
      <c r="A81" s="232" t="n"/>
      <c r="B81" s="232" t="n"/>
      <c r="C81" s="232" t="n"/>
      <c r="D81" s="233" t="n"/>
      <c r="E81" s="232" t="n"/>
      <c r="F81" s="233" t="n"/>
      <c r="G81" s="233" t="n"/>
      <c r="H81" s="233" t="n"/>
      <c r="I81" s="232" t="n"/>
      <c r="J81" s="233" t="n"/>
      <c r="K81" s="232" t="n"/>
      <c r="L81" s="232" t="n"/>
      <c r="M81" s="232" t="n"/>
      <c r="N81" s="233" t="n"/>
      <c r="O81" s="232" t="n"/>
      <c r="P81" s="233" t="n"/>
      <c r="Q81" s="233" t="n"/>
      <c r="R81" s="233" t="n"/>
      <c r="S81" s="232" t="n"/>
      <c r="T81" s="233" t="n"/>
      <c r="U81" s="233" t="n"/>
      <c r="V81" s="233" t="n"/>
      <c r="W81" s="232" t="n"/>
    </row>
    <row r="82" ht="54.95" customFormat="1" customHeight="1" s="37">
      <c r="A82" s="232" t="n"/>
      <c r="B82" s="232" t="n"/>
      <c r="C82" s="232" t="n"/>
      <c r="D82" s="233" t="n"/>
      <c r="E82" s="232" t="n"/>
      <c r="F82" s="233" t="n"/>
      <c r="G82" s="233" t="n"/>
      <c r="H82" s="233" t="n"/>
      <c r="I82" s="232" t="n"/>
      <c r="J82" s="233" t="n"/>
      <c r="K82" s="232" t="n"/>
      <c r="L82" s="232" t="n"/>
      <c r="M82" s="232" t="n"/>
      <c r="N82" s="233" t="n"/>
      <c r="O82" s="232" t="n"/>
      <c r="P82" s="233" t="n"/>
      <c r="Q82" s="233" t="n"/>
      <c r="R82" s="233" t="n"/>
      <c r="S82" s="232" t="n"/>
      <c r="T82" s="233" t="n"/>
      <c r="U82" s="233" t="n"/>
      <c r="V82" s="233" t="n"/>
      <c r="W82" s="232" t="n"/>
    </row>
    <row r="83" ht="54.95" customFormat="1" customHeight="1" s="37">
      <c r="A83" s="232" t="n"/>
      <c r="B83" s="232" t="n"/>
      <c r="C83" s="232" t="n"/>
      <c r="D83" s="233" t="n"/>
      <c r="E83" s="232" t="n"/>
      <c r="F83" s="233" t="n"/>
      <c r="G83" s="233" t="n"/>
      <c r="H83" s="233" t="n"/>
      <c r="I83" s="232" t="n"/>
      <c r="J83" s="233" t="n"/>
      <c r="K83" s="232" t="n"/>
      <c r="L83" s="232" t="n"/>
      <c r="M83" s="232" t="n"/>
      <c r="N83" s="233" t="n"/>
      <c r="O83" s="232" t="n"/>
      <c r="P83" s="233" t="n"/>
      <c r="Q83" s="233" t="n"/>
      <c r="R83" s="233" t="n"/>
      <c r="S83" s="232" t="n"/>
      <c r="T83" s="233" t="n"/>
      <c r="U83" s="233" t="n"/>
      <c r="V83" s="233" t="n"/>
      <c r="W83" s="232" t="n"/>
    </row>
    <row r="84" ht="54.95" customFormat="1" customHeight="1" s="37">
      <c r="A84" s="232" t="n"/>
      <c r="B84" s="232" t="n"/>
      <c r="C84" s="232" t="n"/>
      <c r="D84" s="233" t="n"/>
      <c r="E84" s="232" t="n"/>
      <c r="F84" s="233" t="n"/>
      <c r="G84" s="233" t="n"/>
      <c r="H84" s="233" t="n"/>
      <c r="I84" s="232" t="n"/>
      <c r="J84" s="233" t="n"/>
      <c r="K84" s="232" t="n"/>
      <c r="L84" s="232" t="n"/>
      <c r="M84" s="232" t="n"/>
      <c r="N84" s="233" t="n"/>
      <c r="O84" s="232" t="n"/>
      <c r="P84" s="233" t="n"/>
      <c r="Q84" s="233" t="n"/>
      <c r="R84" s="233" t="n"/>
      <c r="S84" s="232" t="n"/>
      <c r="T84" s="233" t="n"/>
      <c r="U84" s="233" t="n"/>
      <c r="V84" s="233" t="n"/>
      <c r="W84" s="232" t="n"/>
    </row>
    <row r="85" ht="54.95" customFormat="1" customHeight="1" s="37">
      <c r="A85" s="232" t="n"/>
      <c r="B85" s="232" t="n"/>
      <c r="C85" s="232" t="n"/>
      <c r="D85" s="233" t="n"/>
      <c r="E85" s="232" t="n"/>
      <c r="F85" s="233" t="n"/>
      <c r="G85" s="233" t="n"/>
      <c r="H85" s="233" t="n"/>
      <c r="I85" s="232" t="n"/>
      <c r="J85" s="233" t="n"/>
      <c r="K85" s="232" t="n"/>
      <c r="L85" s="232" t="n"/>
      <c r="M85" s="232" t="n"/>
      <c r="N85" s="233" t="n"/>
      <c r="O85" s="232" t="n"/>
      <c r="P85" s="233" t="n"/>
      <c r="Q85" s="233" t="n"/>
      <c r="R85" s="233" t="n"/>
      <c r="S85" s="232" t="n"/>
      <c r="T85" s="233" t="n"/>
      <c r="U85" s="233" t="n"/>
      <c r="V85" s="233" t="n"/>
      <c r="W85" s="232" t="n"/>
    </row>
    <row r="86" ht="54.95" customFormat="1" customHeight="1" s="37">
      <c r="A86" s="232" t="n"/>
      <c r="B86" s="232" t="n"/>
      <c r="C86" s="232" t="n"/>
      <c r="D86" s="233" t="n"/>
      <c r="E86" s="232" t="n"/>
      <c r="F86" s="233" t="n"/>
      <c r="G86" s="233" t="n"/>
      <c r="H86" s="233" t="n"/>
      <c r="I86" s="232" t="n"/>
      <c r="J86" s="233" t="n"/>
      <c r="K86" s="232" t="n"/>
      <c r="L86" s="232" t="n"/>
      <c r="M86" s="232" t="n"/>
      <c r="N86" s="233" t="n"/>
      <c r="O86" s="232" t="n"/>
      <c r="P86" s="233" t="n"/>
      <c r="Q86" s="233" t="n"/>
      <c r="R86" s="233" t="n"/>
      <c r="S86" s="232" t="n"/>
      <c r="T86" s="233" t="n"/>
      <c r="U86" s="233" t="n"/>
      <c r="V86" s="233" t="n"/>
      <c r="W86" s="232" t="n"/>
    </row>
    <row r="87" ht="54.95" customFormat="1" customHeight="1" s="37">
      <c r="A87" s="232" t="n"/>
      <c r="B87" s="232" t="n"/>
      <c r="C87" s="232" t="n"/>
      <c r="D87" s="233" t="n"/>
      <c r="E87" s="232" t="n"/>
      <c r="F87" s="233" t="n"/>
      <c r="G87" s="233" t="n"/>
      <c r="H87" s="233" t="n"/>
      <c r="I87" s="232" t="n"/>
      <c r="J87" s="233" t="n"/>
      <c r="K87" s="232" t="n"/>
      <c r="L87" s="232" t="n"/>
      <c r="M87" s="232" t="n"/>
      <c r="N87" s="233" t="n"/>
      <c r="O87" s="232" t="n"/>
      <c r="P87" s="233" t="n"/>
      <c r="Q87" s="233" t="n"/>
      <c r="R87" s="233" t="n"/>
      <c r="S87" s="232" t="n"/>
      <c r="T87" s="233" t="n"/>
      <c r="U87" s="233" t="n"/>
      <c r="V87" s="233" t="n"/>
      <c r="W87" s="232" t="n"/>
    </row>
    <row r="88" ht="54.95" customFormat="1" customHeight="1" s="37">
      <c r="A88" s="232" t="n"/>
      <c r="B88" s="232" t="n"/>
      <c r="C88" s="232" t="n"/>
      <c r="D88" s="233" t="n"/>
      <c r="E88" s="232" t="n"/>
      <c r="F88" s="233" t="n"/>
      <c r="G88" s="233" t="n"/>
      <c r="H88" s="233" t="n"/>
      <c r="I88" s="232" t="n"/>
      <c r="J88" s="233" t="n"/>
      <c r="K88" s="232" t="n"/>
      <c r="L88" s="232" t="n"/>
      <c r="M88" s="232" t="n"/>
      <c r="N88" s="233" t="n"/>
      <c r="O88" s="232" t="n"/>
      <c r="P88" s="233" t="n"/>
      <c r="Q88" s="233" t="n"/>
      <c r="R88" s="233" t="n"/>
      <c r="S88" s="232" t="n"/>
      <c r="T88" s="233" t="n"/>
      <c r="U88" s="233" t="n"/>
      <c r="V88" s="233" t="n"/>
      <c r="W88" s="232" t="n"/>
    </row>
    <row r="89" ht="54.95" customFormat="1" customHeight="1" s="37">
      <c r="A89" s="232" t="n"/>
      <c r="B89" s="232" t="n"/>
      <c r="C89" s="232" t="n"/>
      <c r="D89" s="233" t="n"/>
      <c r="E89" s="232" t="n"/>
      <c r="F89" s="233" t="n"/>
      <c r="G89" s="233" t="n"/>
      <c r="H89" s="233" t="n"/>
      <c r="I89" s="232" t="n"/>
      <c r="J89" s="233" t="n"/>
      <c r="K89" s="232" t="n"/>
      <c r="L89" s="232" t="n"/>
      <c r="M89" s="232" t="n"/>
      <c r="N89" s="233" t="n"/>
      <c r="O89" s="232" t="n"/>
      <c r="P89" s="233" t="n"/>
      <c r="Q89" s="233" t="n"/>
      <c r="R89" s="233" t="n"/>
      <c r="S89" s="232" t="n"/>
      <c r="T89" s="233" t="n"/>
      <c r="U89" s="233" t="n"/>
      <c r="V89" s="233" t="n"/>
      <c r="W89" s="232" t="n"/>
    </row>
    <row r="90" ht="54.95" customFormat="1" customHeight="1" s="37">
      <c r="A90" s="232" t="n"/>
      <c r="B90" s="232" t="n"/>
      <c r="C90" s="232" t="n"/>
      <c r="D90" s="233" t="n"/>
      <c r="E90" s="232" t="n"/>
      <c r="F90" s="233" t="n"/>
      <c r="G90" s="233" t="n"/>
      <c r="H90" s="233" t="n"/>
      <c r="I90" s="232" t="n"/>
      <c r="J90" s="233" t="n"/>
      <c r="K90" s="232" t="n"/>
      <c r="L90" s="232" t="n"/>
      <c r="M90" s="232" t="n"/>
      <c r="N90" s="233" t="n"/>
      <c r="O90" s="232" t="n"/>
      <c r="P90" s="233" t="n"/>
      <c r="Q90" s="233" t="n"/>
      <c r="R90" s="233" t="n"/>
      <c r="S90" s="232" t="n"/>
      <c r="T90" s="233" t="n"/>
      <c r="U90" s="233" t="n"/>
      <c r="V90" s="233" t="n"/>
      <c r="W90" s="232" t="n"/>
    </row>
    <row r="91" ht="54.95" customFormat="1" customHeight="1" s="37">
      <c r="A91" s="232" t="n"/>
      <c r="B91" s="232" t="n"/>
      <c r="C91" s="232" t="n"/>
      <c r="D91" s="233" t="n"/>
      <c r="E91" s="232" t="n"/>
      <c r="F91" s="233" t="n"/>
      <c r="G91" s="233" t="n"/>
      <c r="H91" s="233" t="n"/>
      <c r="I91" s="232" t="n"/>
      <c r="J91" s="233" t="n"/>
      <c r="K91" s="232" t="n"/>
      <c r="L91" s="232" t="n"/>
      <c r="M91" s="232" t="n"/>
      <c r="N91" s="233" t="n"/>
      <c r="O91" s="232" t="n"/>
      <c r="P91" s="233" t="n"/>
      <c r="Q91" s="233" t="n"/>
      <c r="R91" s="233" t="n"/>
      <c r="S91" s="232" t="n"/>
      <c r="T91" s="233" t="n"/>
      <c r="U91" s="233" t="n"/>
      <c r="V91" s="233" t="n"/>
      <c r="W91" s="232" t="n"/>
    </row>
    <row r="92" ht="54.95" customFormat="1" customHeight="1" s="37">
      <c r="A92" s="232" t="n"/>
      <c r="B92" s="232" t="n"/>
      <c r="C92" s="232" t="n"/>
      <c r="D92" s="233" t="n"/>
      <c r="E92" s="232" t="n"/>
      <c r="F92" s="233" t="n"/>
      <c r="G92" s="233" t="n"/>
      <c r="H92" s="233" t="n"/>
      <c r="I92" s="232" t="n"/>
      <c r="J92" s="233" t="n"/>
      <c r="K92" s="232" t="n"/>
      <c r="L92" s="232" t="n"/>
      <c r="M92" s="232" t="n"/>
      <c r="N92" s="233" t="n"/>
      <c r="O92" s="232" t="n"/>
      <c r="P92" s="233" t="n"/>
      <c r="Q92" s="233" t="n"/>
      <c r="R92" s="233" t="n"/>
      <c r="S92" s="232" t="n"/>
      <c r="T92" s="233" t="n"/>
      <c r="U92" s="233" t="n"/>
      <c r="V92" s="233" t="n"/>
      <c r="W92" s="232" t="n"/>
    </row>
    <row r="93" ht="54.95" customFormat="1" customHeight="1" s="37">
      <c r="A93" s="232" t="n"/>
      <c r="B93" s="232" t="n"/>
      <c r="C93" s="232" t="n"/>
      <c r="D93" s="233" t="n"/>
      <c r="E93" s="232" t="n"/>
      <c r="F93" s="233" t="n"/>
      <c r="G93" s="233" t="n"/>
      <c r="H93" s="233" t="n"/>
      <c r="I93" s="232" t="n"/>
      <c r="J93" s="233" t="n"/>
      <c r="K93" s="232" t="n"/>
      <c r="L93" s="232" t="n"/>
      <c r="M93" s="232" t="n"/>
      <c r="N93" s="233" t="n"/>
      <c r="O93" s="232" t="n"/>
      <c r="P93" s="233" t="n"/>
      <c r="Q93" s="233" t="n"/>
      <c r="R93" s="233" t="n"/>
      <c r="S93" s="232" t="n"/>
      <c r="T93" s="233" t="n"/>
      <c r="U93" s="233" t="n"/>
      <c r="V93" s="233" t="n"/>
      <c r="W93" s="232" t="n"/>
    </row>
    <row r="94" ht="54.95" customFormat="1" customHeight="1" s="37">
      <c r="A94" s="232" t="n"/>
      <c r="B94" s="232" t="n"/>
      <c r="C94" s="232" t="n"/>
      <c r="D94" s="233" t="n"/>
      <c r="E94" s="232" t="n"/>
      <c r="F94" s="233" t="n"/>
      <c r="G94" s="233" t="n"/>
      <c r="H94" s="233" t="n"/>
      <c r="I94" s="232" t="n"/>
      <c r="J94" s="233" t="n"/>
      <c r="K94" s="232" t="n"/>
      <c r="L94" s="232" t="n"/>
      <c r="M94" s="232" t="n"/>
      <c r="N94" s="233" t="n"/>
      <c r="O94" s="232" t="n"/>
      <c r="P94" s="233" t="n"/>
      <c r="Q94" s="233" t="n"/>
      <c r="R94" s="233" t="n"/>
      <c r="S94" s="232" t="n"/>
      <c r="T94" s="233" t="n"/>
      <c r="U94" s="233" t="n"/>
      <c r="V94" s="233" t="n"/>
      <c r="W94" s="232" t="n"/>
    </row>
    <row r="95" ht="54.95" customFormat="1" customHeight="1" s="37">
      <c r="A95" s="232" t="n"/>
      <c r="B95" s="232" t="n"/>
      <c r="C95" s="232" t="n"/>
      <c r="D95" s="233" t="n"/>
      <c r="E95" s="232" t="n"/>
      <c r="F95" s="233" t="n"/>
      <c r="G95" s="233" t="n"/>
      <c r="H95" s="233" t="n"/>
      <c r="I95" s="232" t="n"/>
      <c r="J95" s="233" t="n"/>
      <c r="K95" s="232" t="n"/>
      <c r="L95" s="232" t="n"/>
      <c r="M95" s="232" t="n"/>
      <c r="N95" s="233" t="n"/>
      <c r="O95" s="232" t="n"/>
      <c r="P95" s="233" t="n"/>
      <c r="Q95" s="233" t="n"/>
      <c r="R95" s="233" t="n"/>
      <c r="S95" s="232" t="n"/>
      <c r="T95" s="233" t="n"/>
      <c r="U95" s="233" t="n"/>
      <c r="V95" s="233" t="n"/>
      <c r="W95" s="232" t="n"/>
    </row>
    <row r="96" ht="54.95" customFormat="1" customHeight="1" s="37">
      <c r="A96" s="232" t="n"/>
      <c r="B96" s="232" t="n"/>
      <c r="C96" s="232" t="n"/>
      <c r="D96" s="233" t="n"/>
      <c r="E96" s="232" t="n"/>
      <c r="F96" s="233" t="n"/>
      <c r="G96" s="233" t="n"/>
      <c r="H96" s="233" t="n"/>
      <c r="I96" s="232" t="n"/>
      <c r="J96" s="233" t="n"/>
      <c r="K96" s="232" t="n"/>
      <c r="L96" s="232" t="n"/>
      <c r="M96" s="232" t="n"/>
      <c r="N96" s="233" t="n"/>
      <c r="O96" s="232" t="n"/>
      <c r="P96" s="233" t="n"/>
      <c r="Q96" s="233" t="n"/>
      <c r="R96" s="233" t="n"/>
      <c r="S96" s="232" t="n"/>
      <c r="T96" s="233" t="n"/>
      <c r="U96" s="233" t="n"/>
      <c r="V96" s="233" t="n"/>
      <c r="W96" s="232" t="n"/>
    </row>
    <row r="97" ht="54.95" customFormat="1" customHeight="1" s="37">
      <c r="A97" s="232" t="n"/>
      <c r="B97" s="232" t="n"/>
      <c r="C97" s="232" t="n"/>
      <c r="D97" s="233" t="n"/>
      <c r="E97" s="232" t="n"/>
      <c r="F97" s="233" t="n"/>
      <c r="G97" s="233" t="n"/>
      <c r="H97" s="233" t="n"/>
      <c r="I97" s="232" t="n"/>
      <c r="J97" s="233" t="n"/>
      <c r="K97" s="232" t="n"/>
      <c r="L97" s="232" t="n"/>
      <c r="M97" s="232" t="n"/>
      <c r="N97" s="233" t="n"/>
      <c r="O97" s="232" t="n"/>
      <c r="P97" s="233" t="n"/>
      <c r="Q97" s="233" t="n"/>
      <c r="R97" s="233" t="n"/>
      <c r="S97" s="232" t="n"/>
      <c r="T97" s="233" t="n"/>
      <c r="U97" s="233" t="n"/>
      <c r="V97" s="233" t="n"/>
      <c r="W97" s="232" t="n"/>
    </row>
    <row r="98" ht="54.95" customFormat="1" customHeight="1" s="37">
      <c r="A98" s="232" t="n"/>
      <c r="B98" s="232" t="n"/>
      <c r="C98" s="232" t="n"/>
      <c r="D98" s="233" t="n"/>
      <c r="E98" s="232" t="n"/>
      <c r="F98" s="233" t="n"/>
      <c r="G98" s="233" t="n"/>
      <c r="H98" s="233" t="n"/>
      <c r="I98" s="232" t="n"/>
      <c r="J98" s="233" t="n"/>
      <c r="K98" s="232" t="n"/>
      <c r="L98" s="232" t="n"/>
      <c r="M98" s="232" t="n"/>
      <c r="N98" s="233" t="n"/>
      <c r="O98" s="232" t="n"/>
      <c r="P98" s="233" t="n"/>
      <c r="Q98" s="233" t="n"/>
      <c r="R98" s="233" t="n"/>
      <c r="S98" s="232" t="n"/>
      <c r="T98" s="233" t="n"/>
      <c r="U98" s="233" t="n"/>
      <c r="V98" s="233" t="n"/>
      <c r="W98" s="232" t="n"/>
    </row>
    <row r="99" ht="54.95" customFormat="1" customHeight="1" s="37">
      <c r="A99" s="232" t="n"/>
      <c r="B99" s="232" t="n"/>
      <c r="C99" s="232" t="n"/>
      <c r="D99" s="233" t="n"/>
      <c r="E99" s="232" t="n"/>
      <c r="F99" s="233" t="n"/>
      <c r="G99" s="233" t="n"/>
      <c r="H99" s="233" t="n"/>
      <c r="I99" s="232" t="n"/>
      <c r="J99" s="233" t="n"/>
      <c r="K99" s="232" t="n"/>
      <c r="L99" s="232" t="n"/>
      <c r="M99" s="232" t="n"/>
      <c r="N99" s="233" t="n"/>
      <c r="O99" s="232" t="n"/>
      <c r="P99" s="233" t="n"/>
      <c r="Q99" s="233" t="n"/>
      <c r="R99" s="233" t="n"/>
      <c r="S99" s="232" t="n"/>
      <c r="T99" s="233" t="n"/>
      <c r="U99" s="233" t="n"/>
      <c r="V99" s="233" t="n"/>
      <c r="W99" s="232" t="n"/>
    </row>
    <row r="100" ht="54.95" customFormat="1" customHeight="1" s="37">
      <c r="A100" s="232" t="n"/>
      <c r="B100" s="232" t="n"/>
      <c r="C100" s="232" t="n"/>
      <c r="D100" s="233" t="n"/>
      <c r="E100" s="232" t="n"/>
      <c r="F100" s="233" t="n"/>
      <c r="G100" s="233" t="n"/>
      <c r="H100" s="233" t="n"/>
      <c r="I100" s="232" t="n"/>
      <c r="J100" s="233" t="n"/>
      <c r="K100" s="232" t="n"/>
      <c r="L100" s="232" t="n"/>
      <c r="M100" s="232" t="n"/>
      <c r="N100" s="233" t="n"/>
      <c r="O100" s="232" t="n"/>
      <c r="P100" s="233" t="n"/>
      <c r="Q100" s="233" t="n"/>
      <c r="R100" s="233" t="n"/>
      <c r="S100" s="232" t="n"/>
      <c r="T100" s="233" t="n"/>
      <c r="U100" s="233" t="n"/>
      <c r="V100" s="233" t="n"/>
      <c r="W100" s="232" t="n"/>
    </row>
    <row r="101" ht="54.95" customFormat="1" customHeight="1" s="37">
      <c r="A101" s="232" t="n"/>
      <c r="B101" s="232" t="n"/>
      <c r="C101" s="232" t="n"/>
      <c r="D101" s="233" t="n"/>
      <c r="E101" s="232" t="n"/>
      <c r="F101" s="233" t="n"/>
      <c r="G101" s="233" t="n"/>
      <c r="H101" s="233" t="n"/>
      <c r="I101" s="232" t="n"/>
      <c r="J101" s="233" t="n"/>
      <c r="K101" s="232" t="n"/>
      <c r="L101" s="232" t="n"/>
      <c r="M101" s="232" t="n"/>
      <c r="N101" s="233" t="n"/>
      <c r="O101" s="232" t="n"/>
      <c r="P101" s="233" t="n"/>
      <c r="Q101" s="233" t="n"/>
      <c r="R101" s="233" t="n"/>
      <c r="S101" s="232" t="n"/>
      <c r="T101" s="233" t="n"/>
      <c r="U101" s="233" t="n"/>
      <c r="V101" s="233" t="n"/>
      <c r="W101" s="232" t="n"/>
    </row>
    <row r="102" ht="54.95" customFormat="1" customHeight="1" s="37">
      <c r="A102" s="232" t="n"/>
      <c r="B102" s="232" t="n"/>
      <c r="C102" s="232" t="n"/>
      <c r="D102" s="233" t="n"/>
      <c r="E102" s="232" t="n"/>
      <c r="F102" s="233" t="n"/>
      <c r="G102" s="233" t="n"/>
      <c r="H102" s="233" t="n"/>
      <c r="I102" s="232" t="n"/>
      <c r="J102" s="233" t="n"/>
      <c r="K102" s="232" t="n"/>
      <c r="L102" s="232" t="n"/>
      <c r="M102" s="232" t="n"/>
      <c r="N102" s="233" t="n"/>
      <c r="O102" s="232" t="n"/>
      <c r="P102" s="233" t="n"/>
      <c r="Q102" s="233" t="n"/>
      <c r="R102" s="233" t="n"/>
      <c r="S102" s="232" t="n"/>
      <c r="T102" s="233" t="n"/>
      <c r="U102" s="233" t="n"/>
      <c r="V102" s="233" t="n"/>
      <c r="W102" s="232" t="n"/>
    </row>
    <row r="103" ht="54.95" customFormat="1" customHeight="1" s="37">
      <c r="A103" s="232" t="n"/>
      <c r="B103" s="232" t="n"/>
      <c r="C103" s="232" t="n"/>
      <c r="D103" s="233" t="n"/>
      <c r="E103" s="232" t="n"/>
      <c r="F103" s="233" t="n"/>
      <c r="G103" s="233" t="n"/>
      <c r="H103" s="233" t="n"/>
      <c r="I103" s="232" t="n"/>
      <c r="J103" s="233" t="n"/>
      <c r="K103" s="232" t="n"/>
      <c r="L103" s="232" t="n"/>
      <c r="M103" s="232" t="n"/>
      <c r="N103" s="233" t="n"/>
      <c r="O103" s="232" t="n"/>
      <c r="P103" s="233" t="n"/>
      <c r="Q103" s="233" t="n"/>
      <c r="R103" s="233" t="n"/>
      <c r="S103" s="232" t="n"/>
      <c r="T103" s="233" t="n"/>
      <c r="U103" s="233" t="n"/>
      <c r="V103" s="233" t="n"/>
      <c r="W103" s="232" t="n"/>
    </row>
    <row r="104" ht="54.95" customFormat="1" customHeight="1" s="37">
      <c r="A104" s="232" t="n"/>
      <c r="B104" s="232" t="n"/>
      <c r="C104" s="232" t="n"/>
      <c r="D104" s="233" t="n"/>
      <c r="E104" s="232" t="n"/>
      <c r="F104" s="233" t="n"/>
      <c r="G104" s="233" t="n"/>
      <c r="H104" s="233" t="n"/>
      <c r="I104" s="232" t="n"/>
      <c r="J104" s="233" t="n"/>
      <c r="K104" s="232" t="n"/>
      <c r="L104" s="232" t="n"/>
      <c r="M104" s="232" t="n"/>
      <c r="N104" s="233" t="n"/>
      <c r="O104" s="232" t="n"/>
      <c r="P104" s="233" t="n"/>
      <c r="Q104" s="233" t="n"/>
      <c r="R104" s="233" t="n"/>
      <c r="S104" s="232" t="n"/>
      <c r="T104" s="233" t="n"/>
      <c r="U104" s="233" t="n"/>
      <c r="V104" s="233" t="n"/>
      <c r="W104" s="232" t="n"/>
    </row>
    <row r="105" ht="54.95" customFormat="1" customHeight="1" s="37">
      <c r="A105" s="232" t="n"/>
      <c r="B105" s="232" t="n"/>
      <c r="C105" s="232" t="n"/>
      <c r="D105" s="233" t="n"/>
      <c r="E105" s="232" t="n"/>
      <c r="F105" s="233" t="n"/>
      <c r="G105" s="233" t="n"/>
      <c r="H105" s="233" t="n"/>
      <c r="I105" s="232" t="n"/>
      <c r="J105" s="233" t="n"/>
      <c r="K105" s="232" t="n"/>
      <c r="L105" s="232" t="n"/>
      <c r="M105" s="232" t="n"/>
      <c r="N105" s="233" t="n"/>
      <c r="O105" s="232" t="n"/>
      <c r="P105" s="233" t="n"/>
      <c r="Q105" s="233" t="n"/>
      <c r="R105" s="233" t="n"/>
      <c r="S105" s="232" t="n"/>
      <c r="T105" s="233" t="n"/>
      <c r="U105" s="233" t="n"/>
      <c r="V105" s="233" t="n"/>
      <c r="W105" s="232" t="n"/>
    </row>
    <row r="106" ht="54.95" customFormat="1" customHeight="1" s="37">
      <c r="A106" s="232" t="n"/>
      <c r="B106" s="232" t="n"/>
      <c r="C106" s="232" t="n"/>
      <c r="D106" s="233" t="n"/>
      <c r="E106" s="232" t="n"/>
      <c r="F106" s="233" t="n"/>
      <c r="G106" s="233" t="n"/>
      <c r="H106" s="233" t="n"/>
      <c r="I106" s="232" t="n"/>
      <c r="J106" s="233" t="n"/>
      <c r="K106" s="232" t="n"/>
      <c r="L106" s="232" t="n"/>
      <c r="M106" s="232" t="n"/>
      <c r="N106" s="233" t="n"/>
      <c r="O106" s="232" t="n"/>
      <c r="P106" s="233" t="n"/>
      <c r="Q106" s="233" t="n"/>
      <c r="R106" s="233" t="n"/>
      <c r="S106" s="232" t="n"/>
      <c r="T106" s="233" t="n"/>
      <c r="U106" s="233" t="n"/>
      <c r="V106" s="233" t="n"/>
      <c r="W106" s="232" t="n"/>
    </row>
    <row r="107" ht="54.95" customFormat="1" customHeight="1" s="37">
      <c r="A107" s="232" t="n"/>
      <c r="B107" s="232" t="n"/>
      <c r="C107" s="232" t="n"/>
      <c r="D107" s="233" t="n"/>
      <c r="E107" s="232" t="n"/>
      <c r="F107" s="233" t="n"/>
      <c r="G107" s="233" t="n"/>
      <c r="H107" s="233" t="n"/>
      <c r="I107" s="232" t="n"/>
      <c r="J107" s="233" t="n"/>
      <c r="K107" s="232" t="n"/>
      <c r="L107" s="232" t="n"/>
      <c r="M107" s="232" t="n"/>
      <c r="N107" s="233" t="n"/>
      <c r="O107" s="232" t="n"/>
      <c r="P107" s="233" t="n"/>
      <c r="Q107" s="233" t="n"/>
      <c r="R107" s="233" t="n"/>
      <c r="S107" s="232" t="n"/>
      <c r="T107" s="233" t="n"/>
      <c r="U107" s="233" t="n"/>
      <c r="V107" s="233" t="n"/>
      <c r="W107" s="232" t="n"/>
    </row>
    <row r="108" ht="54.95" customFormat="1" customHeight="1" s="37">
      <c r="A108" s="232" t="n"/>
      <c r="B108" s="232" t="n"/>
      <c r="C108" s="232" t="n"/>
      <c r="D108" s="233" t="n"/>
      <c r="E108" s="232" t="n"/>
      <c r="F108" s="233" t="n"/>
      <c r="G108" s="233" t="n"/>
      <c r="H108" s="233" t="n"/>
      <c r="I108" s="232" t="n"/>
      <c r="J108" s="233" t="n"/>
      <c r="K108" s="232" t="n"/>
      <c r="L108" s="232" t="n"/>
      <c r="M108" s="232" t="n"/>
      <c r="N108" s="233" t="n"/>
      <c r="O108" s="232" t="n"/>
      <c r="P108" s="233" t="n"/>
      <c r="Q108" s="233" t="n"/>
      <c r="R108" s="233" t="n"/>
      <c r="S108" s="232" t="n"/>
      <c r="T108" s="233" t="n"/>
      <c r="U108" s="233" t="n"/>
      <c r="V108" s="233" t="n"/>
      <c r="W108" s="232" t="n"/>
    </row>
    <row r="109" ht="54.95" customFormat="1" customHeight="1" s="37">
      <c r="A109" s="232" t="n"/>
      <c r="B109" s="232" t="n"/>
      <c r="C109" s="232" t="n"/>
      <c r="D109" s="233" t="n"/>
      <c r="E109" s="232" t="n"/>
      <c r="F109" s="233" t="n"/>
      <c r="G109" s="233" t="n"/>
      <c r="H109" s="233" t="n"/>
      <c r="I109" s="232" t="n"/>
      <c r="J109" s="233" t="n"/>
      <c r="K109" s="232" t="n"/>
      <c r="L109" s="232" t="n"/>
      <c r="M109" s="232" t="n"/>
      <c r="N109" s="233" t="n"/>
      <c r="O109" s="232" t="n"/>
      <c r="P109" s="233" t="n"/>
      <c r="Q109" s="233" t="n"/>
      <c r="R109" s="233" t="n"/>
      <c r="S109" s="232" t="n"/>
      <c r="T109" s="233" t="n"/>
      <c r="U109" s="233" t="n"/>
      <c r="V109" s="233" t="n"/>
      <c r="W109" s="232" t="n"/>
    </row>
    <row r="110" ht="54.95" customFormat="1" customHeight="1" s="37">
      <c r="A110" s="232" t="n"/>
      <c r="B110" s="232" t="n"/>
      <c r="C110" s="232" t="n"/>
      <c r="D110" s="233" t="n"/>
      <c r="E110" s="232" t="n"/>
      <c r="F110" s="233" t="n"/>
      <c r="G110" s="233" t="n"/>
      <c r="H110" s="233" t="n"/>
      <c r="I110" s="232" t="n"/>
      <c r="J110" s="233" t="n"/>
      <c r="K110" s="232" t="n"/>
      <c r="L110" s="232" t="n"/>
      <c r="M110" s="232" t="n"/>
      <c r="N110" s="233" t="n"/>
      <c r="O110" s="232" t="n"/>
      <c r="P110" s="233" t="n"/>
      <c r="Q110" s="233" t="n"/>
      <c r="R110" s="233" t="n"/>
      <c r="S110" s="232" t="n"/>
      <c r="T110" s="233" t="n"/>
      <c r="U110" s="233" t="n"/>
      <c r="V110" s="233" t="n"/>
      <c r="W110" s="232" t="n"/>
    </row>
    <row r="111" ht="54.95" customFormat="1" customHeight="1" s="37">
      <c r="A111" s="232" t="n"/>
      <c r="B111" s="232" t="n"/>
      <c r="C111" s="232" t="n"/>
      <c r="D111" s="233" t="n"/>
      <c r="E111" s="232" t="n"/>
      <c r="F111" s="233" t="n"/>
      <c r="G111" s="233" t="n"/>
      <c r="H111" s="233" t="n"/>
      <c r="I111" s="232" t="n"/>
      <c r="J111" s="233" t="n"/>
      <c r="K111" s="232" t="n"/>
      <c r="L111" s="232" t="n"/>
      <c r="M111" s="232" t="n"/>
      <c r="N111" s="233" t="n"/>
      <c r="O111" s="232" t="n"/>
      <c r="P111" s="233" t="n"/>
      <c r="Q111" s="233" t="n"/>
      <c r="R111" s="233" t="n"/>
      <c r="S111" s="232" t="n"/>
      <c r="T111" s="233" t="n"/>
      <c r="U111" s="233" t="n"/>
      <c r="V111" s="233" t="n"/>
      <c r="W111" s="232" t="n"/>
    </row>
    <row r="112" ht="54.95" customFormat="1" customHeight="1" s="37">
      <c r="A112" s="232" t="n"/>
      <c r="B112" s="232" t="n"/>
      <c r="C112" s="232" t="n"/>
      <c r="D112" s="233" t="n"/>
      <c r="E112" s="232" t="n"/>
      <c r="F112" s="233" t="n"/>
      <c r="G112" s="233" t="n"/>
      <c r="H112" s="233" t="n"/>
      <c r="I112" s="232" t="n"/>
      <c r="J112" s="233" t="n"/>
      <c r="K112" s="232" t="n"/>
      <c r="L112" s="232" t="n"/>
      <c r="M112" s="232" t="n"/>
      <c r="N112" s="233" t="n"/>
      <c r="O112" s="232" t="n"/>
      <c r="P112" s="233" t="n"/>
      <c r="Q112" s="233" t="n"/>
      <c r="R112" s="233" t="n"/>
      <c r="S112" s="232" t="n"/>
      <c r="T112" s="233" t="n"/>
      <c r="U112" s="233" t="n"/>
      <c r="V112" s="233" t="n"/>
      <c r="W112" s="232" t="n"/>
    </row>
    <row r="113" ht="54.95" customFormat="1" customHeight="1" s="37">
      <c r="A113" s="232" t="n"/>
      <c r="B113" s="232" t="n"/>
      <c r="C113" s="232" t="n"/>
      <c r="D113" s="233" t="n"/>
      <c r="E113" s="232" t="n"/>
      <c r="F113" s="233" t="n"/>
      <c r="G113" s="233" t="n"/>
      <c r="H113" s="233" t="n"/>
      <c r="I113" s="232" t="n"/>
      <c r="J113" s="233" t="n"/>
      <c r="K113" s="232" t="n"/>
      <c r="L113" s="232" t="n"/>
      <c r="M113" s="232" t="n"/>
      <c r="N113" s="233" t="n"/>
      <c r="O113" s="232" t="n"/>
      <c r="P113" s="233" t="n"/>
      <c r="Q113" s="233" t="n"/>
      <c r="R113" s="233" t="n"/>
      <c r="S113" s="232" t="n"/>
      <c r="T113" s="233" t="n"/>
      <c r="U113" s="233" t="n"/>
      <c r="V113" s="233" t="n"/>
      <c r="W113" s="232" t="n"/>
    </row>
    <row r="114" ht="54.95" customFormat="1" customHeight="1" s="37">
      <c r="A114" s="232" t="n"/>
      <c r="B114" s="232" t="n"/>
      <c r="C114" s="232" t="n"/>
      <c r="D114" s="233" t="n"/>
      <c r="E114" s="232" t="n"/>
      <c r="F114" s="233" t="n"/>
      <c r="G114" s="233" t="n"/>
      <c r="H114" s="233" t="n"/>
      <c r="I114" s="232" t="n"/>
      <c r="J114" s="233" t="n"/>
      <c r="K114" s="232" t="n"/>
      <c r="L114" s="232" t="n"/>
      <c r="M114" s="232" t="n"/>
      <c r="N114" s="233" t="n"/>
      <c r="O114" s="232" t="n"/>
      <c r="P114" s="233" t="n"/>
      <c r="Q114" s="233" t="n"/>
      <c r="R114" s="233" t="n"/>
      <c r="S114" s="232" t="n"/>
      <c r="T114" s="233" t="n"/>
      <c r="U114" s="233" t="n"/>
      <c r="V114" s="233" t="n"/>
      <c r="W114" s="232" t="n"/>
    </row>
    <row r="115" ht="54.95" customFormat="1" customHeight="1" s="37">
      <c r="A115" s="232" t="n"/>
      <c r="B115" s="232" t="n"/>
      <c r="C115" s="232" t="n"/>
      <c r="D115" s="233" t="n"/>
      <c r="E115" s="232" t="n"/>
      <c r="F115" s="233" t="n"/>
      <c r="G115" s="233" t="n"/>
      <c r="H115" s="233" t="n"/>
      <c r="I115" s="232" t="n"/>
      <c r="J115" s="233" t="n"/>
      <c r="K115" s="232" t="n"/>
      <c r="L115" s="232" t="n"/>
      <c r="M115" s="232" t="n"/>
      <c r="N115" s="233" t="n"/>
      <c r="O115" s="232" t="n"/>
      <c r="P115" s="233" t="n"/>
      <c r="Q115" s="233" t="n"/>
      <c r="R115" s="233" t="n"/>
      <c r="S115" s="232" t="n"/>
      <c r="T115" s="233" t="n"/>
      <c r="U115" s="233" t="n"/>
      <c r="V115" s="233" t="n"/>
      <c r="W115" s="232" t="n"/>
    </row>
    <row r="116" ht="54.95" customFormat="1" customHeight="1" s="37">
      <c r="A116" s="232" t="n"/>
      <c r="B116" s="232" t="n"/>
      <c r="C116" s="232" t="n"/>
      <c r="D116" s="233" t="n"/>
      <c r="E116" s="232" t="n"/>
      <c r="F116" s="233" t="n"/>
      <c r="G116" s="233" t="n"/>
      <c r="H116" s="233" t="n"/>
      <c r="I116" s="232" t="n"/>
      <c r="J116" s="233" t="n"/>
      <c r="K116" s="232" t="n"/>
      <c r="L116" s="232" t="n"/>
      <c r="M116" s="232" t="n"/>
      <c r="N116" s="233" t="n"/>
      <c r="O116" s="232" t="n"/>
      <c r="P116" s="233" t="n"/>
      <c r="Q116" s="233" t="n"/>
      <c r="R116" s="233" t="n"/>
      <c r="S116" s="232" t="n"/>
      <c r="T116" s="233" t="n"/>
      <c r="U116" s="233" t="n"/>
      <c r="V116" s="233" t="n"/>
      <c r="W116" s="232" t="n"/>
    </row>
    <row r="117" ht="54.95" customFormat="1" customHeight="1" s="37">
      <c r="A117" s="232" t="n"/>
      <c r="B117" s="232" t="n"/>
      <c r="C117" s="232" t="n"/>
      <c r="D117" s="233" t="n"/>
      <c r="E117" s="232" t="n"/>
      <c r="F117" s="233" t="n"/>
      <c r="G117" s="233" t="n"/>
      <c r="H117" s="233" t="n"/>
      <c r="I117" s="232" t="n"/>
      <c r="J117" s="233" t="n"/>
      <c r="K117" s="232" t="n"/>
      <c r="L117" s="232" t="n"/>
      <c r="M117" s="232" t="n"/>
      <c r="N117" s="233" t="n"/>
      <c r="O117" s="232" t="n"/>
      <c r="P117" s="233" t="n"/>
      <c r="Q117" s="233" t="n"/>
      <c r="R117" s="233" t="n"/>
      <c r="S117" s="232" t="n"/>
      <c r="T117" s="233" t="n"/>
      <c r="U117" s="233" t="n"/>
      <c r="V117" s="233" t="n"/>
      <c r="W117" s="232" t="n"/>
    </row>
    <row r="118" ht="54.95" customFormat="1" customHeight="1" s="37">
      <c r="A118" s="232" t="n"/>
      <c r="B118" s="232" t="n"/>
      <c r="C118" s="232" t="n"/>
      <c r="D118" s="233" t="n"/>
      <c r="E118" s="232" t="n"/>
      <c r="F118" s="233" t="n"/>
      <c r="G118" s="233" t="n"/>
      <c r="H118" s="233" t="n"/>
      <c r="I118" s="232" t="n"/>
      <c r="J118" s="233" t="n"/>
      <c r="K118" s="232" t="n"/>
      <c r="L118" s="232" t="n"/>
      <c r="M118" s="232" t="n"/>
      <c r="N118" s="233" t="n"/>
      <c r="O118" s="232" t="n"/>
      <c r="P118" s="233" t="n"/>
      <c r="Q118" s="233" t="n"/>
      <c r="R118" s="233" t="n"/>
      <c r="S118" s="232" t="n"/>
      <c r="T118" s="233" t="n"/>
      <c r="U118" s="233" t="n"/>
      <c r="V118" s="233" t="n"/>
      <c r="W118" s="232" t="n"/>
    </row>
    <row r="119" ht="54.95" customFormat="1" customHeight="1" s="37">
      <c r="A119" s="232" t="n"/>
      <c r="B119" s="232" t="n"/>
      <c r="C119" s="232" t="n"/>
      <c r="D119" s="233" t="n"/>
      <c r="E119" s="232" t="n"/>
      <c r="F119" s="233" t="n"/>
      <c r="G119" s="233" t="n"/>
      <c r="H119" s="233" t="n"/>
      <c r="I119" s="232" t="n"/>
      <c r="J119" s="233" t="n"/>
      <c r="K119" s="232" t="n"/>
      <c r="L119" s="232" t="n"/>
      <c r="M119" s="232" t="n"/>
      <c r="N119" s="233" t="n"/>
      <c r="O119" s="232" t="n"/>
      <c r="P119" s="233" t="n"/>
      <c r="Q119" s="233" t="n"/>
      <c r="R119" s="233" t="n"/>
      <c r="S119" s="232" t="n"/>
      <c r="T119" s="233" t="n"/>
      <c r="U119" s="233" t="n"/>
      <c r="V119" s="233" t="n"/>
      <c r="W119" s="232" t="n"/>
    </row>
    <row r="120" ht="54.95" customFormat="1" customHeight="1" s="37">
      <c r="A120" s="232" t="n"/>
      <c r="B120" s="232" t="n"/>
      <c r="C120" s="232" t="n"/>
      <c r="D120" s="233" t="n"/>
      <c r="E120" s="232" t="n"/>
      <c r="F120" s="233" t="n"/>
      <c r="G120" s="233" t="n"/>
      <c r="H120" s="233" t="n"/>
      <c r="I120" s="232" t="n"/>
      <c r="J120" s="233" t="n"/>
      <c r="K120" s="232" t="n"/>
      <c r="L120" s="232" t="n"/>
      <c r="M120" s="232" t="n"/>
      <c r="N120" s="233" t="n"/>
      <c r="O120" s="232" t="n"/>
      <c r="P120" s="233" t="n"/>
      <c r="Q120" s="233" t="n"/>
      <c r="R120" s="233" t="n"/>
      <c r="S120" s="232" t="n"/>
      <c r="T120" s="233" t="n"/>
      <c r="U120" s="233" t="n"/>
      <c r="V120" s="233" t="n"/>
      <c r="W120" s="232" t="n"/>
    </row>
    <row r="121" ht="54.95" customFormat="1" customHeight="1" s="37">
      <c r="A121" s="232" t="n"/>
      <c r="B121" s="232" t="n"/>
      <c r="C121" s="232" t="n"/>
      <c r="D121" s="233" t="n"/>
      <c r="E121" s="232" t="n"/>
      <c r="F121" s="233" t="n"/>
      <c r="G121" s="233" t="n"/>
      <c r="H121" s="233" t="n"/>
      <c r="I121" s="232" t="n"/>
      <c r="J121" s="233" t="n"/>
      <c r="K121" s="232" t="n"/>
      <c r="L121" s="232" t="n"/>
      <c r="M121" s="232" t="n"/>
      <c r="N121" s="233" t="n"/>
      <c r="O121" s="232" t="n"/>
      <c r="P121" s="233" t="n"/>
      <c r="Q121" s="233" t="n"/>
      <c r="R121" s="233" t="n"/>
      <c r="S121" s="232" t="n"/>
      <c r="T121" s="233" t="n"/>
      <c r="U121" s="233" t="n"/>
      <c r="V121" s="233" t="n"/>
      <c r="W121" s="232" t="n"/>
    </row>
    <row r="122" ht="54.95" customFormat="1" customHeight="1" s="37">
      <c r="A122" s="232" t="n"/>
      <c r="B122" s="232" t="n"/>
      <c r="C122" s="232" t="n"/>
      <c r="D122" s="233" t="n"/>
      <c r="E122" s="232" t="n"/>
      <c r="F122" s="233" t="n"/>
      <c r="G122" s="233" t="n"/>
      <c r="H122" s="233" t="n"/>
      <c r="I122" s="232" t="n"/>
      <c r="J122" s="233" t="n"/>
      <c r="K122" s="232" t="n"/>
      <c r="L122" s="232" t="n"/>
      <c r="M122" s="232" t="n"/>
      <c r="N122" s="233" t="n"/>
      <c r="O122" s="232" t="n"/>
      <c r="P122" s="233" t="n"/>
      <c r="Q122" s="233" t="n"/>
      <c r="R122" s="233" t="n"/>
      <c r="S122" s="232" t="n"/>
      <c r="T122" s="233" t="n"/>
      <c r="U122" s="233" t="n"/>
      <c r="V122" s="233" t="n"/>
      <c r="W122" s="232" t="n"/>
    </row>
    <row r="123" ht="54.95" customFormat="1" customHeight="1" s="37">
      <c r="A123" s="232" t="n"/>
      <c r="B123" s="232" t="n"/>
      <c r="C123" s="232" t="n"/>
      <c r="D123" s="233" t="n"/>
      <c r="E123" s="232" t="n"/>
      <c r="F123" s="233" t="n"/>
      <c r="G123" s="233" t="n"/>
      <c r="H123" s="233" t="n"/>
      <c r="I123" s="232" t="n"/>
      <c r="J123" s="233" t="n"/>
      <c r="K123" s="232" t="n"/>
      <c r="L123" s="232" t="n"/>
      <c r="M123" s="232" t="n"/>
      <c r="N123" s="233" t="n"/>
      <c r="O123" s="232" t="n"/>
      <c r="P123" s="233" t="n"/>
      <c r="Q123" s="233" t="n"/>
      <c r="R123" s="233" t="n"/>
      <c r="S123" s="232" t="n"/>
      <c r="T123" s="233" t="n"/>
      <c r="U123" s="233" t="n"/>
      <c r="V123" s="233" t="n"/>
      <c r="W123" s="232" t="n"/>
    </row>
    <row r="124" ht="54.95" customFormat="1" customHeight="1" s="37">
      <c r="A124" s="232" t="n"/>
      <c r="B124" s="232" t="n"/>
      <c r="C124" s="232" t="n"/>
      <c r="D124" s="233" t="n"/>
      <c r="E124" s="232" t="n"/>
      <c r="F124" s="233" t="n"/>
      <c r="G124" s="233" t="n"/>
      <c r="H124" s="233" t="n"/>
      <c r="I124" s="232" t="n"/>
      <c r="J124" s="233" t="n"/>
      <c r="K124" s="232" t="n"/>
      <c r="L124" s="232" t="n"/>
      <c r="M124" s="232" t="n"/>
      <c r="N124" s="233" t="n"/>
      <c r="O124" s="232" t="n"/>
      <c r="P124" s="233" t="n"/>
      <c r="Q124" s="233" t="n"/>
      <c r="R124" s="233" t="n"/>
      <c r="S124" s="232" t="n"/>
      <c r="T124" s="233" t="n"/>
      <c r="U124" s="233" t="n"/>
      <c r="V124" s="233" t="n"/>
      <c r="W124" s="232" t="n"/>
    </row>
    <row r="125" ht="54.95" customFormat="1" customHeight="1" s="37">
      <c r="A125" s="232" t="n"/>
      <c r="B125" s="232" t="n"/>
      <c r="C125" s="232" t="n"/>
      <c r="D125" s="233" t="n"/>
      <c r="E125" s="232" t="n"/>
      <c r="F125" s="233" t="n"/>
      <c r="G125" s="233" t="n"/>
      <c r="H125" s="233" t="n"/>
      <c r="I125" s="232" t="n"/>
      <c r="J125" s="233" t="n"/>
      <c r="K125" s="232" t="n"/>
      <c r="L125" s="232" t="n"/>
      <c r="M125" s="232" t="n"/>
      <c r="N125" s="233" t="n"/>
      <c r="O125" s="232" t="n"/>
      <c r="P125" s="233" t="n"/>
      <c r="Q125" s="233" t="n"/>
      <c r="R125" s="233" t="n"/>
      <c r="S125" s="232" t="n"/>
      <c r="T125" s="233" t="n"/>
      <c r="U125" s="233" t="n"/>
      <c r="V125" s="233" t="n"/>
      <c r="W125" s="232" t="n"/>
    </row>
    <row r="126" ht="54.95" customFormat="1" customHeight="1" s="37">
      <c r="A126" s="232" t="n"/>
      <c r="B126" s="232" t="n"/>
      <c r="C126" s="232" t="n"/>
      <c r="D126" s="233" t="n"/>
      <c r="E126" s="232" t="n"/>
      <c r="F126" s="233" t="n"/>
      <c r="G126" s="233" t="n"/>
      <c r="H126" s="233" t="n"/>
      <c r="I126" s="232" t="n"/>
      <c r="J126" s="233" t="n"/>
      <c r="K126" s="232" t="n"/>
      <c r="L126" s="232" t="n"/>
      <c r="M126" s="232" t="n"/>
      <c r="N126" s="233" t="n"/>
      <c r="O126" s="232" t="n"/>
      <c r="P126" s="233" t="n"/>
      <c r="Q126" s="233" t="n"/>
      <c r="R126" s="233" t="n"/>
      <c r="S126" s="232" t="n"/>
      <c r="T126" s="233" t="n"/>
      <c r="U126" s="233" t="n"/>
      <c r="V126" s="233" t="n"/>
      <c r="W126" s="232" t="n"/>
    </row>
    <row r="127" ht="54.95" customFormat="1" customHeight="1" s="37">
      <c r="A127" s="234" t="n"/>
      <c r="B127" s="234" t="n"/>
      <c r="C127" s="234" t="n"/>
      <c r="D127" s="234" t="n"/>
      <c r="E127" s="234" t="n"/>
      <c r="F127" s="234" t="n"/>
      <c r="G127" s="234" t="n"/>
      <c r="H127" s="234" t="n"/>
      <c r="I127" s="234" t="n"/>
      <c r="J127" s="234" t="n"/>
      <c r="K127" s="234" t="n"/>
      <c r="L127" s="234" t="n"/>
      <c r="M127" s="232" t="n"/>
      <c r="N127" s="233" t="n"/>
      <c r="O127" s="232" t="n"/>
      <c r="P127" s="234" t="n"/>
      <c r="Q127" s="234" t="n"/>
      <c r="R127" s="234" t="n"/>
      <c r="S127" s="234" t="n"/>
      <c r="T127" s="234" t="n"/>
      <c r="U127" s="234" t="n"/>
      <c r="V127" s="234" t="n"/>
      <c r="W127" s="234" t="n"/>
    </row>
    <row r="128" ht="54.95" customFormat="1" customHeight="1" s="37">
      <c r="A128" s="234" t="n"/>
      <c r="B128" s="234" t="n"/>
      <c r="C128" s="234" t="n"/>
      <c r="D128" s="234" t="n"/>
      <c r="E128" s="234" t="n"/>
      <c r="F128" s="234" t="n"/>
      <c r="G128" s="234" t="n"/>
      <c r="H128" s="234" t="n"/>
      <c r="I128" s="234" t="n"/>
      <c r="J128" s="234" t="n"/>
      <c r="K128" s="234" t="n"/>
      <c r="L128" s="234" t="n"/>
      <c r="M128" s="232" t="n"/>
      <c r="N128" s="233" t="n"/>
      <c r="O128" s="232" t="n"/>
      <c r="P128" s="234" t="n"/>
      <c r="Q128" s="234" t="n"/>
      <c r="R128" s="234" t="n"/>
      <c r="S128" s="234" t="n"/>
      <c r="T128" s="234" t="n"/>
      <c r="U128" s="234" t="n"/>
      <c r="V128" s="234" t="n"/>
      <c r="W128" s="234" t="n"/>
    </row>
    <row r="129" ht="54.95" customFormat="1" customHeight="1" s="37">
      <c r="A129" s="234" t="n"/>
      <c r="B129" s="234" t="n"/>
      <c r="C129" s="234" t="n"/>
      <c r="D129" s="234" t="n"/>
      <c r="E129" s="234" t="n"/>
      <c r="F129" s="234" t="n"/>
      <c r="G129" s="234" t="n"/>
      <c r="H129" s="234" t="n"/>
      <c r="I129" s="234" t="n"/>
      <c r="J129" s="234" t="n"/>
      <c r="K129" s="234" t="n"/>
      <c r="L129" s="234" t="n"/>
      <c r="M129" s="232" t="n"/>
      <c r="N129" s="233" t="n"/>
      <c r="O129" s="232" t="n"/>
      <c r="P129" s="234" t="n"/>
      <c r="Q129" s="234" t="n"/>
      <c r="R129" s="234" t="n"/>
      <c r="S129" s="234" t="n"/>
      <c r="T129" s="234" t="n"/>
      <c r="U129" s="234" t="n"/>
      <c r="V129" s="234" t="n"/>
      <c r="W129" s="234" t="n"/>
    </row>
    <row r="130" ht="54.95" customFormat="1" customHeight="1" s="37">
      <c r="A130" s="232" t="n"/>
      <c r="B130" s="232" t="n"/>
      <c r="C130" s="232" t="n"/>
      <c r="D130" s="233" t="n"/>
      <c r="E130" s="232" t="n"/>
      <c r="F130" s="233" t="n"/>
      <c r="G130" s="233" t="n"/>
      <c r="H130" s="233" t="n"/>
      <c r="I130" s="232" t="n"/>
      <c r="J130" s="233" t="n"/>
      <c r="K130" s="232" t="n"/>
      <c r="L130" s="232" t="n"/>
      <c r="M130" s="232" t="n"/>
      <c r="N130" s="233" t="n"/>
      <c r="O130" s="232" t="n"/>
      <c r="P130" s="233" t="n"/>
      <c r="Q130" s="233" t="n"/>
      <c r="R130" s="233" t="n"/>
      <c r="S130" s="232" t="n"/>
      <c r="T130" s="233" t="n"/>
      <c r="U130" s="233" t="n"/>
      <c r="V130" s="233" t="n"/>
      <c r="W130" s="232" t="n"/>
    </row>
    <row r="131" ht="54.95" customFormat="1" customHeight="1" s="37">
      <c r="A131" s="232" t="n"/>
      <c r="B131" s="232" t="n"/>
      <c r="C131" s="232" t="n"/>
      <c r="D131" s="233" t="n"/>
      <c r="E131" s="232" t="n"/>
      <c r="F131" s="233" t="n"/>
      <c r="G131" s="233" t="n"/>
      <c r="H131" s="233" t="n"/>
      <c r="I131" s="232" t="n"/>
      <c r="J131" s="233" t="n"/>
      <c r="K131" s="232" t="n"/>
      <c r="L131" s="232" t="n"/>
      <c r="M131" s="232" t="n"/>
      <c r="N131" s="233" t="n"/>
      <c r="O131" s="232" t="n"/>
      <c r="P131" s="233" t="n"/>
      <c r="Q131" s="233" t="n"/>
      <c r="R131" s="233" t="n"/>
      <c r="S131" s="232" t="n"/>
      <c r="T131" s="233" t="n"/>
      <c r="U131" s="233" t="n"/>
      <c r="V131" s="233" t="n"/>
      <c r="W131" s="232" t="n"/>
    </row>
    <row r="132" ht="54.95" customFormat="1" customHeight="1" s="37">
      <c r="A132" s="232" t="n"/>
      <c r="B132" s="232" t="n"/>
      <c r="C132" s="232" t="n"/>
      <c r="D132" s="233" t="n"/>
      <c r="E132" s="232" t="n"/>
      <c r="F132" s="233" t="n"/>
      <c r="G132" s="233" t="n"/>
      <c r="H132" s="233" t="n"/>
      <c r="I132" s="232" t="n"/>
      <c r="J132" s="233" t="n"/>
      <c r="K132" s="232" t="n"/>
      <c r="L132" s="232" t="n"/>
      <c r="M132" s="232" t="n"/>
      <c r="N132" s="233" t="n"/>
      <c r="O132" s="232" t="n"/>
      <c r="P132" s="233" t="n"/>
      <c r="Q132" s="233" t="n"/>
      <c r="R132" s="233" t="n"/>
      <c r="S132" s="232" t="n"/>
      <c r="T132" s="233" t="n"/>
      <c r="U132" s="233" t="n"/>
      <c r="V132" s="233" t="n"/>
      <c r="W132" s="232" t="n"/>
    </row>
    <row r="133" ht="54.95" customFormat="1" customHeight="1" s="37">
      <c r="A133" s="232" t="n"/>
      <c r="B133" s="232" t="n"/>
      <c r="C133" s="232" t="n"/>
      <c r="D133" s="233" t="n"/>
      <c r="E133" s="232" t="n"/>
      <c r="F133" s="233" t="n"/>
      <c r="G133" s="233" t="n"/>
      <c r="H133" s="233" t="n"/>
      <c r="I133" s="232" t="n"/>
      <c r="J133" s="233" t="n"/>
      <c r="K133" s="232" t="n"/>
      <c r="L133" s="232" t="n"/>
      <c r="M133" s="232" t="n"/>
      <c r="N133" s="233" t="n"/>
      <c r="O133" s="232" t="n"/>
      <c r="P133" s="233" t="n"/>
      <c r="Q133" s="233" t="n"/>
      <c r="R133" s="233" t="n"/>
      <c r="S133" s="232" t="n"/>
      <c r="T133" s="233" t="n"/>
      <c r="U133" s="233" t="n"/>
      <c r="V133" s="233" t="n"/>
      <c r="W133" s="232" t="n"/>
    </row>
    <row r="134" ht="54.95" customFormat="1" customHeight="1" s="37">
      <c r="A134" s="232" t="n"/>
      <c r="B134" s="232" t="n"/>
      <c r="C134" s="232" t="n"/>
      <c r="D134" s="233" t="n"/>
      <c r="E134" s="232" t="n"/>
      <c r="F134" s="233" t="n"/>
      <c r="G134" s="233" t="n"/>
      <c r="H134" s="233" t="n"/>
      <c r="I134" s="232" t="n"/>
      <c r="J134" s="233" t="n"/>
      <c r="K134" s="232" t="n"/>
      <c r="L134" s="232" t="n"/>
      <c r="M134" s="232" t="n"/>
      <c r="N134" s="233" t="n"/>
      <c r="O134" s="232" t="n"/>
      <c r="P134" s="233" t="n"/>
      <c r="Q134" s="233" t="n"/>
      <c r="R134" s="233" t="n"/>
      <c r="S134" s="232" t="n"/>
      <c r="T134" s="233" t="n"/>
      <c r="U134" s="233" t="n"/>
      <c r="V134" s="233" t="n"/>
      <c r="W134" s="232" t="n"/>
    </row>
    <row r="135" ht="54.95" customFormat="1" customHeight="1" s="37">
      <c r="A135" s="232" t="n"/>
      <c r="B135" s="232" t="n"/>
      <c r="C135" s="232" t="n"/>
      <c r="D135" s="233" t="n"/>
      <c r="E135" s="232" t="n"/>
      <c r="F135" s="233" t="n"/>
      <c r="G135" s="233" t="n"/>
      <c r="H135" s="233" t="n"/>
      <c r="I135" s="232" t="n"/>
      <c r="J135" s="233" t="n"/>
      <c r="K135" s="232" t="n"/>
      <c r="L135" s="232" t="n"/>
      <c r="M135" s="232" t="n"/>
      <c r="N135" s="233" t="n"/>
      <c r="O135" s="232" t="n"/>
      <c r="P135" s="233" t="n"/>
      <c r="Q135" s="233" t="n"/>
      <c r="R135" s="233" t="n"/>
      <c r="S135" s="232" t="n"/>
      <c r="T135" s="233" t="n"/>
      <c r="U135" s="233" t="n"/>
      <c r="V135" s="233" t="n"/>
      <c r="W135" s="232" t="n"/>
    </row>
    <row r="136" ht="54.95" customFormat="1" customHeight="1" s="235">
      <c r="A136" s="232" t="n"/>
      <c r="B136" s="232" t="n"/>
      <c r="C136" s="232" t="n"/>
      <c r="D136" s="233" t="n"/>
      <c r="E136" s="232" t="n"/>
      <c r="F136" s="233" t="n"/>
      <c r="G136" s="233" t="n"/>
      <c r="H136" s="233" t="n"/>
      <c r="I136" s="232" t="n"/>
      <c r="J136" s="233" t="n"/>
      <c r="K136" s="232" t="n"/>
      <c r="L136" s="232" t="n"/>
      <c r="M136" s="232" t="n"/>
      <c r="N136" s="233" t="n"/>
      <c r="O136" s="232" t="n"/>
      <c r="P136" s="233" t="n"/>
      <c r="Q136" s="233" t="n"/>
      <c r="R136" s="233" t="n"/>
      <c r="S136" s="232" t="n"/>
      <c r="T136" s="233" t="n"/>
      <c r="U136" s="233" t="n"/>
      <c r="V136" s="233" t="n"/>
      <c r="W136" s="232" t="n"/>
    </row>
    <row r="137" ht="54.95" customFormat="1" customHeight="1" s="235">
      <c r="A137" s="232" t="n"/>
      <c r="B137" s="232" t="n"/>
      <c r="C137" s="232" t="n"/>
      <c r="D137" s="233" t="n"/>
      <c r="E137" s="232" t="n"/>
      <c r="F137" s="233" t="n"/>
      <c r="G137" s="233" t="n"/>
      <c r="H137" s="233" t="n"/>
      <c r="I137" s="232" t="n"/>
      <c r="J137" s="233" t="n"/>
      <c r="K137" s="232" t="n"/>
      <c r="L137" s="232" t="n"/>
      <c r="M137" s="232" t="n"/>
      <c r="N137" s="233" t="n"/>
      <c r="O137" s="232" t="n"/>
      <c r="P137" s="233" t="n"/>
      <c r="Q137" s="233" t="n"/>
      <c r="R137" s="233" t="n"/>
      <c r="S137" s="232" t="n"/>
      <c r="T137" s="233" t="n"/>
      <c r="U137" s="233" t="n"/>
      <c r="V137" s="233" t="n"/>
      <c r="W137" s="232" t="n"/>
    </row>
    <row r="138" ht="54.95" customFormat="1" customHeight="1" s="235">
      <c r="A138" s="232" t="n"/>
      <c r="B138" s="232" t="n"/>
      <c r="C138" s="232" t="n"/>
      <c r="D138" s="233" t="n"/>
      <c r="E138" s="232" t="n"/>
      <c r="F138" s="233" t="n"/>
      <c r="G138" s="233" t="n"/>
      <c r="H138" s="233" t="n"/>
      <c r="I138" s="232" t="n"/>
      <c r="J138" s="233" t="n"/>
      <c r="K138" s="232" t="n"/>
      <c r="L138" s="232" t="n"/>
      <c r="M138" s="232" t="n"/>
      <c r="N138" s="233" t="n"/>
      <c r="O138" s="232" t="n"/>
      <c r="P138" s="233" t="n"/>
      <c r="Q138" s="233" t="n"/>
      <c r="R138" s="233" t="n"/>
      <c r="S138" s="232" t="n"/>
      <c r="T138" s="233" t="n"/>
      <c r="U138" s="233" t="n"/>
      <c r="V138" s="233" t="n"/>
      <c r="W138" s="232" t="n"/>
    </row>
    <row r="139" ht="54.95" customFormat="1" customHeight="1" s="235">
      <c r="A139" s="234" t="n"/>
      <c r="B139" s="234" t="n"/>
      <c r="C139" s="234" t="n"/>
      <c r="D139" s="234" t="n"/>
      <c r="E139" s="234" t="n"/>
      <c r="F139" s="234" t="n"/>
      <c r="G139" s="234" t="n"/>
      <c r="H139" s="234" t="n"/>
      <c r="I139" s="234" t="n"/>
      <c r="J139" s="234" t="n"/>
      <c r="K139" s="234" t="n"/>
      <c r="L139" s="234" t="n"/>
      <c r="M139" s="232" t="n"/>
      <c r="N139" s="233" t="n"/>
      <c r="O139" s="232" t="n"/>
      <c r="P139" s="234" t="n"/>
      <c r="Q139" s="234" t="n"/>
      <c r="R139" s="234" t="n"/>
      <c r="S139" s="234" t="n"/>
      <c r="T139" s="234" t="n"/>
      <c r="U139" s="234" t="n"/>
      <c r="V139" s="234" t="n"/>
      <c r="W139" s="234" t="n"/>
    </row>
    <row r="140" ht="54.95" customFormat="1" customHeight="1" s="235">
      <c r="A140" s="234" t="n"/>
      <c r="B140" s="234" t="n"/>
      <c r="C140" s="234" t="n"/>
      <c r="D140" s="234" t="n"/>
      <c r="E140" s="234" t="n"/>
      <c r="F140" s="234" t="n"/>
      <c r="G140" s="234" t="n"/>
      <c r="H140" s="234" t="n"/>
      <c r="I140" s="234" t="n"/>
      <c r="J140" s="234" t="n"/>
      <c r="K140" s="234" t="n"/>
      <c r="L140" s="234" t="n"/>
      <c r="M140" s="232" t="n"/>
      <c r="N140" s="233" t="n"/>
      <c r="O140" s="232" t="n"/>
      <c r="P140" s="234" t="n"/>
      <c r="Q140" s="234" t="n"/>
      <c r="R140" s="234" t="n"/>
      <c r="S140" s="234" t="n"/>
      <c r="T140" s="234" t="n"/>
      <c r="U140" s="234" t="n"/>
      <c r="V140" s="234" t="n"/>
      <c r="W140" s="234" t="n"/>
    </row>
    <row r="141" ht="54.95" customFormat="1" customHeight="1" s="235">
      <c r="A141" s="234" t="n"/>
      <c r="B141" s="234" t="n"/>
      <c r="C141" s="234" t="n"/>
      <c r="D141" s="234" t="n"/>
      <c r="E141" s="234" t="n"/>
      <c r="F141" s="234" t="n"/>
      <c r="G141" s="234" t="n"/>
      <c r="H141" s="234" t="n"/>
      <c r="I141" s="234" t="n"/>
      <c r="J141" s="234" t="n"/>
      <c r="K141" s="234" t="n"/>
      <c r="L141" s="234" t="n"/>
      <c r="M141" s="232" t="n"/>
      <c r="N141" s="233" t="n"/>
      <c r="O141" s="232" t="n"/>
      <c r="P141" s="234" t="n"/>
      <c r="Q141" s="234" t="n"/>
      <c r="R141" s="234" t="n"/>
      <c r="S141" s="234" t="n"/>
      <c r="T141" s="234" t="n"/>
      <c r="U141" s="234" t="n"/>
      <c r="V141" s="234" t="n"/>
      <c r="W141" s="234" t="n"/>
    </row>
    <row r="142" ht="54.95" customFormat="1" customHeight="1" s="235">
      <c r="A142" s="234" t="n"/>
      <c r="B142" s="234" t="n"/>
      <c r="C142" s="234" t="n"/>
      <c r="D142" s="234" t="n"/>
      <c r="E142" s="234" t="n"/>
      <c r="F142" s="234" t="n"/>
      <c r="G142" s="234" t="n"/>
      <c r="H142" s="234" t="n"/>
      <c r="I142" s="234" t="n"/>
      <c r="J142" s="234" t="n"/>
      <c r="K142" s="234" t="n"/>
      <c r="L142" s="234" t="n"/>
      <c r="M142" s="232" t="n"/>
      <c r="N142" s="233" t="n"/>
      <c r="O142" s="232" t="n"/>
      <c r="P142" s="234" t="n"/>
      <c r="Q142" s="234" t="n"/>
      <c r="R142" s="234" t="n"/>
      <c r="S142" s="234" t="n"/>
      <c r="T142" s="234" t="n"/>
      <c r="U142" s="234" t="n"/>
      <c r="V142" s="234" t="n"/>
      <c r="W142" s="234" t="n"/>
    </row>
    <row r="143" ht="54.95" customFormat="1" customHeight="1" s="235">
      <c r="A143" s="234" t="n"/>
      <c r="B143" s="234" t="n"/>
      <c r="C143" s="234" t="n"/>
      <c r="D143" s="234" t="n"/>
      <c r="E143" s="234" t="n"/>
      <c r="F143" s="234" t="n"/>
      <c r="G143" s="234" t="n"/>
      <c r="H143" s="234" t="n"/>
      <c r="I143" s="234" t="n"/>
      <c r="J143" s="234" t="n"/>
      <c r="K143" s="234" t="n"/>
      <c r="L143" s="234" t="n"/>
      <c r="M143" s="232" t="n"/>
      <c r="N143" s="233" t="n"/>
      <c r="O143" s="232" t="n"/>
      <c r="P143" s="234" t="n"/>
      <c r="Q143" s="234" t="n"/>
      <c r="R143" s="234" t="n"/>
      <c r="S143" s="234" t="n"/>
      <c r="T143" s="234" t="n"/>
      <c r="U143" s="234" t="n"/>
      <c r="V143" s="234" t="n"/>
      <c r="W143" s="234" t="n"/>
    </row>
    <row r="144" ht="54.95" customFormat="1" customHeight="1" s="235">
      <c r="A144" s="232" t="n"/>
      <c r="B144" s="232" t="n"/>
      <c r="C144" s="232" t="n"/>
      <c r="D144" s="233" t="n"/>
      <c r="E144" s="232" t="n"/>
      <c r="F144" s="233" t="n"/>
      <c r="G144" s="233" t="n"/>
      <c r="H144" s="233" t="n"/>
      <c r="I144" s="232" t="n"/>
      <c r="J144" s="233" t="n"/>
      <c r="K144" s="232" t="n"/>
      <c r="L144" s="232" t="n"/>
      <c r="M144" s="232" t="n"/>
      <c r="N144" s="233" t="n"/>
      <c r="O144" s="232" t="n"/>
      <c r="P144" s="233" t="n"/>
      <c r="Q144" s="233" t="n"/>
      <c r="R144" s="233" t="n"/>
      <c r="S144" s="232" t="n"/>
      <c r="T144" s="233" t="n"/>
      <c r="U144" s="233" t="n"/>
      <c r="V144" s="233" t="n"/>
      <c r="W144" s="232" t="n"/>
    </row>
    <row r="145" ht="54.95" customFormat="1" customHeight="1" s="235">
      <c r="A145" s="232" t="n"/>
      <c r="B145" s="232" t="n"/>
      <c r="C145" s="232" t="n"/>
      <c r="D145" s="233" t="n"/>
      <c r="E145" s="232" t="n"/>
      <c r="F145" s="233" t="n"/>
      <c r="G145" s="233" t="n"/>
      <c r="H145" s="233" t="n"/>
      <c r="I145" s="232" t="n"/>
      <c r="J145" s="233" t="n"/>
      <c r="K145" s="232" t="n"/>
      <c r="L145" s="232" t="n"/>
      <c r="M145" s="232" t="n"/>
      <c r="N145" s="233" t="n"/>
      <c r="O145" s="232" t="n"/>
      <c r="P145" s="233" t="n"/>
      <c r="Q145" s="233" t="n"/>
      <c r="R145" s="233" t="n"/>
      <c r="S145" s="232" t="n"/>
      <c r="T145" s="233" t="n"/>
      <c r="U145" s="233" t="n"/>
      <c r="V145" s="233" t="n"/>
      <c r="W145" s="232" t="n"/>
    </row>
    <row r="146" ht="54.95" customFormat="1" customHeight="1" s="235">
      <c r="A146" s="232" t="n"/>
      <c r="B146" s="232" t="n"/>
      <c r="C146" s="232" t="n"/>
      <c r="D146" s="233" t="n"/>
      <c r="E146" s="232" t="n"/>
      <c r="F146" s="233" t="n"/>
      <c r="G146" s="233" t="n"/>
      <c r="H146" s="233" t="n"/>
      <c r="I146" s="232" t="n"/>
      <c r="J146" s="233" t="n"/>
      <c r="K146" s="232" t="n"/>
      <c r="L146" s="232" t="n"/>
      <c r="M146" s="232" t="n"/>
      <c r="N146" s="233" t="n"/>
      <c r="O146" s="232" t="n"/>
      <c r="P146" s="233" t="n"/>
      <c r="Q146" s="233" t="n"/>
      <c r="R146" s="233" t="n"/>
      <c r="S146" s="232" t="n"/>
      <c r="T146" s="233" t="n"/>
      <c r="U146" s="233" t="n"/>
      <c r="V146" s="233" t="n"/>
      <c r="W146" s="232" t="n"/>
    </row>
    <row r="147" ht="54.95" customFormat="1" customHeight="1" s="235">
      <c r="A147" s="232" t="n"/>
      <c r="B147" s="232" t="n"/>
      <c r="C147" s="232" t="n"/>
      <c r="D147" s="233" t="n"/>
      <c r="E147" s="232" t="n"/>
      <c r="F147" s="233" t="n"/>
      <c r="G147" s="233" t="n"/>
      <c r="H147" s="233" t="n"/>
      <c r="I147" s="232" t="n"/>
      <c r="J147" s="233" t="n"/>
      <c r="K147" s="232" t="n"/>
      <c r="L147" s="232" t="n"/>
      <c r="M147" s="232" t="n"/>
      <c r="N147" s="233" t="n"/>
      <c r="O147" s="232" t="n"/>
      <c r="P147" s="233" t="n"/>
      <c r="Q147" s="233" t="n"/>
      <c r="R147" s="233" t="n"/>
      <c r="S147" s="232" t="n"/>
      <c r="T147" s="233" t="n"/>
      <c r="U147" s="233" t="n"/>
      <c r="V147" s="233" t="n"/>
      <c r="W147" s="232" t="n"/>
    </row>
    <row r="148" ht="54.95" customFormat="1" customHeight="1" s="235">
      <c r="A148" s="232" t="n"/>
      <c r="B148" s="232" t="n"/>
      <c r="C148" s="232" t="n"/>
      <c r="D148" s="233" t="n"/>
      <c r="E148" s="232" t="n"/>
      <c r="F148" s="233" t="n"/>
      <c r="G148" s="233" t="n"/>
      <c r="H148" s="233" t="n"/>
      <c r="I148" s="232" t="n"/>
      <c r="J148" s="233" t="n"/>
      <c r="K148" s="232" t="n"/>
      <c r="L148" s="232" t="n"/>
      <c r="M148" s="232" t="n"/>
      <c r="N148" s="233" t="n"/>
      <c r="O148" s="232" t="n"/>
      <c r="P148" s="233" t="n"/>
      <c r="Q148" s="233" t="n"/>
      <c r="R148" s="233" t="n"/>
      <c r="S148" s="232" t="n"/>
      <c r="T148" s="233" t="n"/>
      <c r="U148" s="233" t="n"/>
      <c r="V148" s="233" t="n"/>
      <c r="W148" s="232" t="n"/>
    </row>
    <row r="149" ht="54.95" customFormat="1" customHeight="1" s="235">
      <c r="A149" s="232" t="n"/>
      <c r="B149" s="232" t="n"/>
      <c r="C149" s="232" t="n"/>
      <c r="D149" s="233" t="n"/>
      <c r="E149" s="232" t="n"/>
      <c r="F149" s="233" t="n"/>
      <c r="G149" s="233" t="n"/>
      <c r="H149" s="233" t="n"/>
      <c r="I149" s="232" t="n"/>
      <c r="J149" s="233" t="n"/>
      <c r="K149" s="232" t="n"/>
      <c r="L149" s="232" t="n"/>
      <c r="M149" s="232" t="n"/>
      <c r="N149" s="233" t="n"/>
      <c r="O149" s="232" t="n"/>
      <c r="P149" s="233" t="n"/>
      <c r="Q149" s="233" t="n"/>
      <c r="R149" s="233" t="n"/>
      <c r="S149" s="232" t="n"/>
      <c r="T149" s="233" t="n"/>
      <c r="U149" s="233" t="n"/>
      <c r="V149" s="233" t="n"/>
      <c r="W149" s="232" t="n"/>
    </row>
    <row r="150" ht="54.95" customFormat="1" customHeight="1" s="235">
      <c r="A150" s="232" t="n"/>
      <c r="B150" s="232" t="n"/>
      <c r="C150" s="232" t="n"/>
      <c r="D150" s="233" t="n"/>
      <c r="E150" s="232" t="n"/>
      <c r="F150" s="233" t="n"/>
      <c r="G150" s="233" t="n"/>
      <c r="H150" s="233" t="n"/>
      <c r="I150" s="232" t="n"/>
      <c r="J150" s="233" t="n"/>
      <c r="K150" s="232" t="n"/>
      <c r="L150" s="232" t="n"/>
      <c r="M150" s="232" t="n"/>
      <c r="N150" s="233" t="n"/>
      <c r="O150" s="232" t="n"/>
      <c r="P150" s="233" t="n"/>
      <c r="Q150" s="233" t="n"/>
      <c r="R150" s="233" t="n"/>
      <c r="S150" s="232" t="n"/>
      <c r="T150" s="233" t="n"/>
      <c r="U150" s="233" t="n"/>
      <c r="V150" s="233" t="n"/>
      <c r="W150" s="232" t="n"/>
    </row>
    <row r="151" ht="54.95" customFormat="1" customHeight="1" s="235">
      <c r="A151" s="232" t="n"/>
      <c r="B151" s="232" t="n"/>
      <c r="C151" s="232" t="n"/>
      <c r="D151" s="233" t="n"/>
      <c r="E151" s="232" t="n"/>
      <c r="F151" s="233" t="n"/>
      <c r="G151" s="233" t="n"/>
      <c r="H151" s="233" t="n"/>
      <c r="I151" s="232" t="n"/>
      <c r="J151" s="233" t="n"/>
      <c r="K151" s="232" t="n"/>
      <c r="L151" s="232" t="n"/>
      <c r="M151" s="232" t="n"/>
      <c r="N151" s="233" t="n"/>
      <c r="O151" s="232" t="n"/>
      <c r="P151" s="233" t="n"/>
      <c r="Q151" s="233" t="n"/>
      <c r="R151" s="233" t="n"/>
      <c r="S151" s="232" t="n"/>
      <c r="T151" s="233" t="n"/>
      <c r="U151" s="233" t="n"/>
      <c r="V151" s="233" t="n"/>
      <c r="W151" s="232" t="n"/>
    </row>
    <row r="152" ht="54.95" customFormat="1" customHeight="1" s="235">
      <c r="A152" s="232" t="n"/>
      <c r="B152" s="232" t="n"/>
      <c r="C152" s="232" t="n"/>
      <c r="D152" s="233" t="n"/>
      <c r="E152" s="232" t="n"/>
      <c r="F152" s="233" t="n"/>
      <c r="G152" s="233" t="n"/>
      <c r="H152" s="233" t="n"/>
      <c r="I152" s="232" t="n"/>
      <c r="J152" s="233" t="n"/>
      <c r="K152" s="232" t="n"/>
      <c r="L152" s="232" t="n"/>
      <c r="M152" s="232" t="n"/>
      <c r="N152" s="233" t="n"/>
      <c r="O152" s="232" t="n"/>
      <c r="P152" s="233" t="n"/>
      <c r="Q152" s="233" t="n"/>
      <c r="R152" s="233" t="n"/>
      <c r="S152" s="232" t="n"/>
      <c r="T152" s="233" t="n"/>
      <c r="U152" s="233" t="n"/>
      <c r="V152" s="233" t="n"/>
      <c r="W152" s="232" t="n"/>
    </row>
    <row r="153" ht="54.95" customFormat="1" customHeight="1" s="235">
      <c r="A153" s="232" t="n"/>
      <c r="B153" s="232" t="n"/>
      <c r="C153" s="232" t="n"/>
      <c r="D153" s="233" t="n"/>
      <c r="E153" s="232" t="n"/>
      <c r="F153" s="233" t="n"/>
      <c r="G153" s="233" t="n"/>
      <c r="H153" s="233" t="n"/>
      <c r="I153" s="232" t="n"/>
      <c r="J153" s="233" t="n"/>
      <c r="K153" s="232" t="n"/>
      <c r="L153" s="232" t="n"/>
      <c r="M153" s="232" t="n"/>
      <c r="N153" s="233" t="n"/>
      <c r="O153" s="232" t="n"/>
      <c r="P153" s="233" t="n"/>
      <c r="Q153" s="233" t="n"/>
      <c r="R153" s="233" t="n"/>
      <c r="S153" s="232" t="n"/>
      <c r="T153" s="233" t="n"/>
      <c r="U153" s="233" t="n"/>
      <c r="V153" s="233" t="n"/>
      <c r="W153" s="232" t="n"/>
    </row>
    <row r="154" ht="54.95" customFormat="1" customHeight="1" s="235">
      <c r="A154" s="232" t="n"/>
      <c r="B154" s="232" t="n"/>
      <c r="C154" s="232" t="n"/>
      <c r="D154" s="233" t="n"/>
      <c r="E154" s="232" t="n"/>
      <c r="F154" s="233" t="n"/>
      <c r="G154" s="233" t="n"/>
      <c r="H154" s="233" t="n"/>
      <c r="I154" s="232" t="n"/>
      <c r="J154" s="233" t="n"/>
      <c r="K154" s="232" t="n"/>
      <c r="L154" s="232" t="n"/>
      <c r="M154" s="232" t="n"/>
      <c r="N154" s="233" t="n"/>
      <c r="O154" s="232" t="n"/>
      <c r="P154" s="233" t="n"/>
      <c r="Q154" s="233" t="n"/>
      <c r="R154" s="233" t="n"/>
      <c r="S154" s="232" t="n"/>
      <c r="T154" s="233" t="n"/>
      <c r="U154" s="233" t="n"/>
      <c r="V154" s="233" t="n"/>
      <c r="W154" s="232" t="n"/>
    </row>
    <row r="155" ht="54.95" customFormat="1" customHeight="1" s="235">
      <c r="A155" s="232" t="n"/>
      <c r="B155" s="232" t="n"/>
      <c r="C155" s="232" t="n"/>
      <c r="D155" s="233" t="n"/>
      <c r="E155" s="232" t="n"/>
      <c r="F155" s="233" t="n"/>
      <c r="G155" s="233" t="n"/>
      <c r="H155" s="233" t="n"/>
      <c r="I155" s="232" t="n"/>
      <c r="J155" s="233" t="n"/>
      <c r="K155" s="232" t="n"/>
      <c r="L155" s="232" t="n"/>
      <c r="M155" s="232" t="n"/>
      <c r="N155" s="233" t="n"/>
      <c r="O155" s="232" t="n"/>
      <c r="P155" s="233" t="n"/>
      <c r="Q155" s="233" t="n"/>
      <c r="R155" s="233" t="n"/>
      <c r="S155" s="232" t="n"/>
      <c r="T155" s="233" t="n"/>
      <c r="U155" s="233" t="n"/>
      <c r="V155" s="233" t="n"/>
      <c r="W155" s="232" t="n"/>
    </row>
    <row r="156" ht="54.95" customFormat="1" customHeight="1" s="235">
      <c r="A156" s="232" t="n"/>
      <c r="B156" s="232" t="n"/>
      <c r="C156" s="232" t="n"/>
      <c r="D156" s="233" t="n"/>
      <c r="E156" s="232" t="n"/>
      <c r="F156" s="233" t="n"/>
      <c r="G156" s="233" t="n"/>
      <c r="H156" s="233" t="n"/>
      <c r="I156" s="232" t="n"/>
      <c r="J156" s="233" t="n"/>
      <c r="K156" s="232" t="n"/>
      <c r="L156" s="232" t="n"/>
      <c r="M156" s="232" t="n"/>
      <c r="N156" s="233" t="n"/>
      <c r="O156" s="232" t="n"/>
      <c r="P156" s="233" t="n"/>
      <c r="Q156" s="233" t="n"/>
      <c r="R156" s="233" t="n"/>
      <c r="S156" s="232" t="n"/>
      <c r="T156" s="233" t="n"/>
      <c r="U156" s="233" t="n"/>
      <c r="V156" s="233" t="n"/>
      <c r="W156" s="232" t="n"/>
    </row>
    <row r="157" ht="54.95" customFormat="1" customHeight="1" s="235">
      <c r="A157" s="234" t="n"/>
      <c r="B157" s="234" t="n"/>
      <c r="C157" s="234" t="n"/>
      <c r="D157" s="234" t="n"/>
      <c r="E157" s="234" t="n"/>
      <c r="F157" s="234" t="n"/>
      <c r="G157" s="234" t="n"/>
      <c r="H157" s="234" t="n"/>
      <c r="I157" s="234" t="n"/>
      <c r="J157" s="234" t="n"/>
      <c r="K157" s="234" t="n"/>
      <c r="L157" s="234" t="n"/>
      <c r="M157" s="232" t="n"/>
      <c r="N157" s="233" t="n"/>
      <c r="O157" s="232" t="n"/>
      <c r="P157" s="234" t="n"/>
      <c r="Q157" s="234" t="n"/>
      <c r="R157" s="234" t="n"/>
      <c r="S157" s="234" t="n"/>
      <c r="T157" s="234" t="n"/>
      <c r="U157" s="234" t="n"/>
      <c r="V157" s="234" t="n"/>
      <c r="W157" s="234" t="n"/>
    </row>
    <row r="158" ht="54.95" customFormat="1" customHeight="1" s="235">
      <c r="A158" s="232" t="n"/>
      <c r="B158" s="232" t="n"/>
      <c r="C158" s="232" t="n"/>
      <c r="D158" s="233" t="n"/>
      <c r="E158" s="232" t="n"/>
      <c r="F158" s="233" t="n"/>
      <c r="G158" s="233" t="n"/>
      <c r="H158" s="233" t="n"/>
      <c r="I158" s="232" t="n"/>
      <c r="J158" s="233" t="n"/>
      <c r="K158" s="232" t="n"/>
      <c r="L158" s="232" t="n"/>
      <c r="M158" s="232" t="n"/>
      <c r="N158" s="233" t="n"/>
      <c r="O158" s="232" t="n"/>
      <c r="P158" s="233" t="n"/>
      <c r="Q158" s="233" t="n"/>
      <c r="R158" s="233" t="n"/>
      <c r="S158" s="232" t="n"/>
      <c r="T158" s="233" t="n"/>
      <c r="U158" s="233" t="n"/>
      <c r="V158" s="233" t="n"/>
      <c r="W158" s="232" t="n"/>
    </row>
    <row r="159" ht="54.95" customFormat="1" customHeight="1" s="235">
      <c r="A159" s="232" t="n"/>
      <c r="B159" s="232" t="n"/>
      <c r="C159" s="232" t="n"/>
      <c r="D159" s="233" t="n"/>
      <c r="E159" s="232" t="n"/>
      <c r="F159" s="233" t="n"/>
      <c r="G159" s="233" t="n"/>
      <c r="H159" s="233" t="n"/>
      <c r="I159" s="232" t="n"/>
      <c r="J159" s="233" t="n"/>
      <c r="K159" s="232" t="n"/>
      <c r="L159" s="232" t="n"/>
      <c r="M159" s="232" t="n"/>
      <c r="N159" s="233" t="n"/>
      <c r="O159" s="232" t="n"/>
      <c r="P159" s="233" t="n"/>
      <c r="Q159" s="233" t="n"/>
      <c r="R159" s="233" t="n"/>
      <c r="S159" s="232" t="n"/>
      <c r="T159" s="233" t="n"/>
      <c r="U159" s="233" t="n"/>
      <c r="V159" s="233" t="n"/>
      <c r="W159" s="232" t="n"/>
    </row>
    <row r="160" ht="54.95" customFormat="1" customHeight="1" s="235">
      <c r="A160" s="232" t="n"/>
      <c r="B160" s="232" t="n"/>
      <c r="C160" s="232" t="n"/>
      <c r="D160" s="233" t="n"/>
      <c r="E160" s="232" t="n"/>
      <c r="F160" s="233" t="n"/>
      <c r="G160" s="233" t="n"/>
      <c r="H160" s="233" t="n"/>
      <c r="I160" s="232" t="n"/>
      <c r="J160" s="233" t="n"/>
      <c r="K160" s="232" t="n"/>
      <c r="L160" s="232" t="n"/>
      <c r="M160" s="232" t="n"/>
      <c r="N160" s="233" t="n"/>
      <c r="O160" s="232" t="n"/>
      <c r="P160" s="233" t="n"/>
      <c r="Q160" s="233" t="n"/>
      <c r="R160" s="233" t="n"/>
      <c r="S160" s="232" t="n"/>
      <c r="T160" s="233" t="n"/>
      <c r="U160" s="233" t="n"/>
      <c r="V160" s="233" t="n"/>
      <c r="W160" s="232" t="n"/>
    </row>
    <row r="161" ht="54.95" customFormat="1" customHeight="1" s="235">
      <c r="A161" s="232" t="n"/>
      <c r="B161" s="232" t="n"/>
      <c r="C161" s="232" t="n"/>
      <c r="D161" s="233" t="n"/>
      <c r="E161" s="232" t="n"/>
      <c r="F161" s="233" t="n"/>
      <c r="G161" s="233" t="n"/>
      <c r="H161" s="233" t="n"/>
      <c r="I161" s="232" t="n"/>
      <c r="J161" s="233" t="n"/>
      <c r="K161" s="232" t="n"/>
      <c r="L161" s="232" t="n"/>
      <c r="M161" s="232" t="n"/>
      <c r="N161" s="233" t="n"/>
      <c r="O161" s="232" t="n"/>
      <c r="P161" s="233" t="n"/>
      <c r="Q161" s="233" t="n"/>
      <c r="R161" s="233" t="n"/>
      <c r="S161" s="232" t="n"/>
      <c r="T161" s="233" t="n"/>
      <c r="U161" s="233" t="n"/>
      <c r="V161" s="233" t="n"/>
      <c r="W161" s="232" t="n"/>
    </row>
    <row r="162" ht="54.95" customFormat="1" customHeight="1" s="235">
      <c r="A162" s="232" t="n"/>
      <c r="B162" s="232" t="n"/>
      <c r="C162" s="232" t="n"/>
      <c r="D162" s="233" t="n"/>
      <c r="E162" s="232" t="n"/>
      <c r="F162" s="233" t="n"/>
      <c r="G162" s="233" t="n"/>
      <c r="H162" s="233" t="n"/>
      <c r="I162" s="232" t="n"/>
      <c r="J162" s="233" t="n"/>
      <c r="K162" s="232" t="n"/>
      <c r="L162" s="232" t="n"/>
      <c r="M162" s="232" t="n"/>
      <c r="N162" s="233" t="n"/>
      <c r="O162" s="232" t="n"/>
      <c r="P162" s="233" t="n"/>
      <c r="Q162" s="233" t="n"/>
      <c r="R162" s="233" t="n"/>
      <c r="S162" s="232" t="n"/>
      <c r="T162" s="233" t="n"/>
      <c r="U162" s="233" t="n"/>
      <c r="V162" s="233" t="n"/>
      <c r="W162" s="232" t="n"/>
    </row>
    <row r="163" ht="54.95" customFormat="1" customHeight="1" s="235">
      <c r="A163" s="232" t="n"/>
      <c r="B163" s="232" t="n"/>
      <c r="C163" s="232" t="n"/>
      <c r="D163" s="233" t="n"/>
      <c r="E163" s="232" t="n"/>
      <c r="F163" s="233" t="n"/>
      <c r="G163" s="233" t="n"/>
      <c r="H163" s="233" t="n"/>
      <c r="I163" s="232" t="n"/>
      <c r="J163" s="233" t="n"/>
      <c r="K163" s="232" t="n"/>
      <c r="L163" s="232" t="n"/>
      <c r="M163" s="232" t="n"/>
      <c r="N163" s="233" t="n"/>
      <c r="O163" s="232" t="n"/>
      <c r="P163" s="233" t="n"/>
      <c r="Q163" s="233" t="n"/>
      <c r="R163" s="233" t="n"/>
      <c r="S163" s="232" t="n"/>
      <c r="T163" s="233" t="n"/>
      <c r="U163" s="233" t="n"/>
      <c r="V163" s="233" t="n"/>
      <c r="W163" s="232" t="n"/>
    </row>
    <row r="164" ht="54.95" customFormat="1" customHeight="1" s="235">
      <c r="A164" s="232" t="n"/>
      <c r="B164" s="232" t="n"/>
      <c r="C164" s="232" t="n"/>
      <c r="D164" s="233" t="n"/>
      <c r="E164" s="232" t="n"/>
      <c r="F164" s="233" t="n"/>
      <c r="G164" s="233" t="n"/>
      <c r="H164" s="233" t="n"/>
      <c r="I164" s="232" t="n"/>
      <c r="J164" s="233" t="n"/>
      <c r="K164" s="232" t="n"/>
      <c r="L164" s="232" t="n"/>
      <c r="M164" s="232" t="n"/>
      <c r="N164" s="233" t="n"/>
      <c r="O164" s="232" t="n"/>
      <c r="P164" s="233" t="n"/>
      <c r="Q164" s="233" t="n"/>
      <c r="R164" s="233" t="n"/>
      <c r="S164" s="232" t="n"/>
      <c r="T164" s="233" t="n"/>
      <c r="U164" s="233" t="n"/>
      <c r="V164" s="233" t="n"/>
      <c r="W164" s="232" t="n"/>
    </row>
    <row r="165" ht="54.95" customFormat="1" customHeight="1" s="235">
      <c r="A165" s="232" t="n"/>
      <c r="B165" s="232" t="n"/>
      <c r="C165" s="232" t="n"/>
      <c r="D165" s="233" t="n"/>
      <c r="E165" s="232" t="n"/>
      <c r="F165" s="233" t="n"/>
      <c r="G165" s="233" t="n"/>
      <c r="H165" s="233" t="n"/>
      <c r="I165" s="232" t="n"/>
      <c r="J165" s="233" t="n"/>
      <c r="K165" s="232" t="n"/>
      <c r="L165" s="232" t="n"/>
      <c r="M165" s="232" t="n"/>
      <c r="N165" s="233" t="n"/>
      <c r="O165" s="232" t="n"/>
      <c r="P165" s="233" t="n"/>
      <c r="Q165" s="233" t="n"/>
      <c r="R165" s="233" t="n"/>
      <c r="S165" s="232" t="n"/>
      <c r="T165" s="233" t="n"/>
      <c r="U165" s="233" t="n"/>
      <c r="V165" s="233" t="n"/>
      <c r="W165" s="232" t="n"/>
    </row>
    <row r="166" ht="54.95" customFormat="1" customHeight="1" s="235">
      <c r="A166" s="232" t="n"/>
      <c r="B166" s="232" t="n"/>
      <c r="C166" s="232" t="n"/>
      <c r="D166" s="233" t="n"/>
      <c r="E166" s="232" t="n"/>
      <c r="F166" s="233" t="n"/>
      <c r="G166" s="233" t="n"/>
      <c r="H166" s="233" t="n"/>
      <c r="I166" s="232" t="n"/>
      <c r="J166" s="233" t="n"/>
      <c r="K166" s="232" t="n"/>
      <c r="L166" s="232" t="n"/>
      <c r="M166" s="232" t="n"/>
      <c r="N166" s="233" t="n"/>
      <c r="O166" s="232" t="n"/>
      <c r="P166" s="233" t="n"/>
      <c r="Q166" s="233" t="n"/>
      <c r="R166" s="233" t="n"/>
      <c r="S166" s="232" t="n"/>
      <c r="T166" s="233" t="n"/>
      <c r="U166" s="233" t="n"/>
      <c r="V166" s="233" t="n"/>
      <c r="W166" s="232" t="n"/>
    </row>
    <row r="167" ht="54.95" customFormat="1" customHeight="1" s="235">
      <c r="A167" s="232" t="n"/>
      <c r="B167" s="232" t="n"/>
      <c r="C167" s="232" t="n"/>
      <c r="D167" s="233" t="n"/>
      <c r="E167" s="232" t="n"/>
      <c r="F167" s="233" t="n"/>
      <c r="G167" s="233" t="n"/>
      <c r="H167" s="233" t="n"/>
      <c r="I167" s="232" t="n"/>
      <c r="J167" s="233" t="n"/>
      <c r="K167" s="232" t="n"/>
      <c r="L167" s="232" t="n"/>
      <c r="M167" s="232" t="n"/>
      <c r="N167" s="233" t="n"/>
      <c r="O167" s="232" t="n"/>
      <c r="P167" s="233" t="n"/>
      <c r="Q167" s="233" t="n"/>
      <c r="R167" s="233" t="n"/>
      <c r="S167" s="232" t="n"/>
      <c r="T167" s="233" t="n"/>
      <c r="U167" s="233" t="n"/>
      <c r="V167" s="233" t="n"/>
      <c r="W167" s="232" t="n"/>
    </row>
    <row r="168" ht="54.95" customFormat="1" customHeight="1" s="235">
      <c r="A168" s="232" t="n"/>
      <c r="B168" s="232" t="n"/>
      <c r="C168" s="232" t="n"/>
      <c r="D168" s="233" t="n"/>
      <c r="E168" s="232" t="n"/>
      <c r="F168" s="233" t="n"/>
      <c r="G168" s="233" t="n"/>
      <c r="H168" s="233" t="n"/>
      <c r="I168" s="232" t="n"/>
      <c r="J168" s="233" t="n"/>
      <c r="K168" s="232" t="n"/>
      <c r="L168" s="232" t="n"/>
      <c r="M168" s="232" t="n"/>
      <c r="N168" s="233" t="n"/>
      <c r="O168" s="232" t="n"/>
      <c r="P168" s="233" t="n"/>
      <c r="Q168" s="233" t="n"/>
      <c r="R168" s="233" t="n"/>
      <c r="S168" s="232" t="n"/>
      <c r="T168" s="233" t="n"/>
      <c r="U168" s="233" t="n"/>
      <c r="V168" s="233" t="n"/>
      <c r="W168" s="232" t="n"/>
    </row>
    <row r="169" ht="54.95" customFormat="1" customHeight="1" s="235">
      <c r="A169" s="234" t="n"/>
      <c r="B169" s="234" t="n"/>
      <c r="C169" s="234" t="n"/>
      <c r="D169" s="234" t="n"/>
      <c r="E169" s="234" t="n"/>
      <c r="F169" s="234" t="n"/>
      <c r="G169" s="234" t="n"/>
      <c r="H169" s="234" t="n"/>
      <c r="I169" s="234" t="n"/>
      <c r="J169" s="234" t="n"/>
      <c r="K169" s="234" t="n"/>
      <c r="L169" s="234" t="n"/>
      <c r="M169" s="232" t="n"/>
      <c r="N169" s="233" t="n"/>
      <c r="O169" s="232" t="n"/>
      <c r="P169" s="234" t="n"/>
      <c r="Q169" s="234" t="n"/>
      <c r="R169" s="234" t="n"/>
      <c r="S169" s="234" t="n"/>
      <c r="T169" s="234" t="n"/>
      <c r="U169" s="234" t="n"/>
      <c r="V169" s="234" t="n"/>
      <c r="W169" s="234" t="n"/>
    </row>
    <row r="170" ht="54.95" customFormat="1" customHeight="1" s="235">
      <c r="A170" s="232" t="n"/>
      <c r="B170" s="232" t="n"/>
      <c r="C170" s="232" t="n"/>
      <c r="D170" s="233" t="n"/>
      <c r="E170" s="232" t="n"/>
      <c r="F170" s="233" t="n"/>
      <c r="G170" s="233" t="n"/>
      <c r="H170" s="233" t="n"/>
      <c r="I170" s="232" t="n"/>
      <c r="J170" s="233" t="n"/>
      <c r="K170" s="232" t="n"/>
      <c r="L170" s="232" t="n"/>
      <c r="M170" s="232" t="n"/>
      <c r="N170" s="233" t="n"/>
      <c r="O170" s="232" t="n"/>
      <c r="P170" s="233" t="n"/>
      <c r="Q170" s="233" t="n"/>
      <c r="R170" s="233" t="n"/>
      <c r="S170" s="232" t="n"/>
      <c r="T170" s="233" t="n"/>
      <c r="U170" s="233" t="n"/>
      <c r="V170" s="233" t="n"/>
      <c r="W170" s="232" t="n"/>
    </row>
    <row r="171" ht="54.95" customFormat="1" customHeight="1" s="235">
      <c r="A171" s="232" t="n"/>
      <c r="B171" s="232" t="n"/>
      <c r="C171" s="232" t="n"/>
      <c r="D171" s="233" t="n"/>
      <c r="E171" s="232" t="n"/>
      <c r="F171" s="233" t="n"/>
      <c r="G171" s="233" t="n"/>
      <c r="H171" s="233" t="n"/>
      <c r="I171" s="232" t="n"/>
      <c r="J171" s="233" t="n"/>
      <c r="K171" s="232" t="n"/>
      <c r="L171" s="232" t="n"/>
      <c r="M171" s="232" t="n"/>
      <c r="N171" s="233" t="n"/>
      <c r="O171" s="232" t="n"/>
      <c r="P171" s="233" t="n"/>
      <c r="Q171" s="233" t="n"/>
      <c r="R171" s="233" t="n"/>
      <c r="S171" s="232" t="n"/>
      <c r="T171" s="233" t="n"/>
      <c r="U171" s="233" t="n"/>
      <c r="V171" s="233" t="n"/>
      <c r="W171" s="232" t="n"/>
    </row>
    <row r="172" ht="54.95" customFormat="1" customHeight="1" s="235">
      <c r="A172" s="234" t="n"/>
      <c r="B172" s="234" t="n"/>
      <c r="C172" s="234" t="n"/>
      <c r="D172" s="234" t="n"/>
      <c r="E172" s="234" t="n"/>
      <c r="F172" s="234" t="n"/>
      <c r="G172" s="234" t="n"/>
      <c r="H172" s="234" t="n"/>
      <c r="I172" s="234" t="n"/>
      <c r="J172" s="234" t="n"/>
      <c r="K172" s="234" t="n"/>
      <c r="L172" s="234" t="n"/>
      <c r="M172" s="232" t="n"/>
      <c r="N172" s="233" t="n"/>
      <c r="O172" s="232" t="n"/>
      <c r="P172" s="234" t="n"/>
      <c r="Q172" s="234" t="n"/>
      <c r="R172" s="234" t="n"/>
      <c r="S172" s="234" t="n"/>
      <c r="T172" s="234" t="n"/>
      <c r="U172" s="234" t="n"/>
      <c r="V172" s="234" t="n"/>
      <c r="W172" s="234" t="n"/>
    </row>
    <row r="173" ht="54.95" customFormat="1" customHeight="1" s="235">
      <c r="A173" s="234" t="n"/>
      <c r="B173" s="234" t="n"/>
      <c r="C173" s="234" t="n"/>
      <c r="D173" s="234" t="n"/>
      <c r="E173" s="234" t="n"/>
      <c r="F173" s="234" t="n"/>
      <c r="G173" s="234" t="n"/>
      <c r="H173" s="234" t="n"/>
      <c r="I173" s="234" t="n"/>
      <c r="J173" s="234" t="n"/>
      <c r="K173" s="234" t="n"/>
      <c r="L173" s="234" t="n"/>
      <c r="M173" s="232" t="n"/>
      <c r="N173" s="233" t="n"/>
      <c r="O173" s="232" t="n"/>
      <c r="P173" s="234" t="n"/>
      <c r="Q173" s="234" t="n"/>
      <c r="R173" s="234" t="n"/>
      <c r="S173" s="234" t="n"/>
      <c r="T173" s="234" t="n"/>
      <c r="U173" s="234" t="n"/>
      <c r="V173" s="234" t="n"/>
      <c r="W173" s="234" t="n"/>
    </row>
    <row r="174" ht="54.95" customFormat="1" customHeight="1" s="235">
      <c r="A174" s="232" t="n"/>
      <c r="B174" s="232" t="n"/>
      <c r="C174" s="232" t="n"/>
      <c r="D174" s="233" t="n"/>
      <c r="E174" s="232" t="n"/>
      <c r="F174" s="233" t="n"/>
      <c r="G174" s="233" t="n"/>
      <c r="H174" s="233" t="n"/>
      <c r="I174" s="232" t="n"/>
      <c r="J174" s="233" t="n"/>
      <c r="K174" s="232" t="n"/>
      <c r="L174" s="232" t="n"/>
      <c r="M174" s="232" t="n"/>
      <c r="N174" s="233" t="n"/>
      <c r="O174" s="232" t="n"/>
      <c r="P174" s="233" t="n"/>
      <c r="Q174" s="233" t="n"/>
      <c r="R174" s="233" t="n"/>
      <c r="S174" s="232" t="n"/>
      <c r="T174" s="233" t="n"/>
      <c r="U174" s="233" t="n"/>
      <c r="V174" s="233" t="n"/>
      <c r="W174" s="232" t="n"/>
    </row>
    <row r="175" ht="54.95" customFormat="1" customHeight="1" s="235">
      <c r="A175" s="232" t="n"/>
      <c r="B175" s="232" t="n"/>
      <c r="C175" s="232" t="n"/>
      <c r="D175" s="233" t="n"/>
      <c r="E175" s="232" t="n"/>
      <c r="F175" s="233" t="n"/>
      <c r="G175" s="233" t="n"/>
      <c r="H175" s="233" t="n"/>
      <c r="I175" s="232" t="n"/>
      <c r="J175" s="233" t="n"/>
      <c r="K175" s="232" t="n"/>
      <c r="L175" s="232" t="n"/>
      <c r="M175" s="232" t="n"/>
      <c r="N175" s="233" t="n"/>
      <c r="O175" s="232" t="n"/>
      <c r="P175" s="233" t="n"/>
      <c r="Q175" s="233" t="n"/>
      <c r="R175" s="233" t="n"/>
      <c r="S175" s="232" t="n"/>
      <c r="T175" s="233" t="n"/>
      <c r="U175" s="233" t="n"/>
      <c r="V175" s="233" t="n"/>
      <c r="W175" s="232" t="n"/>
    </row>
    <row r="176" ht="54.95" customFormat="1" customHeight="1" s="235">
      <c r="A176" s="234" t="n"/>
      <c r="B176" s="234" t="n"/>
      <c r="C176" s="234" t="n"/>
      <c r="D176" s="234" t="n"/>
      <c r="E176" s="234" t="n"/>
      <c r="F176" s="234" t="n"/>
      <c r="G176" s="234" t="n"/>
      <c r="H176" s="234" t="n"/>
      <c r="I176" s="234" t="n"/>
      <c r="J176" s="234" t="n"/>
      <c r="K176" s="234" t="n"/>
      <c r="L176" s="234" t="n"/>
      <c r="M176" s="232" t="n"/>
      <c r="N176" s="233" t="n"/>
      <c r="O176" s="232" t="n"/>
      <c r="P176" s="234" t="n"/>
      <c r="Q176" s="234" t="n"/>
      <c r="R176" s="234" t="n"/>
      <c r="S176" s="234" t="n"/>
      <c r="T176" s="234" t="n"/>
      <c r="U176" s="234" t="n"/>
      <c r="V176" s="234" t="n"/>
      <c r="W176" s="234" t="n"/>
    </row>
    <row r="177" ht="54.95" customFormat="1" customHeight="1" s="37">
      <c r="A177" s="232" t="n"/>
      <c r="B177" s="232" t="n"/>
      <c r="C177" s="232" t="n"/>
      <c r="D177" s="233" t="n"/>
      <c r="E177" s="232" t="n"/>
      <c r="F177" s="233" t="n"/>
      <c r="G177" s="233" t="n"/>
      <c r="H177" s="233" t="n"/>
      <c r="I177" s="232" t="n"/>
      <c r="J177" s="233" t="n"/>
      <c r="K177" s="232" t="n"/>
      <c r="L177" s="232" t="n"/>
      <c r="M177" s="232" t="n"/>
      <c r="N177" s="233" t="n"/>
      <c r="O177" s="232" t="n"/>
      <c r="P177" s="233" t="n"/>
      <c r="Q177" s="233" t="n"/>
      <c r="R177" s="233" t="n"/>
      <c r="S177" s="232" t="n"/>
      <c r="T177" s="233" t="n"/>
      <c r="U177" s="233" t="n"/>
      <c r="V177" s="233" t="n"/>
      <c r="W177" s="232" t="n"/>
    </row>
    <row r="178" ht="54.95" customFormat="1" customHeight="1" s="37">
      <c r="A178" s="234" t="n"/>
      <c r="B178" s="234" t="n"/>
      <c r="C178" s="234" t="n"/>
      <c r="D178" s="234" t="n"/>
      <c r="E178" s="234" t="n"/>
      <c r="F178" s="234" t="n"/>
      <c r="G178" s="234" t="n"/>
      <c r="H178" s="234" t="n"/>
      <c r="I178" s="234" t="n"/>
      <c r="J178" s="234" t="n"/>
      <c r="K178" s="234" t="n"/>
      <c r="L178" s="234" t="n"/>
      <c r="M178" s="232" t="n"/>
      <c r="N178" s="233" t="n"/>
      <c r="O178" s="232" t="n"/>
      <c r="P178" s="234" t="n"/>
      <c r="Q178" s="234" t="n"/>
      <c r="R178" s="234" t="n"/>
      <c r="S178" s="234" t="n"/>
      <c r="T178" s="234" t="n"/>
      <c r="U178" s="234" t="n"/>
      <c r="V178" s="234" t="n"/>
      <c r="W178" s="234" t="n"/>
    </row>
    <row r="179" ht="54.95" customFormat="1" customHeight="1" s="37">
      <c r="A179" s="232" t="n"/>
      <c r="B179" s="232" t="n"/>
      <c r="C179" s="232" t="n"/>
      <c r="D179" s="233" t="n"/>
      <c r="E179" s="232" t="n"/>
      <c r="F179" s="233" t="n"/>
      <c r="G179" s="233" t="n"/>
      <c r="H179" s="233" t="n"/>
      <c r="I179" s="232" t="n"/>
      <c r="J179" s="233" t="n"/>
      <c r="K179" s="232" t="n"/>
      <c r="L179" s="232" t="n"/>
      <c r="M179" s="232" t="n"/>
      <c r="N179" s="233" t="n"/>
      <c r="O179" s="232" t="n"/>
      <c r="P179" s="233" t="n"/>
      <c r="Q179" s="233" t="n"/>
      <c r="R179" s="233" t="n"/>
      <c r="S179" s="232" t="n"/>
      <c r="T179" s="233" t="n"/>
      <c r="U179" s="233" t="n"/>
      <c r="V179" s="233" t="n"/>
      <c r="W179" s="232" t="n"/>
    </row>
    <row r="180" ht="54.95" customFormat="1" customHeight="1" s="37">
      <c r="A180" s="232" t="n"/>
      <c r="B180" s="232" t="n"/>
      <c r="C180" s="232" t="n"/>
      <c r="D180" s="233" t="n"/>
      <c r="E180" s="232" t="n"/>
      <c r="F180" s="233" t="n"/>
      <c r="G180" s="233" t="n"/>
      <c r="H180" s="233" t="n"/>
      <c r="I180" s="232" t="n"/>
      <c r="J180" s="233" t="n"/>
      <c r="K180" s="232" t="n"/>
      <c r="L180" s="232" t="n"/>
      <c r="M180" s="232" t="n"/>
      <c r="N180" s="233" t="n"/>
      <c r="O180" s="232" t="n"/>
      <c r="P180" s="233" t="n"/>
      <c r="Q180" s="233" t="n"/>
      <c r="R180" s="233" t="n"/>
      <c r="S180" s="232" t="n"/>
      <c r="T180" s="233" t="n"/>
      <c r="U180" s="233" t="n"/>
      <c r="V180" s="233" t="n"/>
      <c r="W180" s="232" t="n"/>
    </row>
    <row r="181" ht="54.95" customFormat="1" customHeight="1" s="37">
      <c r="A181" s="232" t="n"/>
      <c r="B181" s="232" t="n"/>
      <c r="C181" s="232" t="n"/>
      <c r="D181" s="233" t="n"/>
      <c r="E181" s="232" t="n"/>
      <c r="F181" s="233" t="n"/>
      <c r="G181" s="233" t="n"/>
      <c r="H181" s="233" t="n"/>
      <c r="I181" s="232" t="n"/>
      <c r="J181" s="233" t="n"/>
      <c r="K181" s="232" t="n"/>
      <c r="L181" s="232" t="n"/>
      <c r="M181" s="232" t="n"/>
      <c r="N181" s="233" t="n"/>
      <c r="O181" s="232" t="n"/>
      <c r="P181" s="233" t="n"/>
      <c r="Q181" s="233" t="n"/>
      <c r="R181" s="233" t="n"/>
      <c r="S181" s="232" t="n"/>
      <c r="T181" s="233" t="n"/>
      <c r="U181" s="233" t="n"/>
      <c r="V181" s="233" t="n"/>
      <c r="W181" s="232" t="n"/>
    </row>
    <row r="182" ht="54.95" customFormat="1" customHeight="1" s="37">
      <c r="A182" s="232" t="n"/>
      <c r="B182" s="232" t="n"/>
      <c r="C182" s="232" t="n"/>
      <c r="D182" s="233" t="n"/>
      <c r="E182" s="232" t="n"/>
      <c r="F182" s="233" t="n"/>
      <c r="G182" s="233" t="n"/>
      <c r="H182" s="233" t="n"/>
      <c r="I182" s="232" t="n"/>
      <c r="J182" s="233" t="n"/>
      <c r="K182" s="232" t="n"/>
      <c r="L182" s="232" t="n"/>
      <c r="M182" s="232" t="n"/>
      <c r="N182" s="233" t="n"/>
      <c r="O182" s="232" t="n"/>
      <c r="P182" s="233" t="n"/>
      <c r="Q182" s="233" t="n"/>
      <c r="R182" s="233" t="n"/>
      <c r="S182" s="232" t="n"/>
      <c r="T182" s="233" t="n"/>
      <c r="U182" s="233" t="n"/>
      <c r="V182" s="233" t="n"/>
      <c r="W182" s="232" t="n"/>
    </row>
    <row r="183" ht="54.95" customFormat="1" customHeight="1" s="37">
      <c r="A183" s="232" t="n"/>
      <c r="B183" s="232" t="n"/>
      <c r="C183" s="232" t="n"/>
      <c r="D183" s="233" t="n"/>
      <c r="E183" s="232" t="n"/>
      <c r="F183" s="233" t="n"/>
      <c r="G183" s="233" t="n"/>
      <c r="H183" s="233" t="n"/>
      <c r="I183" s="232" t="n"/>
      <c r="J183" s="233" t="n"/>
      <c r="K183" s="232" t="n"/>
      <c r="L183" s="232" t="n"/>
      <c r="M183" s="232" t="n"/>
      <c r="N183" s="233" t="n"/>
      <c r="O183" s="232" t="n"/>
      <c r="P183" s="233" t="n"/>
      <c r="Q183" s="233" t="n"/>
      <c r="R183" s="233" t="n"/>
      <c r="S183" s="232" t="n"/>
      <c r="T183" s="233" t="n"/>
      <c r="U183" s="233" t="n"/>
      <c r="V183" s="233" t="n"/>
      <c r="W183" s="232" t="n"/>
    </row>
    <row r="184" ht="54.95" customFormat="1" customHeight="1" s="235">
      <c r="A184" s="232" t="n"/>
      <c r="B184" s="232" t="n"/>
      <c r="C184" s="232" t="n"/>
      <c r="D184" s="233" t="n"/>
      <c r="E184" s="232" t="n"/>
      <c r="F184" s="233" t="n"/>
      <c r="G184" s="233" t="n"/>
      <c r="H184" s="233" t="n"/>
      <c r="I184" s="232" t="n"/>
      <c r="J184" s="233" t="n"/>
      <c r="K184" s="232" t="n"/>
      <c r="L184" s="232" t="n"/>
      <c r="M184" s="232" t="n"/>
      <c r="N184" s="233" t="n"/>
      <c r="O184" s="232" t="n"/>
      <c r="P184" s="233" t="n"/>
      <c r="Q184" s="233" t="n"/>
      <c r="R184" s="233" t="n"/>
      <c r="S184" s="232" t="n"/>
      <c r="T184" s="233" t="n"/>
      <c r="U184" s="233" t="n"/>
      <c r="V184" s="233" t="n"/>
      <c r="W184" s="232" t="n"/>
    </row>
    <row r="185" ht="54.95" customFormat="1" customHeight="1" s="37">
      <c r="A185" s="232" t="n"/>
      <c r="B185" s="232" t="n"/>
      <c r="C185" s="232" t="n"/>
      <c r="D185" s="233" t="n"/>
      <c r="E185" s="232" t="n"/>
      <c r="F185" s="233" t="n"/>
      <c r="G185" s="233" t="n"/>
      <c r="H185" s="233" t="n"/>
      <c r="I185" s="232" t="n"/>
      <c r="J185" s="233" t="n"/>
      <c r="K185" s="232" t="n"/>
      <c r="L185" s="232" t="n"/>
      <c r="M185" s="232" t="n"/>
      <c r="N185" s="233" t="n"/>
      <c r="O185" s="232" t="n"/>
      <c r="P185" s="233" t="n"/>
      <c r="Q185" s="233" t="n"/>
      <c r="R185" s="233" t="n"/>
      <c r="S185" s="232" t="n"/>
      <c r="T185" s="233" t="n"/>
      <c r="U185" s="233" t="n"/>
      <c r="V185" s="233" t="n"/>
      <c r="W185" s="232" t="n"/>
    </row>
    <row r="186" ht="54.95" customFormat="1" customHeight="1" s="37">
      <c r="A186" s="232" t="n"/>
      <c r="B186" s="232" t="n"/>
      <c r="C186" s="232" t="n"/>
      <c r="D186" s="233" t="n"/>
      <c r="E186" s="232" t="n"/>
      <c r="F186" s="233" t="n"/>
      <c r="G186" s="233" t="n"/>
      <c r="H186" s="233" t="n"/>
      <c r="I186" s="232" t="n"/>
      <c r="J186" s="233" t="n"/>
      <c r="K186" s="232" t="n"/>
      <c r="L186" s="232" t="n"/>
      <c r="M186" s="232" t="n"/>
      <c r="N186" s="233" t="n"/>
      <c r="O186" s="232" t="n"/>
      <c r="P186" s="233" t="n"/>
      <c r="Q186" s="233" t="n"/>
      <c r="R186" s="233" t="n"/>
      <c r="S186" s="232" t="n"/>
      <c r="T186" s="233" t="n"/>
      <c r="U186" s="233" t="n"/>
      <c r="V186" s="233" t="n"/>
      <c r="W186" s="232" t="n"/>
    </row>
    <row r="187" ht="54.95" customFormat="1" customHeight="1" s="37">
      <c r="A187" s="232" t="n"/>
      <c r="B187" s="232" t="n"/>
      <c r="C187" s="232" t="n"/>
      <c r="D187" s="233" t="n"/>
      <c r="E187" s="232" t="n"/>
      <c r="F187" s="233" t="n"/>
      <c r="G187" s="233" t="n"/>
      <c r="H187" s="233" t="n"/>
      <c r="I187" s="232" t="n"/>
      <c r="J187" s="233" t="n"/>
      <c r="K187" s="232" t="n"/>
      <c r="L187" s="232" t="n"/>
      <c r="M187" s="232" t="n"/>
      <c r="N187" s="233" t="n"/>
      <c r="O187" s="232" t="n"/>
      <c r="P187" s="233" t="n"/>
      <c r="Q187" s="233" t="n"/>
      <c r="R187" s="233" t="n"/>
      <c r="S187" s="232" t="n"/>
      <c r="T187" s="233" t="n"/>
      <c r="U187" s="233" t="n"/>
      <c r="V187" s="233" t="n"/>
      <c r="W187" s="232" t="n"/>
    </row>
    <row r="188" ht="54.95" customFormat="1" customHeight="1" s="37">
      <c r="A188" s="232" t="n"/>
      <c r="B188" s="232" t="n"/>
      <c r="C188" s="232" t="n"/>
      <c r="D188" s="233" t="n"/>
      <c r="E188" s="232" t="n"/>
      <c r="F188" s="233" t="n"/>
      <c r="G188" s="233" t="n"/>
      <c r="H188" s="233" t="n"/>
      <c r="I188" s="232" t="n"/>
      <c r="J188" s="233" t="n"/>
      <c r="K188" s="232" t="n"/>
      <c r="L188" s="232" t="n"/>
      <c r="M188" s="232" t="n"/>
      <c r="N188" s="233" t="n"/>
      <c r="O188" s="232" t="n"/>
      <c r="P188" s="233" t="n"/>
      <c r="Q188" s="233" t="n"/>
      <c r="R188" s="233" t="n"/>
      <c r="S188" s="232" t="n"/>
      <c r="T188" s="233" t="n"/>
      <c r="U188" s="233" t="n"/>
      <c r="V188" s="233" t="n"/>
      <c r="W188" s="232" t="n"/>
    </row>
    <row r="189" ht="54.95" customFormat="1" customHeight="1" s="37">
      <c r="A189" s="232" t="n"/>
      <c r="B189" s="232" t="n"/>
      <c r="C189" s="232" t="n"/>
      <c r="D189" s="233" t="n"/>
      <c r="E189" s="232" t="n"/>
      <c r="F189" s="233" t="n"/>
      <c r="G189" s="233" t="n"/>
      <c r="H189" s="233" t="n"/>
      <c r="I189" s="232" t="n"/>
      <c r="J189" s="233" t="n"/>
      <c r="K189" s="232" t="n"/>
      <c r="L189" s="232" t="n"/>
      <c r="M189" s="232" t="n"/>
      <c r="N189" s="233" t="n"/>
      <c r="O189" s="232" t="n"/>
      <c r="P189" s="233" t="n"/>
      <c r="Q189" s="233" t="n"/>
      <c r="R189" s="233" t="n"/>
      <c r="S189" s="232" t="n"/>
      <c r="T189" s="233" t="n"/>
      <c r="U189" s="233" t="n"/>
      <c r="V189" s="233" t="n"/>
      <c r="W189" s="232" t="n"/>
    </row>
    <row r="190" ht="54.95" customFormat="1" customHeight="1" s="235">
      <c r="A190" s="234" t="n"/>
      <c r="B190" s="234" t="n"/>
      <c r="C190" s="234" t="n"/>
      <c r="D190" s="234" t="n"/>
      <c r="E190" s="234" t="n"/>
      <c r="F190" s="234" t="n"/>
      <c r="G190" s="234" t="n"/>
      <c r="H190" s="234" t="n"/>
      <c r="I190" s="234" t="n"/>
      <c r="J190" s="234" t="n"/>
      <c r="K190" s="234" t="n"/>
      <c r="L190" s="234" t="n"/>
      <c r="M190" s="232" t="n"/>
      <c r="N190" s="233" t="n"/>
      <c r="O190" s="232" t="n"/>
      <c r="P190" s="234" t="n"/>
      <c r="Q190" s="234" t="n"/>
      <c r="R190" s="234" t="n"/>
      <c r="S190" s="234" t="n"/>
      <c r="T190" s="234" t="n"/>
      <c r="U190" s="234" t="n"/>
      <c r="V190" s="234" t="n"/>
      <c r="W190" s="234" t="n"/>
    </row>
    <row r="191" ht="54.95" customFormat="1" customHeight="1" s="37">
      <c r="A191" s="234" t="n"/>
      <c r="B191" s="234" t="n"/>
      <c r="C191" s="234" t="n"/>
      <c r="D191" s="234" t="n"/>
      <c r="E191" s="234" t="n"/>
      <c r="F191" s="234" t="n"/>
      <c r="G191" s="234" t="n"/>
      <c r="H191" s="234" t="n"/>
      <c r="I191" s="234" t="n"/>
      <c r="J191" s="234" t="n"/>
      <c r="K191" s="234" t="n"/>
      <c r="L191" s="234" t="n"/>
      <c r="M191" s="232" t="n"/>
      <c r="N191" s="233" t="n"/>
      <c r="O191" s="232" t="n"/>
      <c r="P191" s="234" t="n"/>
      <c r="Q191" s="234" t="n"/>
      <c r="R191" s="234" t="n"/>
      <c r="S191" s="234" t="n"/>
      <c r="T191" s="234" t="n"/>
      <c r="U191" s="234" t="n"/>
      <c r="V191" s="234" t="n"/>
      <c r="W191" s="234" t="n"/>
    </row>
    <row r="192" ht="54.95" customFormat="1" customHeight="1" s="37">
      <c r="A192" s="234" t="n"/>
      <c r="B192" s="234" t="n"/>
      <c r="C192" s="234" t="n"/>
      <c r="D192" s="234" t="n"/>
      <c r="E192" s="234" t="n"/>
      <c r="F192" s="234" t="n"/>
      <c r="G192" s="234" t="n"/>
      <c r="H192" s="234" t="n"/>
      <c r="I192" s="234" t="n"/>
      <c r="J192" s="234" t="n"/>
      <c r="K192" s="234" t="n"/>
      <c r="L192" s="234" t="n"/>
      <c r="M192" s="232" t="n"/>
      <c r="N192" s="233" t="n"/>
      <c r="O192" s="232" t="n"/>
      <c r="P192" s="234" t="n"/>
      <c r="Q192" s="234" t="n"/>
      <c r="R192" s="234" t="n"/>
      <c r="S192" s="234" t="n"/>
      <c r="T192" s="234" t="n"/>
      <c r="U192" s="234" t="n"/>
      <c r="V192" s="234" t="n"/>
      <c r="W192" s="234" t="n"/>
    </row>
    <row r="193" ht="54.95" customFormat="1" customHeight="1" s="37">
      <c r="A193" s="234" t="n"/>
      <c r="B193" s="234" t="n"/>
      <c r="C193" s="234" t="n"/>
      <c r="D193" s="234" t="n"/>
      <c r="E193" s="234" t="n"/>
      <c r="F193" s="234" t="n"/>
      <c r="G193" s="234" t="n"/>
      <c r="H193" s="234" t="n"/>
      <c r="I193" s="234" t="n"/>
      <c r="J193" s="234" t="n"/>
      <c r="K193" s="234" t="n"/>
      <c r="L193" s="234" t="n"/>
      <c r="M193" s="232" t="n"/>
      <c r="N193" s="233" t="n"/>
      <c r="O193" s="232" t="n"/>
      <c r="P193" s="234" t="n"/>
      <c r="Q193" s="234" t="n"/>
      <c r="R193" s="234" t="n"/>
      <c r="S193" s="234" t="n"/>
      <c r="T193" s="234" t="n"/>
      <c r="U193" s="234" t="n"/>
      <c r="V193" s="234" t="n"/>
      <c r="W193" s="234" t="n"/>
    </row>
    <row r="194" ht="54.95" customFormat="1" customHeight="1" s="37">
      <c r="A194" s="234" t="n"/>
      <c r="B194" s="234" t="n"/>
      <c r="C194" s="234" t="n"/>
      <c r="D194" s="234" t="n"/>
      <c r="E194" s="234" t="n"/>
      <c r="F194" s="234" t="n"/>
      <c r="G194" s="234" t="n"/>
      <c r="H194" s="234" t="n"/>
      <c r="I194" s="234" t="n"/>
      <c r="J194" s="234" t="n"/>
      <c r="K194" s="234" t="n"/>
      <c r="L194" s="234" t="n"/>
      <c r="M194" s="232" t="n"/>
      <c r="N194" s="233" t="n"/>
      <c r="O194" s="232" t="n"/>
      <c r="P194" s="234" t="n"/>
      <c r="Q194" s="234" t="n"/>
      <c r="R194" s="234" t="n"/>
      <c r="S194" s="234" t="n"/>
      <c r="T194" s="234" t="n"/>
      <c r="U194" s="234" t="n"/>
      <c r="V194" s="234" t="n"/>
      <c r="W194" s="234" t="n"/>
    </row>
    <row r="195" ht="54.95" customFormat="1" customHeight="1" s="37">
      <c r="A195" s="232" t="n"/>
      <c r="B195" s="232" t="n"/>
      <c r="C195" s="232" t="n"/>
      <c r="D195" s="233" t="n"/>
      <c r="E195" s="232" t="n"/>
      <c r="F195" s="233" t="n"/>
      <c r="G195" s="233" t="n"/>
      <c r="H195" s="233" t="n"/>
      <c r="I195" s="232" t="n"/>
      <c r="J195" s="233" t="n"/>
      <c r="K195" s="232" t="n"/>
      <c r="L195" s="232" t="n"/>
      <c r="M195" s="232" t="n"/>
      <c r="N195" s="233" t="n"/>
      <c r="O195" s="232" t="n"/>
      <c r="P195" s="233" t="n"/>
      <c r="Q195" s="233" t="n"/>
      <c r="R195" s="233" t="n"/>
      <c r="S195" s="232" t="n"/>
      <c r="T195" s="233" t="n"/>
      <c r="U195" s="233" t="n"/>
      <c r="V195" s="233" t="n"/>
      <c r="W195" s="232" t="n"/>
    </row>
    <row r="196" ht="54.95" customFormat="1" customHeight="1" s="37">
      <c r="A196" s="234" t="n"/>
      <c r="B196" s="234" t="n"/>
      <c r="C196" s="234" t="n"/>
      <c r="D196" s="234" t="n"/>
      <c r="E196" s="234" t="n"/>
      <c r="F196" s="234" t="n"/>
      <c r="G196" s="234" t="n"/>
      <c r="H196" s="234" t="n"/>
      <c r="I196" s="234" t="n"/>
      <c r="J196" s="234" t="n"/>
      <c r="K196" s="234" t="n"/>
      <c r="L196" s="234" t="n"/>
      <c r="M196" s="232" t="n"/>
      <c r="N196" s="233" t="n"/>
      <c r="O196" s="232" t="n"/>
      <c r="P196" s="234" t="n"/>
      <c r="Q196" s="234" t="n"/>
      <c r="R196" s="234" t="n"/>
      <c r="S196" s="234" t="n"/>
      <c r="T196" s="234" t="n"/>
      <c r="U196" s="234" t="n"/>
      <c r="V196" s="234" t="n"/>
      <c r="W196" s="234" t="n"/>
    </row>
    <row r="197" ht="54.95" customFormat="1" customHeight="1" s="37">
      <c r="A197" s="232" t="n"/>
      <c r="B197" s="232" t="n"/>
      <c r="C197" s="232" t="n"/>
      <c r="D197" s="233" t="n"/>
      <c r="E197" s="232" t="n"/>
      <c r="F197" s="233" t="n"/>
      <c r="G197" s="233" t="n"/>
      <c r="H197" s="233" t="n"/>
      <c r="I197" s="232" t="n"/>
      <c r="J197" s="233" t="n"/>
      <c r="K197" s="232" t="n"/>
      <c r="L197" s="232" t="n"/>
      <c r="M197" s="232" t="n"/>
      <c r="N197" s="233" t="n"/>
      <c r="O197" s="232" t="n"/>
      <c r="P197" s="233" t="n"/>
      <c r="Q197" s="233" t="n"/>
      <c r="R197" s="233" t="n"/>
      <c r="S197" s="232" t="n"/>
      <c r="T197" s="233" t="n"/>
      <c r="U197" s="233" t="n"/>
      <c r="V197" s="233" t="n"/>
      <c r="W197" s="232" t="n"/>
    </row>
    <row r="198" ht="54.95" customFormat="1" customHeight="1" s="37">
      <c r="A198" s="232" t="n"/>
      <c r="B198" s="232" t="n"/>
      <c r="C198" s="232" t="n"/>
      <c r="D198" s="233" t="n"/>
      <c r="E198" s="232" t="n"/>
      <c r="F198" s="233" t="n"/>
      <c r="G198" s="233" t="n"/>
      <c r="H198" s="233" t="n"/>
      <c r="I198" s="232" t="n"/>
      <c r="J198" s="233" t="n"/>
      <c r="K198" s="232" t="n"/>
      <c r="L198" s="232" t="n"/>
      <c r="M198" s="232" t="n"/>
      <c r="N198" s="233" t="n"/>
      <c r="O198" s="232" t="n"/>
      <c r="P198" s="233" t="n"/>
      <c r="Q198" s="233" t="n"/>
      <c r="R198" s="233" t="n"/>
      <c r="S198" s="232" t="n"/>
      <c r="T198" s="233" t="n"/>
      <c r="U198" s="233" t="n"/>
      <c r="V198" s="233" t="n"/>
      <c r="W198" s="232" t="n"/>
    </row>
    <row r="199" ht="54.95" customFormat="1" customHeight="1" s="37">
      <c r="A199" s="232" t="n"/>
      <c r="B199" s="232" t="n"/>
      <c r="C199" s="232" t="n"/>
      <c r="D199" s="233" t="n"/>
      <c r="E199" s="232" t="n"/>
      <c r="F199" s="233" t="n"/>
      <c r="G199" s="233" t="n"/>
      <c r="H199" s="233" t="n"/>
      <c r="I199" s="232" t="n"/>
      <c r="J199" s="233" t="n"/>
      <c r="K199" s="232" t="n"/>
      <c r="L199" s="232" t="n"/>
      <c r="M199" s="232" t="n"/>
      <c r="N199" s="233" t="n"/>
      <c r="O199" s="232" t="n"/>
      <c r="P199" s="233" t="n"/>
      <c r="Q199" s="233" t="n"/>
      <c r="R199" s="233" t="n"/>
      <c r="S199" s="232" t="n"/>
      <c r="T199" s="233" t="n"/>
      <c r="U199" s="233" t="n"/>
      <c r="V199" s="233" t="n"/>
      <c r="W199" s="232" t="n"/>
    </row>
    <row r="200" ht="54.95" customFormat="1" customHeight="1" s="37">
      <c r="A200" s="232" t="n"/>
      <c r="B200" s="232" t="n"/>
      <c r="C200" s="232" t="n"/>
      <c r="D200" s="233" t="n"/>
      <c r="E200" s="232" t="n"/>
      <c r="F200" s="233" t="n"/>
      <c r="G200" s="233" t="n"/>
      <c r="H200" s="233" t="n"/>
      <c r="I200" s="232" t="n"/>
      <c r="J200" s="233" t="n"/>
      <c r="K200" s="232" t="n"/>
      <c r="L200" s="232" t="n"/>
      <c r="M200" s="232" t="n"/>
      <c r="N200" s="233" t="n"/>
      <c r="O200" s="232" t="n"/>
      <c r="P200" s="233" t="n"/>
      <c r="Q200" s="233" t="n"/>
      <c r="R200" s="233" t="n"/>
      <c r="S200" s="232" t="n"/>
      <c r="T200" s="233" t="n"/>
      <c r="U200" s="233" t="n"/>
      <c r="V200" s="233" t="n"/>
      <c r="W200" s="232" t="n"/>
    </row>
    <row r="201" ht="54.95" customFormat="1" customHeight="1" s="37">
      <c r="A201" s="232" t="n"/>
      <c r="B201" s="232" t="n"/>
      <c r="C201" s="232" t="n"/>
      <c r="D201" s="233" t="n"/>
      <c r="E201" s="232" t="n"/>
      <c r="F201" s="233" t="n"/>
      <c r="G201" s="233" t="n"/>
      <c r="H201" s="233" t="n"/>
      <c r="I201" s="232" t="n"/>
      <c r="J201" s="233" t="n"/>
      <c r="K201" s="232" t="n"/>
      <c r="L201" s="232" t="n"/>
      <c r="M201" s="232" t="n"/>
      <c r="N201" s="233" t="n"/>
      <c r="O201" s="232" t="n"/>
      <c r="P201" s="233" t="n"/>
      <c r="Q201" s="233" t="n"/>
      <c r="R201" s="233" t="n"/>
      <c r="S201" s="232" t="n"/>
      <c r="T201" s="233" t="n"/>
      <c r="U201" s="233" t="n"/>
      <c r="V201" s="233" t="n"/>
      <c r="W201" s="232" t="n"/>
    </row>
    <row r="202" ht="54.95" customFormat="1" customHeight="1" s="37">
      <c r="A202" s="232" t="n"/>
      <c r="B202" s="232" t="n"/>
      <c r="C202" s="232" t="n"/>
      <c r="D202" s="233" t="n"/>
      <c r="E202" s="232" t="n"/>
      <c r="F202" s="233" t="n"/>
      <c r="G202" s="233" t="n"/>
      <c r="H202" s="233" t="n"/>
      <c r="I202" s="232" t="n"/>
      <c r="J202" s="233" t="n"/>
      <c r="K202" s="232" t="n"/>
      <c r="L202" s="232" t="n"/>
      <c r="M202" s="232" t="n"/>
      <c r="N202" s="233" t="n"/>
      <c r="O202" s="232" t="n"/>
      <c r="P202" s="233" t="n"/>
      <c r="Q202" s="233" t="n"/>
      <c r="R202" s="233" t="n"/>
      <c r="S202" s="232" t="n"/>
      <c r="T202" s="233" t="n"/>
      <c r="U202" s="233" t="n"/>
      <c r="V202" s="233" t="n"/>
      <c r="W202" s="232" t="n"/>
    </row>
    <row r="203" ht="54.95" customFormat="1" customHeight="1" s="235">
      <c r="A203" s="232" t="n"/>
      <c r="B203" s="232" t="n"/>
      <c r="C203" s="232" t="n"/>
      <c r="D203" s="233" t="n"/>
      <c r="E203" s="232" t="n"/>
      <c r="F203" s="233" t="n"/>
      <c r="G203" s="233" t="n"/>
      <c r="H203" s="233" t="n"/>
      <c r="I203" s="232" t="n"/>
      <c r="J203" s="233" t="n"/>
      <c r="K203" s="232" t="n"/>
      <c r="L203" s="232" t="n"/>
      <c r="M203" s="232" t="n"/>
      <c r="N203" s="233" t="n"/>
      <c r="O203" s="232" t="n"/>
      <c r="P203" s="233" t="n"/>
      <c r="Q203" s="233" t="n"/>
      <c r="R203" s="233" t="n"/>
      <c r="S203" s="232" t="n"/>
      <c r="T203" s="233" t="n"/>
      <c r="U203" s="233" t="n"/>
      <c r="V203" s="233" t="n"/>
      <c r="W203" s="232" t="n"/>
    </row>
    <row r="204" ht="54.95" customFormat="1" customHeight="1" s="235">
      <c r="A204" s="232" t="n"/>
      <c r="B204" s="232" t="n"/>
      <c r="C204" s="232" t="n"/>
      <c r="D204" s="233" t="n"/>
      <c r="E204" s="232" t="n"/>
      <c r="F204" s="233" t="n"/>
      <c r="G204" s="233" t="n"/>
      <c r="H204" s="233" t="n"/>
      <c r="I204" s="232" t="n"/>
      <c r="J204" s="233" t="n"/>
      <c r="K204" s="232" t="n"/>
      <c r="L204" s="232" t="n"/>
      <c r="M204" s="232" t="n"/>
      <c r="N204" s="233" t="n"/>
      <c r="O204" s="232" t="n"/>
      <c r="P204" s="233" t="n"/>
      <c r="Q204" s="233" t="n"/>
      <c r="R204" s="233" t="n"/>
      <c r="S204" s="232" t="n"/>
      <c r="T204" s="233" t="n"/>
      <c r="U204" s="233" t="n"/>
      <c r="V204" s="233" t="n"/>
      <c r="W204" s="232" t="n"/>
    </row>
    <row r="205" ht="54.95" customFormat="1" customHeight="1" s="37">
      <c r="A205" s="232" t="n"/>
      <c r="B205" s="232" t="n"/>
      <c r="C205" s="232" t="n"/>
      <c r="D205" s="233" t="n"/>
      <c r="E205" s="232" t="n"/>
      <c r="F205" s="233" t="n"/>
      <c r="G205" s="233" t="n"/>
      <c r="H205" s="233" t="n"/>
      <c r="I205" s="232" t="n"/>
      <c r="J205" s="233" t="n"/>
      <c r="K205" s="232" t="n"/>
      <c r="L205" s="232" t="n"/>
      <c r="M205" s="232" t="n"/>
      <c r="N205" s="233" t="n"/>
      <c r="O205" s="232" t="n"/>
      <c r="P205" s="233" t="n"/>
      <c r="Q205" s="233" t="n"/>
      <c r="R205" s="233" t="n"/>
      <c r="S205" s="232" t="n"/>
      <c r="T205" s="233" t="n"/>
      <c r="U205" s="233" t="n"/>
      <c r="V205" s="233" t="n"/>
      <c r="W205" s="232" t="n"/>
    </row>
    <row r="206" ht="54.95" customFormat="1" customHeight="1" s="37">
      <c r="A206" s="232" t="n"/>
      <c r="B206" s="232" t="n"/>
      <c r="C206" s="232" t="n"/>
      <c r="D206" s="233" t="n"/>
      <c r="E206" s="232" t="n"/>
      <c r="F206" s="233" t="n"/>
      <c r="G206" s="233" t="n"/>
      <c r="H206" s="233" t="n"/>
      <c r="I206" s="232" t="n"/>
      <c r="J206" s="233" t="n"/>
      <c r="K206" s="232" t="n"/>
      <c r="L206" s="232" t="n"/>
      <c r="M206" s="232" t="n"/>
      <c r="N206" s="233" t="n"/>
      <c r="O206" s="232" t="n"/>
      <c r="P206" s="233" t="n"/>
      <c r="Q206" s="233" t="n"/>
      <c r="R206" s="233" t="n"/>
      <c r="S206" s="232" t="n"/>
      <c r="T206" s="233" t="n"/>
      <c r="U206" s="233" t="n"/>
      <c r="V206" s="233" t="n"/>
      <c r="W206" s="232" t="n"/>
    </row>
    <row r="207" ht="54.95" customFormat="1" customHeight="1" s="37">
      <c r="A207" s="232" t="n"/>
      <c r="B207" s="232" t="n"/>
      <c r="C207" s="232" t="n"/>
      <c r="D207" s="233" t="n"/>
      <c r="E207" s="232" t="n"/>
      <c r="F207" s="233" t="n"/>
      <c r="G207" s="233" t="n"/>
      <c r="H207" s="233" t="n"/>
      <c r="I207" s="232" t="n"/>
      <c r="J207" s="233" t="n"/>
      <c r="K207" s="232" t="n"/>
      <c r="L207" s="232" t="n"/>
      <c r="M207" s="232" t="n"/>
      <c r="N207" s="233" t="n"/>
      <c r="O207" s="232" t="n"/>
      <c r="P207" s="233" t="n"/>
      <c r="Q207" s="233" t="n"/>
      <c r="R207" s="233" t="n"/>
      <c r="S207" s="232" t="n"/>
      <c r="T207" s="233" t="n"/>
      <c r="U207" s="233" t="n"/>
      <c r="V207" s="233" t="n"/>
      <c r="W207" s="232" t="n"/>
    </row>
    <row r="208" ht="54.95" customFormat="1" customHeight="1" s="37">
      <c r="A208" s="232" t="n"/>
      <c r="B208" s="232" t="n"/>
      <c r="C208" s="232" t="n"/>
      <c r="D208" s="233" t="n"/>
      <c r="E208" s="232" t="n"/>
      <c r="F208" s="233" t="n"/>
      <c r="G208" s="233" t="n"/>
      <c r="H208" s="233" t="n"/>
      <c r="I208" s="232" t="n"/>
      <c r="J208" s="233" t="n"/>
      <c r="K208" s="232" t="n"/>
      <c r="L208" s="232" t="n"/>
      <c r="M208" s="232" t="n"/>
      <c r="N208" s="233" t="n"/>
      <c r="O208" s="232" t="n"/>
      <c r="P208" s="233" t="n"/>
      <c r="Q208" s="233" t="n"/>
      <c r="R208" s="233" t="n"/>
      <c r="S208" s="232" t="n"/>
      <c r="T208" s="233" t="n"/>
      <c r="U208" s="233" t="n"/>
      <c r="V208" s="233" t="n"/>
      <c r="W208" s="232" t="n"/>
    </row>
    <row r="209" ht="54.95" customFormat="1" customHeight="1" s="37">
      <c r="A209" s="232" t="n"/>
      <c r="B209" s="232" t="n"/>
      <c r="C209" s="232" t="n"/>
      <c r="D209" s="233" t="n"/>
      <c r="E209" s="232" t="n"/>
      <c r="F209" s="233" t="n"/>
      <c r="G209" s="233" t="n"/>
      <c r="H209" s="233" t="n"/>
      <c r="I209" s="232" t="n"/>
      <c r="J209" s="233" t="n"/>
      <c r="K209" s="232" t="n"/>
      <c r="L209" s="232" t="n"/>
      <c r="M209" s="232" t="n"/>
      <c r="N209" s="233" t="n"/>
      <c r="O209" s="232" t="n"/>
      <c r="P209" s="233" t="n"/>
      <c r="Q209" s="233" t="n"/>
      <c r="R209" s="233" t="n"/>
      <c r="S209" s="232" t="n"/>
      <c r="T209" s="233" t="n"/>
      <c r="U209" s="233" t="n"/>
      <c r="V209" s="233" t="n"/>
      <c r="W209" s="232" t="n"/>
    </row>
    <row r="210" ht="54.95" customFormat="1" customHeight="1" s="37">
      <c r="A210" s="232" t="n"/>
      <c r="B210" s="232" t="n"/>
      <c r="C210" s="232" t="n"/>
      <c r="D210" s="233" t="n"/>
      <c r="E210" s="232" t="n"/>
      <c r="F210" s="233" t="n"/>
      <c r="G210" s="233" t="n"/>
      <c r="H210" s="233" t="n"/>
      <c r="I210" s="232" t="n"/>
      <c r="J210" s="233" t="n"/>
      <c r="K210" s="232" t="n"/>
      <c r="L210" s="232" t="n"/>
      <c r="M210" s="232" t="n"/>
      <c r="N210" s="233" t="n"/>
      <c r="O210" s="232" t="n"/>
      <c r="P210" s="233" t="n"/>
      <c r="Q210" s="233" t="n"/>
      <c r="R210" s="233" t="n"/>
      <c r="S210" s="232" t="n"/>
      <c r="T210" s="233" t="n"/>
      <c r="U210" s="233" t="n"/>
      <c r="V210" s="233" t="n"/>
      <c r="W210" s="232" t="n"/>
    </row>
    <row r="211" ht="54.95" customFormat="1" customHeight="1" s="37">
      <c r="A211" s="232" t="n"/>
      <c r="B211" s="232" t="n"/>
      <c r="C211" s="232" t="n"/>
      <c r="D211" s="233" t="n"/>
      <c r="E211" s="232" t="n"/>
      <c r="F211" s="233" t="n"/>
      <c r="G211" s="233" t="n"/>
      <c r="H211" s="233" t="n"/>
      <c r="I211" s="232" t="n"/>
      <c r="J211" s="233" t="n"/>
      <c r="K211" s="232" t="n"/>
      <c r="L211" s="232" t="n"/>
      <c r="M211" s="232" t="n"/>
      <c r="N211" s="233" t="n"/>
      <c r="O211" s="232" t="n"/>
      <c r="P211" s="233" t="n"/>
      <c r="Q211" s="233" t="n"/>
      <c r="R211" s="233" t="n"/>
      <c r="S211" s="232" t="n"/>
      <c r="T211" s="233" t="n"/>
      <c r="U211" s="233" t="n"/>
      <c r="V211" s="233" t="n"/>
      <c r="W211" s="232" t="n"/>
    </row>
    <row r="212" ht="54.95" customFormat="1" customHeight="1" s="37">
      <c r="A212" s="232" t="n"/>
      <c r="B212" s="232" t="n"/>
      <c r="C212" s="232" t="n"/>
      <c r="D212" s="233" t="n"/>
      <c r="E212" s="232" t="n"/>
      <c r="F212" s="233" t="n"/>
      <c r="G212" s="233" t="n"/>
      <c r="H212" s="233" t="n"/>
      <c r="I212" s="232" t="n"/>
      <c r="J212" s="233" t="n"/>
      <c r="K212" s="232" t="n"/>
      <c r="L212" s="232" t="n"/>
      <c r="M212" s="232" t="n"/>
      <c r="N212" s="233" t="n"/>
      <c r="O212" s="232" t="n"/>
      <c r="P212" s="233" t="n"/>
      <c r="Q212" s="233" t="n"/>
      <c r="R212" s="233" t="n"/>
      <c r="S212" s="232" t="n"/>
      <c r="T212" s="233" t="n"/>
      <c r="U212" s="233" t="n"/>
      <c r="V212" s="233" t="n"/>
      <c r="W212" s="232" t="n"/>
    </row>
    <row r="213" ht="54.95" customFormat="1" customHeight="1" s="37">
      <c r="A213" s="234" t="n"/>
      <c r="B213" s="234" t="n"/>
      <c r="C213" s="234" t="n"/>
      <c r="D213" s="234" t="n"/>
      <c r="E213" s="234" t="n"/>
      <c r="F213" s="234" t="n"/>
      <c r="G213" s="234" t="n"/>
      <c r="H213" s="234" t="n"/>
      <c r="I213" s="234" t="n"/>
      <c r="J213" s="234" t="n"/>
      <c r="K213" s="234" t="n"/>
      <c r="L213" s="234" t="n"/>
      <c r="M213" s="232" t="n"/>
      <c r="N213" s="233" t="n"/>
      <c r="O213" s="232" t="n"/>
      <c r="P213" s="234" t="n"/>
      <c r="Q213" s="234" t="n"/>
      <c r="R213" s="234" t="n"/>
      <c r="S213" s="234" t="n"/>
      <c r="T213" s="234" t="n"/>
      <c r="U213" s="234" t="n"/>
      <c r="V213" s="234" t="n"/>
      <c r="W213" s="234" t="n"/>
    </row>
    <row r="214" ht="54.95" customFormat="1" customHeight="1" s="37">
      <c r="A214" s="232" t="n"/>
      <c r="B214" s="232" t="n"/>
      <c r="C214" s="232" t="n"/>
      <c r="D214" s="233" t="n"/>
      <c r="E214" s="232" t="n"/>
      <c r="F214" s="233" t="n"/>
      <c r="G214" s="233" t="n"/>
      <c r="H214" s="233" t="n"/>
      <c r="I214" s="232" t="n"/>
      <c r="J214" s="233" t="n"/>
      <c r="K214" s="232" t="n"/>
      <c r="L214" s="232" t="n"/>
      <c r="M214" s="232" t="n"/>
      <c r="N214" s="233" t="n"/>
      <c r="O214" s="232" t="n"/>
      <c r="P214" s="233" t="n"/>
      <c r="Q214" s="233" t="n"/>
      <c r="R214" s="233" t="n"/>
      <c r="S214" s="232" t="n"/>
      <c r="T214" s="233" t="n"/>
      <c r="U214" s="233" t="n"/>
      <c r="V214" s="233" t="n"/>
      <c r="W214" s="232" t="n"/>
    </row>
    <row r="215" ht="54.95" customFormat="1" customHeight="1" s="37">
      <c r="A215" s="232" t="n"/>
      <c r="B215" s="232" t="n"/>
      <c r="C215" s="232" t="n"/>
      <c r="D215" s="233" t="n"/>
      <c r="E215" s="232" t="n"/>
      <c r="F215" s="233" t="n"/>
      <c r="G215" s="233" t="n"/>
      <c r="H215" s="233" t="n"/>
      <c r="I215" s="232" t="n"/>
      <c r="J215" s="233" t="n"/>
      <c r="K215" s="232" t="n"/>
      <c r="L215" s="232" t="n"/>
      <c r="M215" s="232" t="n"/>
      <c r="N215" s="233" t="n"/>
      <c r="O215" s="232" t="n"/>
      <c r="P215" s="233" t="n"/>
      <c r="Q215" s="233" t="n"/>
      <c r="R215" s="233" t="n"/>
      <c r="S215" s="232" t="n"/>
      <c r="T215" s="233" t="n"/>
      <c r="U215" s="233" t="n"/>
      <c r="V215" s="233" t="n"/>
      <c r="W215" s="232" t="n"/>
    </row>
    <row r="216" ht="54.95" customFormat="1" customHeight="1" s="37">
      <c r="A216" s="234" t="n"/>
      <c r="B216" s="234" t="n"/>
      <c r="C216" s="234" t="n"/>
      <c r="D216" s="234" t="n"/>
      <c r="E216" s="234" t="n"/>
      <c r="F216" s="234" t="n"/>
      <c r="G216" s="234" t="n"/>
      <c r="H216" s="234" t="n"/>
      <c r="I216" s="234" t="n"/>
      <c r="J216" s="234" t="n"/>
      <c r="K216" s="234" t="n"/>
      <c r="L216" s="234" t="n"/>
      <c r="M216" s="232" t="n"/>
      <c r="N216" s="233" t="n"/>
      <c r="O216" s="232" t="n"/>
      <c r="P216" s="234" t="n"/>
      <c r="Q216" s="234" t="n"/>
      <c r="R216" s="234" t="n"/>
      <c r="S216" s="234" t="n"/>
      <c r="T216" s="234" t="n"/>
      <c r="U216" s="234" t="n"/>
      <c r="V216" s="234" t="n"/>
      <c r="W216" s="234" t="n"/>
    </row>
    <row r="217" ht="54.95" customFormat="1" customHeight="1" s="37">
      <c r="A217" s="234" t="n"/>
      <c r="B217" s="234" t="n"/>
      <c r="C217" s="234" t="n"/>
      <c r="D217" s="234" t="n"/>
      <c r="E217" s="234" t="n"/>
      <c r="F217" s="234" t="n"/>
      <c r="G217" s="234" t="n"/>
      <c r="H217" s="234" t="n"/>
      <c r="I217" s="234" t="n"/>
      <c r="J217" s="234" t="n"/>
      <c r="K217" s="234" t="n"/>
      <c r="L217" s="234" t="n"/>
      <c r="M217" s="232" t="n"/>
      <c r="N217" s="233" t="n"/>
      <c r="O217" s="232" t="n"/>
      <c r="P217" s="234" t="n"/>
      <c r="Q217" s="234" t="n"/>
      <c r="R217" s="234" t="n"/>
      <c r="S217" s="234" t="n"/>
      <c r="T217" s="234" t="n"/>
      <c r="U217" s="234" t="n"/>
      <c r="V217" s="234" t="n"/>
      <c r="W217" s="234" t="n"/>
    </row>
    <row r="218" ht="54.95" customFormat="1" customHeight="1" s="37">
      <c r="A218" s="234" t="n"/>
      <c r="B218" s="234" t="n"/>
      <c r="C218" s="234" t="n"/>
      <c r="D218" s="234" t="n"/>
      <c r="E218" s="234" t="n"/>
      <c r="F218" s="234" t="n"/>
      <c r="G218" s="234" t="n"/>
      <c r="H218" s="234" t="n"/>
      <c r="I218" s="234" t="n"/>
      <c r="J218" s="234" t="n"/>
      <c r="K218" s="234" t="n"/>
      <c r="L218" s="234" t="n"/>
      <c r="M218" s="232" t="n"/>
      <c r="N218" s="233" t="n"/>
      <c r="O218" s="232" t="n"/>
      <c r="P218" s="234" t="n"/>
      <c r="Q218" s="234" t="n"/>
      <c r="R218" s="234" t="n"/>
      <c r="S218" s="234" t="n"/>
      <c r="T218" s="234" t="n"/>
      <c r="U218" s="234" t="n"/>
      <c r="V218" s="234" t="n"/>
      <c r="W218" s="234" t="n"/>
    </row>
    <row r="219" ht="54.95" customFormat="1" customHeight="1" s="37">
      <c r="A219" s="234" t="n"/>
      <c r="B219" s="234" t="n"/>
      <c r="C219" s="234" t="n"/>
      <c r="D219" s="234" t="n"/>
      <c r="E219" s="234" t="n"/>
      <c r="F219" s="234" t="n"/>
      <c r="G219" s="234" t="n"/>
      <c r="H219" s="234" t="n"/>
      <c r="I219" s="234" t="n"/>
      <c r="J219" s="234" t="n"/>
      <c r="K219" s="234" t="n"/>
      <c r="L219" s="234" t="n"/>
      <c r="M219" s="232" t="n"/>
      <c r="N219" s="233" t="n"/>
      <c r="O219" s="232" t="n"/>
      <c r="P219" s="234" t="n"/>
      <c r="Q219" s="234" t="n"/>
      <c r="R219" s="234" t="n"/>
      <c r="S219" s="234" t="n"/>
      <c r="T219" s="234" t="n"/>
      <c r="U219" s="234" t="n"/>
      <c r="V219" s="234" t="n"/>
      <c r="W219" s="234" t="n"/>
    </row>
    <row r="220" ht="54.95" customFormat="1" customHeight="1" s="235">
      <c r="A220" s="234" t="n"/>
      <c r="B220" s="234" t="n"/>
      <c r="C220" s="234" t="n"/>
      <c r="D220" s="234" t="n"/>
      <c r="E220" s="234" t="n"/>
      <c r="F220" s="234" t="n"/>
      <c r="G220" s="234" t="n"/>
      <c r="H220" s="234" t="n"/>
      <c r="I220" s="234" t="n"/>
      <c r="J220" s="234" t="n"/>
      <c r="K220" s="234" t="n"/>
      <c r="L220" s="234" t="n"/>
      <c r="M220" s="232" t="n"/>
      <c r="N220" s="233" t="n"/>
      <c r="O220" s="232" t="n"/>
      <c r="P220" s="234" t="n"/>
      <c r="Q220" s="234" t="n"/>
      <c r="R220" s="234" t="n"/>
      <c r="S220" s="234" t="n"/>
      <c r="T220" s="234" t="n"/>
      <c r="U220" s="234" t="n"/>
      <c r="V220" s="234" t="n"/>
      <c r="W220" s="234" t="n"/>
    </row>
    <row r="221" ht="54.95" customFormat="1" customHeight="1" s="235">
      <c r="A221" s="234" t="n"/>
      <c r="B221" s="234" t="n"/>
      <c r="C221" s="234" t="n"/>
      <c r="D221" s="234" t="n"/>
      <c r="E221" s="234" t="n"/>
      <c r="F221" s="234" t="n"/>
      <c r="G221" s="234" t="n"/>
      <c r="H221" s="234" t="n"/>
      <c r="I221" s="234" t="n"/>
      <c r="J221" s="234" t="n"/>
      <c r="K221" s="234" t="n"/>
      <c r="L221" s="234" t="n"/>
      <c r="M221" s="232" t="n"/>
      <c r="N221" s="233" t="n"/>
      <c r="O221" s="232" t="n"/>
      <c r="P221" s="234" t="n"/>
      <c r="Q221" s="234" t="n"/>
      <c r="R221" s="234" t="n"/>
      <c r="S221" s="234" t="n"/>
      <c r="T221" s="234" t="n"/>
      <c r="U221" s="234" t="n"/>
      <c r="V221" s="234" t="n"/>
      <c r="W221" s="234" t="n"/>
    </row>
    <row r="222" ht="54.95" customFormat="1" customHeight="1" s="235">
      <c r="A222" s="234" t="n"/>
      <c r="B222" s="234" t="n"/>
      <c r="C222" s="234" t="n"/>
      <c r="D222" s="234" t="n"/>
      <c r="E222" s="234" t="n"/>
      <c r="F222" s="234" t="n"/>
      <c r="G222" s="234" t="n"/>
      <c r="H222" s="234" t="n"/>
      <c r="I222" s="234" t="n"/>
      <c r="J222" s="234" t="n"/>
      <c r="K222" s="234" t="n"/>
      <c r="L222" s="234" t="n"/>
      <c r="M222" s="232" t="n"/>
      <c r="N222" s="233" t="n"/>
      <c r="O222" s="232" t="n"/>
      <c r="P222" s="234" t="n"/>
      <c r="Q222" s="234" t="n"/>
      <c r="R222" s="234" t="n"/>
      <c r="S222" s="234" t="n"/>
      <c r="T222" s="234" t="n"/>
      <c r="U222" s="234" t="n"/>
      <c r="V222" s="234" t="n"/>
      <c r="W222" s="234" t="n"/>
    </row>
    <row r="223" ht="54.95" customFormat="1" customHeight="1" s="235">
      <c r="A223" s="234" t="n"/>
      <c r="B223" s="234" t="n"/>
      <c r="C223" s="234" t="n"/>
      <c r="D223" s="234" t="n"/>
      <c r="E223" s="234" t="n"/>
      <c r="F223" s="234" t="n"/>
      <c r="G223" s="234" t="n"/>
      <c r="H223" s="234" t="n"/>
      <c r="I223" s="234" t="n"/>
      <c r="J223" s="234" t="n"/>
      <c r="K223" s="234" t="n"/>
      <c r="L223" s="234" t="n"/>
      <c r="M223" s="232" t="n"/>
      <c r="N223" s="233" t="n"/>
      <c r="O223" s="232" t="n"/>
      <c r="P223" s="234" t="n"/>
      <c r="Q223" s="234" t="n"/>
      <c r="R223" s="234" t="n"/>
      <c r="S223" s="234" t="n"/>
      <c r="T223" s="234" t="n"/>
      <c r="U223" s="234" t="n"/>
      <c r="V223" s="234" t="n"/>
      <c r="W223" s="234" t="n"/>
    </row>
    <row r="224" ht="54.95" customFormat="1" customHeight="1" s="235">
      <c r="A224" s="234" t="n"/>
      <c r="B224" s="234" t="n"/>
      <c r="C224" s="234" t="n"/>
      <c r="D224" s="234" t="n"/>
      <c r="E224" s="234" t="n"/>
      <c r="F224" s="234" t="n"/>
      <c r="G224" s="234" t="n"/>
      <c r="H224" s="234" t="n"/>
      <c r="I224" s="234" t="n"/>
      <c r="J224" s="234" t="n"/>
      <c r="K224" s="234" t="n"/>
      <c r="L224" s="234" t="n"/>
      <c r="M224" s="232" t="n"/>
      <c r="N224" s="233" t="n"/>
      <c r="O224" s="232" t="n"/>
      <c r="P224" s="234" t="n"/>
      <c r="Q224" s="234" t="n"/>
      <c r="R224" s="234" t="n"/>
      <c r="S224" s="234" t="n"/>
      <c r="T224" s="234" t="n"/>
      <c r="U224" s="234" t="n"/>
      <c r="V224" s="234" t="n"/>
      <c r="W224" s="234" t="n"/>
    </row>
    <row r="225" ht="54.95" customFormat="1" customHeight="1" s="235">
      <c r="A225" s="234" t="n"/>
      <c r="B225" s="234" t="n"/>
      <c r="C225" s="234" t="n"/>
      <c r="D225" s="234" t="n"/>
      <c r="E225" s="234" t="n"/>
      <c r="F225" s="234" t="n"/>
      <c r="G225" s="234" t="n"/>
      <c r="H225" s="234" t="n"/>
      <c r="I225" s="234" t="n"/>
      <c r="J225" s="234" t="n"/>
      <c r="K225" s="234" t="n"/>
      <c r="L225" s="234" t="n"/>
      <c r="M225" s="232" t="n"/>
      <c r="N225" s="233" t="n"/>
      <c r="O225" s="232" t="n"/>
      <c r="P225" s="234" t="n"/>
      <c r="Q225" s="234" t="n"/>
      <c r="R225" s="234" t="n"/>
      <c r="S225" s="234" t="n"/>
      <c r="T225" s="234" t="n"/>
      <c r="U225" s="234" t="n"/>
      <c r="V225" s="234" t="n"/>
      <c r="W225" s="234" t="n"/>
    </row>
    <row r="226" ht="54.95" customFormat="1" customHeight="1" s="235">
      <c r="A226" s="234" t="n"/>
      <c r="B226" s="234" t="n"/>
      <c r="C226" s="234" t="n"/>
      <c r="D226" s="234" t="n"/>
      <c r="E226" s="234" t="n"/>
      <c r="F226" s="234" t="n"/>
      <c r="G226" s="234" t="n"/>
      <c r="H226" s="234" t="n"/>
      <c r="I226" s="234" t="n"/>
      <c r="J226" s="234" t="n"/>
      <c r="K226" s="234" t="n"/>
      <c r="L226" s="234" t="n"/>
      <c r="M226" s="232" t="n"/>
      <c r="N226" s="233" t="n"/>
      <c r="O226" s="232" t="n"/>
      <c r="P226" s="234" t="n"/>
      <c r="Q226" s="234" t="n"/>
      <c r="R226" s="234" t="n"/>
      <c r="S226" s="234" t="n"/>
      <c r="T226" s="234" t="n"/>
      <c r="U226" s="234" t="n"/>
      <c r="V226" s="234" t="n"/>
      <c r="W226" s="234" t="n"/>
    </row>
    <row r="227" ht="54.95" customFormat="1" customHeight="1" s="235">
      <c r="A227" s="234" t="n"/>
      <c r="B227" s="234" t="n"/>
      <c r="C227" s="234" t="n"/>
      <c r="D227" s="234" t="n"/>
      <c r="E227" s="234" t="n"/>
      <c r="F227" s="234" t="n"/>
      <c r="G227" s="234" t="n"/>
      <c r="H227" s="234" t="n"/>
      <c r="I227" s="234" t="n"/>
      <c r="J227" s="234" t="n"/>
      <c r="K227" s="234" t="n"/>
      <c r="L227" s="234" t="n"/>
      <c r="M227" s="232" t="n"/>
      <c r="N227" s="233" t="n"/>
      <c r="O227" s="232" t="n"/>
      <c r="P227" s="234" t="n"/>
      <c r="Q227" s="234" t="n"/>
      <c r="R227" s="234" t="n"/>
      <c r="S227" s="234" t="n"/>
      <c r="T227" s="234" t="n"/>
      <c r="U227" s="234" t="n"/>
      <c r="V227" s="234" t="n"/>
      <c r="W227" s="234" t="n"/>
    </row>
    <row r="228" ht="54.95" customFormat="1" customHeight="1" s="235">
      <c r="A228" s="234" t="n"/>
      <c r="B228" s="234" t="n"/>
      <c r="C228" s="234" t="n"/>
      <c r="D228" s="234" t="n"/>
      <c r="E228" s="234" t="n"/>
      <c r="F228" s="234" t="n"/>
      <c r="G228" s="234" t="n"/>
      <c r="H228" s="234" t="n"/>
      <c r="I228" s="234" t="n"/>
      <c r="J228" s="234" t="n"/>
      <c r="K228" s="234" t="n"/>
      <c r="L228" s="234" t="n"/>
      <c r="M228" s="232" t="n"/>
      <c r="N228" s="233" t="n"/>
      <c r="O228" s="232" t="n"/>
      <c r="P228" s="234" t="n"/>
      <c r="Q228" s="234" t="n"/>
      <c r="R228" s="234" t="n"/>
      <c r="S228" s="234" t="n"/>
      <c r="T228" s="234" t="n"/>
      <c r="U228" s="234" t="n"/>
      <c r="V228" s="234" t="n"/>
      <c r="W228" s="234" t="n"/>
    </row>
    <row r="229" ht="54.95" customFormat="1" customHeight="1" s="235">
      <c r="A229" s="234" t="n"/>
      <c r="B229" s="234" t="n"/>
      <c r="C229" s="234" t="n"/>
      <c r="D229" s="234" t="n"/>
      <c r="E229" s="234" t="n"/>
      <c r="F229" s="234" t="n"/>
      <c r="G229" s="234" t="n"/>
      <c r="H229" s="234" t="n"/>
      <c r="I229" s="234" t="n"/>
      <c r="J229" s="234" t="n"/>
      <c r="K229" s="234" t="n"/>
      <c r="L229" s="234" t="n"/>
      <c r="M229" s="232" t="n"/>
      <c r="N229" s="233" t="n"/>
      <c r="O229" s="232" t="n"/>
      <c r="P229" s="234" t="n"/>
      <c r="Q229" s="234" t="n"/>
      <c r="R229" s="234" t="n"/>
      <c r="S229" s="234" t="n"/>
      <c r="T229" s="234" t="n"/>
      <c r="U229" s="234" t="n"/>
      <c r="V229" s="234" t="n"/>
      <c r="W229" s="234" t="n"/>
    </row>
    <row r="230" ht="54.95" customFormat="1" customHeight="1" s="235">
      <c r="A230" s="234" t="n"/>
      <c r="B230" s="234" t="n"/>
      <c r="C230" s="234" t="n"/>
      <c r="D230" s="234" t="n"/>
      <c r="E230" s="234" t="n"/>
      <c r="F230" s="234" t="n"/>
      <c r="G230" s="234" t="n"/>
      <c r="H230" s="234" t="n"/>
      <c r="I230" s="234" t="n"/>
      <c r="J230" s="234" t="n"/>
      <c r="K230" s="234" t="n"/>
      <c r="L230" s="234" t="n"/>
      <c r="M230" s="232" t="n"/>
      <c r="N230" s="233" t="n"/>
      <c r="O230" s="232" t="n"/>
      <c r="P230" s="234" t="n"/>
      <c r="Q230" s="234" t="n"/>
      <c r="R230" s="234" t="n"/>
      <c r="S230" s="234" t="n"/>
      <c r="T230" s="234" t="n"/>
      <c r="U230" s="234" t="n"/>
      <c r="V230" s="234" t="n"/>
      <c r="W230" s="234" t="n"/>
    </row>
    <row r="231" ht="54.95" customFormat="1" customHeight="1" s="235">
      <c r="A231" s="234" t="n"/>
      <c r="B231" s="234" t="n"/>
      <c r="C231" s="234" t="n"/>
      <c r="D231" s="234" t="n"/>
      <c r="E231" s="234" t="n"/>
      <c r="F231" s="234" t="n"/>
      <c r="G231" s="234" t="n"/>
      <c r="H231" s="234" t="n"/>
      <c r="I231" s="234" t="n"/>
      <c r="J231" s="234" t="n"/>
      <c r="K231" s="234" t="n"/>
      <c r="L231" s="234" t="n"/>
      <c r="M231" s="232" t="n"/>
      <c r="N231" s="233" t="n"/>
      <c r="O231" s="232" t="n"/>
      <c r="P231" s="234" t="n"/>
      <c r="Q231" s="234" t="n"/>
      <c r="R231" s="234" t="n"/>
      <c r="S231" s="234" t="n"/>
      <c r="T231" s="234" t="n"/>
      <c r="U231" s="234" t="n"/>
      <c r="V231" s="234" t="n"/>
      <c r="W231" s="234" t="n"/>
    </row>
    <row r="232" ht="54.95" customFormat="1" customHeight="1" s="235">
      <c r="A232" s="234" t="n"/>
      <c r="B232" s="234" t="n"/>
      <c r="C232" s="234" t="n"/>
      <c r="D232" s="234" t="n"/>
      <c r="E232" s="234" t="n"/>
      <c r="F232" s="234" t="n"/>
      <c r="G232" s="234" t="n"/>
      <c r="H232" s="234" t="n"/>
      <c r="I232" s="234" t="n"/>
      <c r="J232" s="234" t="n"/>
      <c r="K232" s="234" t="n"/>
      <c r="L232" s="234" t="n"/>
      <c r="M232" s="232" t="n"/>
      <c r="N232" s="233" t="n"/>
      <c r="O232" s="232" t="n"/>
      <c r="P232" s="234" t="n"/>
      <c r="Q232" s="234" t="n"/>
      <c r="R232" s="234" t="n"/>
      <c r="S232" s="234" t="n"/>
      <c r="T232" s="234" t="n"/>
      <c r="U232" s="234" t="n"/>
      <c r="V232" s="234" t="n"/>
      <c r="W232" s="234" t="n"/>
    </row>
    <row r="233" ht="54.95" customFormat="1" customHeight="1" s="235">
      <c r="A233" s="234" t="n"/>
      <c r="B233" s="234" t="n"/>
      <c r="C233" s="234" t="n"/>
      <c r="D233" s="234" t="n"/>
      <c r="E233" s="234" t="n"/>
      <c r="F233" s="234" t="n"/>
      <c r="G233" s="234" t="n"/>
      <c r="H233" s="234" t="n"/>
      <c r="I233" s="234" t="n"/>
      <c r="J233" s="234" t="n"/>
      <c r="K233" s="234" t="n"/>
      <c r="L233" s="234" t="n"/>
      <c r="M233" s="232" t="n"/>
      <c r="N233" s="233" t="n"/>
      <c r="O233" s="232" t="n"/>
      <c r="P233" s="234" t="n"/>
      <c r="Q233" s="234" t="n"/>
      <c r="R233" s="234" t="n"/>
      <c r="S233" s="234" t="n"/>
      <c r="T233" s="234" t="n"/>
      <c r="U233" s="234" t="n"/>
      <c r="V233" s="234" t="n"/>
      <c r="W233" s="234" t="n"/>
    </row>
    <row r="234" ht="54.95" customFormat="1" customHeight="1" s="235">
      <c r="A234" s="234" t="n"/>
      <c r="B234" s="234" t="n"/>
      <c r="C234" s="234" t="n"/>
      <c r="D234" s="234" t="n"/>
      <c r="E234" s="234" t="n"/>
      <c r="F234" s="234" t="n"/>
      <c r="G234" s="234" t="n"/>
      <c r="H234" s="234" t="n"/>
      <c r="I234" s="234" t="n"/>
      <c r="J234" s="234" t="n"/>
      <c r="K234" s="234" t="n"/>
      <c r="L234" s="234" t="n"/>
      <c r="M234" s="232" t="n"/>
      <c r="N234" s="233" t="n"/>
      <c r="O234" s="232" t="n"/>
      <c r="P234" s="234" t="n"/>
      <c r="Q234" s="234" t="n"/>
      <c r="R234" s="234" t="n"/>
      <c r="S234" s="234" t="n"/>
      <c r="T234" s="234" t="n"/>
      <c r="U234" s="234" t="n"/>
      <c r="V234" s="234" t="n"/>
      <c r="W234" s="234" t="n"/>
    </row>
    <row r="235" ht="54.95" customFormat="1" customHeight="1" s="235">
      <c r="A235" s="234" t="n"/>
      <c r="B235" s="234" t="n"/>
      <c r="C235" s="234" t="n"/>
      <c r="D235" s="234" t="n"/>
      <c r="E235" s="234" t="n"/>
      <c r="F235" s="234" t="n"/>
      <c r="G235" s="234" t="n"/>
      <c r="H235" s="234" t="n"/>
      <c r="I235" s="234" t="n"/>
      <c r="J235" s="234" t="n"/>
      <c r="K235" s="234" t="n"/>
      <c r="L235" s="234" t="n"/>
      <c r="M235" s="232" t="n"/>
      <c r="N235" s="233" t="n"/>
      <c r="O235" s="232" t="n"/>
      <c r="P235" s="234" t="n"/>
      <c r="Q235" s="234" t="n"/>
      <c r="R235" s="234" t="n"/>
      <c r="S235" s="234" t="n"/>
      <c r="T235" s="234" t="n"/>
      <c r="U235" s="234" t="n"/>
      <c r="V235" s="234" t="n"/>
      <c r="W235" s="234" t="n"/>
    </row>
    <row r="236" ht="54.95" customFormat="1" customHeight="1" s="235">
      <c r="A236" s="234" t="n"/>
      <c r="B236" s="234" t="n"/>
      <c r="C236" s="234" t="n"/>
      <c r="D236" s="234" t="n"/>
      <c r="E236" s="234" t="n"/>
      <c r="F236" s="234" t="n"/>
      <c r="G236" s="234" t="n"/>
      <c r="H236" s="234" t="n"/>
      <c r="I236" s="234" t="n"/>
      <c r="J236" s="234" t="n"/>
      <c r="K236" s="234" t="n"/>
      <c r="L236" s="234" t="n"/>
      <c r="M236" s="232" t="n"/>
      <c r="N236" s="233" t="n"/>
      <c r="O236" s="232" t="n"/>
      <c r="P236" s="234" t="n"/>
      <c r="Q236" s="234" t="n"/>
      <c r="R236" s="234" t="n"/>
      <c r="S236" s="234" t="n"/>
      <c r="T236" s="234" t="n"/>
      <c r="U236" s="234" t="n"/>
      <c r="V236" s="234" t="n"/>
      <c r="W236" s="234" t="n"/>
    </row>
    <row r="237" ht="54.95" customFormat="1" customHeight="1" s="235">
      <c r="A237" s="234" t="n"/>
      <c r="B237" s="234" t="n"/>
      <c r="C237" s="234" t="n"/>
      <c r="D237" s="234" t="n"/>
      <c r="E237" s="234" t="n"/>
      <c r="F237" s="234" t="n"/>
      <c r="G237" s="234" t="n"/>
      <c r="H237" s="234" t="n"/>
      <c r="I237" s="234" t="n"/>
      <c r="J237" s="234" t="n"/>
      <c r="K237" s="234" t="n"/>
      <c r="L237" s="234" t="n"/>
      <c r="M237" s="232" t="n"/>
      <c r="N237" s="233" t="n"/>
      <c r="O237" s="232" t="n"/>
      <c r="P237" s="234" t="n"/>
      <c r="Q237" s="234" t="n"/>
      <c r="R237" s="234" t="n"/>
      <c r="S237" s="234" t="n"/>
      <c r="T237" s="234" t="n"/>
      <c r="U237" s="234" t="n"/>
      <c r="V237" s="234" t="n"/>
      <c r="W237" s="234" t="n"/>
    </row>
    <row r="238" ht="54.95" customFormat="1" customHeight="1" s="235">
      <c r="A238" s="234" t="n"/>
      <c r="B238" s="234" t="n"/>
      <c r="C238" s="234" t="n"/>
      <c r="D238" s="234" t="n"/>
      <c r="E238" s="234" t="n"/>
      <c r="F238" s="234" t="n"/>
      <c r="G238" s="234" t="n"/>
      <c r="H238" s="234" t="n"/>
      <c r="I238" s="234" t="n"/>
      <c r="J238" s="234" t="n"/>
      <c r="K238" s="234" t="n"/>
      <c r="L238" s="234" t="n"/>
      <c r="M238" s="232" t="n"/>
      <c r="N238" s="233" t="n"/>
      <c r="O238" s="232" t="n"/>
      <c r="P238" s="234" t="n"/>
      <c r="Q238" s="234" t="n"/>
      <c r="R238" s="234" t="n"/>
      <c r="S238" s="234" t="n"/>
      <c r="T238" s="234" t="n"/>
      <c r="U238" s="234" t="n"/>
      <c r="V238" s="234" t="n"/>
      <c r="W238" s="234" t="n"/>
    </row>
    <row r="239" ht="54.95" customFormat="1" customHeight="1" s="235">
      <c r="A239" s="234" t="n"/>
      <c r="B239" s="234" t="n"/>
      <c r="C239" s="234" t="n"/>
      <c r="D239" s="234" t="n"/>
      <c r="E239" s="234" t="n"/>
      <c r="F239" s="234" t="n"/>
      <c r="G239" s="234" t="n"/>
      <c r="H239" s="234" t="n"/>
      <c r="I239" s="234" t="n"/>
      <c r="J239" s="234" t="n"/>
      <c r="K239" s="234" t="n"/>
      <c r="L239" s="234" t="n"/>
      <c r="M239" s="232" t="n"/>
      <c r="N239" s="233" t="n"/>
      <c r="O239" s="232" t="n"/>
      <c r="P239" s="234" t="n"/>
      <c r="Q239" s="234" t="n"/>
      <c r="R239" s="234" t="n"/>
      <c r="S239" s="234" t="n"/>
      <c r="T239" s="234" t="n"/>
      <c r="U239" s="234" t="n"/>
      <c r="V239" s="234" t="n"/>
      <c r="W239" s="234" t="n"/>
    </row>
    <row r="240" ht="54.95" customFormat="1" customHeight="1" s="235">
      <c r="A240" s="234" t="n"/>
      <c r="B240" s="234" t="n"/>
      <c r="C240" s="234" t="n"/>
      <c r="D240" s="234" t="n"/>
      <c r="E240" s="234" t="n"/>
      <c r="F240" s="234" t="n"/>
      <c r="G240" s="234" t="n"/>
      <c r="H240" s="234" t="n"/>
      <c r="I240" s="234" t="n"/>
      <c r="J240" s="234" t="n"/>
      <c r="K240" s="234" t="n"/>
      <c r="L240" s="234" t="n"/>
      <c r="M240" s="232" t="n"/>
      <c r="N240" s="233" t="n"/>
      <c r="O240" s="232" t="n"/>
      <c r="P240" s="234" t="n"/>
      <c r="Q240" s="234" t="n"/>
      <c r="R240" s="234" t="n"/>
      <c r="S240" s="234" t="n"/>
      <c r="T240" s="234" t="n"/>
      <c r="U240" s="234" t="n"/>
      <c r="V240" s="234" t="n"/>
      <c r="W240" s="234" t="n"/>
    </row>
    <row r="241" ht="54.95" customFormat="1" customHeight="1" s="235">
      <c r="A241" s="234" t="n"/>
      <c r="B241" s="234" t="n"/>
      <c r="C241" s="234" t="n"/>
      <c r="D241" s="234" t="n"/>
      <c r="E241" s="234" t="n"/>
      <c r="F241" s="234" t="n"/>
      <c r="G241" s="234" t="n"/>
      <c r="H241" s="234" t="n"/>
      <c r="I241" s="234" t="n"/>
      <c r="J241" s="234" t="n"/>
      <c r="K241" s="234" t="n"/>
      <c r="L241" s="234" t="n"/>
      <c r="M241" s="232" t="n"/>
      <c r="N241" s="233" t="n"/>
      <c r="O241" s="232" t="n"/>
      <c r="P241" s="234" t="n"/>
      <c r="Q241" s="234" t="n"/>
      <c r="R241" s="234" t="n"/>
      <c r="S241" s="234" t="n"/>
      <c r="T241" s="234" t="n"/>
      <c r="U241" s="234" t="n"/>
      <c r="V241" s="234" t="n"/>
      <c r="W241" s="234" t="n"/>
    </row>
    <row r="242" ht="54.95" customFormat="1" customHeight="1" s="235">
      <c r="A242" s="234" t="n"/>
      <c r="B242" s="234" t="n"/>
      <c r="C242" s="234" t="n"/>
      <c r="D242" s="234" t="n"/>
      <c r="E242" s="234" t="n"/>
      <c r="F242" s="234" t="n"/>
      <c r="G242" s="234" t="n"/>
      <c r="H242" s="234" t="n"/>
      <c r="I242" s="234" t="n"/>
      <c r="J242" s="234" t="n"/>
      <c r="K242" s="234" t="n"/>
      <c r="L242" s="234" t="n"/>
      <c r="M242" s="232" t="n"/>
      <c r="N242" s="233" t="n"/>
      <c r="O242" s="232" t="n"/>
      <c r="P242" s="234" t="n"/>
      <c r="Q242" s="234" t="n"/>
      <c r="R242" s="234" t="n"/>
      <c r="S242" s="234" t="n"/>
      <c r="T242" s="234" t="n"/>
      <c r="U242" s="234" t="n"/>
      <c r="V242" s="234" t="n"/>
      <c r="W242" s="234" t="n"/>
    </row>
    <row r="243" ht="54.95" customFormat="1" customHeight="1" s="235">
      <c r="A243" s="234" t="n"/>
      <c r="B243" s="234" t="n"/>
      <c r="C243" s="234" t="n"/>
      <c r="D243" s="234" t="n"/>
      <c r="E243" s="234" t="n"/>
      <c r="F243" s="234" t="n"/>
      <c r="G243" s="234" t="n"/>
      <c r="H243" s="234" t="n"/>
      <c r="I243" s="234" t="n"/>
      <c r="J243" s="234" t="n"/>
      <c r="K243" s="234" t="n"/>
      <c r="L243" s="234" t="n"/>
      <c r="M243" s="232" t="n"/>
      <c r="N243" s="233" t="n"/>
      <c r="O243" s="232" t="n"/>
      <c r="P243" s="234" t="n"/>
      <c r="Q243" s="234" t="n"/>
      <c r="R243" s="234" t="n"/>
      <c r="S243" s="234" t="n"/>
      <c r="T243" s="234" t="n"/>
      <c r="U243" s="234" t="n"/>
      <c r="V243" s="234" t="n"/>
      <c r="W243" s="234" t="n"/>
    </row>
    <row r="244" ht="54.95" customFormat="1" customHeight="1" s="235">
      <c r="A244" s="234" t="n"/>
      <c r="B244" s="234" t="n"/>
      <c r="C244" s="234" t="n"/>
      <c r="D244" s="234" t="n"/>
      <c r="E244" s="234" t="n"/>
      <c r="F244" s="234" t="n"/>
      <c r="G244" s="234" t="n"/>
      <c r="H244" s="234" t="n"/>
      <c r="I244" s="234" t="n"/>
      <c r="J244" s="234" t="n"/>
      <c r="K244" s="234" t="n"/>
      <c r="L244" s="234" t="n"/>
      <c r="M244" s="232" t="n"/>
      <c r="N244" s="233" t="n"/>
      <c r="O244" s="232" t="n"/>
      <c r="P244" s="234" t="n"/>
      <c r="Q244" s="234" t="n"/>
      <c r="R244" s="234" t="n"/>
      <c r="S244" s="234" t="n"/>
      <c r="T244" s="234" t="n"/>
      <c r="U244" s="234" t="n"/>
      <c r="V244" s="234" t="n"/>
      <c r="W244" s="234" t="n"/>
    </row>
    <row r="245" ht="54.95" customFormat="1" customHeight="1" s="235">
      <c r="A245" s="234" t="n"/>
      <c r="B245" s="234" t="n"/>
      <c r="C245" s="234" t="n"/>
      <c r="D245" s="234" t="n"/>
      <c r="E245" s="234" t="n"/>
      <c r="F245" s="234" t="n"/>
      <c r="G245" s="234" t="n"/>
      <c r="H245" s="234" t="n"/>
      <c r="I245" s="234" t="n"/>
      <c r="J245" s="234" t="n"/>
      <c r="K245" s="234" t="n"/>
      <c r="L245" s="234" t="n"/>
      <c r="M245" s="232" t="n"/>
      <c r="N245" s="233" t="n"/>
      <c r="O245" s="232" t="n"/>
      <c r="P245" s="234" t="n"/>
      <c r="Q245" s="234" t="n"/>
      <c r="R245" s="234" t="n"/>
      <c r="S245" s="234" t="n"/>
      <c r="T245" s="234" t="n"/>
      <c r="U245" s="234" t="n"/>
      <c r="V245" s="234" t="n"/>
      <c r="W245" s="234" t="n"/>
    </row>
    <row r="246" ht="54.95" customFormat="1" customHeight="1" s="235">
      <c r="A246" s="234" t="n"/>
      <c r="B246" s="234" t="n"/>
      <c r="C246" s="234" t="n"/>
      <c r="D246" s="234" t="n"/>
      <c r="E246" s="234" t="n"/>
      <c r="F246" s="234" t="n"/>
      <c r="G246" s="234" t="n"/>
      <c r="H246" s="234" t="n"/>
      <c r="I246" s="234" t="n"/>
      <c r="J246" s="234" t="n"/>
      <c r="K246" s="234" t="n"/>
      <c r="L246" s="234" t="n"/>
      <c r="M246" s="232" t="n"/>
      <c r="N246" s="233" t="n"/>
      <c r="O246" s="232" t="n"/>
      <c r="P246" s="234" t="n"/>
      <c r="Q246" s="234" t="n"/>
      <c r="R246" s="234" t="n"/>
      <c r="S246" s="234" t="n"/>
      <c r="T246" s="234" t="n"/>
      <c r="U246" s="234" t="n"/>
      <c r="V246" s="234" t="n"/>
      <c r="W246" s="234" t="n"/>
    </row>
    <row r="247" ht="54.95" customFormat="1" customHeight="1" s="235">
      <c r="A247" s="234" t="n"/>
      <c r="B247" s="234" t="n"/>
      <c r="C247" s="234" t="n"/>
      <c r="D247" s="234" t="n"/>
      <c r="E247" s="234" t="n"/>
      <c r="F247" s="234" t="n"/>
      <c r="G247" s="234" t="n"/>
      <c r="H247" s="234" t="n"/>
      <c r="I247" s="234" t="n"/>
      <c r="J247" s="234" t="n"/>
      <c r="K247" s="234" t="n"/>
      <c r="L247" s="234" t="n"/>
      <c r="M247" s="232" t="n"/>
      <c r="N247" s="233" t="n"/>
      <c r="O247" s="232" t="n"/>
      <c r="P247" s="234" t="n"/>
      <c r="Q247" s="234" t="n"/>
      <c r="R247" s="234" t="n"/>
      <c r="S247" s="234" t="n"/>
      <c r="T247" s="234" t="n"/>
      <c r="U247" s="234" t="n"/>
      <c r="V247" s="234" t="n"/>
      <c r="W247" s="234" t="n"/>
    </row>
    <row r="248" ht="54.95" customFormat="1" customHeight="1" s="235">
      <c r="A248" s="232" t="n"/>
      <c r="B248" s="232" t="n"/>
      <c r="C248" s="232" t="n"/>
      <c r="D248" s="233" t="n"/>
      <c r="E248" s="232" t="n"/>
      <c r="F248" s="233" t="n"/>
      <c r="G248" s="233" t="n"/>
      <c r="H248" s="233" t="n"/>
      <c r="I248" s="232" t="n"/>
      <c r="J248" s="233" t="n"/>
      <c r="K248" s="232" t="n"/>
      <c r="L248" s="232" t="n"/>
      <c r="M248" s="232" t="n"/>
      <c r="N248" s="233" t="n"/>
      <c r="O248" s="232" t="n"/>
      <c r="P248" s="233" t="n"/>
      <c r="Q248" s="233" t="n"/>
      <c r="R248" s="233" t="n"/>
      <c r="S248" s="232" t="n"/>
      <c r="T248" s="233" t="n"/>
      <c r="U248" s="233" t="n"/>
      <c r="V248" s="233" t="n"/>
      <c r="W248" s="232" t="n"/>
    </row>
    <row r="249" ht="54.95" customFormat="1" customHeight="1" s="235">
      <c r="A249" s="232" t="n"/>
      <c r="B249" s="232" t="n"/>
      <c r="C249" s="232" t="n"/>
      <c r="D249" s="233" t="n"/>
      <c r="E249" s="232" t="n"/>
      <c r="F249" s="233" t="n"/>
      <c r="G249" s="233" t="n"/>
      <c r="H249" s="233" t="n"/>
      <c r="I249" s="232" t="n"/>
      <c r="J249" s="233" t="n"/>
      <c r="K249" s="232" t="n"/>
      <c r="L249" s="232" t="n"/>
      <c r="M249" s="232" t="n"/>
      <c r="N249" s="233" t="n"/>
      <c r="O249" s="232" t="n"/>
      <c r="P249" s="233" t="n"/>
      <c r="Q249" s="233" t="n"/>
      <c r="R249" s="233" t="n"/>
      <c r="S249" s="232" t="n"/>
      <c r="T249" s="233" t="n"/>
      <c r="U249" s="233" t="n"/>
      <c r="V249" s="233" t="n"/>
      <c r="W249" s="232" t="n"/>
    </row>
    <row r="250" ht="54.95" customFormat="1" customHeight="1" s="235">
      <c r="A250" s="232" t="n"/>
      <c r="B250" s="232" t="n"/>
      <c r="C250" s="232" t="n"/>
      <c r="D250" s="233" t="n"/>
      <c r="E250" s="232" t="n"/>
      <c r="F250" s="233" t="n"/>
      <c r="G250" s="233" t="n"/>
      <c r="H250" s="233" t="n"/>
      <c r="I250" s="232" t="n"/>
      <c r="J250" s="233" t="n"/>
      <c r="K250" s="232" t="n"/>
      <c r="L250" s="232" t="n"/>
      <c r="M250" s="232" t="n"/>
      <c r="N250" s="233" t="n"/>
      <c r="O250" s="232" t="n"/>
      <c r="P250" s="233" t="n"/>
      <c r="Q250" s="233" t="n"/>
      <c r="R250" s="233" t="n"/>
      <c r="S250" s="232" t="n"/>
      <c r="T250" s="233" t="n"/>
      <c r="U250" s="233" t="n"/>
      <c r="V250" s="233" t="n"/>
      <c r="W250" s="232" t="n"/>
    </row>
    <row r="251" ht="54.95" customFormat="1" customHeight="1" s="235">
      <c r="A251" s="232" t="n"/>
      <c r="B251" s="232" t="n"/>
      <c r="C251" s="232" t="n"/>
      <c r="D251" s="233" t="n"/>
      <c r="E251" s="232" t="n"/>
      <c r="F251" s="233" t="n"/>
      <c r="G251" s="233" t="n"/>
      <c r="H251" s="233" t="n"/>
      <c r="I251" s="232" t="n"/>
      <c r="J251" s="233" t="n"/>
      <c r="K251" s="232" t="n"/>
      <c r="L251" s="232" t="n"/>
      <c r="M251" s="232" t="n"/>
      <c r="N251" s="233" t="n"/>
      <c r="O251" s="232" t="n"/>
      <c r="P251" s="233" t="n"/>
      <c r="Q251" s="233" t="n"/>
      <c r="R251" s="233" t="n"/>
      <c r="S251" s="232" t="n"/>
      <c r="T251" s="233" t="n"/>
      <c r="U251" s="233" t="n"/>
      <c r="V251" s="233" t="n"/>
      <c r="W251" s="232" t="n"/>
    </row>
    <row r="252" ht="54.95" customFormat="1" customHeight="1" s="235">
      <c r="A252" s="234" t="n"/>
      <c r="B252" s="234" t="n"/>
      <c r="C252" s="234" t="n"/>
      <c r="D252" s="234" t="n"/>
      <c r="E252" s="234" t="n"/>
      <c r="F252" s="234" t="n"/>
      <c r="G252" s="234" t="n"/>
      <c r="H252" s="234" t="n"/>
      <c r="I252" s="234" t="n"/>
      <c r="J252" s="234" t="n"/>
      <c r="K252" s="234" t="n"/>
      <c r="L252" s="234" t="n"/>
      <c r="M252" s="232" t="n"/>
      <c r="N252" s="233" t="n"/>
      <c r="O252" s="232" t="n"/>
      <c r="P252" s="234" t="n"/>
      <c r="Q252" s="234" t="n"/>
      <c r="R252" s="234" t="n"/>
      <c r="S252" s="234" t="n"/>
      <c r="T252" s="234" t="n"/>
      <c r="U252" s="234" t="n"/>
      <c r="V252" s="234" t="n"/>
      <c r="W252" s="234" t="n"/>
    </row>
    <row r="253" ht="54.95" customFormat="1" customHeight="1" s="235">
      <c r="A253" s="232" t="n"/>
      <c r="B253" s="232" t="n"/>
      <c r="C253" s="232" t="n"/>
      <c r="D253" s="233" t="n"/>
      <c r="E253" s="232" t="n"/>
      <c r="F253" s="233" t="n"/>
      <c r="G253" s="233" t="n"/>
      <c r="H253" s="233" t="n"/>
      <c r="I253" s="232" t="n"/>
      <c r="J253" s="233" t="n"/>
      <c r="K253" s="232" t="n"/>
      <c r="L253" s="232" t="n"/>
      <c r="M253" s="232" t="n"/>
      <c r="N253" s="233" t="n"/>
      <c r="O253" s="232" t="n"/>
      <c r="P253" s="233" t="n"/>
      <c r="Q253" s="233" t="n"/>
      <c r="R253" s="233" t="n"/>
      <c r="S253" s="232" t="n"/>
      <c r="T253" s="233" t="n"/>
      <c r="U253" s="233" t="n"/>
      <c r="V253" s="233" t="n"/>
      <c r="W253" s="232" t="n"/>
    </row>
    <row r="254" ht="54.95" customFormat="1" customHeight="1" s="235">
      <c r="A254" s="232" t="n"/>
      <c r="B254" s="232" t="n"/>
      <c r="C254" s="232" t="n"/>
      <c r="D254" s="233" t="n"/>
      <c r="E254" s="232" t="n"/>
      <c r="F254" s="233" t="n"/>
      <c r="G254" s="233" t="n"/>
      <c r="H254" s="233" t="n"/>
      <c r="I254" s="232" t="n"/>
      <c r="J254" s="233" t="n"/>
      <c r="K254" s="232" t="n"/>
      <c r="L254" s="232" t="n"/>
      <c r="M254" s="232" t="n"/>
      <c r="N254" s="233" t="n"/>
      <c r="O254" s="232" t="n"/>
      <c r="P254" s="233" t="n"/>
      <c r="Q254" s="233" t="n"/>
      <c r="R254" s="233" t="n"/>
      <c r="S254" s="232" t="n"/>
      <c r="T254" s="233" t="n"/>
      <c r="U254" s="233" t="n"/>
      <c r="V254" s="233" t="n"/>
      <c r="W254" s="232" t="n"/>
    </row>
    <row r="255" ht="54.95" customFormat="1" customHeight="1" s="235">
      <c r="A255" s="234" t="n"/>
      <c r="B255" s="234" t="n"/>
      <c r="C255" s="234" t="n"/>
      <c r="D255" s="234" t="n"/>
      <c r="E255" s="234" t="n"/>
      <c r="F255" s="234" t="n"/>
      <c r="G255" s="234" t="n"/>
      <c r="H255" s="234" t="n"/>
      <c r="I255" s="234" t="n"/>
      <c r="J255" s="234" t="n"/>
      <c r="K255" s="234" t="n"/>
      <c r="L255" s="234" t="n"/>
      <c r="M255" s="232" t="n"/>
      <c r="N255" s="233" t="n"/>
      <c r="O255" s="232" t="n"/>
      <c r="P255" s="234" t="n"/>
      <c r="Q255" s="234" t="n"/>
      <c r="R255" s="234" t="n"/>
      <c r="S255" s="234" t="n"/>
      <c r="T255" s="234" t="n"/>
      <c r="U255" s="234" t="n"/>
      <c r="V255" s="234" t="n"/>
      <c r="W255" s="234" t="n"/>
    </row>
    <row r="256" ht="54.95" customFormat="1" customHeight="1" s="235">
      <c r="A256" s="234" t="n"/>
      <c r="B256" s="234" t="n"/>
      <c r="C256" s="234" t="n"/>
      <c r="D256" s="234" t="n"/>
      <c r="E256" s="234" t="n"/>
      <c r="F256" s="234" t="n"/>
      <c r="G256" s="234" t="n"/>
      <c r="H256" s="234" t="n"/>
      <c r="I256" s="234" t="n"/>
      <c r="J256" s="234" t="n"/>
      <c r="K256" s="234" t="n"/>
      <c r="L256" s="234" t="n"/>
      <c r="M256" s="232" t="n"/>
      <c r="N256" s="233" t="n"/>
      <c r="O256" s="232" t="n"/>
      <c r="P256" s="234" t="n"/>
      <c r="Q256" s="234" t="n"/>
      <c r="R256" s="234" t="n"/>
      <c r="S256" s="234" t="n"/>
      <c r="T256" s="234" t="n"/>
      <c r="U256" s="234" t="n"/>
      <c r="V256" s="234" t="n"/>
      <c r="W256" s="234" t="n"/>
    </row>
    <row r="257" ht="54.95" customFormat="1" customHeight="1" s="235">
      <c r="A257" s="234" t="n"/>
      <c r="B257" s="234" t="n"/>
      <c r="C257" s="234" t="n"/>
      <c r="D257" s="234" t="n"/>
      <c r="E257" s="234" t="n"/>
      <c r="F257" s="234" t="n"/>
      <c r="G257" s="234" t="n"/>
      <c r="H257" s="234" t="n"/>
      <c r="I257" s="234" t="n"/>
      <c r="J257" s="234" t="n"/>
      <c r="K257" s="234" t="n"/>
      <c r="L257" s="234" t="n"/>
      <c r="M257" s="232" t="n"/>
      <c r="N257" s="233" t="n"/>
      <c r="O257" s="232" t="n"/>
      <c r="P257" s="234" t="n"/>
      <c r="Q257" s="234" t="n"/>
      <c r="R257" s="234" t="n"/>
      <c r="S257" s="234" t="n"/>
      <c r="T257" s="234" t="n"/>
      <c r="U257" s="234" t="n"/>
      <c r="V257" s="234" t="n"/>
      <c r="W257" s="234" t="n"/>
    </row>
    <row r="258" ht="54.95" customFormat="1" customHeight="1" s="235">
      <c r="A258" s="234" t="n"/>
      <c r="B258" s="234" t="n"/>
      <c r="C258" s="234" t="n"/>
      <c r="D258" s="234" t="n"/>
      <c r="E258" s="234" t="n"/>
      <c r="F258" s="234" t="n"/>
      <c r="G258" s="234" t="n"/>
      <c r="H258" s="234" t="n"/>
      <c r="I258" s="234" t="n"/>
      <c r="J258" s="234" t="n"/>
      <c r="K258" s="234" t="n"/>
      <c r="L258" s="234" t="n"/>
      <c r="M258" s="232" t="n"/>
      <c r="N258" s="233" t="n"/>
      <c r="O258" s="232" t="n"/>
      <c r="P258" s="234" t="n"/>
      <c r="Q258" s="234" t="n"/>
      <c r="R258" s="234" t="n"/>
      <c r="S258" s="234" t="n"/>
      <c r="T258" s="234" t="n"/>
      <c r="U258" s="234" t="n"/>
      <c r="V258" s="234" t="n"/>
      <c r="W258" s="234" t="n"/>
    </row>
    <row r="259" ht="54.95" customFormat="1" customHeight="1" s="235">
      <c r="A259" s="234" t="n"/>
      <c r="B259" s="234" t="n"/>
      <c r="C259" s="234" t="n"/>
      <c r="D259" s="234" t="n"/>
      <c r="E259" s="234" t="n"/>
      <c r="F259" s="234" t="n"/>
      <c r="G259" s="234" t="n"/>
      <c r="H259" s="234" t="n"/>
      <c r="I259" s="234" t="n"/>
      <c r="J259" s="234" t="n"/>
      <c r="K259" s="234" t="n"/>
      <c r="L259" s="234" t="n"/>
      <c r="M259" s="232" t="n"/>
      <c r="N259" s="233" t="n"/>
      <c r="O259" s="232" t="n"/>
      <c r="P259" s="234" t="n"/>
      <c r="Q259" s="234" t="n"/>
      <c r="R259" s="234" t="n"/>
      <c r="S259" s="234" t="n"/>
      <c r="T259" s="234" t="n"/>
      <c r="U259" s="234" t="n"/>
      <c r="V259" s="234" t="n"/>
      <c r="W259" s="234" t="n"/>
    </row>
    <row r="260" ht="54.95" customFormat="1" customHeight="1" s="235">
      <c r="A260" s="234" t="n"/>
      <c r="B260" s="234" t="n"/>
      <c r="C260" s="234" t="n"/>
      <c r="D260" s="234" t="n"/>
      <c r="E260" s="234" t="n"/>
      <c r="F260" s="234" t="n"/>
      <c r="G260" s="234" t="n"/>
      <c r="H260" s="234" t="n"/>
      <c r="I260" s="234" t="n"/>
      <c r="J260" s="234" t="n"/>
      <c r="K260" s="234" t="n"/>
      <c r="L260" s="234" t="n"/>
      <c r="M260" s="232" t="n"/>
      <c r="N260" s="233" t="n"/>
      <c r="O260" s="232" t="n"/>
      <c r="P260" s="234" t="n"/>
      <c r="Q260" s="234" t="n"/>
      <c r="R260" s="234" t="n"/>
      <c r="S260" s="234" t="n"/>
      <c r="T260" s="234" t="n"/>
      <c r="U260" s="234" t="n"/>
      <c r="V260" s="234" t="n"/>
      <c r="W260" s="234" t="n"/>
    </row>
    <row r="261" ht="54.95" customFormat="1" customHeight="1" s="235">
      <c r="A261" s="234" t="n"/>
      <c r="B261" s="234" t="n"/>
      <c r="C261" s="234" t="n"/>
      <c r="D261" s="234" t="n"/>
      <c r="E261" s="234" t="n"/>
      <c r="F261" s="234" t="n"/>
      <c r="G261" s="234" t="n"/>
      <c r="H261" s="234" t="n"/>
      <c r="I261" s="234" t="n"/>
      <c r="J261" s="234" t="n"/>
      <c r="K261" s="234" t="n"/>
      <c r="L261" s="234" t="n"/>
      <c r="M261" s="232" t="n"/>
      <c r="N261" s="233" t="n"/>
      <c r="O261" s="232" t="n"/>
      <c r="P261" s="234" t="n"/>
      <c r="Q261" s="234" t="n"/>
      <c r="R261" s="234" t="n"/>
      <c r="S261" s="234" t="n"/>
      <c r="T261" s="234" t="n"/>
      <c r="U261" s="234" t="n"/>
      <c r="V261" s="234" t="n"/>
      <c r="W261" s="234" t="n"/>
    </row>
    <row r="262" ht="54.95" customFormat="1" customHeight="1" s="235">
      <c r="A262" s="234" t="n"/>
      <c r="B262" s="234" t="n"/>
      <c r="C262" s="234" t="n"/>
      <c r="D262" s="234" t="n"/>
      <c r="E262" s="234" t="n"/>
      <c r="F262" s="234" t="n"/>
      <c r="G262" s="234" t="n"/>
      <c r="H262" s="234" t="n"/>
      <c r="I262" s="234" t="n"/>
      <c r="J262" s="234" t="n"/>
      <c r="K262" s="234" t="n"/>
      <c r="L262" s="234" t="n"/>
      <c r="M262" s="232" t="n"/>
      <c r="N262" s="233" t="n"/>
      <c r="O262" s="232" t="n"/>
      <c r="P262" s="234" t="n"/>
      <c r="Q262" s="234" t="n"/>
      <c r="R262" s="234" t="n"/>
      <c r="S262" s="234" t="n"/>
      <c r="T262" s="234" t="n"/>
      <c r="U262" s="234" t="n"/>
      <c r="V262" s="234" t="n"/>
      <c r="W262" s="234" t="n"/>
    </row>
    <row r="263" ht="54.95" customFormat="1" customHeight="1" s="235">
      <c r="A263" s="234" t="n"/>
      <c r="B263" s="234" t="n"/>
      <c r="C263" s="234" t="n"/>
      <c r="D263" s="234" t="n"/>
      <c r="E263" s="234" t="n"/>
      <c r="F263" s="234" t="n"/>
      <c r="G263" s="234" t="n"/>
      <c r="H263" s="234" t="n"/>
      <c r="I263" s="234" t="n"/>
      <c r="J263" s="234" t="n"/>
      <c r="K263" s="234" t="n"/>
      <c r="L263" s="234" t="n"/>
      <c r="M263" s="232" t="n"/>
      <c r="N263" s="233" t="n"/>
      <c r="O263" s="232" t="n"/>
      <c r="P263" s="234" t="n"/>
      <c r="Q263" s="234" t="n"/>
      <c r="R263" s="234" t="n"/>
      <c r="S263" s="234" t="n"/>
      <c r="T263" s="234" t="n"/>
      <c r="U263" s="234" t="n"/>
      <c r="V263" s="234" t="n"/>
      <c r="W263" s="234" t="n"/>
    </row>
    <row r="264" ht="54.95" customFormat="1" customHeight="1" s="235">
      <c r="A264" s="234" t="n"/>
      <c r="B264" s="234" t="n"/>
      <c r="C264" s="234" t="n"/>
      <c r="D264" s="234" t="n"/>
      <c r="E264" s="234" t="n"/>
      <c r="F264" s="234" t="n"/>
      <c r="G264" s="234" t="n"/>
      <c r="H264" s="234" t="n"/>
      <c r="I264" s="234" t="n"/>
      <c r="J264" s="234" t="n"/>
      <c r="K264" s="234" t="n"/>
      <c r="L264" s="234" t="n"/>
      <c r="M264" s="232" t="n"/>
      <c r="N264" s="233" t="n"/>
      <c r="O264" s="232" t="n"/>
      <c r="P264" s="234" t="n"/>
      <c r="Q264" s="234" t="n"/>
      <c r="R264" s="234" t="n"/>
      <c r="S264" s="234" t="n"/>
      <c r="T264" s="234" t="n"/>
      <c r="U264" s="234" t="n"/>
      <c r="V264" s="234" t="n"/>
      <c r="W264" s="234" t="n"/>
    </row>
    <row r="265" ht="54.95" customFormat="1" customHeight="1" s="235">
      <c r="A265" s="234" t="n"/>
      <c r="B265" s="234" t="n"/>
      <c r="C265" s="234" t="n"/>
      <c r="D265" s="234" t="n"/>
      <c r="E265" s="234" t="n"/>
      <c r="F265" s="234" t="n"/>
      <c r="G265" s="234" t="n"/>
      <c r="H265" s="234" t="n"/>
      <c r="I265" s="234" t="n"/>
      <c r="J265" s="234" t="n"/>
      <c r="K265" s="234" t="n"/>
      <c r="L265" s="234" t="n"/>
      <c r="M265" s="232" t="n"/>
      <c r="N265" s="233" t="n"/>
      <c r="O265" s="232" t="n"/>
      <c r="P265" s="234" t="n"/>
      <c r="Q265" s="234" t="n"/>
      <c r="R265" s="234" t="n"/>
      <c r="S265" s="234" t="n"/>
      <c r="T265" s="234" t="n"/>
      <c r="U265" s="234" t="n"/>
      <c r="V265" s="234" t="n"/>
      <c r="W265" s="234" t="n"/>
    </row>
    <row r="266" ht="54.95" customFormat="1" customHeight="1" s="235">
      <c r="A266" s="232" t="n"/>
      <c r="B266" s="232" t="n"/>
      <c r="C266" s="232" t="n"/>
      <c r="D266" s="233" t="n"/>
      <c r="E266" s="232" t="n"/>
      <c r="F266" s="233" t="n"/>
      <c r="G266" s="233" t="n"/>
      <c r="H266" s="233" t="n"/>
      <c r="I266" s="232" t="n"/>
      <c r="J266" s="233" t="n"/>
      <c r="K266" s="232" t="n"/>
      <c r="L266" s="232" t="n"/>
      <c r="M266" s="232" t="n"/>
      <c r="N266" s="233" t="n"/>
      <c r="O266" s="232" t="n"/>
      <c r="P266" s="233" t="n"/>
      <c r="Q266" s="233" t="n"/>
      <c r="R266" s="233" t="n"/>
      <c r="S266" s="232" t="n"/>
      <c r="T266" s="233" t="n"/>
      <c r="U266" s="233" t="n"/>
      <c r="V266" s="233" t="n"/>
      <c r="W266" s="232" t="n"/>
    </row>
    <row r="267" ht="54.95" customFormat="1" customHeight="1" s="235">
      <c r="A267" s="234" t="n"/>
      <c r="B267" s="234" t="n"/>
      <c r="C267" s="234" t="n"/>
      <c r="D267" s="234" t="n"/>
      <c r="E267" s="234" t="n"/>
      <c r="F267" s="234" t="n"/>
      <c r="G267" s="234" t="n"/>
      <c r="H267" s="234" t="n"/>
      <c r="I267" s="234" t="n"/>
      <c r="J267" s="234" t="n"/>
      <c r="K267" s="234" t="n"/>
      <c r="L267" s="234" t="n"/>
      <c r="M267" s="232" t="n"/>
      <c r="N267" s="233" t="n"/>
      <c r="O267" s="232" t="n"/>
      <c r="P267" s="234" t="n"/>
      <c r="Q267" s="234" t="n"/>
      <c r="R267" s="234" t="n"/>
      <c r="S267" s="234" t="n"/>
      <c r="T267" s="234" t="n"/>
      <c r="U267" s="234" t="n"/>
      <c r="V267" s="234" t="n"/>
      <c r="W267" s="234" t="n"/>
    </row>
    <row r="268" ht="54.95" customFormat="1" customHeight="1" s="235">
      <c r="A268" s="234" t="n"/>
      <c r="B268" s="234" t="n"/>
      <c r="C268" s="234" t="n"/>
      <c r="D268" s="234" t="n"/>
      <c r="E268" s="234" t="n"/>
      <c r="F268" s="234" t="n"/>
      <c r="G268" s="234" t="n"/>
      <c r="H268" s="234" t="n"/>
      <c r="I268" s="234" t="n"/>
      <c r="J268" s="234" t="n"/>
      <c r="K268" s="234" t="n"/>
      <c r="L268" s="234" t="n"/>
      <c r="M268" s="232" t="n"/>
      <c r="N268" s="233" t="n"/>
      <c r="O268" s="232" t="n"/>
      <c r="P268" s="234" t="n"/>
      <c r="Q268" s="234" t="n"/>
      <c r="R268" s="234" t="n"/>
      <c r="S268" s="234" t="n"/>
      <c r="T268" s="234" t="n"/>
      <c r="U268" s="234" t="n"/>
      <c r="V268" s="234" t="n"/>
      <c r="W268" s="234" t="n"/>
    </row>
    <row r="269" ht="54.95" customFormat="1" customHeight="1" s="235">
      <c r="A269" s="234" t="n"/>
      <c r="B269" s="234" t="n"/>
      <c r="C269" s="234" t="n"/>
      <c r="D269" s="234" t="n"/>
      <c r="E269" s="234" t="n"/>
      <c r="F269" s="234" t="n"/>
      <c r="G269" s="234" t="n"/>
      <c r="H269" s="234" t="n"/>
      <c r="I269" s="234" t="n"/>
      <c r="J269" s="234" t="n"/>
      <c r="K269" s="234" t="n"/>
      <c r="L269" s="234" t="n"/>
      <c r="M269" s="232" t="n"/>
      <c r="N269" s="233" t="n"/>
      <c r="O269" s="232" t="n"/>
      <c r="P269" s="234" t="n"/>
      <c r="Q269" s="234" t="n"/>
      <c r="R269" s="234" t="n"/>
      <c r="S269" s="234" t="n"/>
      <c r="T269" s="234" t="n"/>
      <c r="U269" s="234" t="n"/>
      <c r="V269" s="234" t="n"/>
      <c r="W269" s="234" t="n"/>
    </row>
    <row r="270" ht="54.95" customFormat="1" customHeight="1" s="235">
      <c r="A270" s="232" t="n"/>
      <c r="B270" s="232" t="n"/>
      <c r="C270" s="232" t="n"/>
      <c r="D270" s="233" t="n"/>
      <c r="E270" s="232" t="n"/>
      <c r="F270" s="233" t="n"/>
      <c r="G270" s="233" t="n"/>
      <c r="H270" s="233" t="n"/>
      <c r="I270" s="232" t="n"/>
      <c r="J270" s="233" t="n"/>
      <c r="K270" s="232" t="n"/>
      <c r="L270" s="232" t="n"/>
      <c r="M270" s="232" t="n"/>
      <c r="N270" s="233" t="n"/>
      <c r="O270" s="232" t="n"/>
      <c r="P270" s="233" t="n"/>
      <c r="Q270" s="233" t="n"/>
      <c r="R270" s="233" t="n"/>
      <c r="S270" s="232" t="n"/>
      <c r="T270" s="233" t="n"/>
      <c r="U270" s="233" t="n"/>
      <c r="V270" s="233" t="n"/>
      <c r="W270" s="232" t="n"/>
    </row>
    <row r="271" ht="54.95" customFormat="1" customHeight="1" s="235">
      <c r="A271" s="232" t="n"/>
      <c r="B271" s="232" t="n"/>
      <c r="C271" s="232" t="n"/>
      <c r="D271" s="233" t="n"/>
      <c r="E271" s="232" t="n"/>
      <c r="F271" s="233" t="n"/>
      <c r="G271" s="233" t="n"/>
      <c r="H271" s="233" t="n"/>
      <c r="I271" s="232" t="n"/>
      <c r="J271" s="233" t="n"/>
      <c r="K271" s="232" t="n"/>
      <c r="L271" s="232" t="n"/>
      <c r="M271" s="232" t="n"/>
      <c r="N271" s="233" t="n"/>
      <c r="O271" s="232" t="n"/>
      <c r="P271" s="233" t="n"/>
      <c r="Q271" s="233" t="n"/>
      <c r="R271" s="233" t="n"/>
      <c r="S271" s="232" t="n"/>
      <c r="T271" s="233" t="n"/>
      <c r="U271" s="233" t="n"/>
      <c r="V271" s="233" t="n"/>
      <c r="W271" s="232" t="n"/>
    </row>
    <row r="272" ht="54.95" customFormat="1" customHeight="1" s="235">
      <c r="A272" s="232" t="n"/>
      <c r="B272" s="232" t="n"/>
      <c r="C272" s="232" t="n"/>
      <c r="D272" s="233" t="n"/>
      <c r="E272" s="232" t="n"/>
      <c r="F272" s="233" t="n"/>
      <c r="G272" s="233" t="n"/>
      <c r="H272" s="233" t="n"/>
      <c r="I272" s="232" t="n"/>
      <c r="J272" s="233" t="n"/>
      <c r="K272" s="232" t="n"/>
      <c r="L272" s="232" t="n"/>
      <c r="M272" s="232" t="n"/>
      <c r="N272" s="233" t="n"/>
      <c r="O272" s="232" t="n"/>
      <c r="P272" s="233" t="n"/>
      <c r="Q272" s="233" t="n"/>
      <c r="R272" s="233" t="n"/>
      <c r="S272" s="232" t="n"/>
      <c r="T272" s="233" t="n"/>
      <c r="U272" s="233" t="n"/>
      <c r="V272" s="233" t="n"/>
      <c r="W272" s="232" t="n"/>
    </row>
    <row r="273" ht="54.95" customFormat="1" customHeight="1" s="235">
      <c r="A273" s="232" t="n"/>
      <c r="B273" s="232" t="n"/>
      <c r="C273" s="232" t="n"/>
      <c r="D273" s="233" t="n"/>
      <c r="E273" s="232" t="n"/>
      <c r="F273" s="233" t="n"/>
      <c r="G273" s="233" t="n"/>
      <c r="H273" s="233" t="n"/>
      <c r="I273" s="232" t="n"/>
      <c r="J273" s="233" t="n"/>
      <c r="K273" s="232" t="n"/>
      <c r="L273" s="232" t="n"/>
      <c r="M273" s="232" t="n"/>
      <c r="N273" s="233" t="n"/>
      <c r="O273" s="232" t="n"/>
      <c r="P273" s="233" t="n"/>
      <c r="Q273" s="233" t="n"/>
      <c r="R273" s="233" t="n"/>
      <c r="S273" s="232" t="n"/>
      <c r="T273" s="233" t="n"/>
      <c r="U273" s="233" t="n"/>
      <c r="V273" s="233" t="n"/>
      <c r="W273" s="232" t="n"/>
    </row>
    <row r="274" ht="54.95" customFormat="1" customHeight="1" s="235">
      <c r="A274" s="234" t="n"/>
      <c r="B274" s="234" t="n"/>
      <c r="C274" s="234" t="n"/>
      <c r="D274" s="234" t="n"/>
      <c r="E274" s="234" t="n"/>
      <c r="F274" s="234" t="n"/>
      <c r="G274" s="234" t="n"/>
      <c r="H274" s="234" t="n"/>
      <c r="I274" s="234" t="n"/>
      <c r="J274" s="234" t="n"/>
      <c r="K274" s="234" t="n"/>
      <c r="L274" s="234" t="n"/>
      <c r="M274" s="232" t="n"/>
      <c r="N274" s="233" t="n"/>
      <c r="O274" s="232" t="n"/>
      <c r="P274" s="234" t="n"/>
      <c r="Q274" s="234" t="n"/>
      <c r="R274" s="234" t="n"/>
      <c r="S274" s="234" t="n"/>
      <c r="T274" s="234" t="n"/>
      <c r="U274" s="234" t="n"/>
      <c r="V274" s="234" t="n"/>
      <c r="W274" s="234" t="n"/>
    </row>
    <row r="275" ht="54.95" customFormat="1" customHeight="1" s="235">
      <c r="A275" s="234" t="n"/>
      <c r="B275" s="234" t="n"/>
      <c r="C275" s="234" t="n"/>
      <c r="D275" s="234" t="n"/>
      <c r="E275" s="234" t="n"/>
      <c r="F275" s="234" t="n"/>
      <c r="G275" s="234" t="n"/>
      <c r="H275" s="234" t="n"/>
      <c r="I275" s="234" t="n"/>
      <c r="J275" s="234" t="n"/>
      <c r="K275" s="234" t="n"/>
      <c r="L275" s="234" t="n"/>
      <c r="M275" s="232" t="n"/>
      <c r="N275" s="233" t="n"/>
      <c r="O275" s="232" t="n"/>
      <c r="P275" s="234" t="n"/>
      <c r="Q275" s="234" t="n"/>
      <c r="R275" s="234" t="n"/>
      <c r="S275" s="234" t="n"/>
      <c r="T275" s="234" t="n"/>
      <c r="U275" s="234" t="n"/>
      <c r="V275" s="234" t="n"/>
      <c r="W275" s="234" t="n"/>
    </row>
    <row r="276" ht="54.95" customFormat="1" customHeight="1" s="235">
      <c r="A276" s="232" t="n"/>
      <c r="B276" s="232" t="n"/>
      <c r="C276" s="232" t="n"/>
      <c r="D276" s="233" t="n"/>
      <c r="E276" s="232" t="n"/>
      <c r="F276" s="233" t="n"/>
      <c r="G276" s="233" t="n"/>
      <c r="H276" s="233" t="n"/>
      <c r="I276" s="232" t="n"/>
      <c r="J276" s="233" t="n"/>
      <c r="K276" s="232" t="n"/>
      <c r="L276" s="232" t="n"/>
      <c r="M276" s="232" t="n"/>
      <c r="N276" s="233" t="n"/>
      <c r="O276" s="232" t="n"/>
      <c r="P276" s="233" t="n"/>
      <c r="Q276" s="233" t="n"/>
      <c r="R276" s="233" t="n"/>
      <c r="S276" s="232" t="n"/>
      <c r="T276" s="233" t="n"/>
      <c r="U276" s="233" t="n"/>
      <c r="V276" s="233" t="n"/>
      <c r="W276" s="232" t="n"/>
    </row>
    <row r="277" ht="54.95" customFormat="1" customHeight="1" s="235">
      <c r="A277" s="232" t="n"/>
      <c r="B277" s="232" t="n"/>
      <c r="C277" s="232" t="n"/>
      <c r="D277" s="233" t="n"/>
      <c r="E277" s="232" t="n"/>
      <c r="F277" s="233" t="n"/>
      <c r="G277" s="233" t="n"/>
      <c r="H277" s="233" t="n"/>
      <c r="I277" s="232" t="n"/>
      <c r="J277" s="233" t="n"/>
      <c r="K277" s="232" t="n"/>
      <c r="L277" s="232" t="n"/>
      <c r="M277" s="232" t="n"/>
      <c r="N277" s="233" t="n"/>
      <c r="O277" s="232" t="n"/>
      <c r="P277" s="233" t="n"/>
      <c r="Q277" s="233" t="n"/>
      <c r="R277" s="233" t="n"/>
      <c r="S277" s="232" t="n"/>
      <c r="T277" s="233" t="n"/>
      <c r="U277" s="233" t="n"/>
      <c r="V277" s="233" t="n"/>
      <c r="W277" s="232" t="n"/>
    </row>
    <row r="278" ht="54.95" customFormat="1" customHeight="1" s="235">
      <c r="A278" s="232" t="n"/>
      <c r="B278" s="232" t="n"/>
      <c r="C278" s="232" t="n"/>
      <c r="D278" s="233" t="n"/>
      <c r="E278" s="232" t="n"/>
      <c r="F278" s="233" t="n"/>
      <c r="G278" s="233" t="n"/>
      <c r="H278" s="233" t="n"/>
      <c r="I278" s="232" t="n"/>
      <c r="J278" s="233" t="n"/>
      <c r="K278" s="232" t="n"/>
      <c r="L278" s="232" t="n"/>
      <c r="M278" s="232" t="n"/>
      <c r="N278" s="233" t="n"/>
      <c r="O278" s="232" t="n"/>
      <c r="P278" s="233" t="n"/>
      <c r="Q278" s="233" t="n"/>
      <c r="R278" s="233" t="n"/>
      <c r="S278" s="232" t="n"/>
      <c r="T278" s="233" t="n"/>
      <c r="U278" s="233" t="n"/>
      <c r="V278" s="233" t="n"/>
      <c r="W278" s="232" t="n"/>
    </row>
    <row r="279" ht="54.95" customFormat="1" customHeight="1" s="235">
      <c r="A279" s="232" t="n"/>
      <c r="B279" s="232" t="n"/>
      <c r="C279" s="232" t="n"/>
      <c r="D279" s="233" t="n"/>
      <c r="E279" s="232" t="n"/>
      <c r="F279" s="233" t="n"/>
      <c r="G279" s="233" t="n"/>
      <c r="H279" s="233" t="n"/>
      <c r="I279" s="232" t="n"/>
      <c r="J279" s="233" t="n"/>
      <c r="K279" s="232" t="n"/>
      <c r="L279" s="232" t="n"/>
      <c r="M279" s="232" t="n"/>
      <c r="N279" s="233" t="n"/>
      <c r="O279" s="232" t="n"/>
      <c r="P279" s="233" t="n"/>
      <c r="Q279" s="233" t="n"/>
      <c r="R279" s="233" t="n"/>
      <c r="S279" s="232" t="n"/>
      <c r="T279" s="233" t="n"/>
      <c r="U279" s="233" t="n"/>
      <c r="V279" s="233" t="n"/>
      <c r="W279" s="232" t="n"/>
    </row>
    <row r="280" ht="54.95" customFormat="1" customHeight="1" s="235">
      <c r="A280" s="232" t="n"/>
      <c r="B280" s="232" t="n"/>
      <c r="C280" s="232" t="n"/>
      <c r="D280" s="233" t="n"/>
      <c r="E280" s="232" t="n"/>
      <c r="F280" s="233" t="n"/>
      <c r="G280" s="233" t="n"/>
      <c r="H280" s="233" t="n"/>
      <c r="I280" s="232" t="n"/>
      <c r="J280" s="233" t="n"/>
      <c r="K280" s="232" t="n"/>
      <c r="L280" s="232" t="n"/>
      <c r="M280" s="232" t="n"/>
      <c r="N280" s="233" t="n"/>
      <c r="O280" s="232" t="n"/>
      <c r="P280" s="233" t="n"/>
      <c r="Q280" s="233" t="n"/>
      <c r="R280" s="233" t="n"/>
      <c r="S280" s="232" t="n"/>
      <c r="T280" s="233" t="n"/>
      <c r="U280" s="233" t="n"/>
      <c r="V280" s="233" t="n"/>
      <c r="W280" s="232" t="n"/>
    </row>
    <row r="281" ht="54.95" customFormat="1" customHeight="1" s="235">
      <c r="A281" s="232" t="n"/>
      <c r="B281" s="232" t="n"/>
      <c r="C281" s="232" t="n"/>
      <c r="D281" s="233" t="n"/>
      <c r="E281" s="232" t="n"/>
      <c r="F281" s="233" t="n"/>
      <c r="G281" s="233" t="n"/>
      <c r="H281" s="233" t="n"/>
      <c r="I281" s="232" t="n"/>
      <c r="J281" s="233" t="n"/>
      <c r="K281" s="232" t="n"/>
      <c r="L281" s="232" t="n"/>
      <c r="M281" s="232" t="n"/>
      <c r="N281" s="233" t="n"/>
      <c r="O281" s="232" t="n"/>
      <c r="P281" s="233" t="n"/>
      <c r="Q281" s="233" t="n"/>
      <c r="R281" s="233" t="n"/>
      <c r="S281" s="232" t="n"/>
      <c r="T281" s="233" t="n"/>
      <c r="U281" s="233" t="n"/>
      <c r="V281" s="233" t="n"/>
      <c r="W281" s="232" t="n"/>
    </row>
    <row r="282" ht="54.95" customFormat="1" customHeight="1" s="235">
      <c r="A282" s="232" t="n"/>
      <c r="B282" s="232" t="n"/>
      <c r="C282" s="232" t="n"/>
      <c r="D282" s="233" t="n"/>
      <c r="E282" s="232" t="n"/>
      <c r="F282" s="233" t="n"/>
      <c r="G282" s="233" t="n"/>
      <c r="H282" s="233" t="n"/>
      <c r="I282" s="232" t="n"/>
      <c r="J282" s="233" t="n"/>
      <c r="K282" s="232" t="n"/>
      <c r="L282" s="232" t="n"/>
      <c r="M282" s="232" t="n"/>
      <c r="N282" s="233" t="n"/>
      <c r="O282" s="232" t="n"/>
      <c r="P282" s="233" t="n"/>
      <c r="Q282" s="233" t="n"/>
      <c r="R282" s="233" t="n"/>
      <c r="S282" s="232" t="n"/>
      <c r="T282" s="233" t="n"/>
      <c r="U282" s="233" t="n"/>
      <c r="V282" s="233" t="n"/>
      <c r="W282" s="232" t="n"/>
    </row>
    <row r="283" ht="54.95" customFormat="1" customHeight="1" s="235">
      <c r="A283" s="232" t="n"/>
      <c r="B283" s="232" t="n"/>
      <c r="C283" s="232" t="n"/>
      <c r="D283" s="233" t="n"/>
      <c r="E283" s="232" t="n"/>
      <c r="F283" s="233" t="n"/>
      <c r="G283" s="233" t="n"/>
      <c r="H283" s="233" t="n"/>
      <c r="I283" s="232" t="n"/>
      <c r="J283" s="233" t="n"/>
      <c r="K283" s="232" t="n"/>
      <c r="L283" s="232" t="n"/>
      <c r="M283" s="232" t="n"/>
      <c r="N283" s="233" t="n"/>
      <c r="O283" s="232" t="n"/>
      <c r="P283" s="233" t="n"/>
      <c r="Q283" s="233" t="n"/>
      <c r="R283" s="233" t="n"/>
      <c r="S283" s="232" t="n"/>
      <c r="T283" s="233" t="n"/>
      <c r="U283" s="233" t="n"/>
      <c r="V283" s="233" t="n"/>
      <c r="W283" s="232" t="n"/>
    </row>
    <row r="284" ht="54.95" customFormat="1" customHeight="1" s="235">
      <c r="A284" s="232" t="n"/>
      <c r="B284" s="232" t="n"/>
      <c r="C284" s="232" t="n"/>
      <c r="D284" s="233" t="n"/>
      <c r="E284" s="232" t="n"/>
      <c r="F284" s="233" t="n"/>
      <c r="G284" s="233" t="n"/>
      <c r="H284" s="233" t="n"/>
      <c r="I284" s="232" t="n"/>
      <c r="J284" s="233" t="n"/>
      <c r="K284" s="232" t="n"/>
      <c r="L284" s="232" t="n"/>
      <c r="M284" s="232" t="n"/>
      <c r="N284" s="233" t="n"/>
      <c r="O284" s="232" t="n"/>
      <c r="P284" s="233" t="n"/>
      <c r="Q284" s="233" t="n"/>
      <c r="R284" s="233" t="n"/>
      <c r="S284" s="232" t="n"/>
      <c r="T284" s="233" t="n"/>
      <c r="U284" s="233" t="n"/>
      <c r="V284" s="233" t="n"/>
      <c r="W284" s="232" t="n"/>
    </row>
    <row r="285" ht="54.95" customFormat="1" customHeight="1" s="235">
      <c r="A285" s="232" t="n"/>
      <c r="B285" s="232" t="n"/>
      <c r="C285" s="232" t="n"/>
      <c r="D285" s="233" t="n"/>
      <c r="E285" s="232" t="n"/>
      <c r="F285" s="233" t="n"/>
      <c r="G285" s="233" t="n"/>
      <c r="H285" s="233" t="n"/>
      <c r="I285" s="232" t="n"/>
      <c r="J285" s="233" t="n"/>
      <c r="K285" s="232" t="n"/>
      <c r="L285" s="232" t="n"/>
      <c r="M285" s="232" t="n"/>
      <c r="N285" s="233" t="n"/>
      <c r="O285" s="232" t="n"/>
      <c r="P285" s="233" t="n"/>
      <c r="Q285" s="233" t="n"/>
      <c r="R285" s="233" t="n"/>
      <c r="S285" s="232" t="n"/>
      <c r="T285" s="233" t="n"/>
      <c r="U285" s="233" t="n"/>
      <c r="V285" s="233" t="n"/>
      <c r="W285" s="232" t="n"/>
    </row>
    <row r="286" ht="54.95" customFormat="1" customHeight="1" s="235">
      <c r="A286" s="232" t="n"/>
      <c r="B286" s="232" t="n"/>
      <c r="C286" s="232" t="n"/>
      <c r="D286" s="233" t="n"/>
      <c r="E286" s="232" t="n"/>
      <c r="F286" s="233" t="n"/>
      <c r="G286" s="233" t="n"/>
      <c r="H286" s="233" t="n"/>
      <c r="I286" s="232" t="n"/>
      <c r="J286" s="233" t="n"/>
      <c r="K286" s="232" t="n"/>
      <c r="L286" s="232" t="n"/>
      <c r="M286" s="232" t="n"/>
      <c r="N286" s="233" t="n"/>
      <c r="O286" s="232" t="n"/>
      <c r="P286" s="233" t="n"/>
      <c r="Q286" s="233" t="n"/>
      <c r="R286" s="233" t="n"/>
      <c r="S286" s="232" t="n"/>
      <c r="T286" s="233" t="n"/>
      <c r="U286" s="233" t="n"/>
      <c r="V286" s="233" t="n"/>
      <c r="W286" s="232" t="n"/>
    </row>
    <row r="287" ht="54.95" customFormat="1" customHeight="1" s="235">
      <c r="A287" s="232" t="n"/>
      <c r="B287" s="232" t="n"/>
      <c r="C287" s="232" t="n"/>
      <c r="D287" s="233" t="n"/>
      <c r="E287" s="232" t="n"/>
      <c r="F287" s="233" t="n"/>
      <c r="G287" s="233" t="n"/>
      <c r="H287" s="233" t="n"/>
      <c r="I287" s="232" t="n"/>
      <c r="J287" s="233" t="n"/>
      <c r="K287" s="232" t="n"/>
      <c r="L287" s="232" t="n"/>
      <c r="M287" s="232" t="n"/>
      <c r="N287" s="233" t="n"/>
      <c r="O287" s="232" t="n"/>
      <c r="P287" s="233" t="n"/>
      <c r="Q287" s="233" t="n"/>
      <c r="R287" s="233" t="n"/>
      <c r="S287" s="232" t="n"/>
      <c r="T287" s="233" t="n"/>
      <c r="U287" s="233" t="n"/>
      <c r="V287" s="233" t="n"/>
      <c r="W287" s="232" t="n"/>
    </row>
    <row r="288" ht="54.95" customFormat="1" customHeight="1" s="235">
      <c r="A288" s="232" t="n"/>
      <c r="B288" s="232" t="n"/>
      <c r="C288" s="232" t="n"/>
      <c r="D288" s="233" t="n"/>
      <c r="E288" s="232" t="n"/>
      <c r="F288" s="233" t="n"/>
      <c r="G288" s="233" t="n"/>
      <c r="H288" s="233" t="n"/>
      <c r="I288" s="232" t="n"/>
      <c r="J288" s="233" t="n"/>
      <c r="K288" s="232" t="n"/>
      <c r="L288" s="232" t="n"/>
      <c r="M288" s="232" t="n"/>
      <c r="N288" s="233" t="n"/>
      <c r="O288" s="232" t="n"/>
      <c r="P288" s="233" t="n"/>
      <c r="Q288" s="233" t="n"/>
      <c r="R288" s="233" t="n"/>
      <c r="S288" s="232" t="n"/>
      <c r="T288" s="233" t="n"/>
      <c r="U288" s="233" t="n"/>
      <c r="V288" s="233" t="n"/>
      <c r="W288" s="232" t="n"/>
    </row>
    <row r="289" ht="54.95" customFormat="1" customHeight="1" s="235">
      <c r="A289" s="234" t="n"/>
      <c r="B289" s="234" t="n"/>
      <c r="C289" s="234" t="n"/>
      <c r="D289" s="234" t="n"/>
      <c r="E289" s="234" t="n"/>
      <c r="F289" s="234" t="n"/>
      <c r="G289" s="234" t="n"/>
      <c r="H289" s="234" t="n"/>
      <c r="I289" s="234" t="n"/>
      <c r="J289" s="234" t="n"/>
      <c r="K289" s="234" t="n"/>
      <c r="L289" s="234" t="n"/>
      <c r="M289" s="232" t="n"/>
      <c r="N289" s="233" t="n"/>
      <c r="O289" s="232" t="n"/>
      <c r="P289" s="234" t="n"/>
      <c r="Q289" s="234" t="n"/>
      <c r="R289" s="234" t="n"/>
      <c r="S289" s="234" t="n"/>
      <c r="T289" s="234" t="n"/>
      <c r="U289" s="234" t="n"/>
      <c r="V289" s="234" t="n"/>
      <c r="W289" s="234" t="n"/>
    </row>
    <row r="290" ht="54.95" customFormat="1" customHeight="1" s="235">
      <c r="A290" s="232" t="n"/>
      <c r="B290" s="232" t="n"/>
      <c r="C290" s="232" t="n"/>
      <c r="D290" s="233" t="n"/>
      <c r="E290" s="232" t="n"/>
      <c r="F290" s="233" t="n"/>
      <c r="G290" s="233" t="n"/>
      <c r="H290" s="233" t="n"/>
      <c r="I290" s="232" t="n"/>
      <c r="J290" s="233" t="n"/>
      <c r="K290" s="232" t="n"/>
      <c r="L290" s="232" t="n"/>
      <c r="M290" s="232" t="n"/>
      <c r="N290" s="233" t="n"/>
      <c r="O290" s="232" t="n"/>
      <c r="P290" s="233" t="n"/>
      <c r="Q290" s="233" t="n"/>
      <c r="R290" s="233" t="n"/>
      <c r="S290" s="232" t="n"/>
      <c r="T290" s="233" t="n"/>
      <c r="U290" s="233" t="n"/>
      <c r="V290" s="233" t="n"/>
      <c r="W290" s="232" t="n"/>
    </row>
    <row r="291" ht="54.95" customFormat="1" customHeight="1" s="235">
      <c r="A291" s="232" t="n"/>
      <c r="B291" s="232" t="n"/>
      <c r="C291" s="232" t="n"/>
      <c r="D291" s="233" t="n"/>
      <c r="E291" s="232" t="n"/>
      <c r="F291" s="233" t="n"/>
      <c r="G291" s="233" t="n"/>
      <c r="H291" s="233" t="n"/>
      <c r="I291" s="232" t="n"/>
      <c r="J291" s="233" t="n"/>
      <c r="K291" s="232" t="n"/>
      <c r="L291" s="232" t="n"/>
      <c r="M291" s="232" t="n"/>
      <c r="N291" s="233" t="n"/>
      <c r="O291" s="232" t="n"/>
      <c r="P291" s="233" t="n"/>
      <c r="Q291" s="233" t="n"/>
      <c r="R291" s="233" t="n"/>
      <c r="S291" s="232" t="n"/>
      <c r="T291" s="233" t="n"/>
      <c r="U291" s="233" t="n"/>
      <c r="V291" s="233" t="n"/>
      <c r="W291" s="232" t="n"/>
    </row>
    <row r="292" ht="54.95" customFormat="1" customHeight="1" s="235">
      <c r="A292" s="232" t="n"/>
      <c r="B292" s="232" t="n"/>
      <c r="C292" s="232" t="n"/>
      <c r="D292" s="233" t="n"/>
      <c r="E292" s="232" t="n"/>
      <c r="F292" s="233" t="n"/>
      <c r="G292" s="233" t="n"/>
      <c r="H292" s="233" t="n"/>
      <c r="I292" s="232" t="n"/>
      <c r="J292" s="233" t="n"/>
      <c r="K292" s="232" t="n"/>
      <c r="L292" s="232" t="n"/>
      <c r="M292" s="232" t="n"/>
      <c r="N292" s="233" t="n"/>
      <c r="O292" s="232" t="n"/>
      <c r="P292" s="233" t="n"/>
      <c r="Q292" s="233" t="n"/>
      <c r="R292" s="233" t="n"/>
      <c r="S292" s="232" t="n"/>
      <c r="T292" s="233" t="n"/>
      <c r="U292" s="233" t="n"/>
      <c r="V292" s="233" t="n"/>
      <c r="W292" s="232" t="n"/>
    </row>
    <row r="293" ht="54.95" customFormat="1" customHeight="1" s="235">
      <c r="A293" s="232" t="n"/>
      <c r="B293" s="232" t="n"/>
      <c r="C293" s="232" t="n"/>
      <c r="D293" s="233" t="n"/>
      <c r="E293" s="232" t="n"/>
      <c r="F293" s="233" t="n"/>
      <c r="G293" s="233" t="n"/>
      <c r="H293" s="233" t="n"/>
      <c r="I293" s="232" t="n"/>
      <c r="J293" s="233" t="n"/>
      <c r="K293" s="232" t="n"/>
      <c r="L293" s="232" t="n"/>
      <c r="M293" s="232" t="n"/>
      <c r="N293" s="233" t="n"/>
      <c r="O293" s="232" t="n"/>
      <c r="P293" s="233" t="n"/>
      <c r="Q293" s="233" t="n"/>
      <c r="R293" s="233" t="n"/>
      <c r="S293" s="232" t="n"/>
      <c r="T293" s="233" t="n"/>
      <c r="U293" s="233" t="n"/>
      <c r="V293" s="233" t="n"/>
      <c r="W293" s="232" t="n"/>
    </row>
    <row r="294" ht="54.95" customFormat="1" customHeight="1" s="235">
      <c r="A294" s="232" t="n"/>
      <c r="B294" s="232" t="n"/>
      <c r="C294" s="232" t="n"/>
      <c r="D294" s="233" t="n"/>
      <c r="E294" s="232" t="n"/>
      <c r="F294" s="233" t="n"/>
      <c r="G294" s="233" t="n"/>
      <c r="H294" s="233" t="n"/>
      <c r="I294" s="232" t="n"/>
      <c r="J294" s="233" t="n"/>
      <c r="K294" s="232" t="n"/>
      <c r="L294" s="232" t="n"/>
      <c r="M294" s="232" t="n"/>
      <c r="N294" s="233" t="n"/>
      <c r="O294" s="232" t="n"/>
      <c r="P294" s="233" t="n"/>
      <c r="Q294" s="233" t="n"/>
      <c r="R294" s="233" t="n"/>
      <c r="S294" s="232" t="n"/>
      <c r="T294" s="233" t="n"/>
      <c r="U294" s="233" t="n"/>
      <c r="V294" s="233" t="n"/>
      <c r="W294" s="232" t="n"/>
    </row>
    <row r="295" ht="54.95" customFormat="1" customHeight="1" s="235">
      <c r="A295" s="232" t="n"/>
      <c r="B295" s="232" t="n"/>
      <c r="C295" s="232" t="n"/>
      <c r="D295" s="233" t="n"/>
      <c r="E295" s="232" t="n"/>
      <c r="F295" s="233" t="n"/>
      <c r="G295" s="233" t="n"/>
      <c r="H295" s="233" t="n"/>
      <c r="I295" s="232" t="n"/>
      <c r="J295" s="233" t="n"/>
      <c r="K295" s="232" t="n"/>
      <c r="L295" s="232" t="n"/>
      <c r="M295" s="232" t="n"/>
      <c r="N295" s="233" t="n"/>
      <c r="O295" s="232" t="n"/>
      <c r="P295" s="233" t="n"/>
      <c r="Q295" s="233" t="n"/>
      <c r="R295" s="233" t="n"/>
      <c r="S295" s="232" t="n"/>
      <c r="T295" s="233" t="n"/>
      <c r="U295" s="233" t="n"/>
      <c r="V295" s="233" t="n"/>
      <c r="W295" s="232" t="n"/>
    </row>
    <row r="296" ht="54.95" customFormat="1" customHeight="1" s="235">
      <c r="A296" s="234" t="n"/>
      <c r="B296" s="234" t="n"/>
      <c r="C296" s="234" t="n"/>
      <c r="D296" s="234" t="n"/>
      <c r="E296" s="234" t="n"/>
      <c r="F296" s="234" t="n"/>
      <c r="G296" s="234" t="n"/>
      <c r="H296" s="234" t="n"/>
      <c r="I296" s="234" t="n"/>
      <c r="J296" s="234" t="n"/>
      <c r="K296" s="234" t="n"/>
      <c r="L296" s="234" t="n"/>
      <c r="M296" s="232" t="n"/>
      <c r="N296" s="233" t="n"/>
      <c r="O296" s="232" t="n"/>
      <c r="P296" s="234" t="n"/>
      <c r="Q296" s="234" t="n"/>
      <c r="R296" s="234" t="n"/>
      <c r="S296" s="234" t="n"/>
      <c r="T296" s="234" t="n"/>
      <c r="U296" s="234" t="n"/>
      <c r="V296" s="234" t="n"/>
      <c r="W296" s="234" t="n"/>
    </row>
    <row r="297" ht="54.95" customFormat="1" customHeight="1" s="235">
      <c r="A297" s="232" t="n"/>
      <c r="B297" s="232" t="n"/>
      <c r="C297" s="232" t="n"/>
      <c r="D297" s="233" t="n"/>
      <c r="E297" s="232" t="n"/>
      <c r="F297" s="233" t="n"/>
      <c r="G297" s="233" t="n"/>
      <c r="H297" s="233" t="n"/>
      <c r="I297" s="232" t="n"/>
      <c r="J297" s="233" t="n"/>
      <c r="K297" s="232" t="n"/>
      <c r="L297" s="232" t="n"/>
      <c r="M297" s="232" t="n"/>
      <c r="N297" s="233" t="n"/>
      <c r="O297" s="232" t="n"/>
      <c r="P297" s="233" t="n"/>
      <c r="Q297" s="233" t="n"/>
      <c r="R297" s="233" t="n"/>
      <c r="S297" s="232" t="n"/>
      <c r="T297" s="233" t="n"/>
      <c r="U297" s="233" t="n"/>
      <c r="V297" s="233" t="n"/>
      <c r="W297" s="232" t="n"/>
    </row>
    <row r="298" ht="54.95" customFormat="1" customHeight="1" s="235">
      <c r="A298" s="232" t="n"/>
      <c r="B298" s="232" t="n"/>
      <c r="C298" s="232" t="n"/>
      <c r="D298" s="233" t="n"/>
      <c r="E298" s="232" t="n"/>
      <c r="F298" s="233" t="n"/>
      <c r="G298" s="233" t="n"/>
      <c r="H298" s="233" t="n"/>
      <c r="I298" s="232" t="n"/>
      <c r="J298" s="233" t="n"/>
      <c r="K298" s="232" t="n"/>
      <c r="L298" s="232" t="n"/>
      <c r="M298" s="232" t="n"/>
      <c r="N298" s="233" t="n"/>
      <c r="O298" s="232" t="n"/>
      <c r="P298" s="233" t="n"/>
      <c r="Q298" s="233" t="n"/>
      <c r="R298" s="233" t="n"/>
      <c r="S298" s="232" t="n"/>
      <c r="T298" s="233" t="n"/>
      <c r="U298" s="233" t="n"/>
      <c r="V298" s="233" t="n"/>
      <c r="W298" s="232" t="n"/>
    </row>
    <row r="299" ht="54.95" customFormat="1" customHeight="1" s="235">
      <c r="A299" s="232" t="n"/>
      <c r="B299" s="232" t="n"/>
      <c r="C299" s="232" t="n"/>
      <c r="D299" s="233" t="n"/>
      <c r="E299" s="232" t="n"/>
      <c r="F299" s="233" t="n"/>
      <c r="G299" s="233" t="n"/>
      <c r="H299" s="233" t="n"/>
      <c r="I299" s="232" t="n"/>
      <c r="J299" s="233" t="n"/>
      <c r="K299" s="232" t="n"/>
      <c r="L299" s="232" t="n"/>
      <c r="M299" s="232" t="n"/>
      <c r="N299" s="233" t="n"/>
      <c r="O299" s="232" t="n"/>
      <c r="P299" s="233" t="n"/>
      <c r="Q299" s="233" t="n"/>
      <c r="R299" s="233" t="n"/>
      <c r="S299" s="232" t="n"/>
      <c r="T299" s="233" t="n"/>
      <c r="U299" s="233" t="n"/>
      <c r="V299" s="233" t="n"/>
      <c r="W299" s="232" t="n"/>
    </row>
    <row r="300" ht="54.95" customFormat="1" customHeight="1" s="235">
      <c r="A300" s="234" t="n"/>
      <c r="B300" s="234" t="n"/>
      <c r="C300" s="234" t="n"/>
      <c r="D300" s="234" t="n"/>
      <c r="E300" s="234" t="n"/>
      <c r="F300" s="234" t="n"/>
      <c r="G300" s="234" t="n"/>
      <c r="H300" s="234" t="n"/>
      <c r="I300" s="234" t="n"/>
      <c r="J300" s="234" t="n"/>
      <c r="K300" s="234" t="n"/>
      <c r="L300" s="234" t="n"/>
      <c r="M300" s="232" t="n"/>
      <c r="N300" s="233" t="n"/>
      <c r="O300" s="232" t="n"/>
      <c r="P300" s="234" t="n"/>
      <c r="Q300" s="234" t="n"/>
      <c r="R300" s="234" t="n"/>
      <c r="S300" s="234" t="n"/>
      <c r="T300" s="234" t="n"/>
      <c r="U300" s="234" t="n"/>
      <c r="V300" s="234" t="n"/>
      <c r="W300" s="234" t="n"/>
    </row>
    <row r="301" ht="54.95" customFormat="1" customHeight="1" s="235">
      <c r="A301" s="232" t="n"/>
      <c r="B301" s="232" t="n"/>
      <c r="C301" s="232" t="n"/>
      <c r="D301" s="233" t="n"/>
      <c r="E301" s="232" t="n"/>
      <c r="F301" s="233" t="n"/>
      <c r="G301" s="233" t="n"/>
      <c r="H301" s="233" t="n"/>
      <c r="I301" s="232" t="n"/>
      <c r="J301" s="233" t="n"/>
      <c r="K301" s="232" t="n"/>
      <c r="L301" s="232" t="n"/>
      <c r="M301" s="232" t="n"/>
      <c r="N301" s="233" t="n"/>
      <c r="O301" s="232" t="n"/>
      <c r="P301" s="233" t="n"/>
      <c r="Q301" s="233" t="n"/>
      <c r="R301" s="233" t="n"/>
      <c r="S301" s="232" t="n"/>
      <c r="T301" s="233" t="n"/>
      <c r="U301" s="233" t="n"/>
      <c r="V301" s="233" t="n"/>
      <c r="W301" s="232" t="n"/>
    </row>
    <row r="302" ht="54.95" customFormat="1" customHeight="1" s="235">
      <c r="A302" s="232" t="n"/>
      <c r="B302" s="232" t="n"/>
      <c r="C302" s="232" t="n"/>
      <c r="D302" s="233" t="n"/>
      <c r="E302" s="232" t="n"/>
      <c r="F302" s="233" t="n"/>
      <c r="G302" s="233" t="n"/>
      <c r="H302" s="233" t="n"/>
      <c r="I302" s="232" t="n"/>
      <c r="J302" s="233" t="n"/>
      <c r="K302" s="232" t="n"/>
      <c r="L302" s="232" t="n"/>
      <c r="M302" s="232" t="n"/>
      <c r="N302" s="233" t="n"/>
      <c r="O302" s="232" t="n"/>
      <c r="P302" s="233" t="n"/>
      <c r="Q302" s="233" t="n"/>
      <c r="R302" s="233" t="n"/>
      <c r="S302" s="232" t="n"/>
      <c r="T302" s="233" t="n"/>
      <c r="U302" s="233" t="n"/>
      <c r="V302" s="233" t="n"/>
      <c r="W302" s="232" t="n"/>
    </row>
    <row r="303" ht="54.95" customFormat="1" customHeight="1" s="235">
      <c r="A303" s="232" t="n"/>
      <c r="B303" s="232" t="n"/>
      <c r="C303" s="232" t="n"/>
      <c r="D303" s="233" t="n"/>
      <c r="E303" s="232" t="n"/>
      <c r="F303" s="233" t="n"/>
      <c r="G303" s="233" t="n"/>
      <c r="H303" s="233" t="n"/>
      <c r="I303" s="232" t="n"/>
      <c r="J303" s="233" t="n"/>
      <c r="K303" s="232" t="n"/>
      <c r="L303" s="232" t="n"/>
      <c r="M303" s="232" t="n"/>
      <c r="N303" s="233" t="n"/>
      <c r="O303" s="232" t="n"/>
      <c r="P303" s="233" t="n"/>
      <c r="Q303" s="233" t="n"/>
      <c r="R303" s="233" t="n"/>
      <c r="S303" s="232" t="n"/>
      <c r="T303" s="233" t="n"/>
      <c r="U303" s="233" t="n"/>
      <c r="V303" s="233" t="n"/>
      <c r="W303" s="232" t="n"/>
    </row>
    <row r="304" ht="54.95" customFormat="1" customHeight="1" s="235">
      <c r="A304" s="232" t="n"/>
      <c r="B304" s="232" t="n"/>
      <c r="C304" s="232" t="n"/>
      <c r="D304" s="233" t="n"/>
      <c r="E304" s="232" t="n"/>
      <c r="F304" s="233" t="n"/>
      <c r="G304" s="233" t="n"/>
      <c r="H304" s="233" t="n"/>
      <c r="I304" s="232" t="n"/>
      <c r="J304" s="233" t="n"/>
      <c r="K304" s="232" t="n"/>
      <c r="L304" s="232" t="n"/>
      <c r="M304" s="232" t="n"/>
      <c r="N304" s="233" t="n"/>
      <c r="O304" s="232" t="n"/>
      <c r="P304" s="233" t="n"/>
      <c r="Q304" s="233" t="n"/>
      <c r="R304" s="233" t="n"/>
      <c r="S304" s="232" t="n"/>
      <c r="T304" s="233" t="n"/>
      <c r="U304" s="233" t="n"/>
      <c r="V304" s="233" t="n"/>
      <c r="W304" s="232" t="n"/>
    </row>
    <row r="305" ht="54.95" customFormat="1" customHeight="1" s="235">
      <c r="A305" s="232" t="n"/>
      <c r="B305" s="232" t="n"/>
      <c r="C305" s="232" t="n"/>
      <c r="D305" s="233" t="n"/>
      <c r="E305" s="232" t="n"/>
      <c r="F305" s="233" t="n"/>
      <c r="G305" s="233" t="n"/>
      <c r="H305" s="233" t="n"/>
      <c r="I305" s="232" t="n"/>
      <c r="J305" s="233" t="n"/>
      <c r="K305" s="232" t="n"/>
      <c r="L305" s="232" t="n"/>
      <c r="M305" s="232" t="n"/>
      <c r="N305" s="233" t="n"/>
      <c r="O305" s="232" t="n"/>
      <c r="P305" s="233" t="n"/>
      <c r="Q305" s="233" t="n"/>
      <c r="R305" s="233" t="n"/>
      <c r="S305" s="232" t="n"/>
      <c r="T305" s="233" t="n"/>
      <c r="U305" s="233" t="n"/>
      <c r="V305" s="233" t="n"/>
      <c r="W305" s="232" t="n"/>
    </row>
    <row r="306" ht="54.95" customFormat="1" customHeight="1" s="235">
      <c r="A306" s="232" t="n"/>
      <c r="B306" s="232" t="n"/>
      <c r="C306" s="232" t="n"/>
      <c r="D306" s="233" t="n"/>
      <c r="E306" s="232" t="n"/>
      <c r="F306" s="233" t="n"/>
      <c r="G306" s="233" t="n"/>
      <c r="H306" s="233" t="n"/>
      <c r="I306" s="232" t="n"/>
      <c r="J306" s="233" t="n"/>
      <c r="K306" s="232" t="n"/>
      <c r="L306" s="232" t="n"/>
      <c r="M306" s="232" t="n"/>
      <c r="N306" s="233" t="n"/>
      <c r="O306" s="232" t="n"/>
      <c r="P306" s="233" t="n"/>
      <c r="Q306" s="233" t="n"/>
      <c r="R306" s="233" t="n"/>
      <c r="S306" s="232" t="n"/>
      <c r="T306" s="233" t="n"/>
      <c r="U306" s="233" t="n"/>
      <c r="V306" s="233" t="n"/>
      <c r="W306" s="232" t="n"/>
    </row>
    <row r="307" ht="54.95" customFormat="1" customHeight="1" s="235">
      <c r="A307" s="232" t="n"/>
      <c r="B307" s="232" t="n"/>
      <c r="C307" s="232" t="n"/>
      <c r="D307" s="233" t="n"/>
      <c r="E307" s="232" t="n"/>
      <c r="F307" s="233" t="n"/>
      <c r="G307" s="233" t="n"/>
      <c r="H307" s="233" t="n"/>
      <c r="I307" s="232" t="n"/>
      <c r="J307" s="233" t="n"/>
      <c r="K307" s="232" t="n"/>
      <c r="L307" s="232" t="n"/>
      <c r="M307" s="232" t="n"/>
      <c r="N307" s="233" t="n"/>
      <c r="O307" s="232" t="n"/>
      <c r="P307" s="233" t="n"/>
      <c r="Q307" s="233" t="n"/>
      <c r="R307" s="233" t="n"/>
      <c r="S307" s="232" t="n"/>
      <c r="T307" s="233" t="n"/>
      <c r="U307" s="233" t="n"/>
      <c r="V307" s="233" t="n"/>
      <c r="W307" s="232" t="n"/>
    </row>
    <row r="308" ht="54.95" customFormat="1" customHeight="1" s="235">
      <c r="A308" s="232" t="n"/>
      <c r="B308" s="232" t="n"/>
      <c r="C308" s="232" t="n"/>
      <c r="D308" s="233" t="n"/>
      <c r="E308" s="232" t="n"/>
      <c r="F308" s="233" t="n"/>
      <c r="G308" s="233" t="n"/>
      <c r="H308" s="233" t="n"/>
      <c r="I308" s="232" t="n"/>
      <c r="J308" s="233" t="n"/>
      <c r="K308" s="232" t="n"/>
      <c r="L308" s="232" t="n"/>
      <c r="M308" s="232" t="n"/>
      <c r="N308" s="233" t="n"/>
      <c r="O308" s="232" t="n"/>
      <c r="P308" s="233" t="n"/>
      <c r="Q308" s="233" t="n"/>
      <c r="R308" s="233" t="n"/>
      <c r="S308" s="232" t="n"/>
      <c r="T308" s="233" t="n"/>
      <c r="U308" s="233" t="n"/>
      <c r="V308" s="233" t="n"/>
      <c r="W308" s="232" t="n"/>
    </row>
    <row r="309" ht="54.95" customFormat="1" customHeight="1" s="235">
      <c r="A309" s="232" t="n"/>
      <c r="B309" s="232" t="n"/>
      <c r="C309" s="232" t="n"/>
      <c r="D309" s="233" t="n"/>
      <c r="E309" s="232" t="n"/>
      <c r="F309" s="233" t="n"/>
      <c r="G309" s="233" t="n"/>
      <c r="H309" s="233" t="n"/>
      <c r="I309" s="232" t="n"/>
      <c r="J309" s="233" t="n"/>
      <c r="K309" s="232" t="n"/>
      <c r="L309" s="232" t="n"/>
      <c r="M309" s="232" t="n"/>
      <c r="N309" s="233" t="n"/>
      <c r="O309" s="232" t="n"/>
      <c r="P309" s="233" t="n"/>
      <c r="Q309" s="233" t="n"/>
      <c r="R309" s="233" t="n"/>
      <c r="S309" s="232" t="n"/>
      <c r="T309" s="233" t="n"/>
      <c r="U309" s="233" t="n"/>
      <c r="V309" s="233" t="n"/>
      <c r="W309" s="232" t="n"/>
    </row>
    <row r="310" ht="54.95" customFormat="1" customHeight="1" s="235">
      <c r="A310" s="232" t="n"/>
      <c r="B310" s="232" t="n"/>
      <c r="C310" s="232" t="n"/>
      <c r="D310" s="233" t="n"/>
      <c r="E310" s="232" t="n"/>
      <c r="F310" s="233" t="n"/>
      <c r="G310" s="233" t="n"/>
      <c r="H310" s="233" t="n"/>
      <c r="I310" s="232" t="n"/>
      <c r="J310" s="233" t="n"/>
      <c r="K310" s="232" t="n"/>
      <c r="L310" s="232" t="n"/>
      <c r="M310" s="232" t="n"/>
      <c r="N310" s="233" t="n"/>
      <c r="O310" s="232" t="n"/>
      <c r="P310" s="233" t="n"/>
      <c r="Q310" s="233" t="n"/>
      <c r="R310" s="233" t="n"/>
      <c r="S310" s="232" t="n"/>
      <c r="T310" s="233" t="n"/>
      <c r="U310" s="233" t="n"/>
      <c r="V310" s="233" t="n"/>
      <c r="W310" s="232" t="n"/>
    </row>
    <row r="311" ht="54.95" customFormat="1" customHeight="1" s="37">
      <c r="A311" s="232" t="n"/>
      <c r="B311" s="232" t="n"/>
      <c r="C311" s="232" t="n"/>
      <c r="D311" s="233" t="n"/>
      <c r="E311" s="232" t="n"/>
      <c r="F311" s="233" t="n"/>
      <c r="G311" s="233" t="n"/>
      <c r="H311" s="233" t="n"/>
      <c r="I311" s="232" t="n"/>
      <c r="J311" s="233" t="n"/>
      <c r="K311" s="232" t="n"/>
      <c r="L311" s="232" t="n"/>
      <c r="M311" s="232" t="n"/>
      <c r="N311" s="233" t="n"/>
      <c r="O311" s="232" t="n"/>
      <c r="P311" s="233" t="n"/>
      <c r="Q311" s="233" t="n"/>
      <c r="R311" s="233" t="n"/>
      <c r="S311" s="232" t="n"/>
      <c r="T311" s="233" t="n"/>
      <c r="U311" s="233" t="n"/>
      <c r="V311" s="233" t="n"/>
      <c r="W311" s="232" t="n"/>
    </row>
    <row r="312" ht="54.95" customFormat="1" customHeight="1" s="37">
      <c r="A312" s="232" t="n"/>
      <c r="B312" s="232" t="n"/>
      <c r="C312" s="232" t="n"/>
      <c r="D312" s="233" t="n"/>
      <c r="E312" s="232" t="n"/>
      <c r="F312" s="233" t="n"/>
      <c r="G312" s="233" t="n"/>
      <c r="H312" s="233" t="n"/>
      <c r="I312" s="232" t="n"/>
      <c r="J312" s="233" t="n"/>
      <c r="K312" s="232" t="n"/>
      <c r="L312" s="232" t="n"/>
      <c r="M312" s="232" t="n"/>
      <c r="N312" s="233" t="n"/>
      <c r="O312" s="232" t="n"/>
      <c r="P312" s="233" t="n"/>
      <c r="Q312" s="233" t="n"/>
      <c r="R312" s="233" t="n"/>
      <c r="S312" s="232" t="n"/>
      <c r="T312" s="233" t="n"/>
      <c r="U312" s="233" t="n"/>
      <c r="V312" s="233" t="n"/>
      <c r="W312" s="232" t="n"/>
    </row>
    <row r="313" ht="54.95" customFormat="1" customHeight="1" s="235">
      <c r="A313" s="232" t="n"/>
      <c r="B313" s="232" t="n"/>
      <c r="C313" s="232" t="n"/>
      <c r="D313" s="233" t="n"/>
      <c r="E313" s="232" t="n"/>
      <c r="F313" s="233" t="n"/>
      <c r="G313" s="233" t="n"/>
      <c r="H313" s="233" t="n"/>
      <c r="I313" s="232" t="n"/>
      <c r="J313" s="233" t="n"/>
      <c r="K313" s="232" t="n"/>
      <c r="L313" s="232" t="n"/>
      <c r="M313" s="232" t="n"/>
      <c r="N313" s="233" t="n"/>
      <c r="O313" s="232" t="n"/>
      <c r="P313" s="233" t="n"/>
      <c r="Q313" s="233" t="n"/>
      <c r="R313" s="233" t="n"/>
      <c r="S313" s="232" t="n"/>
      <c r="T313" s="233" t="n"/>
      <c r="U313" s="233" t="n"/>
      <c r="V313" s="233" t="n"/>
      <c r="W313" s="232" t="n"/>
    </row>
    <row r="314" ht="54.95" customFormat="1" customHeight="1" s="235">
      <c r="A314" s="232" t="n"/>
      <c r="B314" s="232" t="n"/>
      <c r="C314" s="232" t="n"/>
      <c r="D314" s="233" t="n"/>
      <c r="E314" s="232" t="n"/>
      <c r="F314" s="233" t="n"/>
      <c r="G314" s="233" t="n"/>
      <c r="H314" s="233" t="n"/>
      <c r="I314" s="232" t="n"/>
      <c r="J314" s="233" t="n"/>
      <c r="K314" s="232" t="n"/>
      <c r="L314" s="232" t="n"/>
      <c r="M314" s="232" t="n"/>
      <c r="N314" s="233" t="n"/>
      <c r="O314" s="232" t="n"/>
      <c r="P314" s="233" t="n"/>
      <c r="Q314" s="233" t="n"/>
      <c r="R314" s="233" t="n"/>
      <c r="S314" s="232" t="n"/>
      <c r="T314" s="233" t="n"/>
      <c r="U314" s="233" t="n"/>
      <c r="V314" s="233" t="n"/>
      <c r="W314" s="232" t="n"/>
    </row>
    <row r="315" ht="54.95" customFormat="1" customHeight="1" s="235">
      <c r="A315" s="232" t="n"/>
      <c r="B315" s="232" t="n"/>
      <c r="C315" s="232" t="n"/>
      <c r="D315" s="233" t="n"/>
      <c r="E315" s="232" t="n"/>
      <c r="F315" s="233" t="n"/>
      <c r="G315" s="233" t="n"/>
      <c r="H315" s="233" t="n"/>
      <c r="I315" s="232" t="n"/>
      <c r="J315" s="233" t="n"/>
      <c r="K315" s="232" t="n"/>
      <c r="L315" s="232" t="n"/>
      <c r="M315" s="232" t="n"/>
      <c r="N315" s="233" t="n"/>
      <c r="O315" s="232" t="n"/>
      <c r="P315" s="233" t="n"/>
      <c r="Q315" s="233" t="n"/>
      <c r="R315" s="233" t="n"/>
      <c r="S315" s="232" t="n"/>
      <c r="T315" s="233" t="n"/>
      <c r="U315" s="233" t="n"/>
      <c r="V315" s="233" t="n"/>
      <c r="W315" s="232" t="n"/>
    </row>
    <row r="316" ht="54.95" customFormat="1" customHeight="1" s="235">
      <c r="A316" s="232" t="n"/>
      <c r="B316" s="232" t="n"/>
      <c r="C316" s="232" t="n"/>
      <c r="D316" s="233" t="n"/>
      <c r="E316" s="232" t="n"/>
      <c r="F316" s="233" t="n"/>
      <c r="G316" s="233" t="n"/>
      <c r="H316" s="233" t="n"/>
      <c r="I316" s="232" t="n"/>
      <c r="J316" s="233" t="n"/>
      <c r="K316" s="232" t="n"/>
      <c r="L316" s="232" t="n"/>
      <c r="M316" s="232" t="n"/>
      <c r="N316" s="233" t="n"/>
      <c r="O316" s="232" t="n"/>
      <c r="P316" s="233" t="n"/>
      <c r="Q316" s="233" t="n"/>
      <c r="R316" s="233" t="n"/>
      <c r="S316" s="232" t="n"/>
      <c r="T316" s="233" t="n"/>
      <c r="U316" s="233" t="n"/>
      <c r="V316" s="233" t="n"/>
      <c r="W316" s="232" t="n"/>
    </row>
    <row r="317" ht="54.95" customFormat="1" customHeight="1" s="235">
      <c r="A317" s="232" t="n"/>
      <c r="B317" s="232" t="n"/>
      <c r="C317" s="232" t="n"/>
      <c r="D317" s="233" t="n"/>
      <c r="E317" s="232" t="n"/>
      <c r="F317" s="233" t="n"/>
      <c r="G317" s="233" t="n"/>
      <c r="H317" s="233" t="n"/>
      <c r="I317" s="232" t="n"/>
      <c r="J317" s="233" t="n"/>
      <c r="K317" s="232" t="n"/>
      <c r="L317" s="232" t="n"/>
      <c r="M317" s="232" t="n"/>
      <c r="N317" s="233" t="n"/>
      <c r="O317" s="232" t="n"/>
      <c r="P317" s="233" t="n"/>
      <c r="Q317" s="233" t="n"/>
      <c r="R317" s="233" t="n"/>
      <c r="S317" s="232" t="n"/>
      <c r="T317" s="233" t="n"/>
      <c r="U317" s="233" t="n"/>
      <c r="V317" s="233" t="n"/>
      <c r="W317" s="232" t="n"/>
    </row>
    <row r="318" ht="54.95" customFormat="1" customHeight="1" s="235">
      <c r="A318" s="232" t="n"/>
      <c r="B318" s="232" t="n"/>
      <c r="C318" s="232" t="n"/>
      <c r="D318" s="233" t="n"/>
      <c r="E318" s="232" t="n"/>
      <c r="F318" s="233" t="n"/>
      <c r="G318" s="233" t="n"/>
      <c r="H318" s="233" t="n"/>
      <c r="I318" s="232" t="n"/>
      <c r="J318" s="233" t="n"/>
      <c r="K318" s="232" t="n"/>
      <c r="L318" s="232" t="n"/>
      <c r="M318" s="232" t="n"/>
      <c r="N318" s="233" t="n"/>
      <c r="O318" s="232" t="n"/>
      <c r="P318" s="233" t="n"/>
      <c r="Q318" s="233" t="n"/>
      <c r="R318" s="233" t="n"/>
      <c r="S318" s="232" t="n"/>
      <c r="T318" s="233" t="n"/>
      <c r="U318" s="233" t="n"/>
      <c r="V318" s="233" t="n"/>
      <c r="W318" s="232" t="n"/>
    </row>
    <row r="319" ht="54.95" customFormat="1" customHeight="1" s="235">
      <c r="A319" s="232" t="n"/>
      <c r="B319" s="232" t="n"/>
      <c r="C319" s="232" t="n"/>
      <c r="D319" s="233" t="n"/>
      <c r="E319" s="232" t="n"/>
      <c r="F319" s="233" t="n"/>
      <c r="G319" s="233" t="n"/>
      <c r="H319" s="233" t="n"/>
      <c r="I319" s="232" t="n"/>
      <c r="J319" s="233" t="n"/>
      <c r="K319" s="232" t="n"/>
      <c r="L319" s="232" t="n"/>
      <c r="M319" s="232" t="n"/>
      <c r="N319" s="233" t="n"/>
      <c r="O319" s="232" t="n"/>
      <c r="P319" s="233" t="n"/>
      <c r="Q319" s="233" t="n"/>
      <c r="R319" s="233" t="n"/>
      <c r="S319" s="232" t="n"/>
      <c r="T319" s="233" t="n"/>
      <c r="U319" s="233" t="n"/>
      <c r="V319" s="233" t="n"/>
      <c r="W319" s="232" t="n"/>
    </row>
    <row r="320" ht="54.95" customFormat="1" customHeight="1" s="235">
      <c r="A320" s="232" t="n"/>
      <c r="B320" s="232" t="n"/>
      <c r="C320" s="232" t="n"/>
      <c r="D320" s="233" t="n"/>
      <c r="E320" s="232" t="n"/>
      <c r="F320" s="233" t="n"/>
      <c r="G320" s="233" t="n"/>
      <c r="H320" s="233" t="n"/>
      <c r="I320" s="232" t="n"/>
      <c r="J320" s="233" t="n"/>
      <c r="K320" s="232" t="n"/>
      <c r="L320" s="232" t="n"/>
      <c r="M320" s="232" t="n"/>
      <c r="N320" s="233" t="n"/>
      <c r="O320" s="232" t="n"/>
      <c r="P320" s="233" t="n"/>
      <c r="Q320" s="233" t="n"/>
      <c r="R320" s="233" t="n"/>
      <c r="S320" s="232" t="n"/>
      <c r="T320" s="233" t="n"/>
      <c r="U320" s="233" t="n"/>
      <c r="V320" s="233" t="n"/>
      <c r="W320" s="232" t="n"/>
    </row>
    <row r="321" ht="54.95" customFormat="1" customHeight="1" s="235">
      <c r="A321" s="232" t="n"/>
      <c r="B321" s="232" t="n"/>
      <c r="C321" s="232" t="n"/>
      <c r="D321" s="233" t="n"/>
      <c r="E321" s="232" t="n"/>
      <c r="F321" s="233" t="n"/>
      <c r="G321" s="233" t="n"/>
      <c r="H321" s="233" t="n"/>
      <c r="I321" s="232" t="n"/>
      <c r="J321" s="233" t="n"/>
      <c r="K321" s="232" t="n"/>
      <c r="L321" s="232" t="n"/>
      <c r="M321" s="232" t="n"/>
      <c r="N321" s="233" t="n"/>
      <c r="O321" s="232" t="n"/>
      <c r="P321" s="233" t="n"/>
      <c r="Q321" s="233" t="n"/>
      <c r="R321" s="233" t="n"/>
      <c r="S321" s="232" t="n"/>
      <c r="T321" s="233" t="n"/>
      <c r="U321" s="233" t="n"/>
      <c r="V321" s="233" t="n"/>
      <c r="W321" s="232" t="n"/>
    </row>
    <row r="322" ht="54.95" customFormat="1" customHeight="1" s="235">
      <c r="A322" s="232" t="n"/>
      <c r="B322" s="232" t="n"/>
      <c r="C322" s="232" t="n"/>
      <c r="D322" s="233" t="n"/>
      <c r="E322" s="232" t="n"/>
      <c r="F322" s="233" t="n"/>
      <c r="G322" s="233" t="n"/>
      <c r="H322" s="233" t="n"/>
      <c r="I322" s="232" t="n"/>
      <c r="J322" s="233" t="n"/>
      <c r="K322" s="232" t="n"/>
      <c r="L322" s="232" t="n"/>
      <c r="M322" s="232" t="n"/>
      <c r="N322" s="233" t="n"/>
      <c r="O322" s="232" t="n"/>
      <c r="P322" s="233" t="n"/>
      <c r="Q322" s="233" t="n"/>
      <c r="R322" s="233" t="n"/>
      <c r="S322" s="232" t="n"/>
      <c r="T322" s="233" t="n"/>
      <c r="U322" s="233" t="n"/>
      <c r="V322" s="233" t="n"/>
      <c r="W322" s="232" t="n"/>
    </row>
    <row r="323" ht="54.95" customFormat="1" customHeight="1" s="235">
      <c r="A323" s="232" t="n"/>
      <c r="B323" s="232" t="n"/>
      <c r="C323" s="232" t="n"/>
      <c r="D323" s="233" t="n"/>
      <c r="E323" s="232" t="n"/>
      <c r="F323" s="233" t="n"/>
      <c r="G323" s="233" t="n"/>
      <c r="H323" s="233" t="n"/>
      <c r="I323" s="232" t="n"/>
      <c r="J323" s="233" t="n"/>
      <c r="K323" s="232" t="n"/>
      <c r="L323" s="232" t="n"/>
      <c r="M323" s="232" t="n"/>
      <c r="N323" s="233" t="n"/>
      <c r="O323" s="232" t="n"/>
      <c r="P323" s="233" t="n"/>
      <c r="Q323" s="233" t="n"/>
      <c r="R323" s="233" t="n"/>
      <c r="S323" s="232" t="n"/>
      <c r="T323" s="233" t="n"/>
      <c r="U323" s="233" t="n"/>
      <c r="V323" s="233" t="n"/>
      <c r="W323" s="232" t="n"/>
    </row>
    <row r="324" ht="54.95" customFormat="1" customHeight="1" s="235">
      <c r="A324" s="232" t="n"/>
      <c r="B324" s="232" t="n"/>
      <c r="C324" s="232" t="n"/>
      <c r="D324" s="233" t="n"/>
      <c r="E324" s="232" t="n"/>
      <c r="F324" s="233" t="n"/>
      <c r="G324" s="233" t="n"/>
      <c r="H324" s="233" t="n"/>
      <c r="I324" s="232" t="n"/>
      <c r="J324" s="233" t="n"/>
      <c r="K324" s="232" t="n"/>
      <c r="L324" s="232" t="n"/>
      <c r="M324" s="232" t="n"/>
      <c r="N324" s="233" t="n"/>
      <c r="O324" s="232" t="n"/>
      <c r="P324" s="233" t="n"/>
      <c r="Q324" s="233" t="n"/>
      <c r="R324" s="233" t="n"/>
      <c r="S324" s="232" t="n"/>
      <c r="T324" s="233" t="n"/>
      <c r="U324" s="233" t="n"/>
      <c r="V324" s="233" t="n"/>
      <c r="W324" s="232" t="n"/>
    </row>
    <row r="325" ht="54.95" customFormat="1" customHeight="1" s="235">
      <c r="A325" s="232" t="n"/>
      <c r="B325" s="232" t="n"/>
      <c r="C325" s="232" t="n"/>
      <c r="D325" s="233" t="n"/>
      <c r="E325" s="232" t="n"/>
      <c r="F325" s="233" t="n"/>
      <c r="G325" s="233" t="n"/>
      <c r="H325" s="233" t="n"/>
      <c r="I325" s="232" t="n"/>
      <c r="J325" s="233" t="n"/>
      <c r="K325" s="232" t="n"/>
      <c r="L325" s="232" t="n"/>
      <c r="M325" s="232" t="n"/>
      <c r="N325" s="233" t="n"/>
      <c r="O325" s="232" t="n"/>
      <c r="P325" s="233" t="n"/>
      <c r="Q325" s="233" t="n"/>
      <c r="R325" s="233" t="n"/>
      <c r="S325" s="232" t="n"/>
      <c r="T325" s="233" t="n"/>
      <c r="U325" s="233" t="n"/>
      <c r="V325" s="233" t="n"/>
      <c r="W325" s="232" t="n"/>
    </row>
    <row r="326" ht="54.95" customFormat="1" customHeight="1" s="235">
      <c r="A326" s="232" t="n"/>
      <c r="B326" s="232" t="n"/>
      <c r="C326" s="232" t="n"/>
      <c r="D326" s="233" t="n"/>
      <c r="E326" s="232" t="n"/>
      <c r="F326" s="233" t="n"/>
      <c r="G326" s="233" t="n"/>
      <c r="H326" s="233" t="n"/>
      <c r="I326" s="232" t="n"/>
      <c r="J326" s="233" t="n"/>
      <c r="K326" s="232" t="n"/>
      <c r="L326" s="232" t="n"/>
      <c r="M326" s="232" t="n"/>
      <c r="N326" s="233" t="n"/>
      <c r="O326" s="232" t="n"/>
      <c r="P326" s="233" t="n"/>
      <c r="Q326" s="233" t="n"/>
      <c r="R326" s="233" t="n"/>
      <c r="S326" s="232" t="n"/>
      <c r="T326" s="233" t="n"/>
      <c r="U326" s="233" t="n"/>
      <c r="V326" s="233" t="n"/>
      <c r="W326" s="232" t="n"/>
    </row>
    <row r="327" ht="54.95" customFormat="1" customHeight="1" s="235">
      <c r="A327" s="232" t="n"/>
      <c r="B327" s="232" t="n"/>
      <c r="C327" s="232" t="n"/>
      <c r="D327" s="233" t="n"/>
      <c r="E327" s="232" t="n"/>
      <c r="F327" s="233" t="n"/>
      <c r="G327" s="233" t="n"/>
      <c r="H327" s="233" t="n"/>
      <c r="I327" s="232" t="n"/>
      <c r="J327" s="233" t="n"/>
      <c r="K327" s="232" t="n"/>
      <c r="L327" s="232" t="n"/>
      <c r="M327" s="232" t="n"/>
      <c r="N327" s="233" t="n"/>
      <c r="O327" s="232" t="n"/>
      <c r="P327" s="233" t="n"/>
      <c r="Q327" s="233" t="n"/>
      <c r="R327" s="233" t="n"/>
      <c r="S327" s="232" t="n"/>
      <c r="T327" s="233" t="n"/>
      <c r="U327" s="233" t="n"/>
      <c r="V327" s="233" t="n"/>
      <c r="W327" s="232" t="n"/>
    </row>
    <row r="328" ht="54.95" customFormat="1" customHeight="1" s="235">
      <c r="A328" s="232" t="n"/>
      <c r="B328" s="232" t="n"/>
      <c r="C328" s="232" t="n"/>
      <c r="D328" s="233" t="n"/>
      <c r="E328" s="232" t="n"/>
      <c r="F328" s="233" t="n"/>
      <c r="G328" s="233" t="n"/>
      <c r="H328" s="233" t="n"/>
      <c r="I328" s="232" t="n"/>
      <c r="J328" s="233" t="n"/>
      <c r="K328" s="232" t="n"/>
      <c r="L328" s="232" t="n"/>
      <c r="M328" s="232" t="n"/>
      <c r="N328" s="233" t="n"/>
      <c r="O328" s="232" t="n"/>
      <c r="P328" s="233" t="n"/>
      <c r="Q328" s="233" t="n"/>
      <c r="R328" s="233" t="n"/>
      <c r="S328" s="232" t="n"/>
      <c r="T328" s="233" t="n"/>
      <c r="U328" s="233" t="n"/>
      <c r="V328" s="233" t="n"/>
      <c r="W328" s="232" t="n"/>
    </row>
    <row r="329" ht="54.95" customFormat="1" customHeight="1" s="235">
      <c r="A329" s="232" t="n"/>
      <c r="B329" s="232" t="n"/>
      <c r="C329" s="232" t="n"/>
      <c r="D329" s="233" t="n"/>
      <c r="E329" s="232" t="n"/>
      <c r="F329" s="233" t="n"/>
      <c r="G329" s="233" t="n"/>
      <c r="H329" s="233" t="n"/>
      <c r="I329" s="232" t="n"/>
      <c r="J329" s="233" t="n"/>
      <c r="K329" s="232" t="n"/>
      <c r="L329" s="232" t="n"/>
      <c r="M329" s="232" t="n"/>
      <c r="N329" s="233" t="n"/>
      <c r="O329" s="232" t="n"/>
      <c r="P329" s="233" t="n"/>
      <c r="Q329" s="233" t="n"/>
      <c r="R329" s="233" t="n"/>
      <c r="S329" s="232" t="n"/>
      <c r="T329" s="233" t="n"/>
      <c r="U329" s="233" t="n"/>
      <c r="V329" s="233" t="n"/>
      <c r="W329" s="232" t="n"/>
    </row>
    <row r="330" ht="54.95" customFormat="1" customHeight="1" s="235">
      <c r="A330" s="232" t="n"/>
      <c r="B330" s="232" t="n"/>
      <c r="C330" s="232" t="n"/>
      <c r="D330" s="233" t="n"/>
      <c r="E330" s="232" t="n"/>
      <c r="F330" s="233" t="n"/>
      <c r="G330" s="233" t="n"/>
      <c r="H330" s="233" t="n"/>
      <c r="I330" s="232" t="n"/>
      <c r="J330" s="233" t="n"/>
      <c r="K330" s="232" t="n"/>
      <c r="L330" s="232" t="n"/>
      <c r="M330" s="232" t="n"/>
      <c r="N330" s="233" t="n"/>
      <c r="O330" s="232" t="n"/>
      <c r="P330" s="233" t="n"/>
      <c r="Q330" s="233" t="n"/>
      <c r="R330" s="233" t="n"/>
      <c r="S330" s="232" t="n"/>
      <c r="T330" s="233" t="n"/>
      <c r="U330" s="233" t="n"/>
      <c r="V330" s="233" t="n"/>
      <c r="W330" s="232" t="n"/>
    </row>
    <row r="331" ht="54.95" customFormat="1" customHeight="1" s="235">
      <c r="A331" s="232" t="n"/>
      <c r="B331" s="232" t="n"/>
      <c r="C331" s="232" t="n"/>
      <c r="D331" s="233" t="n"/>
      <c r="E331" s="232" t="n"/>
      <c r="F331" s="233" t="n"/>
      <c r="G331" s="233" t="n"/>
      <c r="H331" s="233" t="n"/>
      <c r="I331" s="232" t="n"/>
      <c r="J331" s="233" t="n"/>
      <c r="K331" s="232" t="n"/>
      <c r="L331" s="232" t="n"/>
      <c r="M331" s="232" t="n"/>
      <c r="N331" s="233" t="n"/>
      <c r="O331" s="232" t="n"/>
      <c r="P331" s="233" t="n"/>
      <c r="Q331" s="233" t="n"/>
      <c r="R331" s="233" t="n"/>
      <c r="S331" s="232" t="n"/>
      <c r="T331" s="233" t="n"/>
      <c r="U331" s="233" t="n"/>
      <c r="V331" s="233" t="n"/>
      <c r="W331" s="232" t="n"/>
    </row>
    <row r="332" ht="54.95" customFormat="1" customHeight="1" s="235">
      <c r="A332" s="232" t="n"/>
      <c r="B332" s="232" t="n"/>
      <c r="C332" s="232" t="n"/>
      <c r="D332" s="233" t="n"/>
      <c r="E332" s="232" t="n"/>
      <c r="F332" s="233" t="n"/>
      <c r="G332" s="233" t="n"/>
      <c r="H332" s="233" t="n"/>
      <c r="I332" s="232" t="n"/>
      <c r="J332" s="233" t="n"/>
      <c r="K332" s="232" t="n"/>
      <c r="L332" s="232" t="n"/>
      <c r="M332" s="232" t="n"/>
      <c r="N332" s="233" t="n"/>
      <c r="O332" s="232" t="n"/>
      <c r="P332" s="233" t="n"/>
      <c r="Q332" s="233" t="n"/>
      <c r="R332" s="233" t="n"/>
      <c r="S332" s="232" t="n"/>
      <c r="T332" s="233" t="n"/>
      <c r="U332" s="233" t="n"/>
      <c r="V332" s="233" t="n"/>
      <c r="W332" s="232" t="n"/>
    </row>
    <row r="333" ht="54.95" customFormat="1" customHeight="1" s="235">
      <c r="A333" s="232" t="n"/>
      <c r="B333" s="232" t="n"/>
      <c r="C333" s="232" t="n"/>
      <c r="D333" s="233" t="n"/>
      <c r="E333" s="232" t="n"/>
      <c r="F333" s="233" t="n"/>
      <c r="G333" s="233" t="n"/>
      <c r="H333" s="233" t="n"/>
      <c r="I333" s="232" t="n"/>
      <c r="J333" s="233" t="n"/>
      <c r="K333" s="232" t="n"/>
      <c r="L333" s="232" t="n"/>
      <c r="M333" s="232" t="n"/>
      <c r="N333" s="233" t="n"/>
      <c r="O333" s="232" t="n"/>
      <c r="P333" s="233" t="n"/>
      <c r="Q333" s="233" t="n"/>
      <c r="R333" s="233" t="n"/>
      <c r="S333" s="232" t="n"/>
      <c r="T333" s="233" t="n"/>
      <c r="U333" s="233" t="n"/>
      <c r="V333" s="233" t="n"/>
      <c r="W333" s="232" t="n"/>
    </row>
    <row r="334" ht="54.95" customFormat="1" customHeight="1" s="235">
      <c r="A334" s="232" t="n"/>
      <c r="B334" s="232" t="n"/>
      <c r="C334" s="232" t="n"/>
      <c r="D334" s="233" t="n"/>
      <c r="E334" s="232" t="n"/>
      <c r="F334" s="233" t="n"/>
      <c r="G334" s="233" t="n"/>
      <c r="H334" s="233" t="n"/>
      <c r="I334" s="232" t="n"/>
      <c r="J334" s="233" t="n"/>
      <c r="K334" s="232" t="n"/>
      <c r="L334" s="232" t="n"/>
      <c r="M334" s="232" t="n"/>
      <c r="N334" s="233" t="n"/>
      <c r="O334" s="232" t="n"/>
      <c r="P334" s="233" t="n"/>
      <c r="Q334" s="233" t="n"/>
      <c r="R334" s="233" t="n"/>
      <c r="S334" s="232" t="n"/>
      <c r="T334" s="233" t="n"/>
      <c r="U334" s="233" t="n"/>
      <c r="V334" s="233" t="n"/>
      <c r="W334" s="232" t="n"/>
    </row>
    <row r="335" ht="54.95" customFormat="1" customHeight="1" s="235">
      <c r="A335" s="234" t="n"/>
      <c r="B335" s="234" t="n"/>
      <c r="C335" s="234" t="n"/>
      <c r="D335" s="234" t="n"/>
      <c r="E335" s="234" t="n"/>
      <c r="F335" s="234" t="n"/>
      <c r="G335" s="234" t="n"/>
      <c r="H335" s="234" t="n"/>
      <c r="I335" s="234" t="n"/>
      <c r="J335" s="234" t="n"/>
      <c r="K335" s="234" t="n"/>
      <c r="L335" s="234" t="n"/>
      <c r="M335" s="232" t="n"/>
      <c r="N335" s="233" t="n"/>
      <c r="O335" s="232" t="n"/>
      <c r="P335" s="234" t="n"/>
      <c r="Q335" s="234" t="n"/>
      <c r="R335" s="234" t="n"/>
      <c r="S335" s="234" t="n"/>
      <c r="T335" s="234" t="n"/>
      <c r="U335" s="234" t="n"/>
      <c r="V335" s="234" t="n"/>
      <c r="W335" s="234" t="n"/>
    </row>
    <row r="336" ht="54.95" customFormat="1" customHeight="1" s="235">
      <c r="A336" s="232" t="n"/>
      <c r="B336" s="232" t="n"/>
      <c r="C336" s="232" t="n"/>
      <c r="D336" s="233" t="n"/>
      <c r="E336" s="232" t="n"/>
      <c r="F336" s="233" t="n"/>
      <c r="G336" s="233" t="n"/>
      <c r="H336" s="233" t="n"/>
      <c r="I336" s="232" t="n"/>
      <c r="J336" s="233" t="n"/>
      <c r="K336" s="232" t="n"/>
      <c r="L336" s="232" t="n"/>
      <c r="M336" s="232" t="n"/>
      <c r="N336" s="233" t="n"/>
      <c r="O336" s="232" t="n"/>
      <c r="P336" s="233" t="n"/>
      <c r="Q336" s="233" t="n"/>
      <c r="R336" s="233" t="n"/>
      <c r="S336" s="232" t="n"/>
      <c r="T336" s="233" t="n"/>
      <c r="U336" s="233" t="n"/>
      <c r="V336" s="233" t="n"/>
      <c r="W336" s="232" t="n"/>
    </row>
    <row r="337" ht="54.95" customFormat="1" customHeight="1" s="235">
      <c r="A337" s="232" t="n"/>
      <c r="B337" s="232" t="n"/>
      <c r="C337" s="232" t="n"/>
      <c r="D337" s="233" t="n"/>
      <c r="E337" s="232" t="n"/>
      <c r="F337" s="233" t="n"/>
      <c r="G337" s="233" t="n"/>
      <c r="H337" s="233" t="n"/>
      <c r="I337" s="232" t="n"/>
      <c r="J337" s="233" t="n"/>
      <c r="K337" s="232" t="n"/>
      <c r="L337" s="232" t="n"/>
      <c r="M337" s="232" t="n"/>
      <c r="N337" s="233" t="n"/>
      <c r="O337" s="232" t="n"/>
      <c r="P337" s="233" t="n"/>
      <c r="Q337" s="233" t="n"/>
      <c r="R337" s="233" t="n"/>
      <c r="S337" s="232" t="n"/>
      <c r="T337" s="233" t="n"/>
      <c r="U337" s="233" t="n"/>
      <c r="V337" s="233" t="n"/>
      <c r="W337" s="232" t="n"/>
    </row>
    <row r="338" ht="54.95" customFormat="1" customHeight="1" s="235">
      <c r="A338" s="232" t="n"/>
      <c r="B338" s="232" t="n"/>
      <c r="C338" s="232" t="n"/>
      <c r="D338" s="233" t="n"/>
      <c r="E338" s="232" t="n"/>
      <c r="F338" s="233" t="n"/>
      <c r="G338" s="233" t="n"/>
      <c r="H338" s="233" t="n"/>
      <c r="I338" s="232" t="n"/>
      <c r="J338" s="233" t="n"/>
      <c r="K338" s="232" t="n"/>
      <c r="L338" s="232" t="n"/>
      <c r="M338" s="232" t="n"/>
      <c r="N338" s="233" t="n"/>
      <c r="O338" s="232" t="n"/>
      <c r="P338" s="233" t="n"/>
      <c r="Q338" s="233" t="n"/>
      <c r="R338" s="233" t="n"/>
      <c r="S338" s="232" t="n"/>
      <c r="T338" s="233" t="n"/>
      <c r="U338" s="233" t="n"/>
      <c r="V338" s="233" t="n"/>
      <c r="W338" s="232" t="n"/>
    </row>
    <row r="339" ht="54.95" customFormat="1" customHeight="1" s="235">
      <c r="A339" s="232" t="n"/>
      <c r="B339" s="232" t="n"/>
      <c r="C339" s="232" t="n"/>
      <c r="D339" s="233" t="n"/>
      <c r="E339" s="232" t="n"/>
      <c r="F339" s="233" t="n"/>
      <c r="G339" s="233" t="n"/>
      <c r="H339" s="233" t="n"/>
      <c r="I339" s="232" t="n"/>
      <c r="J339" s="233" t="n"/>
      <c r="K339" s="232" t="n"/>
      <c r="L339" s="232" t="n"/>
      <c r="M339" s="232" t="n"/>
      <c r="N339" s="233" t="n"/>
      <c r="O339" s="232" t="n"/>
      <c r="P339" s="233" t="n"/>
      <c r="Q339" s="233" t="n"/>
      <c r="R339" s="233" t="n"/>
      <c r="S339" s="232" t="n"/>
      <c r="T339" s="233" t="n"/>
      <c r="U339" s="233" t="n"/>
      <c r="V339" s="233" t="n"/>
      <c r="W339" s="232" t="n"/>
    </row>
    <row r="340" ht="54.95" customFormat="1" customHeight="1" s="235">
      <c r="A340" s="234" t="n"/>
      <c r="B340" s="234" t="n"/>
      <c r="C340" s="234" t="n"/>
      <c r="D340" s="234" t="n"/>
      <c r="E340" s="234" t="n"/>
      <c r="F340" s="234" t="n"/>
      <c r="G340" s="234" t="n"/>
      <c r="H340" s="234" t="n"/>
      <c r="I340" s="234" t="n"/>
      <c r="J340" s="234" t="n"/>
      <c r="K340" s="234" t="n"/>
      <c r="L340" s="234" t="n"/>
      <c r="M340" s="232" t="n"/>
      <c r="N340" s="233" t="n"/>
      <c r="O340" s="232" t="n"/>
      <c r="P340" s="234" t="n"/>
      <c r="Q340" s="234" t="n"/>
      <c r="R340" s="234" t="n"/>
      <c r="S340" s="234" t="n"/>
      <c r="T340" s="234" t="n"/>
      <c r="U340" s="234" t="n"/>
      <c r="V340" s="234" t="n"/>
      <c r="W340" s="234" t="n"/>
    </row>
    <row r="341" ht="54.95" customFormat="1" customHeight="1" s="235">
      <c r="A341" s="234" t="n"/>
      <c r="B341" s="234" t="n"/>
      <c r="C341" s="234" t="n"/>
      <c r="D341" s="234" t="n"/>
      <c r="E341" s="234" t="n"/>
      <c r="F341" s="234" t="n"/>
      <c r="G341" s="234" t="n"/>
      <c r="H341" s="234" t="n"/>
      <c r="I341" s="234" t="n"/>
      <c r="J341" s="234" t="n"/>
      <c r="K341" s="234" t="n"/>
      <c r="L341" s="234" t="n"/>
      <c r="M341" s="232" t="n"/>
      <c r="N341" s="233" t="n"/>
      <c r="O341" s="232" t="n"/>
      <c r="P341" s="234" t="n"/>
      <c r="Q341" s="234" t="n"/>
      <c r="R341" s="234" t="n"/>
      <c r="S341" s="234" t="n"/>
      <c r="T341" s="234" t="n"/>
      <c r="U341" s="234" t="n"/>
      <c r="V341" s="234" t="n"/>
      <c r="W341" s="234" t="n"/>
    </row>
    <row r="342" ht="54.95" customFormat="1" customHeight="1" s="235">
      <c r="A342" s="232" t="n"/>
      <c r="B342" s="232" t="n"/>
      <c r="C342" s="232" t="n"/>
      <c r="D342" s="233" t="n"/>
      <c r="E342" s="232" t="n"/>
      <c r="F342" s="233" t="n"/>
      <c r="G342" s="233" t="n"/>
      <c r="H342" s="233" t="n"/>
      <c r="I342" s="232" t="n"/>
      <c r="J342" s="233" t="n"/>
      <c r="K342" s="232" t="n"/>
      <c r="L342" s="232" t="n"/>
      <c r="M342" s="232" t="n"/>
      <c r="N342" s="233" t="n"/>
      <c r="O342" s="232" t="n"/>
      <c r="P342" s="233" t="n"/>
      <c r="Q342" s="233" t="n"/>
      <c r="R342" s="233" t="n"/>
      <c r="S342" s="232" t="n"/>
      <c r="T342" s="233" t="n"/>
      <c r="U342" s="233" t="n"/>
      <c r="V342" s="233" t="n"/>
      <c r="W342" s="232" t="n"/>
    </row>
    <row r="343" ht="54.95" customFormat="1" customHeight="1" s="235">
      <c r="A343" s="232" t="n"/>
      <c r="B343" s="232" t="n"/>
      <c r="C343" s="232" t="n"/>
      <c r="D343" s="233" t="n"/>
      <c r="E343" s="232" t="n"/>
      <c r="F343" s="233" t="n"/>
      <c r="G343" s="233" t="n"/>
      <c r="H343" s="233" t="n"/>
      <c r="I343" s="232" t="n"/>
      <c r="J343" s="233" t="n"/>
      <c r="K343" s="232" t="n"/>
      <c r="L343" s="232" t="n"/>
      <c r="M343" s="232" t="n"/>
      <c r="N343" s="233" t="n"/>
      <c r="O343" s="232" t="n"/>
      <c r="P343" s="233" t="n"/>
      <c r="Q343" s="233" t="n"/>
      <c r="R343" s="233" t="n"/>
      <c r="S343" s="232" t="n"/>
      <c r="T343" s="233" t="n"/>
      <c r="U343" s="233" t="n"/>
      <c r="V343" s="233" t="n"/>
      <c r="W343" s="232" t="n"/>
    </row>
    <row r="344" ht="54.95" customFormat="1" customHeight="1" s="235">
      <c r="A344" s="232" t="n"/>
      <c r="B344" s="232" t="n"/>
      <c r="C344" s="232" t="n"/>
      <c r="D344" s="233" t="n"/>
      <c r="E344" s="232" t="n"/>
      <c r="F344" s="233" t="n"/>
      <c r="G344" s="233" t="n"/>
      <c r="H344" s="233" t="n"/>
      <c r="I344" s="232" t="n"/>
      <c r="J344" s="233" t="n"/>
      <c r="K344" s="232" t="n"/>
      <c r="L344" s="232" t="n"/>
      <c r="M344" s="232" t="n"/>
      <c r="N344" s="233" t="n"/>
      <c r="O344" s="232" t="n"/>
      <c r="P344" s="233" t="n"/>
      <c r="Q344" s="233" t="n"/>
      <c r="R344" s="233" t="n"/>
      <c r="S344" s="232" t="n"/>
      <c r="T344" s="233" t="n"/>
      <c r="U344" s="233" t="n"/>
      <c r="V344" s="233" t="n"/>
      <c r="W344" s="232" t="n"/>
    </row>
    <row r="345" ht="54.95" customFormat="1" customHeight="1" s="235">
      <c r="A345" s="232" t="n"/>
      <c r="B345" s="232" t="n"/>
      <c r="C345" s="232" t="n"/>
      <c r="D345" s="233" t="n"/>
      <c r="E345" s="232" t="n"/>
      <c r="F345" s="233" t="n"/>
      <c r="G345" s="233" t="n"/>
      <c r="H345" s="233" t="n"/>
      <c r="I345" s="232" t="n"/>
      <c r="J345" s="233" t="n"/>
      <c r="K345" s="232" t="n"/>
      <c r="L345" s="232" t="n"/>
      <c r="M345" s="232" t="n"/>
      <c r="N345" s="233" t="n"/>
      <c r="O345" s="232" t="n"/>
      <c r="P345" s="233" t="n"/>
      <c r="Q345" s="233" t="n"/>
      <c r="R345" s="233" t="n"/>
      <c r="S345" s="232" t="n"/>
      <c r="T345" s="233" t="n"/>
      <c r="U345" s="233" t="n"/>
      <c r="V345" s="233" t="n"/>
      <c r="W345" s="232" t="n"/>
    </row>
    <row r="346" ht="54.95" customFormat="1" customHeight="1" s="235">
      <c r="A346" s="232" t="n"/>
      <c r="B346" s="232" t="n"/>
      <c r="C346" s="232" t="n"/>
      <c r="D346" s="233" t="n"/>
      <c r="E346" s="232" t="n"/>
      <c r="F346" s="233" t="n"/>
      <c r="G346" s="233" t="n"/>
      <c r="H346" s="233" t="n"/>
      <c r="I346" s="232" t="n"/>
      <c r="J346" s="233" t="n"/>
      <c r="K346" s="232" t="n"/>
      <c r="L346" s="232" t="n"/>
      <c r="M346" s="232" t="n"/>
      <c r="N346" s="233" t="n"/>
      <c r="O346" s="232" t="n"/>
      <c r="P346" s="233" t="n"/>
      <c r="Q346" s="233" t="n"/>
      <c r="R346" s="233" t="n"/>
      <c r="S346" s="232" t="n"/>
      <c r="T346" s="233" t="n"/>
      <c r="U346" s="233" t="n"/>
      <c r="V346" s="233" t="n"/>
      <c r="W346" s="232" t="n"/>
    </row>
    <row r="347" ht="54.95" customFormat="1" customHeight="1" s="235">
      <c r="A347" s="232" t="n"/>
      <c r="B347" s="232" t="n"/>
      <c r="C347" s="232" t="n"/>
      <c r="D347" s="233" t="n"/>
      <c r="E347" s="232" t="n"/>
      <c r="F347" s="233" t="n"/>
      <c r="G347" s="233" t="n"/>
      <c r="H347" s="233" t="n"/>
      <c r="I347" s="232" t="n"/>
      <c r="J347" s="233" t="n"/>
      <c r="K347" s="232" t="n"/>
      <c r="L347" s="232" t="n"/>
      <c r="M347" s="232" t="n"/>
      <c r="N347" s="233" t="n"/>
      <c r="O347" s="232" t="n"/>
      <c r="P347" s="233" t="n"/>
      <c r="Q347" s="233" t="n"/>
      <c r="R347" s="233" t="n"/>
      <c r="S347" s="232" t="n"/>
      <c r="T347" s="233" t="n"/>
      <c r="U347" s="233" t="n"/>
      <c r="V347" s="233" t="n"/>
      <c r="W347" s="232" t="n"/>
    </row>
    <row r="348" ht="54.95" customFormat="1" customHeight="1" s="235">
      <c r="A348" s="232" t="n"/>
      <c r="B348" s="232" t="n"/>
      <c r="C348" s="232" t="n"/>
      <c r="D348" s="233" t="n"/>
      <c r="E348" s="232" t="n"/>
      <c r="F348" s="233" t="n"/>
      <c r="G348" s="233" t="n"/>
      <c r="H348" s="233" t="n"/>
      <c r="I348" s="232" t="n"/>
      <c r="J348" s="233" t="n"/>
      <c r="K348" s="232" t="n"/>
      <c r="L348" s="232" t="n"/>
      <c r="M348" s="232" t="n"/>
      <c r="N348" s="233" t="n"/>
      <c r="O348" s="232" t="n"/>
      <c r="P348" s="233" t="n"/>
      <c r="Q348" s="233" t="n"/>
      <c r="R348" s="233" t="n"/>
      <c r="S348" s="232" t="n"/>
      <c r="T348" s="233" t="n"/>
      <c r="U348" s="233" t="n"/>
      <c r="V348" s="233" t="n"/>
      <c r="W348" s="232" t="n"/>
    </row>
    <row r="349" ht="54.95" customFormat="1" customHeight="1" s="235">
      <c r="A349" s="232" t="n"/>
      <c r="B349" s="232" t="n"/>
      <c r="C349" s="232" t="n"/>
      <c r="D349" s="233" t="n"/>
      <c r="E349" s="232" t="n"/>
      <c r="F349" s="233" t="n"/>
      <c r="G349" s="233" t="n"/>
      <c r="H349" s="233" t="n"/>
      <c r="I349" s="232" t="n"/>
      <c r="J349" s="233" t="n"/>
      <c r="K349" s="232" t="n"/>
      <c r="L349" s="232" t="n"/>
      <c r="M349" s="232" t="n"/>
      <c r="N349" s="233" t="n"/>
      <c r="O349" s="232" t="n"/>
      <c r="P349" s="233" t="n"/>
      <c r="Q349" s="233" t="n"/>
      <c r="R349" s="233" t="n"/>
      <c r="S349" s="232" t="n"/>
      <c r="T349" s="233" t="n"/>
      <c r="U349" s="233" t="n"/>
      <c r="V349" s="233" t="n"/>
      <c r="W349" s="232" t="n"/>
    </row>
    <row r="350" ht="54.95" customFormat="1" customHeight="1" s="235">
      <c r="A350" s="232" t="n"/>
      <c r="B350" s="232" t="n"/>
      <c r="C350" s="232" t="n"/>
      <c r="D350" s="233" t="n"/>
      <c r="E350" s="232" t="n"/>
      <c r="F350" s="233" t="n"/>
      <c r="G350" s="233" t="n"/>
      <c r="H350" s="233" t="n"/>
      <c r="I350" s="232" t="n"/>
      <c r="J350" s="233" t="n"/>
      <c r="K350" s="232" t="n"/>
      <c r="L350" s="232" t="n"/>
      <c r="M350" s="232" t="n"/>
      <c r="N350" s="233" t="n"/>
      <c r="O350" s="232" t="n"/>
      <c r="P350" s="233" t="n"/>
      <c r="Q350" s="233" t="n"/>
      <c r="R350" s="233" t="n"/>
      <c r="S350" s="232" t="n"/>
      <c r="T350" s="233" t="n"/>
      <c r="U350" s="233" t="n"/>
      <c r="V350" s="233" t="n"/>
      <c r="W350" s="232" t="n"/>
    </row>
    <row r="351" ht="54.95" customFormat="1" customHeight="1" s="235">
      <c r="A351" s="232" t="n"/>
      <c r="B351" s="232" t="n"/>
      <c r="C351" s="232" t="n"/>
      <c r="D351" s="233" t="n"/>
      <c r="E351" s="232" t="n"/>
      <c r="F351" s="233" t="n"/>
      <c r="G351" s="233" t="n"/>
      <c r="H351" s="233" t="n"/>
      <c r="I351" s="232" t="n"/>
      <c r="J351" s="233" t="n"/>
      <c r="K351" s="232" t="n"/>
      <c r="L351" s="232" t="n"/>
      <c r="M351" s="232" t="n"/>
      <c r="N351" s="233" t="n"/>
      <c r="O351" s="232" t="n"/>
      <c r="P351" s="233" t="n"/>
      <c r="Q351" s="233" t="n"/>
      <c r="R351" s="233" t="n"/>
      <c r="S351" s="232" t="n"/>
      <c r="T351" s="233" t="n"/>
      <c r="U351" s="233" t="n"/>
      <c r="V351" s="233" t="n"/>
      <c r="W351" s="232" t="n"/>
    </row>
    <row r="352" ht="54.95" customFormat="1" customHeight="1" s="235">
      <c r="A352" s="232" t="n"/>
      <c r="B352" s="232" t="n"/>
      <c r="C352" s="232" t="n"/>
      <c r="D352" s="233" t="n"/>
      <c r="E352" s="232" t="n"/>
      <c r="F352" s="233" t="n"/>
      <c r="G352" s="233" t="n"/>
      <c r="H352" s="233" t="n"/>
      <c r="I352" s="232" t="n"/>
      <c r="J352" s="233" t="n"/>
      <c r="K352" s="232" t="n"/>
      <c r="L352" s="232" t="n"/>
      <c r="M352" s="232" t="n"/>
      <c r="N352" s="233" t="n"/>
      <c r="O352" s="232" t="n"/>
      <c r="P352" s="233" t="n"/>
      <c r="Q352" s="233" t="n"/>
      <c r="R352" s="233" t="n"/>
      <c r="S352" s="232" t="n"/>
      <c r="T352" s="233" t="n"/>
      <c r="U352" s="233" t="n"/>
      <c r="V352" s="233" t="n"/>
      <c r="W352" s="232" t="n"/>
    </row>
    <row r="353" ht="54.95" customFormat="1" customHeight="1" s="235">
      <c r="A353" s="232" t="n"/>
      <c r="B353" s="232" t="n"/>
      <c r="C353" s="232" t="n"/>
      <c r="D353" s="233" t="n"/>
      <c r="E353" s="232" t="n"/>
      <c r="F353" s="233" t="n"/>
      <c r="G353" s="233" t="n"/>
      <c r="H353" s="233" t="n"/>
      <c r="I353" s="232" t="n"/>
      <c r="J353" s="233" t="n"/>
      <c r="K353" s="232" t="n"/>
      <c r="L353" s="232" t="n"/>
      <c r="M353" s="232" t="n"/>
      <c r="N353" s="233" t="n"/>
      <c r="O353" s="232" t="n"/>
      <c r="P353" s="233" t="n"/>
      <c r="Q353" s="233" t="n"/>
      <c r="R353" s="233" t="n"/>
      <c r="S353" s="232" t="n"/>
      <c r="T353" s="233" t="n"/>
      <c r="U353" s="233" t="n"/>
      <c r="V353" s="233" t="n"/>
      <c r="W353" s="232" t="n"/>
    </row>
    <row r="354" ht="54.95" customFormat="1" customHeight="1" s="235">
      <c r="A354" s="232" t="n"/>
      <c r="B354" s="232" t="n"/>
      <c r="C354" s="232" t="n"/>
      <c r="D354" s="233" t="n"/>
      <c r="E354" s="232" t="n"/>
      <c r="F354" s="233" t="n"/>
      <c r="G354" s="233" t="n"/>
      <c r="H354" s="233" t="n"/>
      <c r="I354" s="232" t="n"/>
      <c r="J354" s="233" t="n"/>
      <c r="K354" s="232" t="n"/>
      <c r="L354" s="232" t="n"/>
      <c r="M354" s="232" t="n"/>
      <c r="N354" s="233" t="n"/>
      <c r="O354" s="232" t="n"/>
      <c r="P354" s="233" t="n"/>
      <c r="Q354" s="233" t="n"/>
      <c r="R354" s="233" t="n"/>
      <c r="S354" s="232" t="n"/>
      <c r="T354" s="233" t="n"/>
      <c r="U354" s="233" t="n"/>
      <c r="V354" s="233" t="n"/>
      <c r="W354" s="232" t="n"/>
    </row>
    <row r="355" ht="54.95" customFormat="1" customHeight="1" s="235">
      <c r="A355" s="232" t="n"/>
      <c r="B355" s="232" t="n"/>
      <c r="C355" s="232" t="n"/>
      <c r="D355" s="233" t="n"/>
      <c r="E355" s="232" t="n"/>
      <c r="F355" s="233" t="n"/>
      <c r="G355" s="233" t="n"/>
      <c r="H355" s="233" t="n"/>
      <c r="I355" s="232" t="n"/>
      <c r="J355" s="233" t="n"/>
      <c r="K355" s="232" t="n"/>
      <c r="L355" s="232" t="n"/>
      <c r="M355" s="232" t="n"/>
      <c r="N355" s="233" t="n"/>
      <c r="O355" s="232" t="n"/>
      <c r="P355" s="233" t="n"/>
      <c r="Q355" s="233" t="n"/>
      <c r="R355" s="233" t="n"/>
      <c r="S355" s="232" t="n"/>
      <c r="T355" s="233" t="n"/>
      <c r="U355" s="233" t="n"/>
      <c r="V355" s="233" t="n"/>
      <c r="W355" s="232" t="n"/>
    </row>
    <row r="356" ht="54.95" customFormat="1" customHeight="1" s="235">
      <c r="A356" s="234" t="n"/>
      <c r="B356" s="234" t="n"/>
      <c r="C356" s="234" t="n"/>
      <c r="D356" s="234" t="n"/>
      <c r="E356" s="234" t="n"/>
      <c r="F356" s="234" t="n"/>
      <c r="G356" s="234" t="n"/>
      <c r="H356" s="234" t="n"/>
      <c r="I356" s="234" t="n"/>
      <c r="J356" s="234" t="n"/>
      <c r="K356" s="234" t="n"/>
      <c r="L356" s="234" t="n"/>
      <c r="M356" s="232" t="n"/>
      <c r="N356" s="233" t="n"/>
      <c r="O356" s="232" t="n"/>
      <c r="P356" s="234" t="n"/>
      <c r="Q356" s="234" t="n"/>
      <c r="R356" s="234" t="n"/>
      <c r="S356" s="234" t="n"/>
      <c r="T356" s="234" t="n"/>
      <c r="U356" s="234" t="n"/>
      <c r="V356" s="234" t="n"/>
      <c r="W356" s="234" t="n"/>
    </row>
    <row r="357" ht="54.95" customFormat="1" customHeight="1" s="235">
      <c r="A357" s="234" t="n"/>
      <c r="B357" s="234" t="n"/>
      <c r="C357" s="234" t="n"/>
      <c r="D357" s="234" t="n"/>
      <c r="E357" s="234" t="n"/>
      <c r="F357" s="234" t="n"/>
      <c r="G357" s="234" t="n"/>
      <c r="H357" s="234" t="n"/>
      <c r="I357" s="234" t="n"/>
      <c r="J357" s="234" t="n"/>
      <c r="K357" s="234" t="n"/>
      <c r="L357" s="234" t="n"/>
      <c r="M357" s="232" t="n"/>
      <c r="N357" s="233" t="n"/>
      <c r="O357" s="232" t="n"/>
      <c r="P357" s="234" t="n"/>
      <c r="Q357" s="234" t="n"/>
      <c r="R357" s="234" t="n"/>
      <c r="S357" s="234" t="n"/>
      <c r="T357" s="234" t="n"/>
      <c r="U357" s="234" t="n"/>
      <c r="V357" s="234" t="n"/>
      <c r="W357" s="234" t="n"/>
    </row>
    <row r="358" ht="54.95" customFormat="1" customHeight="1" s="235">
      <c r="A358" s="234" t="n"/>
      <c r="B358" s="234" t="n"/>
      <c r="C358" s="234" t="n"/>
      <c r="D358" s="234" t="n"/>
      <c r="E358" s="234" t="n"/>
      <c r="F358" s="234" t="n"/>
      <c r="G358" s="234" t="n"/>
      <c r="H358" s="234" t="n"/>
      <c r="I358" s="234" t="n"/>
      <c r="J358" s="234" t="n"/>
      <c r="K358" s="234" t="n"/>
      <c r="L358" s="234" t="n"/>
      <c r="M358" s="232" t="n"/>
      <c r="N358" s="233" t="n"/>
      <c r="O358" s="232" t="n"/>
      <c r="P358" s="234" t="n"/>
      <c r="Q358" s="234" t="n"/>
      <c r="R358" s="234" t="n"/>
      <c r="S358" s="234" t="n"/>
      <c r="T358" s="234" t="n"/>
      <c r="U358" s="234" t="n"/>
      <c r="V358" s="234" t="n"/>
      <c r="W358" s="234" t="n"/>
    </row>
    <row r="359" ht="54.95" customFormat="1" customHeight="1" s="235">
      <c r="A359" s="234" t="n"/>
      <c r="B359" s="234" t="n"/>
      <c r="C359" s="234" t="n"/>
      <c r="D359" s="234" t="n"/>
      <c r="E359" s="234" t="n"/>
      <c r="F359" s="234" t="n"/>
      <c r="G359" s="234" t="n"/>
      <c r="H359" s="234" t="n"/>
      <c r="I359" s="234" t="n"/>
      <c r="J359" s="234" t="n"/>
      <c r="K359" s="234" t="n"/>
      <c r="L359" s="234" t="n"/>
      <c r="M359" s="232" t="n"/>
      <c r="N359" s="233" t="n"/>
      <c r="O359" s="232" t="n"/>
      <c r="P359" s="234" t="n"/>
      <c r="Q359" s="234" t="n"/>
      <c r="R359" s="234" t="n"/>
      <c r="S359" s="234" t="n"/>
      <c r="T359" s="234" t="n"/>
      <c r="U359" s="234" t="n"/>
      <c r="V359" s="234" t="n"/>
      <c r="W359" s="234" t="n"/>
    </row>
    <row r="360" ht="54.95" customFormat="1" customHeight="1" s="235">
      <c r="A360" s="234" t="n"/>
      <c r="B360" s="234" t="n"/>
      <c r="C360" s="234" t="n"/>
      <c r="D360" s="234" t="n"/>
      <c r="E360" s="234" t="n"/>
      <c r="F360" s="234" t="n"/>
      <c r="G360" s="234" t="n"/>
      <c r="H360" s="234" t="n"/>
      <c r="I360" s="234" t="n"/>
      <c r="J360" s="234" t="n"/>
      <c r="K360" s="234" t="n"/>
      <c r="L360" s="234" t="n"/>
      <c r="M360" s="232" t="n"/>
      <c r="N360" s="233" t="n"/>
      <c r="O360" s="232" t="n"/>
      <c r="P360" s="234" t="n"/>
      <c r="Q360" s="234" t="n"/>
      <c r="R360" s="234" t="n"/>
      <c r="S360" s="234" t="n"/>
      <c r="T360" s="234" t="n"/>
      <c r="U360" s="234" t="n"/>
      <c r="V360" s="234" t="n"/>
      <c r="W360" s="234" t="n"/>
    </row>
    <row r="361" ht="54.95" customFormat="1" customHeight="1" s="235">
      <c r="A361" s="232" t="n"/>
      <c r="B361" s="232" t="n"/>
      <c r="C361" s="232" t="n"/>
      <c r="D361" s="233" t="n"/>
      <c r="E361" s="232" t="n"/>
      <c r="F361" s="233" t="n"/>
      <c r="G361" s="233" t="n"/>
      <c r="H361" s="233" t="n"/>
      <c r="I361" s="232" t="n"/>
      <c r="J361" s="233" t="n"/>
      <c r="K361" s="232" t="n"/>
      <c r="L361" s="232" t="n"/>
      <c r="M361" s="232" t="n"/>
      <c r="N361" s="233" t="n"/>
      <c r="O361" s="232" t="n"/>
      <c r="P361" s="233" t="n"/>
      <c r="Q361" s="233" t="n"/>
      <c r="R361" s="233" t="n"/>
      <c r="S361" s="232" t="n"/>
      <c r="T361" s="233" t="n"/>
      <c r="U361" s="233" t="n"/>
      <c r="V361" s="233" t="n"/>
      <c r="W361" s="232" t="n"/>
    </row>
    <row r="362" ht="54.95" customFormat="1" customHeight="1" s="235">
      <c r="A362" s="232" t="n"/>
      <c r="B362" s="232" t="n"/>
      <c r="C362" s="232" t="n"/>
      <c r="D362" s="233" t="n"/>
      <c r="E362" s="232" t="n"/>
      <c r="F362" s="233" t="n"/>
      <c r="G362" s="233" t="n"/>
      <c r="H362" s="233" t="n"/>
      <c r="I362" s="232" t="n"/>
      <c r="J362" s="233" t="n"/>
      <c r="K362" s="232" t="n"/>
      <c r="L362" s="232" t="n"/>
      <c r="M362" s="232" t="n"/>
      <c r="N362" s="233" t="n"/>
      <c r="O362" s="232" t="n"/>
      <c r="P362" s="233" t="n"/>
      <c r="Q362" s="233" t="n"/>
      <c r="R362" s="233" t="n"/>
      <c r="S362" s="232" t="n"/>
      <c r="T362" s="233" t="n"/>
      <c r="U362" s="233" t="n"/>
      <c r="V362" s="233" t="n"/>
      <c r="W362" s="232" t="n"/>
    </row>
    <row r="363" ht="54.95" customFormat="1" customHeight="1" s="235">
      <c r="A363" s="232" t="n"/>
      <c r="B363" s="232" t="n"/>
      <c r="C363" s="232" t="n"/>
      <c r="D363" s="233" t="n"/>
      <c r="E363" s="232" t="n"/>
      <c r="F363" s="233" t="n"/>
      <c r="G363" s="233" t="n"/>
      <c r="H363" s="233" t="n"/>
      <c r="I363" s="232" t="n"/>
      <c r="J363" s="233" t="n"/>
      <c r="K363" s="232" t="n"/>
      <c r="L363" s="232" t="n"/>
      <c r="M363" s="232" t="n"/>
      <c r="N363" s="233" t="n"/>
      <c r="O363" s="232" t="n"/>
      <c r="P363" s="233" t="n"/>
      <c r="Q363" s="233" t="n"/>
      <c r="R363" s="233" t="n"/>
      <c r="S363" s="232" t="n"/>
      <c r="T363" s="233" t="n"/>
      <c r="U363" s="233" t="n"/>
      <c r="V363" s="233" t="n"/>
      <c r="W363" s="232" t="n"/>
    </row>
    <row r="364" ht="54.95" customFormat="1" customHeight="1" s="235">
      <c r="A364" s="232" t="n"/>
      <c r="B364" s="232" t="n"/>
      <c r="C364" s="232" t="n"/>
      <c r="D364" s="233" t="n"/>
      <c r="E364" s="232" t="n"/>
      <c r="F364" s="233" t="n"/>
      <c r="G364" s="233" t="n"/>
      <c r="H364" s="233" t="n"/>
      <c r="I364" s="232" t="n"/>
      <c r="J364" s="233" t="n"/>
      <c r="K364" s="232" t="n"/>
      <c r="L364" s="232" t="n"/>
      <c r="M364" s="232" t="n"/>
      <c r="N364" s="233" t="n"/>
      <c r="O364" s="232" t="n"/>
      <c r="P364" s="233" t="n"/>
      <c r="Q364" s="233" t="n"/>
      <c r="R364" s="233" t="n"/>
      <c r="S364" s="232" t="n"/>
      <c r="T364" s="233" t="n"/>
      <c r="U364" s="233" t="n"/>
      <c r="V364" s="233" t="n"/>
      <c r="W364" s="232" t="n"/>
    </row>
    <row r="365" ht="54.95" customFormat="1" customHeight="1" s="235">
      <c r="A365" s="232" t="n"/>
      <c r="B365" s="232" t="n"/>
      <c r="C365" s="232" t="n"/>
      <c r="D365" s="233" t="n"/>
      <c r="E365" s="232" t="n"/>
      <c r="F365" s="233" t="n"/>
      <c r="G365" s="233" t="n"/>
      <c r="H365" s="233" t="n"/>
      <c r="I365" s="232" t="n"/>
      <c r="J365" s="233" t="n"/>
      <c r="K365" s="232" t="n"/>
      <c r="L365" s="232" t="n"/>
      <c r="M365" s="232" t="n"/>
      <c r="N365" s="233" t="n"/>
      <c r="O365" s="232" t="n"/>
      <c r="P365" s="233" t="n"/>
      <c r="Q365" s="233" t="n"/>
      <c r="R365" s="233" t="n"/>
      <c r="S365" s="232" t="n"/>
      <c r="T365" s="233" t="n"/>
      <c r="U365" s="233" t="n"/>
      <c r="V365" s="233" t="n"/>
      <c r="W365" s="232" t="n"/>
    </row>
    <row r="366" ht="54.95" customFormat="1" customHeight="1" s="235">
      <c r="A366" s="232" t="n"/>
      <c r="B366" s="232" t="n"/>
      <c r="C366" s="232" t="n"/>
      <c r="D366" s="233" t="n"/>
      <c r="E366" s="232" t="n"/>
      <c r="F366" s="233" t="n"/>
      <c r="G366" s="233" t="n"/>
      <c r="H366" s="233" t="n"/>
      <c r="I366" s="232" t="n"/>
      <c r="J366" s="233" t="n"/>
      <c r="K366" s="232" t="n"/>
      <c r="L366" s="232" t="n"/>
      <c r="M366" s="232" t="n"/>
      <c r="N366" s="233" t="n"/>
      <c r="O366" s="232" t="n"/>
      <c r="P366" s="233" t="n"/>
      <c r="Q366" s="233" t="n"/>
      <c r="R366" s="233" t="n"/>
      <c r="S366" s="232" t="n"/>
      <c r="T366" s="233" t="n"/>
      <c r="U366" s="233" t="n"/>
      <c r="V366" s="233" t="n"/>
      <c r="W366" s="232" t="n"/>
    </row>
    <row r="367" ht="54.95" customFormat="1" customHeight="1" s="235">
      <c r="A367" s="232" t="n"/>
      <c r="B367" s="232" t="n"/>
      <c r="C367" s="232" t="n"/>
      <c r="D367" s="233" t="n"/>
      <c r="E367" s="232" t="n"/>
      <c r="F367" s="233" t="n"/>
      <c r="G367" s="233" t="n"/>
      <c r="H367" s="233" t="n"/>
      <c r="I367" s="232" t="n"/>
      <c r="J367" s="233" t="n"/>
      <c r="K367" s="232" t="n"/>
      <c r="L367" s="232" t="n"/>
      <c r="M367" s="232" t="n"/>
      <c r="N367" s="233" t="n"/>
      <c r="O367" s="232" t="n"/>
      <c r="P367" s="233" t="n"/>
      <c r="Q367" s="233" t="n"/>
      <c r="R367" s="233" t="n"/>
      <c r="S367" s="232" t="n"/>
      <c r="T367" s="233" t="n"/>
      <c r="U367" s="233" t="n"/>
      <c r="V367" s="233" t="n"/>
      <c r="W367" s="232" t="n"/>
    </row>
    <row r="368" ht="54.95" customFormat="1" customHeight="1" s="235">
      <c r="A368" s="232" t="n"/>
      <c r="B368" s="232" t="n"/>
      <c r="C368" s="232" t="n"/>
      <c r="D368" s="233" t="n"/>
      <c r="E368" s="232" t="n"/>
      <c r="F368" s="233" t="n"/>
      <c r="G368" s="233" t="n"/>
      <c r="H368" s="233" t="n"/>
      <c r="I368" s="232" t="n"/>
      <c r="J368" s="233" t="n"/>
      <c r="K368" s="232" t="n"/>
      <c r="L368" s="232" t="n"/>
      <c r="M368" s="232" t="n"/>
      <c r="N368" s="233" t="n"/>
      <c r="O368" s="232" t="n"/>
      <c r="P368" s="233" t="n"/>
      <c r="Q368" s="233" t="n"/>
      <c r="R368" s="233" t="n"/>
      <c r="S368" s="232" t="n"/>
      <c r="T368" s="233" t="n"/>
      <c r="U368" s="233" t="n"/>
      <c r="V368" s="233" t="n"/>
      <c r="W368" s="232" t="n"/>
    </row>
    <row r="369" ht="54.95" customFormat="1" customHeight="1" s="235">
      <c r="A369" s="232" t="n"/>
      <c r="B369" s="232" t="n"/>
      <c r="C369" s="232" t="n"/>
      <c r="D369" s="233" t="n"/>
      <c r="E369" s="232" t="n"/>
      <c r="F369" s="233" t="n"/>
      <c r="G369" s="233" t="n"/>
      <c r="H369" s="233" t="n"/>
      <c r="I369" s="232" t="n"/>
      <c r="J369" s="233" t="n"/>
      <c r="K369" s="232" t="n"/>
      <c r="L369" s="232" t="n"/>
      <c r="M369" s="232" t="n"/>
      <c r="N369" s="233" t="n"/>
      <c r="O369" s="232" t="n"/>
      <c r="P369" s="233" t="n"/>
      <c r="Q369" s="233" t="n"/>
      <c r="R369" s="233" t="n"/>
      <c r="S369" s="232" t="n"/>
      <c r="T369" s="233" t="n"/>
      <c r="U369" s="233" t="n"/>
      <c r="V369" s="233" t="n"/>
      <c r="W369" s="232" t="n"/>
    </row>
    <row r="370" ht="54.95" customFormat="1" customHeight="1" s="235">
      <c r="A370" s="232" t="n"/>
      <c r="B370" s="232" t="n"/>
      <c r="C370" s="232" t="n"/>
      <c r="D370" s="233" t="n"/>
      <c r="E370" s="232" t="n"/>
      <c r="F370" s="233" t="n"/>
      <c r="G370" s="233" t="n"/>
      <c r="H370" s="233" t="n"/>
      <c r="I370" s="232" t="n"/>
      <c r="J370" s="233" t="n"/>
      <c r="K370" s="232" t="n"/>
      <c r="L370" s="232" t="n"/>
      <c r="M370" s="232" t="n"/>
      <c r="N370" s="233" t="n"/>
      <c r="O370" s="232" t="n"/>
      <c r="P370" s="233" t="n"/>
      <c r="Q370" s="233" t="n"/>
      <c r="R370" s="233" t="n"/>
      <c r="S370" s="232" t="n"/>
      <c r="T370" s="233" t="n"/>
      <c r="U370" s="233" t="n"/>
      <c r="V370" s="233" t="n"/>
      <c r="W370" s="232" t="n"/>
    </row>
    <row r="371" ht="54.95" customFormat="1" customHeight="1" s="235">
      <c r="A371" s="232" t="n"/>
      <c r="B371" s="232" t="n"/>
      <c r="C371" s="232" t="n"/>
      <c r="D371" s="233" t="n"/>
      <c r="E371" s="232" t="n"/>
      <c r="F371" s="233" t="n"/>
      <c r="G371" s="233" t="n"/>
      <c r="H371" s="233" t="n"/>
      <c r="I371" s="232" t="n"/>
      <c r="J371" s="233" t="n"/>
      <c r="K371" s="232" t="n"/>
      <c r="L371" s="232" t="n"/>
      <c r="M371" s="232" t="n"/>
      <c r="N371" s="233" t="n"/>
      <c r="O371" s="232" t="n"/>
      <c r="P371" s="233" t="n"/>
      <c r="Q371" s="233" t="n"/>
      <c r="R371" s="233" t="n"/>
      <c r="S371" s="232" t="n"/>
      <c r="T371" s="233" t="n"/>
      <c r="U371" s="233" t="n"/>
      <c r="V371" s="233" t="n"/>
      <c r="W371" s="232" t="n"/>
    </row>
    <row r="372" ht="54.95" customFormat="1" customHeight="1" s="235">
      <c r="A372" s="232" t="n"/>
      <c r="B372" s="232" t="n"/>
      <c r="C372" s="232" t="n"/>
      <c r="D372" s="233" t="n"/>
      <c r="E372" s="232" t="n"/>
      <c r="F372" s="233" t="n"/>
      <c r="G372" s="233" t="n"/>
      <c r="H372" s="233" t="n"/>
      <c r="I372" s="232" t="n"/>
      <c r="J372" s="233" t="n"/>
      <c r="K372" s="232" t="n"/>
      <c r="L372" s="232" t="n"/>
      <c r="M372" s="232" t="n"/>
      <c r="N372" s="233" t="n"/>
      <c r="O372" s="232" t="n"/>
      <c r="P372" s="233" t="n"/>
      <c r="Q372" s="233" t="n"/>
      <c r="R372" s="233" t="n"/>
      <c r="S372" s="232" t="n"/>
      <c r="T372" s="233" t="n"/>
      <c r="U372" s="233" t="n"/>
      <c r="V372" s="233" t="n"/>
      <c r="W372" s="232" t="n"/>
    </row>
    <row r="373" ht="54.95" customFormat="1" customHeight="1" s="235">
      <c r="A373" s="232" t="n"/>
      <c r="B373" s="232" t="n"/>
      <c r="C373" s="232" t="n"/>
      <c r="D373" s="233" t="n"/>
      <c r="E373" s="232" t="n"/>
      <c r="F373" s="233" t="n"/>
      <c r="G373" s="233" t="n"/>
      <c r="H373" s="233" t="n"/>
      <c r="I373" s="232" t="n"/>
      <c r="J373" s="233" t="n"/>
      <c r="K373" s="232" t="n"/>
      <c r="L373" s="232" t="n"/>
      <c r="M373" s="232" t="n"/>
      <c r="N373" s="233" t="n"/>
      <c r="O373" s="232" t="n"/>
      <c r="P373" s="233" t="n"/>
      <c r="Q373" s="233" t="n"/>
      <c r="R373" s="233" t="n"/>
      <c r="S373" s="232" t="n"/>
      <c r="T373" s="233" t="n"/>
      <c r="U373" s="233" t="n"/>
      <c r="V373" s="233" t="n"/>
      <c r="W373" s="232" t="n"/>
    </row>
    <row r="374" ht="54.95" customFormat="1" customHeight="1" s="235">
      <c r="A374" s="232" t="n"/>
      <c r="B374" s="232" t="n"/>
      <c r="C374" s="232" t="n"/>
      <c r="D374" s="233" t="n"/>
      <c r="E374" s="232" t="n"/>
      <c r="F374" s="233" t="n"/>
      <c r="G374" s="233" t="n"/>
      <c r="H374" s="233" t="n"/>
      <c r="I374" s="232" t="n"/>
      <c r="J374" s="233" t="n"/>
      <c r="K374" s="232" t="n"/>
      <c r="L374" s="232" t="n"/>
      <c r="M374" s="232" t="n"/>
      <c r="N374" s="233" t="n"/>
      <c r="O374" s="232" t="n"/>
      <c r="P374" s="233" t="n"/>
      <c r="Q374" s="233" t="n"/>
      <c r="R374" s="233" t="n"/>
      <c r="S374" s="232" t="n"/>
      <c r="T374" s="233" t="n"/>
      <c r="U374" s="233" t="n"/>
      <c r="V374" s="233" t="n"/>
      <c r="W374" s="232" t="n"/>
    </row>
    <row r="375" ht="54.95" customFormat="1" customHeight="1" s="235">
      <c r="A375" s="234" t="n"/>
      <c r="B375" s="234" t="n"/>
      <c r="C375" s="234" t="n"/>
      <c r="D375" s="234" t="n"/>
      <c r="E375" s="234" t="n"/>
      <c r="F375" s="234" t="n"/>
      <c r="G375" s="234" t="n"/>
      <c r="H375" s="234" t="n"/>
      <c r="I375" s="234" t="n"/>
      <c r="J375" s="234" t="n"/>
      <c r="K375" s="234" t="n"/>
      <c r="L375" s="234" t="n"/>
      <c r="M375" s="232" t="n"/>
      <c r="N375" s="233" t="n"/>
      <c r="O375" s="232" t="n"/>
      <c r="P375" s="234" t="n"/>
      <c r="Q375" s="234" t="n"/>
      <c r="R375" s="234" t="n"/>
      <c r="S375" s="234" t="n"/>
      <c r="T375" s="234" t="n"/>
      <c r="U375" s="234" t="n"/>
      <c r="V375" s="234" t="n"/>
      <c r="W375" s="234" t="n"/>
    </row>
    <row r="376" ht="54.95" customFormat="1" customHeight="1" s="235">
      <c r="A376" s="232" t="n"/>
      <c r="B376" s="232" t="n"/>
      <c r="C376" s="232" t="n"/>
      <c r="D376" s="233" t="n"/>
      <c r="E376" s="232" t="n"/>
      <c r="F376" s="233" t="n"/>
      <c r="G376" s="233" t="n"/>
      <c r="H376" s="233" t="n"/>
      <c r="I376" s="232" t="n"/>
      <c r="J376" s="233" t="n"/>
      <c r="K376" s="232" t="n"/>
      <c r="L376" s="232" t="n"/>
      <c r="M376" s="232" t="n"/>
      <c r="N376" s="233" t="n"/>
      <c r="O376" s="232" t="n"/>
      <c r="P376" s="233" t="n"/>
      <c r="Q376" s="233" t="n"/>
      <c r="R376" s="233" t="n"/>
      <c r="S376" s="232" t="n"/>
      <c r="T376" s="233" t="n"/>
      <c r="U376" s="233" t="n"/>
      <c r="V376" s="233" t="n"/>
      <c r="W376" s="232" t="n"/>
    </row>
    <row r="377" ht="54.95" customFormat="1" customHeight="1" s="235">
      <c r="A377" s="232" t="n"/>
      <c r="B377" s="232" t="n"/>
      <c r="C377" s="232" t="n"/>
      <c r="D377" s="233" t="n"/>
      <c r="E377" s="232" t="n"/>
      <c r="F377" s="233" t="n"/>
      <c r="G377" s="233" t="n"/>
      <c r="H377" s="233" t="n"/>
      <c r="I377" s="232" t="n"/>
      <c r="J377" s="233" t="n"/>
      <c r="K377" s="232" t="n"/>
      <c r="L377" s="232" t="n"/>
      <c r="M377" s="232" t="n"/>
      <c r="N377" s="233" t="n"/>
      <c r="O377" s="232" t="n"/>
      <c r="P377" s="233" t="n"/>
      <c r="Q377" s="233" t="n"/>
      <c r="R377" s="233" t="n"/>
      <c r="S377" s="232" t="n"/>
      <c r="T377" s="233" t="n"/>
      <c r="U377" s="233" t="n"/>
      <c r="V377" s="233" t="n"/>
      <c r="W377" s="232" t="n"/>
    </row>
    <row r="378" ht="54.95" customFormat="1" customHeight="1" s="235">
      <c r="A378" s="232" t="n"/>
      <c r="B378" s="232" t="n"/>
      <c r="C378" s="232" t="n"/>
      <c r="D378" s="233" t="n"/>
      <c r="E378" s="232" t="n"/>
      <c r="F378" s="233" t="n"/>
      <c r="G378" s="233" t="n"/>
      <c r="H378" s="233" t="n"/>
      <c r="I378" s="232" t="n"/>
      <c r="J378" s="233" t="n"/>
      <c r="K378" s="232" t="n"/>
      <c r="L378" s="232" t="n"/>
      <c r="M378" s="232" t="n"/>
      <c r="N378" s="233" t="n"/>
      <c r="O378" s="232" t="n"/>
      <c r="P378" s="233" t="n"/>
      <c r="Q378" s="233" t="n"/>
      <c r="R378" s="233" t="n"/>
      <c r="S378" s="232" t="n"/>
      <c r="T378" s="233" t="n"/>
      <c r="U378" s="233" t="n"/>
      <c r="V378" s="233" t="n"/>
      <c r="W378" s="232" t="n"/>
    </row>
    <row r="379" ht="54.95" customFormat="1" customHeight="1" s="235">
      <c r="A379" s="232" t="n"/>
      <c r="B379" s="232" t="n"/>
      <c r="C379" s="232" t="n"/>
      <c r="D379" s="233" t="n"/>
      <c r="E379" s="232" t="n"/>
      <c r="F379" s="233" t="n"/>
      <c r="G379" s="233" t="n"/>
      <c r="H379" s="233" t="n"/>
      <c r="I379" s="232" t="n"/>
      <c r="J379" s="233" t="n"/>
      <c r="K379" s="232" t="n"/>
      <c r="L379" s="232" t="n"/>
      <c r="M379" s="232" t="n"/>
      <c r="N379" s="233" t="n"/>
      <c r="O379" s="232" t="n"/>
      <c r="P379" s="233" t="n"/>
      <c r="Q379" s="233" t="n"/>
      <c r="R379" s="233" t="n"/>
      <c r="S379" s="232" t="n"/>
      <c r="T379" s="233" t="n"/>
      <c r="U379" s="233" t="n"/>
      <c r="V379" s="233" t="n"/>
      <c r="W379" s="232" t="n"/>
    </row>
    <row r="380" ht="54.95" customFormat="1" customHeight="1" s="235">
      <c r="A380" s="232" t="n"/>
      <c r="B380" s="232" t="n"/>
      <c r="C380" s="232" t="n"/>
      <c r="D380" s="233" t="n"/>
      <c r="E380" s="232" t="n"/>
      <c r="F380" s="233" t="n"/>
      <c r="G380" s="233" t="n"/>
      <c r="H380" s="233" t="n"/>
      <c r="I380" s="232" t="n"/>
      <c r="J380" s="233" t="n"/>
      <c r="K380" s="232" t="n"/>
      <c r="L380" s="232" t="n"/>
      <c r="M380" s="232" t="n"/>
      <c r="N380" s="233" t="n"/>
      <c r="O380" s="232" t="n"/>
      <c r="P380" s="233" t="n"/>
      <c r="Q380" s="233" t="n"/>
      <c r="R380" s="233" t="n"/>
      <c r="S380" s="232" t="n"/>
      <c r="T380" s="233" t="n"/>
      <c r="U380" s="233" t="n"/>
      <c r="V380" s="233" t="n"/>
      <c r="W380" s="232" t="n"/>
    </row>
    <row r="381" ht="54.95" customFormat="1" customHeight="1" s="235">
      <c r="A381" s="232" t="n"/>
      <c r="B381" s="232" t="n"/>
      <c r="C381" s="232" t="n"/>
      <c r="D381" s="233" t="n"/>
      <c r="E381" s="232" t="n"/>
      <c r="F381" s="233" t="n"/>
      <c r="G381" s="233" t="n"/>
      <c r="H381" s="233" t="n"/>
      <c r="I381" s="232" t="n"/>
      <c r="J381" s="233" t="n"/>
      <c r="K381" s="232" t="n"/>
      <c r="L381" s="232" t="n"/>
      <c r="M381" s="232" t="n"/>
      <c r="N381" s="233" t="n"/>
      <c r="O381" s="232" t="n"/>
      <c r="P381" s="233" t="n"/>
      <c r="Q381" s="233" t="n"/>
      <c r="R381" s="233" t="n"/>
      <c r="S381" s="232" t="n"/>
      <c r="T381" s="233" t="n"/>
      <c r="U381" s="233" t="n"/>
      <c r="V381" s="233" t="n"/>
      <c r="W381" s="232" t="n"/>
    </row>
    <row r="382" ht="54.95" customFormat="1" customHeight="1" s="235">
      <c r="A382" s="232" t="n"/>
      <c r="B382" s="232" t="n"/>
      <c r="C382" s="232" t="n"/>
      <c r="D382" s="233" t="n"/>
      <c r="E382" s="232" t="n"/>
      <c r="F382" s="233" t="n"/>
      <c r="G382" s="233" t="n"/>
      <c r="H382" s="233" t="n"/>
      <c r="I382" s="232" t="n"/>
      <c r="J382" s="233" t="n"/>
      <c r="K382" s="232" t="n"/>
      <c r="L382" s="232" t="n"/>
      <c r="M382" s="232" t="n"/>
      <c r="N382" s="233" t="n"/>
      <c r="O382" s="232" t="n"/>
      <c r="P382" s="233" t="n"/>
      <c r="Q382" s="233" t="n"/>
      <c r="R382" s="233" t="n"/>
      <c r="S382" s="232" t="n"/>
      <c r="T382" s="233" t="n"/>
      <c r="U382" s="233" t="n"/>
      <c r="V382" s="233" t="n"/>
      <c r="W382" s="232" t="n"/>
    </row>
    <row r="383" ht="54.95" customFormat="1" customHeight="1" s="235">
      <c r="A383" s="232" t="n"/>
      <c r="B383" s="232" t="n"/>
      <c r="C383" s="232" t="n"/>
      <c r="D383" s="233" t="n"/>
      <c r="E383" s="232" t="n"/>
      <c r="F383" s="233" t="n"/>
      <c r="G383" s="233" t="n"/>
      <c r="H383" s="233" t="n"/>
      <c r="I383" s="232" t="n"/>
      <c r="J383" s="233" t="n"/>
      <c r="K383" s="232" t="n"/>
      <c r="L383" s="232" t="n"/>
      <c r="M383" s="232" t="n"/>
      <c r="N383" s="233" t="n"/>
      <c r="O383" s="232" t="n"/>
      <c r="P383" s="233" t="n"/>
      <c r="Q383" s="233" t="n"/>
      <c r="R383" s="233" t="n"/>
      <c r="S383" s="232" t="n"/>
      <c r="T383" s="233" t="n"/>
      <c r="U383" s="233" t="n"/>
      <c r="V383" s="233" t="n"/>
      <c r="W383" s="232" t="n"/>
    </row>
    <row r="384" ht="54.95" customFormat="1" customHeight="1" s="235">
      <c r="A384" s="232" t="n"/>
      <c r="B384" s="232" t="n"/>
      <c r="C384" s="232" t="n"/>
      <c r="D384" s="233" t="n"/>
      <c r="E384" s="232" t="n"/>
      <c r="F384" s="233" t="n"/>
      <c r="G384" s="233" t="n"/>
      <c r="H384" s="233" t="n"/>
      <c r="I384" s="232" t="n"/>
      <c r="J384" s="233" t="n"/>
      <c r="K384" s="232" t="n"/>
      <c r="L384" s="232" t="n"/>
      <c r="M384" s="232" t="n"/>
      <c r="N384" s="233" t="n"/>
      <c r="O384" s="232" t="n"/>
      <c r="P384" s="233" t="n"/>
      <c r="Q384" s="233" t="n"/>
      <c r="R384" s="233" t="n"/>
      <c r="S384" s="232" t="n"/>
      <c r="T384" s="233" t="n"/>
      <c r="U384" s="233" t="n"/>
      <c r="V384" s="233" t="n"/>
      <c r="W384" s="232" t="n"/>
    </row>
    <row r="385" ht="54.95" customFormat="1" customHeight="1" s="235">
      <c r="A385" s="232" t="n"/>
      <c r="B385" s="232" t="n"/>
      <c r="C385" s="232" t="n"/>
      <c r="D385" s="233" t="n"/>
      <c r="E385" s="232" t="n"/>
      <c r="F385" s="233" t="n"/>
      <c r="G385" s="233" t="n"/>
      <c r="H385" s="233" t="n"/>
      <c r="I385" s="232" t="n"/>
      <c r="J385" s="233" t="n"/>
      <c r="K385" s="232" t="n"/>
      <c r="L385" s="232" t="n"/>
      <c r="M385" s="232" t="n"/>
      <c r="N385" s="233" t="n"/>
      <c r="O385" s="232" t="n"/>
      <c r="P385" s="233" t="n"/>
      <c r="Q385" s="233" t="n"/>
      <c r="R385" s="233" t="n"/>
      <c r="S385" s="232" t="n"/>
      <c r="T385" s="233" t="n"/>
      <c r="U385" s="233" t="n"/>
      <c r="V385" s="233" t="n"/>
      <c r="W385" s="232" t="n"/>
    </row>
    <row r="386" ht="54.95" customFormat="1" customHeight="1" s="235">
      <c r="A386" s="232" t="n"/>
      <c r="B386" s="232" t="n"/>
      <c r="C386" s="232" t="n"/>
      <c r="D386" s="233" t="n"/>
      <c r="E386" s="232" t="n"/>
      <c r="F386" s="233" t="n"/>
      <c r="G386" s="233" t="n"/>
      <c r="H386" s="233" t="n"/>
      <c r="I386" s="232" t="n"/>
      <c r="J386" s="233" t="n"/>
      <c r="K386" s="232" t="n"/>
      <c r="L386" s="232" t="n"/>
      <c r="M386" s="232" t="n"/>
      <c r="N386" s="233" t="n"/>
      <c r="O386" s="232" t="n"/>
      <c r="P386" s="233" t="n"/>
      <c r="Q386" s="233" t="n"/>
      <c r="R386" s="233" t="n"/>
      <c r="S386" s="232" t="n"/>
      <c r="T386" s="233" t="n"/>
      <c r="U386" s="233" t="n"/>
      <c r="V386" s="233" t="n"/>
      <c r="W386" s="232" t="n"/>
    </row>
    <row r="387" ht="54.95" customFormat="1" customHeight="1" s="235">
      <c r="A387" s="232" t="n"/>
      <c r="B387" s="232" t="n"/>
      <c r="C387" s="232" t="n"/>
      <c r="D387" s="233" t="n"/>
      <c r="E387" s="232" t="n"/>
      <c r="F387" s="233" t="n"/>
      <c r="G387" s="233" t="n"/>
      <c r="H387" s="233" t="n"/>
      <c r="I387" s="232" t="n"/>
      <c r="J387" s="233" t="n"/>
      <c r="K387" s="232" t="n"/>
      <c r="L387" s="232" t="n"/>
      <c r="M387" s="232" t="n"/>
      <c r="N387" s="233" t="n"/>
      <c r="O387" s="232" t="n"/>
      <c r="P387" s="233" t="n"/>
      <c r="Q387" s="233" t="n"/>
      <c r="R387" s="233" t="n"/>
      <c r="S387" s="232" t="n"/>
      <c r="T387" s="233" t="n"/>
      <c r="U387" s="233" t="n"/>
      <c r="V387" s="233" t="n"/>
      <c r="W387" s="232" t="n"/>
    </row>
    <row r="388" ht="54.95" customFormat="1" customHeight="1" s="235">
      <c r="A388" s="232" t="n"/>
      <c r="B388" s="232" t="n"/>
      <c r="C388" s="232" t="n"/>
      <c r="D388" s="233" t="n"/>
      <c r="E388" s="232" t="n"/>
      <c r="F388" s="233" t="n"/>
      <c r="G388" s="233" t="n"/>
      <c r="H388" s="233" t="n"/>
      <c r="I388" s="232" t="n"/>
      <c r="J388" s="233" t="n"/>
      <c r="K388" s="232" t="n"/>
      <c r="L388" s="232" t="n"/>
      <c r="M388" s="232" t="n"/>
      <c r="N388" s="233" t="n"/>
      <c r="O388" s="232" t="n"/>
      <c r="P388" s="233" t="n"/>
      <c r="Q388" s="233" t="n"/>
      <c r="R388" s="233" t="n"/>
      <c r="S388" s="232" t="n"/>
      <c r="T388" s="233" t="n"/>
      <c r="U388" s="233" t="n"/>
      <c r="V388" s="233" t="n"/>
      <c r="W388" s="232" t="n"/>
    </row>
    <row r="389" ht="54.95" customFormat="1" customHeight="1" s="235">
      <c r="A389" s="232" t="n"/>
      <c r="B389" s="232" t="n"/>
      <c r="C389" s="232" t="n"/>
      <c r="D389" s="233" t="n"/>
      <c r="E389" s="232" t="n"/>
      <c r="F389" s="233" t="n"/>
      <c r="G389" s="233" t="n"/>
      <c r="H389" s="233" t="n"/>
      <c r="I389" s="232" t="n"/>
      <c r="J389" s="233" t="n"/>
      <c r="K389" s="232" t="n"/>
      <c r="L389" s="232" t="n"/>
      <c r="M389" s="232" t="n"/>
      <c r="N389" s="233" t="n"/>
      <c r="O389" s="232" t="n"/>
      <c r="P389" s="233" t="n"/>
      <c r="Q389" s="233" t="n"/>
      <c r="R389" s="233" t="n"/>
      <c r="S389" s="232" t="n"/>
      <c r="T389" s="233" t="n"/>
      <c r="U389" s="233" t="n"/>
      <c r="V389" s="233" t="n"/>
      <c r="W389" s="232" t="n"/>
    </row>
    <row r="390" ht="54.95" customFormat="1" customHeight="1" s="235">
      <c r="A390" s="232" t="n"/>
      <c r="B390" s="232" t="n"/>
      <c r="C390" s="232" t="n"/>
      <c r="D390" s="233" t="n"/>
      <c r="E390" s="232" t="n"/>
      <c r="F390" s="233" t="n"/>
      <c r="G390" s="233" t="n"/>
      <c r="H390" s="233" t="n"/>
      <c r="I390" s="232" t="n"/>
      <c r="J390" s="233" t="n"/>
      <c r="K390" s="232" t="n"/>
      <c r="L390" s="232" t="n"/>
      <c r="M390" s="232" t="n"/>
      <c r="N390" s="233" t="n"/>
      <c r="O390" s="232" t="n"/>
      <c r="P390" s="233" t="n"/>
      <c r="Q390" s="233" t="n"/>
      <c r="R390" s="233" t="n"/>
      <c r="S390" s="232" t="n"/>
      <c r="T390" s="233" t="n"/>
      <c r="U390" s="233" t="n"/>
      <c r="V390" s="233" t="n"/>
      <c r="W390" s="232" t="n"/>
    </row>
    <row r="391" ht="54.95" customFormat="1" customHeight="1" s="235">
      <c r="A391" s="234" t="n"/>
      <c r="B391" s="234" t="n"/>
      <c r="C391" s="234" t="n"/>
      <c r="D391" s="234" t="n"/>
      <c r="E391" s="234" t="n"/>
      <c r="F391" s="234" t="n"/>
      <c r="G391" s="234" t="n"/>
      <c r="H391" s="234" t="n"/>
      <c r="I391" s="234" t="n"/>
      <c r="J391" s="234" t="n"/>
      <c r="K391" s="234" t="n"/>
      <c r="L391" s="234" t="n"/>
      <c r="M391" s="232" t="n"/>
      <c r="N391" s="233" t="n"/>
      <c r="O391" s="232" t="n"/>
      <c r="P391" s="234" t="n"/>
      <c r="Q391" s="234" t="n"/>
      <c r="R391" s="234" t="n"/>
      <c r="S391" s="234" t="n"/>
      <c r="T391" s="234" t="n"/>
      <c r="U391" s="234" t="n"/>
      <c r="V391" s="234" t="n"/>
      <c r="W391" s="234" t="n"/>
    </row>
    <row r="392" ht="54.95" customFormat="1" customHeight="1" s="235">
      <c r="A392" s="232" t="n"/>
      <c r="B392" s="232" t="n"/>
      <c r="C392" s="232" t="n"/>
      <c r="D392" s="233" t="n"/>
      <c r="E392" s="232" t="n"/>
      <c r="F392" s="233" t="n"/>
      <c r="G392" s="233" t="n"/>
      <c r="H392" s="233" t="n"/>
      <c r="I392" s="232" t="n"/>
      <c r="J392" s="233" t="n"/>
      <c r="K392" s="232" t="n"/>
      <c r="L392" s="232" t="n"/>
      <c r="M392" s="232" t="n"/>
      <c r="N392" s="233" t="n"/>
      <c r="O392" s="232" t="n"/>
      <c r="P392" s="233" t="n"/>
      <c r="Q392" s="233" t="n"/>
      <c r="R392" s="233" t="n"/>
      <c r="S392" s="232" t="n"/>
      <c r="T392" s="233" t="n"/>
      <c r="U392" s="233" t="n"/>
      <c r="V392" s="233" t="n"/>
      <c r="W392" s="232" t="n"/>
    </row>
    <row r="393" ht="54.95" customFormat="1" customHeight="1" s="235">
      <c r="A393" s="232" t="n"/>
      <c r="B393" s="232" t="n"/>
      <c r="C393" s="232" t="n"/>
      <c r="D393" s="233" t="n"/>
      <c r="E393" s="232" t="n"/>
      <c r="F393" s="233" t="n"/>
      <c r="G393" s="233" t="n"/>
      <c r="H393" s="233" t="n"/>
      <c r="I393" s="232" t="n"/>
      <c r="J393" s="233" t="n"/>
      <c r="K393" s="232" t="n"/>
      <c r="L393" s="232" t="n"/>
      <c r="M393" s="232" t="n"/>
      <c r="N393" s="233" t="n"/>
      <c r="O393" s="232" t="n"/>
      <c r="P393" s="233" t="n"/>
      <c r="Q393" s="233" t="n"/>
      <c r="R393" s="233" t="n"/>
      <c r="S393" s="232" t="n"/>
      <c r="T393" s="233" t="n"/>
      <c r="U393" s="233" t="n"/>
      <c r="V393" s="233" t="n"/>
      <c r="W393" s="232" t="n"/>
    </row>
    <row r="394" ht="54.95" customFormat="1" customHeight="1" s="235">
      <c r="A394" s="232" t="n"/>
      <c r="B394" s="232" t="n"/>
      <c r="C394" s="232" t="n"/>
      <c r="D394" s="233" t="n"/>
      <c r="E394" s="232" t="n"/>
      <c r="F394" s="233" t="n"/>
      <c r="G394" s="233" t="n"/>
      <c r="H394" s="233" t="n"/>
      <c r="I394" s="232" t="n"/>
      <c r="J394" s="233" t="n"/>
      <c r="K394" s="232" t="n"/>
      <c r="L394" s="232" t="n"/>
      <c r="M394" s="232" t="n"/>
      <c r="N394" s="233" t="n"/>
      <c r="O394" s="232" t="n"/>
      <c r="P394" s="233" t="n"/>
      <c r="Q394" s="233" t="n"/>
      <c r="R394" s="233" t="n"/>
      <c r="S394" s="232" t="n"/>
      <c r="T394" s="233" t="n"/>
      <c r="U394" s="233" t="n"/>
      <c r="V394" s="233" t="n"/>
      <c r="W394" s="232" t="n"/>
    </row>
    <row r="395" ht="54.95" customFormat="1" customHeight="1" s="235">
      <c r="A395" s="232" t="n"/>
      <c r="B395" s="232" t="n"/>
      <c r="C395" s="232" t="n"/>
      <c r="D395" s="233" t="n"/>
      <c r="E395" s="232" t="n"/>
      <c r="F395" s="233" t="n"/>
      <c r="G395" s="233" t="n"/>
      <c r="H395" s="233" t="n"/>
      <c r="I395" s="232" t="n"/>
      <c r="J395" s="233" t="n"/>
      <c r="K395" s="232" t="n"/>
      <c r="L395" s="232" t="n"/>
      <c r="M395" s="232" t="n"/>
      <c r="N395" s="233" t="n"/>
      <c r="O395" s="232" t="n"/>
      <c r="P395" s="233" t="n"/>
      <c r="Q395" s="233" t="n"/>
      <c r="R395" s="233" t="n"/>
      <c r="S395" s="232" t="n"/>
      <c r="T395" s="233" t="n"/>
      <c r="U395" s="233" t="n"/>
      <c r="V395" s="233" t="n"/>
      <c r="W395" s="232" t="n"/>
    </row>
    <row r="396" ht="54.95" customFormat="1" customHeight="1" s="235">
      <c r="A396" s="232" t="n"/>
      <c r="B396" s="232" t="n"/>
      <c r="C396" s="232" t="n"/>
      <c r="D396" s="233" t="n"/>
      <c r="E396" s="232" t="n"/>
      <c r="F396" s="233" t="n"/>
      <c r="G396" s="233" t="n"/>
      <c r="H396" s="233" t="n"/>
      <c r="I396" s="232" t="n"/>
      <c r="J396" s="233" t="n"/>
      <c r="K396" s="232" t="n"/>
      <c r="L396" s="232" t="n"/>
      <c r="M396" s="232" t="n"/>
      <c r="N396" s="233" t="n"/>
      <c r="O396" s="232" t="n"/>
      <c r="P396" s="233" t="n"/>
      <c r="Q396" s="233" t="n"/>
      <c r="R396" s="233" t="n"/>
      <c r="S396" s="232" t="n"/>
      <c r="T396" s="233" t="n"/>
      <c r="U396" s="233" t="n"/>
      <c r="V396" s="233" t="n"/>
      <c r="W396" s="232" t="n"/>
    </row>
    <row r="397" ht="54.95" customFormat="1" customHeight="1" s="235">
      <c r="A397" s="232" t="n"/>
      <c r="B397" s="232" t="n"/>
      <c r="C397" s="232" t="n"/>
      <c r="D397" s="233" t="n"/>
      <c r="E397" s="232" t="n"/>
      <c r="F397" s="233" t="n"/>
      <c r="G397" s="233" t="n"/>
      <c r="H397" s="233" t="n"/>
      <c r="I397" s="232" t="n"/>
      <c r="J397" s="233" t="n"/>
      <c r="K397" s="232" t="n"/>
      <c r="L397" s="232" t="n"/>
      <c r="M397" s="232" t="n"/>
      <c r="N397" s="233" t="n"/>
      <c r="O397" s="232" t="n"/>
      <c r="P397" s="233" t="n"/>
      <c r="Q397" s="233" t="n"/>
      <c r="R397" s="233" t="n"/>
      <c r="S397" s="232" t="n"/>
      <c r="T397" s="233" t="n"/>
      <c r="U397" s="233" t="n"/>
      <c r="V397" s="233" t="n"/>
      <c r="W397" s="232" t="n"/>
    </row>
    <row r="398" ht="54.95" customFormat="1" customHeight="1" s="235">
      <c r="A398" s="232" t="n"/>
      <c r="B398" s="232" t="n"/>
      <c r="C398" s="232" t="n"/>
      <c r="D398" s="233" t="n"/>
      <c r="E398" s="232" t="n"/>
      <c r="F398" s="233" t="n"/>
      <c r="G398" s="233" t="n"/>
      <c r="H398" s="233" t="n"/>
      <c r="I398" s="232" t="n"/>
      <c r="J398" s="233" t="n"/>
      <c r="K398" s="232" t="n"/>
      <c r="L398" s="232" t="n"/>
      <c r="M398" s="232" t="n"/>
      <c r="N398" s="233" t="n"/>
      <c r="O398" s="232" t="n"/>
      <c r="P398" s="233" t="n"/>
      <c r="Q398" s="233" t="n"/>
      <c r="R398" s="233" t="n"/>
      <c r="S398" s="232" t="n"/>
      <c r="T398" s="233" t="n"/>
      <c r="U398" s="233" t="n"/>
      <c r="V398" s="233" t="n"/>
      <c r="W398" s="232" t="n"/>
    </row>
    <row r="399" ht="54.95" customFormat="1" customHeight="1" s="235">
      <c r="A399" s="232" t="n"/>
      <c r="B399" s="232" t="n"/>
      <c r="C399" s="232" t="n"/>
      <c r="D399" s="233" t="n"/>
      <c r="E399" s="232" t="n"/>
      <c r="F399" s="233" t="n"/>
      <c r="G399" s="233" t="n"/>
      <c r="H399" s="233" t="n"/>
      <c r="I399" s="232" t="n"/>
      <c r="J399" s="233" t="n"/>
      <c r="K399" s="232" t="n"/>
      <c r="L399" s="232" t="n"/>
      <c r="M399" s="232" t="n"/>
      <c r="N399" s="233" t="n"/>
      <c r="O399" s="232" t="n"/>
      <c r="P399" s="233" t="n"/>
      <c r="Q399" s="233" t="n"/>
      <c r="R399" s="233" t="n"/>
      <c r="S399" s="232" t="n"/>
      <c r="T399" s="233" t="n"/>
      <c r="U399" s="233" t="n"/>
      <c r="V399" s="233" t="n"/>
      <c r="W399" s="232" t="n"/>
    </row>
    <row r="400" ht="54.95" customFormat="1" customHeight="1" s="235">
      <c r="A400" s="232" t="n"/>
      <c r="B400" s="232" t="n"/>
      <c r="C400" s="232" t="n"/>
      <c r="D400" s="233" t="n"/>
      <c r="E400" s="232" t="n"/>
      <c r="F400" s="233" t="n"/>
      <c r="G400" s="233" t="n"/>
      <c r="H400" s="233" t="n"/>
      <c r="I400" s="232" t="n"/>
      <c r="J400" s="233" t="n"/>
      <c r="K400" s="232" t="n"/>
      <c r="L400" s="232" t="n"/>
      <c r="M400" s="232" t="n"/>
      <c r="N400" s="233" t="n"/>
      <c r="O400" s="232" t="n"/>
      <c r="P400" s="233" t="n"/>
      <c r="Q400" s="233" t="n"/>
      <c r="R400" s="233" t="n"/>
      <c r="S400" s="232" t="n"/>
      <c r="T400" s="233" t="n"/>
      <c r="U400" s="233" t="n"/>
      <c r="V400" s="233" t="n"/>
      <c r="W400" s="232" t="n"/>
    </row>
    <row r="401" ht="54.95" customFormat="1" customHeight="1" s="235">
      <c r="A401" s="232" t="n"/>
      <c r="B401" s="232" t="n"/>
      <c r="C401" s="232" t="n"/>
      <c r="D401" s="233" t="n"/>
      <c r="E401" s="232" t="n"/>
      <c r="F401" s="233" t="n"/>
      <c r="G401" s="233" t="n"/>
      <c r="H401" s="233" t="n"/>
      <c r="I401" s="232" t="n"/>
      <c r="J401" s="233" t="n"/>
      <c r="K401" s="232" t="n"/>
      <c r="L401" s="232" t="n"/>
      <c r="M401" s="232" t="n"/>
      <c r="N401" s="233" t="n"/>
      <c r="O401" s="232" t="n"/>
      <c r="P401" s="233" t="n"/>
      <c r="Q401" s="233" t="n"/>
      <c r="R401" s="233" t="n"/>
      <c r="S401" s="232" t="n"/>
      <c r="T401" s="233" t="n"/>
      <c r="U401" s="233" t="n"/>
      <c r="V401" s="233" t="n"/>
      <c r="W401" s="232" t="n"/>
    </row>
    <row r="402" ht="54.95" customFormat="1" customHeight="1" s="235">
      <c r="A402" s="232" t="n"/>
      <c r="B402" s="232" t="n"/>
      <c r="C402" s="232" t="n"/>
      <c r="D402" s="233" t="n"/>
      <c r="E402" s="232" t="n"/>
      <c r="F402" s="233" t="n"/>
      <c r="G402" s="233" t="n"/>
      <c r="H402" s="233" t="n"/>
      <c r="I402" s="232" t="n"/>
      <c r="J402" s="233" t="n"/>
      <c r="K402" s="232" t="n"/>
      <c r="L402" s="232" t="n"/>
      <c r="M402" s="232" t="n"/>
      <c r="N402" s="233" t="n"/>
      <c r="O402" s="232" t="n"/>
      <c r="P402" s="233" t="n"/>
      <c r="Q402" s="233" t="n"/>
      <c r="R402" s="233" t="n"/>
      <c r="S402" s="232" t="n"/>
      <c r="T402" s="233" t="n"/>
      <c r="U402" s="233" t="n"/>
      <c r="V402" s="233" t="n"/>
      <c r="W402" s="232" t="n"/>
    </row>
    <row r="403" ht="54.95" customFormat="1" customHeight="1" s="235">
      <c r="A403" s="232" t="n"/>
      <c r="B403" s="232" t="n"/>
      <c r="C403" s="232" t="n"/>
      <c r="D403" s="233" t="n"/>
      <c r="E403" s="232" t="n"/>
      <c r="F403" s="233" t="n"/>
      <c r="G403" s="233" t="n"/>
      <c r="H403" s="233" t="n"/>
      <c r="I403" s="232" t="n"/>
      <c r="J403" s="233" t="n"/>
      <c r="K403" s="232" t="n"/>
      <c r="L403" s="232" t="n"/>
      <c r="M403" s="232" t="n"/>
      <c r="N403" s="233" t="n"/>
      <c r="O403" s="232" t="n"/>
      <c r="P403" s="233" t="n"/>
      <c r="Q403" s="233" t="n"/>
      <c r="R403" s="233" t="n"/>
      <c r="S403" s="232" t="n"/>
      <c r="T403" s="233" t="n"/>
      <c r="U403" s="233" t="n"/>
      <c r="V403" s="233" t="n"/>
      <c r="W403" s="232" t="n"/>
    </row>
    <row r="404" ht="54.95" customFormat="1" customHeight="1" s="235">
      <c r="A404" s="232" t="n"/>
      <c r="B404" s="232" t="n"/>
      <c r="C404" s="232" t="n"/>
      <c r="D404" s="233" t="n"/>
      <c r="E404" s="232" t="n"/>
      <c r="F404" s="233" t="n"/>
      <c r="G404" s="233" t="n"/>
      <c r="H404" s="233" t="n"/>
      <c r="I404" s="232" t="n"/>
      <c r="J404" s="233" t="n"/>
      <c r="K404" s="232" t="n"/>
      <c r="L404" s="232" t="n"/>
      <c r="M404" s="232" t="n"/>
      <c r="N404" s="233" t="n"/>
      <c r="O404" s="232" t="n"/>
      <c r="P404" s="233" t="n"/>
      <c r="Q404" s="233" t="n"/>
      <c r="R404" s="233" t="n"/>
      <c r="S404" s="232" t="n"/>
      <c r="T404" s="233" t="n"/>
      <c r="U404" s="233" t="n"/>
      <c r="V404" s="233" t="n"/>
      <c r="W404" s="232" t="n"/>
    </row>
    <row r="405" ht="54.95" customFormat="1" customHeight="1" s="235">
      <c r="A405" s="234" t="n"/>
      <c r="B405" s="234" t="n"/>
      <c r="C405" s="234" t="n"/>
      <c r="D405" s="234" t="n"/>
      <c r="E405" s="234" t="n"/>
      <c r="F405" s="234" t="n"/>
      <c r="G405" s="234" t="n"/>
      <c r="H405" s="234" t="n"/>
      <c r="I405" s="234" t="n"/>
      <c r="J405" s="234" t="n"/>
      <c r="K405" s="234" t="n"/>
      <c r="L405" s="234" t="n"/>
      <c r="M405" s="232" t="n"/>
      <c r="N405" s="233" t="n"/>
      <c r="O405" s="232" t="n"/>
      <c r="P405" s="234" t="n"/>
      <c r="Q405" s="234" t="n"/>
      <c r="R405" s="234" t="n"/>
      <c r="S405" s="234" t="n"/>
      <c r="T405" s="234" t="n"/>
      <c r="U405" s="234" t="n"/>
      <c r="V405" s="234" t="n"/>
      <c r="W405" s="234" t="n"/>
    </row>
    <row r="406" ht="54.95" customFormat="1" customHeight="1" s="235">
      <c r="A406" s="232" t="n"/>
      <c r="B406" s="232" t="n"/>
      <c r="C406" s="232" t="n"/>
      <c r="D406" s="233" t="n"/>
      <c r="E406" s="232" t="n"/>
      <c r="F406" s="233" t="n"/>
      <c r="G406" s="233" t="n"/>
      <c r="H406" s="233" t="n"/>
      <c r="I406" s="232" t="n"/>
      <c r="J406" s="233" t="n"/>
      <c r="K406" s="232" t="n"/>
      <c r="L406" s="232" t="n"/>
      <c r="M406" s="232" t="n"/>
      <c r="N406" s="233" t="n"/>
      <c r="O406" s="232" t="n"/>
      <c r="P406" s="233" t="n"/>
      <c r="Q406" s="233" t="n"/>
      <c r="R406" s="233" t="n"/>
      <c r="S406" s="232" t="n"/>
      <c r="T406" s="233" t="n"/>
      <c r="U406" s="233" t="n"/>
      <c r="V406" s="233" t="n"/>
      <c r="W406" s="232" t="n"/>
    </row>
    <row r="407" ht="54.95" customFormat="1" customHeight="1" s="235">
      <c r="A407" s="232" t="n"/>
      <c r="B407" s="232" t="n"/>
      <c r="C407" s="232" t="n"/>
      <c r="D407" s="233" t="n"/>
      <c r="E407" s="232" t="n"/>
      <c r="F407" s="233" t="n"/>
      <c r="G407" s="233" t="n"/>
      <c r="H407" s="233" t="n"/>
      <c r="I407" s="232" t="n"/>
      <c r="J407" s="233" t="n"/>
      <c r="K407" s="232" t="n"/>
      <c r="L407" s="232" t="n"/>
      <c r="M407" s="232" t="n"/>
      <c r="N407" s="233" t="n"/>
      <c r="O407" s="232" t="n"/>
      <c r="P407" s="233" t="n"/>
      <c r="Q407" s="233" t="n"/>
      <c r="R407" s="233" t="n"/>
      <c r="S407" s="232" t="n"/>
      <c r="T407" s="233" t="n"/>
      <c r="U407" s="233" t="n"/>
      <c r="V407" s="233" t="n"/>
      <c r="W407" s="232" t="n"/>
    </row>
    <row r="408" ht="54.95" customFormat="1" customHeight="1" s="235">
      <c r="A408" s="234" t="n"/>
      <c r="B408" s="234" t="n"/>
      <c r="C408" s="234" t="n"/>
      <c r="D408" s="234" t="n"/>
      <c r="E408" s="234" t="n"/>
      <c r="F408" s="234" t="n"/>
      <c r="G408" s="234" t="n"/>
      <c r="H408" s="234" t="n"/>
      <c r="I408" s="234" t="n"/>
      <c r="J408" s="234" t="n"/>
      <c r="K408" s="234" t="n"/>
      <c r="L408" s="234" t="n"/>
      <c r="M408" s="232" t="n"/>
      <c r="N408" s="233" t="n"/>
      <c r="O408" s="232" t="n"/>
      <c r="P408" s="234" t="n"/>
      <c r="Q408" s="234" t="n"/>
      <c r="R408" s="234" t="n"/>
      <c r="S408" s="234" t="n"/>
      <c r="T408" s="234" t="n"/>
      <c r="U408" s="234" t="n"/>
      <c r="V408" s="234" t="n"/>
      <c r="W408" s="234" t="n"/>
    </row>
    <row r="409" ht="54.95" customFormat="1" customHeight="1" s="235">
      <c r="A409" s="234" t="n"/>
      <c r="B409" s="234" t="n"/>
      <c r="C409" s="234" t="n"/>
      <c r="D409" s="234" t="n"/>
      <c r="E409" s="234" t="n"/>
      <c r="F409" s="234" t="n"/>
      <c r="G409" s="234" t="n"/>
      <c r="H409" s="234" t="n"/>
      <c r="I409" s="234" t="n"/>
      <c r="J409" s="234" t="n"/>
      <c r="K409" s="234" t="n"/>
      <c r="L409" s="234" t="n"/>
      <c r="M409" s="232" t="n"/>
      <c r="N409" s="233" t="n"/>
      <c r="O409" s="232" t="n"/>
      <c r="P409" s="234" t="n"/>
      <c r="Q409" s="234" t="n"/>
      <c r="R409" s="234" t="n"/>
      <c r="S409" s="234" t="n"/>
      <c r="T409" s="234" t="n"/>
      <c r="U409" s="234" t="n"/>
      <c r="V409" s="234" t="n"/>
      <c r="W409" s="234" t="n"/>
    </row>
    <row r="410" ht="54.95" customFormat="1" customHeight="1" s="235">
      <c r="A410" s="234" t="n"/>
      <c r="B410" s="234" t="n"/>
      <c r="C410" s="234" t="n"/>
      <c r="D410" s="234" t="n"/>
      <c r="E410" s="234" t="n"/>
      <c r="F410" s="234" t="n"/>
      <c r="G410" s="234" t="n"/>
      <c r="H410" s="234" t="n"/>
      <c r="I410" s="234" t="n"/>
      <c r="J410" s="234" t="n"/>
      <c r="K410" s="234" t="n"/>
      <c r="L410" s="234" t="n"/>
      <c r="M410" s="232" t="n"/>
      <c r="N410" s="233" t="n"/>
      <c r="O410" s="232" t="n"/>
      <c r="P410" s="234" t="n"/>
      <c r="Q410" s="234" t="n"/>
      <c r="R410" s="234" t="n"/>
      <c r="S410" s="234" t="n"/>
      <c r="T410" s="234" t="n"/>
      <c r="U410" s="234" t="n"/>
      <c r="V410" s="234" t="n"/>
      <c r="W410" s="234" t="n"/>
    </row>
    <row r="411" ht="54.95" customFormat="1" customHeight="1" s="235">
      <c r="A411" s="232" t="n"/>
      <c r="B411" s="232" t="n"/>
      <c r="C411" s="232" t="n"/>
      <c r="D411" s="233" t="n"/>
      <c r="E411" s="232" t="n"/>
      <c r="F411" s="233" t="n"/>
      <c r="G411" s="233" t="n"/>
      <c r="H411" s="233" t="n"/>
      <c r="I411" s="232" t="n"/>
      <c r="J411" s="233" t="n"/>
      <c r="K411" s="232" t="n"/>
      <c r="L411" s="232" t="n"/>
      <c r="M411" s="232" t="n"/>
      <c r="N411" s="233" t="n"/>
      <c r="O411" s="232" t="n"/>
      <c r="P411" s="233" t="n"/>
      <c r="Q411" s="233" t="n"/>
      <c r="R411" s="233" t="n"/>
      <c r="S411" s="232" t="n"/>
      <c r="T411" s="233" t="n"/>
      <c r="U411" s="233" t="n"/>
      <c r="V411" s="233" t="n"/>
      <c r="W411" s="232" t="n"/>
    </row>
    <row r="412" ht="54.95" customFormat="1" customHeight="1" s="235">
      <c r="A412" s="232" t="n"/>
      <c r="B412" s="232" t="n"/>
      <c r="C412" s="232" t="n"/>
      <c r="D412" s="233" t="n"/>
      <c r="E412" s="232" t="n"/>
      <c r="F412" s="233" t="n"/>
      <c r="G412" s="233" t="n"/>
      <c r="H412" s="233" t="n"/>
      <c r="I412" s="232" t="n"/>
      <c r="J412" s="233" t="n"/>
      <c r="K412" s="232" t="n"/>
      <c r="L412" s="232" t="n"/>
      <c r="M412" s="232" t="n"/>
      <c r="N412" s="233" t="n"/>
      <c r="O412" s="232" t="n"/>
      <c r="P412" s="233" t="n"/>
      <c r="Q412" s="233" t="n"/>
      <c r="R412" s="233" t="n"/>
      <c r="S412" s="232" t="n"/>
      <c r="T412" s="233" t="n"/>
      <c r="U412" s="233" t="n"/>
      <c r="V412" s="233" t="n"/>
      <c r="W412" s="232" t="n"/>
    </row>
    <row r="413" ht="54.95" customFormat="1" customHeight="1" s="235">
      <c r="A413" s="232" t="n"/>
      <c r="B413" s="232" t="n"/>
      <c r="C413" s="232" t="n"/>
      <c r="D413" s="233" t="n"/>
      <c r="E413" s="232" t="n"/>
      <c r="F413" s="233" t="n"/>
      <c r="G413" s="233" t="n"/>
      <c r="H413" s="233" t="n"/>
      <c r="I413" s="232" t="n"/>
      <c r="J413" s="233" t="n"/>
      <c r="K413" s="232" t="n"/>
      <c r="L413" s="232" t="n"/>
      <c r="M413" s="232" t="n"/>
      <c r="N413" s="233" t="n"/>
      <c r="O413" s="232" t="n"/>
      <c r="P413" s="233" t="n"/>
      <c r="Q413" s="233" t="n"/>
      <c r="R413" s="233" t="n"/>
      <c r="S413" s="232" t="n"/>
      <c r="T413" s="233" t="n"/>
      <c r="U413" s="233" t="n"/>
      <c r="V413" s="233" t="n"/>
      <c r="W413" s="232" t="n"/>
    </row>
    <row r="414" ht="54.95" customFormat="1" customHeight="1" s="235">
      <c r="A414" s="232" t="n"/>
      <c r="B414" s="232" t="n"/>
      <c r="C414" s="232" t="n"/>
      <c r="D414" s="233" t="n"/>
      <c r="E414" s="232" t="n"/>
      <c r="F414" s="233" t="n"/>
      <c r="G414" s="233" t="n"/>
      <c r="H414" s="233" t="n"/>
      <c r="I414" s="232" t="n"/>
      <c r="J414" s="233" t="n"/>
      <c r="K414" s="232" t="n"/>
      <c r="L414" s="232" t="n"/>
      <c r="M414" s="232" t="n"/>
      <c r="N414" s="233" t="n"/>
      <c r="O414" s="232" t="n"/>
      <c r="P414" s="233" t="n"/>
      <c r="Q414" s="233" t="n"/>
      <c r="R414" s="233" t="n"/>
      <c r="S414" s="232" t="n"/>
      <c r="T414" s="233" t="n"/>
      <c r="U414" s="233" t="n"/>
      <c r="V414" s="233" t="n"/>
      <c r="W414" s="232" t="n"/>
    </row>
    <row r="415" ht="54.95" customFormat="1" customHeight="1" s="235">
      <c r="A415" s="232" t="n"/>
      <c r="B415" s="232" t="n"/>
      <c r="C415" s="232" t="n"/>
      <c r="D415" s="233" t="n"/>
      <c r="E415" s="232" t="n"/>
      <c r="F415" s="233" t="n"/>
      <c r="G415" s="233" t="n"/>
      <c r="H415" s="233" t="n"/>
      <c r="I415" s="232" t="n"/>
      <c r="J415" s="233" t="n"/>
      <c r="K415" s="232" t="n"/>
      <c r="L415" s="232" t="n"/>
      <c r="M415" s="232" t="n"/>
      <c r="N415" s="233" t="n"/>
      <c r="O415" s="232" t="n"/>
      <c r="P415" s="233" t="n"/>
      <c r="Q415" s="233" t="n"/>
      <c r="R415" s="233" t="n"/>
      <c r="S415" s="232" t="n"/>
      <c r="T415" s="233" t="n"/>
      <c r="U415" s="233" t="n"/>
      <c r="V415" s="233" t="n"/>
      <c r="W415" s="232" t="n"/>
    </row>
    <row r="416" ht="54.95" customFormat="1" customHeight="1" s="235">
      <c r="A416" s="232" t="n"/>
      <c r="B416" s="232" t="n"/>
      <c r="C416" s="232" t="n"/>
      <c r="D416" s="233" t="n"/>
      <c r="E416" s="232" t="n"/>
      <c r="F416" s="233" t="n"/>
      <c r="G416" s="233" t="n"/>
      <c r="H416" s="233" t="n"/>
      <c r="I416" s="232" t="n"/>
      <c r="J416" s="233" t="n"/>
      <c r="K416" s="232" t="n"/>
      <c r="L416" s="232" t="n"/>
      <c r="M416" s="232" t="n"/>
      <c r="N416" s="233" t="n"/>
      <c r="O416" s="232" t="n"/>
      <c r="P416" s="233" t="n"/>
      <c r="Q416" s="233" t="n"/>
      <c r="R416" s="233" t="n"/>
      <c r="S416" s="232" t="n"/>
      <c r="T416" s="233" t="n"/>
      <c r="U416" s="233" t="n"/>
      <c r="V416" s="233" t="n"/>
      <c r="W416" s="232" t="n"/>
    </row>
    <row r="417" ht="54.95" customFormat="1" customHeight="1" s="235">
      <c r="A417" s="232" t="n"/>
      <c r="B417" s="232" t="n"/>
      <c r="C417" s="232" t="n"/>
      <c r="D417" s="233" t="n"/>
      <c r="E417" s="232" t="n"/>
      <c r="F417" s="233" t="n"/>
      <c r="G417" s="233" t="n"/>
      <c r="H417" s="233" t="n"/>
      <c r="I417" s="232" t="n"/>
      <c r="J417" s="233" t="n"/>
      <c r="K417" s="232" t="n"/>
      <c r="L417" s="232" t="n"/>
      <c r="M417" s="232" t="n"/>
      <c r="N417" s="233" t="n"/>
      <c r="O417" s="232" t="n"/>
      <c r="P417" s="233" t="n"/>
      <c r="Q417" s="233" t="n"/>
      <c r="R417" s="233" t="n"/>
      <c r="S417" s="232" t="n"/>
      <c r="T417" s="233" t="n"/>
      <c r="U417" s="233" t="n"/>
      <c r="V417" s="233" t="n"/>
      <c r="W417" s="232" t="n"/>
    </row>
    <row r="418" ht="54.95" customFormat="1" customHeight="1" s="235">
      <c r="A418" s="232" t="n"/>
      <c r="B418" s="232" t="n"/>
      <c r="C418" s="232" t="n"/>
      <c r="D418" s="233" t="n"/>
      <c r="E418" s="232" t="n"/>
      <c r="F418" s="233" t="n"/>
      <c r="G418" s="233" t="n"/>
      <c r="H418" s="233" t="n"/>
      <c r="I418" s="232" t="n"/>
      <c r="J418" s="233" t="n"/>
      <c r="K418" s="232" t="n"/>
      <c r="L418" s="232" t="n"/>
      <c r="M418" s="232" t="n"/>
      <c r="N418" s="233" t="n"/>
      <c r="O418" s="232" t="n"/>
      <c r="P418" s="233" t="n"/>
      <c r="Q418" s="233" t="n"/>
      <c r="R418" s="233" t="n"/>
      <c r="S418" s="232" t="n"/>
      <c r="T418" s="233" t="n"/>
      <c r="U418" s="233" t="n"/>
      <c r="V418" s="233" t="n"/>
      <c r="W418" s="232" t="n"/>
    </row>
    <row r="419" ht="54.95" customFormat="1" customHeight="1" s="235">
      <c r="A419" s="232" t="n"/>
      <c r="B419" s="232" t="n"/>
      <c r="C419" s="232" t="n"/>
      <c r="D419" s="233" t="n"/>
      <c r="E419" s="232" t="n"/>
      <c r="F419" s="233" t="n"/>
      <c r="G419" s="233" t="n"/>
      <c r="H419" s="233" t="n"/>
      <c r="I419" s="232" t="n"/>
      <c r="J419" s="233" t="n"/>
      <c r="K419" s="232" t="n"/>
      <c r="L419" s="232" t="n"/>
      <c r="M419" s="232" t="n"/>
      <c r="N419" s="233" t="n"/>
      <c r="O419" s="232" t="n"/>
      <c r="P419" s="233" t="n"/>
      <c r="Q419" s="233" t="n"/>
      <c r="R419" s="233" t="n"/>
      <c r="S419" s="232" t="n"/>
      <c r="T419" s="233" t="n"/>
      <c r="U419" s="233" t="n"/>
      <c r="V419" s="233" t="n"/>
      <c r="W419" s="232" t="n"/>
    </row>
    <row r="420" ht="54.95" customFormat="1" customHeight="1" s="235">
      <c r="A420" s="232" t="n"/>
      <c r="B420" s="232" t="n"/>
      <c r="C420" s="232" t="n"/>
      <c r="D420" s="233" t="n"/>
      <c r="E420" s="232" t="n"/>
      <c r="F420" s="233" t="n"/>
      <c r="G420" s="233" t="n"/>
      <c r="H420" s="233" t="n"/>
      <c r="I420" s="232" t="n"/>
      <c r="J420" s="233" t="n"/>
      <c r="K420" s="232" t="n"/>
      <c r="L420" s="232" t="n"/>
      <c r="M420" s="232" t="n"/>
      <c r="N420" s="233" t="n"/>
      <c r="O420" s="232" t="n"/>
      <c r="P420" s="233" t="n"/>
      <c r="Q420" s="233" t="n"/>
      <c r="R420" s="233" t="n"/>
      <c r="S420" s="232" t="n"/>
      <c r="T420" s="233" t="n"/>
      <c r="U420" s="233" t="n"/>
      <c r="V420" s="233" t="n"/>
      <c r="W420" s="232" t="n"/>
    </row>
    <row r="421" ht="54.95" customFormat="1" customHeight="1" s="235">
      <c r="A421" s="232" t="n"/>
      <c r="B421" s="232" t="n"/>
      <c r="C421" s="232" t="n"/>
      <c r="D421" s="233" t="n"/>
      <c r="E421" s="232" t="n"/>
      <c r="F421" s="233" t="n"/>
      <c r="G421" s="233" t="n"/>
      <c r="H421" s="233" t="n"/>
      <c r="I421" s="232" t="n"/>
      <c r="J421" s="233" t="n"/>
      <c r="K421" s="232" t="n"/>
      <c r="L421" s="232" t="n"/>
      <c r="M421" s="232" t="n"/>
      <c r="N421" s="233" t="n"/>
      <c r="O421" s="232" t="n"/>
      <c r="P421" s="233" t="n"/>
      <c r="Q421" s="233" t="n"/>
      <c r="R421" s="233" t="n"/>
      <c r="S421" s="232" t="n"/>
      <c r="T421" s="233" t="n"/>
      <c r="U421" s="233" t="n"/>
      <c r="V421" s="233" t="n"/>
      <c r="W421" s="232" t="n"/>
    </row>
    <row r="422" ht="54.95" customFormat="1" customHeight="1" s="235">
      <c r="A422" s="232" t="n"/>
      <c r="B422" s="232" t="n"/>
      <c r="C422" s="232" t="n"/>
      <c r="D422" s="233" t="n"/>
      <c r="E422" s="232" t="n"/>
      <c r="F422" s="233" t="n"/>
      <c r="G422" s="233" t="n"/>
      <c r="H422" s="233" t="n"/>
      <c r="I422" s="232" t="n"/>
      <c r="J422" s="233" t="n"/>
      <c r="K422" s="232" t="n"/>
      <c r="L422" s="232" t="n"/>
      <c r="M422" s="232" t="n"/>
      <c r="N422" s="233" t="n"/>
      <c r="O422" s="232" t="n"/>
      <c r="P422" s="233" t="n"/>
      <c r="Q422" s="233" t="n"/>
      <c r="R422" s="233" t="n"/>
      <c r="S422" s="232" t="n"/>
      <c r="T422" s="233" t="n"/>
      <c r="U422" s="233" t="n"/>
      <c r="V422" s="233" t="n"/>
      <c r="W422" s="232" t="n"/>
    </row>
    <row r="423" ht="54.95" customFormat="1" customHeight="1" s="235">
      <c r="A423" s="232" t="n"/>
      <c r="B423" s="232" t="n"/>
      <c r="C423" s="232" t="n"/>
      <c r="D423" s="233" t="n"/>
      <c r="E423" s="232" t="n"/>
      <c r="F423" s="233" t="n"/>
      <c r="G423" s="233" t="n"/>
      <c r="H423" s="233" t="n"/>
      <c r="I423" s="232" t="n"/>
      <c r="J423" s="233" t="n"/>
      <c r="K423" s="232" t="n"/>
      <c r="L423" s="232" t="n"/>
      <c r="M423" s="232" t="n"/>
      <c r="N423" s="233" t="n"/>
      <c r="O423" s="232" t="n"/>
      <c r="P423" s="233" t="n"/>
      <c r="Q423" s="233" t="n"/>
      <c r="R423" s="233" t="n"/>
      <c r="S423" s="232" t="n"/>
      <c r="T423" s="233" t="n"/>
      <c r="U423" s="233" t="n"/>
      <c r="V423" s="233" t="n"/>
      <c r="W423" s="232" t="n"/>
    </row>
    <row r="424" ht="54.95" customFormat="1" customHeight="1" s="235">
      <c r="A424" s="232" t="n"/>
      <c r="B424" s="232" t="n"/>
      <c r="C424" s="232" t="n"/>
      <c r="D424" s="233" t="n"/>
      <c r="E424" s="232" t="n"/>
      <c r="F424" s="233" t="n"/>
      <c r="G424" s="233" t="n"/>
      <c r="H424" s="233" t="n"/>
      <c r="I424" s="232" t="n"/>
      <c r="J424" s="233" t="n"/>
      <c r="K424" s="232" t="n"/>
      <c r="L424" s="232" t="n"/>
      <c r="M424" s="232" t="n"/>
      <c r="N424" s="233" t="n"/>
      <c r="O424" s="232" t="n"/>
      <c r="P424" s="233" t="n"/>
      <c r="Q424" s="233" t="n"/>
      <c r="R424" s="233" t="n"/>
      <c r="S424" s="232" t="n"/>
      <c r="T424" s="233" t="n"/>
      <c r="U424" s="233" t="n"/>
      <c r="V424" s="233" t="n"/>
      <c r="W424" s="232" t="n"/>
    </row>
    <row r="425" ht="54.95" customFormat="1" customHeight="1" s="235">
      <c r="A425" s="232" t="n"/>
      <c r="B425" s="232" t="n"/>
      <c r="C425" s="232" t="n"/>
      <c r="D425" s="233" t="n"/>
      <c r="E425" s="232" t="n"/>
      <c r="F425" s="233" t="n"/>
      <c r="G425" s="233" t="n"/>
      <c r="H425" s="233" t="n"/>
      <c r="I425" s="232" t="n"/>
      <c r="J425" s="233" t="n"/>
      <c r="K425" s="232" t="n"/>
      <c r="L425" s="232" t="n"/>
      <c r="M425" s="232" t="n"/>
      <c r="N425" s="233" t="n"/>
      <c r="O425" s="232" t="n"/>
      <c r="P425" s="233" t="n"/>
      <c r="Q425" s="233" t="n"/>
      <c r="R425" s="233" t="n"/>
      <c r="S425" s="232" t="n"/>
      <c r="T425" s="233" t="n"/>
      <c r="U425" s="233" t="n"/>
      <c r="V425" s="233" t="n"/>
      <c r="W425" s="232" t="n"/>
    </row>
    <row r="426" ht="54.95" customFormat="1" customHeight="1" s="235">
      <c r="A426" s="232" t="n"/>
      <c r="B426" s="232" t="n"/>
      <c r="C426" s="232" t="n"/>
      <c r="D426" s="233" t="n"/>
      <c r="E426" s="232" t="n"/>
      <c r="F426" s="233" t="n"/>
      <c r="G426" s="233" t="n"/>
      <c r="H426" s="233" t="n"/>
      <c r="I426" s="232" t="n"/>
      <c r="J426" s="233" t="n"/>
      <c r="K426" s="232" t="n"/>
      <c r="L426" s="232" t="n"/>
      <c r="M426" s="232" t="n"/>
      <c r="N426" s="233" t="n"/>
      <c r="O426" s="232" t="n"/>
      <c r="P426" s="233" t="n"/>
      <c r="Q426" s="233" t="n"/>
      <c r="R426" s="233" t="n"/>
      <c r="S426" s="232" t="n"/>
      <c r="T426" s="233" t="n"/>
      <c r="U426" s="233" t="n"/>
      <c r="V426" s="233" t="n"/>
      <c r="W426" s="232" t="n"/>
    </row>
    <row r="427" ht="54.95" customFormat="1" customHeight="1" s="235">
      <c r="A427" s="232" t="n"/>
      <c r="B427" s="232" t="n"/>
      <c r="C427" s="232" t="n"/>
      <c r="D427" s="233" t="n"/>
      <c r="E427" s="232" t="n"/>
      <c r="F427" s="233" t="n"/>
      <c r="G427" s="233" t="n"/>
      <c r="H427" s="233" t="n"/>
      <c r="I427" s="232" t="n"/>
      <c r="J427" s="233" t="n"/>
      <c r="K427" s="232" t="n"/>
      <c r="L427" s="232" t="n"/>
      <c r="M427" s="232" t="n"/>
      <c r="N427" s="233" t="n"/>
      <c r="O427" s="232" t="n"/>
      <c r="P427" s="233" t="n"/>
      <c r="Q427" s="233" t="n"/>
      <c r="R427" s="233" t="n"/>
      <c r="S427" s="232" t="n"/>
      <c r="T427" s="233" t="n"/>
      <c r="U427" s="233" t="n"/>
      <c r="V427" s="233" t="n"/>
      <c r="W427" s="232" t="n"/>
    </row>
    <row r="428" ht="54.95" customFormat="1" customHeight="1" s="235">
      <c r="A428" s="232" t="n"/>
      <c r="B428" s="232" t="n"/>
      <c r="C428" s="232" t="n"/>
      <c r="D428" s="233" t="n"/>
      <c r="E428" s="232" t="n"/>
      <c r="F428" s="233" t="n"/>
      <c r="G428" s="233" t="n"/>
      <c r="H428" s="233" t="n"/>
      <c r="I428" s="232" t="n"/>
      <c r="J428" s="233" t="n"/>
      <c r="K428" s="232" t="n"/>
      <c r="L428" s="232" t="n"/>
      <c r="M428" s="232" t="n"/>
      <c r="N428" s="233" t="n"/>
      <c r="O428" s="232" t="n"/>
      <c r="P428" s="233" t="n"/>
      <c r="Q428" s="233" t="n"/>
      <c r="R428" s="233" t="n"/>
      <c r="S428" s="232" t="n"/>
      <c r="T428" s="233" t="n"/>
      <c r="U428" s="233" t="n"/>
      <c r="V428" s="233" t="n"/>
      <c r="W428" s="232" t="n"/>
    </row>
    <row r="429" ht="54.95" customFormat="1" customHeight="1" s="235">
      <c r="A429" s="232" t="n"/>
      <c r="B429" s="232" t="n"/>
      <c r="C429" s="232" t="n"/>
      <c r="D429" s="233" t="n"/>
      <c r="E429" s="232" t="n"/>
      <c r="F429" s="233" t="n"/>
      <c r="G429" s="233" t="n"/>
      <c r="H429" s="233" t="n"/>
      <c r="I429" s="232" t="n"/>
      <c r="J429" s="233" t="n"/>
      <c r="K429" s="232" t="n"/>
      <c r="L429" s="232" t="n"/>
      <c r="M429" s="232" t="n"/>
      <c r="N429" s="233" t="n"/>
      <c r="O429" s="232" t="n"/>
      <c r="P429" s="233" t="n"/>
      <c r="Q429" s="233" t="n"/>
      <c r="R429" s="233" t="n"/>
      <c r="S429" s="232" t="n"/>
      <c r="T429" s="233" t="n"/>
      <c r="U429" s="233" t="n"/>
      <c r="V429" s="233" t="n"/>
      <c r="W429" s="232" t="n"/>
    </row>
    <row r="430" ht="54.95" customFormat="1" customHeight="1" s="235">
      <c r="A430" s="232" t="n"/>
      <c r="B430" s="232" t="n"/>
      <c r="C430" s="232" t="n"/>
      <c r="D430" s="233" t="n"/>
      <c r="E430" s="232" t="n"/>
      <c r="F430" s="233" t="n"/>
      <c r="G430" s="233" t="n"/>
      <c r="H430" s="233" t="n"/>
      <c r="I430" s="232" t="n"/>
      <c r="J430" s="233" t="n"/>
      <c r="K430" s="232" t="n"/>
      <c r="L430" s="232" t="n"/>
      <c r="M430" s="232" t="n"/>
      <c r="N430" s="233" t="n"/>
      <c r="O430" s="232" t="n"/>
      <c r="P430" s="233" t="n"/>
      <c r="Q430" s="233" t="n"/>
      <c r="R430" s="233" t="n"/>
      <c r="S430" s="232" t="n"/>
      <c r="T430" s="233" t="n"/>
      <c r="U430" s="233" t="n"/>
      <c r="V430" s="233" t="n"/>
      <c r="W430" s="232" t="n"/>
    </row>
    <row r="431" ht="54.95" customFormat="1" customHeight="1" s="235">
      <c r="A431" s="232" t="n"/>
      <c r="B431" s="232" t="n"/>
      <c r="C431" s="232" t="n"/>
      <c r="D431" s="233" t="n"/>
      <c r="E431" s="232" t="n"/>
      <c r="F431" s="233" t="n"/>
      <c r="G431" s="233" t="n"/>
      <c r="H431" s="233" t="n"/>
      <c r="I431" s="232" t="n"/>
      <c r="J431" s="233" t="n"/>
      <c r="K431" s="232" t="n"/>
      <c r="L431" s="232" t="n"/>
      <c r="M431" s="232" t="n"/>
      <c r="N431" s="233" t="n"/>
      <c r="O431" s="232" t="n"/>
      <c r="P431" s="233" t="n"/>
      <c r="Q431" s="233" t="n"/>
      <c r="R431" s="233" t="n"/>
      <c r="S431" s="232" t="n"/>
      <c r="T431" s="233" t="n"/>
      <c r="U431" s="233" t="n"/>
      <c r="V431" s="233" t="n"/>
      <c r="W431" s="232" t="n"/>
    </row>
    <row r="432" ht="54.95" customFormat="1" customHeight="1" s="235">
      <c r="A432" s="232" t="n"/>
      <c r="B432" s="232" t="n"/>
      <c r="C432" s="232" t="n"/>
      <c r="D432" s="233" t="n"/>
      <c r="E432" s="232" t="n"/>
      <c r="F432" s="233" t="n"/>
      <c r="G432" s="233" t="n"/>
      <c r="H432" s="233" t="n"/>
      <c r="I432" s="232" t="n"/>
      <c r="J432" s="233" t="n"/>
      <c r="K432" s="232" t="n"/>
      <c r="L432" s="232" t="n"/>
      <c r="M432" s="232" t="n"/>
      <c r="N432" s="233" t="n"/>
      <c r="O432" s="232" t="n"/>
      <c r="P432" s="233" t="n"/>
      <c r="Q432" s="233" t="n"/>
      <c r="R432" s="233" t="n"/>
      <c r="S432" s="232" t="n"/>
      <c r="T432" s="233" t="n"/>
      <c r="U432" s="233" t="n"/>
      <c r="V432" s="233" t="n"/>
      <c r="W432" s="232" t="n"/>
    </row>
    <row r="433" ht="54.95" customFormat="1" customHeight="1" s="235">
      <c r="A433" s="232" t="n"/>
      <c r="B433" s="232" t="n"/>
      <c r="C433" s="232" t="n"/>
      <c r="D433" s="233" t="n"/>
      <c r="E433" s="232" t="n"/>
      <c r="F433" s="233" t="n"/>
      <c r="G433" s="233" t="n"/>
      <c r="H433" s="233" t="n"/>
      <c r="I433" s="232" t="n"/>
      <c r="J433" s="233" t="n"/>
      <c r="K433" s="232" t="n"/>
      <c r="L433" s="232" t="n"/>
      <c r="M433" s="232" t="n"/>
      <c r="N433" s="233" t="n"/>
      <c r="O433" s="232" t="n"/>
      <c r="P433" s="233" t="n"/>
      <c r="Q433" s="233" t="n"/>
      <c r="R433" s="233" t="n"/>
      <c r="S433" s="232" t="n"/>
      <c r="T433" s="233" t="n"/>
      <c r="U433" s="233" t="n"/>
      <c r="V433" s="233" t="n"/>
      <c r="W433" s="232" t="n"/>
    </row>
    <row r="434" ht="54.95" customFormat="1" customHeight="1" s="235">
      <c r="A434" s="232" t="n"/>
      <c r="B434" s="232" t="n"/>
      <c r="C434" s="232" t="n"/>
      <c r="D434" s="233" t="n"/>
      <c r="E434" s="232" t="n"/>
      <c r="F434" s="233" t="n"/>
      <c r="G434" s="233" t="n"/>
      <c r="H434" s="233" t="n"/>
      <c r="I434" s="232" t="n"/>
      <c r="J434" s="233" t="n"/>
      <c r="K434" s="232" t="n"/>
      <c r="L434" s="232" t="n"/>
      <c r="M434" s="232" t="n"/>
      <c r="N434" s="233" t="n"/>
      <c r="O434" s="232" t="n"/>
      <c r="P434" s="233" t="n"/>
      <c r="Q434" s="233" t="n"/>
      <c r="R434" s="233" t="n"/>
      <c r="S434" s="232" t="n"/>
      <c r="T434" s="233" t="n"/>
      <c r="U434" s="233" t="n"/>
      <c r="V434" s="233" t="n"/>
      <c r="W434" s="232" t="n"/>
    </row>
    <row r="435" ht="54.95" customFormat="1" customHeight="1" s="235">
      <c r="A435" s="232" t="n"/>
      <c r="B435" s="232" t="n"/>
      <c r="C435" s="232" t="n"/>
      <c r="D435" s="233" t="n"/>
      <c r="E435" s="232" t="n"/>
      <c r="F435" s="233" t="n"/>
      <c r="G435" s="233" t="n"/>
      <c r="H435" s="233" t="n"/>
      <c r="I435" s="232" t="n"/>
      <c r="J435" s="233" t="n"/>
      <c r="K435" s="232" t="n"/>
      <c r="L435" s="232" t="n"/>
      <c r="M435" s="232" t="n"/>
      <c r="N435" s="233" t="n"/>
      <c r="O435" s="232" t="n"/>
      <c r="P435" s="233" t="n"/>
      <c r="Q435" s="233" t="n"/>
      <c r="R435" s="233" t="n"/>
      <c r="S435" s="232" t="n"/>
      <c r="T435" s="233" t="n"/>
      <c r="U435" s="233" t="n"/>
      <c r="V435" s="233" t="n"/>
      <c r="W435" s="232" t="n"/>
    </row>
    <row r="436" ht="54.95" customFormat="1" customHeight="1" s="235">
      <c r="A436" s="232" t="n"/>
      <c r="B436" s="232" t="n"/>
      <c r="C436" s="232" t="n"/>
      <c r="D436" s="233" t="n"/>
      <c r="E436" s="232" t="n"/>
      <c r="F436" s="233" t="n"/>
      <c r="G436" s="233" t="n"/>
      <c r="H436" s="233" t="n"/>
      <c r="I436" s="232" t="n"/>
      <c r="J436" s="233" t="n"/>
      <c r="K436" s="232" t="n"/>
      <c r="L436" s="232" t="n"/>
      <c r="M436" s="232" t="n"/>
      <c r="N436" s="233" t="n"/>
      <c r="O436" s="232" t="n"/>
      <c r="P436" s="233" t="n"/>
      <c r="Q436" s="233" t="n"/>
      <c r="R436" s="233" t="n"/>
      <c r="S436" s="232" t="n"/>
      <c r="T436" s="233" t="n"/>
      <c r="U436" s="233" t="n"/>
      <c r="V436" s="233" t="n"/>
      <c r="W436" s="232" t="n"/>
    </row>
    <row r="437" ht="54.95" customFormat="1" customHeight="1" s="235">
      <c r="A437" s="232" t="n"/>
      <c r="B437" s="232" t="n"/>
      <c r="C437" s="232" t="n"/>
      <c r="D437" s="233" t="n"/>
      <c r="E437" s="232" t="n"/>
      <c r="F437" s="233" t="n"/>
      <c r="G437" s="233" t="n"/>
      <c r="H437" s="233" t="n"/>
      <c r="I437" s="232" t="n"/>
      <c r="J437" s="233" t="n"/>
      <c r="K437" s="232" t="n"/>
      <c r="L437" s="232" t="n"/>
      <c r="M437" s="232" t="n"/>
      <c r="N437" s="233" t="n"/>
      <c r="O437" s="232" t="n"/>
      <c r="P437" s="233" t="n"/>
      <c r="Q437" s="233" t="n"/>
      <c r="R437" s="233" t="n"/>
      <c r="S437" s="232" t="n"/>
      <c r="T437" s="233" t="n"/>
      <c r="U437" s="233" t="n"/>
      <c r="V437" s="233" t="n"/>
      <c r="W437" s="232" t="n"/>
    </row>
    <row r="438" ht="54.95" customFormat="1" customHeight="1" s="235">
      <c r="A438" s="234" t="n"/>
      <c r="B438" s="234" t="n"/>
      <c r="C438" s="234" t="n"/>
      <c r="D438" s="234" t="n"/>
      <c r="E438" s="234" t="n"/>
      <c r="F438" s="234" t="n"/>
      <c r="G438" s="234" t="n"/>
      <c r="H438" s="234" t="n"/>
      <c r="I438" s="234" t="n"/>
      <c r="J438" s="234" t="n"/>
      <c r="K438" s="234" t="n"/>
      <c r="L438" s="234" t="n"/>
      <c r="M438" s="232" t="n"/>
      <c r="N438" s="233" t="n"/>
      <c r="O438" s="232" t="n"/>
      <c r="P438" s="234" t="n"/>
      <c r="Q438" s="234" t="n"/>
      <c r="R438" s="234" t="n"/>
      <c r="S438" s="234" t="n"/>
      <c r="T438" s="234" t="n"/>
      <c r="U438" s="234" t="n"/>
      <c r="V438" s="234" t="n"/>
      <c r="W438" s="234" t="n"/>
    </row>
    <row r="439" ht="54.95" customFormat="1" customHeight="1" s="235">
      <c r="A439" s="234" t="n"/>
      <c r="B439" s="234" t="n"/>
      <c r="C439" s="234" t="n"/>
      <c r="D439" s="234" t="n"/>
      <c r="E439" s="234" t="n"/>
      <c r="F439" s="234" t="n"/>
      <c r="G439" s="234" t="n"/>
      <c r="H439" s="234" t="n"/>
      <c r="I439" s="234" t="n"/>
      <c r="J439" s="234" t="n"/>
      <c r="K439" s="234" t="n"/>
      <c r="L439" s="234" t="n"/>
      <c r="M439" s="232" t="n"/>
      <c r="N439" s="233" t="n"/>
      <c r="O439" s="232" t="n"/>
      <c r="P439" s="234" t="n"/>
      <c r="Q439" s="234" t="n"/>
      <c r="R439" s="234" t="n"/>
      <c r="S439" s="234" t="n"/>
      <c r="T439" s="234" t="n"/>
      <c r="U439" s="234" t="n"/>
      <c r="V439" s="234" t="n"/>
      <c r="W439" s="234" t="n"/>
    </row>
    <row r="440" ht="54.95" customFormat="1" customHeight="1" s="235">
      <c r="A440" s="234" t="n"/>
      <c r="B440" s="234" t="n"/>
      <c r="C440" s="234" t="n"/>
      <c r="D440" s="234" t="n"/>
      <c r="E440" s="234" t="n"/>
      <c r="F440" s="234" t="n"/>
      <c r="G440" s="234" t="n"/>
      <c r="H440" s="234" t="n"/>
      <c r="I440" s="234" t="n"/>
      <c r="J440" s="234" t="n"/>
      <c r="K440" s="234" t="n"/>
      <c r="L440" s="234" t="n"/>
      <c r="M440" s="232" t="n"/>
      <c r="N440" s="233" t="n"/>
      <c r="O440" s="232" t="n"/>
      <c r="P440" s="234" t="n"/>
      <c r="Q440" s="234" t="n"/>
      <c r="R440" s="234" t="n"/>
      <c r="S440" s="234" t="n"/>
      <c r="T440" s="234" t="n"/>
      <c r="U440" s="234" t="n"/>
      <c r="V440" s="234" t="n"/>
      <c r="W440" s="234" t="n"/>
    </row>
    <row r="441" ht="54.95" customFormat="1" customHeight="1" s="235">
      <c r="A441" s="234" t="n"/>
      <c r="B441" s="234" t="n"/>
      <c r="C441" s="234" t="n"/>
      <c r="D441" s="234" t="n"/>
      <c r="E441" s="234" t="n"/>
      <c r="F441" s="234" t="n"/>
      <c r="G441" s="234" t="n"/>
      <c r="H441" s="234" t="n"/>
      <c r="I441" s="234" t="n"/>
      <c r="J441" s="234" t="n"/>
      <c r="K441" s="234" t="n"/>
      <c r="L441" s="234" t="n"/>
      <c r="M441" s="232" t="n"/>
      <c r="N441" s="233" t="n"/>
      <c r="O441" s="232" t="n"/>
      <c r="P441" s="234" t="n"/>
      <c r="Q441" s="234" t="n"/>
      <c r="R441" s="234" t="n"/>
      <c r="S441" s="234" t="n"/>
      <c r="T441" s="234" t="n"/>
      <c r="U441" s="234" t="n"/>
      <c r="V441" s="234" t="n"/>
      <c r="W441" s="234" t="n"/>
    </row>
    <row r="442" ht="54.95" customFormat="1" customHeight="1" s="235">
      <c r="A442" s="232" t="n"/>
      <c r="B442" s="232" t="n"/>
      <c r="C442" s="232" t="n"/>
      <c r="D442" s="233" t="n"/>
      <c r="E442" s="232" t="n"/>
      <c r="F442" s="233" t="n"/>
      <c r="G442" s="233" t="n"/>
      <c r="H442" s="233" t="n"/>
      <c r="I442" s="232" t="n"/>
      <c r="J442" s="233" t="n"/>
      <c r="K442" s="232" t="n"/>
      <c r="L442" s="232" t="n"/>
      <c r="M442" s="232" t="n"/>
      <c r="N442" s="233" t="n"/>
      <c r="O442" s="232" t="n"/>
      <c r="P442" s="233" t="n"/>
      <c r="Q442" s="233" t="n"/>
      <c r="R442" s="233" t="n"/>
      <c r="S442" s="232" t="n"/>
      <c r="T442" s="233" t="n"/>
      <c r="U442" s="233" t="n"/>
      <c r="V442" s="233" t="n"/>
      <c r="W442" s="232" t="n"/>
    </row>
    <row r="443" ht="54.95" customFormat="1" customHeight="1" s="235">
      <c r="A443" s="232" t="n"/>
      <c r="B443" s="232" t="n"/>
      <c r="C443" s="232" t="n"/>
      <c r="D443" s="233" t="n"/>
      <c r="E443" s="232" t="n"/>
      <c r="F443" s="233" t="n"/>
      <c r="G443" s="233" t="n"/>
      <c r="H443" s="233" t="n"/>
      <c r="I443" s="232" t="n"/>
      <c r="J443" s="233" t="n"/>
      <c r="K443" s="232" t="n"/>
      <c r="L443" s="232" t="n"/>
      <c r="M443" s="232" t="n"/>
      <c r="N443" s="233" t="n"/>
      <c r="O443" s="232" t="n"/>
      <c r="P443" s="233" t="n"/>
      <c r="Q443" s="233" t="n"/>
      <c r="R443" s="233" t="n"/>
      <c r="S443" s="232" t="n"/>
      <c r="T443" s="233" t="n"/>
      <c r="U443" s="233" t="n"/>
      <c r="V443" s="233" t="n"/>
      <c r="W443" s="232" t="n"/>
    </row>
    <row r="444" ht="54.95" customFormat="1" customHeight="1" s="235">
      <c r="A444" s="232" t="n"/>
      <c r="B444" s="232" t="n"/>
      <c r="C444" s="232" t="n"/>
      <c r="D444" s="233" t="n"/>
      <c r="E444" s="232" t="n"/>
      <c r="F444" s="233" t="n"/>
      <c r="G444" s="233" t="n"/>
      <c r="H444" s="233" t="n"/>
      <c r="I444" s="232" t="n"/>
      <c r="J444" s="233" t="n"/>
      <c r="K444" s="232" t="n"/>
      <c r="L444" s="232" t="n"/>
      <c r="M444" s="232" t="n"/>
      <c r="N444" s="233" t="n"/>
      <c r="O444" s="232" t="n"/>
      <c r="P444" s="233" t="n"/>
      <c r="Q444" s="233" t="n"/>
      <c r="R444" s="233" t="n"/>
      <c r="S444" s="232" t="n"/>
      <c r="T444" s="233" t="n"/>
      <c r="U444" s="233" t="n"/>
      <c r="V444" s="233" t="n"/>
      <c r="W444" s="232" t="n"/>
    </row>
    <row r="445" ht="54.95" customFormat="1" customHeight="1" s="235">
      <c r="A445" s="232" t="n"/>
      <c r="B445" s="232" t="n"/>
      <c r="C445" s="232" t="n"/>
      <c r="D445" s="233" t="n"/>
      <c r="E445" s="232" t="n"/>
      <c r="F445" s="233" t="n"/>
      <c r="G445" s="233" t="n"/>
      <c r="H445" s="233" t="n"/>
      <c r="I445" s="232" t="n"/>
      <c r="J445" s="233" t="n"/>
      <c r="K445" s="232" t="n"/>
      <c r="L445" s="232" t="n"/>
      <c r="M445" s="232" t="n"/>
      <c r="N445" s="233" t="n"/>
      <c r="O445" s="232" t="n"/>
      <c r="P445" s="233" t="n"/>
      <c r="Q445" s="233" t="n"/>
      <c r="R445" s="233" t="n"/>
      <c r="S445" s="232" t="n"/>
      <c r="T445" s="233" t="n"/>
      <c r="U445" s="233" t="n"/>
      <c r="V445" s="233" t="n"/>
      <c r="W445" s="232" t="n"/>
    </row>
    <row r="446" ht="54.95" customFormat="1" customHeight="1" s="235">
      <c r="A446" s="234" t="n"/>
      <c r="B446" s="234" t="n"/>
      <c r="C446" s="234" t="n"/>
      <c r="D446" s="234" t="n"/>
      <c r="E446" s="234" t="n"/>
      <c r="F446" s="234" t="n"/>
      <c r="G446" s="234" t="n"/>
      <c r="H446" s="234" t="n"/>
      <c r="I446" s="234" t="n"/>
      <c r="J446" s="234" t="n"/>
      <c r="K446" s="234" t="n"/>
      <c r="L446" s="234" t="n"/>
      <c r="M446" s="232" t="n"/>
      <c r="N446" s="233" t="n"/>
      <c r="O446" s="232" t="n"/>
      <c r="P446" s="234" t="n"/>
      <c r="Q446" s="234" t="n"/>
      <c r="R446" s="234" t="n"/>
      <c r="S446" s="234" t="n"/>
      <c r="T446" s="234" t="n"/>
      <c r="U446" s="234" t="n"/>
      <c r="V446" s="234" t="n"/>
      <c r="W446" s="234" t="n"/>
    </row>
    <row r="447" ht="54.95" customFormat="1" customHeight="1" s="235">
      <c r="A447" s="234" t="n"/>
      <c r="B447" s="234" t="n"/>
      <c r="C447" s="234" t="n"/>
      <c r="D447" s="234" t="n"/>
      <c r="E447" s="234" t="n"/>
      <c r="F447" s="234" t="n"/>
      <c r="G447" s="234" t="n"/>
      <c r="H447" s="234" t="n"/>
      <c r="I447" s="234" t="n"/>
      <c r="J447" s="234" t="n"/>
      <c r="K447" s="234" t="n"/>
      <c r="L447" s="234" t="n"/>
      <c r="M447" s="232" t="n"/>
      <c r="N447" s="233" t="n"/>
      <c r="O447" s="232" t="n"/>
      <c r="P447" s="234" t="n"/>
      <c r="Q447" s="234" t="n"/>
      <c r="R447" s="234" t="n"/>
      <c r="S447" s="234" t="n"/>
      <c r="T447" s="234" t="n"/>
      <c r="U447" s="234" t="n"/>
      <c r="V447" s="234" t="n"/>
      <c r="W447" s="234" t="n"/>
    </row>
    <row r="448" ht="54.95" customFormat="1" customHeight="1" s="235">
      <c r="A448" s="232" t="n"/>
      <c r="B448" s="232" t="n"/>
      <c r="C448" s="232" t="n"/>
      <c r="D448" s="233" t="n"/>
      <c r="E448" s="232" t="n"/>
      <c r="F448" s="233" t="n"/>
      <c r="G448" s="233" t="n"/>
      <c r="H448" s="233" t="n"/>
      <c r="I448" s="232" t="n"/>
      <c r="J448" s="233" t="n"/>
      <c r="K448" s="232" t="n"/>
      <c r="L448" s="232" t="n"/>
      <c r="M448" s="232" t="n"/>
      <c r="N448" s="233" t="n"/>
      <c r="O448" s="232" t="n"/>
      <c r="P448" s="233" t="n"/>
      <c r="Q448" s="233" t="n"/>
      <c r="R448" s="233" t="n"/>
      <c r="S448" s="232" t="n"/>
      <c r="T448" s="233" t="n"/>
      <c r="U448" s="233" t="n"/>
      <c r="V448" s="233" t="n"/>
      <c r="W448" s="232" t="n"/>
    </row>
    <row r="449" ht="54.95" customFormat="1" customHeight="1" s="235">
      <c r="A449" s="234" t="n"/>
      <c r="B449" s="234" t="n"/>
      <c r="C449" s="234" t="n"/>
      <c r="D449" s="234" t="n"/>
      <c r="E449" s="234" t="n"/>
      <c r="F449" s="234" t="n"/>
      <c r="G449" s="234" t="n"/>
      <c r="H449" s="234" t="n"/>
      <c r="I449" s="234" t="n"/>
      <c r="J449" s="234" t="n"/>
      <c r="K449" s="234" t="n"/>
      <c r="L449" s="234" t="n"/>
      <c r="M449" s="232" t="n"/>
      <c r="N449" s="233" t="n"/>
      <c r="O449" s="232" t="n"/>
      <c r="P449" s="234" t="n"/>
      <c r="Q449" s="234" t="n"/>
      <c r="R449" s="234" t="n"/>
      <c r="S449" s="234" t="n"/>
      <c r="T449" s="234" t="n"/>
      <c r="U449" s="234" t="n"/>
      <c r="V449" s="234" t="n"/>
      <c r="W449" s="234" t="n"/>
    </row>
    <row r="450" ht="54.95" customFormat="1" customHeight="1" s="235">
      <c r="A450" s="234" t="n"/>
      <c r="B450" s="234" t="n"/>
      <c r="C450" s="234" t="n"/>
      <c r="D450" s="234" t="n"/>
      <c r="E450" s="234" t="n"/>
      <c r="F450" s="234" t="n"/>
      <c r="G450" s="234" t="n"/>
      <c r="H450" s="234" t="n"/>
      <c r="I450" s="234" t="n"/>
      <c r="J450" s="234" t="n"/>
      <c r="K450" s="234" t="n"/>
      <c r="L450" s="234" t="n"/>
      <c r="M450" s="232" t="n"/>
      <c r="N450" s="233" t="n"/>
      <c r="O450" s="232" t="n"/>
      <c r="P450" s="234" t="n"/>
      <c r="Q450" s="234" t="n"/>
      <c r="R450" s="234" t="n"/>
      <c r="S450" s="234" t="n"/>
      <c r="T450" s="234" t="n"/>
      <c r="U450" s="234" t="n"/>
      <c r="V450" s="234" t="n"/>
      <c r="W450" s="234" t="n"/>
    </row>
    <row r="451" ht="54.95" customFormat="1" customHeight="1" s="235">
      <c r="A451" s="232" t="n"/>
      <c r="B451" s="232" t="n"/>
      <c r="C451" s="232" t="n"/>
      <c r="D451" s="233" t="n"/>
      <c r="E451" s="232" t="n"/>
      <c r="F451" s="233" t="n"/>
      <c r="G451" s="233" t="n"/>
      <c r="H451" s="233" t="n"/>
      <c r="I451" s="232" t="n"/>
      <c r="J451" s="233" t="n"/>
      <c r="K451" s="232" t="n"/>
      <c r="L451" s="232" t="n"/>
      <c r="M451" s="232" t="n"/>
      <c r="N451" s="233" t="n"/>
      <c r="O451" s="232" t="n"/>
      <c r="P451" s="233" t="n"/>
      <c r="Q451" s="233" t="n"/>
      <c r="R451" s="233" t="n"/>
      <c r="S451" s="232" t="n"/>
      <c r="T451" s="233" t="n"/>
      <c r="U451" s="233" t="n"/>
      <c r="V451" s="233" t="n"/>
      <c r="W451" s="232" t="n"/>
    </row>
    <row r="452" ht="54.95" customFormat="1" customHeight="1" s="235">
      <c r="A452" s="232" t="n"/>
      <c r="B452" s="232" t="n"/>
      <c r="C452" s="232" t="n"/>
      <c r="D452" s="233" t="n"/>
      <c r="E452" s="232" t="n"/>
      <c r="F452" s="233" t="n"/>
      <c r="G452" s="233" t="n"/>
      <c r="H452" s="233" t="n"/>
      <c r="I452" s="232" t="n"/>
      <c r="J452" s="233" t="n"/>
      <c r="K452" s="232" t="n"/>
      <c r="L452" s="232" t="n"/>
      <c r="M452" s="232" t="n"/>
      <c r="N452" s="233" t="n"/>
      <c r="O452" s="232" t="n"/>
      <c r="P452" s="233" t="n"/>
      <c r="Q452" s="233" t="n"/>
      <c r="R452" s="233" t="n"/>
      <c r="S452" s="232" t="n"/>
      <c r="T452" s="233" t="n"/>
      <c r="U452" s="233" t="n"/>
      <c r="V452" s="233" t="n"/>
      <c r="W452" s="232" t="n"/>
    </row>
    <row r="453" ht="54.95" customFormat="1" customHeight="1" s="235">
      <c r="A453" s="234" t="n"/>
      <c r="B453" s="234" t="n"/>
      <c r="C453" s="234" t="n"/>
      <c r="D453" s="234" t="n"/>
      <c r="E453" s="234" t="n"/>
      <c r="F453" s="234" t="n"/>
      <c r="G453" s="234" t="n"/>
      <c r="H453" s="234" t="n"/>
      <c r="I453" s="234" t="n"/>
      <c r="J453" s="234" t="n"/>
      <c r="K453" s="234" t="n"/>
      <c r="L453" s="234" t="n"/>
      <c r="M453" s="232" t="n"/>
      <c r="N453" s="233" t="n"/>
      <c r="O453" s="232" t="n"/>
      <c r="P453" s="234" t="n"/>
      <c r="Q453" s="234" t="n"/>
      <c r="R453" s="234" t="n"/>
      <c r="S453" s="234" t="n"/>
      <c r="T453" s="234" t="n"/>
      <c r="U453" s="234" t="n"/>
      <c r="V453" s="234" t="n"/>
      <c r="W453" s="234" t="n"/>
    </row>
    <row r="454" ht="54.95" customFormat="1" customHeight="1" s="235">
      <c r="A454" s="234" t="n"/>
      <c r="B454" s="234" t="n"/>
      <c r="C454" s="234" t="n"/>
      <c r="D454" s="234" t="n"/>
      <c r="E454" s="234" t="n"/>
      <c r="F454" s="234" t="n"/>
      <c r="G454" s="234" t="n"/>
      <c r="H454" s="234" t="n"/>
      <c r="I454" s="234" t="n"/>
      <c r="J454" s="234" t="n"/>
      <c r="K454" s="234" t="n"/>
      <c r="L454" s="234" t="n"/>
      <c r="M454" s="232" t="n"/>
      <c r="N454" s="233" t="n"/>
      <c r="O454" s="232" t="n"/>
      <c r="P454" s="234" t="n"/>
      <c r="Q454" s="234" t="n"/>
      <c r="R454" s="234" t="n"/>
      <c r="S454" s="234" t="n"/>
      <c r="T454" s="234" t="n"/>
      <c r="U454" s="234" t="n"/>
      <c r="V454" s="234" t="n"/>
      <c r="W454" s="234" t="n"/>
    </row>
    <row r="455" ht="54.95" customFormat="1" customHeight="1" s="235">
      <c r="A455" s="234" t="n"/>
      <c r="B455" s="234" t="n"/>
      <c r="C455" s="234" t="n"/>
      <c r="D455" s="234" t="n"/>
      <c r="E455" s="234" t="n"/>
      <c r="F455" s="234" t="n"/>
      <c r="G455" s="234" t="n"/>
      <c r="H455" s="234" t="n"/>
      <c r="I455" s="234" t="n"/>
      <c r="J455" s="234" t="n"/>
      <c r="K455" s="234" t="n"/>
      <c r="L455" s="234" t="n"/>
      <c r="M455" s="232" t="n"/>
      <c r="N455" s="233" t="n"/>
      <c r="O455" s="232" t="n"/>
      <c r="P455" s="234" t="n"/>
      <c r="Q455" s="234" t="n"/>
      <c r="R455" s="234" t="n"/>
      <c r="S455" s="234" t="n"/>
      <c r="T455" s="234" t="n"/>
      <c r="U455" s="234" t="n"/>
      <c r="V455" s="234" t="n"/>
      <c r="W455" s="234" t="n"/>
    </row>
    <row r="456" ht="54.95" customFormat="1" customHeight="1" s="235">
      <c r="A456" s="234" t="n"/>
      <c r="B456" s="234" t="n"/>
      <c r="C456" s="234" t="n"/>
      <c r="D456" s="234" t="n"/>
      <c r="E456" s="234" t="n"/>
      <c r="F456" s="234" t="n"/>
      <c r="G456" s="234" t="n"/>
      <c r="H456" s="234" t="n"/>
      <c r="I456" s="234" t="n"/>
      <c r="J456" s="234" t="n"/>
      <c r="K456" s="234" t="n"/>
      <c r="L456" s="234" t="n"/>
      <c r="M456" s="232" t="n"/>
      <c r="N456" s="233" t="n"/>
      <c r="O456" s="232" t="n"/>
      <c r="P456" s="234" t="n"/>
      <c r="Q456" s="234" t="n"/>
      <c r="R456" s="234" t="n"/>
      <c r="S456" s="234" t="n"/>
      <c r="T456" s="234" t="n"/>
      <c r="U456" s="234" t="n"/>
      <c r="V456" s="234" t="n"/>
      <c r="W456" s="234" t="n"/>
    </row>
    <row r="457" ht="54.95" customFormat="1" customHeight="1" s="235">
      <c r="A457" s="234" t="n"/>
      <c r="B457" s="234" t="n"/>
      <c r="C457" s="234" t="n"/>
      <c r="D457" s="234" t="n"/>
      <c r="E457" s="234" t="n"/>
      <c r="F457" s="234" t="n"/>
      <c r="G457" s="234" t="n"/>
      <c r="H457" s="234" t="n"/>
      <c r="I457" s="234" t="n"/>
      <c r="J457" s="234" t="n"/>
      <c r="K457" s="234" t="n"/>
      <c r="L457" s="234" t="n"/>
      <c r="M457" s="232" t="n"/>
      <c r="N457" s="233" t="n"/>
      <c r="O457" s="232" t="n"/>
      <c r="P457" s="234" t="n"/>
      <c r="Q457" s="234" t="n"/>
      <c r="R457" s="234" t="n"/>
      <c r="S457" s="234" t="n"/>
      <c r="T457" s="234" t="n"/>
      <c r="U457" s="234" t="n"/>
      <c r="V457" s="234" t="n"/>
      <c r="W457" s="234" t="n"/>
    </row>
    <row r="458" ht="54.95" customFormat="1" customHeight="1" s="235">
      <c r="A458" s="234" t="n"/>
      <c r="B458" s="234" t="n"/>
      <c r="C458" s="234" t="n"/>
      <c r="D458" s="234" t="n"/>
      <c r="E458" s="234" t="n"/>
      <c r="F458" s="234" t="n"/>
      <c r="G458" s="234" t="n"/>
      <c r="H458" s="234" t="n"/>
      <c r="I458" s="234" t="n"/>
      <c r="J458" s="234" t="n"/>
      <c r="K458" s="234" t="n"/>
      <c r="L458" s="234" t="n"/>
      <c r="M458" s="232" t="n"/>
      <c r="N458" s="233" t="n"/>
      <c r="O458" s="232" t="n"/>
      <c r="P458" s="234" t="n"/>
      <c r="Q458" s="234" t="n"/>
      <c r="R458" s="234" t="n"/>
      <c r="S458" s="234" t="n"/>
      <c r="T458" s="234" t="n"/>
      <c r="U458" s="234" t="n"/>
      <c r="V458" s="234" t="n"/>
      <c r="W458" s="234" t="n"/>
    </row>
    <row r="459" ht="54.95" customFormat="1" customHeight="1" s="235">
      <c r="A459" s="232" t="n"/>
      <c r="B459" s="232" t="n"/>
      <c r="C459" s="232" t="n"/>
      <c r="D459" s="233" t="n"/>
      <c r="E459" s="232" t="n"/>
      <c r="F459" s="233" t="n"/>
      <c r="G459" s="233" t="n"/>
      <c r="H459" s="233" t="n"/>
      <c r="I459" s="232" t="n"/>
      <c r="J459" s="233" t="n"/>
      <c r="K459" s="232" t="n"/>
      <c r="L459" s="232" t="n"/>
      <c r="M459" s="232" t="n"/>
      <c r="N459" s="233" t="n"/>
      <c r="O459" s="232" t="n"/>
      <c r="P459" s="233" t="n"/>
      <c r="Q459" s="233" t="n"/>
      <c r="R459" s="233" t="n"/>
      <c r="S459" s="232" t="n"/>
      <c r="T459" s="233" t="n"/>
      <c r="U459" s="233" t="n"/>
      <c r="V459" s="233" t="n"/>
      <c r="W459" s="232" t="n"/>
    </row>
    <row r="460" ht="54.95" customFormat="1" customHeight="1" s="235">
      <c r="A460" s="232" t="n"/>
      <c r="B460" s="232" t="n"/>
      <c r="C460" s="232" t="n"/>
      <c r="D460" s="233" t="n"/>
      <c r="E460" s="232" t="n"/>
      <c r="F460" s="233" t="n"/>
      <c r="G460" s="233" t="n"/>
      <c r="H460" s="233" t="n"/>
      <c r="I460" s="232" t="n"/>
      <c r="J460" s="233" t="n"/>
      <c r="K460" s="232" t="n"/>
      <c r="L460" s="232" t="n"/>
      <c r="M460" s="232" t="n"/>
      <c r="N460" s="233" t="n"/>
      <c r="O460" s="232" t="n"/>
      <c r="P460" s="233" t="n"/>
      <c r="Q460" s="233" t="n"/>
      <c r="R460" s="233" t="n"/>
      <c r="S460" s="232" t="n"/>
      <c r="T460" s="233" t="n"/>
      <c r="U460" s="233" t="n"/>
      <c r="V460" s="233" t="n"/>
      <c r="W460" s="232" t="n"/>
    </row>
    <row r="461" ht="54.95" customFormat="1" customHeight="1" s="235">
      <c r="A461" s="234" t="n"/>
      <c r="B461" s="234" t="n"/>
      <c r="C461" s="234" t="n"/>
      <c r="D461" s="234" t="n"/>
      <c r="E461" s="234" t="n"/>
      <c r="F461" s="234" t="n"/>
      <c r="G461" s="234" t="n"/>
      <c r="H461" s="234" t="n"/>
      <c r="I461" s="234" t="n"/>
      <c r="J461" s="234" t="n"/>
      <c r="K461" s="234" t="n"/>
      <c r="L461" s="234" t="n"/>
      <c r="M461" s="232" t="n"/>
      <c r="N461" s="233" t="n"/>
      <c r="O461" s="232" t="n"/>
      <c r="P461" s="234" t="n"/>
      <c r="Q461" s="234" t="n"/>
      <c r="R461" s="234" t="n"/>
      <c r="S461" s="234" t="n"/>
      <c r="T461" s="234" t="n"/>
      <c r="U461" s="234" t="n"/>
      <c r="V461" s="234" t="n"/>
      <c r="W461" s="234" t="n"/>
    </row>
    <row r="462" ht="54.95" customFormat="1" customHeight="1" s="235">
      <c r="A462" s="232" t="n"/>
      <c r="B462" s="232" t="n"/>
      <c r="C462" s="232" t="n"/>
      <c r="D462" s="233" t="n"/>
      <c r="E462" s="232" t="n"/>
      <c r="F462" s="233" t="n"/>
      <c r="G462" s="233" t="n"/>
      <c r="H462" s="233" t="n"/>
      <c r="I462" s="232" t="n"/>
      <c r="J462" s="233" t="n"/>
      <c r="K462" s="232" t="n"/>
      <c r="L462" s="232" t="n"/>
      <c r="M462" s="232" t="n"/>
      <c r="N462" s="233" t="n"/>
      <c r="O462" s="232" t="n"/>
      <c r="P462" s="233" t="n"/>
      <c r="Q462" s="233" t="n"/>
      <c r="R462" s="233" t="n"/>
      <c r="S462" s="232" t="n"/>
      <c r="T462" s="233" t="n"/>
      <c r="U462" s="233" t="n"/>
      <c r="V462" s="233" t="n"/>
      <c r="W462" s="232" t="n"/>
    </row>
    <row r="463" ht="54.95" customFormat="1" customHeight="1" s="235">
      <c r="A463" s="234" t="n"/>
      <c r="B463" s="234" t="n"/>
      <c r="C463" s="234" t="n"/>
      <c r="D463" s="234" t="n"/>
      <c r="E463" s="234" t="n"/>
      <c r="F463" s="234" t="n"/>
      <c r="G463" s="234" t="n"/>
      <c r="H463" s="234" t="n"/>
      <c r="I463" s="234" t="n"/>
      <c r="J463" s="234" t="n"/>
      <c r="K463" s="234" t="n"/>
      <c r="L463" s="234" t="n"/>
      <c r="M463" s="232" t="n"/>
      <c r="N463" s="233" t="n"/>
      <c r="O463" s="232" t="n"/>
      <c r="P463" s="234" t="n"/>
      <c r="Q463" s="234" t="n"/>
      <c r="R463" s="234" t="n"/>
      <c r="S463" s="234" t="n"/>
      <c r="T463" s="234" t="n"/>
      <c r="U463" s="234" t="n"/>
      <c r="V463" s="234" t="n"/>
      <c r="W463" s="234" t="n"/>
    </row>
    <row r="464" ht="54.95" customFormat="1" customHeight="1" s="235">
      <c r="A464" s="234" t="n"/>
      <c r="B464" s="234" t="n"/>
      <c r="C464" s="234" t="n"/>
      <c r="D464" s="234" t="n"/>
      <c r="E464" s="234" t="n"/>
      <c r="F464" s="234" t="n"/>
      <c r="G464" s="234" t="n"/>
      <c r="H464" s="234" t="n"/>
      <c r="I464" s="234" t="n"/>
      <c r="J464" s="234" t="n"/>
      <c r="K464" s="234" t="n"/>
      <c r="L464" s="234" t="n"/>
      <c r="M464" s="232" t="n"/>
      <c r="N464" s="233" t="n"/>
      <c r="O464" s="232" t="n"/>
      <c r="P464" s="234" t="n"/>
      <c r="Q464" s="234" t="n"/>
      <c r="R464" s="234" t="n"/>
      <c r="S464" s="234" t="n"/>
      <c r="T464" s="234" t="n"/>
      <c r="U464" s="234" t="n"/>
      <c r="V464" s="234" t="n"/>
      <c r="W464" s="234" t="n"/>
    </row>
    <row r="465" ht="54.95" customFormat="1" customHeight="1" s="235">
      <c r="A465" s="234" t="n"/>
      <c r="B465" s="234" t="n"/>
      <c r="C465" s="234" t="n"/>
      <c r="D465" s="234" t="n"/>
      <c r="E465" s="234" t="n"/>
      <c r="F465" s="234" t="n"/>
      <c r="G465" s="234" t="n"/>
      <c r="H465" s="234" t="n"/>
      <c r="I465" s="234" t="n"/>
      <c r="J465" s="234" t="n"/>
      <c r="K465" s="234" t="n"/>
      <c r="L465" s="234" t="n"/>
      <c r="M465" s="232" t="n"/>
      <c r="N465" s="233" t="n"/>
      <c r="O465" s="232" t="n"/>
      <c r="P465" s="234" t="n"/>
      <c r="Q465" s="234" t="n"/>
      <c r="R465" s="234" t="n"/>
      <c r="S465" s="234" t="n"/>
      <c r="T465" s="234" t="n"/>
      <c r="U465" s="234" t="n"/>
      <c r="V465" s="234" t="n"/>
      <c r="W465" s="234" t="n"/>
    </row>
    <row r="466" ht="54.95" customFormat="1" customHeight="1" s="235">
      <c r="A466" s="234" t="n"/>
      <c r="B466" s="234" t="n"/>
      <c r="C466" s="234" t="n"/>
      <c r="D466" s="234" t="n"/>
      <c r="E466" s="234" t="n"/>
      <c r="F466" s="234" t="n"/>
      <c r="G466" s="234" t="n"/>
      <c r="H466" s="234" t="n"/>
      <c r="I466" s="234" t="n"/>
      <c r="J466" s="234" t="n"/>
      <c r="K466" s="234" t="n"/>
      <c r="L466" s="234" t="n"/>
      <c r="M466" s="232" t="n"/>
      <c r="N466" s="233" t="n"/>
      <c r="O466" s="232" t="n"/>
      <c r="P466" s="234" t="n"/>
      <c r="Q466" s="234" t="n"/>
      <c r="R466" s="234" t="n"/>
      <c r="S466" s="234" t="n"/>
      <c r="T466" s="234" t="n"/>
      <c r="U466" s="234" t="n"/>
      <c r="V466" s="234" t="n"/>
      <c r="W466" s="234" t="n"/>
    </row>
    <row r="467" ht="54.95" customFormat="1" customHeight="1" s="235">
      <c r="A467" s="232" t="n"/>
      <c r="B467" s="232" t="n"/>
      <c r="C467" s="232" t="n"/>
      <c r="D467" s="233" t="n"/>
      <c r="E467" s="232" t="n"/>
      <c r="F467" s="233" t="n"/>
      <c r="G467" s="233" t="n"/>
      <c r="H467" s="233" t="n"/>
      <c r="I467" s="232" t="n"/>
      <c r="J467" s="233" t="n"/>
      <c r="K467" s="232" t="n"/>
      <c r="L467" s="232" t="n"/>
      <c r="M467" s="232" t="n"/>
      <c r="N467" s="233" t="n"/>
      <c r="O467" s="232" t="n"/>
      <c r="P467" s="233" t="n"/>
      <c r="Q467" s="233" t="n"/>
      <c r="R467" s="233" t="n"/>
      <c r="S467" s="232" t="n"/>
      <c r="T467" s="233" t="n"/>
      <c r="U467" s="233" t="n"/>
      <c r="V467" s="233" t="n"/>
      <c r="W467" s="232" t="n"/>
    </row>
    <row r="468" ht="54.95" customFormat="1" customHeight="1" s="235">
      <c r="A468" s="234" t="n"/>
      <c r="B468" s="234" t="n"/>
      <c r="C468" s="234" t="n"/>
      <c r="D468" s="234" t="n"/>
      <c r="E468" s="234" t="n"/>
      <c r="F468" s="234" t="n"/>
      <c r="G468" s="234" t="n"/>
      <c r="H468" s="234" t="n"/>
      <c r="I468" s="234" t="n"/>
      <c r="J468" s="234" t="n"/>
      <c r="K468" s="234" t="n"/>
      <c r="L468" s="234" t="n"/>
      <c r="M468" s="232" t="n"/>
      <c r="N468" s="233" t="n"/>
      <c r="O468" s="232" t="n"/>
      <c r="P468" s="234" t="n"/>
      <c r="Q468" s="234" t="n"/>
      <c r="R468" s="234" t="n"/>
      <c r="S468" s="234" t="n"/>
      <c r="T468" s="234" t="n"/>
      <c r="U468" s="234" t="n"/>
      <c r="V468" s="234" t="n"/>
      <c r="W468" s="234" t="n"/>
    </row>
    <row r="469" ht="54.95" customFormat="1" customHeight="1" s="235">
      <c r="A469" s="234" t="n"/>
      <c r="B469" s="234" t="n"/>
      <c r="C469" s="234" t="n"/>
      <c r="D469" s="234" t="n"/>
      <c r="E469" s="234" t="n"/>
      <c r="F469" s="234" t="n"/>
      <c r="G469" s="234" t="n"/>
      <c r="H469" s="234" t="n"/>
      <c r="I469" s="234" t="n"/>
      <c r="J469" s="234" t="n"/>
      <c r="K469" s="234" t="n"/>
      <c r="L469" s="234" t="n"/>
      <c r="M469" s="232" t="n"/>
      <c r="N469" s="233" t="n"/>
      <c r="O469" s="232" t="n"/>
      <c r="P469" s="234" t="n"/>
      <c r="Q469" s="234" t="n"/>
      <c r="R469" s="234" t="n"/>
      <c r="S469" s="234" t="n"/>
      <c r="T469" s="234" t="n"/>
      <c r="U469" s="234" t="n"/>
      <c r="V469" s="234" t="n"/>
      <c r="W469" s="234" t="n"/>
    </row>
    <row r="470" ht="54.95" customFormat="1" customHeight="1" s="235">
      <c r="A470" s="234" t="n"/>
      <c r="B470" s="234" t="n"/>
      <c r="C470" s="234" t="n"/>
      <c r="D470" s="234" t="n"/>
      <c r="E470" s="234" t="n"/>
      <c r="F470" s="234" t="n"/>
      <c r="G470" s="234" t="n"/>
      <c r="H470" s="234" t="n"/>
      <c r="I470" s="234" t="n"/>
      <c r="J470" s="234" t="n"/>
      <c r="K470" s="234" t="n"/>
      <c r="L470" s="234" t="n"/>
      <c r="M470" s="232" t="n"/>
      <c r="N470" s="233" t="n"/>
      <c r="O470" s="232" t="n"/>
      <c r="P470" s="234" t="n"/>
      <c r="Q470" s="234" t="n"/>
      <c r="R470" s="234" t="n"/>
      <c r="S470" s="234" t="n"/>
      <c r="T470" s="234" t="n"/>
      <c r="U470" s="234" t="n"/>
      <c r="V470" s="234" t="n"/>
      <c r="W470" s="234" t="n"/>
    </row>
    <row r="471" ht="54.95" customFormat="1" customHeight="1" s="235">
      <c r="A471" s="234" t="n"/>
      <c r="B471" s="234" t="n"/>
      <c r="C471" s="234" t="n"/>
      <c r="D471" s="234" t="n"/>
      <c r="E471" s="234" t="n"/>
      <c r="F471" s="234" t="n"/>
      <c r="G471" s="234" t="n"/>
      <c r="H471" s="234" t="n"/>
      <c r="I471" s="234" t="n"/>
      <c r="J471" s="234" t="n"/>
      <c r="K471" s="234" t="n"/>
      <c r="L471" s="234" t="n"/>
      <c r="M471" s="232" t="n"/>
      <c r="N471" s="233" t="n"/>
      <c r="O471" s="232" t="n"/>
      <c r="P471" s="234" t="n"/>
      <c r="Q471" s="234" t="n"/>
      <c r="R471" s="234" t="n"/>
      <c r="S471" s="234" t="n"/>
      <c r="T471" s="234" t="n"/>
      <c r="U471" s="234" t="n"/>
      <c r="V471" s="234" t="n"/>
      <c r="W471" s="234" t="n"/>
    </row>
    <row r="472" ht="54.95" customFormat="1" customHeight="1" s="235">
      <c r="A472" s="234" t="n"/>
      <c r="B472" s="234" t="n"/>
      <c r="C472" s="234" t="n"/>
      <c r="D472" s="234" t="n"/>
      <c r="E472" s="234" t="n"/>
      <c r="F472" s="234" t="n"/>
      <c r="G472" s="234" t="n"/>
      <c r="H472" s="234" t="n"/>
      <c r="I472" s="234" t="n"/>
      <c r="J472" s="234" t="n"/>
      <c r="K472" s="234" t="n"/>
      <c r="L472" s="234" t="n"/>
      <c r="M472" s="232" t="n"/>
      <c r="N472" s="233" t="n"/>
      <c r="O472" s="232" t="n"/>
      <c r="P472" s="234" t="n"/>
      <c r="Q472" s="234" t="n"/>
      <c r="R472" s="234" t="n"/>
      <c r="S472" s="234" t="n"/>
      <c r="T472" s="234" t="n"/>
      <c r="U472" s="234" t="n"/>
      <c r="V472" s="234" t="n"/>
      <c r="W472" s="234" t="n"/>
    </row>
    <row r="473" ht="54.95" customFormat="1" customHeight="1" s="235">
      <c r="A473" s="234" t="n"/>
      <c r="B473" s="234" t="n"/>
      <c r="C473" s="234" t="n"/>
      <c r="D473" s="234" t="n"/>
      <c r="E473" s="234" t="n"/>
      <c r="F473" s="234" t="n"/>
      <c r="G473" s="234" t="n"/>
      <c r="H473" s="234" t="n"/>
      <c r="I473" s="234" t="n"/>
      <c r="J473" s="234" t="n"/>
      <c r="K473" s="234" t="n"/>
      <c r="L473" s="234" t="n"/>
      <c r="M473" s="232" t="n"/>
      <c r="N473" s="233" t="n"/>
      <c r="O473" s="232" t="n"/>
      <c r="P473" s="234" t="n"/>
      <c r="Q473" s="234" t="n"/>
      <c r="R473" s="234" t="n"/>
      <c r="S473" s="234" t="n"/>
      <c r="T473" s="234" t="n"/>
      <c r="U473" s="234" t="n"/>
      <c r="V473" s="234" t="n"/>
      <c r="W473" s="234" t="n"/>
    </row>
    <row r="474" ht="54.95" customFormat="1" customHeight="1" s="235">
      <c r="A474" s="234" t="n"/>
      <c r="B474" s="234" t="n"/>
      <c r="C474" s="234" t="n"/>
      <c r="D474" s="234" t="n"/>
      <c r="E474" s="234" t="n"/>
      <c r="F474" s="234" t="n"/>
      <c r="G474" s="234" t="n"/>
      <c r="H474" s="234" t="n"/>
      <c r="I474" s="234" t="n"/>
      <c r="J474" s="234" t="n"/>
      <c r="K474" s="234" t="n"/>
      <c r="L474" s="234" t="n"/>
      <c r="M474" s="232" t="n"/>
      <c r="N474" s="233" t="n"/>
      <c r="O474" s="232" t="n"/>
      <c r="P474" s="234" t="n"/>
      <c r="Q474" s="234" t="n"/>
      <c r="R474" s="234" t="n"/>
      <c r="S474" s="234" t="n"/>
      <c r="T474" s="234" t="n"/>
      <c r="U474" s="234" t="n"/>
      <c r="V474" s="234" t="n"/>
      <c r="W474" s="234" t="n"/>
    </row>
    <row r="475" ht="54.95" customFormat="1" customHeight="1" s="235">
      <c r="A475" s="234" t="n"/>
      <c r="B475" s="234" t="n"/>
      <c r="C475" s="234" t="n"/>
      <c r="D475" s="234" t="n"/>
      <c r="E475" s="234" t="n"/>
      <c r="F475" s="234" t="n"/>
      <c r="G475" s="234" t="n"/>
      <c r="H475" s="234" t="n"/>
      <c r="I475" s="234" t="n"/>
      <c r="J475" s="234" t="n"/>
      <c r="K475" s="234" t="n"/>
      <c r="L475" s="234" t="n"/>
      <c r="M475" s="232" t="n"/>
      <c r="N475" s="233" t="n"/>
      <c r="O475" s="232" t="n"/>
      <c r="P475" s="234" t="n"/>
      <c r="Q475" s="234" t="n"/>
      <c r="R475" s="234" t="n"/>
      <c r="S475" s="234" t="n"/>
      <c r="T475" s="234" t="n"/>
      <c r="U475" s="234" t="n"/>
      <c r="V475" s="234" t="n"/>
      <c r="W475" s="234" t="n"/>
    </row>
    <row r="476" ht="54.95" customFormat="1" customHeight="1" s="235">
      <c r="A476" s="234" t="n"/>
      <c r="B476" s="234" t="n"/>
      <c r="C476" s="234" t="n"/>
      <c r="D476" s="234" t="n"/>
      <c r="E476" s="234" t="n"/>
      <c r="F476" s="234" t="n"/>
      <c r="G476" s="234" t="n"/>
      <c r="H476" s="234" t="n"/>
      <c r="I476" s="234" t="n"/>
      <c r="J476" s="234" t="n"/>
      <c r="K476" s="234" t="n"/>
      <c r="L476" s="234" t="n"/>
      <c r="M476" s="232" t="n"/>
      <c r="N476" s="233" t="n"/>
      <c r="O476" s="232" t="n"/>
      <c r="P476" s="234" t="n"/>
      <c r="Q476" s="234" t="n"/>
      <c r="R476" s="234" t="n"/>
      <c r="S476" s="234" t="n"/>
      <c r="T476" s="234" t="n"/>
      <c r="U476" s="234" t="n"/>
      <c r="V476" s="234" t="n"/>
      <c r="W476" s="234" t="n"/>
    </row>
    <row r="477" ht="54.95" customFormat="1" customHeight="1" s="235">
      <c r="A477" s="234" t="n"/>
      <c r="B477" s="234" t="n"/>
      <c r="C477" s="234" t="n"/>
      <c r="D477" s="234" t="n"/>
      <c r="E477" s="234" t="n"/>
      <c r="F477" s="234" t="n"/>
      <c r="G477" s="234" t="n"/>
      <c r="H477" s="234" t="n"/>
      <c r="I477" s="234" t="n"/>
      <c r="J477" s="234" t="n"/>
      <c r="K477" s="234" t="n"/>
      <c r="L477" s="234" t="n"/>
      <c r="M477" s="232" t="n"/>
      <c r="N477" s="233" t="n"/>
      <c r="O477" s="232" t="n"/>
      <c r="P477" s="234" t="n"/>
      <c r="Q477" s="234" t="n"/>
      <c r="R477" s="234" t="n"/>
      <c r="S477" s="234" t="n"/>
      <c r="T477" s="234" t="n"/>
      <c r="U477" s="234" t="n"/>
      <c r="V477" s="234" t="n"/>
      <c r="W477" s="234" t="n"/>
    </row>
    <row r="478" ht="54.95" customFormat="1" customHeight="1" s="235">
      <c r="A478" s="232" t="n"/>
      <c r="B478" s="232" t="n"/>
      <c r="C478" s="232" t="n"/>
      <c r="D478" s="233" t="n"/>
      <c r="E478" s="232" t="n"/>
      <c r="F478" s="233" t="n"/>
      <c r="G478" s="233" t="n"/>
      <c r="H478" s="233" t="n"/>
      <c r="I478" s="232" t="n"/>
      <c r="J478" s="233" t="n"/>
      <c r="K478" s="232" t="n"/>
      <c r="L478" s="232" t="n"/>
      <c r="M478" s="232" t="n"/>
      <c r="N478" s="233" t="n"/>
      <c r="O478" s="232" t="n"/>
      <c r="P478" s="233" t="n"/>
      <c r="Q478" s="233" t="n"/>
      <c r="R478" s="233" t="n"/>
      <c r="S478" s="232" t="n"/>
      <c r="T478" s="233" t="n"/>
      <c r="U478" s="233" t="n"/>
      <c r="V478" s="233" t="n"/>
      <c r="W478" s="232" t="n"/>
    </row>
    <row r="479" ht="54.95" customFormat="1" customHeight="1" s="235">
      <c r="A479" s="234" t="n"/>
      <c r="B479" s="234" t="n"/>
      <c r="C479" s="234" t="n"/>
      <c r="D479" s="234" t="n"/>
      <c r="E479" s="234" t="n"/>
      <c r="F479" s="234" t="n"/>
      <c r="G479" s="234" t="n"/>
      <c r="H479" s="234" t="n"/>
      <c r="I479" s="234" t="n"/>
      <c r="J479" s="234" t="n"/>
      <c r="K479" s="234" t="n"/>
      <c r="L479" s="234" t="n"/>
      <c r="M479" s="232" t="n"/>
      <c r="N479" s="233" t="n"/>
      <c r="O479" s="232" t="n"/>
      <c r="P479" s="234" t="n"/>
      <c r="Q479" s="234" t="n"/>
      <c r="R479" s="234" t="n"/>
      <c r="S479" s="234" t="n"/>
      <c r="T479" s="234" t="n"/>
      <c r="U479" s="234" t="n"/>
      <c r="V479" s="234" t="n"/>
      <c r="W479" s="234" t="n"/>
    </row>
    <row r="480" ht="54.95" customFormat="1" customHeight="1" s="235">
      <c r="A480" s="234" t="n"/>
      <c r="B480" s="234" t="n"/>
      <c r="C480" s="234" t="n"/>
      <c r="D480" s="234" t="n"/>
      <c r="E480" s="234" t="n"/>
      <c r="F480" s="234" t="n"/>
      <c r="G480" s="234" t="n"/>
      <c r="H480" s="234" t="n"/>
      <c r="I480" s="234" t="n"/>
      <c r="J480" s="234" t="n"/>
      <c r="K480" s="234" t="n"/>
      <c r="L480" s="234" t="n"/>
      <c r="M480" s="232" t="n"/>
      <c r="N480" s="233" t="n"/>
      <c r="O480" s="232" t="n"/>
      <c r="P480" s="234" t="n"/>
      <c r="Q480" s="234" t="n"/>
      <c r="R480" s="234" t="n"/>
      <c r="S480" s="234" t="n"/>
      <c r="T480" s="234" t="n"/>
      <c r="U480" s="234" t="n"/>
      <c r="V480" s="234" t="n"/>
      <c r="W480" s="234" t="n"/>
    </row>
    <row r="481" ht="54.95" customFormat="1" customHeight="1" s="235">
      <c r="A481" s="232" t="n"/>
      <c r="B481" s="232" t="n"/>
      <c r="C481" s="232" t="n"/>
      <c r="D481" s="233" t="n"/>
      <c r="E481" s="232" t="n"/>
      <c r="F481" s="233" t="n"/>
      <c r="G481" s="233" t="n"/>
      <c r="H481" s="233" t="n"/>
      <c r="I481" s="232" t="n"/>
      <c r="J481" s="233" t="n"/>
      <c r="K481" s="232" t="n"/>
      <c r="L481" s="232" t="n"/>
      <c r="M481" s="232" t="n"/>
      <c r="N481" s="233" t="n"/>
      <c r="O481" s="232" t="n"/>
      <c r="P481" s="233" t="n"/>
      <c r="Q481" s="233" t="n"/>
      <c r="R481" s="233" t="n"/>
      <c r="S481" s="232" t="n"/>
      <c r="T481" s="233" t="n"/>
      <c r="U481" s="233" t="n"/>
      <c r="V481" s="233" t="n"/>
      <c r="W481" s="232" t="n"/>
    </row>
    <row r="482" ht="54.95" customFormat="1" customHeight="1" s="235">
      <c r="A482" s="234" t="n"/>
      <c r="B482" s="234" t="n"/>
      <c r="C482" s="234" t="n"/>
      <c r="D482" s="234" t="n"/>
      <c r="E482" s="234" t="n"/>
      <c r="F482" s="234" t="n"/>
      <c r="G482" s="234" t="n"/>
      <c r="H482" s="234" t="n"/>
      <c r="I482" s="234" t="n"/>
      <c r="J482" s="234" t="n"/>
      <c r="K482" s="234" t="n"/>
      <c r="L482" s="234" t="n"/>
      <c r="M482" s="232" t="n"/>
      <c r="N482" s="233" t="n"/>
      <c r="O482" s="232" t="n"/>
      <c r="P482" s="234" t="n"/>
      <c r="Q482" s="234" t="n"/>
      <c r="R482" s="234" t="n"/>
      <c r="S482" s="234" t="n"/>
      <c r="T482" s="234" t="n"/>
      <c r="U482" s="234" t="n"/>
      <c r="V482" s="234" t="n"/>
      <c r="W482" s="234" t="n"/>
    </row>
    <row r="483" ht="54.95" customFormat="1" customHeight="1" s="235">
      <c r="A483" s="234" t="n"/>
      <c r="B483" s="234" t="n"/>
      <c r="C483" s="234" t="n"/>
      <c r="D483" s="234" t="n"/>
      <c r="E483" s="234" t="n"/>
      <c r="F483" s="234" t="n"/>
      <c r="G483" s="234" t="n"/>
      <c r="H483" s="234" t="n"/>
      <c r="I483" s="234" t="n"/>
      <c r="J483" s="234" t="n"/>
      <c r="K483" s="234" t="n"/>
      <c r="L483" s="234" t="n"/>
      <c r="M483" s="232" t="n"/>
      <c r="N483" s="233" t="n"/>
      <c r="O483" s="232" t="n"/>
      <c r="P483" s="234" t="n"/>
      <c r="Q483" s="234" t="n"/>
      <c r="R483" s="234" t="n"/>
      <c r="S483" s="234" t="n"/>
      <c r="T483" s="234" t="n"/>
      <c r="U483" s="234" t="n"/>
      <c r="V483" s="234" t="n"/>
      <c r="W483" s="234" t="n"/>
    </row>
    <row r="484" ht="54.95" customFormat="1" customHeight="1" s="235">
      <c r="A484" s="232" t="n"/>
      <c r="B484" s="232" t="n"/>
      <c r="C484" s="232" t="n"/>
      <c r="D484" s="233" t="n"/>
      <c r="E484" s="232" t="n"/>
      <c r="F484" s="233" t="n"/>
      <c r="G484" s="233" t="n"/>
      <c r="H484" s="233" t="n"/>
      <c r="I484" s="232" t="n"/>
      <c r="J484" s="233" t="n"/>
      <c r="K484" s="232" t="n"/>
      <c r="L484" s="232" t="n"/>
      <c r="M484" s="232" t="n"/>
      <c r="N484" s="233" t="n"/>
      <c r="O484" s="232" t="n"/>
      <c r="P484" s="233" t="n"/>
      <c r="Q484" s="233" t="n"/>
      <c r="R484" s="233" t="n"/>
      <c r="S484" s="232" t="n"/>
      <c r="T484" s="233" t="n"/>
      <c r="U484" s="233" t="n"/>
      <c r="V484" s="233" t="n"/>
      <c r="W484" s="232" t="n"/>
    </row>
    <row r="485" ht="54.95" customFormat="1" customHeight="1" s="235">
      <c r="A485" s="232" t="n"/>
      <c r="B485" s="232" t="n"/>
      <c r="C485" s="232" t="n"/>
      <c r="D485" s="233" t="n"/>
      <c r="E485" s="232" t="n"/>
      <c r="F485" s="233" t="n"/>
      <c r="G485" s="233" t="n"/>
      <c r="H485" s="233" t="n"/>
      <c r="I485" s="232" t="n"/>
      <c r="J485" s="233" t="n"/>
      <c r="K485" s="232" t="n"/>
      <c r="L485" s="232" t="n"/>
      <c r="M485" s="232" t="n"/>
      <c r="N485" s="233" t="n"/>
      <c r="O485" s="232" t="n"/>
      <c r="P485" s="233" t="n"/>
      <c r="Q485" s="233" t="n"/>
      <c r="R485" s="233" t="n"/>
      <c r="S485" s="232" t="n"/>
      <c r="T485" s="233" t="n"/>
      <c r="U485" s="233" t="n"/>
      <c r="V485" s="233" t="n"/>
      <c r="W485" s="232" t="n"/>
    </row>
    <row r="486" ht="54.95" customFormat="1" customHeight="1" s="235">
      <c r="A486" s="232" t="n"/>
      <c r="B486" s="232" t="n"/>
      <c r="C486" s="232" t="n"/>
      <c r="D486" s="233" t="n"/>
      <c r="E486" s="232" t="n"/>
      <c r="F486" s="233" t="n"/>
      <c r="G486" s="233" t="n"/>
      <c r="H486" s="233" t="n"/>
      <c r="I486" s="232" t="n"/>
      <c r="J486" s="233" t="n"/>
      <c r="K486" s="232" t="n"/>
      <c r="L486" s="232" t="n"/>
      <c r="M486" s="232" t="n"/>
      <c r="N486" s="233" t="n"/>
      <c r="O486" s="232" t="n"/>
      <c r="P486" s="233" t="n"/>
      <c r="Q486" s="233" t="n"/>
      <c r="R486" s="233" t="n"/>
      <c r="S486" s="232" t="n"/>
      <c r="T486" s="233" t="n"/>
      <c r="U486" s="233" t="n"/>
      <c r="V486" s="233" t="n"/>
      <c r="W486" s="232" t="n"/>
    </row>
    <row r="487" ht="54.95" customFormat="1" customHeight="1" s="235">
      <c r="A487" s="232" t="n"/>
      <c r="B487" s="232" t="n"/>
      <c r="C487" s="232" t="n"/>
      <c r="D487" s="233" t="n"/>
      <c r="E487" s="232" t="n"/>
      <c r="F487" s="233" t="n"/>
      <c r="G487" s="233" t="n"/>
      <c r="H487" s="233" t="n"/>
      <c r="I487" s="232" t="n"/>
      <c r="J487" s="233" t="n"/>
      <c r="K487" s="232" t="n"/>
      <c r="L487" s="232" t="n"/>
      <c r="M487" s="232" t="n"/>
      <c r="N487" s="233" t="n"/>
      <c r="O487" s="232" t="n"/>
      <c r="P487" s="233" t="n"/>
      <c r="Q487" s="233" t="n"/>
      <c r="R487" s="233" t="n"/>
      <c r="S487" s="232" t="n"/>
      <c r="T487" s="233" t="n"/>
      <c r="U487" s="233" t="n"/>
      <c r="V487" s="233" t="n"/>
      <c r="W487" s="232" t="n"/>
    </row>
    <row r="488" ht="54.95" customFormat="1" customHeight="1" s="235">
      <c r="A488" s="232" t="n"/>
      <c r="B488" s="232" t="n"/>
      <c r="C488" s="232" t="n"/>
      <c r="D488" s="233" t="n"/>
      <c r="E488" s="232" t="n"/>
      <c r="F488" s="233" t="n"/>
      <c r="G488" s="233" t="n"/>
      <c r="H488" s="233" t="n"/>
      <c r="I488" s="232" t="n"/>
      <c r="J488" s="233" t="n"/>
      <c r="K488" s="232" t="n"/>
      <c r="L488" s="232" t="n"/>
      <c r="M488" s="232" t="n"/>
      <c r="N488" s="233" t="n"/>
      <c r="O488" s="232" t="n"/>
      <c r="P488" s="233" t="n"/>
      <c r="Q488" s="233" t="n"/>
      <c r="R488" s="233" t="n"/>
      <c r="S488" s="232" t="n"/>
      <c r="T488" s="233" t="n"/>
      <c r="U488" s="233" t="n"/>
      <c r="V488" s="233" t="n"/>
      <c r="W488" s="232" t="n"/>
    </row>
    <row r="489" ht="54.95" customFormat="1" customHeight="1" s="235">
      <c r="A489" s="232" t="n"/>
      <c r="B489" s="232" t="n"/>
      <c r="C489" s="232" t="n"/>
      <c r="D489" s="233" t="n"/>
      <c r="E489" s="232" t="n"/>
      <c r="F489" s="233" t="n"/>
      <c r="G489" s="233" t="n"/>
      <c r="H489" s="233" t="n"/>
      <c r="I489" s="232" t="n"/>
      <c r="J489" s="233" t="n"/>
      <c r="K489" s="232" t="n"/>
      <c r="L489" s="232" t="n"/>
      <c r="M489" s="232" t="n"/>
      <c r="N489" s="233" t="n"/>
      <c r="O489" s="232" t="n"/>
      <c r="P489" s="233" t="n"/>
      <c r="Q489" s="233" t="n"/>
      <c r="R489" s="233" t="n"/>
      <c r="S489" s="232" t="n"/>
      <c r="T489" s="233" t="n"/>
      <c r="U489" s="233" t="n"/>
      <c r="V489" s="233" t="n"/>
      <c r="W489" s="232" t="n"/>
    </row>
    <row r="490" ht="54.95" customFormat="1" customHeight="1" s="235">
      <c r="A490" s="232" t="n"/>
      <c r="B490" s="232" t="n"/>
      <c r="C490" s="232" t="n"/>
      <c r="D490" s="233" t="n"/>
      <c r="E490" s="232" t="n"/>
      <c r="F490" s="233" t="n"/>
      <c r="G490" s="233" t="n"/>
      <c r="H490" s="233" t="n"/>
      <c r="I490" s="232" t="n"/>
      <c r="J490" s="233" t="n"/>
      <c r="K490" s="232" t="n"/>
      <c r="L490" s="232" t="n"/>
      <c r="M490" s="232" t="n"/>
      <c r="N490" s="233" t="n"/>
      <c r="O490" s="232" t="n"/>
      <c r="P490" s="233" t="n"/>
      <c r="Q490" s="233" t="n"/>
      <c r="R490" s="233" t="n"/>
      <c r="S490" s="232" t="n"/>
      <c r="T490" s="233" t="n"/>
      <c r="U490" s="233" t="n"/>
      <c r="V490" s="233" t="n"/>
      <c r="W490" s="232" t="n"/>
    </row>
    <row r="491" ht="54.95" customFormat="1" customHeight="1" s="235">
      <c r="A491" s="232" t="n"/>
      <c r="B491" s="232" t="n"/>
      <c r="C491" s="232" t="n"/>
      <c r="D491" s="233" t="n"/>
      <c r="E491" s="232" t="n"/>
      <c r="F491" s="233" t="n"/>
      <c r="G491" s="233" t="n"/>
      <c r="H491" s="233" t="n"/>
      <c r="I491" s="232" t="n"/>
      <c r="J491" s="233" t="n"/>
      <c r="K491" s="232" t="n"/>
      <c r="L491" s="232" t="n"/>
      <c r="M491" s="232" t="n"/>
      <c r="N491" s="233" t="n"/>
      <c r="O491" s="232" t="n"/>
      <c r="P491" s="233" t="n"/>
      <c r="Q491" s="233" t="n"/>
      <c r="R491" s="233" t="n"/>
      <c r="S491" s="232" t="n"/>
      <c r="T491" s="233" t="n"/>
      <c r="U491" s="233" t="n"/>
      <c r="V491" s="233" t="n"/>
      <c r="W491" s="232" t="n"/>
    </row>
    <row r="492" ht="54.95" customFormat="1" customHeight="1" s="235">
      <c r="A492" s="232" t="n"/>
      <c r="B492" s="232" t="n"/>
      <c r="C492" s="232" t="n"/>
      <c r="D492" s="233" t="n"/>
      <c r="E492" s="232" t="n"/>
      <c r="F492" s="233" t="n"/>
      <c r="G492" s="233" t="n"/>
      <c r="H492" s="233" t="n"/>
      <c r="I492" s="232" t="n"/>
      <c r="J492" s="233" t="n"/>
      <c r="K492" s="232" t="n"/>
      <c r="L492" s="232" t="n"/>
      <c r="M492" s="232" t="n"/>
      <c r="N492" s="233" t="n"/>
      <c r="O492" s="232" t="n"/>
      <c r="P492" s="233" t="n"/>
      <c r="Q492" s="233" t="n"/>
      <c r="R492" s="233" t="n"/>
      <c r="S492" s="232" t="n"/>
      <c r="T492" s="233" t="n"/>
      <c r="U492" s="233" t="n"/>
      <c r="V492" s="233" t="n"/>
      <c r="W492" s="232" t="n"/>
    </row>
    <row r="493" ht="54.95" customFormat="1" customHeight="1" s="235">
      <c r="A493" s="232" t="n"/>
      <c r="B493" s="232" t="n"/>
      <c r="C493" s="232" t="n"/>
      <c r="D493" s="233" t="n"/>
      <c r="E493" s="232" t="n"/>
      <c r="F493" s="233" t="n"/>
      <c r="G493" s="233" t="n"/>
      <c r="H493" s="233" t="n"/>
      <c r="I493" s="232" t="n"/>
      <c r="J493" s="233" t="n"/>
      <c r="K493" s="232" t="n"/>
      <c r="L493" s="232" t="n"/>
      <c r="M493" s="232" t="n"/>
      <c r="N493" s="233" t="n"/>
      <c r="O493" s="232" t="n"/>
      <c r="P493" s="233" t="n"/>
      <c r="Q493" s="233" t="n"/>
      <c r="R493" s="233" t="n"/>
      <c r="S493" s="232" t="n"/>
      <c r="T493" s="233" t="n"/>
      <c r="U493" s="233" t="n"/>
      <c r="V493" s="233" t="n"/>
      <c r="W493" s="232" t="n"/>
    </row>
    <row r="494" ht="54.95" customFormat="1" customHeight="1" s="235">
      <c r="A494" s="232" t="n"/>
      <c r="B494" s="232" t="n"/>
      <c r="C494" s="232" t="n"/>
      <c r="D494" s="233" t="n"/>
      <c r="E494" s="232" t="n"/>
      <c r="F494" s="233" t="n"/>
      <c r="G494" s="233" t="n"/>
      <c r="H494" s="233" t="n"/>
      <c r="I494" s="232" t="n"/>
      <c r="J494" s="233" t="n"/>
      <c r="K494" s="232" t="n"/>
      <c r="L494" s="232" t="n"/>
      <c r="M494" s="232" t="n"/>
      <c r="N494" s="233" t="n"/>
      <c r="O494" s="232" t="n"/>
      <c r="P494" s="233" t="n"/>
      <c r="Q494" s="233" t="n"/>
      <c r="R494" s="233" t="n"/>
      <c r="S494" s="232" t="n"/>
      <c r="T494" s="233" t="n"/>
      <c r="U494" s="233" t="n"/>
      <c r="V494" s="233" t="n"/>
      <c r="W494" s="232" t="n"/>
    </row>
    <row r="495" ht="54.95" customFormat="1" customHeight="1" s="235">
      <c r="A495" s="232" t="n"/>
      <c r="B495" s="232" t="n"/>
      <c r="C495" s="232" t="n"/>
      <c r="D495" s="233" t="n"/>
      <c r="E495" s="232" t="n"/>
      <c r="F495" s="233" t="n"/>
      <c r="G495" s="233" t="n"/>
      <c r="H495" s="233" t="n"/>
      <c r="I495" s="232" t="n"/>
      <c r="J495" s="233" t="n"/>
      <c r="K495" s="232" t="n"/>
      <c r="L495" s="232" t="n"/>
      <c r="M495" s="232" t="n"/>
      <c r="N495" s="233" t="n"/>
      <c r="O495" s="232" t="n"/>
      <c r="P495" s="233" t="n"/>
      <c r="Q495" s="233" t="n"/>
      <c r="R495" s="233" t="n"/>
      <c r="S495" s="232" t="n"/>
      <c r="T495" s="233" t="n"/>
      <c r="U495" s="233" t="n"/>
      <c r="V495" s="233" t="n"/>
      <c r="W495" s="232" t="n"/>
    </row>
    <row r="496" ht="54.95" customFormat="1" customHeight="1" s="235">
      <c r="A496" s="232" t="n"/>
      <c r="B496" s="232" t="n"/>
      <c r="C496" s="232" t="n"/>
      <c r="D496" s="233" t="n"/>
      <c r="E496" s="232" t="n"/>
      <c r="F496" s="233" t="n"/>
      <c r="G496" s="233" t="n"/>
      <c r="H496" s="233" t="n"/>
      <c r="I496" s="232" t="n"/>
      <c r="J496" s="233" t="n"/>
      <c r="K496" s="232" t="n"/>
      <c r="L496" s="232" t="n"/>
      <c r="M496" s="232" t="n"/>
      <c r="N496" s="233" t="n"/>
      <c r="O496" s="232" t="n"/>
      <c r="P496" s="233" t="n"/>
      <c r="Q496" s="233" t="n"/>
      <c r="R496" s="233" t="n"/>
      <c r="S496" s="232" t="n"/>
      <c r="T496" s="233" t="n"/>
      <c r="U496" s="233" t="n"/>
      <c r="V496" s="233" t="n"/>
      <c r="W496" s="232" t="n"/>
    </row>
    <row r="497" ht="54.95" customFormat="1" customHeight="1" s="235">
      <c r="A497" s="232" t="n"/>
      <c r="B497" s="232" t="n"/>
      <c r="C497" s="232" t="n"/>
      <c r="D497" s="233" t="n"/>
      <c r="E497" s="232" t="n"/>
      <c r="F497" s="233" t="n"/>
      <c r="G497" s="233" t="n"/>
      <c r="H497" s="233" t="n"/>
      <c r="I497" s="232" t="n"/>
      <c r="J497" s="233" t="n"/>
      <c r="K497" s="232" t="n"/>
      <c r="L497" s="232" t="n"/>
      <c r="M497" s="232" t="n"/>
      <c r="N497" s="233" t="n"/>
      <c r="O497" s="232" t="n"/>
      <c r="P497" s="233" t="n"/>
      <c r="Q497" s="233" t="n"/>
      <c r="R497" s="233" t="n"/>
      <c r="S497" s="232" t="n"/>
      <c r="T497" s="233" t="n"/>
      <c r="U497" s="233" t="n"/>
      <c r="V497" s="233" t="n"/>
      <c r="W497" s="232" t="n"/>
    </row>
    <row r="498" ht="54.95" customFormat="1" customHeight="1" s="235">
      <c r="A498" s="232" t="n"/>
      <c r="B498" s="232" t="n"/>
      <c r="C498" s="232" t="n"/>
      <c r="D498" s="233" t="n"/>
      <c r="E498" s="232" t="n"/>
      <c r="F498" s="233" t="n"/>
      <c r="G498" s="233" t="n"/>
      <c r="H498" s="233" t="n"/>
      <c r="I498" s="232" t="n"/>
      <c r="J498" s="233" t="n"/>
      <c r="K498" s="232" t="n"/>
      <c r="L498" s="232" t="n"/>
      <c r="M498" s="232" t="n"/>
      <c r="N498" s="233" t="n"/>
      <c r="O498" s="232" t="n"/>
      <c r="P498" s="233" t="n"/>
      <c r="Q498" s="233" t="n"/>
      <c r="R498" s="233" t="n"/>
      <c r="S498" s="232" t="n"/>
      <c r="T498" s="233" t="n"/>
      <c r="U498" s="233" t="n"/>
      <c r="V498" s="233" t="n"/>
      <c r="W498" s="232" t="n"/>
    </row>
    <row r="499" ht="54.95" customFormat="1" customHeight="1" s="37">
      <c r="A499" s="232" t="n"/>
      <c r="B499" s="232" t="n"/>
      <c r="C499" s="232" t="n"/>
      <c r="D499" s="233" t="n"/>
      <c r="E499" s="232" t="n"/>
      <c r="F499" s="233" t="n"/>
      <c r="G499" s="233" t="n"/>
      <c r="H499" s="233" t="n"/>
      <c r="I499" s="232" t="n"/>
      <c r="J499" s="233" t="n"/>
      <c r="K499" s="232" t="n"/>
      <c r="L499" s="232" t="n"/>
      <c r="M499" s="232" t="n"/>
      <c r="N499" s="233" t="n"/>
      <c r="O499" s="232" t="n"/>
      <c r="P499" s="233" t="n"/>
      <c r="Q499" s="233" t="n"/>
      <c r="R499" s="233" t="n"/>
      <c r="S499" s="232" t="n"/>
      <c r="T499" s="233" t="n"/>
      <c r="U499" s="233" t="n"/>
      <c r="V499" s="233" t="n"/>
      <c r="W499" s="232" t="n"/>
    </row>
    <row r="500" ht="54.95" customFormat="1" customHeight="1" s="37">
      <c r="A500" s="232" t="n"/>
      <c r="B500" s="232" t="n"/>
      <c r="C500" s="232" t="n"/>
      <c r="D500" s="233" t="n"/>
      <c r="E500" s="232" t="n"/>
      <c r="F500" s="233" t="n"/>
      <c r="G500" s="233" t="n"/>
      <c r="H500" s="233" t="n"/>
      <c r="I500" s="232" t="n"/>
      <c r="J500" s="233" t="n"/>
      <c r="K500" s="232" t="n"/>
      <c r="L500" s="232" t="n"/>
      <c r="M500" s="232" t="n"/>
      <c r="N500" s="233" t="n"/>
      <c r="O500" s="232" t="n"/>
      <c r="P500" s="233" t="n"/>
      <c r="Q500" s="233" t="n"/>
      <c r="R500" s="233" t="n"/>
      <c r="S500" s="232" t="n"/>
      <c r="T500" s="233" t="n"/>
      <c r="U500" s="233" t="n"/>
      <c r="V500" s="233" t="n"/>
      <c r="W500" s="232" t="n"/>
    </row>
    <row r="501" ht="54.95" customFormat="1" customHeight="1" s="37">
      <c r="A501" s="232" t="n"/>
      <c r="B501" s="232" t="n"/>
      <c r="C501" s="232" t="n"/>
      <c r="D501" s="233" t="n"/>
      <c r="E501" s="232" t="n"/>
      <c r="F501" s="233" t="n"/>
      <c r="G501" s="233" t="n"/>
      <c r="H501" s="233" t="n"/>
      <c r="I501" s="232" t="n"/>
      <c r="J501" s="233" t="n"/>
      <c r="K501" s="232" t="n"/>
      <c r="L501" s="232" t="n"/>
      <c r="M501" s="232" t="n"/>
      <c r="N501" s="233" t="n"/>
      <c r="O501" s="232" t="n"/>
      <c r="P501" s="233" t="n"/>
      <c r="Q501" s="233" t="n"/>
      <c r="R501" s="233" t="n"/>
      <c r="S501" s="232" t="n"/>
      <c r="T501" s="233" t="n"/>
      <c r="U501" s="233" t="n"/>
      <c r="V501" s="233" t="n"/>
      <c r="W501" s="232" t="n"/>
    </row>
    <row r="502" ht="54.95" customFormat="1" customHeight="1" s="37">
      <c r="A502" s="232" t="n"/>
      <c r="B502" s="232" t="n"/>
      <c r="C502" s="232" t="n"/>
      <c r="D502" s="233" t="n"/>
      <c r="E502" s="232" t="n"/>
      <c r="F502" s="233" t="n"/>
      <c r="G502" s="233" t="n"/>
      <c r="H502" s="233" t="n"/>
      <c r="I502" s="232" t="n"/>
      <c r="J502" s="233" t="n"/>
      <c r="K502" s="232" t="n"/>
      <c r="L502" s="232" t="n"/>
      <c r="M502" s="232" t="n"/>
      <c r="N502" s="233" t="n"/>
      <c r="O502" s="232" t="n"/>
      <c r="P502" s="233" t="n"/>
      <c r="Q502" s="233" t="n"/>
      <c r="R502" s="233" t="n"/>
      <c r="S502" s="232" t="n"/>
      <c r="T502" s="233" t="n"/>
      <c r="U502" s="233" t="n"/>
      <c r="V502" s="233" t="n"/>
      <c r="W502" s="232" t="n"/>
    </row>
    <row r="503" ht="54.95" customFormat="1" customHeight="1" s="37">
      <c r="A503" s="232" t="n"/>
      <c r="B503" s="232" t="n"/>
      <c r="C503" s="232" t="n"/>
      <c r="D503" s="233" t="n"/>
      <c r="E503" s="232" t="n"/>
      <c r="F503" s="233" t="n"/>
      <c r="G503" s="233" t="n"/>
      <c r="H503" s="233" t="n"/>
      <c r="I503" s="232" t="n"/>
      <c r="J503" s="233" t="n"/>
      <c r="K503" s="232" t="n"/>
      <c r="L503" s="232" t="n"/>
      <c r="M503" s="232" t="n"/>
      <c r="N503" s="233" t="n"/>
      <c r="O503" s="232" t="n"/>
      <c r="P503" s="233" t="n"/>
      <c r="Q503" s="233" t="n"/>
      <c r="R503" s="233" t="n"/>
      <c r="S503" s="232" t="n"/>
      <c r="T503" s="233" t="n"/>
      <c r="U503" s="233" t="n"/>
      <c r="V503" s="233" t="n"/>
      <c r="W503" s="232" t="n"/>
    </row>
    <row r="504" ht="54.95" customFormat="1" customHeight="1" s="37">
      <c r="A504" s="232" t="n"/>
      <c r="B504" s="232" t="n"/>
      <c r="C504" s="232" t="n"/>
      <c r="D504" s="233" t="n"/>
      <c r="E504" s="232" t="n"/>
      <c r="F504" s="233" t="n"/>
      <c r="G504" s="233" t="n"/>
      <c r="H504" s="233" t="n"/>
      <c r="I504" s="232" t="n"/>
      <c r="J504" s="233" t="n"/>
      <c r="K504" s="232" t="n"/>
      <c r="L504" s="232" t="n"/>
      <c r="M504" s="232" t="n"/>
      <c r="N504" s="233" t="n"/>
      <c r="O504" s="232" t="n"/>
      <c r="P504" s="233" t="n"/>
      <c r="Q504" s="233" t="n"/>
      <c r="R504" s="233" t="n"/>
      <c r="S504" s="232" t="n"/>
      <c r="T504" s="233" t="n"/>
      <c r="U504" s="233" t="n"/>
      <c r="V504" s="233" t="n"/>
      <c r="W504" s="232" t="n"/>
    </row>
    <row r="505" ht="54.95" customFormat="1" customHeight="1" s="37">
      <c r="A505" s="232" t="n"/>
      <c r="B505" s="232" t="n"/>
      <c r="C505" s="232" t="n"/>
      <c r="D505" s="233" t="n"/>
      <c r="E505" s="232" t="n"/>
      <c r="F505" s="233" t="n"/>
      <c r="G505" s="233" t="n"/>
      <c r="H505" s="233" t="n"/>
      <c r="I505" s="232" t="n"/>
      <c r="J505" s="233" t="n"/>
      <c r="K505" s="232" t="n"/>
      <c r="L505" s="232" t="n"/>
      <c r="M505" s="232" t="n"/>
      <c r="N505" s="233" t="n"/>
      <c r="O505" s="232" t="n"/>
      <c r="P505" s="233" t="n"/>
      <c r="Q505" s="233" t="n"/>
      <c r="R505" s="233" t="n"/>
      <c r="S505" s="232" t="n"/>
      <c r="T505" s="233" t="n"/>
      <c r="U505" s="233" t="n"/>
      <c r="V505" s="233" t="n"/>
      <c r="W505" s="232" t="n"/>
    </row>
    <row r="506" ht="54.95" customFormat="1" customHeight="1" s="37">
      <c r="A506" s="232" t="n"/>
      <c r="B506" s="232" t="n"/>
      <c r="C506" s="232" t="n"/>
      <c r="D506" s="233" t="n"/>
      <c r="E506" s="232" t="n"/>
      <c r="F506" s="233" t="n"/>
      <c r="G506" s="233" t="n"/>
      <c r="H506" s="233" t="n"/>
      <c r="I506" s="232" t="n"/>
      <c r="J506" s="233" t="n"/>
      <c r="K506" s="232" t="n"/>
      <c r="L506" s="232" t="n"/>
      <c r="M506" s="232" t="n"/>
      <c r="N506" s="233" t="n"/>
      <c r="O506" s="232" t="n"/>
      <c r="P506" s="233" t="n"/>
      <c r="Q506" s="233" t="n"/>
      <c r="R506" s="233" t="n"/>
      <c r="S506" s="232" t="n"/>
      <c r="T506" s="233" t="n"/>
      <c r="U506" s="233" t="n"/>
      <c r="V506" s="233" t="n"/>
      <c r="W506" s="232" t="n"/>
    </row>
    <row r="507" ht="54.95" customFormat="1" customHeight="1" s="37">
      <c r="A507" s="234" t="n"/>
      <c r="B507" s="234" t="n"/>
      <c r="C507" s="234" t="n"/>
      <c r="D507" s="234" t="n"/>
      <c r="E507" s="234" t="n"/>
      <c r="F507" s="234" t="n"/>
      <c r="G507" s="234" t="n"/>
      <c r="H507" s="234" t="n"/>
      <c r="I507" s="234" t="n"/>
      <c r="J507" s="234" t="n"/>
      <c r="K507" s="234" t="n"/>
      <c r="L507" s="234" t="n"/>
      <c r="M507" s="232" t="n"/>
      <c r="N507" s="233" t="n"/>
      <c r="O507" s="232" t="n"/>
      <c r="P507" s="234" t="n"/>
      <c r="Q507" s="234" t="n"/>
      <c r="R507" s="234" t="n"/>
      <c r="S507" s="234" t="n"/>
      <c r="T507" s="234" t="n"/>
      <c r="U507" s="234" t="n"/>
      <c r="V507" s="234" t="n"/>
      <c r="W507" s="234" t="n"/>
    </row>
    <row r="508" ht="54.95" customFormat="1" customHeight="1" s="37">
      <c r="A508" s="234" t="n"/>
      <c r="B508" s="234" t="n"/>
      <c r="C508" s="234" t="n"/>
      <c r="D508" s="234" t="n"/>
      <c r="E508" s="234" t="n"/>
      <c r="F508" s="234" t="n"/>
      <c r="G508" s="234" t="n"/>
      <c r="H508" s="234" t="n"/>
      <c r="I508" s="234" t="n"/>
      <c r="J508" s="234" t="n"/>
      <c r="K508" s="234" t="n"/>
      <c r="L508" s="234" t="n"/>
      <c r="M508" s="232" t="n"/>
      <c r="N508" s="233" t="n"/>
      <c r="O508" s="232" t="n"/>
      <c r="P508" s="234" t="n"/>
      <c r="Q508" s="234" t="n"/>
      <c r="R508" s="234" t="n"/>
      <c r="S508" s="234" t="n"/>
      <c r="T508" s="234" t="n"/>
      <c r="U508" s="234" t="n"/>
      <c r="V508" s="234" t="n"/>
      <c r="W508" s="234" t="n"/>
    </row>
    <row r="509" ht="54.95" customFormat="1" customHeight="1" s="235">
      <c r="A509" s="234" t="n"/>
      <c r="B509" s="234" t="n"/>
      <c r="C509" s="234" t="n"/>
      <c r="D509" s="234" t="n"/>
      <c r="E509" s="234" t="n"/>
      <c r="F509" s="234" t="n"/>
      <c r="G509" s="234" t="n"/>
      <c r="H509" s="234" t="n"/>
      <c r="I509" s="234" t="n"/>
      <c r="J509" s="234" t="n"/>
      <c r="K509" s="234" t="n"/>
      <c r="L509" s="234" t="n"/>
      <c r="M509" s="232" t="n"/>
      <c r="N509" s="233" t="n"/>
      <c r="O509" s="232" t="n"/>
      <c r="P509" s="234" t="n"/>
      <c r="Q509" s="234" t="n"/>
      <c r="R509" s="234" t="n"/>
      <c r="S509" s="234" t="n"/>
      <c r="T509" s="234" t="n"/>
      <c r="U509" s="234" t="n"/>
      <c r="V509" s="234" t="n"/>
      <c r="W509" s="234" t="n"/>
    </row>
    <row r="510" ht="54.95" customFormat="1" customHeight="1" s="235">
      <c r="A510" s="234" t="n"/>
      <c r="B510" s="234" t="n"/>
      <c r="C510" s="234" t="n"/>
      <c r="D510" s="234" t="n"/>
      <c r="E510" s="234" t="n"/>
      <c r="F510" s="234" t="n"/>
      <c r="G510" s="234" t="n"/>
      <c r="H510" s="234" t="n"/>
      <c r="I510" s="234" t="n"/>
      <c r="J510" s="234" t="n"/>
      <c r="K510" s="234" t="n"/>
      <c r="L510" s="234" t="n"/>
      <c r="M510" s="232" t="n"/>
      <c r="N510" s="233" t="n"/>
      <c r="O510" s="232" t="n"/>
      <c r="P510" s="234" t="n"/>
      <c r="Q510" s="234" t="n"/>
      <c r="R510" s="234" t="n"/>
      <c r="S510" s="234" t="n"/>
      <c r="T510" s="234" t="n"/>
      <c r="U510" s="234" t="n"/>
      <c r="V510" s="234" t="n"/>
      <c r="W510" s="234" t="n"/>
    </row>
    <row r="511" ht="54.95" customFormat="1" customHeight="1" s="235">
      <c r="A511" s="234" t="n"/>
      <c r="B511" s="234" t="n"/>
      <c r="C511" s="234" t="n"/>
      <c r="D511" s="234" t="n"/>
      <c r="E511" s="234" t="n"/>
      <c r="F511" s="234" t="n"/>
      <c r="G511" s="234" t="n"/>
      <c r="H511" s="234" t="n"/>
      <c r="I511" s="234" t="n"/>
      <c r="J511" s="234" t="n"/>
      <c r="K511" s="234" t="n"/>
      <c r="L511" s="234" t="n"/>
      <c r="M511" s="232" t="n"/>
      <c r="N511" s="233" t="n"/>
      <c r="O511" s="232" t="n"/>
      <c r="P511" s="234" t="n"/>
      <c r="Q511" s="234" t="n"/>
      <c r="R511" s="234" t="n"/>
      <c r="S511" s="234" t="n"/>
      <c r="T511" s="234" t="n"/>
      <c r="U511" s="234" t="n"/>
      <c r="V511" s="234" t="n"/>
      <c r="W511" s="234" t="n"/>
    </row>
    <row r="512" ht="54.95" customFormat="1" customHeight="1" s="235">
      <c r="A512" s="232" t="n"/>
      <c r="B512" s="232" t="n"/>
      <c r="C512" s="232" t="n"/>
      <c r="D512" s="233" t="n"/>
      <c r="E512" s="232" t="n"/>
      <c r="F512" s="233" t="n"/>
      <c r="G512" s="233" t="n"/>
      <c r="H512" s="233" t="n"/>
      <c r="I512" s="232" t="n"/>
      <c r="J512" s="233" t="n"/>
      <c r="K512" s="232" t="n"/>
      <c r="L512" s="232" t="n"/>
      <c r="M512" s="232" t="n"/>
      <c r="N512" s="233" t="n"/>
      <c r="O512" s="232" t="n"/>
      <c r="P512" s="233" t="n"/>
      <c r="Q512" s="233" t="n"/>
      <c r="R512" s="233" t="n"/>
      <c r="S512" s="232" t="n"/>
      <c r="T512" s="233" t="n"/>
      <c r="U512" s="233" t="n"/>
      <c r="V512" s="233" t="n"/>
      <c r="W512" s="232" t="n"/>
    </row>
    <row r="513" ht="54.95" customFormat="1" customHeight="1" s="235">
      <c r="A513" s="232" t="n"/>
      <c r="B513" s="232" t="n"/>
      <c r="C513" s="232" t="n"/>
      <c r="D513" s="233" t="n"/>
      <c r="E513" s="232" t="n"/>
      <c r="F513" s="233" t="n"/>
      <c r="G513" s="233" t="n"/>
      <c r="H513" s="233" t="n"/>
      <c r="I513" s="232" t="n"/>
      <c r="J513" s="233" t="n"/>
      <c r="K513" s="232" t="n"/>
      <c r="L513" s="232" t="n"/>
      <c r="M513" s="232" t="n"/>
      <c r="N513" s="233" t="n"/>
      <c r="O513" s="232" t="n"/>
      <c r="P513" s="233" t="n"/>
      <c r="Q513" s="233" t="n"/>
      <c r="R513" s="233" t="n"/>
      <c r="S513" s="232" t="n"/>
      <c r="T513" s="233" t="n"/>
      <c r="U513" s="233" t="n"/>
      <c r="V513" s="233" t="n"/>
      <c r="W513" s="232" t="n"/>
    </row>
    <row r="514" ht="54.95" customFormat="1" customHeight="1" s="235">
      <c r="A514" s="232" t="n"/>
      <c r="B514" s="232" t="n"/>
      <c r="C514" s="232" t="n"/>
      <c r="D514" s="233" t="n"/>
      <c r="E514" s="232" t="n"/>
      <c r="F514" s="233" t="n"/>
      <c r="G514" s="233" t="n"/>
      <c r="H514" s="233" t="n"/>
      <c r="I514" s="232" t="n"/>
      <c r="J514" s="233" t="n"/>
      <c r="K514" s="232" t="n"/>
      <c r="L514" s="232" t="n"/>
      <c r="M514" s="232" t="n"/>
      <c r="N514" s="233" t="n"/>
      <c r="O514" s="232" t="n"/>
      <c r="P514" s="233" t="n"/>
      <c r="Q514" s="233" t="n"/>
      <c r="R514" s="233" t="n"/>
      <c r="S514" s="232" t="n"/>
      <c r="T514" s="233" t="n"/>
      <c r="U514" s="233" t="n"/>
      <c r="V514" s="233" t="n"/>
      <c r="W514" s="232" t="n"/>
    </row>
    <row r="515" ht="54.95" customFormat="1" customHeight="1" s="235">
      <c r="A515" s="234" t="n"/>
      <c r="B515" s="234" t="n"/>
      <c r="C515" s="234" t="n"/>
      <c r="D515" s="234" t="n"/>
      <c r="E515" s="234" t="n"/>
      <c r="F515" s="234" t="n"/>
      <c r="G515" s="234" t="n"/>
      <c r="H515" s="234" t="n"/>
      <c r="I515" s="234" t="n"/>
      <c r="J515" s="234" t="n"/>
      <c r="K515" s="234" t="n"/>
      <c r="L515" s="234" t="n"/>
      <c r="M515" s="232" t="n"/>
      <c r="N515" s="233" t="n"/>
      <c r="O515" s="232" t="n"/>
      <c r="P515" s="234" t="n"/>
      <c r="Q515" s="234" t="n"/>
      <c r="R515" s="234" t="n"/>
      <c r="S515" s="234" t="n"/>
      <c r="T515" s="234" t="n"/>
      <c r="U515" s="234" t="n"/>
      <c r="V515" s="234" t="n"/>
      <c r="W515" s="234" t="n"/>
    </row>
    <row r="516" ht="54.95" customFormat="1" customHeight="1" s="235">
      <c r="A516" s="234" t="n"/>
      <c r="B516" s="234" t="n"/>
      <c r="C516" s="234" t="n"/>
      <c r="D516" s="234" t="n"/>
      <c r="E516" s="234" t="n"/>
      <c r="F516" s="234" t="n"/>
      <c r="G516" s="234" t="n"/>
      <c r="H516" s="234" t="n"/>
      <c r="I516" s="234" t="n"/>
      <c r="J516" s="234" t="n"/>
      <c r="K516" s="234" t="n"/>
      <c r="L516" s="234" t="n"/>
      <c r="M516" s="232" t="n"/>
      <c r="N516" s="233" t="n"/>
      <c r="O516" s="232" t="n"/>
      <c r="P516" s="234" t="n"/>
      <c r="Q516" s="234" t="n"/>
      <c r="R516" s="234" t="n"/>
      <c r="S516" s="234" t="n"/>
      <c r="T516" s="234" t="n"/>
      <c r="U516" s="234" t="n"/>
      <c r="V516" s="234" t="n"/>
      <c r="W516" s="234" t="n"/>
    </row>
    <row r="517" ht="54.95" customFormat="1" customHeight="1" s="235">
      <c r="A517" s="232" t="n"/>
      <c r="B517" s="232" t="n"/>
      <c r="C517" s="232" t="n"/>
      <c r="D517" s="233" t="n"/>
      <c r="E517" s="232" t="n"/>
      <c r="F517" s="233" t="n"/>
      <c r="G517" s="233" t="n"/>
      <c r="H517" s="233" t="n"/>
      <c r="I517" s="232" t="n"/>
      <c r="J517" s="233" t="n"/>
      <c r="K517" s="232" t="n"/>
      <c r="L517" s="232" t="n"/>
      <c r="M517" s="232" t="n"/>
      <c r="N517" s="233" t="n"/>
      <c r="O517" s="232" t="n"/>
      <c r="P517" s="233" t="n"/>
      <c r="Q517" s="233" t="n"/>
      <c r="R517" s="233" t="n"/>
      <c r="S517" s="232" t="n"/>
      <c r="T517" s="233" t="n"/>
      <c r="U517" s="233" t="n"/>
      <c r="V517" s="233" t="n"/>
      <c r="W517" s="232" t="n"/>
    </row>
    <row r="518" ht="54.95" customFormat="1" customHeight="1" s="235">
      <c r="A518" s="232" t="n"/>
      <c r="B518" s="232" t="n"/>
      <c r="C518" s="232" t="n"/>
      <c r="D518" s="233" t="n"/>
      <c r="E518" s="232" t="n"/>
      <c r="F518" s="233" t="n"/>
      <c r="G518" s="233" t="n"/>
      <c r="H518" s="233" t="n"/>
      <c r="I518" s="232" t="n"/>
      <c r="J518" s="233" t="n"/>
      <c r="K518" s="232" t="n"/>
      <c r="L518" s="232" t="n"/>
      <c r="M518" s="232" t="n"/>
      <c r="N518" s="233" t="n"/>
      <c r="O518" s="232" t="n"/>
      <c r="P518" s="233" t="n"/>
      <c r="Q518" s="233" t="n"/>
      <c r="R518" s="233" t="n"/>
      <c r="S518" s="232" t="n"/>
      <c r="T518" s="233" t="n"/>
      <c r="U518" s="233" t="n"/>
      <c r="V518" s="233" t="n"/>
      <c r="W518" s="232" t="n"/>
    </row>
    <row r="519" ht="54.95" customFormat="1" customHeight="1" s="235">
      <c r="A519" s="232" t="n"/>
      <c r="B519" s="232" t="n"/>
      <c r="C519" s="232" t="n"/>
      <c r="D519" s="233" t="n"/>
      <c r="E519" s="232" t="n"/>
      <c r="F519" s="233" t="n"/>
      <c r="G519" s="233" t="n"/>
      <c r="H519" s="233" t="n"/>
      <c r="I519" s="232" t="n"/>
      <c r="J519" s="233" t="n"/>
      <c r="K519" s="232" t="n"/>
      <c r="L519" s="232" t="n"/>
      <c r="M519" s="232" t="n"/>
      <c r="N519" s="233" t="n"/>
      <c r="O519" s="232" t="n"/>
      <c r="P519" s="233" t="n"/>
      <c r="Q519" s="233" t="n"/>
      <c r="R519" s="233" t="n"/>
      <c r="S519" s="232" t="n"/>
      <c r="T519" s="233" t="n"/>
      <c r="U519" s="233" t="n"/>
      <c r="V519" s="233" t="n"/>
      <c r="W519" s="232" t="n"/>
    </row>
    <row r="520" ht="54.95" customFormat="1" customHeight="1" s="235">
      <c r="A520" s="234" t="n"/>
      <c r="B520" s="234" t="n"/>
      <c r="C520" s="234" t="n"/>
      <c r="D520" s="234" t="n"/>
      <c r="E520" s="234" t="n"/>
      <c r="F520" s="234" t="n"/>
      <c r="G520" s="234" t="n"/>
      <c r="H520" s="234" t="n"/>
      <c r="I520" s="234" t="n"/>
      <c r="J520" s="234" t="n"/>
      <c r="K520" s="234" t="n"/>
      <c r="L520" s="234" t="n"/>
      <c r="M520" s="232" t="n"/>
      <c r="N520" s="233" t="n"/>
      <c r="O520" s="232" t="n"/>
      <c r="P520" s="234" t="n"/>
      <c r="Q520" s="234" t="n"/>
      <c r="R520" s="234" t="n"/>
      <c r="S520" s="234" t="n"/>
      <c r="T520" s="234" t="n"/>
      <c r="U520" s="234" t="n"/>
      <c r="V520" s="234" t="n"/>
      <c r="W520" s="234" t="n"/>
    </row>
    <row r="521" ht="54.95" customFormat="1" customHeight="1" s="235">
      <c r="A521" s="234" t="n"/>
      <c r="B521" s="234" t="n"/>
      <c r="C521" s="234" t="n"/>
      <c r="D521" s="234" t="n"/>
      <c r="E521" s="234" t="n"/>
      <c r="F521" s="234" t="n"/>
      <c r="G521" s="234" t="n"/>
      <c r="H521" s="234" t="n"/>
      <c r="I521" s="234" t="n"/>
      <c r="J521" s="234" t="n"/>
      <c r="K521" s="234" t="n"/>
      <c r="L521" s="234" t="n"/>
      <c r="M521" s="232" t="n"/>
      <c r="N521" s="233" t="n"/>
      <c r="O521" s="232" t="n"/>
      <c r="P521" s="234" t="n"/>
      <c r="Q521" s="234" t="n"/>
      <c r="R521" s="234" t="n"/>
      <c r="S521" s="234" t="n"/>
      <c r="T521" s="234" t="n"/>
      <c r="U521" s="234" t="n"/>
      <c r="V521" s="234" t="n"/>
      <c r="W521" s="234" t="n"/>
    </row>
    <row r="522" ht="54.95" customFormat="1" customHeight="1" s="235">
      <c r="A522" s="232" t="n"/>
      <c r="B522" s="232" t="n"/>
      <c r="C522" s="232" t="n"/>
      <c r="D522" s="233" t="n"/>
      <c r="E522" s="232" t="n"/>
      <c r="F522" s="233" t="n"/>
      <c r="G522" s="233" t="n"/>
      <c r="H522" s="233" t="n"/>
      <c r="I522" s="232" t="n"/>
      <c r="J522" s="233" t="n"/>
      <c r="K522" s="232" t="n"/>
      <c r="L522" s="232" t="n"/>
      <c r="M522" s="232" t="n"/>
      <c r="N522" s="233" t="n"/>
      <c r="O522" s="232" t="n"/>
      <c r="P522" s="233" t="n"/>
      <c r="Q522" s="233" t="n"/>
      <c r="R522" s="233" t="n"/>
      <c r="S522" s="232" t="n"/>
      <c r="T522" s="233" t="n"/>
      <c r="U522" s="233" t="n"/>
      <c r="V522" s="233" t="n"/>
      <c r="W522" s="232" t="n"/>
    </row>
    <row r="523" ht="54.95" customFormat="1" customHeight="1" s="235">
      <c r="A523" s="232" t="n"/>
      <c r="B523" s="232" t="n"/>
      <c r="C523" s="232" t="n"/>
      <c r="D523" s="233" t="n"/>
      <c r="E523" s="232" t="n"/>
      <c r="F523" s="233" t="n"/>
      <c r="G523" s="233" t="n"/>
      <c r="H523" s="233" t="n"/>
      <c r="I523" s="232" t="n"/>
      <c r="J523" s="233" t="n"/>
      <c r="K523" s="232" t="n"/>
      <c r="L523" s="232" t="n"/>
      <c r="M523" s="232" t="n"/>
      <c r="N523" s="233" t="n"/>
      <c r="O523" s="232" t="n"/>
      <c r="P523" s="233" t="n"/>
      <c r="Q523" s="233" t="n"/>
      <c r="R523" s="233" t="n"/>
      <c r="S523" s="232" t="n"/>
      <c r="T523" s="233" t="n"/>
      <c r="U523" s="233" t="n"/>
      <c r="V523" s="233" t="n"/>
      <c r="W523" s="232" t="n"/>
    </row>
    <row r="524" ht="54.95" customFormat="1" customHeight="1" s="235">
      <c r="A524" s="232" t="n"/>
      <c r="B524" s="232" t="n"/>
      <c r="C524" s="232" t="n"/>
      <c r="D524" s="233" t="n"/>
      <c r="E524" s="232" t="n"/>
      <c r="F524" s="233" t="n"/>
      <c r="G524" s="233" t="n"/>
      <c r="H524" s="233" t="n"/>
      <c r="I524" s="232" t="n"/>
      <c r="J524" s="233" t="n"/>
      <c r="K524" s="232" t="n"/>
      <c r="L524" s="232" t="n"/>
      <c r="M524" s="232" t="n"/>
      <c r="N524" s="233" t="n"/>
      <c r="O524" s="232" t="n"/>
      <c r="P524" s="233" t="n"/>
      <c r="Q524" s="233" t="n"/>
      <c r="R524" s="233" t="n"/>
      <c r="S524" s="232" t="n"/>
      <c r="T524" s="233" t="n"/>
      <c r="U524" s="233" t="n"/>
      <c r="V524" s="233" t="n"/>
      <c r="W524" s="232" t="n"/>
    </row>
    <row r="525" ht="54.95" customFormat="1" customHeight="1" s="235">
      <c r="A525" s="232" t="n"/>
      <c r="B525" s="232" t="n"/>
      <c r="C525" s="232" t="n"/>
      <c r="D525" s="233" t="n"/>
      <c r="E525" s="232" t="n"/>
      <c r="F525" s="233" t="n"/>
      <c r="G525" s="233" t="n"/>
      <c r="H525" s="233" t="n"/>
      <c r="I525" s="232" t="n"/>
      <c r="J525" s="233" t="n"/>
      <c r="K525" s="232" t="n"/>
      <c r="L525" s="232" t="n"/>
      <c r="M525" s="232" t="n"/>
      <c r="N525" s="233" t="n"/>
      <c r="O525" s="232" t="n"/>
      <c r="P525" s="233" t="n"/>
      <c r="Q525" s="233" t="n"/>
      <c r="R525" s="233" t="n"/>
      <c r="S525" s="232" t="n"/>
      <c r="T525" s="233" t="n"/>
      <c r="U525" s="233" t="n"/>
      <c r="V525" s="233" t="n"/>
      <c r="W525" s="232" t="n"/>
    </row>
    <row r="526" ht="54.95" customFormat="1" customHeight="1" s="235">
      <c r="A526" s="232" t="n"/>
      <c r="B526" s="232" t="n"/>
      <c r="C526" s="232" t="n"/>
      <c r="D526" s="233" t="n"/>
      <c r="E526" s="232" t="n"/>
      <c r="F526" s="233" t="n"/>
      <c r="G526" s="233" t="n"/>
      <c r="H526" s="233" t="n"/>
      <c r="I526" s="232" t="n"/>
      <c r="J526" s="233" t="n"/>
      <c r="K526" s="232" t="n"/>
      <c r="L526" s="232" t="n"/>
      <c r="M526" s="232" t="n"/>
      <c r="N526" s="233" t="n"/>
      <c r="O526" s="232" t="n"/>
      <c r="P526" s="233" t="n"/>
      <c r="Q526" s="233" t="n"/>
      <c r="R526" s="233" t="n"/>
      <c r="S526" s="232" t="n"/>
      <c r="T526" s="233" t="n"/>
      <c r="U526" s="233" t="n"/>
      <c r="V526" s="233" t="n"/>
      <c r="W526" s="232" t="n"/>
    </row>
    <row r="527" ht="54.95" customFormat="1" customHeight="1" s="235">
      <c r="A527" s="232" t="n"/>
      <c r="B527" s="232" t="n"/>
      <c r="C527" s="232" t="n"/>
      <c r="D527" s="233" t="n"/>
      <c r="E527" s="232" t="n"/>
      <c r="F527" s="233" t="n"/>
      <c r="G527" s="233" t="n"/>
      <c r="H527" s="233" t="n"/>
      <c r="I527" s="232" t="n"/>
      <c r="J527" s="233" t="n"/>
      <c r="K527" s="232" t="n"/>
      <c r="L527" s="232" t="n"/>
      <c r="M527" s="232" t="n"/>
      <c r="N527" s="233" t="n"/>
      <c r="O527" s="232" t="n"/>
      <c r="P527" s="233" t="n"/>
      <c r="Q527" s="233" t="n"/>
      <c r="R527" s="233" t="n"/>
      <c r="S527" s="232" t="n"/>
      <c r="T527" s="233" t="n"/>
      <c r="U527" s="233" t="n"/>
      <c r="V527" s="233" t="n"/>
      <c r="W527" s="232" t="n"/>
    </row>
    <row r="528" ht="54.95" customFormat="1" customHeight="1" s="235">
      <c r="A528" s="232" t="n"/>
      <c r="B528" s="232" t="n"/>
      <c r="C528" s="232" t="n"/>
      <c r="D528" s="233" t="n"/>
      <c r="E528" s="232" t="n"/>
      <c r="F528" s="233" t="n"/>
      <c r="G528" s="233" t="n"/>
      <c r="H528" s="233" t="n"/>
      <c r="I528" s="232" t="n"/>
      <c r="J528" s="233" t="n"/>
      <c r="K528" s="232" t="n"/>
      <c r="L528" s="232" t="n"/>
      <c r="M528" s="232" t="n"/>
      <c r="N528" s="233" t="n"/>
      <c r="O528" s="232" t="n"/>
      <c r="P528" s="233" t="n"/>
      <c r="Q528" s="233" t="n"/>
      <c r="R528" s="233" t="n"/>
      <c r="S528" s="232" t="n"/>
      <c r="T528" s="233" t="n"/>
      <c r="U528" s="233" t="n"/>
      <c r="V528" s="233" t="n"/>
      <c r="W528" s="232" t="n"/>
    </row>
    <row r="529" ht="54.95" customFormat="1" customHeight="1" s="235">
      <c r="A529" s="232" t="n"/>
      <c r="B529" s="232" t="n"/>
      <c r="C529" s="232" t="n"/>
      <c r="D529" s="233" t="n"/>
      <c r="E529" s="232" t="n"/>
      <c r="F529" s="233" t="n"/>
      <c r="G529" s="233" t="n"/>
      <c r="H529" s="233" t="n"/>
      <c r="I529" s="232" t="n"/>
      <c r="J529" s="233" t="n"/>
      <c r="K529" s="232" t="n"/>
      <c r="L529" s="232" t="n"/>
      <c r="M529" s="232" t="n"/>
      <c r="N529" s="233" t="n"/>
      <c r="O529" s="232" t="n"/>
      <c r="P529" s="233" t="n"/>
      <c r="Q529" s="233" t="n"/>
      <c r="R529" s="233" t="n"/>
      <c r="S529" s="232" t="n"/>
      <c r="T529" s="233" t="n"/>
      <c r="U529" s="233" t="n"/>
      <c r="V529" s="233" t="n"/>
      <c r="W529" s="232" t="n"/>
    </row>
    <row r="530" ht="54.95" customFormat="1" customHeight="1" s="235">
      <c r="A530" s="232" t="n"/>
      <c r="B530" s="232" t="n"/>
      <c r="C530" s="232" t="n"/>
      <c r="D530" s="233" t="n"/>
      <c r="E530" s="232" t="n"/>
      <c r="F530" s="233" t="n"/>
      <c r="G530" s="233" t="n"/>
      <c r="H530" s="233" t="n"/>
      <c r="I530" s="232" t="n"/>
      <c r="J530" s="233" t="n"/>
      <c r="K530" s="232" t="n"/>
      <c r="L530" s="232" t="n"/>
      <c r="M530" s="232" t="n"/>
      <c r="N530" s="233" t="n"/>
      <c r="O530" s="232" t="n"/>
      <c r="P530" s="233" t="n"/>
      <c r="Q530" s="233" t="n"/>
      <c r="R530" s="233" t="n"/>
      <c r="S530" s="232" t="n"/>
      <c r="T530" s="233" t="n"/>
      <c r="U530" s="233" t="n"/>
      <c r="V530" s="233" t="n"/>
      <c r="W530" s="232" t="n"/>
    </row>
    <row r="531" ht="54.95" customFormat="1" customHeight="1" s="235">
      <c r="A531" s="232" t="n"/>
      <c r="B531" s="232" t="n"/>
      <c r="C531" s="232" t="n"/>
      <c r="D531" s="233" t="n"/>
      <c r="E531" s="232" t="n"/>
      <c r="F531" s="233" t="n"/>
      <c r="G531" s="233" t="n"/>
      <c r="H531" s="233" t="n"/>
      <c r="I531" s="232" t="n"/>
      <c r="J531" s="233" t="n"/>
      <c r="K531" s="232" t="n"/>
      <c r="L531" s="232" t="n"/>
      <c r="M531" s="232" t="n"/>
      <c r="N531" s="233" t="n"/>
      <c r="O531" s="232" t="n"/>
      <c r="P531" s="233" t="n"/>
      <c r="Q531" s="233" t="n"/>
      <c r="R531" s="233" t="n"/>
      <c r="S531" s="232" t="n"/>
      <c r="T531" s="233" t="n"/>
      <c r="U531" s="233" t="n"/>
      <c r="V531" s="233" t="n"/>
      <c r="W531" s="232" t="n"/>
    </row>
    <row r="532" ht="54.95" customFormat="1" customHeight="1" s="235">
      <c r="A532" s="232" t="n"/>
      <c r="B532" s="232" t="n"/>
      <c r="C532" s="232" t="n"/>
      <c r="D532" s="233" t="n"/>
      <c r="E532" s="232" t="n"/>
      <c r="F532" s="233" t="n"/>
      <c r="G532" s="233" t="n"/>
      <c r="H532" s="233" t="n"/>
      <c r="I532" s="232" t="n"/>
      <c r="J532" s="233" t="n"/>
      <c r="K532" s="232" t="n"/>
      <c r="L532" s="232" t="n"/>
      <c r="M532" s="232" t="n"/>
      <c r="N532" s="233" t="n"/>
      <c r="O532" s="232" t="n"/>
      <c r="P532" s="233" t="n"/>
      <c r="Q532" s="233" t="n"/>
      <c r="R532" s="233" t="n"/>
      <c r="S532" s="232" t="n"/>
      <c r="T532" s="233" t="n"/>
      <c r="U532" s="233" t="n"/>
      <c r="V532" s="233" t="n"/>
      <c r="W532" s="232" t="n"/>
    </row>
    <row r="533" ht="54.95" customFormat="1" customHeight="1" s="235">
      <c r="A533" s="232" t="n"/>
      <c r="B533" s="232" t="n"/>
      <c r="C533" s="232" t="n"/>
      <c r="D533" s="233" t="n"/>
      <c r="E533" s="232" t="n"/>
      <c r="F533" s="233" t="n"/>
      <c r="G533" s="233" t="n"/>
      <c r="H533" s="233" t="n"/>
      <c r="I533" s="232" t="n"/>
      <c r="J533" s="233" t="n"/>
      <c r="K533" s="232" t="n"/>
      <c r="L533" s="232" t="n"/>
      <c r="M533" s="232" t="n"/>
      <c r="N533" s="233" t="n"/>
      <c r="O533" s="232" t="n"/>
      <c r="P533" s="233" t="n"/>
      <c r="Q533" s="233" t="n"/>
      <c r="R533" s="233" t="n"/>
      <c r="S533" s="232" t="n"/>
      <c r="T533" s="233" t="n"/>
      <c r="U533" s="233" t="n"/>
      <c r="V533" s="233" t="n"/>
      <c r="W533" s="232" t="n"/>
    </row>
    <row r="534" ht="54.95" customFormat="1" customHeight="1" s="235">
      <c r="A534" s="232" t="n"/>
      <c r="B534" s="232" t="n"/>
      <c r="C534" s="232" t="n"/>
      <c r="D534" s="233" t="n"/>
      <c r="E534" s="232" t="n"/>
      <c r="F534" s="233" t="n"/>
      <c r="G534" s="233" t="n"/>
      <c r="H534" s="233" t="n"/>
      <c r="I534" s="232" t="n"/>
      <c r="J534" s="233" t="n"/>
      <c r="K534" s="232" t="n"/>
      <c r="L534" s="232" t="n"/>
      <c r="M534" s="232" t="n"/>
      <c r="N534" s="233" t="n"/>
      <c r="O534" s="232" t="n"/>
      <c r="P534" s="233" t="n"/>
      <c r="Q534" s="233" t="n"/>
      <c r="R534" s="233" t="n"/>
      <c r="S534" s="232" t="n"/>
      <c r="T534" s="233" t="n"/>
      <c r="U534" s="233" t="n"/>
      <c r="V534" s="233" t="n"/>
      <c r="W534" s="232" t="n"/>
    </row>
    <row r="535" ht="54.95" customFormat="1" customHeight="1" s="235">
      <c r="A535" s="232" t="n"/>
      <c r="B535" s="232" t="n"/>
      <c r="C535" s="232" t="n"/>
      <c r="D535" s="233" t="n"/>
      <c r="E535" s="232" t="n"/>
      <c r="F535" s="233" t="n"/>
      <c r="G535" s="233" t="n"/>
      <c r="H535" s="233" t="n"/>
      <c r="I535" s="232" t="n"/>
      <c r="J535" s="233" t="n"/>
      <c r="K535" s="232" t="n"/>
      <c r="L535" s="232" t="n"/>
      <c r="M535" s="232" t="n"/>
      <c r="N535" s="233" t="n"/>
      <c r="O535" s="232" t="n"/>
      <c r="P535" s="233" t="n"/>
      <c r="Q535" s="233" t="n"/>
      <c r="R535" s="233" t="n"/>
      <c r="S535" s="232" t="n"/>
      <c r="T535" s="233" t="n"/>
      <c r="U535" s="233" t="n"/>
      <c r="V535" s="233" t="n"/>
      <c r="W535" s="232" t="n"/>
    </row>
    <row r="536" ht="54.95" customFormat="1" customHeight="1" s="235">
      <c r="A536" s="232" t="n"/>
      <c r="B536" s="232" t="n"/>
      <c r="C536" s="232" t="n"/>
      <c r="D536" s="233" t="n"/>
      <c r="E536" s="232" t="n"/>
      <c r="F536" s="233" t="n"/>
      <c r="G536" s="233" t="n"/>
      <c r="H536" s="233" t="n"/>
      <c r="I536" s="232" t="n"/>
      <c r="J536" s="233" t="n"/>
      <c r="K536" s="232" t="n"/>
      <c r="L536" s="232" t="n"/>
      <c r="M536" s="232" t="n"/>
      <c r="N536" s="233" t="n"/>
      <c r="O536" s="232" t="n"/>
      <c r="P536" s="233" t="n"/>
      <c r="Q536" s="233" t="n"/>
      <c r="R536" s="233" t="n"/>
      <c r="S536" s="232" t="n"/>
      <c r="T536" s="233" t="n"/>
      <c r="U536" s="233" t="n"/>
      <c r="V536" s="233" t="n"/>
      <c r="W536" s="232" t="n"/>
    </row>
    <row r="537" ht="54.95" customFormat="1" customHeight="1" s="235">
      <c r="A537" s="232" t="n"/>
      <c r="B537" s="232" t="n"/>
      <c r="C537" s="232" t="n"/>
      <c r="D537" s="233" t="n"/>
      <c r="E537" s="232" t="n"/>
      <c r="F537" s="233" t="n"/>
      <c r="G537" s="233" t="n"/>
      <c r="H537" s="233" t="n"/>
      <c r="I537" s="232" t="n"/>
      <c r="J537" s="233" t="n"/>
      <c r="K537" s="232" t="n"/>
      <c r="L537" s="232" t="n"/>
      <c r="M537" s="232" t="n"/>
      <c r="N537" s="233" t="n"/>
      <c r="O537" s="232" t="n"/>
      <c r="P537" s="233" t="n"/>
      <c r="Q537" s="233" t="n"/>
      <c r="R537" s="233" t="n"/>
      <c r="S537" s="232" t="n"/>
      <c r="T537" s="233" t="n"/>
      <c r="U537" s="233" t="n"/>
      <c r="V537" s="233" t="n"/>
      <c r="W537" s="232" t="n"/>
    </row>
    <row r="538" ht="54.95" customFormat="1" customHeight="1" s="235">
      <c r="A538" s="234" t="n"/>
      <c r="B538" s="234" t="n"/>
      <c r="C538" s="234" t="n"/>
      <c r="D538" s="234" t="n"/>
      <c r="E538" s="234" t="n"/>
      <c r="F538" s="234" t="n"/>
      <c r="G538" s="234" t="n"/>
      <c r="H538" s="234" t="n"/>
      <c r="I538" s="234" t="n"/>
      <c r="J538" s="234" t="n"/>
      <c r="K538" s="234" t="n"/>
      <c r="L538" s="234" t="n"/>
      <c r="M538" s="232" t="n"/>
      <c r="N538" s="233" t="n"/>
      <c r="O538" s="232" t="n"/>
      <c r="P538" s="234" t="n"/>
      <c r="Q538" s="234" t="n"/>
      <c r="R538" s="234" t="n"/>
      <c r="S538" s="234" t="n"/>
      <c r="T538" s="234" t="n"/>
      <c r="U538" s="234" t="n"/>
      <c r="V538" s="234" t="n"/>
      <c r="W538" s="234" t="n"/>
    </row>
    <row r="539" ht="54.95" customFormat="1" customHeight="1" s="235">
      <c r="A539" s="234" t="n"/>
      <c r="B539" s="234" t="n"/>
      <c r="C539" s="234" t="n"/>
      <c r="D539" s="234" t="n"/>
      <c r="E539" s="234" t="n"/>
      <c r="F539" s="234" t="n"/>
      <c r="G539" s="234" t="n"/>
      <c r="H539" s="234" t="n"/>
      <c r="I539" s="234" t="n"/>
      <c r="J539" s="234" t="n"/>
      <c r="K539" s="234" t="n"/>
      <c r="L539" s="234" t="n"/>
      <c r="M539" s="232" t="n"/>
      <c r="N539" s="233" t="n"/>
      <c r="O539" s="232" t="n"/>
      <c r="P539" s="234" t="n"/>
      <c r="Q539" s="234" t="n"/>
      <c r="R539" s="234" t="n"/>
      <c r="S539" s="234" t="n"/>
      <c r="T539" s="234" t="n"/>
      <c r="U539" s="234" t="n"/>
      <c r="V539" s="234" t="n"/>
      <c r="W539" s="234" t="n"/>
    </row>
    <row r="540" ht="54.95" customFormat="1" customHeight="1" s="235">
      <c r="A540" s="234" t="n"/>
      <c r="B540" s="234" t="n"/>
      <c r="C540" s="234" t="n"/>
      <c r="D540" s="234" t="n"/>
      <c r="E540" s="234" t="n"/>
      <c r="F540" s="234" t="n"/>
      <c r="G540" s="234" t="n"/>
      <c r="H540" s="234" t="n"/>
      <c r="I540" s="234" t="n"/>
      <c r="J540" s="234" t="n"/>
      <c r="K540" s="234" t="n"/>
      <c r="L540" s="234" t="n"/>
      <c r="M540" s="232" t="n"/>
      <c r="N540" s="233" t="n"/>
      <c r="O540" s="232" t="n"/>
      <c r="P540" s="234" t="n"/>
      <c r="Q540" s="234" t="n"/>
      <c r="R540" s="234" t="n"/>
      <c r="S540" s="234" t="n"/>
      <c r="T540" s="234" t="n"/>
      <c r="U540" s="234" t="n"/>
      <c r="V540" s="234" t="n"/>
      <c r="W540" s="234" t="n"/>
    </row>
    <row r="541" ht="54.95" customFormat="1" customHeight="1" s="235">
      <c r="A541" s="234" t="n"/>
      <c r="B541" s="234" t="n"/>
      <c r="C541" s="234" t="n"/>
      <c r="D541" s="234" t="n"/>
      <c r="E541" s="234" t="n"/>
      <c r="F541" s="234" t="n"/>
      <c r="G541" s="234" t="n"/>
      <c r="H541" s="234" t="n"/>
      <c r="I541" s="234" t="n"/>
      <c r="J541" s="234" t="n"/>
      <c r="K541" s="234" t="n"/>
      <c r="L541" s="234" t="n"/>
      <c r="M541" s="232" t="n"/>
      <c r="N541" s="233" t="n"/>
      <c r="O541" s="232" t="n"/>
      <c r="P541" s="234" t="n"/>
      <c r="Q541" s="234" t="n"/>
      <c r="R541" s="234" t="n"/>
      <c r="S541" s="234" t="n"/>
      <c r="T541" s="234" t="n"/>
      <c r="U541" s="234" t="n"/>
      <c r="V541" s="234" t="n"/>
      <c r="W541" s="234" t="n"/>
    </row>
    <row r="542" ht="54.95" customFormat="1" customHeight="1" s="235">
      <c r="A542" s="234" t="n"/>
      <c r="B542" s="234" t="n"/>
      <c r="C542" s="234" t="n"/>
      <c r="D542" s="234" t="n"/>
      <c r="E542" s="234" t="n"/>
      <c r="F542" s="234" t="n"/>
      <c r="G542" s="234" t="n"/>
      <c r="H542" s="234" t="n"/>
      <c r="I542" s="234" t="n"/>
      <c r="J542" s="234" t="n"/>
      <c r="K542" s="234" t="n"/>
      <c r="L542" s="234" t="n"/>
      <c r="M542" s="232" t="n"/>
      <c r="N542" s="233" t="n"/>
      <c r="O542" s="232" t="n"/>
      <c r="P542" s="234" t="n"/>
      <c r="Q542" s="234" t="n"/>
      <c r="R542" s="234" t="n"/>
      <c r="S542" s="234" t="n"/>
      <c r="T542" s="234" t="n"/>
      <c r="U542" s="234" t="n"/>
      <c r="V542" s="234" t="n"/>
      <c r="W542" s="234" t="n"/>
    </row>
    <row r="543" ht="54.95" customFormat="1" customHeight="1" s="235">
      <c r="A543" s="234" t="n"/>
      <c r="B543" s="234" t="n"/>
      <c r="C543" s="234" t="n"/>
      <c r="D543" s="234" t="n"/>
      <c r="E543" s="234" t="n"/>
      <c r="F543" s="234" t="n"/>
      <c r="G543" s="234" t="n"/>
      <c r="H543" s="234" t="n"/>
      <c r="I543" s="234" t="n"/>
      <c r="J543" s="234" t="n"/>
      <c r="K543" s="234" t="n"/>
      <c r="L543" s="234" t="n"/>
      <c r="M543" s="232" t="n"/>
      <c r="N543" s="233" t="n"/>
      <c r="O543" s="232" t="n"/>
      <c r="P543" s="234" t="n"/>
      <c r="Q543" s="234" t="n"/>
      <c r="R543" s="234" t="n"/>
      <c r="S543" s="234" t="n"/>
      <c r="T543" s="234" t="n"/>
      <c r="U543" s="234" t="n"/>
      <c r="V543" s="234" t="n"/>
      <c r="W543" s="234" t="n"/>
    </row>
    <row r="544" ht="54.95" customFormat="1" customHeight="1" s="235">
      <c r="A544" s="234" t="n"/>
      <c r="B544" s="234" t="n"/>
      <c r="C544" s="234" t="n"/>
      <c r="D544" s="234" t="n"/>
      <c r="E544" s="234" t="n"/>
      <c r="F544" s="234" t="n"/>
      <c r="G544" s="234" t="n"/>
      <c r="H544" s="234" t="n"/>
      <c r="I544" s="234" t="n"/>
      <c r="J544" s="234" t="n"/>
      <c r="K544" s="234" t="n"/>
      <c r="L544" s="234" t="n"/>
      <c r="M544" s="232" t="n"/>
      <c r="N544" s="233" t="n"/>
      <c r="O544" s="232" t="n"/>
      <c r="P544" s="234" t="n"/>
      <c r="Q544" s="234" t="n"/>
      <c r="R544" s="234" t="n"/>
      <c r="S544" s="234" t="n"/>
      <c r="T544" s="234" t="n"/>
      <c r="U544" s="234" t="n"/>
      <c r="V544" s="234" t="n"/>
      <c r="W544" s="234" t="n"/>
    </row>
    <row r="545" ht="54.95" customFormat="1" customHeight="1" s="235">
      <c r="A545" s="234" t="n"/>
      <c r="B545" s="234" t="n"/>
      <c r="C545" s="234" t="n"/>
      <c r="D545" s="234" t="n"/>
      <c r="E545" s="234" t="n"/>
      <c r="F545" s="234" t="n"/>
      <c r="G545" s="234" t="n"/>
      <c r="H545" s="234" t="n"/>
      <c r="I545" s="234" t="n"/>
      <c r="J545" s="234" t="n"/>
      <c r="K545" s="234" t="n"/>
      <c r="L545" s="234" t="n"/>
      <c r="M545" s="232" t="n"/>
      <c r="N545" s="233" t="n"/>
      <c r="O545" s="232" t="n"/>
      <c r="P545" s="234" t="n"/>
      <c r="Q545" s="234" t="n"/>
      <c r="R545" s="234" t="n"/>
      <c r="S545" s="234" t="n"/>
      <c r="T545" s="234" t="n"/>
      <c r="U545" s="234" t="n"/>
      <c r="V545" s="234" t="n"/>
      <c r="W545" s="234" t="n"/>
    </row>
    <row r="546" ht="54.95" customFormat="1" customHeight="1" s="235">
      <c r="A546" s="234" t="n"/>
      <c r="B546" s="234" t="n"/>
      <c r="C546" s="234" t="n"/>
      <c r="D546" s="234" t="n"/>
      <c r="E546" s="234" t="n"/>
      <c r="F546" s="234" t="n"/>
      <c r="G546" s="234" t="n"/>
      <c r="H546" s="234" t="n"/>
      <c r="I546" s="234" t="n"/>
      <c r="J546" s="234" t="n"/>
      <c r="K546" s="234" t="n"/>
      <c r="L546" s="234" t="n"/>
      <c r="M546" s="232" t="n"/>
      <c r="N546" s="233" t="n"/>
      <c r="O546" s="232" t="n"/>
      <c r="P546" s="234" t="n"/>
      <c r="Q546" s="234" t="n"/>
      <c r="R546" s="234" t="n"/>
      <c r="S546" s="234" t="n"/>
      <c r="T546" s="234" t="n"/>
      <c r="U546" s="234" t="n"/>
      <c r="V546" s="234" t="n"/>
      <c r="W546" s="234" t="n"/>
    </row>
    <row r="547" ht="54.95" customFormat="1" customHeight="1" s="235">
      <c r="A547" s="234" t="n"/>
      <c r="B547" s="234" t="n"/>
      <c r="C547" s="234" t="n"/>
      <c r="D547" s="234" t="n"/>
      <c r="E547" s="234" t="n"/>
      <c r="F547" s="234" t="n"/>
      <c r="G547" s="234" t="n"/>
      <c r="H547" s="234" t="n"/>
      <c r="I547" s="234" t="n"/>
      <c r="J547" s="234" t="n"/>
      <c r="K547" s="234" t="n"/>
      <c r="L547" s="234" t="n"/>
      <c r="M547" s="232" t="n"/>
      <c r="N547" s="233" t="n"/>
      <c r="O547" s="232" t="n"/>
      <c r="P547" s="234" t="n"/>
      <c r="Q547" s="234" t="n"/>
      <c r="R547" s="234" t="n"/>
      <c r="S547" s="234" t="n"/>
      <c r="T547" s="234" t="n"/>
      <c r="U547" s="234" t="n"/>
      <c r="V547" s="234" t="n"/>
      <c r="W547" s="234" t="n"/>
    </row>
    <row r="548" ht="54.95" customFormat="1" customHeight="1" s="235">
      <c r="A548" s="234" t="n"/>
      <c r="B548" s="234" t="n"/>
      <c r="C548" s="234" t="n"/>
      <c r="D548" s="234" t="n"/>
      <c r="E548" s="234" t="n"/>
      <c r="F548" s="234" t="n"/>
      <c r="G548" s="234" t="n"/>
      <c r="H548" s="234" t="n"/>
      <c r="I548" s="234" t="n"/>
      <c r="J548" s="234" t="n"/>
      <c r="K548" s="234" t="n"/>
      <c r="L548" s="234" t="n"/>
      <c r="M548" s="232" t="n"/>
      <c r="N548" s="233" t="n"/>
      <c r="O548" s="232" t="n"/>
      <c r="P548" s="234" t="n"/>
      <c r="Q548" s="234" t="n"/>
      <c r="R548" s="234" t="n"/>
      <c r="S548" s="234" t="n"/>
      <c r="T548" s="234" t="n"/>
      <c r="U548" s="234" t="n"/>
      <c r="V548" s="234" t="n"/>
      <c r="W548" s="234" t="n"/>
    </row>
    <row r="549" ht="54.95" customFormat="1" customHeight="1" s="235">
      <c r="A549" s="232" t="n"/>
      <c r="B549" s="232" t="n"/>
      <c r="C549" s="232" t="n"/>
      <c r="D549" s="233" t="n"/>
      <c r="E549" s="232" t="n"/>
      <c r="F549" s="233" t="n"/>
      <c r="G549" s="233" t="n"/>
      <c r="H549" s="233" t="n"/>
      <c r="I549" s="232" t="n"/>
      <c r="J549" s="233" t="n"/>
      <c r="K549" s="232" t="n"/>
      <c r="L549" s="232" t="n"/>
      <c r="M549" s="232" t="n"/>
      <c r="N549" s="233" t="n"/>
      <c r="O549" s="232" t="n"/>
      <c r="P549" s="233" t="n"/>
      <c r="Q549" s="233" t="n"/>
      <c r="R549" s="233" t="n"/>
      <c r="S549" s="232" t="n"/>
      <c r="T549" s="233" t="n"/>
      <c r="U549" s="233" t="n"/>
      <c r="V549" s="233" t="n"/>
      <c r="W549" s="232" t="n"/>
    </row>
    <row r="550" ht="54.95" customFormat="1" customHeight="1" s="235">
      <c r="A550" s="232" t="n"/>
      <c r="B550" s="232" t="n"/>
      <c r="C550" s="232" t="n"/>
      <c r="D550" s="233" t="n"/>
      <c r="E550" s="232" t="n"/>
      <c r="F550" s="233" t="n"/>
      <c r="G550" s="233" t="n"/>
      <c r="H550" s="233" t="n"/>
      <c r="I550" s="232" t="n"/>
      <c r="J550" s="233" t="n"/>
      <c r="K550" s="232" t="n"/>
      <c r="L550" s="232" t="n"/>
      <c r="M550" s="232" t="n"/>
      <c r="N550" s="233" t="n"/>
      <c r="O550" s="232" t="n"/>
      <c r="P550" s="233" t="n"/>
      <c r="Q550" s="233" t="n"/>
      <c r="R550" s="233" t="n"/>
      <c r="S550" s="232" t="n"/>
      <c r="T550" s="233" t="n"/>
      <c r="U550" s="233" t="n"/>
      <c r="V550" s="233" t="n"/>
      <c r="W550" s="232" t="n"/>
    </row>
    <row r="551" ht="54.95" customFormat="1" customHeight="1" s="235">
      <c r="A551" s="232" t="n"/>
      <c r="B551" s="232" t="n"/>
      <c r="C551" s="232" t="n"/>
      <c r="D551" s="233" t="n"/>
      <c r="E551" s="232" t="n"/>
      <c r="F551" s="233" t="n"/>
      <c r="G551" s="233" t="n"/>
      <c r="H551" s="233" t="n"/>
      <c r="I551" s="232" t="n"/>
      <c r="J551" s="233" t="n"/>
      <c r="K551" s="232" t="n"/>
      <c r="L551" s="232" t="n"/>
      <c r="M551" s="232" t="n"/>
      <c r="N551" s="233" t="n"/>
      <c r="O551" s="232" t="n"/>
      <c r="P551" s="233" t="n"/>
      <c r="Q551" s="233" t="n"/>
      <c r="R551" s="233" t="n"/>
      <c r="S551" s="232" t="n"/>
      <c r="T551" s="233" t="n"/>
      <c r="U551" s="233" t="n"/>
      <c r="V551" s="233" t="n"/>
      <c r="W551" s="232" t="n"/>
    </row>
    <row r="552" ht="54.95" customFormat="1" customHeight="1" s="235">
      <c r="A552" s="232" t="n"/>
      <c r="B552" s="232" t="n"/>
      <c r="C552" s="232" t="n"/>
      <c r="D552" s="233" t="n"/>
      <c r="E552" s="232" t="n"/>
      <c r="F552" s="233" t="n"/>
      <c r="G552" s="233" t="n"/>
      <c r="H552" s="233" t="n"/>
      <c r="I552" s="232" t="n"/>
      <c r="J552" s="233" t="n"/>
      <c r="K552" s="232" t="n"/>
      <c r="L552" s="232" t="n"/>
      <c r="M552" s="232" t="n"/>
      <c r="N552" s="233" t="n"/>
      <c r="O552" s="232" t="n"/>
      <c r="P552" s="233" t="n"/>
      <c r="Q552" s="233" t="n"/>
      <c r="R552" s="233" t="n"/>
      <c r="S552" s="232" t="n"/>
      <c r="T552" s="233" t="n"/>
      <c r="U552" s="233" t="n"/>
      <c r="V552" s="233" t="n"/>
      <c r="W552" s="232" t="n"/>
    </row>
    <row r="553" ht="54.95" customFormat="1" customHeight="1" s="235">
      <c r="A553" s="232" t="n"/>
      <c r="B553" s="232" t="n"/>
      <c r="C553" s="232" t="n"/>
      <c r="D553" s="233" t="n"/>
      <c r="E553" s="232" t="n"/>
      <c r="F553" s="233" t="n"/>
      <c r="G553" s="233" t="n"/>
      <c r="H553" s="233" t="n"/>
      <c r="I553" s="232" t="n"/>
      <c r="J553" s="233" t="n"/>
      <c r="K553" s="232" t="n"/>
      <c r="L553" s="232" t="n"/>
      <c r="M553" s="232" t="n"/>
      <c r="N553" s="233" t="n"/>
      <c r="O553" s="232" t="n"/>
      <c r="P553" s="233" t="n"/>
      <c r="Q553" s="233" t="n"/>
      <c r="R553" s="233" t="n"/>
      <c r="S553" s="232" t="n"/>
      <c r="T553" s="233" t="n"/>
      <c r="U553" s="233" t="n"/>
      <c r="V553" s="233" t="n"/>
      <c r="W553" s="232" t="n"/>
    </row>
    <row r="554" ht="54.95" customFormat="1" customHeight="1" s="235">
      <c r="A554" s="232" t="n"/>
      <c r="B554" s="232" t="n"/>
      <c r="C554" s="232" t="n"/>
      <c r="D554" s="233" t="n"/>
      <c r="E554" s="232" t="n"/>
      <c r="F554" s="233" t="n"/>
      <c r="G554" s="233" t="n"/>
      <c r="H554" s="233" t="n"/>
      <c r="I554" s="232" t="n"/>
      <c r="J554" s="233" t="n"/>
      <c r="K554" s="232" t="n"/>
      <c r="L554" s="232" t="n"/>
      <c r="M554" s="232" t="n"/>
      <c r="N554" s="233" t="n"/>
      <c r="O554" s="232" t="n"/>
      <c r="P554" s="233" t="n"/>
      <c r="Q554" s="233" t="n"/>
      <c r="R554" s="233" t="n"/>
      <c r="S554" s="232" t="n"/>
      <c r="T554" s="233" t="n"/>
      <c r="U554" s="233" t="n"/>
      <c r="V554" s="233" t="n"/>
      <c r="W554" s="232" t="n"/>
    </row>
    <row r="555" ht="54.95" customFormat="1" customHeight="1" s="235">
      <c r="A555" s="232" t="n"/>
      <c r="B555" s="232" t="n"/>
      <c r="C555" s="232" t="n"/>
      <c r="D555" s="233" t="n"/>
      <c r="E555" s="232" t="n"/>
      <c r="F555" s="233" t="n"/>
      <c r="G555" s="233" t="n"/>
      <c r="H555" s="233" t="n"/>
      <c r="I555" s="232" t="n"/>
      <c r="J555" s="233" t="n"/>
      <c r="K555" s="232" t="n"/>
      <c r="L555" s="232" t="n"/>
      <c r="M555" s="232" t="n"/>
      <c r="N555" s="233" t="n"/>
      <c r="O555" s="232" t="n"/>
      <c r="P555" s="233" t="n"/>
      <c r="Q555" s="233" t="n"/>
      <c r="R555" s="233" t="n"/>
      <c r="S555" s="232" t="n"/>
      <c r="T555" s="233" t="n"/>
      <c r="U555" s="233" t="n"/>
      <c r="V555" s="233" t="n"/>
      <c r="W555" s="232" t="n"/>
    </row>
    <row r="556" ht="54.95" customFormat="1" customHeight="1" s="235">
      <c r="A556" s="234" t="n"/>
      <c r="B556" s="234" t="n"/>
      <c r="C556" s="234" t="n"/>
      <c r="D556" s="234" t="n"/>
      <c r="E556" s="234" t="n"/>
      <c r="F556" s="234" t="n"/>
      <c r="G556" s="234" t="n"/>
      <c r="H556" s="234" t="n"/>
      <c r="I556" s="234" t="n"/>
      <c r="J556" s="234" t="n"/>
      <c r="K556" s="234" t="n"/>
      <c r="L556" s="234" t="n"/>
      <c r="M556" s="232" t="n"/>
      <c r="N556" s="233" t="n"/>
      <c r="O556" s="232" t="n"/>
      <c r="P556" s="234" t="n"/>
      <c r="Q556" s="234" t="n"/>
      <c r="R556" s="234" t="n"/>
      <c r="S556" s="234" t="n"/>
      <c r="T556" s="234" t="n"/>
      <c r="U556" s="234" t="n"/>
      <c r="V556" s="234" t="n"/>
      <c r="W556" s="234" t="n"/>
    </row>
    <row r="557" ht="54.95" customFormat="1" customHeight="1" s="235">
      <c r="A557" s="234" t="n"/>
      <c r="B557" s="234" t="n"/>
      <c r="C557" s="234" t="n"/>
      <c r="D557" s="234" t="n"/>
      <c r="E557" s="234" t="n"/>
      <c r="F557" s="234" t="n"/>
      <c r="G557" s="234" t="n"/>
      <c r="H557" s="234" t="n"/>
      <c r="I557" s="234" t="n"/>
      <c r="J557" s="234" t="n"/>
      <c r="K557" s="234" t="n"/>
      <c r="L557" s="234" t="n"/>
      <c r="M557" s="232" t="n"/>
      <c r="N557" s="233" t="n"/>
      <c r="O557" s="232" t="n"/>
      <c r="P557" s="234" t="n"/>
      <c r="Q557" s="234" t="n"/>
      <c r="R557" s="234" t="n"/>
      <c r="S557" s="234" t="n"/>
      <c r="T557" s="234" t="n"/>
      <c r="U557" s="234" t="n"/>
      <c r="V557" s="234" t="n"/>
      <c r="W557" s="234" t="n"/>
    </row>
    <row r="558" ht="54.95" customFormat="1" customHeight="1" s="235">
      <c r="A558" s="232" t="n"/>
      <c r="B558" s="232" t="n"/>
      <c r="C558" s="232" t="n"/>
      <c r="D558" s="233" t="n"/>
      <c r="E558" s="232" t="n"/>
      <c r="F558" s="233" t="n"/>
      <c r="G558" s="233" t="n"/>
      <c r="H558" s="233" t="n"/>
      <c r="I558" s="232" t="n"/>
      <c r="J558" s="233" t="n"/>
      <c r="K558" s="232" t="n"/>
      <c r="L558" s="232" t="n"/>
      <c r="M558" s="232" t="n"/>
      <c r="N558" s="233" t="n"/>
      <c r="O558" s="232" t="n"/>
      <c r="P558" s="233" t="n"/>
      <c r="Q558" s="233" t="n"/>
      <c r="R558" s="233" t="n"/>
      <c r="S558" s="232" t="n"/>
      <c r="T558" s="233" t="n"/>
      <c r="U558" s="233" t="n"/>
      <c r="V558" s="233" t="n"/>
      <c r="W558" s="232" t="n"/>
    </row>
    <row r="559" ht="54.95" customFormat="1" customHeight="1" s="235">
      <c r="A559" s="234" t="n"/>
      <c r="B559" s="234" t="n"/>
      <c r="C559" s="234" t="n"/>
      <c r="D559" s="234" t="n"/>
      <c r="E559" s="234" t="n"/>
      <c r="F559" s="234" t="n"/>
      <c r="G559" s="234" t="n"/>
      <c r="H559" s="234" t="n"/>
      <c r="I559" s="234" t="n"/>
      <c r="J559" s="234" t="n"/>
      <c r="K559" s="234" t="n"/>
      <c r="L559" s="234" t="n"/>
      <c r="M559" s="232" t="n"/>
      <c r="N559" s="233" t="n"/>
      <c r="O559" s="232" t="n"/>
      <c r="P559" s="234" t="n"/>
      <c r="Q559" s="234" t="n"/>
      <c r="R559" s="234" t="n"/>
      <c r="S559" s="234" t="n"/>
      <c r="T559" s="234" t="n"/>
      <c r="U559" s="234" t="n"/>
      <c r="V559" s="234" t="n"/>
      <c r="W559" s="234" t="n"/>
    </row>
    <row r="560" ht="54.95" customFormat="1" customHeight="1" s="235">
      <c r="A560" s="234" t="n"/>
      <c r="B560" s="234" t="n"/>
      <c r="C560" s="234" t="n"/>
      <c r="D560" s="234" t="n"/>
      <c r="E560" s="234" t="n"/>
      <c r="F560" s="234" t="n"/>
      <c r="G560" s="234" t="n"/>
      <c r="H560" s="234" t="n"/>
      <c r="I560" s="234" t="n"/>
      <c r="J560" s="234" t="n"/>
      <c r="K560" s="234" t="n"/>
      <c r="L560" s="234" t="n"/>
      <c r="M560" s="232" t="n"/>
      <c r="N560" s="233" t="n"/>
      <c r="O560" s="232" t="n"/>
      <c r="P560" s="234" t="n"/>
      <c r="Q560" s="234" t="n"/>
      <c r="R560" s="234" t="n"/>
      <c r="S560" s="234" t="n"/>
      <c r="T560" s="234" t="n"/>
      <c r="U560" s="234" t="n"/>
      <c r="V560" s="234" t="n"/>
      <c r="W560" s="234" t="n"/>
    </row>
    <row r="561" ht="54.95" customFormat="1" customHeight="1" s="235">
      <c r="A561" s="232" t="n"/>
      <c r="B561" s="232" t="n"/>
      <c r="C561" s="232" t="n"/>
      <c r="D561" s="233" t="n"/>
      <c r="E561" s="232" t="n"/>
      <c r="F561" s="233" t="n"/>
      <c r="G561" s="233" t="n"/>
      <c r="H561" s="233" t="n"/>
      <c r="I561" s="232" t="n"/>
      <c r="J561" s="233" t="n"/>
      <c r="K561" s="232" t="n"/>
      <c r="L561" s="232" t="n"/>
      <c r="M561" s="232" t="n"/>
      <c r="N561" s="233" t="n"/>
      <c r="O561" s="232" t="n"/>
      <c r="P561" s="233" t="n"/>
      <c r="Q561" s="233" t="n"/>
      <c r="R561" s="233" t="n"/>
      <c r="S561" s="232" t="n"/>
      <c r="T561" s="233" t="n"/>
      <c r="U561" s="233" t="n"/>
      <c r="V561" s="233" t="n"/>
      <c r="W561" s="232" t="n"/>
    </row>
    <row r="562" ht="54.95" customFormat="1" customHeight="1" s="235">
      <c r="A562" s="232" t="n"/>
      <c r="B562" s="232" t="n"/>
      <c r="C562" s="232" t="n"/>
      <c r="D562" s="233" t="n"/>
      <c r="E562" s="232" t="n"/>
      <c r="F562" s="233" t="n"/>
      <c r="G562" s="233" t="n"/>
      <c r="H562" s="233" t="n"/>
      <c r="I562" s="232" t="n"/>
      <c r="J562" s="233" t="n"/>
      <c r="K562" s="232" t="n"/>
      <c r="L562" s="232" t="n"/>
      <c r="M562" s="232" t="n"/>
      <c r="N562" s="233" t="n"/>
      <c r="O562" s="232" t="n"/>
      <c r="P562" s="233" t="n"/>
      <c r="Q562" s="233" t="n"/>
      <c r="R562" s="233" t="n"/>
      <c r="S562" s="232" t="n"/>
      <c r="T562" s="233" t="n"/>
      <c r="U562" s="233" t="n"/>
      <c r="V562" s="233" t="n"/>
      <c r="W562" s="232" t="n"/>
    </row>
    <row r="563" ht="54.95" customFormat="1" customHeight="1" s="235">
      <c r="A563" s="232" t="n"/>
      <c r="B563" s="232" t="n"/>
      <c r="C563" s="232" t="n"/>
      <c r="D563" s="233" t="n"/>
      <c r="E563" s="232" t="n"/>
      <c r="F563" s="233" t="n"/>
      <c r="G563" s="233" t="n"/>
      <c r="H563" s="233" t="n"/>
      <c r="I563" s="232" t="n"/>
      <c r="J563" s="233" t="n"/>
      <c r="K563" s="232" t="n"/>
      <c r="L563" s="232" t="n"/>
      <c r="M563" s="232" t="n"/>
      <c r="N563" s="233" t="n"/>
      <c r="O563" s="232" t="n"/>
      <c r="P563" s="233" t="n"/>
      <c r="Q563" s="233" t="n"/>
      <c r="R563" s="233" t="n"/>
      <c r="S563" s="232" t="n"/>
      <c r="T563" s="233" t="n"/>
      <c r="U563" s="233" t="n"/>
      <c r="V563" s="233" t="n"/>
      <c r="W563" s="232" t="n"/>
    </row>
    <row r="564" ht="54.95" customFormat="1" customHeight="1" s="235">
      <c r="A564" s="232" t="n"/>
      <c r="B564" s="232" t="n"/>
      <c r="C564" s="232" t="n"/>
      <c r="D564" s="233" t="n"/>
      <c r="E564" s="232" t="n"/>
      <c r="F564" s="233" t="n"/>
      <c r="G564" s="233" t="n"/>
      <c r="H564" s="233" t="n"/>
      <c r="I564" s="232" t="n"/>
      <c r="J564" s="233" t="n"/>
      <c r="K564" s="232" t="n"/>
      <c r="L564" s="232" t="n"/>
      <c r="M564" s="232" t="n"/>
      <c r="N564" s="233" t="n"/>
      <c r="O564" s="232" t="n"/>
      <c r="P564" s="233" t="n"/>
      <c r="Q564" s="233" t="n"/>
      <c r="R564" s="233" t="n"/>
      <c r="S564" s="232" t="n"/>
      <c r="T564" s="233" t="n"/>
      <c r="U564" s="233" t="n"/>
      <c r="V564" s="233" t="n"/>
      <c r="W564" s="232" t="n"/>
    </row>
    <row r="565" ht="54.95" customFormat="1" customHeight="1" s="235">
      <c r="A565" s="232" t="n"/>
      <c r="B565" s="232" t="n"/>
      <c r="C565" s="232" t="n"/>
      <c r="D565" s="233" t="n"/>
      <c r="E565" s="232" t="n"/>
      <c r="F565" s="233" t="n"/>
      <c r="G565" s="233" t="n"/>
      <c r="H565" s="233" t="n"/>
      <c r="I565" s="232" t="n"/>
      <c r="J565" s="233" t="n"/>
      <c r="K565" s="232" t="n"/>
      <c r="L565" s="232" t="n"/>
      <c r="M565" s="232" t="n"/>
      <c r="N565" s="233" t="n"/>
      <c r="O565" s="232" t="n"/>
      <c r="P565" s="233" t="n"/>
      <c r="Q565" s="233" t="n"/>
      <c r="R565" s="233" t="n"/>
      <c r="S565" s="232" t="n"/>
      <c r="T565" s="233" t="n"/>
      <c r="U565" s="233" t="n"/>
      <c r="V565" s="233" t="n"/>
      <c r="W565" s="232" t="n"/>
    </row>
    <row r="566" ht="54.95" customFormat="1" customHeight="1" s="235">
      <c r="A566" s="234" t="n"/>
      <c r="B566" s="234" t="n"/>
      <c r="C566" s="234" t="n"/>
      <c r="D566" s="234" t="n"/>
      <c r="E566" s="234" t="n"/>
      <c r="F566" s="234" t="n"/>
      <c r="G566" s="234" t="n"/>
      <c r="H566" s="234" t="n"/>
      <c r="I566" s="234" t="n"/>
      <c r="J566" s="234" t="n"/>
      <c r="K566" s="234" t="n"/>
      <c r="L566" s="234" t="n"/>
      <c r="M566" s="232" t="n"/>
      <c r="N566" s="233" t="n"/>
      <c r="O566" s="232" t="n"/>
      <c r="P566" s="234" t="n"/>
      <c r="Q566" s="234" t="n"/>
      <c r="R566" s="234" t="n"/>
      <c r="S566" s="234" t="n"/>
      <c r="T566" s="234" t="n"/>
      <c r="U566" s="234" t="n"/>
      <c r="V566" s="234" t="n"/>
      <c r="W566" s="234" t="n"/>
    </row>
    <row r="567" ht="54.95" customFormat="1" customHeight="1" s="235">
      <c r="A567" s="232" t="n"/>
      <c r="B567" s="232" t="n"/>
      <c r="C567" s="232" t="n"/>
      <c r="D567" s="233" t="n"/>
      <c r="E567" s="232" t="n"/>
      <c r="F567" s="233" t="n"/>
      <c r="G567" s="233" t="n"/>
      <c r="H567" s="233" t="n"/>
      <c r="I567" s="232" t="n"/>
      <c r="J567" s="233" t="n"/>
      <c r="K567" s="232" t="n"/>
      <c r="L567" s="232" t="n"/>
      <c r="M567" s="232" t="n"/>
      <c r="N567" s="233" t="n"/>
      <c r="O567" s="232" t="n"/>
      <c r="P567" s="233" t="n"/>
      <c r="Q567" s="233" t="n"/>
      <c r="R567" s="233" t="n"/>
      <c r="S567" s="232" t="n"/>
      <c r="T567" s="233" t="n"/>
      <c r="U567" s="233" t="n"/>
      <c r="V567" s="233" t="n"/>
      <c r="W567" s="232" t="n"/>
    </row>
    <row r="568" ht="54.95" customFormat="1" customHeight="1" s="235">
      <c r="A568" s="232" t="n"/>
      <c r="B568" s="232" t="n"/>
      <c r="C568" s="232" t="n"/>
      <c r="D568" s="233" t="n"/>
      <c r="E568" s="232" t="n"/>
      <c r="F568" s="233" t="n"/>
      <c r="G568" s="233" t="n"/>
      <c r="H568" s="233" t="n"/>
      <c r="I568" s="232" t="n"/>
      <c r="J568" s="233" t="n"/>
      <c r="K568" s="232" t="n"/>
      <c r="L568" s="232" t="n"/>
      <c r="M568" s="232" t="n"/>
      <c r="N568" s="233" t="n"/>
      <c r="O568" s="232" t="n"/>
      <c r="P568" s="233" t="n"/>
      <c r="Q568" s="233" t="n"/>
      <c r="R568" s="233" t="n"/>
      <c r="S568" s="232" t="n"/>
      <c r="T568" s="233" t="n"/>
      <c r="U568" s="233" t="n"/>
      <c r="V568" s="233" t="n"/>
      <c r="W568" s="232" t="n"/>
    </row>
    <row r="569" ht="54.95" customFormat="1" customHeight="1" s="235">
      <c r="A569" s="232" t="n"/>
      <c r="B569" s="232" t="n"/>
      <c r="C569" s="232" t="n"/>
      <c r="D569" s="233" t="n"/>
      <c r="E569" s="232" t="n"/>
      <c r="F569" s="233" t="n"/>
      <c r="G569" s="233" t="n"/>
      <c r="H569" s="233" t="n"/>
      <c r="I569" s="232" t="n"/>
      <c r="J569" s="233" t="n"/>
      <c r="K569" s="232" t="n"/>
      <c r="L569" s="232" t="n"/>
      <c r="M569" s="232" t="n"/>
      <c r="N569" s="233" t="n"/>
      <c r="O569" s="232" t="n"/>
      <c r="P569" s="233" t="n"/>
      <c r="Q569" s="233" t="n"/>
      <c r="R569" s="233" t="n"/>
      <c r="S569" s="232" t="n"/>
      <c r="T569" s="233" t="n"/>
      <c r="U569" s="233" t="n"/>
      <c r="V569" s="233" t="n"/>
      <c r="W569" s="232" t="n"/>
    </row>
    <row r="570" ht="54.95" customFormat="1" customHeight="1" s="235">
      <c r="A570" s="232" t="n"/>
      <c r="B570" s="232" t="n"/>
      <c r="C570" s="232" t="n"/>
      <c r="D570" s="233" t="n"/>
      <c r="E570" s="232" t="n"/>
      <c r="F570" s="233" t="n"/>
      <c r="G570" s="233" t="n"/>
      <c r="H570" s="233" t="n"/>
      <c r="I570" s="232" t="n"/>
      <c r="J570" s="233" t="n"/>
      <c r="K570" s="232" t="n"/>
      <c r="L570" s="232" t="n"/>
      <c r="M570" s="232" t="n"/>
      <c r="N570" s="233" t="n"/>
      <c r="O570" s="232" t="n"/>
      <c r="P570" s="233" t="n"/>
      <c r="Q570" s="233" t="n"/>
      <c r="R570" s="233" t="n"/>
      <c r="S570" s="232" t="n"/>
      <c r="T570" s="233" t="n"/>
      <c r="U570" s="233" t="n"/>
      <c r="V570" s="233" t="n"/>
      <c r="W570" s="232" t="n"/>
    </row>
    <row r="571" ht="54.95" customFormat="1" customHeight="1" s="235">
      <c r="A571" s="232" t="n"/>
      <c r="B571" s="232" t="n"/>
      <c r="C571" s="232" t="n"/>
      <c r="D571" s="233" t="n"/>
      <c r="E571" s="232" t="n"/>
      <c r="F571" s="233" t="n"/>
      <c r="G571" s="233" t="n"/>
      <c r="H571" s="233" t="n"/>
      <c r="I571" s="232" t="n"/>
      <c r="J571" s="233" t="n"/>
      <c r="K571" s="232" t="n"/>
      <c r="L571" s="232" t="n"/>
      <c r="M571" s="232" t="n"/>
      <c r="N571" s="233" t="n"/>
      <c r="O571" s="232" t="n"/>
      <c r="P571" s="233" t="n"/>
      <c r="Q571" s="233" t="n"/>
      <c r="R571" s="233" t="n"/>
      <c r="S571" s="232" t="n"/>
      <c r="T571" s="233" t="n"/>
      <c r="U571" s="233" t="n"/>
      <c r="V571" s="233" t="n"/>
      <c r="W571" s="232" t="n"/>
    </row>
    <row r="572" ht="54.95" customFormat="1" customHeight="1" s="235">
      <c r="A572" s="232" t="n"/>
      <c r="B572" s="232" t="n"/>
      <c r="C572" s="232" t="n"/>
      <c r="D572" s="233" t="n"/>
      <c r="E572" s="232" t="n"/>
      <c r="F572" s="233" t="n"/>
      <c r="G572" s="233" t="n"/>
      <c r="H572" s="233" t="n"/>
      <c r="I572" s="232" t="n"/>
      <c r="J572" s="233" t="n"/>
      <c r="K572" s="232" t="n"/>
      <c r="L572" s="232" t="n"/>
      <c r="M572" s="232" t="n"/>
      <c r="N572" s="233" t="n"/>
      <c r="O572" s="232" t="n"/>
      <c r="P572" s="233" t="n"/>
      <c r="Q572" s="233" t="n"/>
      <c r="R572" s="233" t="n"/>
      <c r="S572" s="232" t="n"/>
      <c r="T572" s="233" t="n"/>
      <c r="U572" s="233" t="n"/>
      <c r="V572" s="233" t="n"/>
      <c r="W572" s="232" t="n"/>
    </row>
    <row r="573" ht="54.95" customFormat="1" customHeight="1" s="235">
      <c r="A573" s="232" t="n"/>
      <c r="B573" s="232" t="n"/>
      <c r="C573" s="232" t="n"/>
      <c r="D573" s="233" t="n"/>
      <c r="E573" s="232" t="n"/>
      <c r="F573" s="233" t="n"/>
      <c r="G573" s="233" t="n"/>
      <c r="H573" s="233" t="n"/>
      <c r="I573" s="232" t="n"/>
      <c r="J573" s="233" t="n"/>
      <c r="K573" s="232" t="n"/>
      <c r="L573" s="232" t="n"/>
      <c r="M573" s="232" t="n"/>
      <c r="N573" s="233" t="n"/>
      <c r="O573" s="232" t="n"/>
      <c r="P573" s="233" t="n"/>
      <c r="Q573" s="233" t="n"/>
      <c r="R573" s="233" t="n"/>
      <c r="S573" s="232" t="n"/>
      <c r="T573" s="233" t="n"/>
      <c r="U573" s="233" t="n"/>
      <c r="V573" s="233" t="n"/>
      <c r="W573" s="232" t="n"/>
    </row>
    <row r="574" ht="54.95" customFormat="1" customHeight="1" s="235">
      <c r="A574" s="234" t="n"/>
      <c r="B574" s="234" t="n"/>
      <c r="C574" s="234" t="n"/>
      <c r="D574" s="234" t="n"/>
      <c r="E574" s="234" t="n"/>
      <c r="F574" s="234" t="n"/>
      <c r="G574" s="234" t="n"/>
      <c r="H574" s="234" t="n"/>
      <c r="I574" s="234" t="n"/>
      <c r="J574" s="234" t="n"/>
      <c r="K574" s="234" t="n"/>
      <c r="L574" s="234" t="n"/>
      <c r="M574" s="232" t="n"/>
      <c r="N574" s="233" t="n"/>
      <c r="O574" s="232" t="n"/>
      <c r="P574" s="234" t="n"/>
      <c r="Q574" s="234" t="n"/>
      <c r="R574" s="234" t="n"/>
      <c r="S574" s="234" t="n"/>
      <c r="T574" s="234" t="n"/>
      <c r="U574" s="234" t="n"/>
      <c r="V574" s="234" t="n"/>
      <c r="W574" s="234" t="n"/>
    </row>
    <row r="575" ht="54.95" customFormat="1" customHeight="1" s="235">
      <c r="A575" s="234" t="n"/>
      <c r="B575" s="234" t="n"/>
      <c r="C575" s="234" t="n"/>
      <c r="D575" s="234" t="n"/>
      <c r="E575" s="234" t="n"/>
      <c r="F575" s="234" t="n"/>
      <c r="G575" s="234" t="n"/>
      <c r="H575" s="234" t="n"/>
      <c r="I575" s="234" t="n"/>
      <c r="J575" s="234" t="n"/>
      <c r="K575" s="234" t="n"/>
      <c r="L575" s="234" t="n"/>
      <c r="M575" s="232" t="n"/>
      <c r="N575" s="233" t="n"/>
      <c r="O575" s="232" t="n"/>
      <c r="P575" s="234" t="n"/>
      <c r="Q575" s="234" t="n"/>
      <c r="R575" s="234" t="n"/>
      <c r="S575" s="234" t="n"/>
      <c r="T575" s="234" t="n"/>
      <c r="U575" s="234" t="n"/>
      <c r="V575" s="234" t="n"/>
      <c r="W575" s="234" t="n"/>
    </row>
    <row r="576" ht="54.95" customFormat="1" customHeight="1" s="235">
      <c r="A576" s="232" t="n"/>
      <c r="B576" s="232" t="n"/>
      <c r="C576" s="232" t="n"/>
      <c r="D576" s="233" t="n"/>
      <c r="E576" s="232" t="n"/>
      <c r="F576" s="233" t="n"/>
      <c r="G576" s="233" t="n"/>
      <c r="H576" s="233" t="n"/>
      <c r="I576" s="232" t="n"/>
      <c r="J576" s="233" t="n"/>
      <c r="K576" s="232" t="n"/>
      <c r="L576" s="232" t="n"/>
      <c r="M576" s="232" t="n"/>
      <c r="N576" s="233" t="n"/>
      <c r="O576" s="232" t="n"/>
      <c r="P576" s="233" t="n"/>
      <c r="Q576" s="233" t="n"/>
      <c r="R576" s="233" t="n"/>
      <c r="S576" s="232" t="n"/>
      <c r="T576" s="233" t="n"/>
      <c r="U576" s="233" t="n"/>
      <c r="V576" s="233" t="n"/>
      <c r="W576" s="232" t="n"/>
    </row>
    <row r="577" ht="54.95" customFormat="1" customHeight="1" s="235">
      <c r="A577" s="232" t="n"/>
      <c r="B577" s="232" t="n"/>
      <c r="C577" s="232" t="n"/>
      <c r="D577" s="233" t="n"/>
      <c r="E577" s="232" t="n"/>
      <c r="F577" s="233" t="n"/>
      <c r="G577" s="233" t="n"/>
      <c r="H577" s="233" t="n"/>
      <c r="I577" s="232" t="n"/>
      <c r="J577" s="233" t="n"/>
      <c r="K577" s="232" t="n"/>
      <c r="L577" s="232" t="n"/>
      <c r="M577" s="232" t="n"/>
      <c r="N577" s="233" t="n"/>
      <c r="O577" s="232" t="n"/>
      <c r="P577" s="233" t="n"/>
      <c r="Q577" s="233" t="n"/>
      <c r="R577" s="233" t="n"/>
      <c r="S577" s="232" t="n"/>
      <c r="T577" s="233" t="n"/>
      <c r="U577" s="233" t="n"/>
      <c r="V577" s="233" t="n"/>
      <c r="W577" s="232" t="n"/>
    </row>
    <row r="578" ht="54.95" customFormat="1" customHeight="1" s="235">
      <c r="A578" s="232" t="n"/>
      <c r="B578" s="232" t="n"/>
      <c r="C578" s="232" t="n"/>
      <c r="D578" s="233" t="n"/>
      <c r="E578" s="232" t="n"/>
      <c r="F578" s="233" t="n"/>
      <c r="G578" s="233" t="n"/>
      <c r="H578" s="233" t="n"/>
      <c r="I578" s="232" t="n"/>
      <c r="J578" s="233" t="n"/>
      <c r="K578" s="232" t="n"/>
      <c r="L578" s="232" t="n"/>
      <c r="M578" s="232" t="n"/>
      <c r="N578" s="233" t="n"/>
      <c r="O578" s="232" t="n"/>
      <c r="P578" s="233" t="n"/>
      <c r="Q578" s="233" t="n"/>
      <c r="R578" s="233" t="n"/>
      <c r="S578" s="232" t="n"/>
      <c r="T578" s="233" t="n"/>
      <c r="U578" s="233" t="n"/>
      <c r="V578" s="233" t="n"/>
      <c r="W578" s="232" t="n"/>
    </row>
    <row r="579" ht="54.95" customFormat="1" customHeight="1" s="235">
      <c r="A579" s="232" t="n"/>
      <c r="B579" s="232" t="n"/>
      <c r="C579" s="232" t="n"/>
      <c r="D579" s="233" t="n"/>
      <c r="E579" s="232" t="n"/>
      <c r="F579" s="233" t="n"/>
      <c r="G579" s="233" t="n"/>
      <c r="H579" s="233" t="n"/>
      <c r="I579" s="232" t="n"/>
      <c r="J579" s="233" t="n"/>
      <c r="K579" s="232" t="n"/>
      <c r="L579" s="232" t="n"/>
      <c r="M579" s="232" t="n"/>
      <c r="N579" s="233" t="n"/>
      <c r="O579" s="232" t="n"/>
      <c r="P579" s="233" t="n"/>
      <c r="Q579" s="233" t="n"/>
      <c r="R579" s="233" t="n"/>
      <c r="S579" s="232" t="n"/>
      <c r="T579" s="233" t="n"/>
      <c r="U579" s="233" t="n"/>
      <c r="V579" s="233" t="n"/>
      <c r="W579" s="232" t="n"/>
    </row>
    <row r="580" ht="54.95" customFormat="1" customHeight="1" s="235">
      <c r="A580" s="232" t="n"/>
      <c r="B580" s="232" t="n"/>
      <c r="C580" s="232" t="n"/>
      <c r="D580" s="233" t="n"/>
      <c r="E580" s="232" t="n"/>
      <c r="F580" s="233" t="n"/>
      <c r="G580" s="233" t="n"/>
      <c r="H580" s="233" t="n"/>
      <c r="I580" s="232" t="n"/>
      <c r="J580" s="233" t="n"/>
      <c r="K580" s="232" t="n"/>
      <c r="L580" s="232" t="n"/>
      <c r="M580" s="232" t="n"/>
      <c r="N580" s="233" t="n"/>
      <c r="O580" s="232" t="n"/>
      <c r="P580" s="233" t="n"/>
      <c r="Q580" s="233" t="n"/>
      <c r="R580" s="233" t="n"/>
      <c r="S580" s="232" t="n"/>
      <c r="T580" s="233" t="n"/>
      <c r="U580" s="233" t="n"/>
      <c r="V580" s="233" t="n"/>
      <c r="W580" s="232" t="n"/>
    </row>
    <row r="581" ht="54.95" customFormat="1" customHeight="1" s="235">
      <c r="A581" s="232" t="n"/>
      <c r="B581" s="232" t="n"/>
      <c r="C581" s="232" t="n"/>
      <c r="D581" s="233" t="n"/>
      <c r="E581" s="232" t="n"/>
      <c r="F581" s="233" t="n"/>
      <c r="G581" s="233" t="n"/>
      <c r="H581" s="233" t="n"/>
      <c r="I581" s="232" t="n"/>
      <c r="J581" s="233" t="n"/>
      <c r="K581" s="232" t="n"/>
      <c r="L581" s="232" t="n"/>
      <c r="M581" s="232" t="n"/>
      <c r="N581" s="233" t="n"/>
      <c r="O581" s="232" t="n"/>
      <c r="P581" s="233" t="n"/>
      <c r="Q581" s="233" t="n"/>
      <c r="R581" s="233" t="n"/>
      <c r="S581" s="232" t="n"/>
      <c r="T581" s="233" t="n"/>
      <c r="U581" s="233" t="n"/>
      <c r="V581" s="233" t="n"/>
      <c r="W581" s="232" t="n"/>
    </row>
    <row r="582" ht="54.95" customFormat="1" customHeight="1" s="235">
      <c r="A582" s="232" t="n"/>
      <c r="B582" s="232" t="n"/>
      <c r="C582" s="232" t="n"/>
      <c r="D582" s="233" t="n"/>
      <c r="E582" s="232" t="n"/>
      <c r="F582" s="233" t="n"/>
      <c r="G582" s="233" t="n"/>
      <c r="H582" s="233" t="n"/>
      <c r="I582" s="232" t="n"/>
      <c r="J582" s="233" t="n"/>
      <c r="K582" s="232" t="n"/>
      <c r="L582" s="232" t="n"/>
      <c r="M582" s="232" t="n"/>
      <c r="N582" s="233" t="n"/>
      <c r="O582" s="232" t="n"/>
      <c r="P582" s="233" t="n"/>
      <c r="Q582" s="233" t="n"/>
      <c r="R582" s="233" t="n"/>
      <c r="S582" s="232" t="n"/>
      <c r="T582" s="233" t="n"/>
      <c r="U582" s="233" t="n"/>
      <c r="V582" s="233" t="n"/>
      <c r="W582" s="232" t="n"/>
    </row>
    <row r="583" ht="54.95" customFormat="1" customHeight="1" s="235">
      <c r="A583" s="232" t="n"/>
      <c r="B583" s="232" t="n"/>
      <c r="C583" s="232" t="n"/>
      <c r="D583" s="233" t="n"/>
      <c r="E583" s="232" t="n"/>
      <c r="F583" s="233" t="n"/>
      <c r="G583" s="233" t="n"/>
      <c r="H583" s="233" t="n"/>
      <c r="I583" s="232" t="n"/>
      <c r="J583" s="233" t="n"/>
      <c r="K583" s="232" t="n"/>
      <c r="L583" s="232" t="n"/>
      <c r="M583" s="232" t="n"/>
      <c r="N583" s="233" t="n"/>
      <c r="O583" s="232" t="n"/>
      <c r="P583" s="233" t="n"/>
      <c r="Q583" s="233" t="n"/>
      <c r="R583" s="233" t="n"/>
      <c r="S583" s="232" t="n"/>
      <c r="T583" s="233" t="n"/>
      <c r="U583" s="233" t="n"/>
      <c r="V583" s="233" t="n"/>
      <c r="W583" s="232" t="n"/>
    </row>
    <row r="584" ht="54.95" customFormat="1" customHeight="1" s="235">
      <c r="A584" s="232" t="n"/>
      <c r="B584" s="232" t="n"/>
      <c r="C584" s="232" t="n"/>
      <c r="D584" s="233" t="n"/>
      <c r="E584" s="232" t="n"/>
      <c r="F584" s="233" t="n"/>
      <c r="G584" s="233" t="n"/>
      <c r="H584" s="233" t="n"/>
      <c r="I584" s="232" t="n"/>
      <c r="J584" s="233" t="n"/>
      <c r="K584" s="232" t="n"/>
      <c r="L584" s="232" t="n"/>
      <c r="M584" s="232" t="n"/>
      <c r="N584" s="233" t="n"/>
      <c r="O584" s="232" t="n"/>
      <c r="P584" s="233" t="n"/>
      <c r="Q584" s="233" t="n"/>
      <c r="R584" s="233" t="n"/>
      <c r="S584" s="232" t="n"/>
      <c r="T584" s="233" t="n"/>
      <c r="U584" s="233" t="n"/>
      <c r="V584" s="233" t="n"/>
      <c r="W584" s="232" t="n"/>
    </row>
    <row r="585" ht="54.95" customFormat="1" customHeight="1" s="235">
      <c r="A585" s="232" t="n"/>
      <c r="B585" s="232" t="n"/>
      <c r="C585" s="232" t="n"/>
      <c r="D585" s="233" t="n"/>
      <c r="E585" s="232" t="n"/>
      <c r="F585" s="233" t="n"/>
      <c r="G585" s="233" t="n"/>
      <c r="H585" s="233" t="n"/>
      <c r="I585" s="232" t="n"/>
      <c r="J585" s="233" t="n"/>
      <c r="K585" s="232" t="n"/>
      <c r="L585" s="232" t="n"/>
      <c r="M585" s="232" t="n"/>
      <c r="N585" s="233" t="n"/>
      <c r="O585" s="232" t="n"/>
      <c r="P585" s="233" t="n"/>
      <c r="Q585" s="233" t="n"/>
      <c r="R585" s="233" t="n"/>
      <c r="S585" s="232" t="n"/>
      <c r="T585" s="233" t="n"/>
      <c r="U585" s="233" t="n"/>
      <c r="V585" s="233" t="n"/>
      <c r="W585" s="232" t="n"/>
    </row>
    <row r="586" ht="54.95" customFormat="1" customHeight="1" s="235">
      <c r="A586" s="232" t="n"/>
      <c r="B586" s="232" t="n"/>
      <c r="C586" s="232" t="n"/>
      <c r="D586" s="233" t="n"/>
      <c r="E586" s="232" t="n"/>
      <c r="F586" s="233" t="n"/>
      <c r="G586" s="233" t="n"/>
      <c r="H586" s="233" t="n"/>
      <c r="I586" s="232" t="n"/>
      <c r="J586" s="233" t="n"/>
      <c r="K586" s="232" t="n"/>
      <c r="L586" s="232" t="n"/>
      <c r="M586" s="232" t="n"/>
      <c r="N586" s="233" t="n"/>
      <c r="O586" s="232" t="n"/>
      <c r="P586" s="233" t="n"/>
      <c r="Q586" s="233" t="n"/>
      <c r="R586" s="233" t="n"/>
      <c r="S586" s="232" t="n"/>
      <c r="T586" s="233" t="n"/>
      <c r="U586" s="233" t="n"/>
      <c r="V586" s="233" t="n"/>
      <c r="W586" s="232" t="n"/>
    </row>
    <row r="587" ht="54.95" customFormat="1" customHeight="1" s="235">
      <c r="A587" s="232" t="n"/>
      <c r="B587" s="232" t="n"/>
      <c r="C587" s="232" t="n"/>
      <c r="D587" s="233" t="n"/>
      <c r="E587" s="232" t="n"/>
      <c r="F587" s="233" t="n"/>
      <c r="G587" s="233" t="n"/>
      <c r="H587" s="233" t="n"/>
      <c r="I587" s="232" t="n"/>
      <c r="J587" s="233" t="n"/>
      <c r="K587" s="232" t="n"/>
      <c r="L587" s="232" t="n"/>
      <c r="M587" s="232" t="n"/>
      <c r="N587" s="233" t="n"/>
      <c r="O587" s="232" t="n"/>
      <c r="P587" s="233" t="n"/>
      <c r="Q587" s="233" t="n"/>
      <c r="R587" s="233" t="n"/>
      <c r="S587" s="232" t="n"/>
      <c r="T587" s="233" t="n"/>
      <c r="U587" s="233" t="n"/>
      <c r="V587" s="233" t="n"/>
      <c r="W587" s="232" t="n"/>
    </row>
    <row r="588" ht="54.95" customFormat="1" customHeight="1" s="235">
      <c r="A588" s="232" t="n"/>
      <c r="B588" s="232" t="n"/>
      <c r="C588" s="232" t="n"/>
      <c r="D588" s="233" t="n"/>
      <c r="E588" s="232" t="n"/>
      <c r="F588" s="233" t="n"/>
      <c r="G588" s="233" t="n"/>
      <c r="H588" s="233" t="n"/>
      <c r="I588" s="232" t="n"/>
      <c r="J588" s="233" t="n"/>
      <c r="K588" s="232" t="n"/>
      <c r="L588" s="232" t="n"/>
      <c r="M588" s="232" t="n"/>
      <c r="N588" s="233" t="n"/>
      <c r="O588" s="232" t="n"/>
      <c r="P588" s="233" t="n"/>
      <c r="Q588" s="233" t="n"/>
      <c r="R588" s="233" t="n"/>
      <c r="S588" s="232" t="n"/>
      <c r="T588" s="233" t="n"/>
      <c r="U588" s="233" t="n"/>
      <c r="V588" s="233" t="n"/>
      <c r="W588" s="232" t="n"/>
    </row>
    <row r="589" ht="54.95" customFormat="1" customHeight="1" s="235">
      <c r="A589" s="232" t="n"/>
      <c r="B589" s="232" t="n"/>
      <c r="C589" s="232" t="n"/>
      <c r="D589" s="233" t="n"/>
      <c r="E589" s="232" t="n"/>
      <c r="F589" s="233" t="n"/>
      <c r="G589" s="233" t="n"/>
      <c r="H589" s="233" t="n"/>
      <c r="I589" s="232" t="n"/>
      <c r="J589" s="233" t="n"/>
      <c r="K589" s="232" t="n"/>
      <c r="L589" s="232" t="n"/>
      <c r="M589" s="232" t="n"/>
      <c r="N589" s="233" t="n"/>
      <c r="O589" s="232" t="n"/>
      <c r="P589" s="233" t="n"/>
      <c r="Q589" s="233" t="n"/>
      <c r="R589" s="233" t="n"/>
      <c r="S589" s="232" t="n"/>
      <c r="T589" s="233" t="n"/>
      <c r="U589" s="233" t="n"/>
      <c r="V589" s="233" t="n"/>
      <c r="W589" s="232" t="n"/>
    </row>
    <row r="590" ht="54.95" customFormat="1" customHeight="1" s="235">
      <c r="A590" s="232" t="n"/>
      <c r="B590" s="232" t="n"/>
      <c r="C590" s="232" t="n"/>
      <c r="D590" s="233" t="n"/>
      <c r="E590" s="232" t="n"/>
      <c r="F590" s="233" t="n"/>
      <c r="G590" s="233" t="n"/>
      <c r="H590" s="233" t="n"/>
      <c r="I590" s="232" t="n"/>
      <c r="J590" s="233" t="n"/>
      <c r="K590" s="232" t="n"/>
      <c r="L590" s="232" t="n"/>
      <c r="M590" s="232" t="n"/>
      <c r="N590" s="233" t="n"/>
      <c r="O590" s="232" t="n"/>
      <c r="P590" s="233" t="n"/>
      <c r="Q590" s="233" t="n"/>
      <c r="R590" s="233" t="n"/>
      <c r="S590" s="232" t="n"/>
      <c r="T590" s="233" t="n"/>
      <c r="U590" s="233" t="n"/>
      <c r="V590" s="233" t="n"/>
      <c r="W590" s="232" t="n"/>
    </row>
    <row r="591" ht="54.95" customFormat="1" customHeight="1" s="235">
      <c r="A591" s="232" t="n"/>
      <c r="B591" s="232" t="n"/>
      <c r="C591" s="232" t="n"/>
      <c r="D591" s="233" t="n"/>
      <c r="E591" s="232" t="n"/>
      <c r="F591" s="233" t="n"/>
      <c r="G591" s="233" t="n"/>
      <c r="H591" s="233" t="n"/>
      <c r="I591" s="232" t="n"/>
      <c r="J591" s="233" t="n"/>
      <c r="K591" s="232" t="n"/>
      <c r="L591" s="232" t="n"/>
      <c r="M591" s="232" t="n"/>
      <c r="N591" s="233" t="n"/>
      <c r="O591" s="232" t="n"/>
      <c r="P591" s="233" t="n"/>
      <c r="Q591" s="233" t="n"/>
      <c r="R591" s="233" t="n"/>
      <c r="S591" s="232" t="n"/>
      <c r="T591" s="233" t="n"/>
      <c r="U591" s="233" t="n"/>
      <c r="V591" s="233" t="n"/>
      <c r="W591" s="232" t="n"/>
    </row>
    <row r="592" ht="54.95" customFormat="1" customHeight="1" s="235">
      <c r="A592" s="232" t="n"/>
      <c r="B592" s="232" t="n"/>
      <c r="C592" s="232" t="n"/>
      <c r="D592" s="233" t="n"/>
      <c r="E592" s="232" t="n"/>
      <c r="F592" s="233" t="n"/>
      <c r="G592" s="233" t="n"/>
      <c r="H592" s="233" t="n"/>
      <c r="I592" s="232" t="n"/>
      <c r="J592" s="233" t="n"/>
      <c r="K592" s="232" t="n"/>
      <c r="L592" s="232" t="n"/>
      <c r="M592" s="232" t="n"/>
      <c r="N592" s="233" t="n"/>
      <c r="O592" s="232" t="n"/>
      <c r="P592" s="233" t="n"/>
      <c r="Q592" s="233" t="n"/>
      <c r="R592" s="233" t="n"/>
      <c r="S592" s="232" t="n"/>
      <c r="T592" s="233" t="n"/>
      <c r="U592" s="233" t="n"/>
      <c r="V592" s="233" t="n"/>
      <c r="W592" s="232" t="n"/>
    </row>
    <row r="593" ht="54.95" customFormat="1" customHeight="1" s="235">
      <c r="A593" s="234" t="n"/>
      <c r="B593" s="234" t="n"/>
      <c r="C593" s="234" t="n"/>
      <c r="D593" s="234" t="n"/>
      <c r="E593" s="234" t="n"/>
      <c r="F593" s="234" t="n"/>
      <c r="G593" s="234" t="n"/>
      <c r="H593" s="234" t="n"/>
      <c r="I593" s="234" t="n"/>
      <c r="J593" s="234" t="n"/>
      <c r="K593" s="234" t="n"/>
      <c r="L593" s="234" t="n"/>
      <c r="M593" s="232" t="n"/>
      <c r="N593" s="233" t="n"/>
      <c r="O593" s="232" t="n"/>
      <c r="P593" s="234" t="n"/>
      <c r="Q593" s="234" t="n"/>
      <c r="R593" s="234" t="n"/>
      <c r="S593" s="234" t="n"/>
      <c r="T593" s="234" t="n"/>
      <c r="U593" s="234" t="n"/>
      <c r="V593" s="234" t="n"/>
      <c r="W593" s="234" t="n"/>
    </row>
    <row r="594" ht="54.95" customFormat="1" customHeight="1" s="235">
      <c r="A594" s="234" t="n"/>
      <c r="B594" s="234" t="n"/>
      <c r="C594" s="234" t="n"/>
      <c r="D594" s="234" t="n"/>
      <c r="E594" s="234" t="n"/>
      <c r="F594" s="234" t="n"/>
      <c r="G594" s="234" t="n"/>
      <c r="H594" s="234" t="n"/>
      <c r="I594" s="234" t="n"/>
      <c r="J594" s="234" t="n"/>
      <c r="K594" s="234" t="n"/>
      <c r="L594" s="234" t="n"/>
      <c r="M594" s="232" t="n"/>
      <c r="N594" s="233" t="n"/>
      <c r="O594" s="232" t="n"/>
      <c r="P594" s="234" t="n"/>
      <c r="Q594" s="234" t="n"/>
      <c r="R594" s="234" t="n"/>
      <c r="S594" s="234" t="n"/>
      <c r="T594" s="234" t="n"/>
      <c r="U594" s="234" t="n"/>
      <c r="V594" s="234" t="n"/>
      <c r="W594" s="234" t="n"/>
    </row>
    <row r="595" ht="54.95" customFormat="1" customHeight="1" s="235">
      <c r="A595" s="234" t="n"/>
      <c r="B595" s="234" t="n"/>
      <c r="C595" s="234" t="n"/>
      <c r="D595" s="234" t="n"/>
      <c r="E595" s="234" t="n"/>
      <c r="F595" s="234" t="n"/>
      <c r="G595" s="234" t="n"/>
      <c r="H595" s="234" t="n"/>
      <c r="I595" s="234" t="n"/>
      <c r="J595" s="234" t="n"/>
      <c r="K595" s="234" t="n"/>
      <c r="L595" s="234" t="n"/>
      <c r="M595" s="232" t="n"/>
      <c r="N595" s="233" t="n"/>
      <c r="O595" s="232" t="n"/>
      <c r="P595" s="234" t="n"/>
      <c r="Q595" s="234" t="n"/>
      <c r="R595" s="234" t="n"/>
      <c r="S595" s="234" t="n"/>
      <c r="T595" s="234" t="n"/>
      <c r="U595" s="234" t="n"/>
      <c r="V595" s="234" t="n"/>
      <c r="W595" s="234" t="n"/>
    </row>
    <row r="596" ht="54.95" customFormat="1" customHeight="1" s="235">
      <c r="A596" s="234" t="n"/>
      <c r="B596" s="234" t="n"/>
      <c r="C596" s="234" t="n"/>
      <c r="D596" s="234" t="n"/>
      <c r="E596" s="234" t="n"/>
      <c r="F596" s="234" t="n"/>
      <c r="G596" s="234" t="n"/>
      <c r="H596" s="234" t="n"/>
      <c r="I596" s="234" t="n"/>
      <c r="J596" s="234" t="n"/>
      <c r="K596" s="234" t="n"/>
      <c r="L596" s="234" t="n"/>
      <c r="M596" s="232" t="n"/>
      <c r="N596" s="233" t="n"/>
      <c r="O596" s="232" t="n"/>
      <c r="P596" s="234" t="n"/>
      <c r="Q596" s="234" t="n"/>
      <c r="R596" s="234" t="n"/>
      <c r="S596" s="234" t="n"/>
      <c r="T596" s="234" t="n"/>
      <c r="U596" s="234" t="n"/>
      <c r="V596" s="234" t="n"/>
      <c r="W596" s="234" t="n"/>
    </row>
    <row r="597" ht="54.95" customFormat="1" customHeight="1" s="235">
      <c r="A597" s="234" t="n"/>
      <c r="B597" s="234" t="n"/>
      <c r="C597" s="234" t="n"/>
      <c r="D597" s="234" t="n"/>
      <c r="E597" s="234" t="n"/>
      <c r="F597" s="234" t="n"/>
      <c r="G597" s="234" t="n"/>
      <c r="H597" s="234" t="n"/>
      <c r="I597" s="234" t="n"/>
      <c r="J597" s="234" t="n"/>
      <c r="K597" s="234" t="n"/>
      <c r="L597" s="234" t="n"/>
      <c r="M597" s="232" t="n"/>
      <c r="N597" s="233" t="n"/>
      <c r="O597" s="232" t="n"/>
      <c r="P597" s="234" t="n"/>
      <c r="Q597" s="234" t="n"/>
      <c r="R597" s="234" t="n"/>
      <c r="S597" s="234" t="n"/>
      <c r="T597" s="234" t="n"/>
      <c r="U597" s="234" t="n"/>
      <c r="V597" s="234" t="n"/>
      <c r="W597" s="234" t="n"/>
    </row>
    <row r="598" ht="54.95" customFormat="1" customHeight="1" s="235">
      <c r="A598" s="234" t="n"/>
      <c r="B598" s="234" t="n"/>
      <c r="C598" s="234" t="n"/>
      <c r="D598" s="234" t="n"/>
      <c r="E598" s="234" t="n"/>
      <c r="F598" s="234" t="n"/>
      <c r="G598" s="234" t="n"/>
      <c r="H598" s="234" t="n"/>
      <c r="I598" s="234" t="n"/>
      <c r="J598" s="234" t="n"/>
      <c r="K598" s="234" t="n"/>
      <c r="L598" s="234" t="n"/>
      <c r="M598" s="232" t="n"/>
      <c r="N598" s="233" t="n"/>
      <c r="O598" s="232" t="n"/>
      <c r="P598" s="234" t="n"/>
      <c r="Q598" s="234" t="n"/>
      <c r="R598" s="234" t="n"/>
      <c r="S598" s="234" t="n"/>
      <c r="T598" s="234" t="n"/>
      <c r="U598" s="234" t="n"/>
      <c r="V598" s="234" t="n"/>
      <c r="W598" s="234" t="n"/>
    </row>
    <row r="599" ht="54.95" customFormat="1" customHeight="1" s="235">
      <c r="A599" s="234" t="n"/>
      <c r="B599" s="234" t="n"/>
      <c r="C599" s="234" t="n"/>
      <c r="D599" s="234" t="n"/>
      <c r="E599" s="234" t="n"/>
      <c r="F599" s="234" t="n"/>
      <c r="G599" s="234" t="n"/>
      <c r="H599" s="234" t="n"/>
      <c r="I599" s="234" t="n"/>
      <c r="J599" s="234" t="n"/>
      <c r="K599" s="234" t="n"/>
      <c r="L599" s="234" t="n"/>
      <c r="M599" s="232" t="n"/>
      <c r="N599" s="233" t="n"/>
      <c r="O599" s="232" t="n"/>
      <c r="P599" s="234" t="n"/>
      <c r="Q599" s="234" t="n"/>
      <c r="R599" s="234" t="n"/>
      <c r="S599" s="234" t="n"/>
      <c r="T599" s="234" t="n"/>
      <c r="U599" s="234" t="n"/>
      <c r="V599" s="234" t="n"/>
      <c r="W599" s="234" t="n"/>
    </row>
    <row r="600" ht="54.95" customFormat="1" customHeight="1" s="235">
      <c r="A600" s="234" t="n"/>
      <c r="B600" s="234" t="n"/>
      <c r="C600" s="234" t="n"/>
      <c r="D600" s="234" t="n"/>
      <c r="E600" s="234" t="n"/>
      <c r="F600" s="234" t="n"/>
      <c r="G600" s="234" t="n"/>
      <c r="H600" s="234" t="n"/>
      <c r="I600" s="234" t="n"/>
      <c r="J600" s="234" t="n"/>
      <c r="K600" s="234" t="n"/>
      <c r="L600" s="234" t="n"/>
      <c r="M600" s="232" t="n"/>
      <c r="N600" s="233" t="n"/>
      <c r="O600" s="232" t="n"/>
      <c r="P600" s="234" t="n"/>
      <c r="Q600" s="234" t="n"/>
      <c r="R600" s="234" t="n"/>
      <c r="S600" s="234" t="n"/>
      <c r="T600" s="234" t="n"/>
      <c r="U600" s="234" t="n"/>
      <c r="V600" s="234" t="n"/>
      <c r="W600" s="234" t="n"/>
    </row>
    <row r="601" ht="54.95" customFormat="1" customHeight="1" s="235">
      <c r="A601" s="234" t="n"/>
      <c r="B601" s="234" t="n"/>
      <c r="C601" s="234" t="n"/>
      <c r="D601" s="234" t="n"/>
      <c r="E601" s="234" t="n"/>
      <c r="F601" s="234" t="n"/>
      <c r="G601" s="234" t="n"/>
      <c r="H601" s="234" t="n"/>
      <c r="I601" s="234" t="n"/>
      <c r="J601" s="234" t="n"/>
      <c r="K601" s="234" t="n"/>
      <c r="L601" s="234" t="n"/>
      <c r="M601" s="232" t="n"/>
      <c r="N601" s="233" t="n"/>
      <c r="O601" s="232" t="n"/>
      <c r="P601" s="234" t="n"/>
      <c r="Q601" s="234" t="n"/>
      <c r="R601" s="234" t="n"/>
      <c r="S601" s="234" t="n"/>
      <c r="T601" s="234" t="n"/>
      <c r="U601" s="234" t="n"/>
      <c r="V601" s="234" t="n"/>
      <c r="W601" s="234" t="n"/>
    </row>
    <row r="602" ht="54.95" customFormat="1" customHeight="1" s="235">
      <c r="A602" s="234" t="n"/>
      <c r="B602" s="234" t="n"/>
      <c r="C602" s="234" t="n"/>
      <c r="D602" s="234" t="n"/>
      <c r="E602" s="234" t="n"/>
      <c r="F602" s="234" t="n"/>
      <c r="G602" s="234" t="n"/>
      <c r="H602" s="234" t="n"/>
      <c r="I602" s="234" t="n"/>
      <c r="J602" s="234" t="n"/>
      <c r="K602" s="234" t="n"/>
      <c r="L602" s="234" t="n"/>
      <c r="M602" s="232" t="n"/>
      <c r="N602" s="233" t="n"/>
      <c r="O602" s="232" t="n"/>
      <c r="P602" s="234" t="n"/>
      <c r="Q602" s="234" t="n"/>
      <c r="R602" s="234" t="n"/>
      <c r="S602" s="234" t="n"/>
      <c r="T602" s="234" t="n"/>
      <c r="U602" s="234" t="n"/>
      <c r="V602" s="234" t="n"/>
      <c r="W602" s="234" t="n"/>
    </row>
    <row r="603" ht="54.95" customFormat="1" customHeight="1" s="235">
      <c r="A603" s="234" t="n"/>
      <c r="B603" s="234" t="n"/>
      <c r="C603" s="234" t="n"/>
      <c r="D603" s="234" t="n"/>
      <c r="E603" s="234" t="n"/>
      <c r="F603" s="234" t="n"/>
      <c r="G603" s="234" t="n"/>
      <c r="H603" s="234" t="n"/>
      <c r="I603" s="234" t="n"/>
      <c r="J603" s="234" t="n"/>
      <c r="K603" s="234" t="n"/>
      <c r="L603" s="234" t="n"/>
      <c r="M603" s="232" t="n"/>
      <c r="N603" s="233" t="n"/>
      <c r="O603" s="232" t="n"/>
      <c r="P603" s="234" t="n"/>
      <c r="Q603" s="234" t="n"/>
      <c r="R603" s="234" t="n"/>
      <c r="S603" s="234" t="n"/>
      <c r="T603" s="234" t="n"/>
      <c r="U603" s="234" t="n"/>
      <c r="V603" s="234" t="n"/>
      <c r="W603" s="234" t="n"/>
    </row>
    <row r="604" ht="54.95" customFormat="1" customHeight="1" s="235">
      <c r="A604" s="232" t="n"/>
      <c r="B604" s="232" t="n"/>
      <c r="C604" s="232" t="n"/>
      <c r="D604" s="233" t="n"/>
      <c r="E604" s="232" t="n"/>
      <c r="F604" s="233" t="n"/>
      <c r="G604" s="233" t="n"/>
      <c r="H604" s="233" t="n"/>
      <c r="I604" s="232" t="n"/>
      <c r="J604" s="233" t="n"/>
      <c r="K604" s="232" t="n"/>
      <c r="L604" s="232" t="n"/>
      <c r="M604" s="232" t="n"/>
      <c r="N604" s="233" t="n"/>
      <c r="O604" s="232" t="n"/>
      <c r="P604" s="233" t="n"/>
      <c r="Q604" s="233" t="n"/>
      <c r="R604" s="233" t="n"/>
      <c r="S604" s="232" t="n"/>
      <c r="T604" s="233" t="n"/>
      <c r="U604" s="233" t="n"/>
      <c r="V604" s="233" t="n"/>
      <c r="W604" s="232" t="n"/>
    </row>
    <row r="605" ht="54.95" customFormat="1" customHeight="1" s="235">
      <c r="A605" s="232" t="n"/>
      <c r="B605" s="232" t="n"/>
      <c r="C605" s="232" t="n"/>
      <c r="D605" s="233" t="n"/>
      <c r="E605" s="232" t="n"/>
      <c r="F605" s="233" t="n"/>
      <c r="G605" s="233" t="n"/>
      <c r="H605" s="233" t="n"/>
      <c r="I605" s="232" t="n"/>
      <c r="J605" s="233" t="n"/>
      <c r="K605" s="232" t="n"/>
      <c r="L605" s="232" t="n"/>
      <c r="M605" s="232" t="n"/>
      <c r="N605" s="233" t="n"/>
      <c r="O605" s="232" t="n"/>
      <c r="P605" s="233" t="n"/>
      <c r="Q605" s="233" t="n"/>
      <c r="R605" s="233" t="n"/>
      <c r="S605" s="232" t="n"/>
      <c r="T605" s="233" t="n"/>
      <c r="U605" s="233" t="n"/>
      <c r="V605" s="233" t="n"/>
      <c r="W605" s="232" t="n"/>
    </row>
    <row r="606" ht="54.95" customFormat="1" customHeight="1" s="235">
      <c r="A606" s="232" t="n"/>
      <c r="B606" s="232" t="n"/>
      <c r="C606" s="232" t="n"/>
      <c r="D606" s="233" t="n"/>
      <c r="E606" s="232" t="n"/>
      <c r="F606" s="233" t="n"/>
      <c r="G606" s="233" t="n"/>
      <c r="H606" s="233" t="n"/>
      <c r="I606" s="232" t="n"/>
      <c r="J606" s="233" t="n"/>
      <c r="K606" s="232" t="n"/>
      <c r="L606" s="232" t="n"/>
      <c r="M606" s="232" t="n"/>
      <c r="N606" s="233" t="n"/>
      <c r="O606" s="232" t="n"/>
      <c r="P606" s="233" t="n"/>
      <c r="Q606" s="233" t="n"/>
      <c r="R606" s="233" t="n"/>
      <c r="S606" s="232" t="n"/>
      <c r="T606" s="233" t="n"/>
      <c r="U606" s="233" t="n"/>
      <c r="V606" s="233" t="n"/>
      <c r="W606" s="232" t="n"/>
    </row>
    <row r="607" ht="54.95" customFormat="1" customHeight="1" s="235">
      <c r="A607" s="232" t="n"/>
      <c r="B607" s="232" t="n"/>
      <c r="C607" s="232" t="n"/>
      <c r="D607" s="233" t="n"/>
      <c r="E607" s="232" t="n"/>
      <c r="F607" s="233" t="n"/>
      <c r="G607" s="233" t="n"/>
      <c r="H607" s="233" t="n"/>
      <c r="I607" s="232" t="n"/>
      <c r="J607" s="233" t="n"/>
      <c r="K607" s="232" t="n"/>
      <c r="L607" s="232" t="n"/>
      <c r="M607" s="232" t="n"/>
      <c r="N607" s="233" t="n"/>
      <c r="O607" s="232" t="n"/>
      <c r="P607" s="233" t="n"/>
      <c r="Q607" s="233" t="n"/>
      <c r="R607" s="233" t="n"/>
      <c r="S607" s="232" t="n"/>
      <c r="T607" s="233" t="n"/>
      <c r="U607" s="233" t="n"/>
      <c r="V607" s="233" t="n"/>
      <c r="W607" s="232" t="n"/>
    </row>
    <row r="608" ht="54.95" customFormat="1" customHeight="1" s="235">
      <c r="A608" s="232" t="n"/>
      <c r="B608" s="232" t="n"/>
      <c r="C608" s="232" t="n"/>
      <c r="D608" s="233" t="n"/>
      <c r="E608" s="232" t="n"/>
      <c r="F608" s="233" t="n"/>
      <c r="G608" s="233" t="n"/>
      <c r="H608" s="233" t="n"/>
      <c r="I608" s="232" t="n"/>
      <c r="J608" s="233" t="n"/>
      <c r="K608" s="232" t="n"/>
      <c r="L608" s="232" t="n"/>
      <c r="M608" s="232" t="n"/>
      <c r="N608" s="233" t="n"/>
      <c r="O608" s="232" t="n"/>
      <c r="P608" s="233" t="n"/>
      <c r="Q608" s="233" t="n"/>
      <c r="R608" s="233" t="n"/>
      <c r="S608" s="232" t="n"/>
      <c r="T608" s="233" t="n"/>
      <c r="U608" s="233" t="n"/>
      <c r="V608" s="233" t="n"/>
      <c r="W608" s="232" t="n"/>
    </row>
    <row r="609" ht="54.95" customFormat="1" customHeight="1" s="235">
      <c r="A609" s="234" t="n"/>
      <c r="B609" s="234" t="n"/>
      <c r="C609" s="234" t="n"/>
      <c r="D609" s="234" t="n"/>
      <c r="E609" s="234" t="n"/>
      <c r="F609" s="234" t="n"/>
      <c r="G609" s="234" t="n"/>
      <c r="H609" s="234" t="n"/>
      <c r="I609" s="234" t="n"/>
      <c r="J609" s="234" t="n"/>
      <c r="K609" s="234" t="n"/>
      <c r="L609" s="234" t="n"/>
      <c r="M609" s="232" t="n"/>
      <c r="N609" s="233" t="n"/>
      <c r="O609" s="232" t="n"/>
      <c r="P609" s="234" t="n"/>
      <c r="Q609" s="234" t="n"/>
      <c r="R609" s="234" t="n"/>
      <c r="S609" s="234" t="n"/>
      <c r="T609" s="234" t="n"/>
      <c r="U609" s="234" t="n"/>
      <c r="V609" s="234" t="n"/>
      <c r="W609" s="234" t="n"/>
    </row>
    <row r="610" ht="54.95" customFormat="1" customHeight="1" s="235">
      <c r="A610" s="234" t="n"/>
      <c r="B610" s="234" t="n"/>
      <c r="C610" s="234" t="n"/>
      <c r="D610" s="234" t="n"/>
      <c r="E610" s="234" t="n"/>
      <c r="F610" s="234" t="n"/>
      <c r="G610" s="234" t="n"/>
      <c r="H610" s="234" t="n"/>
      <c r="I610" s="234" t="n"/>
      <c r="J610" s="234" t="n"/>
      <c r="K610" s="234" t="n"/>
      <c r="L610" s="234" t="n"/>
      <c r="M610" s="232" t="n"/>
      <c r="N610" s="233" t="n"/>
      <c r="O610" s="232" t="n"/>
      <c r="P610" s="234" t="n"/>
      <c r="Q610" s="234" t="n"/>
      <c r="R610" s="234" t="n"/>
      <c r="S610" s="234" t="n"/>
      <c r="T610" s="234" t="n"/>
      <c r="U610" s="234" t="n"/>
      <c r="V610" s="234" t="n"/>
      <c r="W610" s="234" t="n"/>
    </row>
    <row r="611" ht="54.95" customFormat="1" customHeight="1" s="235">
      <c r="A611" s="234" t="n"/>
      <c r="B611" s="234" t="n"/>
      <c r="C611" s="234" t="n"/>
      <c r="D611" s="234" t="n"/>
      <c r="E611" s="234" t="n"/>
      <c r="F611" s="234" t="n"/>
      <c r="G611" s="234" t="n"/>
      <c r="H611" s="234" t="n"/>
      <c r="I611" s="234" t="n"/>
      <c r="J611" s="234" t="n"/>
      <c r="K611" s="234" t="n"/>
      <c r="L611" s="234" t="n"/>
      <c r="M611" s="232" t="n"/>
      <c r="N611" s="233" t="n"/>
      <c r="O611" s="232" t="n"/>
      <c r="P611" s="234" t="n"/>
      <c r="Q611" s="234" t="n"/>
      <c r="R611" s="234" t="n"/>
      <c r="S611" s="234" t="n"/>
      <c r="T611" s="234" t="n"/>
      <c r="U611" s="234" t="n"/>
      <c r="V611" s="234" t="n"/>
      <c r="W611" s="234" t="n"/>
    </row>
    <row r="612" ht="54.95" customFormat="1" customHeight="1" s="235">
      <c r="A612" s="232" t="n"/>
      <c r="B612" s="232" t="n"/>
      <c r="C612" s="232" t="n"/>
      <c r="D612" s="233" t="n"/>
      <c r="E612" s="232" t="n"/>
      <c r="F612" s="233" t="n"/>
      <c r="G612" s="233" t="n"/>
      <c r="H612" s="233" t="n"/>
      <c r="I612" s="232" t="n"/>
      <c r="J612" s="233" t="n"/>
      <c r="K612" s="232" t="n"/>
      <c r="L612" s="232" t="n"/>
      <c r="M612" s="232" t="n"/>
      <c r="N612" s="233" t="n"/>
      <c r="O612" s="232" t="n"/>
      <c r="P612" s="233" t="n"/>
      <c r="Q612" s="233" t="n"/>
      <c r="R612" s="233" t="n"/>
      <c r="S612" s="232" t="n"/>
      <c r="T612" s="233" t="n"/>
      <c r="U612" s="233" t="n"/>
      <c r="V612" s="233" t="n"/>
      <c r="W612" s="232" t="n"/>
    </row>
    <row r="613" ht="54.95" customFormat="1" customHeight="1" s="235">
      <c r="A613" s="232" t="n"/>
      <c r="B613" s="232" t="n"/>
      <c r="C613" s="232" t="n"/>
      <c r="D613" s="233" t="n"/>
      <c r="E613" s="232" t="n"/>
      <c r="F613" s="233" t="n"/>
      <c r="G613" s="233" t="n"/>
      <c r="H613" s="233" t="n"/>
      <c r="I613" s="232" t="n"/>
      <c r="J613" s="233" t="n"/>
      <c r="K613" s="232" t="n"/>
      <c r="L613" s="232" t="n"/>
      <c r="M613" s="232" t="n"/>
      <c r="N613" s="233" t="n"/>
      <c r="O613" s="232" t="n"/>
      <c r="P613" s="233" t="n"/>
      <c r="Q613" s="233" t="n"/>
      <c r="R613" s="233" t="n"/>
      <c r="S613" s="232" t="n"/>
      <c r="T613" s="233" t="n"/>
      <c r="U613" s="233" t="n"/>
      <c r="V613" s="233" t="n"/>
      <c r="W613" s="232" t="n"/>
    </row>
    <row r="614" ht="54.95" customFormat="1" customHeight="1" s="235">
      <c r="A614" s="232" t="n"/>
      <c r="B614" s="232" t="n"/>
      <c r="C614" s="232" t="n"/>
      <c r="D614" s="233" t="n"/>
      <c r="E614" s="232" t="n"/>
      <c r="F614" s="233" t="n"/>
      <c r="G614" s="233" t="n"/>
      <c r="H614" s="233" t="n"/>
      <c r="I614" s="232" t="n"/>
      <c r="J614" s="233" t="n"/>
      <c r="K614" s="232" t="n"/>
      <c r="L614" s="232" t="n"/>
      <c r="M614" s="232" t="n"/>
      <c r="N614" s="233" t="n"/>
      <c r="O614" s="232" t="n"/>
      <c r="P614" s="233" t="n"/>
      <c r="Q614" s="233" t="n"/>
      <c r="R614" s="233" t="n"/>
      <c r="S614" s="232" t="n"/>
      <c r="T614" s="233" t="n"/>
      <c r="U614" s="233" t="n"/>
      <c r="V614" s="233" t="n"/>
      <c r="W614" s="232" t="n"/>
    </row>
    <row r="615" ht="54.95" customFormat="1" customHeight="1" s="235">
      <c r="A615" s="232" t="n"/>
      <c r="B615" s="232" t="n"/>
      <c r="C615" s="232" t="n"/>
      <c r="D615" s="233" t="n"/>
      <c r="E615" s="232" t="n"/>
      <c r="F615" s="233" t="n"/>
      <c r="G615" s="233" t="n"/>
      <c r="H615" s="233" t="n"/>
      <c r="I615" s="232" t="n"/>
      <c r="J615" s="233" t="n"/>
      <c r="K615" s="232" t="n"/>
      <c r="L615" s="232" t="n"/>
      <c r="M615" s="232" t="n"/>
      <c r="N615" s="233" t="n"/>
      <c r="O615" s="232" t="n"/>
      <c r="P615" s="233" t="n"/>
      <c r="Q615" s="233" t="n"/>
      <c r="R615" s="233" t="n"/>
      <c r="S615" s="232" t="n"/>
      <c r="T615" s="233" t="n"/>
      <c r="U615" s="233" t="n"/>
      <c r="V615" s="233" t="n"/>
      <c r="W615" s="232" t="n"/>
    </row>
    <row r="616" ht="54.95" customFormat="1" customHeight="1" s="235">
      <c r="A616" s="232" t="n"/>
      <c r="B616" s="232" t="n"/>
      <c r="C616" s="232" t="n"/>
      <c r="D616" s="233" t="n"/>
      <c r="E616" s="232" t="n"/>
      <c r="F616" s="233" t="n"/>
      <c r="G616" s="233" t="n"/>
      <c r="H616" s="233" t="n"/>
      <c r="I616" s="232" t="n"/>
      <c r="J616" s="233" t="n"/>
      <c r="K616" s="232" t="n"/>
      <c r="L616" s="232" t="n"/>
      <c r="M616" s="232" t="n"/>
      <c r="N616" s="233" t="n"/>
      <c r="O616" s="232" t="n"/>
      <c r="P616" s="233" t="n"/>
      <c r="Q616" s="233" t="n"/>
      <c r="R616" s="233" t="n"/>
      <c r="S616" s="232" t="n"/>
      <c r="T616" s="233" t="n"/>
      <c r="U616" s="233" t="n"/>
      <c r="V616" s="233" t="n"/>
      <c r="W616" s="232" t="n"/>
    </row>
    <row r="617" ht="54.95" customFormat="1" customHeight="1" s="235">
      <c r="A617" s="232" t="n"/>
      <c r="B617" s="232" t="n"/>
      <c r="C617" s="232" t="n"/>
      <c r="D617" s="233" t="n"/>
      <c r="E617" s="232" t="n"/>
      <c r="F617" s="233" t="n"/>
      <c r="G617" s="233" t="n"/>
      <c r="H617" s="233" t="n"/>
      <c r="I617" s="232" t="n"/>
      <c r="J617" s="233" t="n"/>
      <c r="K617" s="232" t="n"/>
      <c r="L617" s="232" t="n"/>
      <c r="M617" s="232" t="n"/>
      <c r="N617" s="233" t="n"/>
      <c r="O617" s="232" t="n"/>
      <c r="P617" s="233" t="n"/>
      <c r="Q617" s="233" t="n"/>
      <c r="R617" s="233" t="n"/>
      <c r="S617" s="232" t="n"/>
      <c r="T617" s="233" t="n"/>
      <c r="U617" s="233" t="n"/>
      <c r="V617" s="233" t="n"/>
      <c r="W617" s="232" t="n"/>
    </row>
    <row r="618" ht="54.95" customFormat="1" customHeight="1" s="235">
      <c r="A618" s="232" t="n"/>
      <c r="B618" s="232" t="n"/>
      <c r="C618" s="232" t="n"/>
      <c r="D618" s="233" t="n"/>
      <c r="E618" s="232" t="n"/>
      <c r="F618" s="233" t="n"/>
      <c r="G618" s="233" t="n"/>
      <c r="H618" s="233" t="n"/>
      <c r="I618" s="232" t="n"/>
      <c r="J618" s="233" t="n"/>
      <c r="K618" s="232" t="n"/>
      <c r="L618" s="232" t="n"/>
      <c r="M618" s="232" t="n"/>
      <c r="N618" s="233" t="n"/>
      <c r="O618" s="232" t="n"/>
      <c r="P618" s="233" t="n"/>
      <c r="Q618" s="233" t="n"/>
      <c r="R618" s="233" t="n"/>
      <c r="S618" s="232" t="n"/>
      <c r="T618" s="233" t="n"/>
      <c r="U618" s="233" t="n"/>
      <c r="V618" s="233" t="n"/>
      <c r="W618" s="232" t="n"/>
    </row>
    <row r="619" ht="54.95" customFormat="1" customHeight="1" s="235">
      <c r="A619" s="232" t="n"/>
      <c r="B619" s="232" t="n"/>
      <c r="C619" s="232" t="n"/>
      <c r="D619" s="233" t="n"/>
      <c r="E619" s="232" t="n"/>
      <c r="F619" s="233" t="n"/>
      <c r="G619" s="233" t="n"/>
      <c r="H619" s="233" t="n"/>
      <c r="I619" s="232" t="n"/>
      <c r="J619" s="233" t="n"/>
      <c r="K619" s="232" t="n"/>
      <c r="L619" s="232" t="n"/>
      <c r="M619" s="232" t="n"/>
      <c r="N619" s="233" t="n"/>
      <c r="O619" s="232" t="n"/>
      <c r="P619" s="233" t="n"/>
      <c r="Q619" s="233" t="n"/>
      <c r="R619" s="233" t="n"/>
      <c r="S619" s="232" t="n"/>
      <c r="T619" s="233" t="n"/>
      <c r="U619" s="233" t="n"/>
      <c r="V619" s="233" t="n"/>
      <c r="W619" s="232" t="n"/>
    </row>
    <row r="620" ht="54.95" customFormat="1" customHeight="1" s="235">
      <c r="A620" s="232" t="n"/>
      <c r="B620" s="232" t="n"/>
      <c r="C620" s="232" t="n"/>
      <c r="D620" s="233" t="n"/>
      <c r="E620" s="232" t="n"/>
      <c r="F620" s="233" t="n"/>
      <c r="G620" s="233" t="n"/>
      <c r="H620" s="233" t="n"/>
      <c r="I620" s="232" t="n"/>
      <c r="J620" s="233" t="n"/>
      <c r="K620" s="232" t="n"/>
      <c r="L620" s="232" t="n"/>
      <c r="M620" s="232" t="n"/>
      <c r="N620" s="233" t="n"/>
      <c r="O620" s="232" t="n"/>
      <c r="P620" s="233" t="n"/>
      <c r="Q620" s="233" t="n"/>
      <c r="R620" s="233" t="n"/>
      <c r="S620" s="232" t="n"/>
      <c r="T620" s="233" t="n"/>
      <c r="U620" s="233" t="n"/>
      <c r="V620" s="233" t="n"/>
      <c r="W620" s="232" t="n"/>
    </row>
    <row r="621" ht="54.95" customFormat="1" customHeight="1" s="235">
      <c r="A621" s="234" t="n"/>
      <c r="B621" s="234" t="n"/>
      <c r="C621" s="234" t="n"/>
      <c r="D621" s="234" t="n"/>
      <c r="E621" s="234" t="n"/>
      <c r="F621" s="234" t="n"/>
      <c r="G621" s="234" t="n"/>
      <c r="H621" s="234" t="n"/>
      <c r="I621" s="234" t="n"/>
      <c r="J621" s="234" t="n"/>
      <c r="K621" s="234" t="n"/>
      <c r="L621" s="234" t="n"/>
      <c r="M621" s="232" t="n"/>
      <c r="N621" s="233" t="n"/>
      <c r="O621" s="232" t="n"/>
      <c r="P621" s="234" t="n"/>
      <c r="Q621" s="234" t="n"/>
      <c r="R621" s="234" t="n"/>
      <c r="S621" s="234" t="n"/>
      <c r="T621" s="234" t="n"/>
      <c r="U621" s="234" t="n"/>
      <c r="V621" s="234" t="n"/>
      <c r="W621" s="234" t="n"/>
    </row>
    <row r="622" ht="54.95" customFormat="1" customHeight="1" s="235">
      <c r="A622" s="234" t="n"/>
      <c r="B622" s="234" t="n"/>
      <c r="C622" s="234" t="n"/>
      <c r="D622" s="234" t="n"/>
      <c r="E622" s="234" t="n"/>
      <c r="F622" s="234" t="n"/>
      <c r="G622" s="234" t="n"/>
      <c r="H622" s="234" t="n"/>
      <c r="I622" s="234" t="n"/>
      <c r="J622" s="234" t="n"/>
      <c r="K622" s="234" t="n"/>
      <c r="L622" s="234" t="n"/>
      <c r="M622" s="232" t="n"/>
      <c r="N622" s="233" t="n"/>
      <c r="O622" s="232" t="n"/>
      <c r="P622" s="234" t="n"/>
      <c r="Q622" s="234" t="n"/>
      <c r="R622" s="234" t="n"/>
      <c r="S622" s="234" t="n"/>
      <c r="T622" s="234" t="n"/>
      <c r="U622" s="234" t="n"/>
      <c r="V622" s="234" t="n"/>
      <c r="W622" s="234" t="n"/>
    </row>
    <row r="623" ht="54.95" customFormat="1" customHeight="1" s="235">
      <c r="A623" s="234" t="n"/>
      <c r="B623" s="234" t="n"/>
      <c r="C623" s="234" t="n"/>
      <c r="D623" s="234" t="n"/>
      <c r="E623" s="234" t="n"/>
      <c r="F623" s="234" t="n"/>
      <c r="G623" s="234" t="n"/>
      <c r="H623" s="234" t="n"/>
      <c r="I623" s="234" t="n"/>
      <c r="J623" s="234" t="n"/>
      <c r="K623" s="234" t="n"/>
      <c r="L623" s="234" t="n"/>
      <c r="M623" s="232" t="n"/>
      <c r="N623" s="233" t="n"/>
      <c r="O623" s="232" t="n"/>
      <c r="P623" s="234" t="n"/>
      <c r="Q623" s="234" t="n"/>
      <c r="R623" s="234" t="n"/>
      <c r="S623" s="234" t="n"/>
      <c r="T623" s="234" t="n"/>
      <c r="U623" s="234" t="n"/>
      <c r="V623" s="234" t="n"/>
      <c r="W623" s="234" t="n"/>
    </row>
    <row r="624" ht="54.95" customFormat="1" customHeight="1" s="235">
      <c r="A624" s="232" t="n"/>
      <c r="B624" s="232" t="n"/>
      <c r="C624" s="232" t="n"/>
      <c r="D624" s="233" t="n"/>
      <c r="E624" s="232" t="n"/>
      <c r="F624" s="233" t="n"/>
      <c r="G624" s="233" t="n"/>
      <c r="H624" s="233" t="n"/>
      <c r="I624" s="232" t="n"/>
      <c r="J624" s="233" t="n"/>
      <c r="K624" s="232" t="n"/>
      <c r="L624" s="232" t="n"/>
      <c r="M624" s="232" t="n"/>
      <c r="N624" s="233" t="n"/>
      <c r="O624" s="232" t="n"/>
      <c r="P624" s="233" t="n"/>
      <c r="Q624" s="233" t="n"/>
      <c r="R624" s="233" t="n"/>
      <c r="S624" s="232" t="n"/>
      <c r="T624" s="233" t="n"/>
      <c r="U624" s="233" t="n"/>
      <c r="V624" s="233" t="n"/>
      <c r="W624" s="232" t="n"/>
    </row>
    <row r="625" ht="54.95" customFormat="1" customHeight="1" s="235">
      <c r="A625" s="234" t="n"/>
      <c r="B625" s="234" t="n"/>
      <c r="C625" s="234" t="n"/>
      <c r="D625" s="234" t="n"/>
      <c r="E625" s="234" t="n"/>
      <c r="F625" s="234" t="n"/>
      <c r="G625" s="234" t="n"/>
      <c r="H625" s="234" t="n"/>
      <c r="I625" s="234" t="n"/>
      <c r="J625" s="234" t="n"/>
      <c r="K625" s="234" t="n"/>
      <c r="L625" s="234" t="n"/>
      <c r="M625" s="232" t="n"/>
      <c r="N625" s="233" t="n"/>
      <c r="O625" s="232" t="n"/>
      <c r="P625" s="234" t="n"/>
      <c r="Q625" s="234" t="n"/>
      <c r="R625" s="234" t="n"/>
      <c r="S625" s="234" t="n"/>
      <c r="T625" s="234" t="n"/>
      <c r="U625" s="234" t="n"/>
      <c r="V625" s="234" t="n"/>
      <c r="W625" s="234" t="n"/>
    </row>
    <row r="626" ht="54.95" customFormat="1" customHeight="1" s="235">
      <c r="A626" s="234" t="n"/>
      <c r="B626" s="234" t="n"/>
      <c r="C626" s="234" t="n"/>
      <c r="D626" s="234" t="n"/>
      <c r="E626" s="234" t="n"/>
      <c r="F626" s="234" t="n"/>
      <c r="G626" s="234" t="n"/>
      <c r="H626" s="234" t="n"/>
      <c r="I626" s="234" t="n"/>
      <c r="J626" s="234" t="n"/>
      <c r="K626" s="234" t="n"/>
      <c r="L626" s="234" t="n"/>
      <c r="M626" s="232" t="n"/>
      <c r="N626" s="233" t="n"/>
      <c r="O626" s="232" t="n"/>
      <c r="P626" s="234" t="n"/>
      <c r="Q626" s="234" t="n"/>
      <c r="R626" s="234" t="n"/>
      <c r="S626" s="234" t="n"/>
      <c r="T626" s="234" t="n"/>
      <c r="U626" s="234" t="n"/>
      <c r="V626" s="234" t="n"/>
      <c r="W626" s="234" t="n"/>
    </row>
    <row r="627" ht="54.95" customFormat="1" customHeight="1" s="235">
      <c r="A627" s="232" t="n"/>
      <c r="B627" s="232" t="n"/>
      <c r="C627" s="232" t="n"/>
      <c r="D627" s="233" t="n"/>
      <c r="E627" s="232" t="n"/>
      <c r="F627" s="233" t="n"/>
      <c r="G627" s="233" t="n"/>
      <c r="H627" s="233" t="n"/>
      <c r="I627" s="232" t="n"/>
      <c r="J627" s="233" t="n"/>
      <c r="K627" s="232" t="n"/>
      <c r="L627" s="232" t="n"/>
      <c r="M627" s="232" t="n"/>
      <c r="N627" s="233" t="n"/>
      <c r="O627" s="232" t="n"/>
      <c r="P627" s="233" t="n"/>
      <c r="Q627" s="233" t="n"/>
      <c r="R627" s="233" t="n"/>
      <c r="S627" s="232" t="n"/>
      <c r="T627" s="233" t="n"/>
      <c r="U627" s="233" t="n"/>
      <c r="V627" s="233" t="n"/>
      <c r="W627" s="232" t="n"/>
    </row>
    <row r="628" ht="54.95" customFormat="1" customHeight="1" s="235">
      <c r="A628" s="232" t="n"/>
      <c r="B628" s="232" t="n"/>
      <c r="C628" s="232" t="n"/>
      <c r="D628" s="233" t="n"/>
      <c r="E628" s="232" t="n"/>
      <c r="F628" s="233" t="n"/>
      <c r="G628" s="233" t="n"/>
      <c r="H628" s="233" t="n"/>
      <c r="I628" s="232" t="n"/>
      <c r="J628" s="233" t="n"/>
      <c r="K628" s="232" t="n"/>
      <c r="L628" s="232" t="n"/>
      <c r="M628" s="232" t="n"/>
      <c r="N628" s="233" t="n"/>
      <c r="O628" s="232" t="n"/>
      <c r="P628" s="233" t="n"/>
      <c r="Q628" s="233" t="n"/>
      <c r="R628" s="233" t="n"/>
      <c r="S628" s="232" t="n"/>
      <c r="T628" s="233" t="n"/>
      <c r="U628" s="233" t="n"/>
      <c r="V628" s="233" t="n"/>
      <c r="W628" s="232" t="n"/>
    </row>
    <row r="629" ht="54.95" customFormat="1" customHeight="1" s="235">
      <c r="A629" s="232" t="n"/>
      <c r="B629" s="232" t="n"/>
      <c r="C629" s="232" t="n"/>
      <c r="D629" s="233" t="n"/>
      <c r="E629" s="232" t="n"/>
      <c r="F629" s="233" t="n"/>
      <c r="G629" s="233" t="n"/>
      <c r="H629" s="233" t="n"/>
      <c r="I629" s="232" t="n"/>
      <c r="J629" s="233" t="n"/>
      <c r="K629" s="232" t="n"/>
      <c r="L629" s="232" t="n"/>
      <c r="M629" s="232" t="n"/>
      <c r="N629" s="233" t="n"/>
      <c r="O629" s="232" t="n"/>
      <c r="P629" s="233" t="n"/>
      <c r="Q629" s="233" t="n"/>
      <c r="R629" s="233" t="n"/>
      <c r="S629" s="232" t="n"/>
      <c r="T629" s="233" t="n"/>
      <c r="U629" s="233" t="n"/>
      <c r="V629" s="233" t="n"/>
      <c r="W629" s="232" t="n"/>
    </row>
    <row r="630" ht="54.95" customFormat="1" customHeight="1" s="235">
      <c r="A630" s="232" t="n"/>
      <c r="B630" s="232" t="n"/>
      <c r="C630" s="232" t="n"/>
      <c r="D630" s="233" t="n"/>
      <c r="E630" s="232" t="n"/>
      <c r="F630" s="233" t="n"/>
      <c r="G630" s="233" t="n"/>
      <c r="H630" s="233" t="n"/>
      <c r="I630" s="232" t="n"/>
      <c r="J630" s="233" t="n"/>
      <c r="K630" s="232" t="n"/>
      <c r="L630" s="232" t="n"/>
      <c r="M630" s="232" t="n"/>
      <c r="N630" s="233" t="n"/>
      <c r="O630" s="232" t="n"/>
      <c r="P630" s="233" t="n"/>
      <c r="Q630" s="233" t="n"/>
      <c r="R630" s="233" t="n"/>
      <c r="S630" s="232" t="n"/>
      <c r="T630" s="233" t="n"/>
      <c r="U630" s="233" t="n"/>
      <c r="V630" s="233" t="n"/>
      <c r="W630" s="232" t="n"/>
    </row>
    <row r="631" ht="54.95" customFormat="1" customHeight="1" s="235">
      <c r="A631" s="232" t="n"/>
      <c r="B631" s="232" t="n"/>
      <c r="C631" s="232" t="n"/>
      <c r="D631" s="233" t="n"/>
      <c r="E631" s="232" t="n"/>
      <c r="F631" s="233" t="n"/>
      <c r="G631" s="233" t="n"/>
      <c r="H631" s="233" t="n"/>
      <c r="I631" s="232" t="n"/>
      <c r="J631" s="233" t="n"/>
      <c r="K631" s="232" t="n"/>
      <c r="L631" s="232" t="n"/>
      <c r="M631" s="232" t="n"/>
      <c r="N631" s="233" t="n"/>
      <c r="O631" s="232" t="n"/>
      <c r="P631" s="233" t="n"/>
      <c r="Q631" s="233" t="n"/>
      <c r="R631" s="233" t="n"/>
      <c r="S631" s="232" t="n"/>
      <c r="T631" s="233" t="n"/>
      <c r="U631" s="233" t="n"/>
      <c r="V631" s="233" t="n"/>
      <c r="W631" s="232" t="n"/>
    </row>
    <row r="632" ht="54.95" customFormat="1" customHeight="1" s="235">
      <c r="A632" s="234" t="n"/>
      <c r="B632" s="234" t="n"/>
      <c r="C632" s="234" t="n"/>
      <c r="D632" s="234" t="n"/>
      <c r="E632" s="234" t="n"/>
      <c r="F632" s="234" t="n"/>
      <c r="G632" s="234" t="n"/>
      <c r="H632" s="234" t="n"/>
      <c r="I632" s="234" t="n"/>
      <c r="J632" s="234" t="n"/>
      <c r="K632" s="234" t="n"/>
      <c r="L632" s="234" t="n"/>
      <c r="M632" s="232" t="n"/>
      <c r="N632" s="233" t="n"/>
      <c r="O632" s="232" t="n"/>
      <c r="P632" s="234" t="n"/>
      <c r="Q632" s="234" t="n"/>
      <c r="R632" s="234" t="n"/>
      <c r="S632" s="234" t="n"/>
      <c r="T632" s="234" t="n"/>
      <c r="U632" s="234" t="n"/>
      <c r="V632" s="234" t="n"/>
      <c r="W632" s="234" t="n"/>
    </row>
    <row r="633" ht="54.95" customFormat="1" customHeight="1" s="235">
      <c r="A633" s="234" t="n"/>
      <c r="B633" s="234" t="n"/>
      <c r="C633" s="234" t="n"/>
      <c r="D633" s="234" t="n"/>
      <c r="E633" s="234" t="n"/>
      <c r="F633" s="234" t="n"/>
      <c r="G633" s="234" t="n"/>
      <c r="H633" s="234" t="n"/>
      <c r="I633" s="234" t="n"/>
      <c r="J633" s="234" t="n"/>
      <c r="K633" s="234" t="n"/>
      <c r="L633" s="234" t="n"/>
      <c r="M633" s="232" t="n"/>
      <c r="N633" s="233" t="n"/>
      <c r="O633" s="232" t="n"/>
      <c r="P633" s="234" t="n"/>
      <c r="Q633" s="234" t="n"/>
      <c r="R633" s="234" t="n"/>
      <c r="S633" s="234" t="n"/>
      <c r="T633" s="234" t="n"/>
      <c r="U633" s="234" t="n"/>
      <c r="V633" s="234" t="n"/>
      <c r="W633" s="234" t="n"/>
    </row>
    <row r="634" ht="54.95" customFormat="1" customHeight="1" s="235">
      <c r="A634" s="234" t="n"/>
      <c r="B634" s="234" t="n"/>
      <c r="C634" s="234" t="n"/>
      <c r="D634" s="234" t="n"/>
      <c r="E634" s="234" t="n"/>
      <c r="F634" s="234" t="n"/>
      <c r="G634" s="234" t="n"/>
      <c r="H634" s="234" t="n"/>
      <c r="I634" s="234" t="n"/>
      <c r="J634" s="234" t="n"/>
      <c r="K634" s="234" t="n"/>
      <c r="L634" s="234" t="n"/>
      <c r="M634" s="232" t="n"/>
      <c r="N634" s="233" t="n"/>
      <c r="O634" s="232" t="n"/>
      <c r="P634" s="234" t="n"/>
      <c r="Q634" s="234" t="n"/>
      <c r="R634" s="234" t="n"/>
      <c r="S634" s="234" t="n"/>
      <c r="T634" s="234" t="n"/>
      <c r="U634" s="234" t="n"/>
      <c r="V634" s="234" t="n"/>
      <c r="W634" s="234" t="n"/>
    </row>
    <row r="635" ht="54.95" customFormat="1" customHeight="1" s="235">
      <c r="A635" s="232" t="n"/>
      <c r="B635" s="232" t="n"/>
      <c r="C635" s="232" t="n"/>
      <c r="D635" s="233" t="n"/>
      <c r="E635" s="232" t="n"/>
      <c r="F635" s="233" t="n"/>
      <c r="G635" s="233" t="n"/>
      <c r="H635" s="233" t="n"/>
      <c r="I635" s="232" t="n"/>
      <c r="J635" s="233" t="n"/>
      <c r="K635" s="232" t="n"/>
      <c r="L635" s="232" t="n"/>
      <c r="M635" s="232" t="n"/>
      <c r="N635" s="233" t="n"/>
      <c r="O635" s="232" t="n"/>
      <c r="P635" s="233" t="n"/>
      <c r="Q635" s="233" t="n"/>
      <c r="R635" s="233" t="n"/>
      <c r="S635" s="232" t="n"/>
      <c r="T635" s="233" t="n"/>
      <c r="U635" s="233" t="n"/>
      <c r="V635" s="233" t="n"/>
      <c r="W635" s="232" t="n"/>
    </row>
    <row r="636" ht="54.95" customFormat="1" customHeight="1" s="235">
      <c r="A636" s="234" t="n"/>
      <c r="B636" s="234" t="n"/>
      <c r="C636" s="234" t="n"/>
      <c r="D636" s="234" t="n"/>
      <c r="E636" s="234" t="n"/>
      <c r="F636" s="234" t="n"/>
      <c r="G636" s="234" t="n"/>
      <c r="H636" s="234" t="n"/>
      <c r="I636" s="234" t="n"/>
      <c r="J636" s="234" t="n"/>
      <c r="K636" s="234" t="n"/>
      <c r="L636" s="234" t="n"/>
      <c r="M636" s="232" t="n"/>
      <c r="N636" s="233" t="n"/>
      <c r="O636" s="232" t="n"/>
      <c r="P636" s="234" t="n"/>
      <c r="Q636" s="234" t="n"/>
      <c r="R636" s="234" t="n"/>
      <c r="S636" s="234" t="n"/>
      <c r="T636" s="234" t="n"/>
      <c r="U636" s="234" t="n"/>
      <c r="V636" s="234" t="n"/>
      <c r="W636" s="234" t="n"/>
    </row>
    <row r="637" ht="54.95" customFormat="1" customHeight="1" s="235">
      <c r="A637" s="234" t="n"/>
      <c r="B637" s="234" t="n"/>
      <c r="C637" s="234" t="n"/>
      <c r="D637" s="234" t="n"/>
      <c r="E637" s="234" t="n"/>
      <c r="F637" s="234" t="n"/>
      <c r="G637" s="234" t="n"/>
      <c r="H637" s="234" t="n"/>
      <c r="I637" s="234" t="n"/>
      <c r="J637" s="234" t="n"/>
      <c r="K637" s="234" t="n"/>
      <c r="L637" s="234" t="n"/>
      <c r="M637" s="232" t="n"/>
      <c r="N637" s="233" t="n"/>
      <c r="O637" s="232" t="n"/>
      <c r="P637" s="234" t="n"/>
      <c r="Q637" s="234" t="n"/>
      <c r="R637" s="234" t="n"/>
      <c r="S637" s="234" t="n"/>
      <c r="T637" s="234" t="n"/>
      <c r="U637" s="234" t="n"/>
      <c r="V637" s="234" t="n"/>
      <c r="W637" s="234" t="n"/>
    </row>
    <row r="638" ht="54.95" customFormat="1" customHeight="1" s="235">
      <c r="A638" s="234" t="n"/>
      <c r="B638" s="234" t="n"/>
      <c r="C638" s="234" t="n"/>
      <c r="D638" s="234" t="n"/>
      <c r="E638" s="234" t="n"/>
      <c r="F638" s="234" t="n"/>
      <c r="G638" s="234" t="n"/>
      <c r="H638" s="234" t="n"/>
      <c r="I638" s="234" t="n"/>
      <c r="J638" s="234" t="n"/>
      <c r="K638" s="234" t="n"/>
      <c r="L638" s="234" t="n"/>
      <c r="M638" s="232" t="n"/>
      <c r="N638" s="233" t="n"/>
      <c r="O638" s="232" t="n"/>
      <c r="P638" s="234" t="n"/>
      <c r="Q638" s="234" t="n"/>
      <c r="R638" s="234" t="n"/>
      <c r="S638" s="234" t="n"/>
      <c r="T638" s="234" t="n"/>
      <c r="U638" s="234" t="n"/>
      <c r="V638" s="234" t="n"/>
      <c r="W638" s="234" t="n"/>
    </row>
    <row r="639" ht="54.95" customFormat="1" customHeight="1" s="235">
      <c r="A639" s="232" t="n"/>
      <c r="B639" s="232" t="n"/>
      <c r="C639" s="232" t="n"/>
      <c r="D639" s="233" t="n"/>
      <c r="E639" s="232" t="n"/>
      <c r="F639" s="233" t="n"/>
      <c r="G639" s="233" t="n"/>
      <c r="H639" s="233" t="n"/>
      <c r="I639" s="232" t="n"/>
      <c r="J639" s="233" t="n"/>
      <c r="K639" s="232" t="n"/>
      <c r="L639" s="232" t="n"/>
      <c r="M639" s="232" t="n"/>
      <c r="N639" s="233" t="n"/>
      <c r="O639" s="232" t="n"/>
      <c r="P639" s="233" t="n"/>
      <c r="Q639" s="233" t="n"/>
      <c r="R639" s="233" t="n"/>
      <c r="S639" s="232" t="n"/>
      <c r="T639" s="233" t="n"/>
      <c r="U639" s="233" t="n"/>
      <c r="V639" s="233" t="n"/>
      <c r="W639" s="232" t="n"/>
    </row>
    <row r="640" ht="54.95" customFormat="1" customHeight="1" s="235">
      <c r="A640" s="234" t="n"/>
      <c r="B640" s="234" t="n"/>
      <c r="C640" s="234" t="n"/>
      <c r="D640" s="234" t="n"/>
      <c r="E640" s="234" t="n"/>
      <c r="F640" s="234" t="n"/>
      <c r="G640" s="234" t="n"/>
      <c r="H640" s="234" t="n"/>
      <c r="I640" s="234" t="n"/>
      <c r="J640" s="234" t="n"/>
      <c r="K640" s="234" t="n"/>
      <c r="L640" s="234" t="n"/>
      <c r="M640" s="232" t="n"/>
      <c r="N640" s="233" t="n"/>
      <c r="O640" s="232" t="n"/>
      <c r="P640" s="234" t="n"/>
      <c r="Q640" s="234" t="n"/>
      <c r="R640" s="234" t="n"/>
      <c r="S640" s="234" t="n"/>
      <c r="T640" s="234" t="n"/>
      <c r="U640" s="234" t="n"/>
      <c r="V640" s="234" t="n"/>
      <c r="W640" s="234" t="n"/>
    </row>
    <row r="641" ht="54.95" customFormat="1" customHeight="1" s="235">
      <c r="A641" s="234" t="n"/>
      <c r="B641" s="234" t="n"/>
      <c r="C641" s="234" t="n"/>
      <c r="D641" s="234" t="n"/>
      <c r="E641" s="234" t="n"/>
      <c r="F641" s="234" t="n"/>
      <c r="G641" s="234" t="n"/>
      <c r="H641" s="234" t="n"/>
      <c r="I641" s="234" t="n"/>
      <c r="J641" s="234" t="n"/>
      <c r="K641" s="234" t="n"/>
      <c r="L641" s="234" t="n"/>
      <c r="M641" s="232" t="n"/>
      <c r="N641" s="233" t="n"/>
      <c r="O641" s="232" t="n"/>
      <c r="P641" s="234" t="n"/>
      <c r="Q641" s="234" t="n"/>
      <c r="R641" s="234" t="n"/>
      <c r="S641" s="234" t="n"/>
      <c r="T641" s="234" t="n"/>
      <c r="U641" s="234" t="n"/>
      <c r="V641" s="234" t="n"/>
      <c r="W641" s="234" t="n"/>
    </row>
    <row r="642" ht="54.95" customFormat="1" customHeight="1" s="235">
      <c r="A642" s="234" t="n"/>
      <c r="B642" s="234" t="n"/>
      <c r="C642" s="234" t="n"/>
      <c r="D642" s="234" t="n"/>
      <c r="E642" s="234" t="n"/>
      <c r="F642" s="234" t="n"/>
      <c r="G642" s="234" t="n"/>
      <c r="H642" s="234" t="n"/>
      <c r="I642" s="234" t="n"/>
      <c r="J642" s="234" t="n"/>
      <c r="K642" s="234" t="n"/>
      <c r="L642" s="234" t="n"/>
      <c r="M642" s="232" t="n"/>
      <c r="N642" s="233" t="n"/>
      <c r="O642" s="232" t="n"/>
      <c r="P642" s="234" t="n"/>
      <c r="Q642" s="234" t="n"/>
      <c r="R642" s="234" t="n"/>
      <c r="S642" s="234" t="n"/>
      <c r="T642" s="234" t="n"/>
      <c r="U642" s="234" t="n"/>
      <c r="V642" s="234" t="n"/>
      <c r="W642" s="234" t="n"/>
    </row>
    <row r="643" ht="54.95" customFormat="1" customHeight="1" s="235">
      <c r="A643" s="232" t="n"/>
      <c r="B643" s="232" t="n"/>
      <c r="C643" s="232" t="n"/>
      <c r="D643" s="233" t="n"/>
      <c r="E643" s="232" t="n"/>
      <c r="F643" s="233" t="n"/>
      <c r="G643" s="233" t="n"/>
      <c r="H643" s="233" t="n"/>
      <c r="I643" s="232" t="n"/>
      <c r="J643" s="233" t="n"/>
      <c r="K643" s="232" t="n"/>
      <c r="L643" s="232" t="n"/>
      <c r="M643" s="232" t="n"/>
      <c r="N643" s="233" t="n"/>
      <c r="O643" s="232" t="n"/>
      <c r="P643" s="233" t="n"/>
      <c r="Q643" s="233" t="n"/>
      <c r="R643" s="233" t="n"/>
      <c r="S643" s="232" t="n"/>
      <c r="T643" s="233" t="n"/>
      <c r="U643" s="233" t="n"/>
      <c r="V643" s="233" t="n"/>
      <c r="W643" s="232" t="n"/>
    </row>
    <row r="644" ht="54.95" customFormat="1" customHeight="1" s="235">
      <c r="A644" s="234" t="n"/>
      <c r="B644" s="234" t="n"/>
      <c r="C644" s="234" t="n"/>
      <c r="D644" s="234" t="n"/>
      <c r="E644" s="234" t="n"/>
      <c r="F644" s="234" t="n"/>
      <c r="G644" s="234" t="n"/>
      <c r="H644" s="234" t="n"/>
      <c r="I644" s="234" t="n"/>
      <c r="J644" s="234" t="n"/>
      <c r="K644" s="234" t="n"/>
      <c r="L644" s="234" t="n"/>
      <c r="M644" s="232" t="n"/>
      <c r="N644" s="233" t="n"/>
      <c r="O644" s="232" t="n"/>
      <c r="P644" s="234" t="n"/>
      <c r="Q644" s="234" t="n"/>
      <c r="R644" s="234" t="n"/>
      <c r="S644" s="234" t="n"/>
      <c r="T644" s="234" t="n"/>
      <c r="U644" s="234" t="n"/>
      <c r="V644" s="234" t="n"/>
      <c r="W644" s="234" t="n"/>
    </row>
    <row r="645" ht="54.95" customFormat="1" customHeight="1" s="235">
      <c r="A645" s="234" t="n"/>
      <c r="B645" s="234" t="n"/>
      <c r="C645" s="234" t="n"/>
      <c r="D645" s="234" t="n"/>
      <c r="E645" s="234" t="n"/>
      <c r="F645" s="234" t="n"/>
      <c r="G645" s="234" t="n"/>
      <c r="H645" s="234" t="n"/>
      <c r="I645" s="234" t="n"/>
      <c r="J645" s="234" t="n"/>
      <c r="K645" s="234" t="n"/>
      <c r="L645" s="234" t="n"/>
      <c r="M645" s="232" t="n"/>
      <c r="N645" s="233" t="n"/>
      <c r="O645" s="232" t="n"/>
      <c r="P645" s="234" t="n"/>
      <c r="Q645" s="234" t="n"/>
      <c r="R645" s="234" t="n"/>
      <c r="S645" s="234" t="n"/>
      <c r="T645" s="234" t="n"/>
      <c r="U645" s="234" t="n"/>
      <c r="V645" s="234" t="n"/>
      <c r="W645" s="234" t="n"/>
    </row>
    <row r="646" ht="54.95" customFormat="1" customHeight="1" s="235">
      <c r="A646" s="234" t="n"/>
      <c r="B646" s="234" t="n"/>
      <c r="C646" s="234" t="n"/>
      <c r="D646" s="234" t="n"/>
      <c r="E646" s="234" t="n"/>
      <c r="F646" s="234" t="n"/>
      <c r="G646" s="234" t="n"/>
      <c r="H646" s="234" t="n"/>
      <c r="I646" s="234" t="n"/>
      <c r="J646" s="234" t="n"/>
      <c r="K646" s="234" t="n"/>
      <c r="L646" s="234" t="n"/>
      <c r="M646" s="232" t="n"/>
      <c r="N646" s="233" t="n"/>
      <c r="O646" s="232" t="n"/>
      <c r="P646" s="234" t="n"/>
      <c r="Q646" s="234" t="n"/>
      <c r="R646" s="234" t="n"/>
      <c r="S646" s="234" t="n"/>
      <c r="T646" s="234" t="n"/>
      <c r="U646" s="234" t="n"/>
      <c r="V646" s="234" t="n"/>
      <c r="W646" s="234" t="n"/>
    </row>
    <row r="647" ht="54.95" customFormat="1" customHeight="1" s="235">
      <c r="A647" s="234" t="n"/>
      <c r="B647" s="234" t="n"/>
      <c r="C647" s="234" t="n"/>
      <c r="D647" s="234" t="n"/>
      <c r="E647" s="234" t="n"/>
      <c r="F647" s="234" t="n"/>
      <c r="G647" s="234" t="n"/>
      <c r="H647" s="234" t="n"/>
      <c r="I647" s="234" t="n"/>
      <c r="J647" s="234" t="n"/>
      <c r="K647" s="234" t="n"/>
      <c r="L647" s="234" t="n"/>
      <c r="M647" s="232" t="n"/>
      <c r="N647" s="233" t="n"/>
      <c r="O647" s="232" t="n"/>
      <c r="P647" s="234" t="n"/>
      <c r="Q647" s="234" t="n"/>
      <c r="R647" s="234" t="n"/>
      <c r="S647" s="234" t="n"/>
      <c r="T647" s="234" t="n"/>
      <c r="U647" s="234" t="n"/>
      <c r="V647" s="234" t="n"/>
      <c r="W647" s="234" t="n"/>
    </row>
    <row r="648" ht="54.95" customFormat="1" customHeight="1" s="235">
      <c r="A648" s="232" t="n"/>
      <c r="B648" s="232" t="n"/>
      <c r="C648" s="232" t="n"/>
      <c r="D648" s="233" t="n"/>
      <c r="E648" s="232" t="n"/>
      <c r="F648" s="233" t="n"/>
      <c r="G648" s="233" t="n"/>
      <c r="H648" s="233" t="n"/>
      <c r="I648" s="232" t="n"/>
      <c r="J648" s="233" t="n"/>
      <c r="K648" s="232" t="n"/>
      <c r="L648" s="232" t="n"/>
      <c r="M648" s="232" t="n"/>
      <c r="N648" s="233" t="n"/>
      <c r="O648" s="232" t="n"/>
      <c r="P648" s="233" t="n"/>
      <c r="Q648" s="233" t="n"/>
      <c r="R648" s="233" t="n"/>
      <c r="S648" s="232" t="n"/>
      <c r="T648" s="233" t="n"/>
      <c r="U648" s="233" t="n"/>
      <c r="V648" s="233" t="n"/>
      <c r="W648" s="232" t="n"/>
    </row>
    <row r="649" ht="54.95" customFormat="1" customHeight="1" s="235">
      <c r="A649" s="232" t="n"/>
      <c r="B649" s="232" t="n"/>
      <c r="C649" s="232" t="n"/>
      <c r="D649" s="233" t="n"/>
      <c r="E649" s="232" t="n"/>
      <c r="F649" s="233" t="n"/>
      <c r="G649" s="233" t="n"/>
      <c r="H649" s="233" t="n"/>
      <c r="I649" s="232" t="n"/>
      <c r="J649" s="233" t="n"/>
      <c r="K649" s="232" t="n"/>
      <c r="L649" s="232" t="n"/>
      <c r="M649" s="232" t="n"/>
      <c r="N649" s="233" t="n"/>
      <c r="O649" s="232" t="n"/>
      <c r="P649" s="233" t="n"/>
      <c r="Q649" s="233" t="n"/>
      <c r="R649" s="233" t="n"/>
      <c r="S649" s="232" t="n"/>
      <c r="T649" s="233" t="n"/>
      <c r="U649" s="233" t="n"/>
      <c r="V649" s="233" t="n"/>
      <c r="W649" s="232" t="n"/>
    </row>
    <row r="650" ht="54.95" customFormat="1" customHeight="1" s="235">
      <c r="A650" s="232" t="n"/>
      <c r="B650" s="232" t="n"/>
      <c r="C650" s="232" t="n"/>
      <c r="D650" s="233" t="n"/>
      <c r="E650" s="232" t="n"/>
      <c r="F650" s="233" t="n"/>
      <c r="G650" s="233" t="n"/>
      <c r="H650" s="233" t="n"/>
      <c r="I650" s="232" t="n"/>
      <c r="J650" s="233" t="n"/>
      <c r="K650" s="232" t="n"/>
      <c r="L650" s="232" t="n"/>
      <c r="M650" s="232" t="n"/>
      <c r="N650" s="233" t="n"/>
      <c r="O650" s="232" t="n"/>
      <c r="P650" s="233" t="n"/>
      <c r="Q650" s="233" t="n"/>
      <c r="R650" s="233" t="n"/>
      <c r="S650" s="232" t="n"/>
      <c r="T650" s="233" t="n"/>
      <c r="U650" s="233" t="n"/>
      <c r="V650" s="233" t="n"/>
      <c r="W650" s="232" t="n"/>
    </row>
    <row r="651" ht="54.95" customFormat="1" customHeight="1" s="235">
      <c r="A651" s="232" t="n"/>
      <c r="B651" s="232" t="n"/>
      <c r="C651" s="232" t="n"/>
      <c r="D651" s="233" t="n"/>
      <c r="E651" s="232" t="n"/>
      <c r="F651" s="233" t="n"/>
      <c r="G651" s="233" t="n"/>
      <c r="H651" s="233" t="n"/>
      <c r="I651" s="232" t="n"/>
      <c r="J651" s="233" t="n"/>
      <c r="K651" s="232" t="n"/>
      <c r="L651" s="232" t="n"/>
      <c r="M651" s="232" t="n"/>
      <c r="N651" s="233" t="n"/>
      <c r="O651" s="232" t="n"/>
      <c r="P651" s="233" t="n"/>
      <c r="Q651" s="233" t="n"/>
      <c r="R651" s="233" t="n"/>
      <c r="S651" s="232" t="n"/>
      <c r="T651" s="233" t="n"/>
      <c r="U651" s="233" t="n"/>
      <c r="V651" s="233" t="n"/>
      <c r="W651" s="232" t="n"/>
    </row>
    <row r="652" ht="54.95" customFormat="1" customHeight="1" s="235">
      <c r="A652" s="232" t="n"/>
      <c r="B652" s="232" t="n"/>
      <c r="C652" s="232" t="n"/>
      <c r="D652" s="233" t="n"/>
      <c r="E652" s="232" t="n"/>
      <c r="F652" s="233" t="n"/>
      <c r="G652" s="233" t="n"/>
      <c r="H652" s="233" t="n"/>
      <c r="I652" s="232" t="n"/>
      <c r="J652" s="233" t="n"/>
      <c r="K652" s="232" t="n"/>
      <c r="L652" s="232" t="n"/>
      <c r="M652" s="232" t="n"/>
      <c r="N652" s="233" t="n"/>
      <c r="O652" s="232" t="n"/>
      <c r="P652" s="233" t="n"/>
      <c r="Q652" s="233" t="n"/>
      <c r="R652" s="233" t="n"/>
      <c r="S652" s="232" t="n"/>
      <c r="T652" s="233" t="n"/>
      <c r="U652" s="233" t="n"/>
      <c r="V652" s="233" t="n"/>
      <c r="W652" s="232" t="n"/>
    </row>
    <row r="653" ht="54.95" customFormat="1" customHeight="1" s="235">
      <c r="A653" s="232" t="n"/>
      <c r="B653" s="232" t="n"/>
      <c r="C653" s="232" t="n"/>
      <c r="D653" s="233" t="n"/>
      <c r="E653" s="232" t="n"/>
      <c r="F653" s="233" t="n"/>
      <c r="G653" s="233" t="n"/>
      <c r="H653" s="233" t="n"/>
      <c r="I653" s="232" t="n"/>
      <c r="J653" s="233" t="n"/>
      <c r="K653" s="232" t="n"/>
      <c r="L653" s="232" t="n"/>
      <c r="M653" s="232" t="n"/>
      <c r="N653" s="233" t="n"/>
      <c r="O653" s="232" t="n"/>
      <c r="P653" s="233" t="n"/>
      <c r="Q653" s="233" t="n"/>
      <c r="R653" s="233" t="n"/>
      <c r="S653" s="232" t="n"/>
      <c r="T653" s="233" t="n"/>
      <c r="U653" s="233" t="n"/>
      <c r="V653" s="233" t="n"/>
      <c r="W653" s="232" t="n"/>
    </row>
    <row r="654" ht="54.95" customFormat="1" customHeight="1" s="235">
      <c r="A654" s="232" t="n"/>
      <c r="B654" s="232" t="n"/>
      <c r="C654" s="232" t="n"/>
      <c r="D654" s="233" t="n"/>
      <c r="E654" s="232" t="n"/>
      <c r="F654" s="233" t="n"/>
      <c r="G654" s="233" t="n"/>
      <c r="H654" s="233" t="n"/>
      <c r="I654" s="232" t="n"/>
      <c r="J654" s="233" t="n"/>
      <c r="K654" s="232" t="n"/>
      <c r="L654" s="232" t="n"/>
      <c r="M654" s="232" t="n"/>
      <c r="N654" s="233" t="n"/>
      <c r="O654" s="232" t="n"/>
      <c r="P654" s="233" t="n"/>
      <c r="Q654" s="233" t="n"/>
      <c r="R654" s="233" t="n"/>
      <c r="S654" s="232" t="n"/>
      <c r="T654" s="233" t="n"/>
      <c r="U654" s="233" t="n"/>
      <c r="V654" s="233" t="n"/>
      <c r="W654" s="232" t="n"/>
    </row>
    <row r="655" ht="54.95" customFormat="1" customHeight="1" s="235">
      <c r="A655" s="232" t="n"/>
      <c r="B655" s="232" t="n"/>
      <c r="C655" s="232" t="n"/>
      <c r="D655" s="233" t="n"/>
      <c r="E655" s="232" t="n"/>
      <c r="F655" s="233" t="n"/>
      <c r="G655" s="233" t="n"/>
      <c r="H655" s="233" t="n"/>
      <c r="I655" s="232" t="n"/>
      <c r="J655" s="233" t="n"/>
      <c r="K655" s="232" t="n"/>
      <c r="L655" s="232" t="n"/>
      <c r="M655" s="232" t="n"/>
      <c r="N655" s="233" t="n"/>
      <c r="O655" s="232" t="n"/>
      <c r="P655" s="233" t="n"/>
      <c r="Q655" s="233" t="n"/>
      <c r="R655" s="233" t="n"/>
      <c r="S655" s="232" t="n"/>
      <c r="T655" s="233" t="n"/>
      <c r="U655" s="233" t="n"/>
      <c r="V655" s="233" t="n"/>
      <c r="W655" s="232" t="n"/>
    </row>
    <row r="656" ht="54.95" customFormat="1" customHeight="1" s="235">
      <c r="A656" s="232" t="n"/>
      <c r="B656" s="232" t="n"/>
      <c r="C656" s="232" t="n"/>
      <c r="D656" s="233" t="n"/>
      <c r="E656" s="232" t="n"/>
      <c r="F656" s="233" t="n"/>
      <c r="G656" s="233" t="n"/>
      <c r="H656" s="233" t="n"/>
      <c r="I656" s="232" t="n"/>
      <c r="J656" s="233" t="n"/>
      <c r="K656" s="232" t="n"/>
      <c r="L656" s="232" t="n"/>
      <c r="M656" s="232" t="n"/>
      <c r="N656" s="233" t="n"/>
      <c r="O656" s="232" t="n"/>
      <c r="P656" s="233" t="n"/>
      <c r="Q656" s="233" t="n"/>
      <c r="R656" s="233" t="n"/>
      <c r="S656" s="232" t="n"/>
      <c r="T656" s="233" t="n"/>
      <c r="U656" s="233" t="n"/>
      <c r="V656" s="233" t="n"/>
      <c r="W656" s="232" t="n"/>
    </row>
    <row r="657" ht="54.95" customFormat="1" customHeight="1" s="235">
      <c r="A657" s="232" t="n"/>
      <c r="B657" s="232" t="n"/>
      <c r="C657" s="232" t="n"/>
      <c r="D657" s="233" t="n"/>
      <c r="E657" s="232" t="n"/>
      <c r="F657" s="233" t="n"/>
      <c r="G657" s="233" t="n"/>
      <c r="H657" s="233" t="n"/>
      <c r="I657" s="232" t="n"/>
      <c r="J657" s="233" t="n"/>
      <c r="K657" s="232" t="n"/>
      <c r="L657" s="232" t="n"/>
      <c r="M657" s="232" t="n"/>
      <c r="N657" s="233" t="n"/>
      <c r="O657" s="232" t="n"/>
      <c r="P657" s="233" t="n"/>
      <c r="Q657" s="233" t="n"/>
      <c r="R657" s="233" t="n"/>
      <c r="S657" s="232" t="n"/>
      <c r="T657" s="233" t="n"/>
      <c r="U657" s="233" t="n"/>
      <c r="V657" s="233" t="n"/>
      <c r="W657" s="232" t="n"/>
    </row>
    <row r="658" ht="54.95" customFormat="1" customHeight="1" s="235">
      <c r="A658" s="232" t="n"/>
      <c r="B658" s="232" t="n"/>
      <c r="C658" s="232" t="n"/>
      <c r="D658" s="233" t="n"/>
      <c r="E658" s="232" t="n"/>
      <c r="F658" s="233" t="n"/>
      <c r="G658" s="233" t="n"/>
      <c r="H658" s="233" t="n"/>
      <c r="I658" s="232" t="n"/>
      <c r="J658" s="233" t="n"/>
      <c r="K658" s="232" t="n"/>
      <c r="L658" s="232" t="n"/>
      <c r="M658" s="232" t="n"/>
      <c r="N658" s="233" t="n"/>
      <c r="O658" s="232" t="n"/>
      <c r="P658" s="233" t="n"/>
      <c r="Q658" s="233" t="n"/>
      <c r="R658" s="233" t="n"/>
      <c r="S658" s="232" t="n"/>
      <c r="T658" s="233" t="n"/>
      <c r="U658" s="233" t="n"/>
      <c r="V658" s="233" t="n"/>
      <c r="W658" s="232" t="n"/>
    </row>
    <row r="659" ht="54.95" customFormat="1" customHeight="1" s="235">
      <c r="A659" s="232" t="n"/>
      <c r="B659" s="232" t="n"/>
      <c r="C659" s="232" t="n"/>
      <c r="D659" s="233" t="n"/>
      <c r="E659" s="232" t="n"/>
      <c r="F659" s="233" t="n"/>
      <c r="G659" s="233" t="n"/>
      <c r="H659" s="233" t="n"/>
      <c r="I659" s="232" t="n"/>
      <c r="J659" s="233" t="n"/>
      <c r="K659" s="232" t="n"/>
      <c r="L659" s="232" t="n"/>
      <c r="M659" s="232" t="n"/>
      <c r="N659" s="233" t="n"/>
      <c r="O659" s="232" t="n"/>
      <c r="P659" s="233" t="n"/>
      <c r="Q659" s="233" t="n"/>
      <c r="R659" s="233" t="n"/>
      <c r="S659" s="232" t="n"/>
      <c r="T659" s="233" t="n"/>
      <c r="U659" s="233" t="n"/>
      <c r="V659" s="233" t="n"/>
      <c r="W659" s="232" t="n"/>
    </row>
    <row r="660" ht="54.95" customFormat="1" customHeight="1" s="235">
      <c r="A660" s="232" t="n"/>
      <c r="B660" s="232" t="n"/>
      <c r="C660" s="232" t="n"/>
      <c r="D660" s="233" t="n"/>
      <c r="E660" s="232" t="n"/>
      <c r="F660" s="233" t="n"/>
      <c r="G660" s="233" t="n"/>
      <c r="H660" s="233" t="n"/>
      <c r="I660" s="232" t="n"/>
      <c r="J660" s="233" t="n"/>
      <c r="K660" s="232" t="n"/>
      <c r="L660" s="232" t="n"/>
      <c r="M660" s="232" t="n"/>
      <c r="N660" s="233" t="n"/>
      <c r="O660" s="232" t="n"/>
      <c r="P660" s="233" t="n"/>
      <c r="Q660" s="233" t="n"/>
      <c r="R660" s="233" t="n"/>
      <c r="S660" s="232" t="n"/>
      <c r="T660" s="233" t="n"/>
      <c r="U660" s="233" t="n"/>
      <c r="V660" s="233" t="n"/>
      <c r="W660" s="232" t="n"/>
    </row>
    <row r="661" ht="54.95" customFormat="1" customHeight="1" s="235">
      <c r="A661" s="232" t="n"/>
      <c r="B661" s="232" t="n"/>
      <c r="C661" s="232" t="n"/>
      <c r="D661" s="233" t="n"/>
      <c r="E661" s="232" t="n"/>
      <c r="F661" s="233" t="n"/>
      <c r="G661" s="233" t="n"/>
      <c r="H661" s="233" t="n"/>
      <c r="I661" s="232" t="n"/>
      <c r="J661" s="233" t="n"/>
      <c r="K661" s="232" t="n"/>
      <c r="L661" s="232" t="n"/>
      <c r="M661" s="232" t="n"/>
      <c r="N661" s="233" t="n"/>
      <c r="O661" s="232" t="n"/>
      <c r="P661" s="233" t="n"/>
      <c r="Q661" s="233" t="n"/>
      <c r="R661" s="233" t="n"/>
      <c r="S661" s="232" t="n"/>
      <c r="T661" s="233" t="n"/>
      <c r="U661" s="233" t="n"/>
      <c r="V661" s="233" t="n"/>
      <c r="W661" s="232" t="n"/>
    </row>
    <row r="662" ht="54.95" customFormat="1" customHeight="1" s="235">
      <c r="A662" s="232" t="n"/>
      <c r="B662" s="232" t="n"/>
      <c r="C662" s="232" t="n"/>
      <c r="D662" s="233" t="n"/>
      <c r="E662" s="232" t="n"/>
      <c r="F662" s="233" t="n"/>
      <c r="G662" s="233" t="n"/>
      <c r="H662" s="233" t="n"/>
      <c r="I662" s="232" t="n"/>
      <c r="J662" s="233" t="n"/>
      <c r="K662" s="232" t="n"/>
      <c r="L662" s="232" t="n"/>
      <c r="M662" s="232" t="n"/>
      <c r="N662" s="233" t="n"/>
      <c r="O662" s="232" t="n"/>
      <c r="P662" s="233" t="n"/>
      <c r="Q662" s="233" t="n"/>
      <c r="R662" s="233" t="n"/>
      <c r="S662" s="232" t="n"/>
      <c r="T662" s="233" t="n"/>
      <c r="U662" s="233" t="n"/>
      <c r="V662" s="233" t="n"/>
      <c r="W662" s="232" t="n"/>
    </row>
    <row r="663" ht="54.95" customFormat="1" customHeight="1" s="235">
      <c r="A663" s="232" t="n"/>
      <c r="B663" s="232" t="n"/>
      <c r="C663" s="232" t="n"/>
      <c r="D663" s="233" t="n"/>
      <c r="E663" s="232" t="n"/>
      <c r="F663" s="233" t="n"/>
      <c r="G663" s="233" t="n"/>
      <c r="H663" s="233" t="n"/>
      <c r="I663" s="232" t="n"/>
      <c r="J663" s="233" t="n"/>
      <c r="K663" s="232" t="n"/>
      <c r="L663" s="232" t="n"/>
      <c r="M663" s="232" t="n"/>
      <c r="N663" s="233" t="n"/>
      <c r="O663" s="232" t="n"/>
      <c r="P663" s="233" t="n"/>
      <c r="Q663" s="233" t="n"/>
      <c r="R663" s="233" t="n"/>
      <c r="S663" s="232" t="n"/>
      <c r="T663" s="233" t="n"/>
      <c r="U663" s="233" t="n"/>
      <c r="V663" s="233" t="n"/>
      <c r="W663" s="232" t="n"/>
    </row>
    <row r="664" ht="54.95" customFormat="1" customHeight="1" s="235">
      <c r="A664" s="232" t="n"/>
      <c r="B664" s="232" t="n"/>
      <c r="C664" s="232" t="n"/>
      <c r="D664" s="233" t="n"/>
      <c r="E664" s="232" t="n"/>
      <c r="F664" s="233" t="n"/>
      <c r="G664" s="233" t="n"/>
      <c r="H664" s="233" t="n"/>
      <c r="I664" s="232" t="n"/>
      <c r="J664" s="233" t="n"/>
      <c r="K664" s="232" t="n"/>
      <c r="L664" s="232" t="n"/>
      <c r="M664" s="232" t="n"/>
      <c r="N664" s="233" t="n"/>
      <c r="O664" s="232" t="n"/>
      <c r="P664" s="233" t="n"/>
      <c r="Q664" s="233" t="n"/>
      <c r="R664" s="233" t="n"/>
      <c r="S664" s="232" t="n"/>
      <c r="T664" s="233" t="n"/>
      <c r="U664" s="233" t="n"/>
      <c r="V664" s="233" t="n"/>
      <c r="W664" s="232" t="n"/>
    </row>
    <row r="665" ht="54.95" customFormat="1" customHeight="1" s="235">
      <c r="A665" s="232" t="n"/>
      <c r="B665" s="232" t="n"/>
      <c r="C665" s="232" t="n"/>
      <c r="D665" s="233" t="n"/>
      <c r="E665" s="232" t="n"/>
      <c r="F665" s="233" t="n"/>
      <c r="G665" s="233" t="n"/>
      <c r="H665" s="233" t="n"/>
      <c r="I665" s="232" t="n"/>
      <c r="J665" s="233" t="n"/>
      <c r="K665" s="232" t="n"/>
      <c r="L665" s="232" t="n"/>
      <c r="M665" s="232" t="n"/>
      <c r="N665" s="233" t="n"/>
      <c r="O665" s="232" t="n"/>
      <c r="P665" s="233" t="n"/>
      <c r="Q665" s="233" t="n"/>
      <c r="R665" s="233" t="n"/>
      <c r="S665" s="232" t="n"/>
      <c r="T665" s="233" t="n"/>
      <c r="U665" s="233" t="n"/>
      <c r="V665" s="233" t="n"/>
      <c r="W665" s="232" t="n"/>
    </row>
    <row r="666" ht="54.95" customFormat="1" customHeight="1" s="235">
      <c r="A666" s="232" t="n"/>
      <c r="B666" s="232" t="n"/>
      <c r="C666" s="232" t="n"/>
      <c r="D666" s="233" t="n"/>
      <c r="E666" s="232" t="n"/>
      <c r="F666" s="233" t="n"/>
      <c r="G666" s="233" t="n"/>
      <c r="H666" s="233" t="n"/>
      <c r="I666" s="232" t="n"/>
      <c r="J666" s="233" t="n"/>
      <c r="K666" s="232" t="n"/>
      <c r="L666" s="232" t="n"/>
      <c r="M666" s="232" t="n"/>
      <c r="N666" s="233" t="n"/>
      <c r="O666" s="232" t="n"/>
      <c r="P666" s="233" t="n"/>
      <c r="Q666" s="233" t="n"/>
      <c r="R666" s="233" t="n"/>
      <c r="S666" s="232" t="n"/>
      <c r="T666" s="233" t="n"/>
      <c r="U666" s="233" t="n"/>
      <c r="V666" s="233" t="n"/>
      <c r="W666" s="232" t="n"/>
    </row>
    <row r="667" ht="54.95" customFormat="1" customHeight="1" s="235">
      <c r="A667" s="232" t="n"/>
      <c r="B667" s="232" t="n"/>
      <c r="C667" s="232" t="n"/>
      <c r="D667" s="233" t="n"/>
      <c r="E667" s="232" t="n"/>
      <c r="F667" s="233" t="n"/>
      <c r="G667" s="233" t="n"/>
      <c r="H667" s="233" t="n"/>
      <c r="I667" s="232" t="n"/>
      <c r="J667" s="233" t="n"/>
      <c r="K667" s="232" t="n"/>
      <c r="L667" s="232" t="n"/>
      <c r="M667" s="232" t="n"/>
      <c r="N667" s="233" t="n"/>
      <c r="O667" s="232" t="n"/>
      <c r="P667" s="233" t="n"/>
      <c r="Q667" s="233" t="n"/>
      <c r="R667" s="233" t="n"/>
      <c r="S667" s="232" t="n"/>
      <c r="T667" s="233" t="n"/>
      <c r="U667" s="233" t="n"/>
      <c r="V667" s="233" t="n"/>
      <c r="W667" s="232" t="n"/>
    </row>
    <row r="668" ht="54.95" customFormat="1" customHeight="1" s="235">
      <c r="A668" s="232" t="n"/>
      <c r="B668" s="232" t="n"/>
      <c r="C668" s="232" t="n"/>
      <c r="D668" s="233" t="n"/>
      <c r="E668" s="232" t="n"/>
      <c r="F668" s="233" t="n"/>
      <c r="G668" s="233" t="n"/>
      <c r="H668" s="233" t="n"/>
      <c r="I668" s="232" t="n"/>
      <c r="J668" s="233" t="n"/>
      <c r="K668" s="232" t="n"/>
      <c r="L668" s="232" t="n"/>
      <c r="M668" s="232" t="n"/>
      <c r="N668" s="233" t="n"/>
      <c r="O668" s="232" t="n"/>
      <c r="P668" s="233" t="n"/>
      <c r="Q668" s="233" t="n"/>
      <c r="R668" s="233" t="n"/>
      <c r="S668" s="232" t="n"/>
      <c r="T668" s="233" t="n"/>
      <c r="U668" s="233" t="n"/>
      <c r="V668" s="233" t="n"/>
      <c r="W668" s="232" t="n"/>
    </row>
    <row r="669" ht="54.95" customFormat="1" customHeight="1" s="235">
      <c r="A669" s="232" t="n"/>
      <c r="B669" s="232" t="n"/>
      <c r="C669" s="232" t="n"/>
      <c r="D669" s="233" t="n"/>
      <c r="E669" s="232" t="n"/>
      <c r="F669" s="233" t="n"/>
      <c r="G669" s="233" t="n"/>
      <c r="H669" s="233" t="n"/>
      <c r="I669" s="232" t="n"/>
      <c r="J669" s="233" t="n"/>
      <c r="K669" s="232" t="n"/>
      <c r="L669" s="232" t="n"/>
      <c r="M669" s="232" t="n"/>
      <c r="N669" s="233" t="n"/>
      <c r="O669" s="232" t="n"/>
      <c r="P669" s="233" t="n"/>
      <c r="Q669" s="233" t="n"/>
      <c r="R669" s="233" t="n"/>
      <c r="S669" s="232" t="n"/>
      <c r="T669" s="233" t="n"/>
      <c r="U669" s="233" t="n"/>
      <c r="V669" s="233" t="n"/>
      <c r="W669" s="232" t="n"/>
    </row>
    <row r="670" ht="54.95" customFormat="1" customHeight="1" s="235">
      <c r="A670" s="232" t="n"/>
      <c r="B670" s="232" t="n"/>
      <c r="C670" s="232" t="n"/>
      <c r="D670" s="233" t="n"/>
      <c r="E670" s="232" t="n"/>
      <c r="F670" s="233" t="n"/>
      <c r="G670" s="233" t="n"/>
      <c r="H670" s="233" t="n"/>
      <c r="I670" s="232" t="n"/>
      <c r="J670" s="233" t="n"/>
      <c r="K670" s="232" t="n"/>
      <c r="L670" s="232" t="n"/>
      <c r="M670" s="232" t="n"/>
      <c r="N670" s="233" t="n"/>
      <c r="O670" s="232" t="n"/>
      <c r="P670" s="233" t="n"/>
      <c r="Q670" s="233" t="n"/>
      <c r="R670" s="233" t="n"/>
      <c r="S670" s="232" t="n"/>
      <c r="T670" s="233" t="n"/>
      <c r="U670" s="233" t="n"/>
      <c r="V670" s="233" t="n"/>
      <c r="W670" s="232" t="n"/>
    </row>
    <row r="671" ht="54.95" customFormat="1" customHeight="1" s="235">
      <c r="A671" s="232" t="n"/>
      <c r="B671" s="232" t="n"/>
      <c r="C671" s="232" t="n"/>
      <c r="D671" s="233" t="n"/>
      <c r="E671" s="232" t="n"/>
      <c r="F671" s="233" t="n"/>
      <c r="G671" s="233" t="n"/>
      <c r="H671" s="233" t="n"/>
      <c r="I671" s="232" t="n"/>
      <c r="J671" s="233" t="n"/>
      <c r="K671" s="232" t="n"/>
      <c r="L671" s="232" t="n"/>
      <c r="M671" s="232" t="n"/>
      <c r="N671" s="233" t="n"/>
      <c r="O671" s="232" t="n"/>
      <c r="P671" s="233" t="n"/>
      <c r="Q671" s="233" t="n"/>
      <c r="R671" s="233" t="n"/>
      <c r="S671" s="232" t="n"/>
      <c r="T671" s="233" t="n"/>
      <c r="U671" s="233" t="n"/>
      <c r="V671" s="233" t="n"/>
      <c r="W671" s="232" t="n"/>
    </row>
    <row r="672" ht="54.95" customFormat="1" customHeight="1" s="235">
      <c r="A672" s="232" t="n"/>
      <c r="B672" s="232" t="n"/>
      <c r="C672" s="232" t="n"/>
      <c r="D672" s="233" t="n"/>
      <c r="E672" s="232" t="n"/>
      <c r="F672" s="233" t="n"/>
      <c r="G672" s="233" t="n"/>
      <c r="H672" s="233" t="n"/>
      <c r="I672" s="232" t="n"/>
      <c r="J672" s="233" t="n"/>
      <c r="K672" s="232" t="n"/>
      <c r="L672" s="232" t="n"/>
      <c r="M672" s="232" t="n"/>
      <c r="N672" s="233" t="n"/>
      <c r="O672" s="232" t="n"/>
      <c r="P672" s="233" t="n"/>
      <c r="Q672" s="233" t="n"/>
      <c r="R672" s="233" t="n"/>
      <c r="S672" s="232" t="n"/>
      <c r="T672" s="233" t="n"/>
      <c r="U672" s="233" t="n"/>
      <c r="V672" s="233" t="n"/>
      <c r="W672" s="232" t="n"/>
    </row>
    <row r="673" ht="54.95" customFormat="1" customHeight="1" s="235">
      <c r="A673" s="234" t="n"/>
      <c r="B673" s="234" t="n"/>
      <c r="C673" s="234" t="n"/>
      <c r="D673" s="234" t="n"/>
      <c r="E673" s="234" t="n"/>
      <c r="F673" s="234" t="n"/>
      <c r="G673" s="234" t="n"/>
      <c r="H673" s="234" t="n"/>
      <c r="I673" s="234" t="n"/>
      <c r="J673" s="234" t="n"/>
      <c r="K673" s="234" t="n"/>
      <c r="L673" s="234" t="n"/>
      <c r="M673" s="232" t="n"/>
      <c r="N673" s="233" t="n"/>
      <c r="O673" s="232" t="n"/>
      <c r="P673" s="234" t="n"/>
      <c r="Q673" s="234" t="n"/>
      <c r="R673" s="234" t="n"/>
      <c r="S673" s="234" t="n"/>
      <c r="T673" s="234" t="n"/>
      <c r="U673" s="234" t="n"/>
      <c r="V673" s="234" t="n"/>
      <c r="W673" s="234" t="n"/>
    </row>
    <row r="674" ht="54.95" customFormat="1" customHeight="1" s="235">
      <c r="A674" s="234" t="n"/>
      <c r="B674" s="234" t="n"/>
      <c r="C674" s="234" t="n"/>
      <c r="D674" s="234" t="n"/>
      <c r="E674" s="234" t="n"/>
      <c r="F674" s="234" t="n"/>
      <c r="G674" s="234" t="n"/>
      <c r="H674" s="234" t="n"/>
      <c r="I674" s="234" t="n"/>
      <c r="J674" s="234" t="n"/>
      <c r="K674" s="234" t="n"/>
      <c r="L674" s="234" t="n"/>
      <c r="M674" s="232" t="n"/>
      <c r="N674" s="233" t="n"/>
      <c r="O674" s="232" t="n"/>
      <c r="P674" s="234" t="n"/>
      <c r="Q674" s="234" t="n"/>
      <c r="R674" s="234" t="n"/>
      <c r="S674" s="234" t="n"/>
      <c r="T674" s="234" t="n"/>
      <c r="U674" s="234" t="n"/>
      <c r="V674" s="234" t="n"/>
      <c r="W674" s="234" t="n"/>
    </row>
    <row r="675" ht="54.95" customFormat="1" customHeight="1" s="235">
      <c r="A675" s="234" t="n"/>
      <c r="B675" s="234" t="n"/>
      <c r="C675" s="234" t="n"/>
      <c r="D675" s="234" t="n"/>
      <c r="E675" s="234" t="n"/>
      <c r="F675" s="234" t="n"/>
      <c r="G675" s="234" t="n"/>
      <c r="H675" s="234" t="n"/>
      <c r="I675" s="234" t="n"/>
      <c r="J675" s="234" t="n"/>
      <c r="K675" s="234" t="n"/>
      <c r="L675" s="234" t="n"/>
      <c r="M675" s="232" t="n"/>
      <c r="N675" s="233" t="n"/>
      <c r="O675" s="232" t="n"/>
      <c r="P675" s="234" t="n"/>
      <c r="Q675" s="234" t="n"/>
      <c r="R675" s="234" t="n"/>
      <c r="S675" s="234" t="n"/>
      <c r="T675" s="234" t="n"/>
      <c r="U675" s="234" t="n"/>
      <c r="V675" s="234" t="n"/>
      <c r="W675" s="234" t="n"/>
    </row>
    <row r="676" ht="54.95" customFormat="1" customHeight="1" s="235">
      <c r="A676" s="234" t="n"/>
      <c r="B676" s="234" t="n"/>
      <c r="C676" s="234" t="n"/>
      <c r="D676" s="234" t="n"/>
      <c r="E676" s="234" t="n"/>
      <c r="F676" s="234" t="n"/>
      <c r="G676" s="234" t="n"/>
      <c r="H676" s="234" t="n"/>
      <c r="I676" s="234" t="n"/>
      <c r="J676" s="234" t="n"/>
      <c r="K676" s="234" t="n"/>
      <c r="L676" s="234" t="n"/>
      <c r="M676" s="232" t="n"/>
      <c r="N676" s="233" t="n"/>
      <c r="O676" s="232" t="n"/>
      <c r="P676" s="234" t="n"/>
      <c r="Q676" s="234" t="n"/>
      <c r="R676" s="234" t="n"/>
      <c r="S676" s="234" t="n"/>
      <c r="T676" s="234" t="n"/>
      <c r="U676" s="234" t="n"/>
      <c r="V676" s="234" t="n"/>
      <c r="W676" s="234" t="n"/>
    </row>
    <row r="677" ht="54.95" customFormat="1" customHeight="1" s="235">
      <c r="A677" s="232" t="n"/>
      <c r="B677" s="232" t="n"/>
      <c r="C677" s="232" t="n"/>
      <c r="D677" s="233" t="n"/>
      <c r="E677" s="232" t="n"/>
      <c r="F677" s="233" t="n"/>
      <c r="G677" s="233" t="n"/>
      <c r="H677" s="233" t="n"/>
      <c r="I677" s="232" t="n"/>
      <c r="J677" s="233" t="n"/>
      <c r="K677" s="232" t="n"/>
      <c r="L677" s="232" t="n"/>
      <c r="M677" s="232" t="n"/>
      <c r="N677" s="233" t="n"/>
      <c r="O677" s="232" t="n"/>
      <c r="P677" s="233" t="n"/>
      <c r="Q677" s="233" t="n"/>
      <c r="R677" s="233" t="n"/>
      <c r="S677" s="232" t="n"/>
      <c r="T677" s="233" t="n"/>
      <c r="U677" s="233" t="n"/>
      <c r="V677" s="233" t="n"/>
      <c r="W677" s="232" t="n"/>
    </row>
    <row r="678" ht="54.95" customFormat="1" customHeight="1" s="235">
      <c r="A678" s="232" t="n"/>
      <c r="B678" s="232" t="n"/>
      <c r="C678" s="232" t="n"/>
      <c r="D678" s="233" t="n"/>
      <c r="E678" s="232" t="n"/>
      <c r="F678" s="233" t="n"/>
      <c r="G678" s="233" t="n"/>
      <c r="H678" s="233" t="n"/>
      <c r="I678" s="232" t="n"/>
      <c r="J678" s="233" t="n"/>
      <c r="K678" s="232" t="n"/>
      <c r="L678" s="232" t="n"/>
      <c r="M678" s="232" t="n"/>
      <c r="N678" s="233" t="n"/>
      <c r="O678" s="232" t="n"/>
      <c r="P678" s="233" t="n"/>
      <c r="Q678" s="233" t="n"/>
      <c r="R678" s="233" t="n"/>
      <c r="S678" s="232" t="n"/>
      <c r="T678" s="233" t="n"/>
      <c r="U678" s="233" t="n"/>
      <c r="V678" s="233" t="n"/>
      <c r="W678" s="232" t="n"/>
    </row>
    <row r="679" ht="54.95" customFormat="1" customHeight="1" s="235">
      <c r="A679" s="232" t="n"/>
      <c r="B679" s="232" t="n"/>
      <c r="C679" s="232" t="n"/>
      <c r="D679" s="233" t="n"/>
      <c r="E679" s="232" t="n"/>
      <c r="F679" s="233" t="n"/>
      <c r="G679" s="233" t="n"/>
      <c r="H679" s="233" t="n"/>
      <c r="I679" s="232" t="n"/>
      <c r="J679" s="233" t="n"/>
      <c r="K679" s="232" t="n"/>
      <c r="L679" s="232" t="n"/>
      <c r="M679" s="232" t="n"/>
      <c r="N679" s="233" t="n"/>
      <c r="O679" s="232" t="n"/>
      <c r="P679" s="233" t="n"/>
      <c r="Q679" s="233" t="n"/>
      <c r="R679" s="233" t="n"/>
      <c r="S679" s="232" t="n"/>
      <c r="T679" s="233" t="n"/>
      <c r="U679" s="233" t="n"/>
      <c r="V679" s="233" t="n"/>
      <c r="W679" s="232" t="n"/>
    </row>
    <row r="680" ht="54.95" customFormat="1" customHeight="1" s="235">
      <c r="A680" s="232" t="n"/>
      <c r="B680" s="232" t="n"/>
      <c r="C680" s="232" t="n"/>
      <c r="D680" s="233" t="n"/>
      <c r="E680" s="232" t="n"/>
      <c r="F680" s="233" t="n"/>
      <c r="G680" s="233" t="n"/>
      <c r="H680" s="233" t="n"/>
      <c r="I680" s="232" t="n"/>
      <c r="J680" s="233" t="n"/>
      <c r="K680" s="232" t="n"/>
      <c r="L680" s="232" t="n"/>
      <c r="M680" s="232" t="n"/>
      <c r="N680" s="233" t="n"/>
      <c r="O680" s="232" t="n"/>
      <c r="P680" s="233" t="n"/>
      <c r="Q680" s="233" t="n"/>
      <c r="R680" s="233" t="n"/>
      <c r="S680" s="232" t="n"/>
      <c r="T680" s="233" t="n"/>
      <c r="U680" s="233" t="n"/>
      <c r="V680" s="233" t="n"/>
      <c r="W680" s="232" t="n"/>
    </row>
    <row r="681" ht="54.95" customFormat="1" customHeight="1" s="235">
      <c r="A681" s="232" t="n"/>
      <c r="B681" s="232" t="n"/>
      <c r="C681" s="232" t="n"/>
      <c r="D681" s="233" t="n"/>
      <c r="E681" s="232" t="n"/>
      <c r="F681" s="233" t="n"/>
      <c r="G681" s="233" t="n"/>
      <c r="H681" s="233" t="n"/>
      <c r="I681" s="232" t="n"/>
      <c r="J681" s="233" t="n"/>
      <c r="K681" s="232" t="n"/>
      <c r="L681" s="232" t="n"/>
      <c r="M681" s="232" t="n"/>
      <c r="N681" s="233" t="n"/>
      <c r="O681" s="232" t="n"/>
      <c r="P681" s="233" t="n"/>
      <c r="Q681" s="233" t="n"/>
      <c r="R681" s="233" t="n"/>
      <c r="S681" s="232" t="n"/>
      <c r="T681" s="233" t="n"/>
      <c r="U681" s="233" t="n"/>
      <c r="V681" s="233" t="n"/>
      <c r="W681" s="232" t="n"/>
    </row>
    <row r="682" ht="54.95" customFormat="1" customHeight="1" s="235">
      <c r="A682" s="234" t="n"/>
      <c r="B682" s="234" t="n"/>
      <c r="C682" s="234" t="n"/>
      <c r="D682" s="234" t="n"/>
      <c r="E682" s="234" t="n"/>
      <c r="F682" s="234" t="n"/>
      <c r="G682" s="234" t="n"/>
      <c r="H682" s="234" t="n"/>
      <c r="I682" s="234" t="n"/>
      <c r="J682" s="234" t="n"/>
      <c r="K682" s="234" t="n"/>
      <c r="L682" s="234" t="n"/>
      <c r="M682" s="232" t="n"/>
      <c r="N682" s="233" t="n"/>
      <c r="O682" s="232" t="n"/>
      <c r="P682" s="234" t="n"/>
      <c r="Q682" s="234" t="n"/>
      <c r="R682" s="234" t="n"/>
      <c r="S682" s="234" t="n"/>
      <c r="T682" s="234" t="n"/>
      <c r="U682" s="234" t="n"/>
      <c r="V682" s="234" t="n"/>
      <c r="W682" s="234" t="n"/>
    </row>
    <row r="683" ht="54.95" customFormat="1" customHeight="1" s="235">
      <c r="A683" s="234" t="n"/>
      <c r="B683" s="234" t="n"/>
      <c r="C683" s="234" t="n"/>
      <c r="D683" s="234" t="n"/>
      <c r="E683" s="234" t="n"/>
      <c r="F683" s="234" t="n"/>
      <c r="G683" s="234" t="n"/>
      <c r="H683" s="234" t="n"/>
      <c r="I683" s="234" t="n"/>
      <c r="J683" s="234" t="n"/>
      <c r="K683" s="234" t="n"/>
      <c r="L683" s="234" t="n"/>
      <c r="M683" s="232" t="n"/>
      <c r="N683" s="233" t="n"/>
      <c r="O683" s="232" t="n"/>
      <c r="P683" s="234" t="n"/>
      <c r="Q683" s="234" t="n"/>
      <c r="R683" s="234" t="n"/>
      <c r="S683" s="234" t="n"/>
      <c r="T683" s="234" t="n"/>
      <c r="U683" s="234" t="n"/>
      <c r="V683" s="234" t="n"/>
      <c r="W683" s="234" t="n"/>
    </row>
    <row r="684" ht="54.95" customFormat="1" customHeight="1" s="235">
      <c r="A684" s="234" t="n"/>
      <c r="B684" s="234" t="n"/>
      <c r="C684" s="234" t="n"/>
      <c r="D684" s="234" t="n"/>
      <c r="E684" s="234" t="n"/>
      <c r="F684" s="234" t="n"/>
      <c r="G684" s="234" t="n"/>
      <c r="H684" s="234" t="n"/>
      <c r="I684" s="234" t="n"/>
      <c r="J684" s="234" t="n"/>
      <c r="K684" s="234" t="n"/>
      <c r="L684" s="234" t="n"/>
      <c r="M684" s="232" t="n"/>
      <c r="N684" s="233" t="n"/>
      <c r="O684" s="232" t="n"/>
      <c r="P684" s="234" t="n"/>
      <c r="Q684" s="234" t="n"/>
      <c r="R684" s="234" t="n"/>
      <c r="S684" s="234" t="n"/>
      <c r="T684" s="234" t="n"/>
      <c r="U684" s="234" t="n"/>
      <c r="V684" s="234" t="n"/>
      <c r="W684" s="234" t="n"/>
    </row>
    <row r="685" ht="54.95" customFormat="1" customHeight="1" s="235">
      <c r="A685" s="232" t="n"/>
      <c r="B685" s="232" t="n"/>
      <c r="C685" s="232" t="n"/>
      <c r="D685" s="233" t="n"/>
      <c r="E685" s="232" t="n"/>
      <c r="F685" s="233" t="n"/>
      <c r="G685" s="233" t="n"/>
      <c r="H685" s="233" t="n"/>
      <c r="I685" s="232" t="n"/>
      <c r="J685" s="233" t="n"/>
      <c r="K685" s="232" t="n"/>
      <c r="L685" s="232" t="n"/>
      <c r="M685" s="232" t="n"/>
      <c r="N685" s="233" t="n"/>
      <c r="O685" s="232" t="n"/>
      <c r="P685" s="233" t="n"/>
      <c r="Q685" s="233" t="n"/>
      <c r="R685" s="233" t="n"/>
      <c r="S685" s="232" t="n"/>
      <c r="T685" s="233" t="n"/>
      <c r="U685" s="233" t="n"/>
      <c r="V685" s="233" t="n"/>
      <c r="W685" s="232" t="n"/>
    </row>
    <row r="686" ht="54.95" customFormat="1" customHeight="1" s="235">
      <c r="A686" s="232" t="n"/>
      <c r="B686" s="232" t="n"/>
      <c r="C686" s="232" t="n"/>
      <c r="D686" s="233" t="n"/>
      <c r="E686" s="232" t="n"/>
      <c r="F686" s="233" t="n"/>
      <c r="G686" s="233" t="n"/>
      <c r="H686" s="233" t="n"/>
      <c r="I686" s="232" t="n"/>
      <c r="J686" s="233" t="n"/>
      <c r="K686" s="232" t="n"/>
      <c r="L686" s="232" t="n"/>
      <c r="M686" s="232" t="n"/>
      <c r="N686" s="233" t="n"/>
      <c r="O686" s="232" t="n"/>
      <c r="P686" s="233" t="n"/>
      <c r="Q686" s="233" t="n"/>
      <c r="R686" s="233" t="n"/>
      <c r="S686" s="232" t="n"/>
      <c r="T686" s="233" t="n"/>
      <c r="U686" s="233" t="n"/>
      <c r="V686" s="233" t="n"/>
      <c r="W686" s="232" t="n"/>
    </row>
    <row r="687" ht="54.95" customFormat="1" customHeight="1" s="235">
      <c r="A687" s="232" t="n"/>
      <c r="B687" s="232" t="n"/>
      <c r="C687" s="232" t="n"/>
      <c r="D687" s="233" t="n"/>
      <c r="E687" s="232" t="n"/>
      <c r="F687" s="233" t="n"/>
      <c r="G687" s="233" t="n"/>
      <c r="H687" s="233" t="n"/>
      <c r="I687" s="232" t="n"/>
      <c r="J687" s="233" t="n"/>
      <c r="K687" s="232" t="n"/>
      <c r="L687" s="232" t="n"/>
      <c r="M687" s="232" t="n"/>
      <c r="N687" s="233" t="n"/>
      <c r="O687" s="232" t="n"/>
      <c r="P687" s="233" t="n"/>
      <c r="Q687" s="233" t="n"/>
      <c r="R687" s="233" t="n"/>
      <c r="S687" s="232" t="n"/>
      <c r="T687" s="233" t="n"/>
      <c r="U687" s="233" t="n"/>
      <c r="V687" s="233" t="n"/>
      <c r="W687" s="232" t="n"/>
    </row>
    <row r="688" ht="54.95" customFormat="1" customHeight="1" s="235">
      <c r="A688" s="232" t="n"/>
      <c r="B688" s="232" t="n"/>
      <c r="C688" s="232" t="n"/>
      <c r="D688" s="233" t="n"/>
      <c r="E688" s="232" t="n"/>
      <c r="F688" s="233" t="n"/>
      <c r="G688" s="233" t="n"/>
      <c r="H688" s="233" t="n"/>
      <c r="I688" s="232" t="n"/>
      <c r="J688" s="233" t="n"/>
      <c r="K688" s="232" t="n"/>
      <c r="L688" s="232" t="n"/>
      <c r="M688" s="232" t="n"/>
      <c r="N688" s="233" t="n"/>
      <c r="O688" s="232" t="n"/>
      <c r="P688" s="233" t="n"/>
      <c r="Q688" s="233" t="n"/>
      <c r="R688" s="233" t="n"/>
      <c r="S688" s="232" t="n"/>
      <c r="T688" s="233" t="n"/>
      <c r="U688" s="233" t="n"/>
      <c r="V688" s="233" t="n"/>
      <c r="W688" s="232" t="n"/>
    </row>
    <row r="689" ht="54.95" customFormat="1" customHeight="1" s="235">
      <c r="A689" s="234" t="n"/>
      <c r="B689" s="234" t="n"/>
      <c r="C689" s="234" t="n"/>
      <c r="D689" s="234" t="n"/>
      <c r="E689" s="234" t="n"/>
      <c r="F689" s="234" t="n"/>
      <c r="G689" s="234" t="n"/>
      <c r="H689" s="234" t="n"/>
      <c r="I689" s="234" t="n"/>
      <c r="J689" s="234" t="n"/>
      <c r="K689" s="234" t="n"/>
      <c r="L689" s="234" t="n"/>
      <c r="M689" s="232" t="n"/>
      <c r="N689" s="233" t="n"/>
      <c r="O689" s="232" t="n"/>
      <c r="P689" s="234" t="n"/>
      <c r="Q689" s="234" t="n"/>
      <c r="R689" s="234" t="n"/>
      <c r="S689" s="234" t="n"/>
      <c r="T689" s="234" t="n"/>
      <c r="U689" s="234" t="n"/>
      <c r="V689" s="234" t="n"/>
      <c r="W689" s="234" t="n"/>
    </row>
    <row r="690" ht="54.95" customFormat="1" customHeight="1" s="235">
      <c r="A690" s="234" t="n"/>
      <c r="B690" s="234" t="n"/>
      <c r="C690" s="234" t="n"/>
      <c r="D690" s="234" t="n"/>
      <c r="E690" s="234" t="n"/>
      <c r="F690" s="234" t="n"/>
      <c r="G690" s="234" t="n"/>
      <c r="H690" s="234" t="n"/>
      <c r="I690" s="234" t="n"/>
      <c r="J690" s="234" t="n"/>
      <c r="K690" s="234" t="n"/>
      <c r="L690" s="234" t="n"/>
      <c r="M690" s="232" t="n"/>
      <c r="N690" s="233" t="n"/>
      <c r="O690" s="232" t="n"/>
      <c r="P690" s="234" t="n"/>
      <c r="Q690" s="234" t="n"/>
      <c r="R690" s="234" t="n"/>
      <c r="S690" s="234" t="n"/>
      <c r="T690" s="234" t="n"/>
      <c r="U690" s="234" t="n"/>
      <c r="V690" s="234" t="n"/>
      <c r="W690" s="234" t="n"/>
    </row>
    <row r="691" ht="54.95" customFormat="1" customHeight="1" s="235">
      <c r="A691" s="234" t="n"/>
      <c r="B691" s="234" t="n"/>
      <c r="C691" s="234" t="n"/>
      <c r="D691" s="234" t="n"/>
      <c r="E691" s="234" t="n"/>
      <c r="F691" s="234" t="n"/>
      <c r="G691" s="234" t="n"/>
      <c r="H691" s="234" t="n"/>
      <c r="I691" s="234" t="n"/>
      <c r="J691" s="234" t="n"/>
      <c r="K691" s="234" t="n"/>
      <c r="L691" s="234" t="n"/>
      <c r="M691" s="232" t="n"/>
      <c r="N691" s="233" t="n"/>
      <c r="O691" s="232" t="n"/>
      <c r="P691" s="234" t="n"/>
      <c r="Q691" s="234" t="n"/>
      <c r="R691" s="234" t="n"/>
      <c r="S691" s="234" t="n"/>
      <c r="T691" s="234" t="n"/>
      <c r="U691" s="234" t="n"/>
      <c r="V691" s="234" t="n"/>
      <c r="W691" s="234" t="n"/>
    </row>
    <row r="692" ht="54.95" customFormat="1" customHeight="1" s="235">
      <c r="A692" s="232" t="n"/>
      <c r="B692" s="232" t="n"/>
      <c r="C692" s="232" t="n"/>
      <c r="D692" s="233" t="n"/>
      <c r="E692" s="232" t="n"/>
      <c r="F692" s="233" t="n"/>
      <c r="G692" s="233" t="n"/>
      <c r="H692" s="233" t="n"/>
      <c r="I692" s="232" t="n"/>
      <c r="J692" s="233" t="n"/>
      <c r="K692" s="232" t="n"/>
      <c r="L692" s="232" t="n"/>
      <c r="M692" s="232" t="n"/>
      <c r="N692" s="233" t="n"/>
      <c r="O692" s="232" t="n"/>
      <c r="P692" s="233" t="n"/>
      <c r="Q692" s="233" t="n"/>
      <c r="R692" s="233" t="n"/>
      <c r="S692" s="232" t="n"/>
      <c r="T692" s="233" t="n"/>
      <c r="U692" s="233" t="n"/>
      <c r="V692" s="233" t="n"/>
      <c r="W692" s="232" t="n"/>
    </row>
    <row r="693" ht="54.95" customFormat="1" customHeight="1" s="235">
      <c r="A693" s="232" t="n"/>
      <c r="B693" s="232" t="n"/>
      <c r="C693" s="232" t="n"/>
      <c r="D693" s="233" t="n"/>
      <c r="E693" s="232" t="n"/>
      <c r="F693" s="233" t="n"/>
      <c r="G693" s="233" t="n"/>
      <c r="H693" s="233" t="n"/>
      <c r="I693" s="232" t="n"/>
      <c r="J693" s="233" t="n"/>
      <c r="K693" s="232" t="n"/>
      <c r="L693" s="232" t="n"/>
      <c r="M693" s="232" t="n"/>
      <c r="N693" s="233" t="n"/>
      <c r="O693" s="232" t="n"/>
      <c r="P693" s="233" t="n"/>
      <c r="Q693" s="233" t="n"/>
      <c r="R693" s="233" t="n"/>
      <c r="S693" s="232" t="n"/>
      <c r="T693" s="233" t="n"/>
      <c r="U693" s="233" t="n"/>
      <c r="V693" s="233" t="n"/>
      <c r="W693" s="232" t="n"/>
    </row>
    <row r="694" ht="54.95" customFormat="1" customHeight="1" s="235">
      <c r="A694" s="232" t="n"/>
      <c r="B694" s="232" t="n"/>
      <c r="C694" s="232" t="n"/>
      <c r="D694" s="233" t="n"/>
      <c r="E694" s="232" t="n"/>
      <c r="F694" s="233" t="n"/>
      <c r="G694" s="233" t="n"/>
      <c r="H694" s="233" t="n"/>
      <c r="I694" s="232" t="n"/>
      <c r="J694" s="233" t="n"/>
      <c r="K694" s="232" t="n"/>
      <c r="L694" s="232" t="n"/>
      <c r="M694" s="232" t="n"/>
      <c r="N694" s="233" t="n"/>
      <c r="O694" s="232" t="n"/>
      <c r="P694" s="233" t="n"/>
      <c r="Q694" s="233" t="n"/>
      <c r="R694" s="233" t="n"/>
      <c r="S694" s="232" t="n"/>
      <c r="T694" s="233" t="n"/>
      <c r="U694" s="233" t="n"/>
      <c r="V694" s="233" t="n"/>
      <c r="W694" s="232" t="n"/>
    </row>
    <row r="695" ht="54.95" customFormat="1" customHeight="1" s="235">
      <c r="A695" s="232" t="n"/>
      <c r="B695" s="232" t="n"/>
      <c r="C695" s="232" t="n"/>
      <c r="D695" s="233" t="n"/>
      <c r="E695" s="232" t="n"/>
      <c r="F695" s="233" t="n"/>
      <c r="G695" s="233" t="n"/>
      <c r="H695" s="233" t="n"/>
      <c r="I695" s="232" t="n"/>
      <c r="J695" s="233" t="n"/>
      <c r="K695" s="232" t="n"/>
      <c r="L695" s="232" t="n"/>
      <c r="M695" s="232" t="n"/>
      <c r="N695" s="233" t="n"/>
      <c r="O695" s="232" t="n"/>
      <c r="P695" s="233" t="n"/>
      <c r="Q695" s="233" t="n"/>
      <c r="R695" s="233" t="n"/>
      <c r="S695" s="232" t="n"/>
      <c r="T695" s="233" t="n"/>
      <c r="U695" s="233" t="n"/>
      <c r="V695" s="233" t="n"/>
      <c r="W695" s="232" t="n"/>
    </row>
    <row r="696" ht="54.95" customFormat="1" customHeight="1" s="235">
      <c r="A696" s="232" t="n"/>
      <c r="B696" s="232" t="n"/>
      <c r="C696" s="232" t="n"/>
      <c r="D696" s="233" t="n"/>
      <c r="E696" s="232" t="n"/>
      <c r="F696" s="233" t="n"/>
      <c r="G696" s="233" t="n"/>
      <c r="H696" s="233" t="n"/>
      <c r="I696" s="232" t="n"/>
      <c r="J696" s="233" t="n"/>
      <c r="K696" s="232" t="n"/>
      <c r="L696" s="232" t="n"/>
      <c r="M696" s="232" t="n"/>
      <c r="N696" s="233" t="n"/>
      <c r="O696" s="232" t="n"/>
      <c r="P696" s="233" t="n"/>
      <c r="Q696" s="233" t="n"/>
      <c r="R696" s="233" t="n"/>
      <c r="S696" s="232" t="n"/>
      <c r="T696" s="233" t="n"/>
      <c r="U696" s="233" t="n"/>
      <c r="V696" s="233" t="n"/>
      <c r="W696" s="232" t="n"/>
    </row>
    <row r="697" ht="54.95" customFormat="1" customHeight="1" s="235">
      <c r="A697" s="232" t="n"/>
      <c r="B697" s="232" t="n"/>
      <c r="C697" s="232" t="n"/>
      <c r="D697" s="233" t="n"/>
      <c r="E697" s="232" t="n"/>
      <c r="F697" s="233" t="n"/>
      <c r="G697" s="233" t="n"/>
      <c r="H697" s="233" t="n"/>
      <c r="I697" s="232" t="n"/>
      <c r="J697" s="233" t="n"/>
      <c r="K697" s="232" t="n"/>
      <c r="L697" s="232" t="n"/>
      <c r="M697" s="232" t="n"/>
      <c r="N697" s="233" t="n"/>
      <c r="O697" s="232" t="n"/>
      <c r="P697" s="233" t="n"/>
      <c r="Q697" s="233" t="n"/>
      <c r="R697" s="233" t="n"/>
      <c r="S697" s="232" t="n"/>
      <c r="T697" s="233" t="n"/>
      <c r="U697" s="233" t="n"/>
      <c r="V697" s="233" t="n"/>
      <c r="W697" s="232" t="n"/>
    </row>
    <row r="698" ht="54.95" customFormat="1" customHeight="1" s="235">
      <c r="A698" s="234" t="n"/>
      <c r="B698" s="234" t="n"/>
      <c r="C698" s="234" t="n"/>
      <c r="D698" s="234" t="n"/>
      <c r="E698" s="234" t="n"/>
      <c r="F698" s="234" t="n"/>
      <c r="G698" s="234" t="n"/>
      <c r="H698" s="234" t="n"/>
      <c r="I698" s="234" t="n"/>
      <c r="J698" s="234" t="n"/>
      <c r="K698" s="234" t="n"/>
      <c r="L698" s="234" t="n"/>
      <c r="M698" s="232" t="n"/>
      <c r="N698" s="233" t="n"/>
      <c r="O698" s="232" t="n"/>
      <c r="P698" s="234" t="n"/>
      <c r="Q698" s="234" t="n"/>
      <c r="R698" s="234" t="n"/>
      <c r="S698" s="234" t="n"/>
      <c r="T698" s="234" t="n"/>
      <c r="U698" s="234" t="n"/>
      <c r="V698" s="234" t="n"/>
      <c r="W698" s="234" t="n"/>
    </row>
    <row r="699" ht="54.95" customFormat="1" customHeight="1" s="235">
      <c r="A699" s="232" t="n"/>
      <c r="B699" s="232" t="n"/>
      <c r="C699" s="232" t="n"/>
      <c r="D699" s="233" t="n"/>
      <c r="E699" s="232" t="n"/>
      <c r="F699" s="233" t="n"/>
      <c r="G699" s="233" t="n"/>
      <c r="H699" s="233" t="n"/>
      <c r="I699" s="232" t="n"/>
      <c r="J699" s="233" t="n"/>
      <c r="K699" s="232" t="n"/>
      <c r="L699" s="232" t="n"/>
      <c r="M699" s="232" t="n"/>
      <c r="N699" s="233" t="n"/>
      <c r="O699" s="232" t="n"/>
      <c r="P699" s="233" t="n"/>
      <c r="Q699" s="233" t="n"/>
      <c r="R699" s="233" t="n"/>
      <c r="S699" s="232" t="n"/>
      <c r="T699" s="233" t="n"/>
      <c r="U699" s="233" t="n"/>
      <c r="V699" s="233" t="n"/>
      <c r="W699" s="232" t="n"/>
    </row>
    <row r="700" ht="54.95" customFormat="1" customHeight="1" s="235">
      <c r="A700" s="234" t="n"/>
      <c r="B700" s="234" t="n"/>
      <c r="C700" s="234" t="n"/>
      <c r="D700" s="234" t="n"/>
      <c r="E700" s="234" t="n"/>
      <c r="F700" s="234" t="n"/>
      <c r="G700" s="234" t="n"/>
      <c r="H700" s="234" t="n"/>
      <c r="I700" s="234" t="n"/>
      <c r="J700" s="234" t="n"/>
      <c r="K700" s="234" t="n"/>
      <c r="L700" s="234" t="n"/>
      <c r="M700" s="232" t="n"/>
      <c r="N700" s="233" t="n"/>
      <c r="O700" s="232" t="n"/>
      <c r="P700" s="234" t="n"/>
      <c r="Q700" s="234" t="n"/>
      <c r="R700" s="234" t="n"/>
      <c r="S700" s="234" t="n"/>
      <c r="T700" s="234" t="n"/>
      <c r="U700" s="234" t="n"/>
      <c r="V700" s="234" t="n"/>
      <c r="W700" s="234" t="n"/>
    </row>
    <row r="701" ht="54.95" customFormat="1" customHeight="1" s="235">
      <c r="A701" s="234" t="n"/>
      <c r="B701" s="234" t="n"/>
      <c r="C701" s="234" t="n"/>
      <c r="D701" s="234" t="n"/>
      <c r="E701" s="234" t="n"/>
      <c r="F701" s="234" t="n"/>
      <c r="G701" s="234" t="n"/>
      <c r="H701" s="234" t="n"/>
      <c r="I701" s="234" t="n"/>
      <c r="J701" s="234" t="n"/>
      <c r="K701" s="234" t="n"/>
      <c r="L701" s="234" t="n"/>
      <c r="M701" s="232" t="n"/>
      <c r="N701" s="233" t="n"/>
      <c r="O701" s="232" t="n"/>
      <c r="P701" s="234" t="n"/>
      <c r="Q701" s="234" t="n"/>
      <c r="R701" s="234" t="n"/>
      <c r="S701" s="234" t="n"/>
      <c r="T701" s="234" t="n"/>
      <c r="U701" s="234" t="n"/>
      <c r="V701" s="234" t="n"/>
      <c r="W701" s="234" t="n"/>
    </row>
    <row r="702" ht="54.95" customFormat="1" customHeight="1" s="235">
      <c r="A702" s="234" t="n"/>
      <c r="B702" s="234" t="n"/>
      <c r="C702" s="234" t="n"/>
      <c r="D702" s="234" t="n"/>
      <c r="E702" s="234" t="n"/>
      <c r="F702" s="234" t="n"/>
      <c r="G702" s="234" t="n"/>
      <c r="H702" s="234" t="n"/>
      <c r="I702" s="234" t="n"/>
      <c r="J702" s="234" t="n"/>
      <c r="K702" s="234" t="n"/>
      <c r="L702" s="234" t="n"/>
      <c r="M702" s="232" t="n"/>
      <c r="N702" s="233" t="n"/>
      <c r="O702" s="232" t="n"/>
      <c r="P702" s="234" t="n"/>
      <c r="Q702" s="234" t="n"/>
      <c r="R702" s="234" t="n"/>
      <c r="S702" s="234" t="n"/>
      <c r="T702" s="234" t="n"/>
      <c r="U702" s="234" t="n"/>
      <c r="V702" s="234" t="n"/>
      <c r="W702" s="234" t="n"/>
    </row>
    <row r="703" ht="54.95" customFormat="1" customHeight="1" s="235">
      <c r="A703" s="232" t="n"/>
      <c r="B703" s="232" t="n"/>
      <c r="C703" s="232" t="n"/>
      <c r="D703" s="233" t="n"/>
      <c r="E703" s="232" t="n"/>
      <c r="F703" s="233" t="n"/>
      <c r="G703" s="233" t="n"/>
      <c r="H703" s="233" t="n"/>
      <c r="I703" s="232" t="n"/>
      <c r="J703" s="233" t="n"/>
      <c r="K703" s="232" t="n"/>
      <c r="L703" s="232" t="n"/>
      <c r="M703" s="232" t="n"/>
      <c r="N703" s="233" t="n"/>
      <c r="O703" s="232" t="n"/>
      <c r="P703" s="233" t="n"/>
      <c r="Q703" s="233" t="n"/>
      <c r="R703" s="233" t="n"/>
      <c r="S703" s="232" t="n"/>
      <c r="T703" s="233" t="n"/>
      <c r="U703" s="233" t="n"/>
      <c r="V703" s="233" t="n"/>
      <c r="W703" s="232" t="n"/>
    </row>
    <row r="704" ht="54.95" customFormat="1" customHeight="1" s="235">
      <c r="A704" s="232" t="n"/>
      <c r="B704" s="232" t="n"/>
      <c r="C704" s="232" t="n"/>
      <c r="D704" s="233" t="n"/>
      <c r="E704" s="232" t="n"/>
      <c r="F704" s="233" t="n"/>
      <c r="G704" s="233" t="n"/>
      <c r="H704" s="233" t="n"/>
      <c r="I704" s="232" t="n"/>
      <c r="J704" s="233" t="n"/>
      <c r="K704" s="232" t="n"/>
      <c r="L704" s="232" t="n"/>
      <c r="M704" s="232" t="n"/>
      <c r="N704" s="233" t="n"/>
      <c r="O704" s="232" t="n"/>
      <c r="P704" s="233" t="n"/>
      <c r="Q704" s="233" t="n"/>
      <c r="R704" s="233" t="n"/>
      <c r="S704" s="232" t="n"/>
      <c r="T704" s="233" t="n"/>
      <c r="U704" s="233" t="n"/>
      <c r="V704" s="233" t="n"/>
      <c r="W704" s="232" t="n"/>
    </row>
    <row r="705" ht="54.95" customFormat="1" customHeight="1" s="235">
      <c r="A705" s="232" t="n"/>
      <c r="B705" s="232" t="n"/>
      <c r="C705" s="232" t="n"/>
      <c r="D705" s="233" t="n"/>
      <c r="E705" s="232" t="n"/>
      <c r="F705" s="233" t="n"/>
      <c r="G705" s="233" t="n"/>
      <c r="H705" s="233" t="n"/>
      <c r="I705" s="232" t="n"/>
      <c r="J705" s="233" t="n"/>
      <c r="K705" s="232" t="n"/>
      <c r="L705" s="232" t="n"/>
      <c r="M705" s="232" t="n"/>
      <c r="N705" s="233" t="n"/>
      <c r="O705" s="232" t="n"/>
      <c r="P705" s="233" t="n"/>
      <c r="Q705" s="233" t="n"/>
      <c r="R705" s="233" t="n"/>
      <c r="S705" s="232" t="n"/>
      <c r="T705" s="233" t="n"/>
      <c r="U705" s="233" t="n"/>
      <c r="V705" s="233" t="n"/>
      <c r="W705" s="232" t="n"/>
    </row>
    <row r="706" ht="54.95" customFormat="1" customHeight="1" s="235">
      <c r="A706" s="232" t="n"/>
      <c r="B706" s="232" t="n"/>
      <c r="C706" s="232" t="n"/>
      <c r="D706" s="233" t="n"/>
      <c r="E706" s="232" t="n"/>
      <c r="F706" s="233" t="n"/>
      <c r="G706" s="233" t="n"/>
      <c r="H706" s="233" t="n"/>
      <c r="I706" s="232" t="n"/>
      <c r="J706" s="233" t="n"/>
      <c r="K706" s="232" t="n"/>
      <c r="L706" s="232" t="n"/>
      <c r="M706" s="232" t="n"/>
      <c r="N706" s="233" t="n"/>
      <c r="O706" s="232" t="n"/>
      <c r="P706" s="233" t="n"/>
      <c r="Q706" s="233" t="n"/>
      <c r="R706" s="233" t="n"/>
      <c r="S706" s="232" t="n"/>
      <c r="T706" s="233" t="n"/>
      <c r="U706" s="233" t="n"/>
      <c r="V706" s="233" t="n"/>
      <c r="W706" s="232" t="n"/>
    </row>
    <row r="707" ht="54.95" customFormat="1" customHeight="1" s="235">
      <c r="A707" s="232" t="n"/>
      <c r="B707" s="232" t="n"/>
      <c r="C707" s="232" t="n"/>
      <c r="D707" s="233" t="n"/>
      <c r="E707" s="232" t="n"/>
      <c r="F707" s="233" t="n"/>
      <c r="G707" s="233" t="n"/>
      <c r="H707" s="233" t="n"/>
      <c r="I707" s="232" t="n"/>
      <c r="J707" s="233" t="n"/>
      <c r="K707" s="232" t="n"/>
      <c r="L707" s="232" t="n"/>
      <c r="M707" s="232" t="n"/>
      <c r="N707" s="233" t="n"/>
      <c r="O707" s="232" t="n"/>
      <c r="P707" s="233" t="n"/>
      <c r="Q707" s="233" t="n"/>
      <c r="R707" s="233" t="n"/>
      <c r="S707" s="232" t="n"/>
      <c r="T707" s="233" t="n"/>
      <c r="U707" s="233" t="n"/>
      <c r="V707" s="233" t="n"/>
      <c r="W707" s="232" t="n"/>
    </row>
    <row r="708" ht="54.95" customFormat="1" customHeight="1" s="235">
      <c r="A708" s="234" t="n"/>
      <c r="B708" s="234" t="n"/>
      <c r="C708" s="234" t="n"/>
      <c r="D708" s="234" t="n"/>
      <c r="E708" s="234" t="n"/>
      <c r="F708" s="234" t="n"/>
      <c r="G708" s="234" t="n"/>
      <c r="H708" s="234" t="n"/>
      <c r="I708" s="234" t="n"/>
      <c r="J708" s="234" t="n"/>
      <c r="K708" s="234" t="n"/>
      <c r="L708" s="234" t="n"/>
      <c r="M708" s="232" t="n"/>
      <c r="N708" s="233" t="n"/>
      <c r="O708" s="232" t="n"/>
      <c r="P708" s="234" t="n"/>
      <c r="Q708" s="234" t="n"/>
      <c r="R708" s="234" t="n"/>
      <c r="S708" s="234" t="n"/>
      <c r="T708" s="234" t="n"/>
      <c r="U708" s="234" t="n"/>
      <c r="V708" s="234" t="n"/>
      <c r="W708" s="234" t="n"/>
    </row>
    <row r="709" ht="54.95" customFormat="1" customHeight="1" s="235">
      <c r="A709" s="234" t="n"/>
      <c r="B709" s="234" t="n"/>
      <c r="C709" s="234" t="n"/>
      <c r="D709" s="234" t="n"/>
      <c r="E709" s="234" t="n"/>
      <c r="F709" s="234" t="n"/>
      <c r="G709" s="234" t="n"/>
      <c r="H709" s="234" t="n"/>
      <c r="I709" s="234" t="n"/>
      <c r="J709" s="234" t="n"/>
      <c r="K709" s="234" t="n"/>
      <c r="L709" s="234" t="n"/>
      <c r="M709" s="232" t="n"/>
      <c r="N709" s="233" t="n"/>
      <c r="O709" s="232" t="n"/>
      <c r="P709" s="234" t="n"/>
      <c r="Q709" s="234" t="n"/>
      <c r="R709" s="234" t="n"/>
      <c r="S709" s="234" t="n"/>
      <c r="T709" s="234" t="n"/>
      <c r="U709" s="234" t="n"/>
      <c r="V709" s="234" t="n"/>
      <c r="W709" s="234" t="n"/>
    </row>
    <row r="710" ht="54.95" customFormat="1" customHeight="1" s="235">
      <c r="A710" s="234" t="n"/>
      <c r="B710" s="234" t="n"/>
      <c r="C710" s="234" t="n"/>
      <c r="D710" s="234" t="n"/>
      <c r="E710" s="234" t="n"/>
      <c r="F710" s="234" t="n"/>
      <c r="G710" s="234" t="n"/>
      <c r="H710" s="234" t="n"/>
      <c r="I710" s="234" t="n"/>
      <c r="J710" s="234" t="n"/>
      <c r="K710" s="234" t="n"/>
      <c r="L710" s="234" t="n"/>
      <c r="M710" s="232" t="n"/>
      <c r="N710" s="233" t="n"/>
      <c r="O710" s="232" t="n"/>
      <c r="P710" s="234" t="n"/>
      <c r="Q710" s="234" t="n"/>
      <c r="R710" s="234" t="n"/>
      <c r="S710" s="234" t="n"/>
      <c r="T710" s="234" t="n"/>
      <c r="U710" s="234" t="n"/>
      <c r="V710" s="234" t="n"/>
      <c r="W710" s="234" t="n"/>
    </row>
    <row r="711" ht="54.95" customFormat="1" customHeight="1" s="235">
      <c r="A711" s="232" t="n"/>
      <c r="B711" s="232" t="n"/>
      <c r="C711" s="232" t="n"/>
      <c r="D711" s="233" t="n"/>
      <c r="E711" s="232" t="n"/>
      <c r="F711" s="233" t="n"/>
      <c r="G711" s="233" t="n"/>
      <c r="H711" s="233" t="n"/>
      <c r="I711" s="232" t="n"/>
      <c r="J711" s="233" t="n"/>
      <c r="K711" s="232" t="n"/>
      <c r="L711" s="232" t="n"/>
      <c r="M711" s="232" t="n"/>
      <c r="N711" s="233" t="n"/>
      <c r="O711" s="232" t="n"/>
      <c r="P711" s="233" t="n"/>
      <c r="Q711" s="233" t="n"/>
      <c r="R711" s="233" t="n"/>
      <c r="S711" s="232" t="n"/>
      <c r="T711" s="233" t="n"/>
      <c r="U711" s="233" t="n"/>
      <c r="V711" s="233" t="n"/>
      <c r="W711" s="232" t="n"/>
    </row>
    <row r="712" ht="54.95" customFormat="1" customHeight="1" s="235">
      <c r="A712" s="232" t="n"/>
      <c r="B712" s="232" t="n"/>
      <c r="C712" s="232" t="n"/>
      <c r="D712" s="233" t="n"/>
      <c r="E712" s="232" t="n"/>
      <c r="F712" s="233" t="n"/>
      <c r="G712" s="233" t="n"/>
      <c r="H712" s="233" t="n"/>
      <c r="I712" s="232" t="n"/>
      <c r="J712" s="233" t="n"/>
      <c r="K712" s="232" t="n"/>
      <c r="L712" s="232" t="n"/>
      <c r="M712" s="232" t="n"/>
      <c r="N712" s="233" t="n"/>
      <c r="O712" s="232" t="n"/>
      <c r="P712" s="233" t="n"/>
      <c r="Q712" s="233" t="n"/>
      <c r="R712" s="233" t="n"/>
      <c r="S712" s="232" t="n"/>
      <c r="T712" s="233" t="n"/>
      <c r="U712" s="233" t="n"/>
      <c r="V712" s="233" t="n"/>
      <c r="W712" s="232" t="n"/>
    </row>
    <row r="713" ht="54.95" customFormat="1" customHeight="1" s="235">
      <c r="A713" s="232" t="n"/>
      <c r="B713" s="232" t="n"/>
      <c r="C713" s="232" t="n"/>
      <c r="D713" s="233" t="n"/>
      <c r="E713" s="232" t="n"/>
      <c r="F713" s="233" t="n"/>
      <c r="G713" s="233" t="n"/>
      <c r="H713" s="233" t="n"/>
      <c r="I713" s="232" t="n"/>
      <c r="J713" s="233" t="n"/>
      <c r="K713" s="232" t="n"/>
      <c r="L713" s="232" t="n"/>
      <c r="M713" s="232" t="n"/>
      <c r="N713" s="233" t="n"/>
      <c r="O713" s="232" t="n"/>
      <c r="P713" s="233" t="n"/>
      <c r="Q713" s="233" t="n"/>
      <c r="R713" s="233" t="n"/>
      <c r="S713" s="232" t="n"/>
      <c r="T713" s="233" t="n"/>
      <c r="U713" s="233" t="n"/>
      <c r="V713" s="233" t="n"/>
      <c r="W713" s="232" t="n"/>
    </row>
    <row r="714" ht="54.95" customFormat="1" customHeight="1" s="235">
      <c r="A714" s="232" t="n"/>
      <c r="B714" s="232" t="n"/>
      <c r="C714" s="232" t="n"/>
      <c r="D714" s="233" t="n"/>
      <c r="E714" s="232" t="n"/>
      <c r="F714" s="233" t="n"/>
      <c r="G714" s="233" t="n"/>
      <c r="H714" s="233" t="n"/>
      <c r="I714" s="232" t="n"/>
      <c r="J714" s="233" t="n"/>
      <c r="K714" s="232" t="n"/>
      <c r="L714" s="232" t="n"/>
      <c r="M714" s="232" t="n"/>
      <c r="N714" s="233" t="n"/>
      <c r="O714" s="232" t="n"/>
      <c r="P714" s="233" t="n"/>
      <c r="Q714" s="233" t="n"/>
      <c r="R714" s="233" t="n"/>
      <c r="S714" s="232" t="n"/>
      <c r="T714" s="233" t="n"/>
      <c r="U714" s="233" t="n"/>
      <c r="V714" s="233" t="n"/>
      <c r="W714" s="232" t="n"/>
    </row>
    <row r="715" ht="54.95" customFormat="1" customHeight="1" s="235">
      <c r="A715" s="232" t="n"/>
      <c r="B715" s="232" t="n"/>
      <c r="C715" s="232" t="n"/>
      <c r="D715" s="233" t="n"/>
      <c r="E715" s="232" t="n"/>
      <c r="F715" s="233" t="n"/>
      <c r="G715" s="233" t="n"/>
      <c r="H715" s="233" t="n"/>
      <c r="I715" s="232" t="n"/>
      <c r="J715" s="233" t="n"/>
      <c r="K715" s="232" t="n"/>
      <c r="L715" s="232" t="n"/>
      <c r="M715" s="232" t="n"/>
      <c r="N715" s="233" t="n"/>
      <c r="O715" s="232" t="n"/>
      <c r="P715" s="233" t="n"/>
      <c r="Q715" s="233" t="n"/>
      <c r="R715" s="233" t="n"/>
      <c r="S715" s="232" t="n"/>
      <c r="T715" s="233" t="n"/>
      <c r="U715" s="233" t="n"/>
      <c r="V715" s="233" t="n"/>
      <c r="W715" s="232" t="n"/>
    </row>
    <row r="716" ht="54.95" customFormat="1" customHeight="1" s="235">
      <c r="A716" s="232" t="n"/>
      <c r="B716" s="232" t="n"/>
      <c r="C716" s="232" t="n"/>
      <c r="D716" s="233" t="n"/>
      <c r="E716" s="232" t="n"/>
      <c r="F716" s="233" t="n"/>
      <c r="G716" s="233" t="n"/>
      <c r="H716" s="233" t="n"/>
      <c r="I716" s="232" t="n"/>
      <c r="J716" s="233" t="n"/>
      <c r="K716" s="232" t="n"/>
      <c r="L716" s="232" t="n"/>
      <c r="M716" s="232" t="n"/>
      <c r="N716" s="233" t="n"/>
      <c r="O716" s="232" t="n"/>
      <c r="P716" s="233" t="n"/>
      <c r="Q716" s="233" t="n"/>
      <c r="R716" s="233" t="n"/>
      <c r="S716" s="232" t="n"/>
      <c r="T716" s="233" t="n"/>
      <c r="U716" s="233" t="n"/>
      <c r="V716" s="233" t="n"/>
      <c r="W716" s="232" t="n"/>
    </row>
    <row r="717" ht="54.95" customFormat="1" customHeight="1" s="235">
      <c r="A717" s="232" t="n"/>
      <c r="B717" s="232" t="n"/>
      <c r="C717" s="232" t="n"/>
      <c r="D717" s="233" t="n"/>
      <c r="E717" s="232" t="n"/>
      <c r="F717" s="233" t="n"/>
      <c r="G717" s="233" t="n"/>
      <c r="H717" s="233" t="n"/>
      <c r="I717" s="232" t="n"/>
      <c r="J717" s="233" t="n"/>
      <c r="K717" s="232" t="n"/>
      <c r="L717" s="232" t="n"/>
      <c r="M717" s="232" t="n"/>
      <c r="N717" s="233" t="n"/>
      <c r="O717" s="232" t="n"/>
      <c r="P717" s="233" t="n"/>
      <c r="Q717" s="233" t="n"/>
      <c r="R717" s="233" t="n"/>
      <c r="S717" s="232" t="n"/>
      <c r="T717" s="233" t="n"/>
      <c r="U717" s="233" t="n"/>
      <c r="V717" s="233" t="n"/>
      <c r="W717" s="232" t="n"/>
    </row>
    <row r="718" ht="54.95" customFormat="1" customHeight="1" s="235">
      <c r="A718" s="232" t="n"/>
      <c r="B718" s="232" t="n"/>
      <c r="C718" s="232" t="n"/>
      <c r="D718" s="233" t="n"/>
      <c r="E718" s="232" t="n"/>
      <c r="F718" s="233" t="n"/>
      <c r="G718" s="233" t="n"/>
      <c r="H718" s="233" t="n"/>
      <c r="I718" s="232" t="n"/>
      <c r="J718" s="233" t="n"/>
      <c r="K718" s="232" t="n"/>
      <c r="L718" s="232" t="n"/>
      <c r="M718" s="232" t="n"/>
      <c r="N718" s="233" t="n"/>
      <c r="O718" s="232" t="n"/>
      <c r="P718" s="233" t="n"/>
      <c r="Q718" s="233" t="n"/>
      <c r="R718" s="233" t="n"/>
      <c r="S718" s="232" t="n"/>
      <c r="T718" s="233" t="n"/>
      <c r="U718" s="233" t="n"/>
      <c r="V718" s="233" t="n"/>
      <c r="W718" s="232" t="n"/>
    </row>
    <row r="719" ht="54.95" customFormat="1" customHeight="1" s="235">
      <c r="A719" s="232" t="n"/>
      <c r="B719" s="232" t="n"/>
      <c r="C719" s="232" t="n"/>
      <c r="D719" s="233" t="n"/>
      <c r="E719" s="232" t="n"/>
      <c r="F719" s="233" t="n"/>
      <c r="G719" s="233" t="n"/>
      <c r="H719" s="233" t="n"/>
      <c r="I719" s="232" t="n"/>
      <c r="J719" s="233" t="n"/>
      <c r="K719" s="232" t="n"/>
      <c r="L719" s="232" t="n"/>
      <c r="M719" s="232" t="n"/>
      <c r="N719" s="233" t="n"/>
      <c r="O719" s="232" t="n"/>
      <c r="P719" s="233" t="n"/>
      <c r="Q719" s="233" t="n"/>
      <c r="R719" s="233" t="n"/>
      <c r="S719" s="232" t="n"/>
      <c r="T719" s="233" t="n"/>
      <c r="U719" s="233" t="n"/>
      <c r="V719" s="233" t="n"/>
      <c r="W719" s="232" t="n"/>
    </row>
    <row r="720" ht="54.95" customFormat="1" customHeight="1" s="235">
      <c r="A720" s="232" t="n"/>
      <c r="B720" s="232" t="n"/>
      <c r="C720" s="232" t="n"/>
      <c r="D720" s="233" t="n"/>
      <c r="E720" s="232" t="n"/>
      <c r="F720" s="233" t="n"/>
      <c r="G720" s="233" t="n"/>
      <c r="H720" s="233" t="n"/>
      <c r="I720" s="232" t="n"/>
      <c r="J720" s="233" t="n"/>
      <c r="K720" s="232" t="n"/>
      <c r="L720" s="232" t="n"/>
      <c r="M720" s="232" t="n"/>
      <c r="N720" s="233" t="n"/>
      <c r="O720" s="232" t="n"/>
      <c r="P720" s="233" t="n"/>
      <c r="Q720" s="233" t="n"/>
      <c r="R720" s="233" t="n"/>
      <c r="S720" s="232" t="n"/>
      <c r="T720" s="233" t="n"/>
      <c r="U720" s="233" t="n"/>
      <c r="V720" s="233" t="n"/>
      <c r="W720" s="232" t="n"/>
    </row>
    <row r="721" ht="54.95" customFormat="1" customHeight="1" s="235">
      <c r="A721" s="234" t="n"/>
      <c r="B721" s="234" t="n"/>
      <c r="C721" s="234" t="n"/>
      <c r="D721" s="234" t="n"/>
      <c r="E721" s="234" t="n"/>
      <c r="F721" s="234" t="n"/>
      <c r="G721" s="234" t="n"/>
      <c r="H721" s="234" t="n"/>
      <c r="I721" s="234" t="n"/>
      <c r="J721" s="234" t="n"/>
      <c r="K721" s="234" t="n"/>
      <c r="L721" s="234" t="n"/>
      <c r="M721" s="232" t="n"/>
      <c r="N721" s="233" t="n"/>
      <c r="O721" s="232" t="n"/>
      <c r="P721" s="234" t="n"/>
      <c r="Q721" s="234" t="n"/>
      <c r="R721" s="234" t="n"/>
      <c r="S721" s="234" t="n"/>
      <c r="T721" s="234" t="n"/>
      <c r="U721" s="234" t="n"/>
      <c r="V721" s="234" t="n"/>
      <c r="W721" s="234" t="n"/>
    </row>
    <row r="722" ht="54.95" customFormat="1" customHeight="1" s="235">
      <c r="A722" s="234" t="n"/>
      <c r="B722" s="234" t="n"/>
      <c r="C722" s="234" t="n"/>
      <c r="D722" s="234" t="n"/>
      <c r="E722" s="234" t="n"/>
      <c r="F722" s="234" t="n"/>
      <c r="G722" s="234" t="n"/>
      <c r="H722" s="234" t="n"/>
      <c r="I722" s="234" t="n"/>
      <c r="J722" s="234" t="n"/>
      <c r="K722" s="234" t="n"/>
      <c r="L722" s="234" t="n"/>
      <c r="M722" s="232" t="n"/>
      <c r="N722" s="233" t="n"/>
      <c r="O722" s="232" t="n"/>
      <c r="P722" s="234" t="n"/>
      <c r="Q722" s="234" t="n"/>
      <c r="R722" s="234" t="n"/>
      <c r="S722" s="234" t="n"/>
      <c r="T722" s="234" t="n"/>
      <c r="U722" s="234" t="n"/>
      <c r="V722" s="234" t="n"/>
      <c r="W722" s="234" t="n"/>
    </row>
    <row r="723" ht="54.95" customFormat="1" customHeight="1" s="235">
      <c r="A723" s="234" t="n"/>
      <c r="B723" s="234" t="n"/>
      <c r="C723" s="234" t="n"/>
      <c r="D723" s="234" t="n"/>
      <c r="E723" s="234" t="n"/>
      <c r="F723" s="234" t="n"/>
      <c r="G723" s="234" t="n"/>
      <c r="H723" s="234" t="n"/>
      <c r="I723" s="234" t="n"/>
      <c r="J723" s="234" t="n"/>
      <c r="K723" s="234" t="n"/>
      <c r="L723" s="234" t="n"/>
      <c r="M723" s="232" t="n"/>
      <c r="N723" s="233" t="n"/>
      <c r="O723" s="232" t="n"/>
      <c r="P723" s="234" t="n"/>
      <c r="Q723" s="234" t="n"/>
      <c r="R723" s="234" t="n"/>
      <c r="S723" s="234" t="n"/>
      <c r="T723" s="234" t="n"/>
      <c r="U723" s="234" t="n"/>
      <c r="V723" s="234" t="n"/>
      <c r="W723" s="234" t="n"/>
    </row>
    <row r="724" ht="54.95" customFormat="1" customHeight="1" s="235">
      <c r="A724" s="234" t="n"/>
      <c r="B724" s="234" t="n"/>
      <c r="C724" s="234" t="n"/>
      <c r="D724" s="234" t="n"/>
      <c r="E724" s="234" t="n"/>
      <c r="F724" s="234" t="n"/>
      <c r="G724" s="234" t="n"/>
      <c r="H724" s="234" t="n"/>
      <c r="I724" s="234" t="n"/>
      <c r="J724" s="234" t="n"/>
      <c r="K724" s="234" t="n"/>
      <c r="L724" s="234" t="n"/>
      <c r="M724" s="232" t="n"/>
      <c r="N724" s="233" t="n"/>
      <c r="O724" s="232" t="n"/>
      <c r="P724" s="234" t="n"/>
      <c r="Q724" s="234" t="n"/>
      <c r="R724" s="234" t="n"/>
      <c r="S724" s="234" t="n"/>
      <c r="T724" s="234" t="n"/>
      <c r="U724" s="234" t="n"/>
      <c r="V724" s="234" t="n"/>
      <c r="W724" s="234" t="n"/>
    </row>
    <row r="725" ht="54.95" customFormat="1" customHeight="1" s="235">
      <c r="A725" s="234" t="n"/>
      <c r="B725" s="234" t="n"/>
      <c r="C725" s="234" t="n"/>
      <c r="D725" s="234" t="n"/>
      <c r="E725" s="234" t="n"/>
      <c r="F725" s="234" t="n"/>
      <c r="G725" s="234" t="n"/>
      <c r="H725" s="234" t="n"/>
      <c r="I725" s="234" t="n"/>
      <c r="J725" s="234" t="n"/>
      <c r="K725" s="234" t="n"/>
      <c r="L725" s="234" t="n"/>
      <c r="M725" s="232" t="n"/>
      <c r="N725" s="233" t="n"/>
      <c r="O725" s="232" t="n"/>
      <c r="P725" s="234" t="n"/>
      <c r="Q725" s="234" t="n"/>
      <c r="R725" s="234" t="n"/>
      <c r="S725" s="234" t="n"/>
      <c r="T725" s="234" t="n"/>
      <c r="U725" s="234" t="n"/>
      <c r="V725" s="234" t="n"/>
      <c r="W725" s="234" t="n"/>
    </row>
    <row r="726" ht="54.95" customFormat="1" customHeight="1" s="235">
      <c r="A726" s="234" t="n"/>
      <c r="B726" s="234" t="n"/>
      <c r="C726" s="234" t="n"/>
      <c r="D726" s="234" t="n"/>
      <c r="E726" s="234" t="n"/>
      <c r="F726" s="234" t="n"/>
      <c r="G726" s="234" t="n"/>
      <c r="H726" s="234" t="n"/>
      <c r="I726" s="234" t="n"/>
      <c r="J726" s="234" t="n"/>
      <c r="K726" s="234" t="n"/>
      <c r="L726" s="234" t="n"/>
      <c r="M726" s="232" t="n"/>
      <c r="N726" s="233" t="n"/>
      <c r="O726" s="232" t="n"/>
      <c r="P726" s="234" t="n"/>
      <c r="Q726" s="234" t="n"/>
      <c r="R726" s="234" t="n"/>
      <c r="S726" s="234" t="n"/>
      <c r="T726" s="234" t="n"/>
      <c r="U726" s="234" t="n"/>
      <c r="V726" s="234" t="n"/>
      <c r="W726" s="234" t="n"/>
    </row>
    <row r="727" ht="54.95" customFormat="1" customHeight="1" s="235">
      <c r="A727" s="234" t="n"/>
      <c r="B727" s="234" t="n"/>
      <c r="C727" s="234" t="n"/>
      <c r="D727" s="234" t="n"/>
      <c r="E727" s="234" t="n"/>
      <c r="F727" s="234" t="n"/>
      <c r="G727" s="234" t="n"/>
      <c r="H727" s="234" t="n"/>
      <c r="I727" s="234" t="n"/>
      <c r="J727" s="234" t="n"/>
      <c r="K727" s="234" t="n"/>
      <c r="L727" s="234" t="n"/>
      <c r="M727" s="232" t="n"/>
      <c r="N727" s="233" t="n"/>
      <c r="O727" s="232" t="n"/>
      <c r="P727" s="234" t="n"/>
      <c r="Q727" s="234" t="n"/>
      <c r="R727" s="234" t="n"/>
      <c r="S727" s="234" t="n"/>
      <c r="T727" s="234" t="n"/>
      <c r="U727" s="234" t="n"/>
      <c r="V727" s="234" t="n"/>
      <c r="W727" s="234" t="n"/>
    </row>
    <row r="728" ht="54.95" customFormat="1" customHeight="1" s="235">
      <c r="A728" s="234" t="n"/>
      <c r="B728" s="234" t="n"/>
      <c r="C728" s="234" t="n"/>
      <c r="D728" s="234" t="n"/>
      <c r="E728" s="234" t="n"/>
      <c r="F728" s="234" t="n"/>
      <c r="G728" s="234" t="n"/>
      <c r="H728" s="234" t="n"/>
      <c r="I728" s="234" t="n"/>
      <c r="J728" s="234" t="n"/>
      <c r="K728" s="234" t="n"/>
      <c r="L728" s="234" t="n"/>
      <c r="M728" s="232" t="n"/>
      <c r="N728" s="233" t="n"/>
      <c r="O728" s="232" t="n"/>
      <c r="P728" s="234" t="n"/>
      <c r="Q728" s="234" t="n"/>
      <c r="R728" s="234" t="n"/>
      <c r="S728" s="234" t="n"/>
      <c r="T728" s="234" t="n"/>
      <c r="U728" s="234" t="n"/>
      <c r="V728" s="234" t="n"/>
      <c r="W728" s="234" t="n"/>
    </row>
    <row r="729" ht="54.95" customFormat="1" customHeight="1" s="235">
      <c r="A729" s="234" t="n"/>
      <c r="B729" s="234" t="n"/>
      <c r="C729" s="234" t="n"/>
      <c r="D729" s="234" t="n"/>
      <c r="E729" s="234" t="n"/>
      <c r="F729" s="234" t="n"/>
      <c r="G729" s="234" t="n"/>
      <c r="H729" s="234" t="n"/>
      <c r="I729" s="234" t="n"/>
      <c r="J729" s="234" t="n"/>
      <c r="K729" s="234" t="n"/>
      <c r="L729" s="234" t="n"/>
      <c r="M729" s="232" t="n"/>
      <c r="N729" s="233" t="n"/>
      <c r="O729" s="232" t="n"/>
      <c r="P729" s="234" t="n"/>
      <c r="Q729" s="234" t="n"/>
      <c r="R729" s="234" t="n"/>
      <c r="S729" s="234" t="n"/>
      <c r="T729" s="234" t="n"/>
      <c r="U729" s="234" t="n"/>
      <c r="V729" s="234" t="n"/>
      <c r="W729" s="234" t="n"/>
    </row>
    <row r="730" ht="54.95" customFormat="1" customHeight="1" s="235">
      <c r="A730" s="234" t="n"/>
      <c r="B730" s="234" t="n"/>
      <c r="C730" s="234" t="n"/>
      <c r="D730" s="234" t="n"/>
      <c r="E730" s="234" t="n"/>
      <c r="F730" s="234" t="n"/>
      <c r="G730" s="234" t="n"/>
      <c r="H730" s="234" t="n"/>
      <c r="I730" s="234" t="n"/>
      <c r="J730" s="234" t="n"/>
      <c r="K730" s="234" t="n"/>
      <c r="L730" s="234" t="n"/>
      <c r="M730" s="232" t="n"/>
      <c r="N730" s="233" t="n"/>
      <c r="O730" s="232" t="n"/>
      <c r="P730" s="234" t="n"/>
      <c r="Q730" s="234" t="n"/>
      <c r="R730" s="234" t="n"/>
      <c r="S730" s="234" t="n"/>
      <c r="T730" s="234" t="n"/>
      <c r="U730" s="234" t="n"/>
      <c r="V730" s="234" t="n"/>
      <c r="W730" s="234" t="n"/>
    </row>
    <row r="731" ht="54.95" customFormat="1" customHeight="1" s="235">
      <c r="A731" s="234" t="n"/>
      <c r="B731" s="234" t="n"/>
      <c r="C731" s="234" t="n"/>
      <c r="D731" s="234" t="n"/>
      <c r="E731" s="234" t="n"/>
      <c r="F731" s="234" t="n"/>
      <c r="G731" s="234" t="n"/>
      <c r="H731" s="234" t="n"/>
      <c r="I731" s="234" t="n"/>
      <c r="J731" s="234" t="n"/>
      <c r="K731" s="234" t="n"/>
      <c r="L731" s="234" t="n"/>
      <c r="M731" s="232" t="n"/>
      <c r="N731" s="233" t="n"/>
      <c r="O731" s="232" t="n"/>
      <c r="P731" s="234" t="n"/>
      <c r="Q731" s="234" t="n"/>
      <c r="R731" s="234" t="n"/>
      <c r="S731" s="234" t="n"/>
      <c r="T731" s="234" t="n"/>
      <c r="U731" s="234" t="n"/>
      <c r="V731" s="234" t="n"/>
      <c r="W731" s="234" t="n"/>
    </row>
    <row r="732" ht="54.95" customFormat="1" customHeight="1" s="235">
      <c r="A732" s="234" t="n"/>
      <c r="B732" s="234" t="n"/>
      <c r="C732" s="234" t="n"/>
      <c r="D732" s="234" t="n"/>
      <c r="E732" s="234" t="n"/>
      <c r="F732" s="234" t="n"/>
      <c r="G732" s="234" t="n"/>
      <c r="H732" s="234" t="n"/>
      <c r="I732" s="234" t="n"/>
      <c r="J732" s="234" t="n"/>
      <c r="K732" s="234" t="n"/>
      <c r="L732" s="234" t="n"/>
      <c r="M732" s="232" t="n"/>
      <c r="N732" s="233" t="n"/>
      <c r="O732" s="232" t="n"/>
      <c r="P732" s="234" t="n"/>
      <c r="Q732" s="234" t="n"/>
      <c r="R732" s="234" t="n"/>
      <c r="S732" s="234" t="n"/>
      <c r="T732" s="234" t="n"/>
      <c r="U732" s="234" t="n"/>
      <c r="V732" s="234" t="n"/>
      <c r="W732" s="234" t="n"/>
    </row>
    <row r="733" ht="54.95" customFormat="1" customHeight="1" s="235">
      <c r="A733" s="234" t="n"/>
      <c r="B733" s="234" t="n"/>
      <c r="C733" s="234" t="n"/>
      <c r="D733" s="234" t="n"/>
      <c r="E733" s="234" t="n"/>
      <c r="F733" s="234" t="n"/>
      <c r="G733" s="234" t="n"/>
      <c r="H733" s="234" t="n"/>
      <c r="I733" s="234" t="n"/>
      <c r="J733" s="234" t="n"/>
      <c r="K733" s="234" t="n"/>
      <c r="L733" s="234" t="n"/>
      <c r="M733" s="232" t="n"/>
      <c r="N733" s="233" t="n"/>
      <c r="O733" s="232" t="n"/>
      <c r="P733" s="234" t="n"/>
      <c r="Q733" s="234" t="n"/>
      <c r="R733" s="234" t="n"/>
      <c r="S733" s="234" t="n"/>
      <c r="T733" s="234" t="n"/>
      <c r="U733" s="234" t="n"/>
      <c r="V733" s="234" t="n"/>
      <c r="W733" s="234" t="n"/>
    </row>
    <row r="734" ht="54.95" customFormat="1" customHeight="1" s="235">
      <c r="A734" s="234" t="n"/>
      <c r="B734" s="234" t="n"/>
      <c r="C734" s="234" t="n"/>
      <c r="D734" s="234" t="n"/>
      <c r="E734" s="234" t="n"/>
      <c r="F734" s="234" t="n"/>
      <c r="G734" s="234" t="n"/>
      <c r="H734" s="234" t="n"/>
      <c r="I734" s="234" t="n"/>
      <c r="J734" s="234" t="n"/>
      <c r="K734" s="234" t="n"/>
      <c r="L734" s="234" t="n"/>
      <c r="M734" s="232" t="n"/>
      <c r="N734" s="233" t="n"/>
      <c r="O734" s="232" t="n"/>
      <c r="P734" s="234" t="n"/>
      <c r="Q734" s="234" t="n"/>
      <c r="R734" s="234" t="n"/>
      <c r="S734" s="234" t="n"/>
      <c r="T734" s="234" t="n"/>
      <c r="U734" s="234" t="n"/>
      <c r="V734" s="234" t="n"/>
      <c r="W734" s="234" t="n"/>
    </row>
    <row r="735" ht="54.95" customFormat="1" customHeight="1" s="235">
      <c r="A735" s="234" t="n"/>
      <c r="B735" s="234" t="n"/>
      <c r="C735" s="234" t="n"/>
      <c r="D735" s="234" t="n"/>
      <c r="E735" s="234" t="n"/>
      <c r="F735" s="234" t="n"/>
      <c r="G735" s="234" t="n"/>
      <c r="H735" s="234" t="n"/>
      <c r="I735" s="234" t="n"/>
      <c r="J735" s="234" t="n"/>
      <c r="K735" s="234" t="n"/>
      <c r="L735" s="234" t="n"/>
      <c r="M735" s="232" t="n"/>
      <c r="N735" s="233" t="n"/>
      <c r="O735" s="232" t="n"/>
      <c r="P735" s="234" t="n"/>
      <c r="Q735" s="234" t="n"/>
      <c r="R735" s="234" t="n"/>
      <c r="S735" s="234" t="n"/>
      <c r="T735" s="234" t="n"/>
      <c r="U735" s="234" t="n"/>
      <c r="V735" s="234" t="n"/>
      <c r="W735" s="234" t="n"/>
    </row>
    <row r="736" ht="54.95" customFormat="1" customHeight="1" s="235">
      <c r="A736" s="234" t="n"/>
      <c r="B736" s="234" t="n"/>
      <c r="C736" s="234" t="n"/>
      <c r="D736" s="234" t="n"/>
      <c r="E736" s="234" t="n"/>
      <c r="F736" s="234" t="n"/>
      <c r="G736" s="234" t="n"/>
      <c r="H736" s="234" t="n"/>
      <c r="I736" s="234" t="n"/>
      <c r="J736" s="234" t="n"/>
      <c r="K736" s="234" t="n"/>
      <c r="L736" s="234" t="n"/>
      <c r="M736" s="232" t="n"/>
      <c r="N736" s="233" t="n"/>
      <c r="O736" s="232" t="n"/>
      <c r="P736" s="234" t="n"/>
      <c r="Q736" s="234" t="n"/>
      <c r="R736" s="234" t="n"/>
      <c r="S736" s="234" t="n"/>
      <c r="T736" s="234" t="n"/>
      <c r="U736" s="234" t="n"/>
      <c r="V736" s="234" t="n"/>
      <c r="W736" s="234" t="n"/>
    </row>
    <row r="737" ht="54.95" customFormat="1" customHeight="1" s="235">
      <c r="A737" s="234" t="n"/>
      <c r="B737" s="234" t="n"/>
      <c r="C737" s="234" t="n"/>
      <c r="D737" s="234" t="n"/>
      <c r="E737" s="234" t="n"/>
      <c r="F737" s="234" t="n"/>
      <c r="G737" s="234" t="n"/>
      <c r="H737" s="234" t="n"/>
      <c r="I737" s="234" t="n"/>
      <c r="J737" s="234" t="n"/>
      <c r="K737" s="234" t="n"/>
      <c r="L737" s="234" t="n"/>
      <c r="M737" s="232" t="n"/>
      <c r="N737" s="233" t="n"/>
      <c r="O737" s="232" t="n"/>
      <c r="P737" s="234" t="n"/>
      <c r="Q737" s="234" t="n"/>
      <c r="R737" s="234" t="n"/>
      <c r="S737" s="234" t="n"/>
      <c r="T737" s="234" t="n"/>
      <c r="U737" s="234" t="n"/>
      <c r="V737" s="234" t="n"/>
      <c r="W737" s="234" t="n"/>
    </row>
    <row r="738" ht="54.95" customFormat="1" customHeight="1" s="235">
      <c r="A738" s="234" t="n"/>
      <c r="B738" s="234" t="n"/>
      <c r="C738" s="234" t="n"/>
      <c r="D738" s="234" t="n"/>
      <c r="E738" s="234" t="n"/>
      <c r="F738" s="234" t="n"/>
      <c r="G738" s="234" t="n"/>
      <c r="H738" s="234" t="n"/>
      <c r="I738" s="234" t="n"/>
      <c r="J738" s="234" t="n"/>
      <c r="K738" s="234" t="n"/>
      <c r="L738" s="234" t="n"/>
      <c r="M738" s="232" t="n"/>
      <c r="N738" s="233" t="n"/>
      <c r="O738" s="232" t="n"/>
      <c r="P738" s="234" t="n"/>
      <c r="Q738" s="234" t="n"/>
      <c r="R738" s="234" t="n"/>
      <c r="S738" s="234" t="n"/>
      <c r="T738" s="234" t="n"/>
      <c r="U738" s="234" t="n"/>
      <c r="V738" s="234" t="n"/>
      <c r="W738" s="234" t="n"/>
    </row>
    <row r="739" ht="54.95" customFormat="1" customHeight="1" s="235">
      <c r="A739" s="234" t="n"/>
      <c r="B739" s="234" t="n"/>
      <c r="C739" s="234" t="n"/>
      <c r="D739" s="234" t="n"/>
      <c r="E739" s="234" t="n"/>
      <c r="F739" s="234" t="n"/>
      <c r="G739" s="234" t="n"/>
      <c r="H739" s="234" t="n"/>
      <c r="I739" s="234" t="n"/>
      <c r="J739" s="234" t="n"/>
      <c r="K739" s="234" t="n"/>
      <c r="L739" s="234" t="n"/>
      <c r="M739" s="232" t="n"/>
      <c r="N739" s="233" t="n"/>
      <c r="O739" s="232" t="n"/>
      <c r="P739" s="234" t="n"/>
      <c r="Q739" s="234" t="n"/>
      <c r="R739" s="234" t="n"/>
      <c r="S739" s="234" t="n"/>
      <c r="T739" s="234" t="n"/>
      <c r="U739" s="234" t="n"/>
      <c r="V739" s="234" t="n"/>
      <c r="W739" s="234" t="n"/>
    </row>
    <row r="740" ht="54.95" customFormat="1" customHeight="1" s="235">
      <c r="A740" s="234" t="n"/>
      <c r="B740" s="234" t="n"/>
      <c r="C740" s="234" t="n"/>
      <c r="D740" s="234" t="n"/>
      <c r="E740" s="234" t="n"/>
      <c r="F740" s="234" t="n"/>
      <c r="G740" s="234" t="n"/>
      <c r="H740" s="234" t="n"/>
      <c r="I740" s="234" t="n"/>
      <c r="J740" s="234" t="n"/>
      <c r="K740" s="234" t="n"/>
      <c r="L740" s="234" t="n"/>
      <c r="M740" s="232" t="n"/>
      <c r="N740" s="233" t="n"/>
      <c r="O740" s="232" t="n"/>
      <c r="P740" s="234" t="n"/>
      <c r="Q740" s="234" t="n"/>
      <c r="R740" s="234" t="n"/>
      <c r="S740" s="234" t="n"/>
      <c r="T740" s="234" t="n"/>
      <c r="U740" s="234" t="n"/>
      <c r="V740" s="234" t="n"/>
      <c r="W740" s="234" t="n"/>
    </row>
    <row r="741" ht="54.95" customFormat="1" customHeight="1" s="235">
      <c r="A741" s="234" t="n"/>
      <c r="B741" s="234" t="n"/>
      <c r="C741" s="234" t="n"/>
      <c r="D741" s="234" t="n"/>
      <c r="E741" s="234" t="n"/>
      <c r="F741" s="234" t="n"/>
      <c r="G741" s="234" t="n"/>
      <c r="H741" s="234" t="n"/>
      <c r="I741" s="234" t="n"/>
      <c r="J741" s="234" t="n"/>
      <c r="K741" s="234" t="n"/>
      <c r="L741" s="234" t="n"/>
      <c r="M741" s="232" t="n"/>
      <c r="N741" s="233" t="n"/>
      <c r="O741" s="232" t="n"/>
      <c r="P741" s="234" t="n"/>
      <c r="Q741" s="234" t="n"/>
      <c r="R741" s="234" t="n"/>
      <c r="S741" s="234" t="n"/>
      <c r="T741" s="234" t="n"/>
      <c r="U741" s="234" t="n"/>
      <c r="V741" s="234" t="n"/>
      <c r="W741" s="234" t="n"/>
    </row>
    <row r="742" ht="54.95" customFormat="1" customHeight="1" s="235">
      <c r="A742" s="234" t="n"/>
      <c r="B742" s="234" t="n"/>
      <c r="C742" s="234" t="n"/>
      <c r="D742" s="234" t="n"/>
      <c r="E742" s="234" t="n"/>
      <c r="F742" s="234" t="n"/>
      <c r="G742" s="234" t="n"/>
      <c r="H742" s="234" t="n"/>
      <c r="I742" s="234" t="n"/>
      <c r="J742" s="234" t="n"/>
      <c r="K742" s="234" t="n"/>
      <c r="L742" s="234" t="n"/>
      <c r="M742" s="232" t="n"/>
      <c r="N742" s="233" t="n"/>
      <c r="O742" s="232" t="n"/>
      <c r="P742" s="234" t="n"/>
      <c r="Q742" s="234" t="n"/>
      <c r="R742" s="234" t="n"/>
      <c r="S742" s="234" t="n"/>
      <c r="T742" s="234" t="n"/>
      <c r="U742" s="234" t="n"/>
      <c r="V742" s="234" t="n"/>
      <c r="W742" s="234" t="n"/>
    </row>
    <row r="743" ht="54.95" customFormat="1" customHeight="1" s="235">
      <c r="A743" s="234" t="n"/>
      <c r="B743" s="234" t="n"/>
      <c r="C743" s="234" t="n"/>
      <c r="D743" s="234" t="n"/>
      <c r="E743" s="234" t="n"/>
      <c r="F743" s="234" t="n"/>
      <c r="G743" s="234" t="n"/>
      <c r="H743" s="234" t="n"/>
      <c r="I743" s="234" t="n"/>
      <c r="J743" s="234" t="n"/>
      <c r="K743" s="234" t="n"/>
      <c r="L743" s="234" t="n"/>
      <c r="M743" s="232" t="n"/>
      <c r="N743" s="233" t="n"/>
      <c r="O743" s="232" t="n"/>
      <c r="P743" s="234" t="n"/>
      <c r="Q743" s="234" t="n"/>
      <c r="R743" s="234" t="n"/>
      <c r="S743" s="234" t="n"/>
      <c r="T743" s="234" t="n"/>
      <c r="U743" s="234" t="n"/>
      <c r="V743" s="234" t="n"/>
      <c r="W743" s="234" t="n"/>
    </row>
    <row r="744" ht="54.95" customFormat="1" customHeight="1" s="235">
      <c r="A744" s="234" t="n"/>
      <c r="B744" s="234" t="n"/>
      <c r="C744" s="234" t="n"/>
      <c r="D744" s="234" t="n"/>
      <c r="E744" s="234" t="n"/>
      <c r="F744" s="234" t="n"/>
      <c r="G744" s="234" t="n"/>
      <c r="H744" s="234" t="n"/>
      <c r="I744" s="234" t="n"/>
      <c r="J744" s="234" t="n"/>
      <c r="K744" s="234" t="n"/>
      <c r="L744" s="234" t="n"/>
      <c r="M744" s="232" t="n"/>
      <c r="N744" s="233" t="n"/>
      <c r="O744" s="232" t="n"/>
      <c r="P744" s="234" t="n"/>
      <c r="Q744" s="234" t="n"/>
      <c r="R744" s="234" t="n"/>
      <c r="S744" s="234" t="n"/>
      <c r="T744" s="234" t="n"/>
      <c r="U744" s="234" t="n"/>
      <c r="V744" s="234" t="n"/>
      <c r="W744" s="234" t="n"/>
    </row>
    <row r="745" ht="54.95" customFormat="1" customHeight="1" s="235">
      <c r="A745" s="234" t="n"/>
      <c r="B745" s="234" t="n"/>
      <c r="C745" s="234" t="n"/>
      <c r="D745" s="234" t="n"/>
      <c r="E745" s="234" t="n"/>
      <c r="F745" s="234" t="n"/>
      <c r="G745" s="234" t="n"/>
      <c r="H745" s="234" t="n"/>
      <c r="I745" s="234" t="n"/>
      <c r="J745" s="234" t="n"/>
      <c r="K745" s="234" t="n"/>
      <c r="L745" s="234" t="n"/>
      <c r="M745" s="232" t="n"/>
      <c r="N745" s="233" t="n"/>
      <c r="O745" s="232" t="n"/>
      <c r="P745" s="234" t="n"/>
      <c r="Q745" s="234" t="n"/>
      <c r="R745" s="234" t="n"/>
      <c r="S745" s="234" t="n"/>
      <c r="T745" s="234" t="n"/>
      <c r="U745" s="234" t="n"/>
      <c r="V745" s="234" t="n"/>
      <c r="W745" s="234" t="n"/>
    </row>
    <row r="746" ht="54.95" customFormat="1" customHeight="1" s="235">
      <c r="A746" s="234" t="n"/>
      <c r="B746" s="234" t="n"/>
      <c r="C746" s="234" t="n"/>
      <c r="D746" s="234" t="n"/>
      <c r="E746" s="234" t="n"/>
      <c r="F746" s="234" t="n"/>
      <c r="G746" s="234" t="n"/>
      <c r="H746" s="234" t="n"/>
      <c r="I746" s="234" t="n"/>
      <c r="J746" s="234" t="n"/>
      <c r="K746" s="234" t="n"/>
      <c r="L746" s="234" t="n"/>
      <c r="M746" s="232" t="n"/>
      <c r="N746" s="233" t="n"/>
      <c r="O746" s="232" t="n"/>
      <c r="P746" s="234" t="n"/>
      <c r="Q746" s="234" t="n"/>
      <c r="R746" s="234" t="n"/>
      <c r="S746" s="234" t="n"/>
      <c r="T746" s="234" t="n"/>
      <c r="U746" s="234" t="n"/>
      <c r="V746" s="234" t="n"/>
      <c r="W746" s="234" t="n"/>
    </row>
    <row r="747" ht="54.95" customFormat="1" customHeight="1" s="235">
      <c r="A747" s="234" t="n"/>
      <c r="B747" s="234" t="n"/>
      <c r="C747" s="234" t="n"/>
      <c r="D747" s="234" t="n"/>
      <c r="E747" s="234" t="n"/>
      <c r="F747" s="234" t="n"/>
      <c r="G747" s="234" t="n"/>
      <c r="H747" s="234" t="n"/>
      <c r="I747" s="234" t="n"/>
      <c r="J747" s="234" t="n"/>
      <c r="K747" s="234" t="n"/>
      <c r="L747" s="234" t="n"/>
      <c r="M747" s="232" t="n"/>
      <c r="N747" s="233" t="n"/>
      <c r="O747" s="232" t="n"/>
      <c r="P747" s="234" t="n"/>
      <c r="Q747" s="234" t="n"/>
      <c r="R747" s="234" t="n"/>
      <c r="S747" s="234" t="n"/>
      <c r="T747" s="234" t="n"/>
      <c r="U747" s="234" t="n"/>
      <c r="V747" s="234" t="n"/>
      <c r="W747" s="234" t="n"/>
    </row>
    <row r="748" ht="54.95" customFormat="1" customHeight="1" s="235">
      <c r="A748" s="234" t="n"/>
      <c r="B748" s="234" t="n"/>
      <c r="C748" s="234" t="n"/>
      <c r="D748" s="234" t="n"/>
      <c r="E748" s="234" t="n"/>
      <c r="F748" s="234" t="n"/>
      <c r="G748" s="234" t="n"/>
      <c r="H748" s="234" t="n"/>
      <c r="I748" s="234" t="n"/>
      <c r="J748" s="234" t="n"/>
      <c r="K748" s="234" t="n"/>
      <c r="L748" s="234" t="n"/>
      <c r="M748" s="232" t="n"/>
      <c r="N748" s="233" t="n"/>
      <c r="O748" s="232" t="n"/>
      <c r="P748" s="234" t="n"/>
      <c r="Q748" s="234" t="n"/>
      <c r="R748" s="234" t="n"/>
      <c r="S748" s="234" t="n"/>
      <c r="T748" s="234" t="n"/>
      <c r="U748" s="234" t="n"/>
      <c r="V748" s="234" t="n"/>
      <c r="W748" s="234" t="n"/>
    </row>
    <row r="749" ht="54.95" customFormat="1" customHeight="1" s="235">
      <c r="A749" s="234" t="n"/>
      <c r="B749" s="234" t="n"/>
      <c r="C749" s="234" t="n"/>
      <c r="D749" s="234" t="n"/>
      <c r="E749" s="234" t="n"/>
      <c r="F749" s="234" t="n"/>
      <c r="G749" s="234" t="n"/>
      <c r="H749" s="234" t="n"/>
      <c r="I749" s="234" t="n"/>
      <c r="J749" s="234" t="n"/>
      <c r="K749" s="234" t="n"/>
      <c r="L749" s="234" t="n"/>
      <c r="M749" s="232" t="n"/>
      <c r="N749" s="233" t="n"/>
      <c r="O749" s="232" t="n"/>
      <c r="P749" s="234" t="n"/>
      <c r="Q749" s="234" t="n"/>
      <c r="R749" s="234" t="n"/>
      <c r="S749" s="234" t="n"/>
      <c r="T749" s="234" t="n"/>
      <c r="U749" s="234" t="n"/>
      <c r="V749" s="234" t="n"/>
      <c r="W749" s="234" t="n"/>
    </row>
    <row r="750" ht="54.95" customFormat="1" customHeight="1" s="235">
      <c r="A750" s="234" t="n"/>
      <c r="B750" s="234" t="n"/>
      <c r="C750" s="234" t="n"/>
      <c r="D750" s="234" t="n"/>
      <c r="E750" s="234" t="n"/>
      <c r="F750" s="234" t="n"/>
      <c r="G750" s="234" t="n"/>
      <c r="H750" s="234" t="n"/>
      <c r="I750" s="234" t="n"/>
      <c r="J750" s="234" t="n"/>
      <c r="K750" s="234" t="n"/>
      <c r="L750" s="234" t="n"/>
      <c r="M750" s="232" t="n"/>
      <c r="N750" s="233" t="n"/>
      <c r="O750" s="232" t="n"/>
      <c r="P750" s="234" t="n"/>
      <c r="Q750" s="234" t="n"/>
      <c r="R750" s="234" t="n"/>
      <c r="S750" s="234" t="n"/>
      <c r="T750" s="234" t="n"/>
      <c r="U750" s="234" t="n"/>
      <c r="V750" s="234" t="n"/>
      <c r="W750" s="234" t="n"/>
    </row>
    <row r="751" ht="54.95" customFormat="1" customHeight="1" s="235">
      <c r="A751" s="234" t="n"/>
      <c r="B751" s="234" t="n"/>
      <c r="C751" s="234" t="n"/>
      <c r="D751" s="234" t="n"/>
      <c r="E751" s="234" t="n"/>
      <c r="F751" s="234" t="n"/>
      <c r="G751" s="234" t="n"/>
      <c r="H751" s="234" t="n"/>
      <c r="I751" s="234" t="n"/>
      <c r="J751" s="234" t="n"/>
      <c r="K751" s="234" t="n"/>
      <c r="L751" s="234" t="n"/>
      <c r="M751" s="232" t="n"/>
      <c r="N751" s="233" t="n"/>
      <c r="O751" s="232" t="n"/>
      <c r="P751" s="234" t="n"/>
      <c r="Q751" s="234" t="n"/>
      <c r="R751" s="234" t="n"/>
      <c r="S751" s="234" t="n"/>
      <c r="T751" s="234" t="n"/>
      <c r="U751" s="234" t="n"/>
      <c r="V751" s="234" t="n"/>
      <c r="W751" s="234" t="n"/>
    </row>
    <row r="752" ht="54.95" customFormat="1" customHeight="1" s="235">
      <c r="A752" s="234" t="n"/>
      <c r="B752" s="234" t="n"/>
      <c r="C752" s="234" t="n"/>
      <c r="D752" s="234" t="n"/>
      <c r="E752" s="234" t="n"/>
      <c r="F752" s="234" t="n"/>
      <c r="G752" s="234" t="n"/>
      <c r="H752" s="234" t="n"/>
      <c r="I752" s="234" t="n"/>
      <c r="J752" s="234" t="n"/>
      <c r="K752" s="234" t="n"/>
      <c r="L752" s="234" t="n"/>
      <c r="M752" s="232" t="n"/>
      <c r="N752" s="233" t="n"/>
      <c r="O752" s="232" t="n"/>
      <c r="P752" s="234" t="n"/>
      <c r="Q752" s="234" t="n"/>
      <c r="R752" s="234" t="n"/>
      <c r="S752" s="234" t="n"/>
      <c r="T752" s="234" t="n"/>
      <c r="U752" s="234" t="n"/>
      <c r="V752" s="234" t="n"/>
      <c r="W752" s="234" t="n"/>
    </row>
    <row r="753" ht="54.95" customFormat="1" customHeight="1" s="235">
      <c r="A753" s="234" t="n"/>
      <c r="B753" s="234" t="n"/>
      <c r="C753" s="234" t="n"/>
      <c r="D753" s="234" t="n"/>
      <c r="E753" s="234" t="n"/>
      <c r="F753" s="234" t="n"/>
      <c r="G753" s="234" t="n"/>
      <c r="H753" s="234" t="n"/>
      <c r="I753" s="234" t="n"/>
      <c r="J753" s="234" t="n"/>
      <c r="K753" s="234" t="n"/>
      <c r="L753" s="234" t="n"/>
      <c r="M753" s="232" t="n"/>
      <c r="N753" s="233" t="n"/>
      <c r="O753" s="232" t="n"/>
      <c r="P753" s="234" t="n"/>
      <c r="Q753" s="234" t="n"/>
      <c r="R753" s="234" t="n"/>
      <c r="S753" s="234" t="n"/>
      <c r="T753" s="234" t="n"/>
      <c r="U753" s="234" t="n"/>
      <c r="V753" s="234" t="n"/>
      <c r="W753" s="234" t="n"/>
    </row>
    <row r="754" ht="54.95" customFormat="1" customHeight="1" s="235">
      <c r="A754" s="234" t="n"/>
      <c r="B754" s="234" t="n"/>
      <c r="C754" s="234" t="n"/>
      <c r="D754" s="234" t="n"/>
      <c r="E754" s="234" t="n"/>
      <c r="F754" s="234" t="n"/>
      <c r="G754" s="234" t="n"/>
      <c r="H754" s="234" t="n"/>
      <c r="I754" s="234" t="n"/>
      <c r="J754" s="234" t="n"/>
      <c r="K754" s="234" t="n"/>
      <c r="L754" s="234" t="n"/>
      <c r="M754" s="232" t="n"/>
      <c r="N754" s="233" t="n"/>
      <c r="O754" s="232" t="n"/>
      <c r="P754" s="234" t="n"/>
      <c r="Q754" s="234" t="n"/>
      <c r="R754" s="234" t="n"/>
      <c r="S754" s="234" t="n"/>
      <c r="T754" s="234" t="n"/>
      <c r="U754" s="234" t="n"/>
      <c r="V754" s="234" t="n"/>
      <c r="W754" s="234" t="n"/>
    </row>
    <row r="755" ht="54.95" customFormat="1" customHeight="1" s="235">
      <c r="A755" s="234" t="n"/>
      <c r="B755" s="234" t="n"/>
      <c r="C755" s="234" t="n"/>
      <c r="D755" s="234" t="n"/>
      <c r="E755" s="234" t="n"/>
      <c r="F755" s="234" t="n"/>
      <c r="G755" s="234" t="n"/>
      <c r="H755" s="234" t="n"/>
      <c r="I755" s="234" t="n"/>
      <c r="J755" s="234" t="n"/>
      <c r="K755" s="234" t="n"/>
      <c r="L755" s="234" t="n"/>
      <c r="M755" s="232" t="n"/>
      <c r="N755" s="233" t="n"/>
      <c r="O755" s="232" t="n"/>
      <c r="P755" s="234" t="n"/>
      <c r="Q755" s="234" t="n"/>
      <c r="R755" s="234" t="n"/>
      <c r="S755" s="234" t="n"/>
      <c r="T755" s="234" t="n"/>
      <c r="U755" s="234" t="n"/>
      <c r="V755" s="234" t="n"/>
      <c r="W755" s="234" t="n"/>
    </row>
    <row r="756" ht="54.95" customFormat="1" customHeight="1" s="235">
      <c r="A756" s="234" t="n"/>
      <c r="B756" s="234" t="n"/>
      <c r="C756" s="234" t="n"/>
      <c r="D756" s="234" t="n"/>
      <c r="E756" s="234" t="n"/>
      <c r="F756" s="234" t="n"/>
      <c r="G756" s="234" t="n"/>
      <c r="H756" s="234" t="n"/>
      <c r="I756" s="234" t="n"/>
      <c r="J756" s="234" t="n"/>
      <c r="K756" s="234" t="n"/>
      <c r="L756" s="234" t="n"/>
      <c r="M756" s="232" t="n"/>
      <c r="N756" s="233" t="n"/>
      <c r="O756" s="232" t="n"/>
      <c r="P756" s="234" t="n"/>
      <c r="Q756" s="234" t="n"/>
      <c r="R756" s="234" t="n"/>
      <c r="S756" s="234" t="n"/>
      <c r="T756" s="234" t="n"/>
      <c r="U756" s="234" t="n"/>
      <c r="V756" s="234" t="n"/>
      <c r="W756" s="234" t="n"/>
    </row>
    <row r="757" ht="54.95" customFormat="1" customHeight="1" s="235">
      <c r="A757" s="234" t="n"/>
      <c r="B757" s="234" t="n"/>
      <c r="C757" s="234" t="n"/>
      <c r="D757" s="234" t="n"/>
      <c r="E757" s="234" t="n"/>
      <c r="F757" s="234" t="n"/>
      <c r="G757" s="234" t="n"/>
      <c r="H757" s="234" t="n"/>
      <c r="I757" s="234" t="n"/>
      <c r="J757" s="234" t="n"/>
      <c r="K757" s="234" t="n"/>
      <c r="L757" s="234" t="n"/>
      <c r="M757" s="232" t="n"/>
      <c r="N757" s="233" t="n"/>
      <c r="O757" s="232" t="n"/>
      <c r="P757" s="234" t="n"/>
      <c r="Q757" s="234" t="n"/>
      <c r="R757" s="234" t="n"/>
      <c r="S757" s="234" t="n"/>
      <c r="T757" s="234" t="n"/>
      <c r="U757" s="234" t="n"/>
      <c r="V757" s="234" t="n"/>
      <c r="W757" s="234" t="n"/>
    </row>
    <row r="758" ht="54.95" customFormat="1" customHeight="1" s="235">
      <c r="A758" s="234" t="n"/>
      <c r="B758" s="234" t="n"/>
      <c r="C758" s="234" t="n"/>
      <c r="D758" s="234" t="n"/>
      <c r="E758" s="234" t="n"/>
      <c r="F758" s="234" t="n"/>
      <c r="G758" s="234" t="n"/>
      <c r="H758" s="234" t="n"/>
      <c r="I758" s="234" t="n"/>
      <c r="J758" s="234" t="n"/>
      <c r="K758" s="234" t="n"/>
      <c r="L758" s="234" t="n"/>
      <c r="M758" s="232" t="n"/>
      <c r="N758" s="233" t="n"/>
      <c r="O758" s="232" t="n"/>
      <c r="P758" s="234" t="n"/>
      <c r="Q758" s="234" t="n"/>
      <c r="R758" s="234" t="n"/>
      <c r="S758" s="234" t="n"/>
      <c r="T758" s="234" t="n"/>
      <c r="U758" s="234" t="n"/>
      <c r="V758" s="234" t="n"/>
      <c r="W758" s="234" t="n"/>
    </row>
    <row r="759" ht="54.95" customFormat="1" customHeight="1" s="235">
      <c r="A759" s="234" t="n"/>
      <c r="B759" s="234" t="n"/>
      <c r="C759" s="234" t="n"/>
      <c r="D759" s="234" t="n"/>
      <c r="E759" s="234" t="n"/>
      <c r="F759" s="234" t="n"/>
      <c r="G759" s="234" t="n"/>
      <c r="H759" s="234" t="n"/>
      <c r="I759" s="234" t="n"/>
      <c r="J759" s="234" t="n"/>
      <c r="K759" s="234" t="n"/>
      <c r="L759" s="234" t="n"/>
      <c r="M759" s="232" t="n"/>
      <c r="N759" s="233" t="n"/>
      <c r="O759" s="232" t="n"/>
      <c r="P759" s="234" t="n"/>
      <c r="Q759" s="234" t="n"/>
      <c r="R759" s="234" t="n"/>
      <c r="S759" s="234" t="n"/>
      <c r="T759" s="234" t="n"/>
      <c r="U759" s="234" t="n"/>
      <c r="V759" s="234" t="n"/>
      <c r="W759" s="234" t="n"/>
    </row>
    <row r="760" ht="54.95" customFormat="1" customHeight="1" s="235">
      <c r="A760" s="234" t="n"/>
      <c r="B760" s="234" t="n"/>
      <c r="C760" s="234" t="n"/>
      <c r="D760" s="234" t="n"/>
      <c r="E760" s="234" t="n"/>
      <c r="F760" s="234" t="n"/>
      <c r="G760" s="234" t="n"/>
      <c r="H760" s="234" t="n"/>
      <c r="I760" s="234" t="n"/>
      <c r="J760" s="234" t="n"/>
      <c r="K760" s="234" t="n"/>
      <c r="L760" s="234" t="n"/>
      <c r="M760" s="232" t="n"/>
      <c r="N760" s="233" t="n"/>
      <c r="O760" s="232" t="n"/>
      <c r="P760" s="234" t="n"/>
      <c r="Q760" s="234" t="n"/>
      <c r="R760" s="234" t="n"/>
      <c r="S760" s="234" t="n"/>
      <c r="T760" s="234" t="n"/>
      <c r="U760" s="234" t="n"/>
      <c r="V760" s="234" t="n"/>
      <c r="W760" s="234" t="n"/>
    </row>
    <row r="761" ht="54.95" customFormat="1" customHeight="1" s="235">
      <c r="A761" s="234" t="n"/>
      <c r="B761" s="234" t="n"/>
      <c r="C761" s="234" t="n"/>
      <c r="D761" s="234" t="n"/>
      <c r="E761" s="234" t="n"/>
      <c r="F761" s="234" t="n"/>
      <c r="G761" s="234" t="n"/>
      <c r="H761" s="234" t="n"/>
      <c r="I761" s="234" t="n"/>
      <c r="J761" s="234" t="n"/>
      <c r="K761" s="234" t="n"/>
      <c r="L761" s="234" t="n"/>
      <c r="M761" s="232" t="n"/>
      <c r="N761" s="233" t="n"/>
      <c r="O761" s="232" t="n"/>
      <c r="P761" s="234" t="n"/>
      <c r="Q761" s="234" t="n"/>
      <c r="R761" s="234" t="n"/>
      <c r="S761" s="234" t="n"/>
      <c r="T761" s="234" t="n"/>
      <c r="U761" s="234" t="n"/>
      <c r="V761" s="234" t="n"/>
      <c r="W761" s="234" t="n"/>
    </row>
    <row r="762" ht="54.95" customFormat="1" customHeight="1" s="235">
      <c r="A762" s="234" t="n"/>
      <c r="B762" s="234" t="n"/>
      <c r="C762" s="234" t="n"/>
      <c r="D762" s="234" t="n"/>
      <c r="E762" s="234" t="n"/>
      <c r="F762" s="234" t="n"/>
      <c r="G762" s="234" t="n"/>
      <c r="H762" s="234" t="n"/>
      <c r="I762" s="234" t="n"/>
      <c r="J762" s="234" t="n"/>
      <c r="K762" s="234" t="n"/>
      <c r="L762" s="234" t="n"/>
      <c r="M762" s="232" t="n"/>
      <c r="N762" s="233" t="n"/>
      <c r="O762" s="232" t="n"/>
      <c r="P762" s="234" t="n"/>
      <c r="Q762" s="234" t="n"/>
      <c r="R762" s="234" t="n"/>
      <c r="S762" s="234" t="n"/>
      <c r="T762" s="234" t="n"/>
      <c r="U762" s="234" t="n"/>
      <c r="V762" s="234" t="n"/>
      <c r="W762" s="234" t="n"/>
    </row>
    <row r="763" ht="54.95" customFormat="1" customHeight="1" s="235">
      <c r="A763" s="234" t="n"/>
      <c r="B763" s="234" t="n"/>
      <c r="C763" s="234" t="n"/>
      <c r="D763" s="234" t="n"/>
      <c r="E763" s="234" t="n"/>
      <c r="F763" s="234" t="n"/>
      <c r="G763" s="234" t="n"/>
      <c r="H763" s="234" t="n"/>
      <c r="I763" s="234" t="n"/>
      <c r="J763" s="234" t="n"/>
      <c r="K763" s="234" t="n"/>
      <c r="L763" s="234" t="n"/>
      <c r="M763" s="232" t="n"/>
      <c r="N763" s="233" t="n"/>
      <c r="O763" s="232" t="n"/>
      <c r="P763" s="234" t="n"/>
      <c r="Q763" s="234" t="n"/>
      <c r="R763" s="234" t="n"/>
      <c r="S763" s="234" t="n"/>
      <c r="T763" s="234" t="n"/>
      <c r="U763" s="234" t="n"/>
      <c r="V763" s="234" t="n"/>
      <c r="W763" s="234" t="n"/>
    </row>
    <row r="764" ht="54.95" customFormat="1" customHeight="1" s="235">
      <c r="A764" s="234" t="n"/>
      <c r="B764" s="234" t="n"/>
      <c r="C764" s="234" t="n"/>
      <c r="D764" s="234" t="n"/>
      <c r="E764" s="234" t="n"/>
      <c r="F764" s="234" t="n"/>
      <c r="G764" s="234" t="n"/>
      <c r="H764" s="234" t="n"/>
      <c r="I764" s="234" t="n"/>
      <c r="J764" s="234" t="n"/>
      <c r="K764" s="234" t="n"/>
      <c r="L764" s="234" t="n"/>
      <c r="M764" s="232" t="n"/>
      <c r="N764" s="233" t="n"/>
      <c r="O764" s="232" t="n"/>
      <c r="P764" s="234" t="n"/>
      <c r="Q764" s="234" t="n"/>
      <c r="R764" s="234" t="n"/>
      <c r="S764" s="234" t="n"/>
      <c r="T764" s="234" t="n"/>
      <c r="U764" s="234" t="n"/>
      <c r="V764" s="234" t="n"/>
      <c r="W764" s="234" t="n"/>
    </row>
    <row r="765" ht="54.95" customFormat="1" customHeight="1" s="235">
      <c r="A765" s="234" t="n"/>
      <c r="B765" s="234" t="n"/>
      <c r="C765" s="234" t="n"/>
      <c r="D765" s="234" t="n"/>
      <c r="E765" s="234" t="n"/>
      <c r="F765" s="234" t="n"/>
      <c r="G765" s="234" t="n"/>
      <c r="H765" s="234" t="n"/>
      <c r="I765" s="234" t="n"/>
      <c r="J765" s="234" t="n"/>
      <c r="K765" s="234" t="n"/>
      <c r="L765" s="234" t="n"/>
      <c r="M765" s="232" t="n"/>
      <c r="N765" s="233" t="n"/>
      <c r="O765" s="232" t="n"/>
      <c r="P765" s="234" t="n"/>
      <c r="Q765" s="234" t="n"/>
      <c r="R765" s="234" t="n"/>
      <c r="S765" s="234" t="n"/>
      <c r="T765" s="234" t="n"/>
      <c r="U765" s="234" t="n"/>
      <c r="V765" s="234" t="n"/>
      <c r="W765" s="234" t="n"/>
    </row>
    <row r="766" ht="54.95" customFormat="1" customHeight="1" s="235">
      <c r="A766" s="234" t="n"/>
      <c r="B766" s="234" t="n"/>
      <c r="C766" s="234" t="n"/>
      <c r="D766" s="234" t="n"/>
      <c r="E766" s="234" t="n"/>
      <c r="F766" s="234" t="n"/>
      <c r="G766" s="234" t="n"/>
      <c r="H766" s="234" t="n"/>
      <c r="I766" s="234" t="n"/>
      <c r="J766" s="234" t="n"/>
      <c r="K766" s="234" t="n"/>
      <c r="L766" s="234" t="n"/>
      <c r="M766" s="232" t="n"/>
      <c r="N766" s="233" t="n"/>
      <c r="O766" s="232" t="n"/>
      <c r="P766" s="234" t="n"/>
      <c r="Q766" s="234" t="n"/>
      <c r="R766" s="234" t="n"/>
      <c r="S766" s="234" t="n"/>
      <c r="T766" s="234" t="n"/>
      <c r="U766" s="234" t="n"/>
      <c r="V766" s="234" t="n"/>
      <c r="W766" s="234" t="n"/>
    </row>
    <row r="767" ht="54.95" customFormat="1" customHeight="1" s="235">
      <c r="A767" s="234" t="n"/>
      <c r="B767" s="234" t="n"/>
      <c r="C767" s="234" t="n"/>
      <c r="D767" s="234" t="n"/>
      <c r="E767" s="234" t="n"/>
      <c r="F767" s="234" t="n"/>
      <c r="G767" s="234" t="n"/>
      <c r="H767" s="234" t="n"/>
      <c r="I767" s="234" t="n"/>
      <c r="J767" s="234" t="n"/>
      <c r="K767" s="234" t="n"/>
      <c r="L767" s="234" t="n"/>
      <c r="M767" s="232" t="n"/>
      <c r="N767" s="233" t="n"/>
      <c r="O767" s="232" t="n"/>
      <c r="P767" s="234" t="n"/>
      <c r="Q767" s="234" t="n"/>
      <c r="R767" s="234" t="n"/>
      <c r="S767" s="234" t="n"/>
      <c r="T767" s="234" t="n"/>
      <c r="U767" s="234" t="n"/>
      <c r="V767" s="234" t="n"/>
      <c r="W767" s="234" t="n"/>
    </row>
    <row r="768" ht="54.95" customFormat="1" customHeight="1" s="235">
      <c r="A768" s="234" t="n"/>
      <c r="B768" s="234" t="n"/>
      <c r="C768" s="234" t="n"/>
      <c r="D768" s="234" t="n"/>
      <c r="E768" s="234" t="n"/>
      <c r="F768" s="234" t="n"/>
      <c r="G768" s="234" t="n"/>
      <c r="H768" s="234" t="n"/>
      <c r="I768" s="234" t="n"/>
      <c r="J768" s="234" t="n"/>
      <c r="K768" s="234" t="n"/>
      <c r="L768" s="234" t="n"/>
      <c r="M768" s="232" t="n"/>
      <c r="N768" s="233" t="n"/>
      <c r="O768" s="232" t="n"/>
      <c r="P768" s="234" t="n"/>
      <c r="Q768" s="234" t="n"/>
      <c r="R768" s="234" t="n"/>
      <c r="S768" s="234" t="n"/>
      <c r="T768" s="234" t="n"/>
      <c r="U768" s="234" t="n"/>
      <c r="V768" s="234" t="n"/>
      <c r="W768" s="234" t="n"/>
    </row>
    <row r="769" ht="54.95" customFormat="1" customHeight="1" s="235">
      <c r="A769" s="234" t="n"/>
      <c r="B769" s="234" t="n"/>
      <c r="C769" s="234" t="n"/>
      <c r="D769" s="234" t="n"/>
      <c r="E769" s="234" t="n"/>
      <c r="F769" s="234" t="n"/>
      <c r="G769" s="234" t="n"/>
      <c r="H769" s="234" t="n"/>
      <c r="I769" s="234" t="n"/>
      <c r="J769" s="234" t="n"/>
      <c r="K769" s="234" t="n"/>
      <c r="L769" s="234" t="n"/>
      <c r="M769" s="232" t="n"/>
      <c r="N769" s="233" t="n"/>
      <c r="O769" s="232" t="n"/>
      <c r="P769" s="234" t="n"/>
      <c r="Q769" s="234" t="n"/>
      <c r="R769" s="234" t="n"/>
      <c r="S769" s="234" t="n"/>
      <c r="T769" s="234" t="n"/>
      <c r="U769" s="234" t="n"/>
      <c r="V769" s="234" t="n"/>
      <c r="W769" s="234" t="n"/>
    </row>
    <row r="770" ht="54.95" customFormat="1" customHeight="1" s="235">
      <c r="A770" s="234" t="n"/>
      <c r="B770" s="234" t="n"/>
      <c r="C770" s="234" t="n"/>
      <c r="D770" s="234" t="n"/>
      <c r="E770" s="234" t="n"/>
      <c r="F770" s="234" t="n"/>
      <c r="G770" s="234" t="n"/>
      <c r="H770" s="234" t="n"/>
      <c r="I770" s="234" t="n"/>
      <c r="J770" s="234" t="n"/>
      <c r="K770" s="234" t="n"/>
      <c r="L770" s="234" t="n"/>
      <c r="M770" s="232" t="n"/>
      <c r="N770" s="233" t="n"/>
      <c r="O770" s="232" t="n"/>
      <c r="P770" s="234" t="n"/>
      <c r="Q770" s="234" t="n"/>
      <c r="R770" s="234" t="n"/>
      <c r="S770" s="234" t="n"/>
      <c r="T770" s="234" t="n"/>
      <c r="U770" s="234" t="n"/>
      <c r="V770" s="234" t="n"/>
      <c r="W770" s="234" t="n"/>
    </row>
    <row r="771" ht="54.95" customFormat="1" customHeight="1" s="235">
      <c r="A771" s="234" t="n"/>
      <c r="B771" s="234" t="n"/>
      <c r="C771" s="234" t="n"/>
      <c r="D771" s="234" t="n"/>
      <c r="E771" s="234" t="n"/>
      <c r="F771" s="234" t="n"/>
      <c r="G771" s="234" t="n"/>
      <c r="H771" s="234" t="n"/>
      <c r="I771" s="234" t="n"/>
      <c r="J771" s="234" t="n"/>
      <c r="K771" s="234" t="n"/>
      <c r="L771" s="234" t="n"/>
      <c r="M771" s="232" t="n"/>
      <c r="N771" s="233" t="n"/>
      <c r="O771" s="232" t="n"/>
      <c r="P771" s="234" t="n"/>
      <c r="Q771" s="234" t="n"/>
      <c r="R771" s="234" t="n"/>
      <c r="S771" s="234" t="n"/>
      <c r="T771" s="234" t="n"/>
      <c r="U771" s="234" t="n"/>
      <c r="V771" s="234" t="n"/>
      <c r="W771" s="234" t="n"/>
    </row>
    <row r="772" ht="54.95" customFormat="1" customHeight="1" s="235">
      <c r="A772" s="234" t="n"/>
      <c r="B772" s="234" t="n"/>
      <c r="C772" s="234" t="n"/>
      <c r="D772" s="234" t="n"/>
      <c r="E772" s="234" t="n"/>
      <c r="F772" s="234" t="n"/>
      <c r="G772" s="234" t="n"/>
      <c r="H772" s="234" t="n"/>
      <c r="I772" s="234" t="n"/>
      <c r="J772" s="234" t="n"/>
      <c r="K772" s="234" t="n"/>
      <c r="L772" s="234" t="n"/>
      <c r="M772" s="232" t="n"/>
      <c r="N772" s="233" t="n"/>
      <c r="O772" s="232" t="n"/>
      <c r="P772" s="234" t="n"/>
      <c r="Q772" s="234" t="n"/>
      <c r="R772" s="234" t="n"/>
      <c r="S772" s="234" t="n"/>
      <c r="T772" s="234" t="n"/>
      <c r="U772" s="234" t="n"/>
      <c r="V772" s="234" t="n"/>
      <c r="W772" s="234" t="n"/>
    </row>
    <row r="773" ht="54.95" customFormat="1" customHeight="1" s="235">
      <c r="A773" s="234" t="n"/>
      <c r="B773" s="234" t="n"/>
      <c r="C773" s="234" t="n"/>
      <c r="D773" s="234" t="n"/>
      <c r="E773" s="234" t="n"/>
      <c r="F773" s="234" t="n"/>
      <c r="G773" s="234" t="n"/>
      <c r="H773" s="234" t="n"/>
      <c r="I773" s="234" t="n"/>
      <c r="J773" s="234" t="n"/>
      <c r="K773" s="234" t="n"/>
      <c r="L773" s="234" t="n"/>
      <c r="M773" s="232" t="n"/>
      <c r="N773" s="233" t="n"/>
      <c r="O773" s="232" t="n"/>
      <c r="P773" s="234" t="n"/>
      <c r="Q773" s="234" t="n"/>
      <c r="R773" s="234" t="n"/>
      <c r="S773" s="234" t="n"/>
      <c r="T773" s="234" t="n"/>
      <c r="U773" s="234" t="n"/>
      <c r="V773" s="234" t="n"/>
      <c r="W773" s="234" t="n"/>
    </row>
    <row r="774" ht="54.95" customFormat="1" customHeight="1" s="235">
      <c r="A774" s="234" t="n"/>
      <c r="B774" s="234" t="n"/>
      <c r="C774" s="234" t="n"/>
      <c r="D774" s="234" t="n"/>
      <c r="E774" s="234" t="n"/>
      <c r="F774" s="234" t="n"/>
      <c r="G774" s="234" t="n"/>
      <c r="H774" s="234" t="n"/>
      <c r="I774" s="234" t="n"/>
      <c r="J774" s="234" t="n"/>
      <c r="K774" s="234" t="n"/>
      <c r="L774" s="234" t="n"/>
      <c r="M774" s="232" t="n"/>
      <c r="N774" s="233" t="n"/>
      <c r="O774" s="232" t="n"/>
      <c r="P774" s="234" t="n"/>
      <c r="Q774" s="234" t="n"/>
      <c r="R774" s="234" t="n"/>
      <c r="S774" s="234" t="n"/>
      <c r="T774" s="234" t="n"/>
      <c r="U774" s="234" t="n"/>
      <c r="V774" s="234" t="n"/>
      <c r="W774" s="234" t="n"/>
    </row>
    <row r="775" ht="54.95" customFormat="1" customHeight="1" s="235">
      <c r="A775" s="234" t="n"/>
      <c r="B775" s="234" t="n"/>
      <c r="C775" s="234" t="n"/>
      <c r="D775" s="234" t="n"/>
      <c r="E775" s="234" t="n"/>
      <c r="F775" s="234" t="n"/>
      <c r="G775" s="234" t="n"/>
      <c r="H775" s="234" t="n"/>
      <c r="I775" s="234" t="n"/>
      <c r="J775" s="234" t="n"/>
      <c r="K775" s="234" t="n"/>
      <c r="L775" s="234" t="n"/>
      <c r="M775" s="232" t="n"/>
      <c r="N775" s="233" t="n"/>
      <c r="O775" s="232" t="n"/>
      <c r="P775" s="234" t="n"/>
      <c r="Q775" s="234" t="n"/>
      <c r="R775" s="234" t="n"/>
      <c r="S775" s="234" t="n"/>
      <c r="T775" s="234" t="n"/>
      <c r="U775" s="234" t="n"/>
      <c r="V775" s="234" t="n"/>
      <c r="W775" s="234" t="n"/>
    </row>
    <row r="776" ht="54.95" customFormat="1" customHeight="1" s="235">
      <c r="A776" s="234" t="n"/>
      <c r="B776" s="234" t="n"/>
      <c r="C776" s="234" t="n"/>
      <c r="D776" s="234" t="n"/>
      <c r="E776" s="234" t="n"/>
      <c r="F776" s="234" t="n"/>
      <c r="G776" s="234" t="n"/>
      <c r="H776" s="234" t="n"/>
      <c r="I776" s="234" t="n"/>
      <c r="J776" s="234" t="n"/>
      <c r="K776" s="234" t="n"/>
      <c r="L776" s="234" t="n"/>
      <c r="M776" s="232" t="n"/>
      <c r="N776" s="233" t="n"/>
      <c r="O776" s="232" t="n"/>
      <c r="P776" s="234" t="n"/>
      <c r="Q776" s="234" t="n"/>
      <c r="R776" s="234" t="n"/>
      <c r="S776" s="234" t="n"/>
      <c r="T776" s="234" t="n"/>
      <c r="U776" s="234" t="n"/>
      <c r="V776" s="234" t="n"/>
      <c r="W776" s="234" t="n"/>
    </row>
    <row r="777" ht="54.95" customFormat="1" customHeight="1" s="235">
      <c r="A777" s="232" t="n"/>
      <c r="B777" s="232" t="n"/>
      <c r="C777" s="232" t="n"/>
      <c r="D777" s="233" t="n"/>
      <c r="E777" s="232" t="n"/>
      <c r="F777" s="233" t="n"/>
      <c r="G777" s="233" t="n"/>
      <c r="H777" s="233" t="n"/>
      <c r="I777" s="232" t="n"/>
      <c r="J777" s="233" t="n"/>
      <c r="K777" s="232" t="n"/>
      <c r="L777" s="232" t="n"/>
      <c r="M777" s="232" t="n"/>
      <c r="N777" s="233" t="n"/>
      <c r="O777" s="232" t="n"/>
      <c r="P777" s="233" t="n"/>
      <c r="Q777" s="233" t="n"/>
      <c r="R777" s="233" t="n"/>
      <c r="S777" s="232" t="n"/>
      <c r="T777" s="233" t="n"/>
      <c r="U777" s="233" t="n"/>
      <c r="V777" s="233" t="n"/>
      <c r="W777" s="232" t="n"/>
    </row>
    <row r="778" ht="54.95" customFormat="1" customHeight="1" s="235">
      <c r="A778" s="234" t="n"/>
      <c r="B778" s="234" t="n"/>
      <c r="C778" s="234" t="n"/>
      <c r="D778" s="234" t="n"/>
      <c r="E778" s="234" t="n"/>
      <c r="F778" s="234" t="n"/>
      <c r="G778" s="234" t="n"/>
      <c r="H778" s="234" t="n"/>
      <c r="I778" s="234" t="n"/>
      <c r="J778" s="234" t="n"/>
      <c r="K778" s="234" t="n"/>
      <c r="L778" s="234" t="n"/>
      <c r="M778" s="232" t="n"/>
      <c r="N778" s="233" t="n"/>
      <c r="O778" s="232" t="n"/>
      <c r="P778" s="234" t="n"/>
      <c r="Q778" s="234" t="n"/>
      <c r="R778" s="234" t="n"/>
      <c r="S778" s="234" t="n"/>
      <c r="T778" s="234" t="n"/>
      <c r="U778" s="234" t="n"/>
      <c r="V778" s="234" t="n"/>
      <c r="W778" s="234" t="n"/>
    </row>
    <row r="779" ht="54.95" customFormat="1" customHeight="1" s="235">
      <c r="A779" s="232" t="n"/>
      <c r="B779" s="232" t="n"/>
      <c r="C779" s="232" t="n"/>
      <c r="D779" s="233" t="n"/>
      <c r="E779" s="232" t="n"/>
      <c r="F779" s="233" t="n"/>
      <c r="G779" s="233" t="n"/>
      <c r="H779" s="233" t="n"/>
      <c r="I779" s="232" t="n"/>
      <c r="J779" s="233" t="n"/>
      <c r="K779" s="232" t="n"/>
      <c r="L779" s="232" t="n"/>
      <c r="M779" s="232" t="n"/>
      <c r="N779" s="233" t="n"/>
      <c r="O779" s="232" t="n"/>
      <c r="P779" s="233" t="n"/>
      <c r="Q779" s="233" t="n"/>
      <c r="R779" s="233" t="n"/>
      <c r="S779" s="232" t="n"/>
      <c r="T779" s="233" t="n"/>
      <c r="U779" s="233" t="n"/>
      <c r="V779" s="233" t="n"/>
      <c r="W779" s="232" t="n"/>
    </row>
    <row r="780" ht="54.95" customFormat="1" customHeight="1" s="235">
      <c r="A780" s="232" t="n"/>
      <c r="B780" s="232" t="n"/>
      <c r="C780" s="232" t="n"/>
      <c r="D780" s="233" t="n"/>
      <c r="E780" s="232" t="n"/>
      <c r="F780" s="233" t="n"/>
      <c r="G780" s="233" t="n"/>
      <c r="H780" s="233" t="n"/>
      <c r="I780" s="232" t="n"/>
      <c r="J780" s="233" t="n"/>
      <c r="K780" s="232" t="n"/>
      <c r="L780" s="232" t="n"/>
      <c r="M780" s="232" t="n"/>
      <c r="N780" s="233" t="n"/>
      <c r="O780" s="232" t="n"/>
      <c r="P780" s="233" t="n"/>
      <c r="Q780" s="233" t="n"/>
      <c r="R780" s="233" t="n"/>
      <c r="S780" s="232" t="n"/>
      <c r="T780" s="233" t="n"/>
      <c r="U780" s="233" t="n"/>
      <c r="V780" s="233" t="n"/>
      <c r="W780" s="232" t="n"/>
    </row>
    <row r="781" ht="54.95" customFormat="1" customHeight="1" s="235">
      <c r="A781" s="232" t="n"/>
      <c r="B781" s="232" t="n"/>
      <c r="C781" s="232" t="n"/>
      <c r="D781" s="233" t="n"/>
      <c r="E781" s="232" t="n"/>
      <c r="F781" s="233" t="n"/>
      <c r="G781" s="233" t="n"/>
      <c r="H781" s="233" t="n"/>
      <c r="I781" s="232" t="n"/>
      <c r="J781" s="233" t="n"/>
      <c r="K781" s="232" t="n"/>
      <c r="L781" s="232" t="n"/>
      <c r="M781" s="232" t="n"/>
      <c r="N781" s="233" t="n"/>
      <c r="O781" s="232" t="n"/>
      <c r="P781" s="233" t="n"/>
      <c r="Q781" s="233" t="n"/>
      <c r="R781" s="233" t="n"/>
      <c r="S781" s="232" t="n"/>
      <c r="T781" s="233" t="n"/>
      <c r="U781" s="233" t="n"/>
      <c r="V781" s="233" t="n"/>
      <c r="W781" s="232" t="n"/>
    </row>
    <row r="782" ht="54.95" customFormat="1" customHeight="1" s="235">
      <c r="A782" s="234" t="n"/>
      <c r="B782" s="234" t="n"/>
      <c r="C782" s="234" t="n"/>
      <c r="D782" s="234" t="n"/>
      <c r="E782" s="234" t="n"/>
      <c r="F782" s="234" t="n"/>
      <c r="G782" s="234" t="n"/>
      <c r="H782" s="234" t="n"/>
      <c r="I782" s="234" t="n"/>
      <c r="J782" s="234" t="n"/>
      <c r="K782" s="234" t="n"/>
      <c r="L782" s="234" t="n"/>
      <c r="M782" s="232" t="n"/>
      <c r="N782" s="233" t="n"/>
      <c r="O782" s="232" t="n"/>
      <c r="P782" s="234" t="n"/>
      <c r="Q782" s="234" t="n"/>
      <c r="R782" s="234" t="n"/>
      <c r="S782" s="234" t="n"/>
      <c r="T782" s="234" t="n"/>
      <c r="U782" s="234" t="n"/>
      <c r="V782" s="234" t="n"/>
      <c r="W782" s="234" t="n"/>
    </row>
    <row r="783" ht="54.95" customFormat="1" customHeight="1" s="235">
      <c r="A783" s="234" t="n"/>
      <c r="B783" s="234" t="n"/>
      <c r="C783" s="234" t="n"/>
      <c r="D783" s="234" t="n"/>
      <c r="E783" s="234" t="n"/>
      <c r="F783" s="234" t="n"/>
      <c r="G783" s="234" t="n"/>
      <c r="H783" s="234" t="n"/>
      <c r="I783" s="234" t="n"/>
      <c r="J783" s="234" t="n"/>
      <c r="K783" s="234" t="n"/>
      <c r="L783" s="234" t="n"/>
      <c r="M783" s="232" t="n"/>
      <c r="N783" s="233" t="n"/>
      <c r="O783" s="232" t="n"/>
      <c r="P783" s="234" t="n"/>
      <c r="Q783" s="234" t="n"/>
      <c r="R783" s="234" t="n"/>
      <c r="S783" s="234" t="n"/>
      <c r="T783" s="234" t="n"/>
      <c r="U783" s="234" t="n"/>
      <c r="V783" s="234" t="n"/>
      <c r="W783" s="234" t="n"/>
    </row>
    <row r="784" ht="54.95" customFormat="1" customHeight="1" s="235">
      <c r="A784" s="234" t="n"/>
      <c r="B784" s="234" t="n"/>
      <c r="C784" s="234" t="n"/>
      <c r="D784" s="234" t="n"/>
      <c r="E784" s="234" t="n"/>
      <c r="F784" s="234" t="n"/>
      <c r="G784" s="234" t="n"/>
      <c r="H784" s="234" t="n"/>
      <c r="I784" s="234" t="n"/>
      <c r="J784" s="234" t="n"/>
      <c r="K784" s="234" t="n"/>
      <c r="L784" s="234" t="n"/>
      <c r="M784" s="232" t="n"/>
      <c r="N784" s="233" t="n"/>
      <c r="O784" s="232" t="n"/>
      <c r="P784" s="234" t="n"/>
      <c r="Q784" s="234" t="n"/>
      <c r="R784" s="234" t="n"/>
      <c r="S784" s="234" t="n"/>
      <c r="T784" s="234" t="n"/>
      <c r="U784" s="234" t="n"/>
      <c r="V784" s="234" t="n"/>
      <c r="W784" s="234" t="n"/>
    </row>
    <row r="785" ht="54.95" customFormat="1" customHeight="1" s="235">
      <c r="A785" s="234" t="n"/>
      <c r="B785" s="234" t="n"/>
      <c r="C785" s="234" t="n"/>
      <c r="D785" s="234" t="n"/>
      <c r="E785" s="234" t="n"/>
      <c r="F785" s="234" t="n"/>
      <c r="G785" s="234" t="n"/>
      <c r="H785" s="234" t="n"/>
      <c r="I785" s="234" t="n"/>
      <c r="J785" s="234" t="n"/>
      <c r="K785" s="234" t="n"/>
      <c r="L785" s="234" t="n"/>
      <c r="M785" s="232" t="n"/>
      <c r="N785" s="233" t="n"/>
      <c r="O785" s="232" t="n"/>
      <c r="P785" s="234" t="n"/>
      <c r="Q785" s="234" t="n"/>
      <c r="R785" s="234" t="n"/>
      <c r="S785" s="234" t="n"/>
      <c r="T785" s="234" t="n"/>
      <c r="U785" s="234" t="n"/>
      <c r="V785" s="234" t="n"/>
      <c r="W785" s="234" t="n"/>
    </row>
    <row r="786" ht="54.95" customFormat="1" customHeight="1" s="235">
      <c r="A786" s="234" t="n"/>
      <c r="B786" s="234" t="n"/>
      <c r="C786" s="234" t="n"/>
      <c r="D786" s="234" t="n"/>
      <c r="E786" s="234" t="n"/>
      <c r="F786" s="234" t="n"/>
      <c r="G786" s="234" t="n"/>
      <c r="H786" s="234" t="n"/>
      <c r="I786" s="234" t="n"/>
      <c r="J786" s="234" t="n"/>
      <c r="K786" s="234" t="n"/>
      <c r="L786" s="234" t="n"/>
      <c r="M786" s="232" t="n"/>
      <c r="N786" s="233" t="n"/>
      <c r="O786" s="232" t="n"/>
      <c r="P786" s="234" t="n"/>
      <c r="Q786" s="234" t="n"/>
      <c r="R786" s="234" t="n"/>
      <c r="S786" s="234" t="n"/>
      <c r="T786" s="234" t="n"/>
      <c r="U786" s="234" t="n"/>
      <c r="V786" s="234" t="n"/>
      <c r="W786" s="234" t="n"/>
    </row>
    <row r="787" ht="54.95" customFormat="1" customHeight="1" s="235">
      <c r="A787" s="234" t="n"/>
      <c r="B787" s="234" t="n"/>
      <c r="C787" s="234" t="n"/>
      <c r="D787" s="234" t="n"/>
      <c r="E787" s="234" t="n"/>
      <c r="F787" s="234" t="n"/>
      <c r="G787" s="234" t="n"/>
      <c r="H787" s="234" t="n"/>
      <c r="I787" s="234" t="n"/>
      <c r="J787" s="234" t="n"/>
      <c r="K787" s="234" t="n"/>
      <c r="L787" s="234" t="n"/>
      <c r="M787" s="232" t="n"/>
      <c r="N787" s="233" t="n"/>
      <c r="O787" s="232" t="n"/>
      <c r="P787" s="234" t="n"/>
      <c r="Q787" s="234" t="n"/>
      <c r="R787" s="234" t="n"/>
      <c r="S787" s="234" t="n"/>
      <c r="T787" s="234" t="n"/>
      <c r="U787" s="234" t="n"/>
      <c r="V787" s="234" t="n"/>
      <c r="W787" s="234" t="n"/>
    </row>
    <row r="788" ht="54.95" customFormat="1" customHeight="1" s="235">
      <c r="A788" s="234" t="n"/>
      <c r="B788" s="234" t="n"/>
      <c r="C788" s="234" t="n"/>
      <c r="D788" s="234" t="n"/>
      <c r="E788" s="234" t="n"/>
      <c r="F788" s="234" t="n"/>
      <c r="G788" s="234" t="n"/>
      <c r="H788" s="234" t="n"/>
      <c r="I788" s="234" t="n"/>
      <c r="J788" s="234" t="n"/>
      <c r="K788" s="234" t="n"/>
      <c r="L788" s="234" t="n"/>
      <c r="M788" s="232" t="n"/>
      <c r="N788" s="233" t="n"/>
      <c r="O788" s="232" t="n"/>
      <c r="P788" s="234" t="n"/>
      <c r="Q788" s="234" t="n"/>
      <c r="R788" s="234" t="n"/>
      <c r="S788" s="234" t="n"/>
      <c r="T788" s="234" t="n"/>
      <c r="U788" s="234" t="n"/>
      <c r="V788" s="234" t="n"/>
      <c r="W788" s="234" t="n"/>
    </row>
    <row r="789" ht="54.95" customFormat="1" customHeight="1" s="37">
      <c r="A789" s="232" t="n"/>
      <c r="B789" s="232" t="n"/>
      <c r="C789" s="232" t="n"/>
      <c r="D789" s="233" t="n"/>
      <c r="E789" s="232" t="n"/>
      <c r="F789" s="233" t="n"/>
      <c r="G789" s="233" t="n"/>
      <c r="H789" s="233" t="n"/>
      <c r="I789" s="232" t="n"/>
      <c r="J789" s="233" t="n"/>
      <c r="K789" s="232" t="n"/>
      <c r="L789" s="232" t="n"/>
      <c r="M789" s="232" t="n"/>
      <c r="N789" s="233" t="n"/>
      <c r="O789" s="232" t="n"/>
      <c r="P789" s="233" t="n"/>
      <c r="Q789" s="233" t="n"/>
      <c r="R789" s="233" t="n"/>
      <c r="S789" s="232" t="n"/>
      <c r="T789" s="233" t="n"/>
      <c r="U789" s="233" t="n"/>
      <c r="V789" s="233" t="n"/>
      <c r="W789" s="232" t="n"/>
    </row>
    <row r="790" ht="54.95" customFormat="1" customHeight="1" s="235">
      <c r="A790" s="234" t="n"/>
      <c r="B790" s="234" t="n"/>
      <c r="C790" s="234" t="n"/>
      <c r="D790" s="234" t="n"/>
      <c r="E790" s="234" t="n"/>
      <c r="F790" s="234" t="n"/>
      <c r="G790" s="234" t="n"/>
      <c r="H790" s="234" t="n"/>
      <c r="I790" s="234" t="n"/>
      <c r="J790" s="234" t="n"/>
      <c r="K790" s="234" t="n"/>
      <c r="L790" s="234" t="n"/>
      <c r="M790" s="232" t="n"/>
      <c r="N790" s="233" t="n"/>
      <c r="O790" s="232" t="n"/>
      <c r="P790" s="234" t="n"/>
      <c r="Q790" s="234" t="n"/>
      <c r="R790" s="234" t="n"/>
      <c r="S790" s="234" t="n"/>
      <c r="T790" s="234" t="n"/>
      <c r="U790" s="234" t="n"/>
      <c r="V790" s="234" t="n"/>
      <c r="W790" s="234" t="n"/>
    </row>
    <row r="791" ht="54.95" customFormat="1" customHeight="1" s="235">
      <c r="A791" s="234" t="n"/>
      <c r="B791" s="234" t="n"/>
      <c r="C791" s="234" t="n"/>
      <c r="D791" s="234" t="n"/>
      <c r="E791" s="234" t="n"/>
      <c r="F791" s="234" t="n"/>
      <c r="G791" s="234" t="n"/>
      <c r="H791" s="234" t="n"/>
      <c r="I791" s="234" t="n"/>
      <c r="J791" s="234" t="n"/>
      <c r="K791" s="234" t="n"/>
      <c r="L791" s="234" t="n"/>
      <c r="M791" s="232" t="n"/>
      <c r="N791" s="233" t="n"/>
      <c r="O791" s="232" t="n"/>
      <c r="P791" s="234" t="n"/>
      <c r="Q791" s="234" t="n"/>
      <c r="R791" s="234" t="n"/>
      <c r="S791" s="234" t="n"/>
      <c r="T791" s="234" t="n"/>
      <c r="U791" s="234" t="n"/>
      <c r="V791" s="234" t="n"/>
      <c r="W791" s="234" t="n"/>
    </row>
    <row r="792" ht="54.95" customFormat="1" customHeight="1" s="235">
      <c r="A792" s="234" t="n"/>
      <c r="B792" s="234" t="n"/>
      <c r="C792" s="234" t="n"/>
      <c r="D792" s="234" t="n"/>
      <c r="E792" s="234" t="n"/>
      <c r="F792" s="234" t="n"/>
      <c r="G792" s="234" t="n"/>
      <c r="H792" s="234" t="n"/>
      <c r="I792" s="234" t="n"/>
      <c r="J792" s="234" t="n"/>
      <c r="K792" s="234" t="n"/>
      <c r="L792" s="234" t="n"/>
      <c r="M792" s="232" t="n"/>
      <c r="N792" s="233" t="n"/>
      <c r="O792" s="232" t="n"/>
      <c r="P792" s="234" t="n"/>
      <c r="Q792" s="234" t="n"/>
      <c r="R792" s="234" t="n"/>
      <c r="S792" s="234" t="n"/>
      <c r="T792" s="234" t="n"/>
      <c r="U792" s="234" t="n"/>
      <c r="V792" s="234" t="n"/>
      <c r="W792" s="234" t="n"/>
    </row>
    <row r="793" ht="54.95" customFormat="1" customHeight="1" s="235">
      <c r="A793" s="232" t="n"/>
      <c r="B793" s="232" t="n"/>
      <c r="C793" s="232" t="n"/>
      <c r="D793" s="233" t="n"/>
      <c r="E793" s="232" t="n"/>
      <c r="F793" s="233" t="n"/>
      <c r="G793" s="233" t="n"/>
      <c r="H793" s="233" t="n"/>
      <c r="I793" s="232" t="n"/>
      <c r="J793" s="233" t="n"/>
      <c r="K793" s="232" t="n"/>
      <c r="L793" s="232" t="n"/>
      <c r="M793" s="232" t="n"/>
      <c r="N793" s="233" t="n"/>
      <c r="O793" s="232" t="n"/>
      <c r="P793" s="233" t="n"/>
      <c r="Q793" s="233" t="n"/>
      <c r="R793" s="233" t="n"/>
      <c r="S793" s="232" t="n"/>
      <c r="T793" s="233" t="n"/>
      <c r="U793" s="233" t="n"/>
      <c r="V793" s="233" t="n"/>
      <c r="W793" s="232" t="n"/>
    </row>
    <row r="794" ht="54.95" customFormat="1" customHeight="1" s="235">
      <c r="A794" s="232" t="n"/>
      <c r="B794" s="232" t="n"/>
      <c r="C794" s="232" t="n"/>
      <c r="D794" s="233" t="n"/>
      <c r="E794" s="232" t="n"/>
      <c r="F794" s="233" t="n"/>
      <c r="G794" s="233" t="n"/>
      <c r="H794" s="233" t="n"/>
      <c r="I794" s="232" t="n"/>
      <c r="J794" s="233" t="n"/>
      <c r="K794" s="232" t="n"/>
      <c r="L794" s="232" t="n"/>
      <c r="M794" s="232" t="n"/>
      <c r="N794" s="233" t="n"/>
      <c r="O794" s="232" t="n"/>
      <c r="P794" s="233" t="n"/>
      <c r="Q794" s="233" t="n"/>
      <c r="R794" s="233" t="n"/>
      <c r="S794" s="232" t="n"/>
      <c r="T794" s="233" t="n"/>
      <c r="U794" s="233" t="n"/>
      <c r="V794" s="233" t="n"/>
      <c r="W794" s="232" t="n"/>
    </row>
    <row r="795" ht="54.95" customFormat="1" customHeight="1" s="235">
      <c r="A795" s="234" t="n"/>
      <c r="B795" s="234" t="n"/>
      <c r="C795" s="234" t="n"/>
      <c r="D795" s="234" t="n"/>
      <c r="E795" s="234" t="n"/>
      <c r="F795" s="234" t="n"/>
      <c r="G795" s="234" t="n"/>
      <c r="H795" s="234" t="n"/>
      <c r="I795" s="234" t="n"/>
      <c r="J795" s="234" t="n"/>
      <c r="K795" s="234" t="n"/>
      <c r="L795" s="234" t="n"/>
      <c r="M795" s="232" t="n"/>
      <c r="N795" s="233" t="n"/>
      <c r="O795" s="232" t="n"/>
      <c r="P795" s="234" t="n"/>
      <c r="Q795" s="234" t="n"/>
      <c r="R795" s="234" t="n"/>
      <c r="S795" s="234" t="n"/>
      <c r="T795" s="234" t="n"/>
      <c r="U795" s="234" t="n"/>
      <c r="V795" s="234" t="n"/>
      <c r="W795" s="234" t="n"/>
    </row>
    <row r="796" ht="54.95" customFormat="1" customHeight="1" s="235">
      <c r="A796" s="232" t="n"/>
      <c r="B796" s="232" t="n"/>
      <c r="C796" s="232" t="n"/>
      <c r="D796" s="233" t="n"/>
      <c r="E796" s="232" t="n"/>
      <c r="F796" s="233" t="n"/>
      <c r="G796" s="233" t="n"/>
      <c r="H796" s="233" t="n"/>
      <c r="I796" s="232" t="n"/>
      <c r="J796" s="233" t="n"/>
      <c r="K796" s="232" t="n"/>
      <c r="L796" s="232" t="n"/>
      <c r="M796" s="232" t="n"/>
      <c r="N796" s="233" t="n"/>
      <c r="O796" s="232" t="n"/>
      <c r="P796" s="233" t="n"/>
      <c r="Q796" s="233" t="n"/>
      <c r="R796" s="233" t="n"/>
      <c r="S796" s="232" t="n"/>
      <c r="T796" s="233" t="n"/>
      <c r="U796" s="233" t="n"/>
      <c r="V796" s="233" t="n"/>
      <c r="W796" s="232" t="n"/>
    </row>
    <row r="797" ht="54.95" customFormat="1" customHeight="1" s="235">
      <c r="A797" s="232" t="n"/>
      <c r="B797" s="232" t="n"/>
      <c r="C797" s="232" t="n"/>
      <c r="D797" s="233" t="n"/>
      <c r="E797" s="232" t="n"/>
      <c r="F797" s="233" t="n"/>
      <c r="G797" s="233" t="n"/>
      <c r="H797" s="233" t="n"/>
      <c r="I797" s="232" t="n"/>
      <c r="J797" s="233" t="n"/>
      <c r="K797" s="232" t="n"/>
      <c r="L797" s="232" t="n"/>
      <c r="M797" s="232" t="n"/>
      <c r="N797" s="233" t="n"/>
      <c r="O797" s="232" t="n"/>
      <c r="P797" s="233" t="n"/>
      <c r="Q797" s="233" t="n"/>
      <c r="R797" s="233" t="n"/>
      <c r="S797" s="232" t="n"/>
      <c r="T797" s="233" t="n"/>
      <c r="U797" s="233" t="n"/>
      <c r="V797" s="233" t="n"/>
      <c r="W797" s="232" t="n"/>
    </row>
    <row r="798" ht="54.95" customFormat="1" customHeight="1" s="235">
      <c r="A798" s="234" t="n"/>
      <c r="B798" s="234" t="n"/>
      <c r="C798" s="234" t="n"/>
      <c r="D798" s="234" t="n"/>
      <c r="E798" s="234" t="n"/>
      <c r="F798" s="234" t="n"/>
      <c r="G798" s="234" t="n"/>
      <c r="H798" s="234" t="n"/>
      <c r="I798" s="234" t="n"/>
      <c r="J798" s="234" t="n"/>
      <c r="K798" s="234" t="n"/>
      <c r="L798" s="234" t="n"/>
      <c r="M798" s="232" t="n"/>
      <c r="N798" s="233" t="n"/>
      <c r="O798" s="232" t="n"/>
      <c r="P798" s="234" t="n"/>
      <c r="Q798" s="234" t="n"/>
      <c r="R798" s="234" t="n"/>
      <c r="S798" s="234" t="n"/>
      <c r="T798" s="234" t="n"/>
      <c r="U798" s="234" t="n"/>
      <c r="V798" s="234" t="n"/>
      <c r="W798" s="234" t="n"/>
    </row>
    <row r="799" ht="54.95" customFormat="1" customHeight="1" s="235">
      <c r="A799" s="234" t="n"/>
      <c r="B799" s="234" t="n"/>
      <c r="C799" s="234" t="n"/>
      <c r="D799" s="234" t="n"/>
      <c r="E799" s="234" t="n"/>
      <c r="F799" s="234" t="n"/>
      <c r="G799" s="234" t="n"/>
      <c r="H799" s="234" t="n"/>
      <c r="I799" s="234" t="n"/>
      <c r="J799" s="234" t="n"/>
      <c r="K799" s="234" t="n"/>
      <c r="L799" s="234" t="n"/>
      <c r="M799" s="232" t="n"/>
      <c r="N799" s="233" t="n"/>
      <c r="O799" s="232" t="n"/>
      <c r="P799" s="234" t="n"/>
      <c r="Q799" s="234" t="n"/>
      <c r="R799" s="234" t="n"/>
      <c r="S799" s="234" t="n"/>
      <c r="T799" s="234" t="n"/>
      <c r="U799" s="234" t="n"/>
      <c r="V799" s="234" t="n"/>
      <c r="W799" s="234" t="n"/>
    </row>
    <row r="800" ht="54.95" customFormat="1" customHeight="1" s="235">
      <c r="A800" s="232" t="n"/>
      <c r="B800" s="232" t="n"/>
      <c r="C800" s="232" t="n"/>
      <c r="D800" s="233" t="n"/>
      <c r="E800" s="232" t="n"/>
      <c r="F800" s="233" t="n"/>
      <c r="G800" s="233" t="n"/>
      <c r="H800" s="233" t="n"/>
      <c r="I800" s="232" t="n"/>
      <c r="J800" s="233" t="n"/>
      <c r="K800" s="232" t="n"/>
      <c r="L800" s="232" t="n"/>
      <c r="M800" s="232" t="n"/>
      <c r="N800" s="233" t="n"/>
      <c r="O800" s="232" t="n"/>
      <c r="P800" s="233" t="n"/>
      <c r="Q800" s="233" t="n"/>
      <c r="R800" s="233" t="n"/>
      <c r="S800" s="232" t="n"/>
      <c r="T800" s="233" t="n"/>
      <c r="U800" s="233" t="n"/>
      <c r="V800" s="233" t="n"/>
      <c r="W800" s="232" t="n"/>
    </row>
    <row r="801" ht="54.95" customFormat="1" customHeight="1" s="235">
      <c r="A801" s="232" t="n"/>
      <c r="B801" s="232" t="n"/>
      <c r="C801" s="232" t="n"/>
      <c r="D801" s="233" t="n"/>
      <c r="E801" s="232" t="n"/>
      <c r="F801" s="233" t="n"/>
      <c r="G801" s="233" t="n"/>
      <c r="H801" s="233" t="n"/>
      <c r="I801" s="232" t="n"/>
      <c r="J801" s="233" t="n"/>
      <c r="K801" s="232" t="n"/>
      <c r="L801" s="232" t="n"/>
      <c r="M801" s="232" t="n"/>
      <c r="N801" s="233" t="n"/>
      <c r="O801" s="232" t="n"/>
      <c r="P801" s="233" t="n"/>
      <c r="Q801" s="233" t="n"/>
      <c r="R801" s="233" t="n"/>
      <c r="S801" s="232" t="n"/>
      <c r="T801" s="233" t="n"/>
      <c r="U801" s="233" t="n"/>
      <c r="V801" s="233" t="n"/>
      <c r="W801" s="232" t="n"/>
    </row>
    <row r="802" ht="54.95" customFormat="1" customHeight="1" s="235">
      <c r="A802" s="232" t="n"/>
      <c r="B802" s="232" t="n"/>
      <c r="C802" s="232" t="n"/>
      <c r="D802" s="233" t="n"/>
      <c r="E802" s="232" t="n"/>
      <c r="F802" s="233" t="n"/>
      <c r="G802" s="233" t="n"/>
      <c r="H802" s="233" t="n"/>
      <c r="I802" s="232" t="n"/>
      <c r="J802" s="233" t="n"/>
      <c r="K802" s="232" t="n"/>
      <c r="L802" s="232" t="n"/>
      <c r="M802" s="232" t="n"/>
      <c r="N802" s="233" t="n"/>
      <c r="O802" s="232" t="n"/>
      <c r="P802" s="233" t="n"/>
      <c r="Q802" s="233" t="n"/>
      <c r="R802" s="233" t="n"/>
      <c r="S802" s="232" t="n"/>
      <c r="T802" s="233" t="n"/>
      <c r="U802" s="233" t="n"/>
      <c r="V802" s="233" t="n"/>
      <c r="W802" s="232" t="n"/>
    </row>
    <row r="803" ht="54.95" customFormat="1" customHeight="1" s="235">
      <c r="A803" s="232" t="n"/>
      <c r="B803" s="232" t="n"/>
      <c r="C803" s="232" t="n"/>
      <c r="D803" s="233" t="n"/>
      <c r="E803" s="232" t="n"/>
      <c r="F803" s="233" t="n"/>
      <c r="G803" s="233" t="n"/>
      <c r="H803" s="233" t="n"/>
      <c r="I803" s="232" t="n"/>
      <c r="J803" s="233" t="n"/>
      <c r="K803" s="232" t="n"/>
      <c r="L803" s="232" t="n"/>
      <c r="M803" s="232" t="n"/>
      <c r="N803" s="233" t="n"/>
      <c r="O803" s="232" t="n"/>
      <c r="P803" s="233" t="n"/>
      <c r="Q803" s="233" t="n"/>
      <c r="R803" s="233" t="n"/>
      <c r="S803" s="232" t="n"/>
      <c r="T803" s="233" t="n"/>
      <c r="U803" s="233" t="n"/>
      <c r="V803" s="233" t="n"/>
      <c r="W803" s="232" t="n"/>
    </row>
    <row r="804" ht="54.95" customFormat="1" customHeight="1" s="235">
      <c r="A804" s="232" t="n"/>
      <c r="B804" s="232" t="n"/>
      <c r="C804" s="232" t="n"/>
      <c r="D804" s="233" t="n"/>
      <c r="E804" s="232" t="n"/>
      <c r="F804" s="233" t="n"/>
      <c r="G804" s="233" t="n"/>
      <c r="H804" s="233" t="n"/>
      <c r="I804" s="232" t="n"/>
      <c r="J804" s="233" t="n"/>
      <c r="K804" s="232" t="n"/>
      <c r="L804" s="232" t="n"/>
      <c r="M804" s="232" t="n"/>
      <c r="N804" s="233" t="n"/>
      <c r="O804" s="232" t="n"/>
      <c r="P804" s="233" t="n"/>
      <c r="Q804" s="233" t="n"/>
      <c r="R804" s="233" t="n"/>
      <c r="S804" s="232" t="n"/>
      <c r="T804" s="233" t="n"/>
      <c r="U804" s="233" t="n"/>
      <c r="V804" s="233" t="n"/>
      <c r="W804" s="232" t="n"/>
    </row>
    <row r="805" ht="54.95" customFormat="1" customHeight="1" s="235">
      <c r="A805" s="232" t="n"/>
      <c r="B805" s="232" t="n"/>
      <c r="C805" s="232" t="n"/>
      <c r="D805" s="233" t="n"/>
      <c r="E805" s="232" t="n"/>
      <c r="F805" s="233" t="n"/>
      <c r="G805" s="233" t="n"/>
      <c r="H805" s="233" t="n"/>
      <c r="I805" s="232" t="n"/>
      <c r="J805" s="233" t="n"/>
      <c r="K805" s="232" t="n"/>
      <c r="L805" s="232" t="n"/>
      <c r="M805" s="232" t="n"/>
      <c r="N805" s="233" t="n"/>
      <c r="O805" s="232" t="n"/>
      <c r="P805" s="233" t="n"/>
      <c r="Q805" s="233" t="n"/>
      <c r="R805" s="233" t="n"/>
      <c r="S805" s="232" t="n"/>
      <c r="T805" s="233" t="n"/>
      <c r="U805" s="233" t="n"/>
      <c r="V805" s="233" t="n"/>
      <c r="W805" s="232" t="n"/>
    </row>
    <row r="806" ht="54.95" customFormat="1" customHeight="1" s="235">
      <c r="A806" s="232" t="n"/>
      <c r="B806" s="232" t="n"/>
      <c r="C806" s="232" t="n"/>
      <c r="D806" s="233" t="n"/>
      <c r="E806" s="232" t="n"/>
      <c r="F806" s="233" t="n"/>
      <c r="G806" s="233" t="n"/>
      <c r="H806" s="233" t="n"/>
      <c r="I806" s="232" t="n"/>
      <c r="J806" s="233" t="n"/>
      <c r="K806" s="232" t="n"/>
      <c r="L806" s="232" t="n"/>
      <c r="M806" s="232" t="n"/>
      <c r="N806" s="233" t="n"/>
      <c r="O806" s="232" t="n"/>
      <c r="P806" s="233" t="n"/>
      <c r="Q806" s="233" t="n"/>
      <c r="R806" s="233" t="n"/>
      <c r="S806" s="232" t="n"/>
      <c r="T806" s="233" t="n"/>
      <c r="U806" s="233" t="n"/>
      <c r="V806" s="233" t="n"/>
      <c r="W806" s="232" t="n"/>
    </row>
    <row r="807" ht="54.95" customFormat="1" customHeight="1" s="235">
      <c r="A807" s="232" t="n"/>
      <c r="B807" s="232" t="n"/>
      <c r="C807" s="232" t="n"/>
      <c r="D807" s="233" t="n"/>
      <c r="E807" s="232" t="n"/>
      <c r="F807" s="233" t="n"/>
      <c r="G807" s="233" t="n"/>
      <c r="H807" s="233" t="n"/>
      <c r="I807" s="232" t="n"/>
      <c r="J807" s="233" t="n"/>
      <c r="K807" s="232" t="n"/>
      <c r="L807" s="232" t="n"/>
      <c r="M807" s="232" t="n"/>
      <c r="N807" s="233" t="n"/>
      <c r="O807" s="232" t="n"/>
      <c r="P807" s="233" t="n"/>
      <c r="Q807" s="233" t="n"/>
      <c r="R807" s="233" t="n"/>
      <c r="S807" s="232" t="n"/>
      <c r="T807" s="233" t="n"/>
      <c r="U807" s="233" t="n"/>
      <c r="V807" s="233" t="n"/>
      <c r="W807" s="232" t="n"/>
    </row>
    <row r="808" ht="54.95" customFormat="1" customHeight="1" s="235">
      <c r="A808" s="232" t="n"/>
      <c r="B808" s="232" t="n"/>
      <c r="C808" s="232" t="n"/>
      <c r="D808" s="233" t="n"/>
      <c r="E808" s="232" t="n"/>
      <c r="F808" s="233" t="n"/>
      <c r="G808" s="233" t="n"/>
      <c r="H808" s="233" t="n"/>
      <c r="I808" s="232" t="n"/>
      <c r="J808" s="233" t="n"/>
      <c r="K808" s="232" t="n"/>
      <c r="L808" s="232" t="n"/>
      <c r="M808" s="232" t="n"/>
      <c r="N808" s="233" t="n"/>
      <c r="O808" s="232" t="n"/>
      <c r="P808" s="233" t="n"/>
      <c r="Q808" s="233" t="n"/>
      <c r="R808" s="233" t="n"/>
      <c r="S808" s="232" t="n"/>
      <c r="T808" s="233" t="n"/>
      <c r="U808" s="233" t="n"/>
      <c r="V808" s="233" t="n"/>
      <c r="W808" s="232" t="n"/>
    </row>
    <row r="809" ht="54.95" customFormat="1" customHeight="1" s="235">
      <c r="A809" s="232" t="n"/>
      <c r="B809" s="232" t="n"/>
      <c r="C809" s="232" t="n"/>
      <c r="D809" s="233" t="n"/>
      <c r="E809" s="232" t="n"/>
      <c r="F809" s="233" t="n"/>
      <c r="G809" s="233" t="n"/>
      <c r="H809" s="233" t="n"/>
      <c r="I809" s="232" t="n"/>
      <c r="J809" s="233" t="n"/>
      <c r="K809" s="232" t="n"/>
      <c r="L809" s="232" t="n"/>
      <c r="M809" s="232" t="n"/>
      <c r="N809" s="233" t="n"/>
      <c r="O809" s="232" t="n"/>
      <c r="P809" s="233" t="n"/>
      <c r="Q809" s="233" t="n"/>
      <c r="R809" s="233" t="n"/>
      <c r="S809" s="232" t="n"/>
      <c r="T809" s="233" t="n"/>
      <c r="U809" s="233" t="n"/>
      <c r="V809" s="233" t="n"/>
      <c r="W809" s="232" t="n"/>
    </row>
    <row r="810" ht="54.95" customFormat="1" customHeight="1" s="235">
      <c r="A810" s="232" t="n"/>
      <c r="B810" s="232" t="n"/>
      <c r="C810" s="232" t="n"/>
      <c r="D810" s="233" t="n"/>
      <c r="E810" s="232" t="n"/>
      <c r="F810" s="233" t="n"/>
      <c r="G810" s="233" t="n"/>
      <c r="H810" s="233" t="n"/>
      <c r="I810" s="232" t="n"/>
      <c r="J810" s="233" t="n"/>
      <c r="K810" s="232" t="n"/>
      <c r="L810" s="232" t="n"/>
      <c r="M810" s="232" t="n"/>
      <c r="N810" s="233" t="n"/>
      <c r="O810" s="232" t="n"/>
      <c r="P810" s="233" t="n"/>
      <c r="Q810" s="233" t="n"/>
      <c r="R810" s="233" t="n"/>
      <c r="S810" s="232" t="n"/>
      <c r="T810" s="233" t="n"/>
      <c r="U810" s="233" t="n"/>
      <c r="V810" s="233" t="n"/>
      <c r="W810" s="232" t="n"/>
    </row>
    <row r="811" ht="54.95" customFormat="1" customHeight="1" s="235">
      <c r="A811" s="232" t="n"/>
      <c r="B811" s="232" t="n"/>
      <c r="C811" s="232" t="n"/>
      <c r="D811" s="233" t="n"/>
      <c r="E811" s="232" t="n"/>
      <c r="F811" s="233" t="n"/>
      <c r="G811" s="233" t="n"/>
      <c r="H811" s="233" t="n"/>
      <c r="I811" s="232" t="n"/>
      <c r="J811" s="233" t="n"/>
      <c r="K811" s="232" t="n"/>
      <c r="L811" s="232" t="n"/>
      <c r="M811" s="232" t="n"/>
      <c r="N811" s="233" t="n"/>
      <c r="O811" s="232" t="n"/>
      <c r="P811" s="233" t="n"/>
      <c r="Q811" s="233" t="n"/>
      <c r="R811" s="233" t="n"/>
      <c r="S811" s="232" t="n"/>
      <c r="T811" s="233" t="n"/>
      <c r="U811" s="233" t="n"/>
      <c r="V811" s="233" t="n"/>
      <c r="W811" s="232" t="n"/>
    </row>
    <row r="812" ht="54.95" customFormat="1" customHeight="1" s="235">
      <c r="A812" s="232" t="n"/>
      <c r="B812" s="232" t="n"/>
      <c r="C812" s="232" t="n"/>
      <c r="D812" s="233" t="n"/>
      <c r="E812" s="232" t="n"/>
      <c r="F812" s="233" t="n"/>
      <c r="G812" s="233" t="n"/>
      <c r="H812" s="233" t="n"/>
      <c r="I812" s="232" t="n"/>
      <c r="J812" s="233" t="n"/>
      <c r="K812" s="232" t="n"/>
      <c r="L812" s="232" t="n"/>
      <c r="M812" s="232" t="n"/>
      <c r="N812" s="233" t="n"/>
      <c r="O812" s="232" t="n"/>
      <c r="P812" s="233" t="n"/>
      <c r="Q812" s="233" t="n"/>
      <c r="R812" s="233" t="n"/>
      <c r="S812" s="232" t="n"/>
      <c r="T812" s="233" t="n"/>
      <c r="U812" s="233" t="n"/>
      <c r="V812" s="233" t="n"/>
      <c r="W812" s="232" t="n"/>
    </row>
    <row r="813" ht="54.95" customFormat="1" customHeight="1" s="235">
      <c r="A813" s="232" t="n"/>
      <c r="B813" s="232" t="n"/>
      <c r="C813" s="232" t="n"/>
      <c r="D813" s="233" t="n"/>
      <c r="E813" s="232" t="n"/>
      <c r="F813" s="233" t="n"/>
      <c r="G813" s="233" t="n"/>
      <c r="H813" s="233" t="n"/>
      <c r="I813" s="232" t="n"/>
      <c r="J813" s="233" t="n"/>
      <c r="K813" s="232" t="n"/>
      <c r="L813" s="232" t="n"/>
      <c r="M813" s="232" t="n"/>
      <c r="N813" s="233" t="n"/>
      <c r="O813" s="232" t="n"/>
      <c r="P813" s="233" t="n"/>
      <c r="Q813" s="233" t="n"/>
      <c r="R813" s="233" t="n"/>
      <c r="S813" s="232" t="n"/>
      <c r="T813" s="233" t="n"/>
      <c r="U813" s="233" t="n"/>
      <c r="V813" s="233" t="n"/>
      <c r="W813" s="232" t="n"/>
    </row>
    <row r="814" ht="54.95" customFormat="1" customHeight="1" s="235">
      <c r="A814" s="232" t="n"/>
      <c r="B814" s="232" t="n"/>
      <c r="C814" s="232" t="n"/>
      <c r="D814" s="233" t="n"/>
      <c r="E814" s="232" t="n"/>
      <c r="F814" s="233" t="n"/>
      <c r="G814" s="233" t="n"/>
      <c r="H814" s="233" t="n"/>
      <c r="I814" s="232" t="n"/>
      <c r="J814" s="233" t="n"/>
      <c r="K814" s="232" t="n"/>
      <c r="L814" s="232" t="n"/>
      <c r="M814" s="232" t="n"/>
      <c r="N814" s="233" t="n"/>
      <c r="O814" s="232" t="n"/>
      <c r="P814" s="233" t="n"/>
      <c r="Q814" s="233" t="n"/>
      <c r="R814" s="233" t="n"/>
      <c r="S814" s="232" t="n"/>
      <c r="T814" s="233" t="n"/>
      <c r="U814" s="233" t="n"/>
      <c r="V814" s="233" t="n"/>
      <c r="W814" s="232" t="n"/>
    </row>
    <row r="815" ht="54.95" customFormat="1" customHeight="1" s="235">
      <c r="A815" s="232" t="n"/>
      <c r="B815" s="232" t="n"/>
      <c r="C815" s="232" t="n"/>
      <c r="D815" s="233" t="n"/>
      <c r="E815" s="232" t="n"/>
      <c r="F815" s="233" t="n"/>
      <c r="G815" s="233" t="n"/>
      <c r="H815" s="233" t="n"/>
      <c r="I815" s="232" t="n"/>
      <c r="J815" s="233" t="n"/>
      <c r="K815" s="232" t="n"/>
      <c r="L815" s="232" t="n"/>
      <c r="M815" s="232" t="n"/>
      <c r="N815" s="233" t="n"/>
      <c r="O815" s="232" t="n"/>
      <c r="P815" s="233" t="n"/>
      <c r="Q815" s="233" t="n"/>
      <c r="R815" s="233" t="n"/>
      <c r="S815" s="232" t="n"/>
      <c r="T815" s="233" t="n"/>
      <c r="U815" s="233" t="n"/>
      <c r="V815" s="233" t="n"/>
      <c r="W815" s="232" t="n"/>
    </row>
    <row r="816" ht="54.95" customFormat="1" customHeight="1" s="235">
      <c r="A816" s="232" t="n"/>
      <c r="B816" s="232" t="n"/>
      <c r="C816" s="232" t="n"/>
      <c r="D816" s="233" t="n"/>
      <c r="E816" s="232" t="n"/>
      <c r="F816" s="233" t="n"/>
      <c r="G816" s="233" t="n"/>
      <c r="H816" s="233" t="n"/>
      <c r="I816" s="232" t="n"/>
      <c r="J816" s="233" t="n"/>
      <c r="K816" s="232" t="n"/>
      <c r="L816" s="232" t="n"/>
      <c r="M816" s="232" t="n"/>
      <c r="N816" s="233" t="n"/>
      <c r="O816" s="232" t="n"/>
      <c r="P816" s="233" t="n"/>
      <c r="Q816" s="233" t="n"/>
      <c r="R816" s="233" t="n"/>
      <c r="S816" s="232" t="n"/>
      <c r="T816" s="233" t="n"/>
      <c r="U816" s="233" t="n"/>
      <c r="V816" s="233" t="n"/>
      <c r="W816" s="232" t="n"/>
    </row>
    <row r="817" ht="54.95" customFormat="1" customHeight="1" s="235">
      <c r="A817" s="232" t="n"/>
      <c r="B817" s="232" t="n"/>
      <c r="C817" s="232" t="n"/>
      <c r="D817" s="233" t="n"/>
      <c r="E817" s="232" t="n"/>
      <c r="F817" s="233" t="n"/>
      <c r="G817" s="233" t="n"/>
      <c r="H817" s="233" t="n"/>
      <c r="I817" s="232" t="n"/>
      <c r="J817" s="233" t="n"/>
      <c r="K817" s="232" t="n"/>
      <c r="L817" s="232" t="n"/>
      <c r="M817" s="232" t="n"/>
      <c r="N817" s="233" t="n"/>
      <c r="O817" s="232" t="n"/>
      <c r="P817" s="233" t="n"/>
      <c r="Q817" s="233" t="n"/>
      <c r="R817" s="233" t="n"/>
      <c r="S817" s="232" t="n"/>
      <c r="T817" s="233" t="n"/>
      <c r="U817" s="233" t="n"/>
      <c r="V817" s="233" t="n"/>
      <c r="W817" s="232" t="n"/>
    </row>
    <row r="818" ht="54.95" customFormat="1" customHeight="1" s="235">
      <c r="A818" s="232" t="n"/>
      <c r="B818" s="232" t="n"/>
      <c r="C818" s="232" t="n"/>
      <c r="D818" s="233" t="n"/>
      <c r="E818" s="232" t="n"/>
      <c r="F818" s="233" t="n"/>
      <c r="G818" s="233" t="n"/>
      <c r="H818" s="233" t="n"/>
      <c r="I818" s="232" t="n"/>
      <c r="J818" s="233" t="n"/>
      <c r="K818" s="232" t="n"/>
      <c r="L818" s="232" t="n"/>
      <c r="M818" s="232" t="n"/>
      <c r="N818" s="233" t="n"/>
      <c r="O818" s="232" t="n"/>
      <c r="P818" s="233" t="n"/>
      <c r="Q818" s="233" t="n"/>
      <c r="R818" s="233" t="n"/>
      <c r="S818" s="232" t="n"/>
      <c r="T818" s="233" t="n"/>
      <c r="U818" s="233" t="n"/>
      <c r="V818" s="233" t="n"/>
      <c r="W818" s="232" t="n"/>
    </row>
    <row r="819" ht="54.95" customFormat="1" customHeight="1" s="235">
      <c r="A819" s="234" t="n"/>
      <c r="B819" s="234" t="n"/>
      <c r="C819" s="234" t="n"/>
      <c r="D819" s="234" t="n"/>
      <c r="E819" s="234" t="n"/>
      <c r="F819" s="234" t="n"/>
      <c r="G819" s="234" t="n"/>
      <c r="H819" s="234" t="n"/>
      <c r="I819" s="234" t="n"/>
      <c r="J819" s="234" t="n"/>
      <c r="K819" s="234" t="n"/>
      <c r="L819" s="234" t="n"/>
      <c r="M819" s="232" t="n"/>
      <c r="N819" s="233" t="n"/>
      <c r="O819" s="232" t="n"/>
      <c r="P819" s="234" t="n"/>
      <c r="Q819" s="234" t="n"/>
      <c r="R819" s="234" t="n"/>
      <c r="S819" s="234" t="n"/>
      <c r="T819" s="234" t="n"/>
      <c r="U819" s="234" t="n"/>
      <c r="V819" s="234" t="n"/>
      <c r="W819" s="234" t="n"/>
    </row>
    <row r="820" ht="54.95" customFormat="1" customHeight="1" s="235">
      <c r="A820" s="234" t="n"/>
      <c r="B820" s="234" t="n"/>
      <c r="C820" s="234" t="n"/>
      <c r="D820" s="234" t="n"/>
      <c r="E820" s="234" t="n"/>
      <c r="F820" s="234" t="n"/>
      <c r="G820" s="234" t="n"/>
      <c r="H820" s="234" t="n"/>
      <c r="I820" s="234" t="n"/>
      <c r="J820" s="234" t="n"/>
      <c r="K820" s="234" t="n"/>
      <c r="L820" s="234" t="n"/>
      <c r="M820" s="232" t="n"/>
      <c r="N820" s="233" t="n"/>
      <c r="O820" s="232" t="n"/>
      <c r="P820" s="234" t="n"/>
      <c r="Q820" s="234" t="n"/>
      <c r="R820" s="234" t="n"/>
      <c r="S820" s="234" t="n"/>
      <c r="T820" s="234" t="n"/>
      <c r="U820" s="234" t="n"/>
      <c r="V820" s="234" t="n"/>
      <c r="W820" s="234" t="n"/>
    </row>
    <row r="821" ht="54.95" customFormat="1" customHeight="1" s="235">
      <c r="A821" s="234" t="n"/>
      <c r="B821" s="234" t="n"/>
      <c r="C821" s="234" t="n"/>
      <c r="D821" s="234" t="n"/>
      <c r="E821" s="234" t="n"/>
      <c r="F821" s="234" t="n"/>
      <c r="G821" s="234" t="n"/>
      <c r="H821" s="234" t="n"/>
      <c r="I821" s="234" t="n"/>
      <c r="J821" s="234" t="n"/>
      <c r="K821" s="234" t="n"/>
      <c r="L821" s="234" t="n"/>
      <c r="M821" s="232" t="n"/>
      <c r="N821" s="233" t="n"/>
      <c r="O821" s="232" t="n"/>
      <c r="P821" s="234" t="n"/>
      <c r="Q821" s="234" t="n"/>
      <c r="R821" s="234" t="n"/>
      <c r="S821" s="234" t="n"/>
      <c r="T821" s="234" t="n"/>
      <c r="U821" s="234" t="n"/>
      <c r="V821" s="234" t="n"/>
      <c r="W821" s="234" t="n"/>
    </row>
    <row r="822" ht="54.95" customFormat="1" customHeight="1" s="235">
      <c r="A822" s="232" t="n"/>
      <c r="B822" s="232" t="n"/>
      <c r="C822" s="232" t="n"/>
      <c r="D822" s="233" t="n"/>
      <c r="E822" s="232" t="n"/>
      <c r="F822" s="233" t="n"/>
      <c r="G822" s="233" t="n"/>
      <c r="H822" s="233" t="n"/>
      <c r="I822" s="232" t="n"/>
      <c r="J822" s="233" t="n"/>
      <c r="K822" s="232" t="n"/>
      <c r="L822" s="232" t="n"/>
      <c r="M822" s="232" t="n"/>
      <c r="N822" s="233" t="n"/>
      <c r="O822" s="232" t="n"/>
      <c r="P822" s="233" t="n"/>
      <c r="Q822" s="233" t="n"/>
      <c r="R822" s="233" t="n"/>
      <c r="S822" s="232" t="n"/>
      <c r="T822" s="233" t="n"/>
      <c r="U822" s="233" t="n"/>
      <c r="V822" s="233" t="n"/>
      <c r="W822" s="232" t="n"/>
    </row>
    <row r="823" ht="54.95" customFormat="1" customHeight="1" s="235">
      <c r="A823" s="234" t="n"/>
      <c r="B823" s="234" t="n"/>
      <c r="C823" s="234" t="n"/>
      <c r="D823" s="234" t="n"/>
      <c r="E823" s="234" t="n"/>
      <c r="F823" s="234" t="n"/>
      <c r="G823" s="234" t="n"/>
      <c r="H823" s="234" t="n"/>
      <c r="I823" s="234" t="n"/>
      <c r="J823" s="234" t="n"/>
      <c r="K823" s="234" t="n"/>
      <c r="L823" s="234" t="n"/>
      <c r="M823" s="232" t="n"/>
      <c r="N823" s="233" t="n"/>
      <c r="O823" s="232" t="n"/>
      <c r="P823" s="234" t="n"/>
      <c r="Q823" s="234" t="n"/>
      <c r="R823" s="234" t="n"/>
      <c r="S823" s="234" t="n"/>
      <c r="T823" s="234" t="n"/>
      <c r="U823" s="234" t="n"/>
      <c r="V823" s="234" t="n"/>
      <c r="W823" s="234" t="n"/>
    </row>
    <row r="824" ht="54.95" customFormat="1" customHeight="1" s="235">
      <c r="A824" s="234" t="n"/>
      <c r="B824" s="234" t="n"/>
      <c r="C824" s="234" t="n"/>
      <c r="D824" s="234" t="n"/>
      <c r="E824" s="234" t="n"/>
      <c r="F824" s="234" t="n"/>
      <c r="G824" s="234" t="n"/>
      <c r="H824" s="234" t="n"/>
      <c r="I824" s="234" t="n"/>
      <c r="J824" s="234" t="n"/>
      <c r="K824" s="234" t="n"/>
      <c r="L824" s="234" t="n"/>
      <c r="M824" s="232" t="n"/>
      <c r="N824" s="233" t="n"/>
      <c r="O824" s="232" t="n"/>
      <c r="P824" s="234" t="n"/>
      <c r="Q824" s="234" t="n"/>
      <c r="R824" s="234" t="n"/>
      <c r="S824" s="234" t="n"/>
      <c r="T824" s="234" t="n"/>
      <c r="U824" s="234" t="n"/>
      <c r="V824" s="234" t="n"/>
      <c r="W824" s="234" t="n"/>
    </row>
    <row r="825" ht="54.95" customFormat="1" customHeight="1" s="235">
      <c r="A825" s="232" t="n"/>
      <c r="B825" s="232" t="n"/>
      <c r="C825" s="232" t="n"/>
      <c r="D825" s="233" t="n"/>
      <c r="E825" s="232" t="n"/>
      <c r="F825" s="233" t="n"/>
      <c r="G825" s="233" t="n"/>
      <c r="H825" s="233" t="n"/>
      <c r="I825" s="232" t="n"/>
      <c r="J825" s="233" t="n"/>
      <c r="K825" s="232" t="n"/>
      <c r="L825" s="232" t="n"/>
      <c r="M825" s="232" t="n"/>
      <c r="N825" s="233" t="n"/>
      <c r="O825" s="232" t="n"/>
      <c r="P825" s="233" t="n"/>
      <c r="Q825" s="233" t="n"/>
      <c r="R825" s="233" t="n"/>
      <c r="S825" s="232" t="n"/>
      <c r="T825" s="233" t="n"/>
      <c r="U825" s="233" t="n"/>
      <c r="V825" s="233" t="n"/>
      <c r="W825" s="232" t="n"/>
    </row>
    <row r="826" ht="54.95" customFormat="1" customHeight="1" s="235">
      <c r="A826" s="232" t="n"/>
      <c r="B826" s="232" t="n"/>
      <c r="C826" s="232" t="n"/>
      <c r="D826" s="233" t="n"/>
      <c r="E826" s="232" t="n"/>
      <c r="F826" s="233" t="n"/>
      <c r="G826" s="233" t="n"/>
      <c r="H826" s="233" t="n"/>
      <c r="I826" s="232" t="n"/>
      <c r="J826" s="233" t="n"/>
      <c r="K826" s="232" t="n"/>
      <c r="L826" s="232" t="n"/>
      <c r="M826" s="232" t="n"/>
      <c r="N826" s="233" t="n"/>
      <c r="O826" s="232" t="n"/>
      <c r="P826" s="233" t="n"/>
      <c r="Q826" s="233" t="n"/>
      <c r="R826" s="233" t="n"/>
      <c r="S826" s="232" t="n"/>
      <c r="T826" s="233" t="n"/>
      <c r="U826" s="233" t="n"/>
      <c r="V826" s="233" t="n"/>
      <c r="W826" s="232" t="n"/>
    </row>
    <row r="827" ht="54.95" customFormat="1" customHeight="1" s="235">
      <c r="A827" s="232" t="n"/>
      <c r="B827" s="232" t="n"/>
      <c r="C827" s="232" t="n"/>
      <c r="D827" s="233" t="n"/>
      <c r="E827" s="232" t="n"/>
      <c r="F827" s="233" t="n"/>
      <c r="G827" s="233" t="n"/>
      <c r="H827" s="233" t="n"/>
      <c r="I827" s="232" t="n"/>
      <c r="J827" s="233" t="n"/>
      <c r="K827" s="232" t="n"/>
      <c r="L827" s="232" t="n"/>
      <c r="M827" s="232" t="n"/>
      <c r="N827" s="233" t="n"/>
      <c r="O827" s="232" t="n"/>
      <c r="P827" s="233" t="n"/>
      <c r="Q827" s="233" t="n"/>
      <c r="R827" s="233" t="n"/>
      <c r="S827" s="232" t="n"/>
      <c r="T827" s="233" t="n"/>
      <c r="U827" s="233" t="n"/>
      <c r="V827" s="233" t="n"/>
      <c r="W827" s="232" t="n"/>
    </row>
    <row r="828" ht="54.95" customFormat="1" customHeight="1" s="235">
      <c r="A828" s="232" t="n"/>
      <c r="B828" s="232" t="n"/>
      <c r="C828" s="232" t="n"/>
      <c r="D828" s="233" t="n"/>
      <c r="E828" s="232" t="n"/>
      <c r="F828" s="233" t="n"/>
      <c r="G828" s="233" t="n"/>
      <c r="H828" s="233" t="n"/>
      <c r="I828" s="232" t="n"/>
      <c r="J828" s="233" t="n"/>
      <c r="K828" s="232" t="n"/>
      <c r="L828" s="232" t="n"/>
      <c r="M828" s="232" t="n"/>
      <c r="N828" s="233" t="n"/>
      <c r="O828" s="232" t="n"/>
      <c r="P828" s="233" t="n"/>
      <c r="Q828" s="233" t="n"/>
      <c r="R828" s="233" t="n"/>
      <c r="S828" s="232" t="n"/>
      <c r="T828" s="233" t="n"/>
      <c r="U828" s="233" t="n"/>
      <c r="V828" s="233" t="n"/>
      <c r="W828" s="232" t="n"/>
    </row>
    <row r="829" ht="54.95" customFormat="1" customHeight="1" s="235">
      <c r="A829" s="232" t="n"/>
      <c r="B829" s="232" t="n"/>
      <c r="C829" s="232" t="n"/>
      <c r="D829" s="233" t="n"/>
      <c r="E829" s="232" t="n"/>
      <c r="F829" s="233" t="n"/>
      <c r="G829" s="233" t="n"/>
      <c r="H829" s="233" t="n"/>
      <c r="I829" s="232" t="n"/>
      <c r="J829" s="233" t="n"/>
      <c r="K829" s="232" t="n"/>
      <c r="L829" s="232" t="n"/>
      <c r="M829" s="232" t="n"/>
      <c r="N829" s="233" t="n"/>
      <c r="O829" s="232" t="n"/>
      <c r="P829" s="233" t="n"/>
      <c r="Q829" s="233" t="n"/>
      <c r="R829" s="233" t="n"/>
      <c r="S829" s="232" t="n"/>
      <c r="T829" s="233" t="n"/>
      <c r="U829" s="233" t="n"/>
      <c r="V829" s="233" t="n"/>
      <c r="W829" s="232" t="n"/>
    </row>
    <row r="830" ht="54.95" customFormat="1" customHeight="1" s="235">
      <c r="A830" s="232" t="n"/>
      <c r="B830" s="232" t="n"/>
      <c r="C830" s="232" t="n"/>
      <c r="D830" s="233" t="n"/>
      <c r="E830" s="232" t="n"/>
      <c r="F830" s="233" t="n"/>
      <c r="G830" s="233" t="n"/>
      <c r="H830" s="233" t="n"/>
      <c r="I830" s="232" t="n"/>
      <c r="J830" s="233" t="n"/>
      <c r="K830" s="232" t="n"/>
      <c r="L830" s="232" t="n"/>
      <c r="M830" s="232" t="n"/>
      <c r="N830" s="233" t="n"/>
      <c r="O830" s="232" t="n"/>
      <c r="P830" s="233" t="n"/>
      <c r="Q830" s="233" t="n"/>
      <c r="R830" s="233" t="n"/>
      <c r="S830" s="232" t="n"/>
      <c r="T830" s="233" t="n"/>
      <c r="U830" s="233" t="n"/>
      <c r="V830" s="233" t="n"/>
      <c r="W830" s="232" t="n"/>
    </row>
    <row r="831" ht="54.95" customFormat="1" customHeight="1" s="235">
      <c r="A831" s="234" t="n"/>
      <c r="B831" s="234" t="n"/>
      <c r="C831" s="234" t="n"/>
      <c r="D831" s="234" t="n"/>
      <c r="E831" s="234" t="n"/>
      <c r="F831" s="234" t="n"/>
      <c r="G831" s="234" t="n"/>
      <c r="H831" s="234" t="n"/>
      <c r="I831" s="234" t="n"/>
      <c r="J831" s="234" t="n"/>
      <c r="K831" s="234" t="n"/>
      <c r="L831" s="234" t="n"/>
      <c r="M831" s="232" t="n"/>
      <c r="N831" s="233" t="n"/>
      <c r="O831" s="232" t="n"/>
      <c r="P831" s="234" t="n"/>
      <c r="Q831" s="234" t="n"/>
      <c r="R831" s="234" t="n"/>
      <c r="S831" s="234" t="n"/>
      <c r="T831" s="234" t="n"/>
      <c r="U831" s="234" t="n"/>
      <c r="V831" s="234" t="n"/>
      <c r="W831" s="234" t="n"/>
    </row>
    <row r="832" ht="54.95" customFormat="1" customHeight="1" s="235">
      <c r="A832" s="234" t="n"/>
      <c r="B832" s="234" t="n"/>
      <c r="C832" s="234" t="n"/>
      <c r="D832" s="234" t="n"/>
      <c r="E832" s="234" t="n"/>
      <c r="F832" s="234" t="n"/>
      <c r="G832" s="234" t="n"/>
      <c r="H832" s="234" t="n"/>
      <c r="I832" s="234" t="n"/>
      <c r="J832" s="234" t="n"/>
      <c r="K832" s="234" t="n"/>
      <c r="L832" s="234" t="n"/>
      <c r="M832" s="232" t="n"/>
      <c r="N832" s="233" t="n"/>
      <c r="O832" s="232" t="n"/>
      <c r="P832" s="234" t="n"/>
      <c r="Q832" s="234" t="n"/>
      <c r="R832" s="234" t="n"/>
      <c r="S832" s="234" t="n"/>
      <c r="T832" s="234" t="n"/>
      <c r="U832" s="234" t="n"/>
      <c r="V832" s="234" t="n"/>
      <c r="W832" s="234" t="n"/>
    </row>
    <row r="833" ht="54.95" customFormat="1" customHeight="1" s="235">
      <c r="A833" s="234" t="n"/>
      <c r="B833" s="234" t="n"/>
      <c r="C833" s="234" t="n"/>
      <c r="D833" s="234" t="n"/>
      <c r="E833" s="234" t="n"/>
      <c r="F833" s="234" t="n"/>
      <c r="G833" s="234" t="n"/>
      <c r="H833" s="234" t="n"/>
      <c r="I833" s="234" t="n"/>
      <c r="J833" s="234" t="n"/>
      <c r="K833" s="234" t="n"/>
      <c r="L833" s="234" t="n"/>
      <c r="M833" s="232" t="n"/>
      <c r="N833" s="233" t="n"/>
      <c r="O833" s="232" t="n"/>
      <c r="P833" s="234" t="n"/>
      <c r="Q833" s="234" t="n"/>
      <c r="R833" s="234" t="n"/>
      <c r="S833" s="234" t="n"/>
      <c r="T833" s="234" t="n"/>
      <c r="U833" s="234" t="n"/>
      <c r="V833" s="234" t="n"/>
      <c r="W833" s="234" t="n"/>
    </row>
    <row r="834" ht="54.95" customFormat="1" customHeight="1" s="235">
      <c r="A834" s="232" t="n"/>
      <c r="B834" s="232" t="n"/>
      <c r="C834" s="232" t="n"/>
      <c r="D834" s="233" t="n"/>
      <c r="E834" s="232" t="n"/>
      <c r="F834" s="233" t="n"/>
      <c r="G834" s="233" t="n"/>
      <c r="H834" s="233" t="n"/>
      <c r="I834" s="232" t="n"/>
      <c r="J834" s="233" t="n"/>
      <c r="K834" s="232" t="n"/>
      <c r="L834" s="232" t="n"/>
      <c r="M834" s="232" t="n"/>
      <c r="N834" s="233" t="n"/>
      <c r="O834" s="232" t="n"/>
      <c r="P834" s="233" t="n"/>
      <c r="Q834" s="233" t="n"/>
      <c r="R834" s="233" t="n"/>
      <c r="S834" s="232" t="n"/>
      <c r="T834" s="233" t="n"/>
      <c r="U834" s="233" t="n"/>
      <c r="V834" s="233" t="n"/>
      <c r="W834" s="232" t="n"/>
    </row>
    <row r="835" ht="54.95" customFormat="1" customHeight="1" s="235">
      <c r="A835" s="232" t="n"/>
      <c r="B835" s="232" t="n"/>
      <c r="C835" s="232" t="n"/>
      <c r="D835" s="233" t="n"/>
      <c r="E835" s="232" t="n"/>
      <c r="F835" s="233" t="n"/>
      <c r="G835" s="233" t="n"/>
      <c r="H835" s="233" t="n"/>
      <c r="I835" s="232" t="n"/>
      <c r="J835" s="233" t="n"/>
      <c r="K835" s="232" t="n"/>
      <c r="L835" s="232" t="n"/>
      <c r="M835" s="232" t="n"/>
      <c r="N835" s="233" t="n"/>
      <c r="O835" s="232" t="n"/>
      <c r="P835" s="233" t="n"/>
      <c r="Q835" s="233" t="n"/>
      <c r="R835" s="233" t="n"/>
      <c r="S835" s="232" t="n"/>
      <c r="T835" s="233" t="n"/>
      <c r="U835" s="233" t="n"/>
      <c r="V835" s="233" t="n"/>
      <c r="W835" s="232" t="n"/>
    </row>
    <row r="836" ht="54.95" customFormat="1" customHeight="1" s="235">
      <c r="A836" s="234" t="n"/>
      <c r="B836" s="234" t="n"/>
      <c r="C836" s="234" t="n"/>
      <c r="D836" s="234" t="n"/>
      <c r="E836" s="234" t="n"/>
      <c r="F836" s="234" t="n"/>
      <c r="G836" s="234" t="n"/>
      <c r="H836" s="234" t="n"/>
      <c r="I836" s="234" t="n"/>
      <c r="J836" s="234" t="n"/>
      <c r="K836" s="234" t="n"/>
      <c r="L836" s="234" t="n"/>
      <c r="M836" s="232" t="n"/>
      <c r="N836" s="233" t="n"/>
      <c r="O836" s="232" t="n"/>
      <c r="P836" s="234" t="n"/>
      <c r="Q836" s="234" t="n"/>
      <c r="R836" s="234" t="n"/>
      <c r="S836" s="234" t="n"/>
      <c r="T836" s="234" t="n"/>
      <c r="U836" s="234" t="n"/>
      <c r="V836" s="234" t="n"/>
      <c r="W836" s="234" t="n"/>
    </row>
    <row r="837" ht="54.95" customFormat="1" customHeight="1" s="235">
      <c r="A837" s="234" t="n"/>
      <c r="B837" s="234" t="n"/>
      <c r="C837" s="234" t="n"/>
      <c r="D837" s="234" t="n"/>
      <c r="E837" s="234" t="n"/>
      <c r="F837" s="234" t="n"/>
      <c r="G837" s="234" t="n"/>
      <c r="H837" s="234" t="n"/>
      <c r="I837" s="234" t="n"/>
      <c r="J837" s="234" t="n"/>
      <c r="K837" s="234" t="n"/>
      <c r="L837" s="234" t="n"/>
      <c r="M837" s="232" t="n"/>
      <c r="N837" s="233" t="n"/>
      <c r="O837" s="232" t="n"/>
      <c r="P837" s="234" t="n"/>
      <c r="Q837" s="234" t="n"/>
      <c r="R837" s="234" t="n"/>
      <c r="S837" s="234" t="n"/>
      <c r="T837" s="234" t="n"/>
      <c r="U837" s="234" t="n"/>
      <c r="V837" s="234" t="n"/>
      <c r="W837" s="234" t="n"/>
    </row>
    <row r="838" ht="54.95" customFormat="1" customHeight="1" s="235">
      <c r="A838" s="234" t="n"/>
      <c r="B838" s="234" t="n"/>
      <c r="C838" s="234" t="n"/>
      <c r="D838" s="234" t="n"/>
      <c r="E838" s="234" t="n"/>
      <c r="F838" s="234" t="n"/>
      <c r="G838" s="234" t="n"/>
      <c r="H838" s="234" t="n"/>
      <c r="I838" s="234" t="n"/>
      <c r="J838" s="234" t="n"/>
      <c r="K838" s="234" t="n"/>
      <c r="L838" s="234" t="n"/>
      <c r="M838" s="232" t="n"/>
      <c r="N838" s="233" t="n"/>
      <c r="O838" s="232" t="n"/>
      <c r="P838" s="234" t="n"/>
      <c r="Q838" s="234" t="n"/>
      <c r="R838" s="234" t="n"/>
      <c r="S838" s="234" t="n"/>
      <c r="T838" s="234" t="n"/>
      <c r="U838" s="234" t="n"/>
      <c r="V838" s="234" t="n"/>
      <c r="W838" s="234" t="n"/>
    </row>
    <row r="839" ht="54.95" customFormat="1" customHeight="1" s="235">
      <c r="A839" s="232" t="n"/>
      <c r="B839" s="232" t="n"/>
      <c r="C839" s="232" t="n"/>
      <c r="D839" s="233" t="n"/>
      <c r="E839" s="232" t="n"/>
      <c r="F839" s="233" t="n"/>
      <c r="G839" s="233" t="n"/>
      <c r="H839" s="233" t="n"/>
      <c r="I839" s="232" t="n"/>
      <c r="J839" s="233" t="n"/>
      <c r="K839" s="232" t="n"/>
      <c r="L839" s="232" t="n"/>
      <c r="M839" s="232" t="n"/>
      <c r="N839" s="233" t="n"/>
      <c r="O839" s="232" t="n"/>
      <c r="P839" s="233" t="n"/>
      <c r="Q839" s="233" t="n"/>
      <c r="R839" s="233" t="n"/>
      <c r="S839" s="232" t="n"/>
      <c r="T839" s="233" t="n"/>
      <c r="U839" s="233" t="n"/>
      <c r="V839" s="233" t="n"/>
      <c r="W839" s="232" t="n"/>
    </row>
    <row r="840" ht="54.95" customFormat="1" customHeight="1" s="235">
      <c r="A840" s="232" t="n"/>
      <c r="B840" s="232" t="n"/>
      <c r="C840" s="232" t="n"/>
      <c r="D840" s="233" t="n"/>
      <c r="E840" s="232" t="n"/>
      <c r="F840" s="233" t="n"/>
      <c r="G840" s="233" t="n"/>
      <c r="H840" s="233" t="n"/>
      <c r="I840" s="232" t="n"/>
      <c r="J840" s="233" t="n"/>
      <c r="K840" s="232" t="n"/>
      <c r="L840" s="232" t="n"/>
      <c r="M840" s="232" t="n"/>
      <c r="N840" s="233" t="n"/>
      <c r="O840" s="232" t="n"/>
      <c r="P840" s="233" t="n"/>
      <c r="Q840" s="233" t="n"/>
      <c r="R840" s="233" t="n"/>
      <c r="S840" s="232" t="n"/>
      <c r="T840" s="233" t="n"/>
      <c r="U840" s="233" t="n"/>
      <c r="V840" s="233" t="n"/>
      <c r="W840" s="232" t="n"/>
    </row>
    <row r="841" ht="54.95" customFormat="1" customHeight="1" s="235">
      <c r="A841" s="232" t="n"/>
      <c r="B841" s="232" t="n"/>
      <c r="C841" s="232" t="n"/>
      <c r="D841" s="233" t="n"/>
      <c r="E841" s="232" t="n"/>
      <c r="F841" s="233" t="n"/>
      <c r="G841" s="233" t="n"/>
      <c r="H841" s="233" t="n"/>
      <c r="I841" s="232" t="n"/>
      <c r="J841" s="233" t="n"/>
      <c r="K841" s="232" t="n"/>
      <c r="L841" s="232" t="n"/>
      <c r="M841" s="232" t="n"/>
      <c r="N841" s="233" t="n"/>
      <c r="O841" s="232" t="n"/>
      <c r="P841" s="233" t="n"/>
      <c r="Q841" s="233" t="n"/>
      <c r="R841" s="233" t="n"/>
      <c r="S841" s="232" t="n"/>
      <c r="T841" s="233" t="n"/>
      <c r="U841" s="233" t="n"/>
      <c r="V841" s="233" t="n"/>
      <c r="W841" s="232" t="n"/>
    </row>
    <row r="842" ht="54.95" customFormat="1" customHeight="1" s="235">
      <c r="A842" s="232" t="n"/>
      <c r="B842" s="232" t="n"/>
      <c r="C842" s="232" t="n"/>
      <c r="D842" s="233" t="n"/>
      <c r="E842" s="232" t="n"/>
      <c r="F842" s="233" t="n"/>
      <c r="G842" s="233" t="n"/>
      <c r="H842" s="233" t="n"/>
      <c r="I842" s="232" t="n"/>
      <c r="J842" s="233" t="n"/>
      <c r="K842" s="232" t="n"/>
      <c r="L842" s="232" t="n"/>
      <c r="M842" s="232" t="n"/>
      <c r="N842" s="233" t="n"/>
      <c r="O842" s="232" t="n"/>
      <c r="P842" s="233" t="n"/>
      <c r="Q842" s="233" t="n"/>
      <c r="R842" s="233" t="n"/>
      <c r="S842" s="232" t="n"/>
      <c r="T842" s="233" t="n"/>
      <c r="U842" s="233" t="n"/>
      <c r="V842" s="233" t="n"/>
      <c r="W842" s="232" t="n"/>
    </row>
    <row r="843" ht="54.95" customFormat="1" customHeight="1" s="235">
      <c r="A843" s="232" t="n"/>
      <c r="B843" s="232" t="n"/>
      <c r="C843" s="232" t="n"/>
      <c r="D843" s="233" t="n"/>
      <c r="E843" s="232" t="n"/>
      <c r="F843" s="233" t="n"/>
      <c r="G843" s="233" t="n"/>
      <c r="H843" s="233" t="n"/>
      <c r="I843" s="232" t="n"/>
      <c r="J843" s="233" t="n"/>
      <c r="K843" s="232" t="n"/>
      <c r="L843" s="232" t="n"/>
      <c r="M843" s="232" t="n"/>
      <c r="N843" s="233" t="n"/>
      <c r="O843" s="232" t="n"/>
      <c r="P843" s="233" t="n"/>
      <c r="Q843" s="233" t="n"/>
      <c r="R843" s="233" t="n"/>
      <c r="S843" s="232" t="n"/>
      <c r="T843" s="233" t="n"/>
      <c r="U843" s="233" t="n"/>
      <c r="V843" s="233" t="n"/>
      <c r="W843" s="232" t="n"/>
    </row>
    <row r="844" ht="54.95" customFormat="1" customHeight="1" s="235">
      <c r="A844" s="234" t="n"/>
      <c r="B844" s="234" t="n"/>
      <c r="C844" s="234" t="n"/>
      <c r="D844" s="234" t="n"/>
      <c r="E844" s="234" t="n"/>
      <c r="F844" s="234" t="n"/>
      <c r="G844" s="234" t="n"/>
      <c r="H844" s="234" t="n"/>
      <c r="I844" s="234" t="n"/>
      <c r="J844" s="234" t="n"/>
      <c r="K844" s="234" t="n"/>
      <c r="L844" s="234" t="n"/>
      <c r="M844" s="232" t="n"/>
      <c r="N844" s="233" t="n"/>
      <c r="O844" s="232" t="n"/>
      <c r="P844" s="234" t="n"/>
      <c r="Q844" s="234" t="n"/>
      <c r="R844" s="234" t="n"/>
      <c r="S844" s="234" t="n"/>
      <c r="T844" s="234" t="n"/>
      <c r="U844" s="234" t="n"/>
      <c r="V844" s="234" t="n"/>
      <c r="W844" s="234" t="n"/>
    </row>
    <row r="845" ht="54.95" customFormat="1" customHeight="1" s="235">
      <c r="A845" s="234" t="n"/>
      <c r="B845" s="234" t="n"/>
      <c r="C845" s="234" t="n"/>
      <c r="D845" s="234" t="n"/>
      <c r="E845" s="234" t="n"/>
      <c r="F845" s="234" t="n"/>
      <c r="G845" s="234" t="n"/>
      <c r="H845" s="234" t="n"/>
      <c r="I845" s="234" t="n"/>
      <c r="J845" s="234" t="n"/>
      <c r="K845" s="234" t="n"/>
      <c r="L845" s="234" t="n"/>
      <c r="M845" s="232" t="n"/>
      <c r="N845" s="233" t="n"/>
      <c r="O845" s="232" t="n"/>
      <c r="P845" s="234" t="n"/>
      <c r="Q845" s="234" t="n"/>
      <c r="R845" s="234" t="n"/>
      <c r="S845" s="234" t="n"/>
      <c r="T845" s="234" t="n"/>
      <c r="U845" s="234" t="n"/>
      <c r="V845" s="234" t="n"/>
      <c r="W845" s="234" t="n"/>
    </row>
    <row r="846" ht="54.95" customFormat="1" customHeight="1" s="235">
      <c r="A846" s="232" t="n"/>
      <c r="B846" s="232" t="n"/>
      <c r="C846" s="232" t="n"/>
      <c r="D846" s="233" t="n"/>
      <c r="E846" s="232" t="n"/>
      <c r="F846" s="233" t="n"/>
      <c r="G846" s="233" t="n"/>
      <c r="H846" s="233" t="n"/>
      <c r="I846" s="232" t="n"/>
      <c r="J846" s="233" t="n"/>
      <c r="K846" s="232" t="n"/>
      <c r="L846" s="232" t="n"/>
      <c r="M846" s="232" t="n"/>
      <c r="N846" s="233" t="n"/>
      <c r="O846" s="232" t="n"/>
      <c r="P846" s="233" t="n"/>
      <c r="Q846" s="233" t="n"/>
      <c r="R846" s="233" t="n"/>
      <c r="S846" s="232" t="n"/>
      <c r="T846" s="233" t="n"/>
      <c r="U846" s="233" t="n"/>
      <c r="V846" s="233" t="n"/>
      <c r="W846" s="232" t="n"/>
    </row>
    <row r="847" ht="54.95" customFormat="1" customHeight="1" s="235">
      <c r="A847" s="232" t="n"/>
      <c r="B847" s="232" t="n"/>
      <c r="C847" s="232" t="n"/>
      <c r="D847" s="233" t="n"/>
      <c r="E847" s="232" t="n"/>
      <c r="F847" s="233" t="n"/>
      <c r="G847" s="233" t="n"/>
      <c r="H847" s="233" t="n"/>
      <c r="I847" s="232" t="n"/>
      <c r="J847" s="233" t="n"/>
      <c r="K847" s="232" t="n"/>
      <c r="L847" s="232" t="n"/>
      <c r="M847" s="232" t="n"/>
      <c r="N847" s="233" t="n"/>
      <c r="O847" s="232" t="n"/>
      <c r="P847" s="233" t="n"/>
      <c r="Q847" s="233" t="n"/>
      <c r="R847" s="233" t="n"/>
      <c r="S847" s="232" t="n"/>
      <c r="T847" s="233" t="n"/>
      <c r="U847" s="233" t="n"/>
      <c r="V847" s="233" t="n"/>
      <c r="W847" s="232" t="n"/>
    </row>
    <row r="848" ht="54.95" customFormat="1" customHeight="1" s="235">
      <c r="A848" s="232" t="n"/>
      <c r="B848" s="232" t="n"/>
      <c r="C848" s="232" t="n"/>
      <c r="D848" s="233" t="n"/>
      <c r="E848" s="232" t="n"/>
      <c r="F848" s="233" t="n"/>
      <c r="G848" s="233" t="n"/>
      <c r="H848" s="233" t="n"/>
      <c r="I848" s="232" t="n"/>
      <c r="J848" s="233" t="n"/>
      <c r="K848" s="232" t="n"/>
      <c r="L848" s="232" t="n"/>
      <c r="M848" s="232" t="n"/>
      <c r="N848" s="233" t="n"/>
      <c r="O848" s="232" t="n"/>
      <c r="P848" s="233" t="n"/>
      <c r="Q848" s="233" t="n"/>
      <c r="R848" s="233" t="n"/>
      <c r="S848" s="232" t="n"/>
      <c r="T848" s="233" t="n"/>
      <c r="U848" s="233" t="n"/>
      <c r="V848" s="233" t="n"/>
      <c r="W848" s="232" t="n"/>
    </row>
    <row r="849" ht="54.95" customFormat="1" customHeight="1" s="235">
      <c r="A849" s="234" t="n"/>
      <c r="B849" s="234" t="n"/>
      <c r="C849" s="234" t="n"/>
      <c r="D849" s="234" t="n"/>
      <c r="E849" s="234" t="n"/>
      <c r="F849" s="234" t="n"/>
      <c r="G849" s="234" t="n"/>
      <c r="H849" s="234" t="n"/>
      <c r="I849" s="234" t="n"/>
      <c r="J849" s="234" t="n"/>
      <c r="K849" s="234" t="n"/>
      <c r="L849" s="234" t="n"/>
      <c r="M849" s="232" t="n"/>
      <c r="N849" s="233" t="n"/>
      <c r="O849" s="232" t="n"/>
      <c r="P849" s="234" t="n"/>
      <c r="Q849" s="234" t="n"/>
      <c r="R849" s="234" t="n"/>
      <c r="S849" s="234" t="n"/>
      <c r="T849" s="234" t="n"/>
      <c r="U849" s="234" t="n"/>
      <c r="V849" s="234" t="n"/>
      <c r="W849" s="234" t="n"/>
    </row>
    <row r="850" ht="54.95" customFormat="1" customHeight="1" s="235">
      <c r="A850" s="232" t="n"/>
      <c r="B850" s="232" t="n"/>
      <c r="C850" s="232" t="n"/>
      <c r="D850" s="233" t="n"/>
      <c r="E850" s="232" t="n"/>
      <c r="F850" s="233" t="n"/>
      <c r="G850" s="233" t="n"/>
      <c r="H850" s="233" t="n"/>
      <c r="I850" s="232" t="n"/>
      <c r="J850" s="233" t="n"/>
      <c r="K850" s="232" t="n"/>
      <c r="L850" s="232" t="n"/>
      <c r="M850" s="232" t="n"/>
      <c r="N850" s="233" t="n"/>
      <c r="O850" s="232" t="n"/>
      <c r="P850" s="233" t="n"/>
      <c r="Q850" s="233" t="n"/>
      <c r="R850" s="233" t="n"/>
      <c r="S850" s="232" t="n"/>
      <c r="T850" s="233" t="n"/>
      <c r="U850" s="233" t="n"/>
      <c r="V850" s="233" t="n"/>
      <c r="W850" s="232" t="n"/>
    </row>
    <row r="851" ht="54.95" customFormat="1" customHeight="1" s="235">
      <c r="A851" s="232" t="n"/>
      <c r="B851" s="232" t="n"/>
      <c r="C851" s="232" t="n"/>
      <c r="D851" s="233" t="n"/>
      <c r="E851" s="232" t="n"/>
      <c r="F851" s="233" t="n"/>
      <c r="G851" s="233" t="n"/>
      <c r="H851" s="233" t="n"/>
      <c r="I851" s="232" t="n"/>
      <c r="J851" s="233" t="n"/>
      <c r="K851" s="232" t="n"/>
      <c r="L851" s="232" t="n"/>
      <c r="M851" s="232" t="n"/>
      <c r="N851" s="233" t="n"/>
      <c r="O851" s="232" t="n"/>
      <c r="P851" s="233" t="n"/>
      <c r="Q851" s="233" t="n"/>
      <c r="R851" s="233" t="n"/>
      <c r="S851" s="232" t="n"/>
      <c r="T851" s="233" t="n"/>
      <c r="U851" s="233" t="n"/>
      <c r="V851" s="233" t="n"/>
      <c r="W851" s="232" t="n"/>
    </row>
    <row r="852" ht="54.95" customFormat="1" customHeight="1" s="235">
      <c r="A852" s="232" t="n"/>
      <c r="B852" s="232" t="n"/>
      <c r="C852" s="232" t="n"/>
      <c r="D852" s="233" t="n"/>
      <c r="E852" s="232" t="n"/>
      <c r="F852" s="233" t="n"/>
      <c r="G852" s="233" t="n"/>
      <c r="H852" s="233" t="n"/>
      <c r="I852" s="232" t="n"/>
      <c r="J852" s="233" t="n"/>
      <c r="K852" s="232" t="n"/>
      <c r="L852" s="232" t="n"/>
      <c r="M852" s="232" t="n"/>
      <c r="N852" s="233" t="n"/>
      <c r="O852" s="232" t="n"/>
      <c r="P852" s="233" t="n"/>
      <c r="Q852" s="233" t="n"/>
      <c r="R852" s="233" t="n"/>
      <c r="S852" s="232" t="n"/>
      <c r="T852" s="233" t="n"/>
      <c r="U852" s="233" t="n"/>
      <c r="V852" s="233" t="n"/>
      <c r="W852" s="232" t="n"/>
    </row>
    <row r="853" ht="54.95" customFormat="1" customHeight="1" s="235">
      <c r="A853" s="232" t="n"/>
      <c r="B853" s="232" t="n"/>
      <c r="C853" s="232" t="n"/>
      <c r="D853" s="233" t="n"/>
      <c r="E853" s="232" t="n"/>
      <c r="F853" s="233" t="n"/>
      <c r="G853" s="233" t="n"/>
      <c r="H853" s="233" t="n"/>
      <c r="I853" s="232" t="n"/>
      <c r="J853" s="233" t="n"/>
      <c r="K853" s="232" t="n"/>
      <c r="L853" s="232" t="n"/>
      <c r="M853" s="232" t="n"/>
      <c r="N853" s="233" t="n"/>
      <c r="O853" s="232" t="n"/>
      <c r="P853" s="233" t="n"/>
      <c r="Q853" s="233" t="n"/>
      <c r="R853" s="233" t="n"/>
      <c r="S853" s="232" t="n"/>
      <c r="T853" s="233" t="n"/>
      <c r="U853" s="233" t="n"/>
      <c r="V853" s="233" t="n"/>
      <c r="W853" s="232" t="n"/>
    </row>
    <row r="854" ht="54.95" customFormat="1" customHeight="1" s="235">
      <c r="A854" s="232" t="n"/>
      <c r="B854" s="232" t="n"/>
      <c r="C854" s="232" t="n"/>
      <c r="D854" s="233" t="n"/>
      <c r="E854" s="232" t="n"/>
      <c r="F854" s="233" t="n"/>
      <c r="G854" s="233" t="n"/>
      <c r="H854" s="233" t="n"/>
      <c r="I854" s="232" t="n"/>
      <c r="J854" s="233" t="n"/>
      <c r="K854" s="232" t="n"/>
      <c r="L854" s="232" t="n"/>
      <c r="M854" s="232" t="n"/>
      <c r="N854" s="233" t="n"/>
      <c r="O854" s="232" t="n"/>
      <c r="P854" s="233" t="n"/>
      <c r="Q854" s="233" t="n"/>
      <c r="R854" s="233" t="n"/>
      <c r="S854" s="232" t="n"/>
      <c r="T854" s="233" t="n"/>
      <c r="U854" s="233" t="n"/>
      <c r="V854" s="233" t="n"/>
      <c r="W854" s="232" t="n"/>
    </row>
    <row r="855" ht="54.95" customFormat="1" customHeight="1" s="235">
      <c r="A855" s="232" t="n"/>
      <c r="B855" s="232" t="n"/>
      <c r="C855" s="232" t="n"/>
      <c r="D855" s="233" t="n"/>
      <c r="E855" s="232" t="n"/>
      <c r="F855" s="233" t="n"/>
      <c r="G855" s="233" t="n"/>
      <c r="H855" s="233" t="n"/>
      <c r="I855" s="232" t="n"/>
      <c r="J855" s="233" t="n"/>
      <c r="K855" s="232" t="n"/>
      <c r="L855" s="232" t="n"/>
      <c r="M855" s="232" t="n"/>
      <c r="N855" s="233" t="n"/>
      <c r="O855" s="232" t="n"/>
      <c r="P855" s="233" t="n"/>
      <c r="Q855" s="233" t="n"/>
      <c r="R855" s="233" t="n"/>
      <c r="S855" s="232" t="n"/>
      <c r="T855" s="233" t="n"/>
      <c r="U855" s="233" t="n"/>
      <c r="V855" s="233" t="n"/>
      <c r="W855" s="232" t="n"/>
    </row>
    <row r="856" ht="54.95" customFormat="1" customHeight="1" s="235">
      <c r="A856" s="234" t="n"/>
      <c r="B856" s="234" t="n"/>
      <c r="C856" s="234" t="n"/>
      <c r="D856" s="234" t="n"/>
      <c r="E856" s="234" t="n"/>
      <c r="F856" s="234" t="n"/>
      <c r="G856" s="234" t="n"/>
      <c r="H856" s="234" t="n"/>
      <c r="I856" s="234" t="n"/>
      <c r="J856" s="234" t="n"/>
      <c r="K856" s="234" t="n"/>
      <c r="L856" s="234" t="n"/>
      <c r="M856" s="232" t="n"/>
      <c r="N856" s="233" t="n"/>
      <c r="O856" s="232" t="n"/>
      <c r="P856" s="234" t="n"/>
      <c r="Q856" s="234" t="n"/>
      <c r="R856" s="234" t="n"/>
      <c r="S856" s="234" t="n"/>
      <c r="T856" s="234" t="n"/>
      <c r="U856" s="234" t="n"/>
      <c r="V856" s="234" t="n"/>
      <c r="W856" s="234" t="n"/>
    </row>
    <row r="857" ht="54.95" customFormat="1" customHeight="1" s="235">
      <c r="A857" s="232" t="n"/>
      <c r="B857" s="232" t="n"/>
      <c r="C857" s="232" t="n"/>
      <c r="D857" s="233" t="n"/>
      <c r="E857" s="232" t="n"/>
      <c r="F857" s="233" t="n"/>
      <c r="G857" s="233" t="n"/>
      <c r="H857" s="233" t="n"/>
      <c r="I857" s="232" t="n"/>
      <c r="J857" s="233" t="n"/>
      <c r="K857" s="232" t="n"/>
      <c r="L857" s="232" t="n"/>
      <c r="M857" s="232" t="n"/>
      <c r="N857" s="233" t="n"/>
      <c r="O857" s="232" t="n"/>
      <c r="P857" s="233" t="n"/>
      <c r="Q857" s="233" t="n"/>
      <c r="R857" s="233" t="n"/>
      <c r="S857" s="232" t="n"/>
      <c r="T857" s="233" t="n"/>
      <c r="U857" s="233" t="n"/>
      <c r="V857" s="233" t="n"/>
      <c r="W857" s="232" t="n"/>
    </row>
    <row r="858" ht="54.95" customFormat="1" customHeight="1" s="235">
      <c r="A858" s="234" t="n"/>
      <c r="B858" s="234" t="n"/>
      <c r="C858" s="234" t="n"/>
      <c r="D858" s="234" t="n"/>
      <c r="E858" s="234" t="n"/>
      <c r="F858" s="234" t="n"/>
      <c r="G858" s="234" t="n"/>
      <c r="H858" s="234" t="n"/>
      <c r="I858" s="234" t="n"/>
      <c r="J858" s="234" t="n"/>
      <c r="K858" s="234" t="n"/>
      <c r="L858" s="234" t="n"/>
      <c r="M858" s="232" t="n"/>
      <c r="N858" s="233" t="n"/>
      <c r="O858" s="232" t="n"/>
      <c r="P858" s="234" t="n"/>
      <c r="Q858" s="234" t="n"/>
      <c r="R858" s="234" t="n"/>
      <c r="S858" s="234" t="n"/>
      <c r="T858" s="234" t="n"/>
      <c r="U858" s="234" t="n"/>
      <c r="V858" s="234" t="n"/>
      <c r="W858" s="234" t="n"/>
    </row>
    <row r="859" ht="54.95" customFormat="1" customHeight="1" s="235">
      <c r="A859" s="232" t="n"/>
      <c r="B859" s="232" t="n"/>
      <c r="C859" s="232" t="n"/>
      <c r="D859" s="233" t="n"/>
      <c r="E859" s="232" t="n"/>
      <c r="F859" s="233" t="n"/>
      <c r="G859" s="233" t="n"/>
      <c r="H859" s="233" t="n"/>
      <c r="I859" s="232" t="n"/>
      <c r="J859" s="233" t="n"/>
      <c r="K859" s="232" t="n"/>
      <c r="L859" s="232" t="n"/>
      <c r="M859" s="232" t="n"/>
      <c r="N859" s="233" t="n"/>
      <c r="O859" s="232" t="n"/>
      <c r="P859" s="233" t="n"/>
      <c r="Q859" s="233" t="n"/>
      <c r="R859" s="233" t="n"/>
      <c r="S859" s="232" t="n"/>
      <c r="T859" s="233" t="n"/>
      <c r="U859" s="233" t="n"/>
      <c r="V859" s="233" t="n"/>
      <c r="W859" s="232" t="n"/>
    </row>
    <row r="860" ht="54.95" customFormat="1" customHeight="1" s="235">
      <c r="A860" s="232" t="n"/>
      <c r="B860" s="232" t="n"/>
      <c r="C860" s="232" t="n"/>
      <c r="D860" s="233" t="n"/>
      <c r="E860" s="232" t="n"/>
      <c r="F860" s="233" t="n"/>
      <c r="G860" s="233" t="n"/>
      <c r="H860" s="233" t="n"/>
      <c r="I860" s="232" t="n"/>
      <c r="J860" s="233" t="n"/>
      <c r="K860" s="232" t="n"/>
      <c r="L860" s="232" t="n"/>
      <c r="M860" s="232" t="n"/>
      <c r="N860" s="233" t="n"/>
      <c r="O860" s="232" t="n"/>
      <c r="P860" s="233" t="n"/>
      <c r="Q860" s="233" t="n"/>
      <c r="R860" s="233" t="n"/>
      <c r="S860" s="232" t="n"/>
      <c r="T860" s="233" t="n"/>
      <c r="U860" s="233" t="n"/>
      <c r="V860" s="233" t="n"/>
      <c r="W860" s="232" t="n"/>
    </row>
    <row r="861" ht="54.95" customFormat="1" customHeight="1" s="235">
      <c r="A861" s="232" t="n"/>
      <c r="B861" s="232" t="n"/>
      <c r="C861" s="232" t="n"/>
      <c r="D861" s="233" t="n"/>
      <c r="E861" s="232" t="n"/>
      <c r="F861" s="233" t="n"/>
      <c r="G861" s="233" t="n"/>
      <c r="H861" s="233" t="n"/>
      <c r="I861" s="232" t="n"/>
      <c r="J861" s="233" t="n"/>
      <c r="K861" s="232" t="n"/>
      <c r="L861" s="232" t="n"/>
      <c r="M861" s="232" t="n"/>
      <c r="N861" s="233" t="n"/>
      <c r="O861" s="232" t="n"/>
      <c r="P861" s="233" t="n"/>
      <c r="Q861" s="233" t="n"/>
      <c r="R861" s="233" t="n"/>
      <c r="S861" s="232" t="n"/>
      <c r="T861" s="233" t="n"/>
      <c r="U861" s="233" t="n"/>
      <c r="V861" s="233" t="n"/>
      <c r="W861" s="232" t="n"/>
    </row>
    <row r="862" ht="54.95" customFormat="1" customHeight="1" s="235">
      <c r="A862" s="234" t="n"/>
      <c r="B862" s="234" t="n"/>
      <c r="C862" s="234" t="n"/>
      <c r="D862" s="234" t="n"/>
      <c r="E862" s="234" t="n"/>
      <c r="F862" s="234" t="n"/>
      <c r="G862" s="234" t="n"/>
      <c r="H862" s="234" t="n"/>
      <c r="I862" s="234" t="n"/>
      <c r="J862" s="234" t="n"/>
      <c r="K862" s="234" t="n"/>
      <c r="L862" s="234" t="n"/>
      <c r="M862" s="232" t="n"/>
      <c r="N862" s="233" t="n"/>
      <c r="O862" s="232" t="n"/>
      <c r="P862" s="234" t="n"/>
      <c r="Q862" s="234" t="n"/>
      <c r="R862" s="234" t="n"/>
      <c r="S862" s="234" t="n"/>
      <c r="T862" s="234" t="n"/>
      <c r="U862" s="234" t="n"/>
      <c r="V862" s="234" t="n"/>
      <c r="W862" s="234" t="n"/>
    </row>
    <row r="863" ht="54.95" customFormat="1" customHeight="1" s="235">
      <c r="A863" s="234" t="n"/>
      <c r="B863" s="234" t="n"/>
      <c r="C863" s="234" t="n"/>
      <c r="D863" s="234" t="n"/>
      <c r="E863" s="234" t="n"/>
      <c r="F863" s="234" t="n"/>
      <c r="G863" s="234" t="n"/>
      <c r="H863" s="234" t="n"/>
      <c r="I863" s="234" t="n"/>
      <c r="J863" s="234" t="n"/>
      <c r="K863" s="234" t="n"/>
      <c r="L863" s="234" t="n"/>
      <c r="M863" s="232" t="n"/>
      <c r="N863" s="233" t="n"/>
      <c r="O863" s="232" t="n"/>
      <c r="P863" s="234" t="n"/>
      <c r="Q863" s="234" t="n"/>
      <c r="R863" s="234" t="n"/>
      <c r="S863" s="234" t="n"/>
      <c r="T863" s="234" t="n"/>
      <c r="U863" s="234" t="n"/>
      <c r="V863" s="234" t="n"/>
      <c r="W863" s="234" t="n"/>
    </row>
    <row r="864" ht="54.95" customFormat="1" customHeight="1" s="235">
      <c r="A864" s="234" t="n"/>
      <c r="B864" s="234" t="n"/>
      <c r="C864" s="234" t="n"/>
      <c r="D864" s="234" t="n"/>
      <c r="E864" s="234" t="n"/>
      <c r="F864" s="234" t="n"/>
      <c r="G864" s="234" t="n"/>
      <c r="H864" s="234" t="n"/>
      <c r="I864" s="234" t="n"/>
      <c r="J864" s="234" t="n"/>
      <c r="K864" s="234" t="n"/>
      <c r="L864" s="234" t="n"/>
      <c r="M864" s="232" t="n"/>
      <c r="N864" s="233" t="n"/>
      <c r="O864" s="232" t="n"/>
      <c r="P864" s="234" t="n"/>
      <c r="Q864" s="234" t="n"/>
      <c r="R864" s="234" t="n"/>
      <c r="S864" s="234" t="n"/>
      <c r="T864" s="234" t="n"/>
      <c r="U864" s="234" t="n"/>
      <c r="V864" s="234" t="n"/>
      <c r="W864" s="234" t="n"/>
    </row>
    <row r="865" ht="54.95" customFormat="1" customHeight="1" s="235">
      <c r="A865" s="234" t="n"/>
      <c r="B865" s="234" t="n"/>
      <c r="C865" s="234" t="n"/>
      <c r="D865" s="234" t="n"/>
      <c r="E865" s="234" t="n"/>
      <c r="F865" s="234" t="n"/>
      <c r="G865" s="234" t="n"/>
      <c r="H865" s="234" t="n"/>
      <c r="I865" s="234" t="n"/>
      <c r="J865" s="234" t="n"/>
      <c r="K865" s="234" t="n"/>
      <c r="L865" s="234" t="n"/>
      <c r="M865" s="232" t="n"/>
      <c r="N865" s="233" t="n"/>
      <c r="O865" s="232" t="n"/>
      <c r="P865" s="234" t="n"/>
      <c r="Q865" s="234" t="n"/>
      <c r="R865" s="234" t="n"/>
      <c r="S865" s="234" t="n"/>
      <c r="T865" s="234" t="n"/>
      <c r="U865" s="234" t="n"/>
      <c r="V865" s="234" t="n"/>
      <c r="W865" s="234" t="n"/>
    </row>
    <row r="866" ht="54.95" customFormat="1" customHeight="1" s="235">
      <c r="A866" s="234" t="n"/>
      <c r="B866" s="234" t="n"/>
      <c r="C866" s="234" t="n"/>
      <c r="D866" s="234" t="n"/>
      <c r="E866" s="234" t="n"/>
      <c r="F866" s="234" t="n"/>
      <c r="G866" s="234" t="n"/>
      <c r="H866" s="234" t="n"/>
      <c r="I866" s="234" t="n"/>
      <c r="J866" s="234" t="n"/>
      <c r="K866" s="234" t="n"/>
      <c r="L866" s="234" t="n"/>
      <c r="M866" s="232" t="n"/>
      <c r="N866" s="233" t="n"/>
      <c r="O866" s="232" t="n"/>
      <c r="P866" s="234" t="n"/>
      <c r="Q866" s="234" t="n"/>
      <c r="R866" s="234" t="n"/>
      <c r="S866" s="234" t="n"/>
      <c r="T866" s="234" t="n"/>
      <c r="U866" s="234" t="n"/>
      <c r="V866" s="234" t="n"/>
      <c r="W866" s="234" t="n"/>
    </row>
    <row r="867" ht="54.95" customFormat="1" customHeight="1" s="235">
      <c r="A867" s="234" t="n"/>
      <c r="B867" s="234" t="n"/>
      <c r="C867" s="234" t="n"/>
      <c r="D867" s="234" t="n"/>
      <c r="E867" s="234" t="n"/>
      <c r="F867" s="234" t="n"/>
      <c r="G867" s="234" t="n"/>
      <c r="H867" s="234" t="n"/>
      <c r="I867" s="234" t="n"/>
      <c r="J867" s="234" t="n"/>
      <c r="K867" s="234" t="n"/>
      <c r="L867" s="234" t="n"/>
      <c r="M867" s="232" t="n"/>
      <c r="N867" s="233" t="n"/>
      <c r="O867" s="232" t="n"/>
      <c r="P867" s="234" t="n"/>
      <c r="Q867" s="234" t="n"/>
      <c r="R867" s="234" t="n"/>
      <c r="S867" s="234" t="n"/>
      <c r="T867" s="234" t="n"/>
      <c r="U867" s="234" t="n"/>
      <c r="V867" s="234" t="n"/>
      <c r="W867" s="234" t="n"/>
    </row>
    <row r="868" ht="54.95" customFormat="1" customHeight="1" s="235">
      <c r="A868" s="232" t="n"/>
      <c r="B868" s="232" t="n"/>
      <c r="C868" s="232" t="n"/>
      <c r="D868" s="233" t="n"/>
      <c r="E868" s="232" t="n"/>
      <c r="F868" s="233" t="n"/>
      <c r="G868" s="233" t="n"/>
      <c r="H868" s="233" t="n"/>
      <c r="I868" s="232" t="n"/>
      <c r="J868" s="233" t="n"/>
      <c r="K868" s="232" t="n"/>
      <c r="L868" s="232" t="n"/>
      <c r="M868" s="232" t="n"/>
      <c r="N868" s="233" t="n"/>
      <c r="O868" s="232" t="n"/>
      <c r="P868" s="233" t="n"/>
      <c r="Q868" s="233" t="n"/>
      <c r="R868" s="233" t="n"/>
      <c r="S868" s="232" t="n"/>
      <c r="T868" s="233" t="n"/>
      <c r="U868" s="233" t="n"/>
      <c r="V868" s="233" t="n"/>
      <c r="W868" s="232" t="n"/>
    </row>
    <row r="869" ht="54.95" customFormat="1" customHeight="1" s="235">
      <c r="A869" s="232" t="n"/>
      <c r="B869" s="232" t="n"/>
      <c r="C869" s="232" t="n"/>
      <c r="D869" s="233" t="n"/>
      <c r="E869" s="232" t="n"/>
      <c r="F869" s="233" t="n"/>
      <c r="G869" s="233" t="n"/>
      <c r="H869" s="233" t="n"/>
      <c r="I869" s="232" t="n"/>
      <c r="J869" s="233" t="n"/>
      <c r="K869" s="232" t="n"/>
      <c r="L869" s="232" t="n"/>
      <c r="M869" s="232" t="n"/>
      <c r="N869" s="233" t="n"/>
      <c r="O869" s="232" t="n"/>
      <c r="P869" s="233" t="n"/>
      <c r="Q869" s="233" t="n"/>
      <c r="R869" s="233" t="n"/>
      <c r="S869" s="232" t="n"/>
      <c r="T869" s="233" t="n"/>
      <c r="U869" s="233" t="n"/>
      <c r="V869" s="233" t="n"/>
      <c r="W869" s="232" t="n"/>
    </row>
    <row r="870" ht="54.95" customFormat="1" customHeight="1" s="235">
      <c r="A870" s="234" t="n"/>
      <c r="B870" s="234" t="n"/>
      <c r="C870" s="234" t="n"/>
      <c r="D870" s="234" t="n"/>
      <c r="E870" s="234" t="n"/>
      <c r="F870" s="234" t="n"/>
      <c r="G870" s="234" t="n"/>
      <c r="H870" s="234" t="n"/>
      <c r="I870" s="234" t="n"/>
      <c r="J870" s="234" t="n"/>
      <c r="K870" s="234" t="n"/>
      <c r="L870" s="234" t="n"/>
      <c r="M870" s="232" t="n"/>
      <c r="N870" s="233" t="n"/>
      <c r="O870" s="232" t="n"/>
      <c r="P870" s="234" t="n"/>
      <c r="Q870" s="234" t="n"/>
      <c r="R870" s="234" t="n"/>
      <c r="S870" s="234" t="n"/>
      <c r="T870" s="234" t="n"/>
      <c r="U870" s="234" t="n"/>
      <c r="V870" s="234" t="n"/>
      <c r="W870" s="234" t="n"/>
    </row>
    <row r="871" ht="54.95" customFormat="1" customHeight="1" s="235">
      <c r="A871" s="232" t="n"/>
      <c r="B871" s="232" t="n"/>
      <c r="C871" s="232" t="n"/>
      <c r="D871" s="233" t="n"/>
      <c r="E871" s="232" t="n"/>
      <c r="F871" s="233" t="n"/>
      <c r="G871" s="233" t="n"/>
      <c r="H871" s="233" t="n"/>
      <c r="I871" s="232" t="n"/>
      <c r="J871" s="233" t="n"/>
      <c r="K871" s="232" t="n"/>
      <c r="L871" s="232" t="n"/>
      <c r="M871" s="232" t="n"/>
      <c r="N871" s="233" t="n"/>
      <c r="O871" s="232" t="n"/>
      <c r="P871" s="233" t="n"/>
      <c r="Q871" s="233" t="n"/>
      <c r="R871" s="233" t="n"/>
      <c r="S871" s="232" t="n"/>
      <c r="T871" s="233" t="n"/>
      <c r="U871" s="233" t="n"/>
      <c r="V871" s="233" t="n"/>
      <c r="W871" s="232" t="n"/>
    </row>
    <row r="872" ht="54.95" customFormat="1" customHeight="1" s="235">
      <c r="A872" s="232" t="n"/>
      <c r="B872" s="232" t="n"/>
      <c r="C872" s="232" t="n"/>
      <c r="D872" s="233" t="n"/>
      <c r="E872" s="232" t="n"/>
      <c r="F872" s="233" t="n"/>
      <c r="G872" s="233" t="n"/>
      <c r="H872" s="233" t="n"/>
      <c r="I872" s="232" t="n"/>
      <c r="J872" s="233" t="n"/>
      <c r="K872" s="232" t="n"/>
      <c r="L872" s="232" t="n"/>
      <c r="M872" s="232" t="n"/>
      <c r="N872" s="233" t="n"/>
      <c r="O872" s="232" t="n"/>
      <c r="P872" s="233" t="n"/>
      <c r="Q872" s="233" t="n"/>
      <c r="R872" s="233" t="n"/>
      <c r="S872" s="232" t="n"/>
      <c r="T872" s="233" t="n"/>
      <c r="U872" s="233" t="n"/>
      <c r="V872" s="233" t="n"/>
      <c r="W872" s="232" t="n"/>
    </row>
    <row r="873" ht="54.95" customFormat="1" customHeight="1" s="235">
      <c r="A873" s="232" t="n"/>
      <c r="B873" s="232" t="n"/>
      <c r="C873" s="232" t="n"/>
      <c r="D873" s="233" t="n"/>
      <c r="E873" s="232" t="n"/>
      <c r="F873" s="233" t="n"/>
      <c r="G873" s="233" t="n"/>
      <c r="H873" s="233" t="n"/>
      <c r="I873" s="232" t="n"/>
      <c r="J873" s="233" t="n"/>
      <c r="K873" s="232" t="n"/>
      <c r="L873" s="232" t="n"/>
      <c r="M873" s="232" t="n"/>
      <c r="N873" s="233" t="n"/>
      <c r="O873" s="232" t="n"/>
      <c r="P873" s="233" t="n"/>
      <c r="Q873" s="233" t="n"/>
      <c r="R873" s="233" t="n"/>
      <c r="S873" s="232" t="n"/>
      <c r="T873" s="233" t="n"/>
      <c r="U873" s="233" t="n"/>
      <c r="V873" s="233" t="n"/>
      <c r="W873" s="232" t="n"/>
    </row>
    <row r="874" ht="54.95" customFormat="1" customHeight="1" s="235">
      <c r="A874" s="232" t="n"/>
      <c r="B874" s="232" t="n"/>
      <c r="C874" s="232" t="n"/>
      <c r="D874" s="233" t="n"/>
      <c r="E874" s="232" t="n"/>
      <c r="F874" s="233" t="n"/>
      <c r="G874" s="233" t="n"/>
      <c r="H874" s="233" t="n"/>
      <c r="I874" s="232" t="n"/>
      <c r="J874" s="233" t="n"/>
      <c r="K874" s="232" t="n"/>
      <c r="L874" s="232" t="n"/>
      <c r="M874" s="232" t="n"/>
      <c r="N874" s="233" t="n"/>
      <c r="O874" s="232" t="n"/>
      <c r="P874" s="233" t="n"/>
      <c r="Q874" s="233" t="n"/>
      <c r="R874" s="233" t="n"/>
      <c r="S874" s="232" t="n"/>
      <c r="T874" s="233" t="n"/>
      <c r="U874" s="233" t="n"/>
      <c r="V874" s="233" t="n"/>
      <c r="W874" s="232" t="n"/>
    </row>
    <row r="875" ht="54.95" customFormat="1" customHeight="1" s="235">
      <c r="A875" s="232" t="n"/>
      <c r="B875" s="232" t="n"/>
      <c r="C875" s="232" t="n"/>
      <c r="D875" s="233" t="n"/>
      <c r="E875" s="232" t="n"/>
      <c r="F875" s="233" t="n"/>
      <c r="G875" s="233" t="n"/>
      <c r="H875" s="233" t="n"/>
      <c r="I875" s="232" t="n"/>
      <c r="J875" s="233" t="n"/>
      <c r="K875" s="232" t="n"/>
      <c r="L875" s="232" t="n"/>
      <c r="M875" s="232" t="n"/>
      <c r="N875" s="233" t="n"/>
      <c r="O875" s="232" t="n"/>
      <c r="P875" s="233" t="n"/>
      <c r="Q875" s="233" t="n"/>
      <c r="R875" s="233" t="n"/>
      <c r="S875" s="232" t="n"/>
      <c r="T875" s="233" t="n"/>
      <c r="U875" s="233" t="n"/>
      <c r="V875" s="233" t="n"/>
      <c r="W875" s="232" t="n"/>
    </row>
    <row r="876" ht="54.95" customFormat="1" customHeight="1" s="235">
      <c r="A876" s="232" t="n"/>
      <c r="B876" s="232" t="n"/>
      <c r="C876" s="232" t="n"/>
      <c r="D876" s="233" t="n"/>
      <c r="E876" s="232" t="n"/>
      <c r="F876" s="233" t="n"/>
      <c r="G876" s="233" t="n"/>
      <c r="H876" s="233" t="n"/>
      <c r="I876" s="232" t="n"/>
      <c r="J876" s="233" t="n"/>
      <c r="K876" s="232" t="n"/>
      <c r="L876" s="232" t="n"/>
      <c r="M876" s="232" t="n"/>
      <c r="N876" s="233" t="n"/>
      <c r="O876" s="232" t="n"/>
      <c r="P876" s="233" t="n"/>
      <c r="Q876" s="233" t="n"/>
      <c r="R876" s="233" t="n"/>
      <c r="S876" s="232" t="n"/>
      <c r="T876" s="233" t="n"/>
      <c r="U876" s="233" t="n"/>
      <c r="V876" s="233" t="n"/>
      <c r="W876" s="232" t="n"/>
    </row>
    <row r="877" ht="54.95" customFormat="1" customHeight="1" s="235">
      <c r="A877" s="232" t="n"/>
      <c r="B877" s="232" t="n"/>
      <c r="C877" s="232" t="n"/>
      <c r="D877" s="233" t="n"/>
      <c r="E877" s="232" t="n"/>
      <c r="F877" s="233" t="n"/>
      <c r="G877" s="233" t="n"/>
      <c r="H877" s="233" t="n"/>
      <c r="I877" s="232" t="n"/>
      <c r="J877" s="233" t="n"/>
      <c r="K877" s="232" t="n"/>
      <c r="L877" s="232" t="n"/>
      <c r="M877" s="232" t="n"/>
      <c r="N877" s="233" t="n"/>
      <c r="O877" s="232" t="n"/>
      <c r="P877" s="233" t="n"/>
      <c r="Q877" s="233" t="n"/>
      <c r="R877" s="233" t="n"/>
      <c r="S877" s="232" t="n"/>
      <c r="T877" s="233" t="n"/>
      <c r="U877" s="233" t="n"/>
      <c r="V877" s="233" t="n"/>
      <c r="W877" s="232" t="n"/>
    </row>
    <row r="878" ht="54.95" customFormat="1" customHeight="1" s="235">
      <c r="A878" s="232" t="n"/>
      <c r="B878" s="232" t="n"/>
      <c r="C878" s="232" t="n"/>
      <c r="D878" s="233" t="n"/>
      <c r="E878" s="232" t="n"/>
      <c r="F878" s="233" t="n"/>
      <c r="G878" s="233" t="n"/>
      <c r="H878" s="233" t="n"/>
      <c r="I878" s="232" t="n"/>
      <c r="J878" s="233" t="n"/>
      <c r="K878" s="232" t="n"/>
      <c r="L878" s="232" t="n"/>
      <c r="M878" s="232" t="n"/>
      <c r="N878" s="233" t="n"/>
      <c r="O878" s="232" t="n"/>
      <c r="P878" s="233" t="n"/>
      <c r="Q878" s="233" t="n"/>
      <c r="R878" s="233" t="n"/>
      <c r="S878" s="232" t="n"/>
      <c r="T878" s="233" t="n"/>
      <c r="U878" s="233" t="n"/>
      <c r="V878" s="233" t="n"/>
      <c r="W878" s="232" t="n"/>
    </row>
    <row r="879" ht="54.95" customFormat="1" customHeight="1" s="235">
      <c r="A879" s="232" t="n"/>
      <c r="B879" s="232" t="n"/>
      <c r="C879" s="232" t="n"/>
      <c r="D879" s="233" t="n"/>
      <c r="E879" s="232" t="n"/>
      <c r="F879" s="233" t="n"/>
      <c r="G879" s="233" t="n"/>
      <c r="H879" s="233" t="n"/>
      <c r="I879" s="232" t="n"/>
      <c r="J879" s="233" t="n"/>
      <c r="K879" s="232" t="n"/>
      <c r="L879" s="232" t="n"/>
      <c r="M879" s="232" t="n"/>
      <c r="N879" s="233" t="n"/>
      <c r="O879" s="232" t="n"/>
      <c r="P879" s="233" t="n"/>
      <c r="Q879" s="233" t="n"/>
      <c r="R879" s="233" t="n"/>
      <c r="S879" s="232" t="n"/>
      <c r="T879" s="233" t="n"/>
      <c r="U879" s="233" t="n"/>
      <c r="V879" s="233" t="n"/>
      <c r="W879" s="232" t="n"/>
    </row>
    <row r="880" ht="54.95" customFormat="1" customHeight="1" s="235">
      <c r="A880" s="234" t="n"/>
      <c r="B880" s="234" t="n"/>
      <c r="C880" s="234" t="n"/>
      <c r="D880" s="234" t="n"/>
      <c r="E880" s="234" t="n"/>
      <c r="F880" s="234" t="n"/>
      <c r="G880" s="234" t="n"/>
      <c r="H880" s="234" t="n"/>
      <c r="I880" s="234" t="n"/>
      <c r="J880" s="234" t="n"/>
      <c r="K880" s="234" t="n"/>
      <c r="L880" s="234" t="n"/>
      <c r="M880" s="232" t="n"/>
      <c r="N880" s="233" t="n"/>
      <c r="O880" s="232" t="n"/>
      <c r="P880" s="234" t="n"/>
      <c r="Q880" s="234" t="n"/>
      <c r="R880" s="234" t="n"/>
      <c r="S880" s="234" t="n"/>
      <c r="T880" s="234" t="n"/>
      <c r="U880" s="234" t="n"/>
      <c r="V880" s="234" t="n"/>
      <c r="W880" s="234" t="n"/>
    </row>
    <row r="881" ht="54.95" customFormat="1" customHeight="1" s="235">
      <c r="A881" s="232" t="n"/>
      <c r="B881" s="232" t="n"/>
      <c r="C881" s="232" t="n"/>
      <c r="D881" s="233" t="n"/>
      <c r="E881" s="232" t="n"/>
      <c r="F881" s="233" t="n"/>
      <c r="G881" s="233" t="n"/>
      <c r="H881" s="233" t="n"/>
      <c r="I881" s="232" t="n"/>
      <c r="J881" s="233" t="n"/>
      <c r="K881" s="232" t="n"/>
      <c r="L881" s="232" t="n"/>
      <c r="M881" s="232" t="n"/>
      <c r="N881" s="233" t="n"/>
      <c r="O881" s="232" t="n"/>
      <c r="P881" s="233" t="n"/>
      <c r="Q881" s="233" t="n"/>
      <c r="R881" s="233" t="n"/>
      <c r="S881" s="232" t="n"/>
      <c r="T881" s="233" t="n"/>
      <c r="U881" s="233" t="n"/>
      <c r="V881" s="233" t="n"/>
      <c r="W881" s="232" t="n"/>
    </row>
    <row r="882" ht="54.95" customFormat="1" customHeight="1" s="235">
      <c r="A882" s="232" t="n"/>
      <c r="B882" s="232" t="n"/>
      <c r="C882" s="232" t="n"/>
      <c r="D882" s="233" t="n"/>
      <c r="E882" s="232" t="n"/>
      <c r="F882" s="233" t="n"/>
      <c r="G882" s="233" t="n"/>
      <c r="H882" s="233" t="n"/>
      <c r="I882" s="232" t="n"/>
      <c r="J882" s="233" t="n"/>
      <c r="K882" s="232" t="n"/>
      <c r="L882" s="232" t="n"/>
      <c r="M882" s="232" t="n"/>
      <c r="N882" s="233" t="n"/>
      <c r="O882" s="232" t="n"/>
      <c r="P882" s="233" t="n"/>
      <c r="Q882" s="233" t="n"/>
      <c r="R882" s="233" t="n"/>
      <c r="S882" s="232" t="n"/>
      <c r="T882" s="233" t="n"/>
      <c r="U882" s="233" t="n"/>
      <c r="V882" s="233" t="n"/>
      <c r="W882" s="232" t="n"/>
    </row>
    <row r="883" ht="54.95" customFormat="1" customHeight="1" s="235">
      <c r="A883" s="234" t="n"/>
      <c r="B883" s="234" t="n"/>
      <c r="C883" s="234" t="n"/>
      <c r="D883" s="234" t="n"/>
      <c r="E883" s="234" t="n"/>
      <c r="F883" s="234" t="n"/>
      <c r="G883" s="234" t="n"/>
      <c r="H883" s="234" t="n"/>
      <c r="I883" s="234" t="n"/>
      <c r="J883" s="234" t="n"/>
      <c r="K883" s="234" t="n"/>
      <c r="L883" s="234" t="n"/>
      <c r="M883" s="232" t="n"/>
      <c r="N883" s="233" t="n"/>
      <c r="O883" s="232" t="n"/>
      <c r="P883" s="234" t="n"/>
      <c r="Q883" s="234" t="n"/>
      <c r="R883" s="234" t="n"/>
      <c r="S883" s="234" t="n"/>
      <c r="T883" s="234" t="n"/>
      <c r="U883" s="234" t="n"/>
      <c r="V883" s="234" t="n"/>
      <c r="W883" s="234" t="n"/>
    </row>
    <row r="884" ht="54.95" customFormat="1" customHeight="1" s="235">
      <c r="A884" s="232" t="n"/>
      <c r="B884" s="232" t="n"/>
      <c r="C884" s="232" t="n"/>
      <c r="D884" s="233" t="n"/>
      <c r="E884" s="232" t="n"/>
      <c r="F884" s="233" t="n"/>
      <c r="G884" s="233" t="n"/>
      <c r="H884" s="233" t="n"/>
      <c r="I884" s="232" t="n"/>
      <c r="J884" s="233" t="n"/>
      <c r="K884" s="232" t="n"/>
      <c r="L884" s="232" t="n"/>
      <c r="M884" s="232" t="n"/>
      <c r="N884" s="233" t="n"/>
      <c r="O884" s="232" t="n"/>
      <c r="P884" s="233" t="n"/>
      <c r="Q884" s="233" t="n"/>
      <c r="R884" s="233" t="n"/>
      <c r="S884" s="232" t="n"/>
      <c r="T884" s="233" t="n"/>
      <c r="U884" s="233" t="n"/>
      <c r="V884" s="233" t="n"/>
      <c r="W884" s="232" t="n"/>
    </row>
    <row r="885" ht="54.95" customFormat="1" customHeight="1" s="235">
      <c r="A885" s="234" t="n"/>
      <c r="B885" s="234" t="n"/>
      <c r="C885" s="234" t="n"/>
      <c r="D885" s="234" t="n"/>
      <c r="E885" s="234" t="n"/>
      <c r="F885" s="234" t="n"/>
      <c r="G885" s="234" t="n"/>
      <c r="H885" s="234" t="n"/>
      <c r="I885" s="234" t="n"/>
      <c r="J885" s="234" t="n"/>
      <c r="K885" s="234" t="n"/>
      <c r="L885" s="234" t="n"/>
      <c r="M885" s="232" t="n"/>
      <c r="N885" s="233" t="n"/>
      <c r="O885" s="232" t="n"/>
      <c r="P885" s="234" t="n"/>
      <c r="Q885" s="234" t="n"/>
      <c r="R885" s="234" t="n"/>
      <c r="S885" s="234" t="n"/>
      <c r="T885" s="234" t="n"/>
      <c r="U885" s="234" t="n"/>
      <c r="V885" s="234" t="n"/>
      <c r="W885" s="234" t="n"/>
    </row>
    <row r="886" ht="54.95" customFormat="1" customHeight="1" s="235">
      <c r="A886" s="234" t="n"/>
      <c r="B886" s="234" t="n"/>
      <c r="C886" s="234" t="n"/>
      <c r="D886" s="234" t="n"/>
      <c r="E886" s="234" t="n"/>
      <c r="F886" s="234" t="n"/>
      <c r="G886" s="234" t="n"/>
      <c r="H886" s="234" t="n"/>
      <c r="I886" s="234" t="n"/>
      <c r="J886" s="234" t="n"/>
      <c r="K886" s="234" t="n"/>
      <c r="L886" s="234" t="n"/>
      <c r="M886" s="232" t="n"/>
      <c r="N886" s="233" t="n"/>
      <c r="O886" s="232" t="n"/>
      <c r="P886" s="234" t="n"/>
      <c r="Q886" s="234" t="n"/>
      <c r="R886" s="234" t="n"/>
      <c r="S886" s="234" t="n"/>
      <c r="T886" s="234" t="n"/>
      <c r="U886" s="234" t="n"/>
      <c r="V886" s="234" t="n"/>
      <c r="W886" s="234" t="n"/>
    </row>
    <row r="887" ht="54.95" customFormat="1" customHeight="1" s="235">
      <c r="A887" s="232" t="n"/>
      <c r="B887" s="232" t="n"/>
      <c r="C887" s="232" t="n"/>
      <c r="D887" s="233" t="n"/>
      <c r="E887" s="232" t="n"/>
      <c r="F887" s="233" t="n"/>
      <c r="G887" s="233" t="n"/>
      <c r="H887" s="233" t="n"/>
      <c r="I887" s="232" t="n"/>
      <c r="J887" s="233" t="n"/>
      <c r="K887" s="232" t="n"/>
      <c r="L887" s="232" t="n"/>
      <c r="M887" s="232" t="n"/>
      <c r="N887" s="233" t="n"/>
      <c r="O887" s="232" t="n"/>
      <c r="P887" s="233" t="n"/>
      <c r="Q887" s="233" t="n"/>
      <c r="R887" s="233" t="n"/>
      <c r="S887" s="232" t="n"/>
      <c r="T887" s="233" t="n"/>
      <c r="U887" s="233" t="n"/>
      <c r="V887" s="233" t="n"/>
      <c r="W887" s="232" t="n"/>
    </row>
    <row r="888" ht="54.95" customFormat="1" customHeight="1" s="235">
      <c r="A888" s="232" t="n"/>
      <c r="B888" s="232" t="n"/>
      <c r="C888" s="232" t="n"/>
      <c r="D888" s="233" t="n"/>
      <c r="E888" s="232" t="n"/>
      <c r="F888" s="233" t="n"/>
      <c r="G888" s="233" t="n"/>
      <c r="H888" s="233" t="n"/>
      <c r="I888" s="232" t="n"/>
      <c r="J888" s="233" t="n"/>
      <c r="K888" s="232" t="n"/>
      <c r="L888" s="232" t="n"/>
      <c r="M888" s="232" t="n"/>
      <c r="N888" s="233" t="n"/>
      <c r="O888" s="232" t="n"/>
      <c r="P888" s="233" t="n"/>
      <c r="Q888" s="233" t="n"/>
      <c r="R888" s="233" t="n"/>
      <c r="S888" s="232" t="n"/>
      <c r="T888" s="233" t="n"/>
      <c r="U888" s="233" t="n"/>
      <c r="V888" s="233" t="n"/>
      <c r="W888" s="232" t="n"/>
    </row>
    <row r="889" ht="54.95" customFormat="1" customHeight="1" s="235">
      <c r="A889" s="232" t="n"/>
      <c r="B889" s="232" t="n"/>
      <c r="C889" s="232" t="n"/>
      <c r="D889" s="233" t="n"/>
      <c r="E889" s="232" t="n"/>
      <c r="F889" s="233" t="n"/>
      <c r="G889" s="233" t="n"/>
      <c r="H889" s="233" t="n"/>
      <c r="I889" s="232" t="n"/>
      <c r="J889" s="233" t="n"/>
      <c r="K889" s="232" t="n"/>
      <c r="L889" s="232" t="n"/>
      <c r="M889" s="232" t="n"/>
      <c r="N889" s="233" t="n"/>
      <c r="O889" s="232" t="n"/>
      <c r="P889" s="233" t="n"/>
      <c r="Q889" s="233" t="n"/>
      <c r="R889" s="233" t="n"/>
      <c r="S889" s="232" t="n"/>
      <c r="T889" s="233" t="n"/>
      <c r="U889" s="233" t="n"/>
      <c r="V889" s="233" t="n"/>
      <c r="W889" s="232" t="n"/>
    </row>
    <row r="890" ht="54.95" customFormat="1" customHeight="1" s="235">
      <c r="A890" s="232" t="n"/>
      <c r="B890" s="232" t="n"/>
      <c r="C890" s="232" t="n"/>
      <c r="D890" s="233" t="n"/>
      <c r="E890" s="232" t="n"/>
      <c r="F890" s="233" t="n"/>
      <c r="G890" s="233" t="n"/>
      <c r="H890" s="233" t="n"/>
      <c r="I890" s="232" t="n"/>
      <c r="J890" s="233" t="n"/>
      <c r="K890" s="232" t="n"/>
      <c r="L890" s="232" t="n"/>
      <c r="M890" s="232" t="n"/>
      <c r="N890" s="233" t="n"/>
      <c r="O890" s="232" t="n"/>
      <c r="P890" s="233" t="n"/>
      <c r="Q890" s="233" t="n"/>
      <c r="R890" s="233" t="n"/>
      <c r="S890" s="232" t="n"/>
      <c r="T890" s="233" t="n"/>
      <c r="U890" s="233" t="n"/>
      <c r="V890" s="233" t="n"/>
      <c r="W890" s="232" t="n"/>
    </row>
    <row r="891" ht="54.95" customFormat="1" customHeight="1" s="235">
      <c r="A891" s="232" t="n"/>
      <c r="B891" s="232" t="n"/>
      <c r="C891" s="232" t="n"/>
      <c r="D891" s="233" t="n"/>
      <c r="E891" s="232" t="n"/>
      <c r="F891" s="233" t="n"/>
      <c r="G891" s="233" t="n"/>
      <c r="H891" s="233" t="n"/>
      <c r="I891" s="232" t="n"/>
      <c r="J891" s="233" t="n"/>
      <c r="K891" s="232" t="n"/>
      <c r="L891" s="232" t="n"/>
      <c r="M891" s="232" t="n"/>
      <c r="N891" s="233" t="n"/>
      <c r="O891" s="232" t="n"/>
      <c r="P891" s="233" t="n"/>
      <c r="Q891" s="233" t="n"/>
      <c r="R891" s="233" t="n"/>
      <c r="S891" s="232" t="n"/>
      <c r="T891" s="233" t="n"/>
      <c r="U891" s="233" t="n"/>
      <c r="V891" s="233" t="n"/>
      <c r="W891" s="232" t="n"/>
    </row>
    <row r="892" ht="54.95" customFormat="1" customHeight="1" s="235">
      <c r="A892" s="232" t="n"/>
      <c r="B892" s="232" t="n"/>
      <c r="C892" s="232" t="n"/>
      <c r="D892" s="233" t="n"/>
      <c r="E892" s="232" t="n"/>
      <c r="F892" s="233" t="n"/>
      <c r="G892" s="233" t="n"/>
      <c r="H892" s="233" t="n"/>
      <c r="I892" s="232" t="n"/>
      <c r="J892" s="233" t="n"/>
      <c r="K892" s="232" t="n"/>
      <c r="L892" s="232" t="n"/>
      <c r="M892" s="232" t="n"/>
      <c r="N892" s="233" t="n"/>
      <c r="O892" s="232" t="n"/>
      <c r="P892" s="233" t="n"/>
      <c r="Q892" s="233" t="n"/>
      <c r="R892" s="233" t="n"/>
      <c r="S892" s="232" t="n"/>
      <c r="T892" s="233" t="n"/>
      <c r="U892" s="233" t="n"/>
      <c r="V892" s="233" t="n"/>
      <c r="W892" s="232" t="n"/>
    </row>
    <row r="893" ht="54.95" customFormat="1" customHeight="1" s="235">
      <c r="A893" s="232" t="n"/>
      <c r="B893" s="232" t="n"/>
      <c r="C893" s="232" t="n"/>
      <c r="D893" s="233" t="n"/>
      <c r="E893" s="232" t="n"/>
      <c r="F893" s="233" t="n"/>
      <c r="G893" s="233" t="n"/>
      <c r="H893" s="233" t="n"/>
      <c r="I893" s="232" t="n"/>
      <c r="J893" s="233" t="n"/>
      <c r="K893" s="232" t="n"/>
      <c r="L893" s="232" t="n"/>
      <c r="M893" s="232" t="n"/>
      <c r="N893" s="233" t="n"/>
      <c r="O893" s="232" t="n"/>
      <c r="P893" s="233" t="n"/>
      <c r="Q893" s="233" t="n"/>
      <c r="R893" s="233" t="n"/>
      <c r="S893" s="232" t="n"/>
      <c r="T893" s="233" t="n"/>
      <c r="U893" s="233" t="n"/>
      <c r="V893" s="233" t="n"/>
      <c r="W893" s="232" t="n"/>
    </row>
    <row r="894" ht="54.95" customFormat="1" customHeight="1" s="235">
      <c r="A894" s="234" t="n"/>
      <c r="B894" s="234" t="n"/>
      <c r="C894" s="234" t="n"/>
      <c r="D894" s="234" t="n"/>
      <c r="E894" s="234" t="n"/>
      <c r="F894" s="234" t="n"/>
      <c r="G894" s="234" t="n"/>
      <c r="H894" s="234" t="n"/>
      <c r="I894" s="234" t="n"/>
      <c r="J894" s="234" t="n"/>
      <c r="K894" s="234" t="n"/>
      <c r="L894" s="234" t="n"/>
      <c r="M894" s="232" t="n"/>
      <c r="N894" s="233" t="n"/>
      <c r="O894" s="232" t="n"/>
      <c r="P894" s="234" t="n"/>
      <c r="Q894" s="234" t="n"/>
      <c r="R894" s="234" t="n"/>
      <c r="S894" s="234" t="n"/>
      <c r="T894" s="234" t="n"/>
      <c r="U894" s="234" t="n"/>
      <c r="V894" s="234" t="n"/>
      <c r="W894" s="234" t="n"/>
    </row>
    <row r="895" ht="54.95" customFormat="1" customHeight="1" s="235">
      <c r="A895" s="234" t="n"/>
      <c r="B895" s="234" t="n"/>
      <c r="C895" s="234" t="n"/>
      <c r="D895" s="234" t="n"/>
      <c r="E895" s="234" t="n"/>
      <c r="F895" s="234" t="n"/>
      <c r="G895" s="234" t="n"/>
      <c r="H895" s="234" t="n"/>
      <c r="I895" s="234" t="n"/>
      <c r="J895" s="234" t="n"/>
      <c r="K895" s="234" t="n"/>
      <c r="L895" s="234" t="n"/>
      <c r="M895" s="232" t="n"/>
      <c r="N895" s="233" t="n"/>
      <c r="O895" s="232" t="n"/>
      <c r="P895" s="234" t="n"/>
      <c r="Q895" s="234" t="n"/>
      <c r="R895" s="234" t="n"/>
      <c r="S895" s="234" t="n"/>
      <c r="T895" s="234" t="n"/>
      <c r="U895" s="234" t="n"/>
      <c r="V895" s="234" t="n"/>
      <c r="W895" s="234" t="n"/>
    </row>
    <row r="896" ht="54.95" customFormat="1" customHeight="1" s="235">
      <c r="A896" s="234" t="n"/>
      <c r="B896" s="234" t="n"/>
      <c r="C896" s="234" t="n"/>
      <c r="D896" s="234" t="n"/>
      <c r="E896" s="234" t="n"/>
      <c r="F896" s="234" t="n"/>
      <c r="G896" s="234" t="n"/>
      <c r="H896" s="234" t="n"/>
      <c r="I896" s="234" t="n"/>
      <c r="J896" s="234" t="n"/>
      <c r="K896" s="234" t="n"/>
      <c r="L896" s="234" t="n"/>
      <c r="M896" s="232" t="n"/>
      <c r="N896" s="233" t="n"/>
      <c r="O896" s="232" t="n"/>
      <c r="P896" s="234" t="n"/>
      <c r="Q896" s="234" t="n"/>
      <c r="R896" s="234" t="n"/>
      <c r="S896" s="234" t="n"/>
      <c r="T896" s="234" t="n"/>
      <c r="U896" s="234" t="n"/>
      <c r="V896" s="234" t="n"/>
      <c r="W896" s="234" t="n"/>
    </row>
    <row r="897" ht="54.95" customFormat="1" customHeight="1" s="235">
      <c r="A897" s="232" t="n"/>
      <c r="B897" s="232" t="n"/>
      <c r="C897" s="232" t="n"/>
      <c r="D897" s="233" t="n"/>
      <c r="E897" s="232" t="n"/>
      <c r="F897" s="233" t="n"/>
      <c r="G897" s="233" t="n"/>
      <c r="H897" s="233" t="n"/>
      <c r="I897" s="232" t="n"/>
      <c r="J897" s="233" t="n"/>
      <c r="K897" s="232" t="n"/>
      <c r="L897" s="232" t="n"/>
      <c r="M897" s="232" t="n"/>
      <c r="N897" s="233" t="n"/>
      <c r="O897" s="232" t="n"/>
      <c r="P897" s="233" t="n"/>
      <c r="Q897" s="233" t="n"/>
      <c r="R897" s="233" t="n"/>
      <c r="S897" s="232" t="n"/>
      <c r="T897" s="233" t="n"/>
      <c r="U897" s="233" t="n"/>
      <c r="V897" s="233" t="n"/>
      <c r="W897" s="232" t="n"/>
    </row>
    <row r="898" ht="54.95" customFormat="1" customHeight="1" s="235">
      <c r="A898" s="234" t="n"/>
      <c r="B898" s="234" t="n"/>
      <c r="C898" s="234" t="n"/>
      <c r="D898" s="234" t="n"/>
      <c r="E898" s="234" t="n"/>
      <c r="F898" s="234" t="n"/>
      <c r="G898" s="234" t="n"/>
      <c r="H898" s="234" t="n"/>
      <c r="I898" s="234" t="n"/>
      <c r="J898" s="234" t="n"/>
      <c r="K898" s="234" t="n"/>
      <c r="L898" s="234" t="n"/>
      <c r="M898" s="232" t="n"/>
      <c r="N898" s="233" t="n"/>
      <c r="O898" s="232" t="n"/>
      <c r="P898" s="234" t="n"/>
      <c r="Q898" s="234" t="n"/>
      <c r="R898" s="234" t="n"/>
      <c r="S898" s="234" t="n"/>
      <c r="T898" s="234" t="n"/>
      <c r="U898" s="234" t="n"/>
      <c r="V898" s="234" t="n"/>
      <c r="W898" s="234" t="n"/>
    </row>
    <row r="899" ht="54.95" customFormat="1" customHeight="1" s="235">
      <c r="A899" s="234" t="n"/>
      <c r="B899" s="234" t="n"/>
      <c r="C899" s="234" t="n"/>
      <c r="D899" s="234" t="n"/>
      <c r="E899" s="234" t="n"/>
      <c r="F899" s="234" t="n"/>
      <c r="G899" s="234" t="n"/>
      <c r="H899" s="234" t="n"/>
      <c r="I899" s="234" t="n"/>
      <c r="J899" s="234" t="n"/>
      <c r="K899" s="234" t="n"/>
      <c r="L899" s="234" t="n"/>
      <c r="M899" s="232" t="n"/>
      <c r="N899" s="233" t="n"/>
      <c r="O899" s="232" t="n"/>
      <c r="P899" s="234" t="n"/>
      <c r="Q899" s="234" t="n"/>
      <c r="R899" s="234" t="n"/>
      <c r="S899" s="234" t="n"/>
      <c r="T899" s="234" t="n"/>
      <c r="U899" s="234" t="n"/>
      <c r="V899" s="234" t="n"/>
      <c r="W899" s="234" t="n"/>
    </row>
    <row r="900" ht="54.95" customFormat="1" customHeight="1" s="235">
      <c r="A900" s="234" t="n"/>
      <c r="B900" s="234" t="n"/>
      <c r="C900" s="234" t="n"/>
      <c r="D900" s="234" t="n"/>
      <c r="E900" s="234" t="n"/>
      <c r="F900" s="234" t="n"/>
      <c r="G900" s="234" t="n"/>
      <c r="H900" s="234" t="n"/>
      <c r="I900" s="234" t="n"/>
      <c r="J900" s="234" t="n"/>
      <c r="K900" s="234" t="n"/>
      <c r="L900" s="234" t="n"/>
      <c r="M900" s="232" t="n"/>
      <c r="N900" s="233" t="n"/>
      <c r="O900" s="232" t="n"/>
      <c r="P900" s="234" t="n"/>
      <c r="Q900" s="234" t="n"/>
      <c r="R900" s="234" t="n"/>
      <c r="S900" s="234" t="n"/>
      <c r="T900" s="234" t="n"/>
      <c r="U900" s="234" t="n"/>
      <c r="V900" s="234" t="n"/>
      <c r="W900" s="234" t="n"/>
    </row>
    <row r="901" ht="54.95" customFormat="1" customHeight="1" s="235">
      <c r="A901" s="232" t="n"/>
      <c r="B901" s="232" t="n"/>
      <c r="C901" s="232" t="n"/>
      <c r="D901" s="233" t="n"/>
      <c r="E901" s="232" t="n"/>
      <c r="F901" s="233" t="n"/>
      <c r="G901" s="233" t="n"/>
      <c r="H901" s="233" t="n"/>
      <c r="I901" s="232" t="n"/>
      <c r="J901" s="233" t="n"/>
      <c r="K901" s="232" t="n"/>
      <c r="L901" s="232" t="n"/>
      <c r="M901" s="232" t="n"/>
      <c r="N901" s="233" t="n"/>
      <c r="O901" s="232" t="n"/>
      <c r="P901" s="233" t="n"/>
      <c r="Q901" s="233" t="n"/>
      <c r="R901" s="233" t="n"/>
      <c r="S901" s="232" t="n"/>
      <c r="T901" s="233" t="n"/>
      <c r="U901" s="233" t="n"/>
      <c r="V901" s="233" t="n"/>
      <c r="W901" s="232" t="n"/>
    </row>
    <row r="902" ht="54.95" customFormat="1" customHeight="1" s="235">
      <c r="A902" s="232" t="n"/>
      <c r="B902" s="232" t="n"/>
      <c r="C902" s="232" t="n"/>
      <c r="D902" s="233" t="n"/>
      <c r="E902" s="232" t="n"/>
      <c r="F902" s="233" t="n"/>
      <c r="G902" s="233" t="n"/>
      <c r="H902" s="233" t="n"/>
      <c r="I902" s="232" t="n"/>
      <c r="J902" s="233" t="n"/>
      <c r="K902" s="232" t="n"/>
      <c r="L902" s="232" t="n"/>
      <c r="M902" s="232" t="n"/>
      <c r="N902" s="233" t="n"/>
      <c r="O902" s="232" t="n"/>
      <c r="P902" s="233" t="n"/>
      <c r="Q902" s="233" t="n"/>
      <c r="R902" s="233" t="n"/>
      <c r="S902" s="232" t="n"/>
      <c r="T902" s="233" t="n"/>
      <c r="U902" s="233" t="n"/>
      <c r="V902" s="233" t="n"/>
      <c r="W902" s="232" t="n"/>
    </row>
    <row r="903" ht="54.95" customFormat="1" customHeight="1" s="235">
      <c r="A903" s="232" t="n"/>
      <c r="B903" s="232" t="n"/>
      <c r="C903" s="232" t="n"/>
      <c r="D903" s="233" t="n"/>
      <c r="E903" s="232" t="n"/>
      <c r="F903" s="233" t="n"/>
      <c r="G903" s="233" t="n"/>
      <c r="H903" s="233" t="n"/>
      <c r="I903" s="232" t="n"/>
      <c r="J903" s="233" t="n"/>
      <c r="K903" s="232" t="n"/>
      <c r="L903" s="232" t="n"/>
      <c r="M903" s="232" t="n"/>
      <c r="N903" s="233" t="n"/>
      <c r="O903" s="232" t="n"/>
      <c r="P903" s="233" t="n"/>
      <c r="Q903" s="233" t="n"/>
      <c r="R903" s="233" t="n"/>
      <c r="S903" s="232" t="n"/>
      <c r="T903" s="233" t="n"/>
      <c r="U903" s="233" t="n"/>
      <c r="V903" s="233" t="n"/>
      <c r="W903" s="232" t="n"/>
    </row>
    <row r="904" ht="54.95" customFormat="1" customHeight="1" s="235">
      <c r="A904" s="234" t="n"/>
      <c r="B904" s="234" t="n"/>
      <c r="C904" s="234" t="n"/>
      <c r="D904" s="234" t="n"/>
      <c r="E904" s="234" t="n"/>
      <c r="F904" s="234" t="n"/>
      <c r="G904" s="234" t="n"/>
      <c r="H904" s="234" t="n"/>
      <c r="I904" s="234" t="n"/>
      <c r="J904" s="234" t="n"/>
      <c r="K904" s="234" t="n"/>
      <c r="L904" s="234" t="n"/>
      <c r="M904" s="232" t="n"/>
      <c r="N904" s="233" t="n"/>
      <c r="O904" s="232" t="n"/>
      <c r="P904" s="234" t="n"/>
      <c r="Q904" s="234" t="n"/>
      <c r="R904" s="234" t="n"/>
      <c r="S904" s="234" t="n"/>
      <c r="T904" s="234" t="n"/>
      <c r="U904" s="234" t="n"/>
      <c r="V904" s="234" t="n"/>
      <c r="W904" s="234" t="n"/>
    </row>
    <row r="905" ht="54.95" customFormat="1" customHeight="1" s="235">
      <c r="A905" s="234" t="n"/>
      <c r="B905" s="234" t="n"/>
      <c r="C905" s="234" t="n"/>
      <c r="D905" s="234" t="n"/>
      <c r="E905" s="234" t="n"/>
      <c r="F905" s="234" t="n"/>
      <c r="G905" s="234" t="n"/>
      <c r="H905" s="234" t="n"/>
      <c r="I905" s="234" t="n"/>
      <c r="J905" s="234" t="n"/>
      <c r="K905" s="234" t="n"/>
      <c r="L905" s="234" t="n"/>
      <c r="M905" s="232" t="n"/>
      <c r="N905" s="233" t="n"/>
      <c r="O905" s="232" t="n"/>
      <c r="P905" s="234" t="n"/>
      <c r="Q905" s="234" t="n"/>
      <c r="R905" s="234" t="n"/>
      <c r="S905" s="234" t="n"/>
      <c r="T905" s="234" t="n"/>
      <c r="U905" s="234" t="n"/>
      <c r="V905" s="234" t="n"/>
      <c r="W905" s="234" t="n"/>
    </row>
    <row r="906" ht="54.95" customFormat="1" customHeight="1" s="235">
      <c r="A906" s="234" t="n"/>
      <c r="B906" s="234" t="n"/>
      <c r="C906" s="234" t="n"/>
      <c r="D906" s="234" t="n"/>
      <c r="E906" s="234" t="n"/>
      <c r="F906" s="234" t="n"/>
      <c r="G906" s="234" t="n"/>
      <c r="H906" s="234" t="n"/>
      <c r="I906" s="234" t="n"/>
      <c r="J906" s="234" t="n"/>
      <c r="K906" s="234" t="n"/>
      <c r="L906" s="234" t="n"/>
      <c r="M906" s="232" t="n"/>
      <c r="N906" s="233" t="n"/>
      <c r="O906" s="232" t="n"/>
      <c r="P906" s="234" t="n"/>
      <c r="Q906" s="234" t="n"/>
      <c r="R906" s="234" t="n"/>
      <c r="S906" s="234" t="n"/>
      <c r="T906" s="234" t="n"/>
      <c r="U906" s="234" t="n"/>
      <c r="V906" s="234" t="n"/>
      <c r="W906" s="234" t="n"/>
    </row>
    <row r="907" ht="54.95" customFormat="1" customHeight="1" s="235">
      <c r="A907" s="234" t="n"/>
      <c r="B907" s="234" t="n"/>
      <c r="C907" s="234" t="n"/>
      <c r="D907" s="234" t="n"/>
      <c r="E907" s="234" t="n"/>
      <c r="F907" s="234" t="n"/>
      <c r="G907" s="234" t="n"/>
      <c r="H907" s="234" t="n"/>
      <c r="I907" s="234" t="n"/>
      <c r="J907" s="234" t="n"/>
      <c r="K907" s="234" t="n"/>
      <c r="L907" s="234" t="n"/>
      <c r="M907" s="232" t="n"/>
      <c r="N907" s="233" t="n"/>
      <c r="O907" s="232" t="n"/>
      <c r="P907" s="234" t="n"/>
      <c r="Q907" s="234" t="n"/>
      <c r="R907" s="234" t="n"/>
      <c r="S907" s="234" t="n"/>
      <c r="T907" s="234" t="n"/>
      <c r="U907" s="234" t="n"/>
      <c r="V907" s="234" t="n"/>
      <c r="W907" s="234" t="n"/>
    </row>
    <row r="908" ht="54.95" customFormat="1" customHeight="1" s="235">
      <c r="A908" s="232" t="n"/>
      <c r="B908" s="232" t="n"/>
      <c r="C908" s="232" t="n"/>
      <c r="D908" s="233" t="n"/>
      <c r="E908" s="232" t="n"/>
      <c r="F908" s="233" t="n"/>
      <c r="G908" s="233" t="n"/>
      <c r="H908" s="233" t="n"/>
      <c r="I908" s="232" t="n"/>
      <c r="J908" s="233" t="n"/>
      <c r="K908" s="232" t="n"/>
      <c r="L908" s="232" t="n"/>
      <c r="M908" s="232" t="n"/>
      <c r="N908" s="233" t="n"/>
      <c r="O908" s="232" t="n"/>
      <c r="P908" s="233" t="n"/>
      <c r="Q908" s="233" t="n"/>
      <c r="R908" s="233" t="n"/>
      <c r="S908" s="232" t="n"/>
      <c r="T908" s="233" t="n"/>
      <c r="U908" s="233" t="n"/>
      <c r="V908" s="233" t="n"/>
      <c r="W908" s="232" t="n"/>
    </row>
    <row r="909" ht="54.95" customFormat="1" customHeight="1" s="235">
      <c r="A909" s="232" t="n"/>
      <c r="B909" s="232" t="n"/>
      <c r="C909" s="232" t="n"/>
      <c r="D909" s="233" t="n"/>
      <c r="E909" s="232" t="n"/>
      <c r="F909" s="233" t="n"/>
      <c r="G909" s="233" t="n"/>
      <c r="H909" s="233" t="n"/>
      <c r="I909" s="232" t="n"/>
      <c r="J909" s="233" t="n"/>
      <c r="K909" s="232" t="n"/>
      <c r="L909" s="232" t="n"/>
      <c r="M909" s="232" t="n"/>
      <c r="N909" s="233" t="n"/>
      <c r="O909" s="232" t="n"/>
      <c r="P909" s="233" t="n"/>
      <c r="Q909" s="233" t="n"/>
      <c r="R909" s="233" t="n"/>
      <c r="S909" s="232" t="n"/>
      <c r="T909" s="233" t="n"/>
      <c r="U909" s="233" t="n"/>
      <c r="V909" s="233" t="n"/>
      <c r="W909" s="232" t="n"/>
    </row>
    <row r="910" ht="54.95" customFormat="1" customHeight="1" s="235">
      <c r="A910" s="232" t="n"/>
      <c r="B910" s="232" t="n"/>
      <c r="C910" s="232" t="n"/>
      <c r="D910" s="233" t="n"/>
      <c r="E910" s="232" t="n"/>
      <c r="F910" s="233" t="n"/>
      <c r="G910" s="233" t="n"/>
      <c r="H910" s="233" t="n"/>
      <c r="I910" s="232" t="n"/>
      <c r="J910" s="233" t="n"/>
      <c r="K910" s="232" t="n"/>
      <c r="L910" s="232" t="n"/>
      <c r="M910" s="232" t="n"/>
      <c r="N910" s="233" t="n"/>
      <c r="O910" s="232" t="n"/>
      <c r="P910" s="233" t="n"/>
      <c r="Q910" s="233" t="n"/>
      <c r="R910" s="233" t="n"/>
      <c r="S910" s="232" t="n"/>
      <c r="T910" s="233" t="n"/>
      <c r="U910" s="233" t="n"/>
      <c r="V910" s="233" t="n"/>
      <c r="W910" s="232" t="n"/>
    </row>
    <row r="911" ht="54.95" customFormat="1" customHeight="1" s="235">
      <c r="A911" s="232" t="n"/>
      <c r="B911" s="232" t="n"/>
      <c r="C911" s="232" t="n"/>
      <c r="D911" s="233" t="n"/>
      <c r="E911" s="232" t="n"/>
      <c r="F911" s="233" t="n"/>
      <c r="G911" s="233" t="n"/>
      <c r="H911" s="233" t="n"/>
      <c r="I911" s="232" t="n"/>
      <c r="J911" s="233" t="n"/>
      <c r="K911" s="232" t="n"/>
      <c r="L911" s="232" t="n"/>
      <c r="M911" s="232" t="n"/>
      <c r="N911" s="233" t="n"/>
      <c r="O911" s="232" t="n"/>
      <c r="P911" s="233" t="n"/>
      <c r="Q911" s="233" t="n"/>
      <c r="R911" s="233" t="n"/>
      <c r="S911" s="232" t="n"/>
      <c r="T911" s="233" t="n"/>
      <c r="U911" s="233" t="n"/>
      <c r="V911" s="233" t="n"/>
      <c r="W911" s="232" t="n"/>
    </row>
    <row r="912" ht="54.95" customFormat="1" customHeight="1" s="235">
      <c r="A912" s="234" t="n"/>
      <c r="B912" s="234" t="n"/>
      <c r="C912" s="234" t="n"/>
      <c r="D912" s="234" t="n"/>
      <c r="E912" s="234" t="n"/>
      <c r="F912" s="234" t="n"/>
      <c r="G912" s="234" t="n"/>
      <c r="H912" s="234" t="n"/>
      <c r="I912" s="234" t="n"/>
      <c r="J912" s="234" t="n"/>
      <c r="K912" s="234" t="n"/>
      <c r="L912" s="234" t="n"/>
      <c r="M912" s="232" t="n"/>
      <c r="N912" s="233" t="n"/>
      <c r="O912" s="232" t="n"/>
      <c r="P912" s="234" t="n"/>
      <c r="Q912" s="234" t="n"/>
      <c r="R912" s="234" t="n"/>
      <c r="S912" s="234" t="n"/>
      <c r="T912" s="234" t="n"/>
      <c r="U912" s="234" t="n"/>
      <c r="V912" s="234" t="n"/>
      <c r="W912" s="234" t="n"/>
    </row>
    <row r="913" ht="54.95" customFormat="1" customHeight="1" s="235">
      <c r="A913" s="234" t="n"/>
      <c r="B913" s="234" t="n"/>
      <c r="C913" s="234" t="n"/>
      <c r="D913" s="234" t="n"/>
      <c r="E913" s="234" t="n"/>
      <c r="F913" s="234" t="n"/>
      <c r="G913" s="234" t="n"/>
      <c r="H913" s="234" t="n"/>
      <c r="I913" s="234" t="n"/>
      <c r="J913" s="234" t="n"/>
      <c r="K913" s="234" t="n"/>
      <c r="L913" s="234" t="n"/>
      <c r="M913" s="232" t="n"/>
      <c r="N913" s="233" t="n"/>
      <c r="O913" s="232" t="n"/>
      <c r="P913" s="234" t="n"/>
      <c r="Q913" s="234" t="n"/>
      <c r="R913" s="234" t="n"/>
      <c r="S913" s="234" t="n"/>
      <c r="T913" s="234" t="n"/>
      <c r="U913" s="234" t="n"/>
      <c r="V913" s="234" t="n"/>
      <c r="W913" s="234" t="n"/>
    </row>
    <row r="914" ht="54.95" customFormat="1" customHeight="1" s="235">
      <c r="A914" s="234" t="n"/>
      <c r="B914" s="234" t="n"/>
      <c r="C914" s="234" t="n"/>
      <c r="D914" s="234" t="n"/>
      <c r="E914" s="234" t="n"/>
      <c r="F914" s="234" t="n"/>
      <c r="G914" s="234" t="n"/>
      <c r="H914" s="234" t="n"/>
      <c r="I914" s="234" t="n"/>
      <c r="J914" s="234" t="n"/>
      <c r="K914" s="234" t="n"/>
      <c r="L914" s="234" t="n"/>
      <c r="M914" s="232" t="n"/>
      <c r="N914" s="233" t="n"/>
      <c r="O914" s="232" t="n"/>
      <c r="P914" s="234" t="n"/>
      <c r="Q914" s="234" t="n"/>
      <c r="R914" s="234" t="n"/>
      <c r="S914" s="234" t="n"/>
      <c r="T914" s="234" t="n"/>
      <c r="U914" s="234" t="n"/>
      <c r="V914" s="234" t="n"/>
      <c r="W914" s="234" t="n"/>
    </row>
    <row r="915" ht="54.95" customFormat="1" customHeight="1" s="235">
      <c r="A915" s="232" t="n"/>
      <c r="B915" s="232" t="n"/>
      <c r="C915" s="232" t="n"/>
      <c r="D915" s="233" t="n"/>
      <c r="E915" s="232" t="n"/>
      <c r="F915" s="233" t="n"/>
      <c r="G915" s="233" t="n"/>
      <c r="H915" s="233" t="n"/>
      <c r="I915" s="232" t="n"/>
      <c r="J915" s="233" t="n"/>
      <c r="K915" s="232" t="n"/>
      <c r="L915" s="232" t="n"/>
      <c r="M915" s="232" t="n"/>
      <c r="N915" s="233" t="n"/>
      <c r="O915" s="232" t="n"/>
      <c r="P915" s="233" t="n"/>
      <c r="Q915" s="233" t="n"/>
      <c r="R915" s="233" t="n"/>
      <c r="S915" s="232" t="n"/>
      <c r="T915" s="233" t="n"/>
      <c r="U915" s="233" t="n"/>
      <c r="V915" s="233" t="n"/>
      <c r="W915" s="232" t="n"/>
    </row>
    <row r="916" ht="54.95" customFormat="1" customHeight="1" s="235">
      <c r="A916" s="232" t="n"/>
      <c r="B916" s="232" t="n"/>
      <c r="C916" s="232" t="n"/>
      <c r="D916" s="233" t="n"/>
      <c r="E916" s="232" t="n"/>
      <c r="F916" s="233" t="n"/>
      <c r="G916" s="233" t="n"/>
      <c r="H916" s="233" t="n"/>
      <c r="I916" s="232" t="n"/>
      <c r="J916" s="233" t="n"/>
      <c r="K916" s="232" t="n"/>
      <c r="L916" s="232" t="n"/>
      <c r="M916" s="232" t="n"/>
      <c r="N916" s="233" t="n"/>
      <c r="O916" s="232" t="n"/>
      <c r="P916" s="233" t="n"/>
      <c r="Q916" s="233" t="n"/>
      <c r="R916" s="233" t="n"/>
      <c r="S916" s="232" t="n"/>
      <c r="T916" s="233" t="n"/>
      <c r="U916" s="233" t="n"/>
      <c r="V916" s="233" t="n"/>
      <c r="W916" s="232" t="n"/>
    </row>
    <row r="917" ht="54.95" customFormat="1" customHeight="1" s="235">
      <c r="A917" s="232" t="n"/>
      <c r="B917" s="232" t="n"/>
      <c r="C917" s="232" t="n"/>
      <c r="D917" s="233" t="n"/>
      <c r="E917" s="232" t="n"/>
      <c r="F917" s="233" t="n"/>
      <c r="G917" s="233" t="n"/>
      <c r="H917" s="233" t="n"/>
      <c r="I917" s="232" t="n"/>
      <c r="J917" s="233" t="n"/>
      <c r="K917" s="232" t="n"/>
      <c r="L917" s="232" t="n"/>
      <c r="M917" s="232" t="n"/>
      <c r="N917" s="233" t="n"/>
      <c r="O917" s="232" t="n"/>
      <c r="P917" s="233" t="n"/>
      <c r="Q917" s="233" t="n"/>
      <c r="R917" s="233" t="n"/>
      <c r="S917" s="232" t="n"/>
      <c r="T917" s="233" t="n"/>
      <c r="U917" s="233" t="n"/>
      <c r="V917" s="233" t="n"/>
      <c r="W917" s="232" t="n"/>
    </row>
    <row r="918" ht="54.95" customFormat="1" customHeight="1" s="235">
      <c r="A918" s="232" t="n"/>
      <c r="B918" s="232" t="n"/>
      <c r="C918" s="232" t="n"/>
      <c r="D918" s="233" t="n"/>
      <c r="E918" s="232" t="n"/>
      <c r="F918" s="233" t="n"/>
      <c r="G918" s="233" t="n"/>
      <c r="H918" s="233" t="n"/>
      <c r="I918" s="232" t="n"/>
      <c r="J918" s="233" t="n"/>
      <c r="K918" s="232" t="n"/>
      <c r="L918" s="232" t="n"/>
      <c r="M918" s="232" t="n"/>
      <c r="N918" s="233" t="n"/>
      <c r="O918" s="232" t="n"/>
      <c r="P918" s="233" t="n"/>
      <c r="Q918" s="233" t="n"/>
      <c r="R918" s="233" t="n"/>
      <c r="S918" s="232" t="n"/>
      <c r="T918" s="233" t="n"/>
      <c r="U918" s="233" t="n"/>
      <c r="V918" s="233" t="n"/>
      <c r="W918" s="232" t="n"/>
    </row>
    <row r="919" ht="54.95" customFormat="1" customHeight="1" s="235">
      <c r="A919" s="232" t="n"/>
      <c r="B919" s="232" t="n"/>
      <c r="C919" s="232" t="n"/>
      <c r="D919" s="233" t="n"/>
      <c r="E919" s="232" t="n"/>
      <c r="F919" s="233" t="n"/>
      <c r="G919" s="233" t="n"/>
      <c r="H919" s="233" t="n"/>
      <c r="I919" s="232" t="n"/>
      <c r="J919" s="233" t="n"/>
      <c r="K919" s="232" t="n"/>
      <c r="L919" s="232" t="n"/>
      <c r="M919" s="232" t="n"/>
      <c r="N919" s="233" t="n"/>
      <c r="O919" s="232" t="n"/>
      <c r="P919" s="233" t="n"/>
      <c r="Q919" s="233" t="n"/>
      <c r="R919" s="233" t="n"/>
      <c r="S919" s="232" t="n"/>
      <c r="T919" s="233" t="n"/>
      <c r="U919" s="233" t="n"/>
      <c r="V919" s="233" t="n"/>
      <c r="W919" s="232" t="n"/>
    </row>
    <row r="920" ht="54.95" customFormat="1" customHeight="1" s="235">
      <c r="A920" s="232" t="n"/>
      <c r="B920" s="232" t="n"/>
      <c r="C920" s="232" t="n"/>
      <c r="D920" s="233" t="n"/>
      <c r="E920" s="232" t="n"/>
      <c r="F920" s="233" t="n"/>
      <c r="G920" s="233" t="n"/>
      <c r="H920" s="233" t="n"/>
      <c r="I920" s="232" t="n"/>
      <c r="J920" s="233" t="n"/>
      <c r="K920" s="232" t="n"/>
      <c r="L920" s="232" t="n"/>
      <c r="M920" s="232" t="n"/>
      <c r="N920" s="233" t="n"/>
      <c r="O920" s="232" t="n"/>
      <c r="P920" s="233" t="n"/>
      <c r="Q920" s="233" t="n"/>
      <c r="R920" s="233" t="n"/>
      <c r="S920" s="232" t="n"/>
      <c r="T920" s="233" t="n"/>
      <c r="U920" s="233" t="n"/>
      <c r="V920" s="233" t="n"/>
      <c r="W920" s="232" t="n"/>
    </row>
    <row r="921" ht="54.95" customFormat="1" customHeight="1" s="235">
      <c r="A921" s="232" t="n"/>
      <c r="B921" s="232" t="n"/>
      <c r="C921" s="232" t="n"/>
      <c r="D921" s="233" t="n"/>
      <c r="E921" s="232" t="n"/>
      <c r="F921" s="233" t="n"/>
      <c r="G921" s="233" t="n"/>
      <c r="H921" s="233" t="n"/>
      <c r="I921" s="232" t="n"/>
      <c r="J921" s="233" t="n"/>
      <c r="K921" s="232" t="n"/>
      <c r="L921" s="232" t="n"/>
      <c r="M921" s="232" t="n"/>
      <c r="N921" s="233" t="n"/>
      <c r="O921" s="232" t="n"/>
      <c r="P921" s="233" t="n"/>
      <c r="Q921" s="233" t="n"/>
      <c r="R921" s="233" t="n"/>
      <c r="S921" s="232" t="n"/>
      <c r="T921" s="233" t="n"/>
      <c r="U921" s="233" t="n"/>
      <c r="V921" s="233" t="n"/>
      <c r="W921" s="232" t="n"/>
    </row>
    <row r="922" ht="54.95" customFormat="1" customHeight="1" s="235">
      <c r="A922" s="232" t="n"/>
      <c r="B922" s="232" t="n"/>
      <c r="C922" s="232" t="n"/>
      <c r="D922" s="233" t="n"/>
      <c r="E922" s="232" t="n"/>
      <c r="F922" s="233" t="n"/>
      <c r="G922" s="233" t="n"/>
      <c r="H922" s="233" t="n"/>
      <c r="I922" s="232" t="n"/>
      <c r="J922" s="233" t="n"/>
      <c r="K922" s="232" t="n"/>
      <c r="L922" s="232" t="n"/>
      <c r="M922" s="232" t="n"/>
      <c r="N922" s="233" t="n"/>
      <c r="O922" s="232" t="n"/>
      <c r="P922" s="233" t="n"/>
      <c r="Q922" s="233" t="n"/>
      <c r="R922" s="233" t="n"/>
      <c r="S922" s="232" t="n"/>
      <c r="T922" s="233" t="n"/>
      <c r="U922" s="233" t="n"/>
      <c r="V922" s="233" t="n"/>
      <c r="W922" s="232" t="n"/>
    </row>
    <row r="923" ht="54.95" customFormat="1" customHeight="1" s="235">
      <c r="A923" s="232" t="n"/>
      <c r="B923" s="232" t="n"/>
      <c r="C923" s="232" t="n"/>
      <c r="D923" s="233" t="n"/>
      <c r="E923" s="232" t="n"/>
      <c r="F923" s="233" t="n"/>
      <c r="G923" s="233" t="n"/>
      <c r="H923" s="233" t="n"/>
      <c r="I923" s="232" t="n"/>
      <c r="J923" s="233" t="n"/>
      <c r="K923" s="232" t="n"/>
      <c r="L923" s="232" t="n"/>
      <c r="M923" s="232" t="n"/>
      <c r="N923" s="233" t="n"/>
      <c r="O923" s="232" t="n"/>
      <c r="P923" s="233" t="n"/>
      <c r="Q923" s="233" t="n"/>
      <c r="R923" s="233" t="n"/>
      <c r="S923" s="232" t="n"/>
      <c r="T923" s="233" t="n"/>
      <c r="U923" s="233" t="n"/>
      <c r="V923" s="233" t="n"/>
      <c r="W923" s="232" t="n"/>
    </row>
    <row r="924" ht="54.95" customFormat="1" customHeight="1" s="235">
      <c r="A924" s="234" t="n"/>
      <c r="B924" s="234" t="n"/>
      <c r="C924" s="234" t="n"/>
      <c r="D924" s="234" t="n"/>
      <c r="E924" s="234" t="n"/>
      <c r="F924" s="234" t="n"/>
      <c r="G924" s="234" t="n"/>
      <c r="H924" s="234" t="n"/>
      <c r="I924" s="234" t="n"/>
      <c r="J924" s="234" t="n"/>
      <c r="K924" s="234" t="n"/>
      <c r="L924" s="234" t="n"/>
      <c r="M924" s="232" t="n"/>
      <c r="N924" s="233" t="n"/>
      <c r="O924" s="232" t="n"/>
      <c r="P924" s="234" t="n"/>
      <c r="Q924" s="234" t="n"/>
      <c r="R924" s="234" t="n"/>
      <c r="S924" s="234" t="n"/>
      <c r="T924" s="234" t="n"/>
      <c r="U924" s="234" t="n"/>
      <c r="V924" s="234" t="n"/>
      <c r="W924" s="234" t="n"/>
    </row>
    <row r="925" ht="54.95" customFormat="1" customHeight="1" s="235">
      <c r="A925" s="234" t="n"/>
      <c r="B925" s="234" t="n"/>
      <c r="C925" s="234" t="n"/>
      <c r="D925" s="234" t="n"/>
      <c r="E925" s="234" t="n"/>
      <c r="F925" s="234" t="n"/>
      <c r="G925" s="234" t="n"/>
      <c r="H925" s="234" t="n"/>
      <c r="I925" s="234" t="n"/>
      <c r="J925" s="234" t="n"/>
      <c r="K925" s="234" t="n"/>
      <c r="L925" s="234" t="n"/>
      <c r="M925" s="232" t="n"/>
      <c r="N925" s="233" t="n"/>
      <c r="O925" s="232" t="n"/>
      <c r="P925" s="234" t="n"/>
      <c r="Q925" s="234" t="n"/>
      <c r="R925" s="234" t="n"/>
      <c r="S925" s="234" t="n"/>
      <c r="T925" s="234" t="n"/>
      <c r="U925" s="234" t="n"/>
      <c r="V925" s="234" t="n"/>
      <c r="W925" s="234" t="n"/>
    </row>
    <row r="926" ht="54.95" customFormat="1" customHeight="1" s="235">
      <c r="A926" s="232" t="n"/>
      <c r="B926" s="232" t="n"/>
      <c r="C926" s="232" t="n"/>
      <c r="D926" s="233" t="n"/>
      <c r="E926" s="232" t="n"/>
      <c r="F926" s="233" t="n"/>
      <c r="G926" s="233" t="n"/>
      <c r="H926" s="233" t="n"/>
      <c r="I926" s="232" t="n"/>
      <c r="J926" s="233" t="n"/>
      <c r="K926" s="232" t="n"/>
      <c r="L926" s="232" t="n"/>
      <c r="M926" s="232" t="n"/>
      <c r="N926" s="233" t="n"/>
      <c r="O926" s="232" t="n"/>
      <c r="P926" s="233" t="n"/>
      <c r="Q926" s="233" t="n"/>
      <c r="R926" s="233" t="n"/>
      <c r="S926" s="232" t="n"/>
      <c r="T926" s="233" t="n"/>
      <c r="U926" s="233" t="n"/>
      <c r="V926" s="233" t="n"/>
      <c r="W926" s="232" t="n"/>
    </row>
    <row r="927" ht="54.95" customFormat="1" customHeight="1" s="235">
      <c r="A927" s="234" t="n"/>
      <c r="B927" s="234" t="n"/>
      <c r="C927" s="234" t="n"/>
      <c r="D927" s="234" t="n"/>
      <c r="E927" s="234" t="n"/>
      <c r="F927" s="234" t="n"/>
      <c r="G927" s="234" t="n"/>
      <c r="H927" s="234" t="n"/>
      <c r="I927" s="234" t="n"/>
      <c r="J927" s="234" t="n"/>
      <c r="K927" s="234" t="n"/>
      <c r="L927" s="234" t="n"/>
      <c r="M927" s="232" t="n"/>
      <c r="N927" s="233" t="n"/>
      <c r="O927" s="232" t="n"/>
      <c r="P927" s="234" t="n"/>
      <c r="Q927" s="234" t="n"/>
      <c r="R927" s="234" t="n"/>
      <c r="S927" s="234" t="n"/>
      <c r="T927" s="234" t="n"/>
      <c r="U927" s="234" t="n"/>
      <c r="V927" s="234" t="n"/>
      <c r="W927" s="234" t="n"/>
    </row>
    <row r="928" ht="54.95" customFormat="1" customHeight="1" s="235">
      <c r="A928" s="234" t="n"/>
      <c r="B928" s="234" t="n"/>
      <c r="C928" s="234" t="n"/>
      <c r="D928" s="234" t="n"/>
      <c r="E928" s="234" t="n"/>
      <c r="F928" s="234" t="n"/>
      <c r="G928" s="234" t="n"/>
      <c r="H928" s="234" t="n"/>
      <c r="I928" s="234" t="n"/>
      <c r="J928" s="234" t="n"/>
      <c r="K928" s="234" t="n"/>
      <c r="L928" s="234" t="n"/>
      <c r="M928" s="232" t="n"/>
      <c r="N928" s="233" t="n"/>
      <c r="O928" s="232" t="n"/>
      <c r="P928" s="234" t="n"/>
      <c r="Q928" s="234" t="n"/>
      <c r="R928" s="234" t="n"/>
      <c r="S928" s="234" t="n"/>
      <c r="T928" s="234" t="n"/>
      <c r="U928" s="234" t="n"/>
      <c r="V928" s="234" t="n"/>
      <c r="W928" s="234" t="n"/>
    </row>
    <row r="929" ht="54.95" customFormat="1" customHeight="1" s="235">
      <c r="A929" s="232" t="n"/>
      <c r="B929" s="232" t="n"/>
      <c r="C929" s="232" t="n"/>
      <c r="D929" s="233" t="n"/>
      <c r="E929" s="232" t="n"/>
      <c r="F929" s="233" t="n"/>
      <c r="G929" s="233" t="n"/>
      <c r="H929" s="233" t="n"/>
      <c r="I929" s="232" t="n"/>
      <c r="J929" s="233" t="n"/>
      <c r="K929" s="232" t="n"/>
      <c r="L929" s="232" t="n"/>
      <c r="M929" s="232" t="n"/>
      <c r="N929" s="233" t="n"/>
      <c r="O929" s="232" t="n"/>
      <c r="P929" s="233" t="n"/>
      <c r="Q929" s="233" t="n"/>
      <c r="R929" s="233" t="n"/>
      <c r="S929" s="232" t="n"/>
      <c r="T929" s="233" t="n"/>
      <c r="U929" s="233" t="n"/>
      <c r="V929" s="233" t="n"/>
      <c r="W929" s="232" t="n"/>
    </row>
    <row r="930" ht="54.95" customFormat="1" customHeight="1" s="235">
      <c r="A930" s="232" t="n"/>
      <c r="B930" s="232" t="n"/>
      <c r="C930" s="232" t="n"/>
      <c r="D930" s="233" t="n"/>
      <c r="E930" s="232" t="n"/>
      <c r="F930" s="233" t="n"/>
      <c r="G930" s="233" t="n"/>
      <c r="H930" s="233" t="n"/>
      <c r="I930" s="232" t="n"/>
      <c r="J930" s="233" t="n"/>
      <c r="K930" s="232" t="n"/>
      <c r="L930" s="232" t="n"/>
      <c r="M930" s="232" t="n"/>
      <c r="N930" s="233" t="n"/>
      <c r="O930" s="232" t="n"/>
      <c r="P930" s="233" t="n"/>
      <c r="Q930" s="233" t="n"/>
      <c r="R930" s="233" t="n"/>
      <c r="S930" s="232" t="n"/>
      <c r="T930" s="233" t="n"/>
      <c r="U930" s="233" t="n"/>
      <c r="V930" s="233" t="n"/>
      <c r="W930" s="232" t="n"/>
    </row>
    <row r="931" ht="54.95" customFormat="1" customHeight="1" s="235">
      <c r="A931" s="232" t="n"/>
      <c r="B931" s="232" t="n"/>
      <c r="C931" s="232" t="n"/>
      <c r="D931" s="233" t="n"/>
      <c r="E931" s="232" t="n"/>
      <c r="F931" s="233" t="n"/>
      <c r="G931" s="233" t="n"/>
      <c r="H931" s="233" t="n"/>
      <c r="I931" s="232" t="n"/>
      <c r="J931" s="233" t="n"/>
      <c r="K931" s="232" t="n"/>
      <c r="L931" s="232" t="n"/>
      <c r="M931" s="232" t="n"/>
      <c r="N931" s="233" t="n"/>
      <c r="O931" s="232" t="n"/>
      <c r="P931" s="233" t="n"/>
      <c r="Q931" s="233" t="n"/>
      <c r="R931" s="233" t="n"/>
      <c r="S931" s="232" t="n"/>
      <c r="T931" s="233" t="n"/>
      <c r="U931" s="233" t="n"/>
      <c r="V931" s="233" t="n"/>
      <c r="W931" s="232" t="n"/>
    </row>
    <row r="932" ht="54.95" customFormat="1" customHeight="1" s="235">
      <c r="A932" s="234" t="n"/>
      <c r="B932" s="234" t="n"/>
      <c r="C932" s="234" t="n"/>
      <c r="D932" s="234" t="n"/>
      <c r="E932" s="234" t="n"/>
      <c r="F932" s="234" t="n"/>
      <c r="G932" s="234" t="n"/>
      <c r="H932" s="234" t="n"/>
      <c r="I932" s="234" t="n"/>
      <c r="J932" s="234" t="n"/>
      <c r="K932" s="234" t="n"/>
      <c r="L932" s="234" t="n"/>
      <c r="M932" s="232" t="n"/>
      <c r="N932" s="233" t="n"/>
      <c r="O932" s="232" t="n"/>
      <c r="P932" s="234" t="n"/>
      <c r="Q932" s="234" t="n"/>
      <c r="R932" s="234" t="n"/>
      <c r="S932" s="234" t="n"/>
      <c r="T932" s="234" t="n"/>
      <c r="U932" s="234" t="n"/>
      <c r="V932" s="234" t="n"/>
      <c r="W932" s="234" t="n"/>
    </row>
    <row r="933" ht="54.95" customFormat="1" customHeight="1" s="235">
      <c r="A933" s="234" t="n"/>
      <c r="B933" s="234" t="n"/>
      <c r="C933" s="234" t="n"/>
      <c r="D933" s="234" t="n"/>
      <c r="E933" s="234" t="n"/>
      <c r="F933" s="234" t="n"/>
      <c r="G933" s="234" t="n"/>
      <c r="H933" s="234" t="n"/>
      <c r="I933" s="234" t="n"/>
      <c r="J933" s="234" t="n"/>
      <c r="K933" s="234" t="n"/>
      <c r="L933" s="234" t="n"/>
      <c r="M933" s="232" t="n"/>
      <c r="N933" s="233" t="n"/>
      <c r="O933" s="232" t="n"/>
      <c r="P933" s="234" t="n"/>
      <c r="Q933" s="234" t="n"/>
      <c r="R933" s="234" t="n"/>
      <c r="S933" s="234" t="n"/>
      <c r="T933" s="234" t="n"/>
      <c r="U933" s="234" t="n"/>
      <c r="V933" s="234" t="n"/>
      <c r="W933" s="234" t="n"/>
    </row>
    <row r="934" ht="54.95" customFormat="1" customHeight="1" s="235">
      <c r="A934" s="232" t="n"/>
      <c r="B934" s="232" t="n"/>
      <c r="C934" s="232" t="n"/>
      <c r="D934" s="233" t="n"/>
      <c r="E934" s="232" t="n"/>
      <c r="F934" s="233" t="n"/>
      <c r="G934" s="233" t="n"/>
      <c r="H934" s="233" t="n"/>
      <c r="I934" s="232" t="n"/>
      <c r="J934" s="233" t="n"/>
      <c r="K934" s="232" t="n"/>
      <c r="L934" s="232" t="n"/>
      <c r="M934" s="232" t="n"/>
      <c r="N934" s="233" t="n"/>
      <c r="O934" s="232" t="n"/>
      <c r="P934" s="233" t="n"/>
      <c r="Q934" s="233" t="n"/>
      <c r="R934" s="233" t="n"/>
      <c r="S934" s="232" t="n"/>
      <c r="T934" s="233" t="n"/>
      <c r="U934" s="233" t="n"/>
      <c r="V934" s="233" t="n"/>
      <c r="W934" s="232" t="n"/>
    </row>
    <row r="935" ht="54.95" customFormat="1" customHeight="1" s="235">
      <c r="A935" s="232" t="n"/>
      <c r="B935" s="232" t="n"/>
      <c r="C935" s="232" t="n"/>
      <c r="D935" s="233" t="n"/>
      <c r="E935" s="232" t="n"/>
      <c r="F935" s="233" t="n"/>
      <c r="G935" s="233" t="n"/>
      <c r="H935" s="233" t="n"/>
      <c r="I935" s="232" t="n"/>
      <c r="J935" s="233" t="n"/>
      <c r="K935" s="232" t="n"/>
      <c r="L935" s="232" t="n"/>
      <c r="M935" s="232" t="n"/>
      <c r="N935" s="233" t="n"/>
      <c r="O935" s="232" t="n"/>
      <c r="P935" s="233" t="n"/>
      <c r="Q935" s="233" t="n"/>
      <c r="R935" s="233" t="n"/>
      <c r="S935" s="232" t="n"/>
      <c r="T935" s="233" t="n"/>
      <c r="U935" s="233" t="n"/>
      <c r="V935" s="233" t="n"/>
      <c r="W935" s="232" t="n"/>
    </row>
    <row r="936" ht="54.95" customFormat="1" customHeight="1" s="235">
      <c r="A936" s="232" t="n"/>
      <c r="B936" s="232" t="n"/>
      <c r="C936" s="232" t="n"/>
      <c r="D936" s="233" t="n"/>
      <c r="E936" s="232" t="n"/>
      <c r="F936" s="233" t="n"/>
      <c r="G936" s="233" t="n"/>
      <c r="H936" s="233" t="n"/>
      <c r="I936" s="232" t="n"/>
      <c r="J936" s="233" t="n"/>
      <c r="K936" s="232" t="n"/>
      <c r="L936" s="232" t="n"/>
      <c r="M936" s="232" t="n"/>
      <c r="N936" s="233" t="n"/>
      <c r="O936" s="232" t="n"/>
      <c r="P936" s="233" t="n"/>
      <c r="Q936" s="233" t="n"/>
      <c r="R936" s="233" t="n"/>
      <c r="S936" s="232" t="n"/>
      <c r="T936" s="233" t="n"/>
      <c r="U936" s="233" t="n"/>
      <c r="V936" s="233" t="n"/>
      <c r="W936" s="232" t="n"/>
    </row>
    <row r="937" ht="54.95" customFormat="1" customHeight="1" s="235">
      <c r="A937" s="232" t="n"/>
      <c r="B937" s="232" t="n"/>
      <c r="C937" s="232" t="n"/>
      <c r="D937" s="233" t="n"/>
      <c r="E937" s="232" t="n"/>
      <c r="F937" s="233" t="n"/>
      <c r="G937" s="233" t="n"/>
      <c r="H937" s="233" t="n"/>
      <c r="I937" s="232" t="n"/>
      <c r="J937" s="233" t="n"/>
      <c r="K937" s="232" t="n"/>
      <c r="L937" s="232" t="n"/>
      <c r="M937" s="232" t="n"/>
      <c r="N937" s="233" t="n"/>
      <c r="O937" s="232" t="n"/>
      <c r="P937" s="233" t="n"/>
      <c r="Q937" s="233" t="n"/>
      <c r="R937" s="233" t="n"/>
      <c r="S937" s="232" t="n"/>
      <c r="T937" s="233" t="n"/>
      <c r="U937" s="233" t="n"/>
      <c r="V937" s="233" t="n"/>
      <c r="W937" s="232" t="n"/>
    </row>
    <row r="938" ht="54.95" customFormat="1" customHeight="1" s="235">
      <c r="A938" s="232" t="n"/>
      <c r="B938" s="232" t="n"/>
      <c r="C938" s="232" t="n"/>
      <c r="D938" s="233" t="n"/>
      <c r="E938" s="232" t="n"/>
      <c r="F938" s="233" t="n"/>
      <c r="G938" s="233" t="n"/>
      <c r="H938" s="233" t="n"/>
      <c r="I938" s="232" t="n"/>
      <c r="J938" s="233" t="n"/>
      <c r="K938" s="232" t="n"/>
      <c r="L938" s="232" t="n"/>
      <c r="M938" s="232" t="n"/>
      <c r="N938" s="233" t="n"/>
      <c r="O938" s="232" t="n"/>
      <c r="P938" s="233" t="n"/>
      <c r="Q938" s="233" t="n"/>
      <c r="R938" s="233" t="n"/>
      <c r="S938" s="232" t="n"/>
      <c r="T938" s="233" t="n"/>
      <c r="U938" s="233" t="n"/>
      <c r="V938" s="233" t="n"/>
      <c r="W938" s="232" t="n"/>
    </row>
    <row r="939" ht="54.95" customFormat="1" customHeight="1" s="235">
      <c r="A939" s="232" t="n"/>
      <c r="B939" s="232" t="n"/>
      <c r="C939" s="232" t="n"/>
      <c r="D939" s="233" t="n"/>
      <c r="E939" s="232" t="n"/>
      <c r="F939" s="233" t="n"/>
      <c r="G939" s="233" t="n"/>
      <c r="H939" s="233" t="n"/>
      <c r="I939" s="232" t="n"/>
      <c r="J939" s="233" t="n"/>
      <c r="K939" s="232" t="n"/>
      <c r="L939" s="232" t="n"/>
      <c r="M939" s="232" t="n"/>
      <c r="N939" s="233" t="n"/>
      <c r="O939" s="232" t="n"/>
      <c r="P939" s="233" t="n"/>
      <c r="Q939" s="233" t="n"/>
      <c r="R939" s="233" t="n"/>
      <c r="S939" s="232" t="n"/>
      <c r="T939" s="233" t="n"/>
      <c r="U939" s="233" t="n"/>
      <c r="V939" s="233" t="n"/>
      <c r="W939" s="232" t="n"/>
    </row>
    <row r="940" ht="54.95" customFormat="1" customHeight="1" s="235">
      <c r="A940" s="232" t="n"/>
      <c r="B940" s="232" t="n"/>
      <c r="C940" s="232" t="n"/>
      <c r="D940" s="233" t="n"/>
      <c r="E940" s="232" t="n"/>
      <c r="F940" s="233" t="n"/>
      <c r="G940" s="233" t="n"/>
      <c r="H940" s="233" t="n"/>
      <c r="I940" s="232" t="n"/>
      <c r="J940" s="233" t="n"/>
      <c r="K940" s="232" t="n"/>
      <c r="L940" s="232" t="n"/>
      <c r="M940" s="232" t="n"/>
      <c r="N940" s="233" t="n"/>
      <c r="O940" s="232" t="n"/>
      <c r="P940" s="233" t="n"/>
      <c r="Q940" s="233" t="n"/>
      <c r="R940" s="233" t="n"/>
      <c r="S940" s="232" t="n"/>
      <c r="T940" s="233" t="n"/>
      <c r="U940" s="233" t="n"/>
      <c r="V940" s="233" t="n"/>
      <c r="W940" s="232" t="n"/>
    </row>
    <row r="941" ht="54.95" customFormat="1" customHeight="1" s="235">
      <c r="A941" s="232" t="n"/>
      <c r="B941" s="232" t="n"/>
      <c r="C941" s="232" t="n"/>
      <c r="D941" s="233" t="n"/>
      <c r="E941" s="232" t="n"/>
      <c r="F941" s="233" t="n"/>
      <c r="G941" s="233" t="n"/>
      <c r="H941" s="233" t="n"/>
      <c r="I941" s="232" t="n"/>
      <c r="J941" s="233" t="n"/>
      <c r="K941" s="232" t="n"/>
      <c r="L941" s="232" t="n"/>
      <c r="M941" s="232" t="n"/>
      <c r="N941" s="233" t="n"/>
      <c r="O941" s="232" t="n"/>
      <c r="P941" s="233" t="n"/>
      <c r="Q941" s="233" t="n"/>
      <c r="R941" s="233" t="n"/>
      <c r="S941" s="232" t="n"/>
      <c r="T941" s="233" t="n"/>
      <c r="U941" s="233" t="n"/>
      <c r="V941" s="233" t="n"/>
      <c r="W941" s="232" t="n"/>
    </row>
    <row r="942" ht="54.95" customFormat="1" customHeight="1" s="235">
      <c r="A942" s="234" t="n"/>
      <c r="B942" s="234" t="n"/>
      <c r="C942" s="234" t="n"/>
      <c r="D942" s="234" t="n"/>
      <c r="E942" s="234" t="n"/>
      <c r="F942" s="234" t="n"/>
      <c r="G942" s="234" t="n"/>
      <c r="H942" s="234" t="n"/>
      <c r="I942" s="234" t="n"/>
      <c r="J942" s="234" t="n"/>
      <c r="K942" s="234" t="n"/>
      <c r="L942" s="234" t="n"/>
      <c r="M942" s="232" t="n"/>
      <c r="N942" s="233" t="n"/>
      <c r="O942" s="232" t="n"/>
      <c r="P942" s="234" t="n"/>
      <c r="Q942" s="234" t="n"/>
      <c r="R942" s="234" t="n"/>
      <c r="S942" s="234" t="n"/>
      <c r="T942" s="234" t="n"/>
      <c r="U942" s="234" t="n"/>
      <c r="V942" s="234" t="n"/>
      <c r="W942" s="234" t="n"/>
    </row>
    <row r="943" ht="54.95" customFormat="1" customHeight="1" s="235">
      <c r="A943" s="234" t="n"/>
      <c r="B943" s="234" t="n"/>
      <c r="C943" s="234" t="n"/>
      <c r="D943" s="234" t="n"/>
      <c r="E943" s="234" t="n"/>
      <c r="F943" s="234" t="n"/>
      <c r="G943" s="234" t="n"/>
      <c r="H943" s="234" t="n"/>
      <c r="I943" s="234" t="n"/>
      <c r="J943" s="234" t="n"/>
      <c r="K943" s="234" t="n"/>
      <c r="L943" s="234" t="n"/>
      <c r="M943" s="232" t="n"/>
      <c r="N943" s="233" t="n"/>
      <c r="O943" s="232" t="n"/>
      <c r="P943" s="234" t="n"/>
      <c r="Q943" s="234" t="n"/>
      <c r="R943" s="234" t="n"/>
      <c r="S943" s="234" t="n"/>
      <c r="T943" s="234" t="n"/>
      <c r="U943" s="234" t="n"/>
      <c r="V943" s="234" t="n"/>
      <c r="W943" s="234" t="n"/>
    </row>
    <row r="944" ht="54.95" customFormat="1" customHeight="1" s="235">
      <c r="A944" s="234" t="n"/>
      <c r="B944" s="234" t="n"/>
      <c r="C944" s="234" t="n"/>
      <c r="D944" s="234" t="n"/>
      <c r="E944" s="234" t="n"/>
      <c r="F944" s="234" t="n"/>
      <c r="G944" s="234" t="n"/>
      <c r="H944" s="234" t="n"/>
      <c r="I944" s="234" t="n"/>
      <c r="J944" s="234" t="n"/>
      <c r="K944" s="234" t="n"/>
      <c r="L944" s="234" t="n"/>
      <c r="M944" s="232" t="n"/>
      <c r="N944" s="233" t="n"/>
      <c r="O944" s="232" t="n"/>
      <c r="P944" s="234" t="n"/>
      <c r="Q944" s="234" t="n"/>
      <c r="R944" s="234" t="n"/>
      <c r="S944" s="234" t="n"/>
      <c r="T944" s="234" t="n"/>
      <c r="U944" s="234" t="n"/>
      <c r="V944" s="234" t="n"/>
      <c r="W944" s="234" t="n"/>
    </row>
    <row r="945" ht="54.95" customFormat="1" customHeight="1" s="235">
      <c r="A945" s="232" t="n"/>
      <c r="B945" s="232" t="n"/>
      <c r="C945" s="232" t="n"/>
      <c r="D945" s="233" t="n"/>
      <c r="E945" s="232" t="n"/>
      <c r="F945" s="233" t="n"/>
      <c r="G945" s="233" t="n"/>
      <c r="H945" s="233" t="n"/>
      <c r="I945" s="232" t="n"/>
      <c r="J945" s="233" t="n"/>
      <c r="K945" s="232" t="n"/>
      <c r="L945" s="232" t="n"/>
      <c r="M945" s="232" t="n"/>
      <c r="N945" s="233" t="n"/>
      <c r="O945" s="232" t="n"/>
      <c r="P945" s="233" t="n"/>
      <c r="Q945" s="233" t="n"/>
      <c r="R945" s="233" t="n"/>
      <c r="S945" s="232" t="n"/>
      <c r="T945" s="233" t="n"/>
      <c r="U945" s="233" t="n"/>
      <c r="V945" s="233" t="n"/>
      <c r="W945" s="232" t="n"/>
    </row>
    <row r="946" ht="54.95" customFormat="1" customHeight="1" s="235">
      <c r="A946" s="232" t="n"/>
      <c r="B946" s="232" t="n"/>
      <c r="C946" s="232" t="n"/>
      <c r="D946" s="233" t="n"/>
      <c r="E946" s="232" t="n"/>
      <c r="F946" s="233" t="n"/>
      <c r="G946" s="233" t="n"/>
      <c r="H946" s="233" t="n"/>
      <c r="I946" s="232" t="n"/>
      <c r="J946" s="233" t="n"/>
      <c r="K946" s="232" t="n"/>
      <c r="L946" s="232" t="n"/>
      <c r="M946" s="232" t="n"/>
      <c r="N946" s="233" t="n"/>
      <c r="O946" s="232" t="n"/>
      <c r="P946" s="233" t="n"/>
      <c r="Q946" s="233" t="n"/>
      <c r="R946" s="233" t="n"/>
      <c r="S946" s="232" t="n"/>
      <c r="T946" s="233" t="n"/>
      <c r="U946" s="233" t="n"/>
      <c r="V946" s="233" t="n"/>
      <c r="W946" s="232" t="n"/>
    </row>
    <row r="947" ht="54.95" customFormat="1" customHeight="1" s="235">
      <c r="A947" s="232" t="n"/>
      <c r="B947" s="232" t="n"/>
      <c r="C947" s="232" t="n"/>
      <c r="D947" s="233" t="n"/>
      <c r="E947" s="232" t="n"/>
      <c r="F947" s="233" t="n"/>
      <c r="G947" s="233" t="n"/>
      <c r="H947" s="233" t="n"/>
      <c r="I947" s="232" t="n"/>
      <c r="J947" s="233" t="n"/>
      <c r="K947" s="232" t="n"/>
      <c r="L947" s="232" t="n"/>
      <c r="M947" s="232" t="n"/>
      <c r="N947" s="233" t="n"/>
      <c r="O947" s="232" t="n"/>
      <c r="P947" s="233" t="n"/>
      <c r="Q947" s="233" t="n"/>
      <c r="R947" s="233" t="n"/>
      <c r="S947" s="232" t="n"/>
      <c r="T947" s="233" t="n"/>
      <c r="U947" s="233" t="n"/>
      <c r="V947" s="233" t="n"/>
      <c r="W947" s="232" t="n"/>
    </row>
    <row r="948" ht="54.95" customFormat="1" customHeight="1" s="235">
      <c r="A948" s="232" t="n"/>
      <c r="B948" s="232" t="n"/>
      <c r="C948" s="232" t="n"/>
      <c r="D948" s="233" t="n"/>
      <c r="E948" s="232" t="n"/>
      <c r="F948" s="233" t="n"/>
      <c r="G948" s="233" t="n"/>
      <c r="H948" s="233" t="n"/>
      <c r="I948" s="232" t="n"/>
      <c r="J948" s="233" t="n"/>
      <c r="K948" s="232" t="n"/>
      <c r="L948" s="232" t="n"/>
      <c r="M948" s="232" t="n"/>
      <c r="N948" s="233" t="n"/>
      <c r="O948" s="232" t="n"/>
      <c r="P948" s="233" t="n"/>
      <c r="Q948" s="233" t="n"/>
      <c r="R948" s="233" t="n"/>
      <c r="S948" s="232" t="n"/>
      <c r="T948" s="233" t="n"/>
      <c r="U948" s="233" t="n"/>
      <c r="V948" s="233" t="n"/>
      <c r="W948" s="232" t="n"/>
    </row>
    <row r="949" ht="54.95" customFormat="1" customHeight="1" s="235">
      <c r="A949" s="232" t="n"/>
      <c r="B949" s="232" t="n"/>
      <c r="C949" s="232" t="n"/>
      <c r="D949" s="233" t="n"/>
      <c r="E949" s="232" t="n"/>
      <c r="F949" s="233" t="n"/>
      <c r="G949" s="233" t="n"/>
      <c r="H949" s="233" t="n"/>
      <c r="I949" s="232" t="n"/>
      <c r="J949" s="233" t="n"/>
      <c r="K949" s="232" t="n"/>
      <c r="L949" s="232" t="n"/>
      <c r="M949" s="232" t="n"/>
      <c r="N949" s="233" t="n"/>
      <c r="O949" s="232" t="n"/>
      <c r="P949" s="233" t="n"/>
      <c r="Q949" s="233" t="n"/>
      <c r="R949" s="233" t="n"/>
      <c r="S949" s="232" t="n"/>
      <c r="T949" s="233" t="n"/>
      <c r="U949" s="233" t="n"/>
      <c r="V949" s="233" t="n"/>
      <c r="W949" s="232" t="n"/>
    </row>
    <row r="950" ht="54.95" customFormat="1" customHeight="1" s="235">
      <c r="A950" s="232" t="n"/>
      <c r="B950" s="232" t="n"/>
      <c r="C950" s="232" t="n"/>
      <c r="D950" s="233" t="n"/>
      <c r="E950" s="232" t="n"/>
      <c r="F950" s="233" t="n"/>
      <c r="G950" s="233" t="n"/>
      <c r="H950" s="233" t="n"/>
      <c r="I950" s="232" t="n"/>
      <c r="J950" s="233" t="n"/>
      <c r="K950" s="232" t="n"/>
      <c r="L950" s="232" t="n"/>
      <c r="M950" s="232" t="n"/>
      <c r="N950" s="233" t="n"/>
      <c r="O950" s="232" t="n"/>
      <c r="P950" s="233" t="n"/>
      <c r="Q950" s="233" t="n"/>
      <c r="R950" s="233" t="n"/>
      <c r="S950" s="232" t="n"/>
      <c r="T950" s="233" t="n"/>
      <c r="U950" s="233" t="n"/>
      <c r="V950" s="233" t="n"/>
      <c r="W950" s="232" t="n"/>
    </row>
    <row r="951" ht="54.95" customFormat="1" customHeight="1" s="235">
      <c r="A951" s="234" t="n"/>
      <c r="B951" s="234" t="n"/>
      <c r="C951" s="234" t="n"/>
      <c r="D951" s="234" t="n"/>
      <c r="E951" s="234" t="n"/>
      <c r="F951" s="234" t="n"/>
      <c r="G951" s="234" t="n"/>
      <c r="H951" s="234" t="n"/>
      <c r="I951" s="234" t="n"/>
      <c r="J951" s="234" t="n"/>
      <c r="K951" s="234" t="n"/>
      <c r="L951" s="234" t="n"/>
      <c r="M951" s="232" t="n"/>
      <c r="N951" s="233" t="n"/>
      <c r="O951" s="232" t="n"/>
      <c r="P951" s="234" t="n"/>
      <c r="Q951" s="234" t="n"/>
      <c r="R951" s="234" t="n"/>
      <c r="S951" s="234" t="n"/>
      <c r="T951" s="234" t="n"/>
      <c r="U951" s="234" t="n"/>
      <c r="V951" s="234" t="n"/>
      <c r="W951" s="234" t="n"/>
    </row>
    <row r="952" ht="54.95" customFormat="1" customHeight="1" s="235">
      <c r="A952" s="232" t="n"/>
      <c r="B952" s="232" t="n"/>
      <c r="C952" s="232" t="n"/>
      <c r="D952" s="233" t="n"/>
      <c r="E952" s="232" t="n"/>
      <c r="F952" s="233" t="n"/>
      <c r="G952" s="233" t="n"/>
      <c r="H952" s="233" t="n"/>
      <c r="I952" s="232" t="n"/>
      <c r="J952" s="233" t="n"/>
      <c r="K952" s="232" t="n"/>
      <c r="L952" s="232" t="n"/>
      <c r="M952" s="232" t="n"/>
      <c r="N952" s="233" t="n"/>
      <c r="O952" s="232" t="n"/>
      <c r="P952" s="233" t="n"/>
      <c r="Q952" s="233" t="n"/>
      <c r="R952" s="233" t="n"/>
      <c r="S952" s="232" t="n"/>
      <c r="T952" s="233" t="n"/>
      <c r="U952" s="233" t="n"/>
      <c r="V952" s="233" t="n"/>
      <c r="W952" s="232" t="n"/>
    </row>
    <row r="953" ht="54.95" customFormat="1" customHeight="1" s="235">
      <c r="A953" s="232" t="n"/>
      <c r="B953" s="232" t="n"/>
      <c r="C953" s="232" t="n"/>
      <c r="D953" s="233" t="n"/>
      <c r="E953" s="232" t="n"/>
      <c r="F953" s="233" t="n"/>
      <c r="G953" s="233" t="n"/>
      <c r="H953" s="233" t="n"/>
      <c r="I953" s="232" t="n"/>
      <c r="J953" s="233" t="n"/>
      <c r="K953" s="232" t="n"/>
      <c r="L953" s="232" t="n"/>
      <c r="M953" s="232" t="n"/>
      <c r="N953" s="233" t="n"/>
      <c r="O953" s="232" t="n"/>
      <c r="P953" s="233" t="n"/>
      <c r="Q953" s="233" t="n"/>
      <c r="R953" s="233" t="n"/>
      <c r="S953" s="232" t="n"/>
      <c r="T953" s="233" t="n"/>
      <c r="U953" s="233" t="n"/>
      <c r="V953" s="233" t="n"/>
      <c r="W953" s="232" t="n"/>
    </row>
    <row r="954" ht="54.95" customFormat="1" customHeight="1" s="235">
      <c r="A954" s="234" t="n"/>
      <c r="B954" s="234" t="n"/>
      <c r="C954" s="234" t="n"/>
      <c r="D954" s="234" t="n"/>
      <c r="E954" s="234" t="n"/>
      <c r="F954" s="234" t="n"/>
      <c r="G954" s="234" t="n"/>
      <c r="H954" s="234" t="n"/>
      <c r="I954" s="234" t="n"/>
      <c r="J954" s="234" t="n"/>
      <c r="K954" s="234" t="n"/>
      <c r="L954" s="234" t="n"/>
      <c r="M954" s="232" t="n"/>
      <c r="N954" s="233" t="n"/>
      <c r="O954" s="232" t="n"/>
      <c r="P954" s="234" t="n"/>
      <c r="Q954" s="234" t="n"/>
      <c r="R954" s="234" t="n"/>
      <c r="S954" s="234" t="n"/>
      <c r="T954" s="234" t="n"/>
      <c r="U954" s="234" t="n"/>
      <c r="V954" s="234" t="n"/>
      <c r="W954" s="234" t="n"/>
    </row>
    <row r="955" ht="54.95" customFormat="1" customHeight="1" s="235">
      <c r="A955" s="234" t="n"/>
      <c r="B955" s="234" t="n"/>
      <c r="C955" s="234" t="n"/>
      <c r="D955" s="234" t="n"/>
      <c r="E955" s="234" t="n"/>
      <c r="F955" s="234" t="n"/>
      <c r="G955" s="234" t="n"/>
      <c r="H955" s="234" t="n"/>
      <c r="I955" s="234" t="n"/>
      <c r="J955" s="234" t="n"/>
      <c r="K955" s="234" t="n"/>
      <c r="L955" s="234" t="n"/>
      <c r="M955" s="232" t="n"/>
      <c r="N955" s="233" t="n"/>
      <c r="O955" s="232" t="n"/>
      <c r="P955" s="234" t="n"/>
      <c r="Q955" s="234" t="n"/>
      <c r="R955" s="234" t="n"/>
      <c r="S955" s="234" t="n"/>
      <c r="T955" s="234" t="n"/>
      <c r="U955" s="234" t="n"/>
      <c r="V955" s="234" t="n"/>
      <c r="W955" s="234" t="n"/>
    </row>
    <row r="956" ht="54.95" customFormat="1" customHeight="1" s="235">
      <c r="A956" s="232" t="n"/>
      <c r="B956" s="232" t="n"/>
      <c r="C956" s="232" t="n"/>
      <c r="D956" s="233" t="n"/>
      <c r="E956" s="232" t="n"/>
      <c r="F956" s="233" t="n"/>
      <c r="G956" s="233" t="n"/>
      <c r="H956" s="233" t="n"/>
      <c r="I956" s="232" t="n"/>
      <c r="J956" s="233" t="n"/>
      <c r="K956" s="232" t="n"/>
      <c r="L956" s="232" t="n"/>
      <c r="M956" s="232" t="n"/>
      <c r="N956" s="233" t="n"/>
      <c r="O956" s="232" t="n"/>
      <c r="P956" s="233" t="n"/>
      <c r="Q956" s="233" t="n"/>
      <c r="R956" s="233" t="n"/>
      <c r="S956" s="232" t="n"/>
      <c r="T956" s="233" t="n"/>
      <c r="U956" s="233" t="n"/>
      <c r="V956" s="233" t="n"/>
      <c r="W956" s="232" t="n"/>
    </row>
    <row r="957" ht="54.95" customFormat="1" customHeight="1" s="235">
      <c r="A957" s="232" t="n"/>
      <c r="B957" s="232" t="n"/>
      <c r="C957" s="232" t="n"/>
      <c r="D957" s="233" t="n"/>
      <c r="E957" s="232" t="n"/>
      <c r="F957" s="233" t="n"/>
      <c r="G957" s="233" t="n"/>
      <c r="H957" s="233" t="n"/>
      <c r="I957" s="232" t="n"/>
      <c r="J957" s="233" t="n"/>
      <c r="K957" s="232" t="n"/>
      <c r="L957" s="232" t="n"/>
      <c r="M957" s="232" t="n"/>
      <c r="N957" s="233" t="n"/>
      <c r="O957" s="232" t="n"/>
      <c r="P957" s="233" t="n"/>
      <c r="Q957" s="233" t="n"/>
      <c r="R957" s="233" t="n"/>
      <c r="S957" s="232" t="n"/>
      <c r="T957" s="233" t="n"/>
      <c r="U957" s="233" t="n"/>
      <c r="V957" s="233" t="n"/>
      <c r="W957" s="232" t="n"/>
    </row>
    <row r="958" ht="54.95" customFormat="1" customHeight="1" s="235">
      <c r="A958" s="232" t="n"/>
      <c r="B958" s="232" t="n"/>
      <c r="C958" s="232" t="n"/>
      <c r="D958" s="233" t="n"/>
      <c r="E958" s="232" t="n"/>
      <c r="F958" s="233" t="n"/>
      <c r="G958" s="233" t="n"/>
      <c r="H958" s="233" t="n"/>
      <c r="I958" s="232" t="n"/>
      <c r="J958" s="233" t="n"/>
      <c r="K958" s="232" t="n"/>
      <c r="L958" s="232" t="n"/>
      <c r="M958" s="232" t="n"/>
      <c r="N958" s="233" t="n"/>
      <c r="O958" s="232" t="n"/>
      <c r="P958" s="233" t="n"/>
      <c r="Q958" s="233" t="n"/>
      <c r="R958" s="233" t="n"/>
      <c r="S958" s="232" t="n"/>
      <c r="T958" s="233" t="n"/>
      <c r="U958" s="233" t="n"/>
      <c r="V958" s="233" t="n"/>
      <c r="W958" s="232" t="n"/>
    </row>
    <row r="959" ht="54.95" customFormat="1" customHeight="1" s="235">
      <c r="A959" s="232" t="n"/>
      <c r="B959" s="232" t="n"/>
      <c r="C959" s="232" t="n"/>
      <c r="D959" s="233" t="n"/>
      <c r="E959" s="232" t="n"/>
      <c r="F959" s="233" t="n"/>
      <c r="G959" s="233" t="n"/>
      <c r="H959" s="233" t="n"/>
      <c r="I959" s="232" t="n"/>
      <c r="J959" s="233" t="n"/>
      <c r="K959" s="232" t="n"/>
      <c r="L959" s="232" t="n"/>
      <c r="M959" s="232" t="n"/>
      <c r="N959" s="233" t="n"/>
      <c r="O959" s="232" t="n"/>
      <c r="P959" s="233" t="n"/>
      <c r="Q959" s="233" t="n"/>
      <c r="R959" s="233" t="n"/>
      <c r="S959" s="232" t="n"/>
      <c r="T959" s="233" t="n"/>
      <c r="U959" s="233" t="n"/>
      <c r="V959" s="233" t="n"/>
      <c r="W959" s="232" t="n"/>
    </row>
    <row r="960" ht="54.95" customFormat="1" customHeight="1" s="235">
      <c r="A960" s="232" t="n"/>
      <c r="B960" s="232" t="n"/>
      <c r="C960" s="232" t="n"/>
      <c r="D960" s="233" t="n"/>
      <c r="E960" s="232" t="n"/>
      <c r="F960" s="233" t="n"/>
      <c r="G960" s="233" t="n"/>
      <c r="H960" s="233" t="n"/>
      <c r="I960" s="232" t="n"/>
      <c r="J960" s="233" t="n"/>
      <c r="K960" s="232" t="n"/>
      <c r="L960" s="232" t="n"/>
      <c r="M960" s="232" t="n"/>
      <c r="N960" s="233" t="n"/>
      <c r="O960" s="232" t="n"/>
      <c r="P960" s="233" t="n"/>
      <c r="Q960" s="233" t="n"/>
      <c r="R960" s="233" t="n"/>
      <c r="S960" s="232" t="n"/>
      <c r="T960" s="233" t="n"/>
      <c r="U960" s="233" t="n"/>
      <c r="V960" s="233" t="n"/>
      <c r="W960" s="232" t="n"/>
    </row>
    <row r="961" ht="54.95" customFormat="1" customHeight="1" s="235">
      <c r="A961" s="234" t="n"/>
      <c r="B961" s="234" t="n"/>
      <c r="C961" s="234" t="n"/>
      <c r="D961" s="234" t="n"/>
      <c r="E961" s="234" t="n"/>
      <c r="F961" s="234" t="n"/>
      <c r="G961" s="234" t="n"/>
      <c r="H961" s="234" t="n"/>
      <c r="I961" s="234" t="n"/>
      <c r="J961" s="234" t="n"/>
      <c r="K961" s="234" t="n"/>
      <c r="L961" s="234" t="n"/>
      <c r="M961" s="232" t="n"/>
      <c r="N961" s="233" t="n"/>
      <c r="O961" s="232" t="n"/>
      <c r="P961" s="234" t="n"/>
      <c r="Q961" s="234" t="n"/>
      <c r="R961" s="234" t="n"/>
      <c r="S961" s="234" t="n"/>
      <c r="T961" s="234" t="n"/>
      <c r="U961" s="234" t="n"/>
      <c r="V961" s="234" t="n"/>
      <c r="W961" s="234" t="n"/>
    </row>
    <row r="962" ht="54.95" customFormat="1" customHeight="1" s="235">
      <c r="A962" s="234" t="n"/>
      <c r="B962" s="234" t="n"/>
      <c r="C962" s="234" t="n"/>
      <c r="D962" s="234" t="n"/>
      <c r="E962" s="234" t="n"/>
      <c r="F962" s="234" t="n"/>
      <c r="G962" s="234" t="n"/>
      <c r="H962" s="234" t="n"/>
      <c r="I962" s="234" t="n"/>
      <c r="J962" s="234" t="n"/>
      <c r="K962" s="234" t="n"/>
      <c r="L962" s="234" t="n"/>
      <c r="M962" s="232" t="n"/>
      <c r="N962" s="233" t="n"/>
      <c r="O962" s="232" t="n"/>
      <c r="P962" s="234" t="n"/>
      <c r="Q962" s="234" t="n"/>
      <c r="R962" s="234" t="n"/>
      <c r="S962" s="234" t="n"/>
      <c r="T962" s="234" t="n"/>
      <c r="U962" s="234" t="n"/>
      <c r="V962" s="234" t="n"/>
      <c r="W962" s="234" t="n"/>
    </row>
    <row r="963" ht="54.95" customFormat="1" customHeight="1" s="235">
      <c r="A963" s="234" t="n"/>
      <c r="B963" s="234" t="n"/>
      <c r="C963" s="234" t="n"/>
      <c r="D963" s="234" t="n"/>
      <c r="E963" s="234" t="n"/>
      <c r="F963" s="234" t="n"/>
      <c r="G963" s="234" t="n"/>
      <c r="H963" s="234" t="n"/>
      <c r="I963" s="234" t="n"/>
      <c r="J963" s="234" t="n"/>
      <c r="K963" s="234" t="n"/>
      <c r="L963" s="234" t="n"/>
      <c r="M963" s="232" t="n"/>
      <c r="N963" s="233" t="n"/>
      <c r="O963" s="232" t="n"/>
      <c r="P963" s="234" t="n"/>
      <c r="Q963" s="234" t="n"/>
      <c r="R963" s="234" t="n"/>
      <c r="S963" s="234" t="n"/>
      <c r="T963" s="234" t="n"/>
      <c r="U963" s="234" t="n"/>
      <c r="V963" s="234" t="n"/>
      <c r="W963" s="234" t="n"/>
    </row>
    <row r="964" ht="54.95" customFormat="1" customHeight="1" s="235">
      <c r="A964" s="232" t="n"/>
      <c r="B964" s="232" t="n"/>
      <c r="C964" s="232" t="n"/>
      <c r="D964" s="233" t="n"/>
      <c r="E964" s="232" t="n"/>
      <c r="F964" s="233" t="n"/>
      <c r="G964" s="233" t="n"/>
      <c r="H964" s="233" t="n"/>
      <c r="I964" s="232" t="n"/>
      <c r="J964" s="233" t="n"/>
      <c r="K964" s="232" t="n"/>
      <c r="L964" s="232" t="n"/>
      <c r="M964" s="232" t="n"/>
      <c r="N964" s="233" t="n"/>
      <c r="O964" s="232" t="n"/>
      <c r="P964" s="233" t="n"/>
      <c r="Q964" s="233" t="n"/>
      <c r="R964" s="233" t="n"/>
      <c r="S964" s="232" t="n"/>
      <c r="T964" s="233" t="n"/>
      <c r="U964" s="233" t="n"/>
      <c r="V964" s="233" t="n"/>
      <c r="W964" s="232" t="n"/>
    </row>
    <row r="965" ht="54.95" customFormat="1" customHeight="1" s="235">
      <c r="A965" s="232" t="n"/>
      <c r="B965" s="232" t="n"/>
      <c r="C965" s="232" t="n"/>
      <c r="D965" s="233" t="n"/>
      <c r="E965" s="232" t="n"/>
      <c r="F965" s="233" t="n"/>
      <c r="G965" s="233" t="n"/>
      <c r="H965" s="233" t="n"/>
      <c r="I965" s="232" t="n"/>
      <c r="J965" s="233" t="n"/>
      <c r="K965" s="232" t="n"/>
      <c r="L965" s="232" t="n"/>
      <c r="M965" s="232" t="n"/>
      <c r="N965" s="233" t="n"/>
      <c r="O965" s="232" t="n"/>
      <c r="P965" s="233" t="n"/>
      <c r="Q965" s="233" t="n"/>
      <c r="R965" s="233" t="n"/>
      <c r="S965" s="232" t="n"/>
      <c r="T965" s="233" t="n"/>
      <c r="U965" s="233" t="n"/>
      <c r="V965" s="233" t="n"/>
      <c r="W965" s="232" t="n"/>
    </row>
    <row r="966" ht="54.95" customFormat="1" customHeight="1" s="235">
      <c r="A966" s="232" t="n"/>
      <c r="B966" s="232" t="n"/>
      <c r="C966" s="232" t="n"/>
      <c r="D966" s="233" t="n"/>
      <c r="E966" s="232" t="n"/>
      <c r="F966" s="233" t="n"/>
      <c r="G966" s="233" t="n"/>
      <c r="H966" s="233" t="n"/>
      <c r="I966" s="232" t="n"/>
      <c r="J966" s="233" t="n"/>
      <c r="K966" s="232" t="n"/>
      <c r="L966" s="232" t="n"/>
      <c r="M966" s="232" t="n"/>
      <c r="N966" s="233" t="n"/>
      <c r="O966" s="232" t="n"/>
      <c r="P966" s="233" t="n"/>
      <c r="Q966" s="233" t="n"/>
      <c r="R966" s="233" t="n"/>
      <c r="S966" s="232" t="n"/>
      <c r="T966" s="233" t="n"/>
      <c r="U966" s="233" t="n"/>
      <c r="V966" s="233" t="n"/>
      <c r="W966" s="232" t="n"/>
    </row>
    <row r="967" ht="54.95" customFormat="1" customHeight="1" s="235">
      <c r="A967" s="234" t="n"/>
      <c r="B967" s="234" t="n"/>
      <c r="C967" s="234" t="n"/>
      <c r="D967" s="234" t="n"/>
      <c r="E967" s="234" t="n"/>
      <c r="F967" s="234" t="n"/>
      <c r="G967" s="234" t="n"/>
      <c r="H967" s="234" t="n"/>
      <c r="I967" s="234" t="n"/>
      <c r="J967" s="234" t="n"/>
      <c r="K967" s="234" t="n"/>
      <c r="L967" s="234" t="n"/>
      <c r="M967" s="232" t="n"/>
      <c r="N967" s="233" t="n"/>
      <c r="O967" s="232" t="n"/>
      <c r="P967" s="234" t="n"/>
      <c r="Q967" s="234" t="n"/>
      <c r="R967" s="234" t="n"/>
      <c r="S967" s="234" t="n"/>
      <c r="T967" s="234" t="n"/>
      <c r="U967" s="234" t="n"/>
      <c r="V967" s="234" t="n"/>
      <c r="W967" s="234" t="n"/>
    </row>
    <row r="968" ht="54.95" customFormat="1" customHeight="1" s="235">
      <c r="A968" s="234" t="n"/>
      <c r="B968" s="234" t="n"/>
      <c r="C968" s="234" t="n"/>
      <c r="D968" s="234" t="n"/>
      <c r="E968" s="234" t="n"/>
      <c r="F968" s="234" t="n"/>
      <c r="G968" s="234" t="n"/>
      <c r="H968" s="234" t="n"/>
      <c r="I968" s="234" t="n"/>
      <c r="J968" s="234" t="n"/>
      <c r="K968" s="234" t="n"/>
      <c r="L968" s="234" t="n"/>
      <c r="M968" s="232" t="n"/>
      <c r="N968" s="233" t="n"/>
      <c r="O968" s="232" t="n"/>
      <c r="P968" s="234" t="n"/>
      <c r="Q968" s="234" t="n"/>
      <c r="R968" s="234" t="n"/>
      <c r="S968" s="234" t="n"/>
      <c r="T968" s="234" t="n"/>
      <c r="U968" s="234" t="n"/>
      <c r="V968" s="234" t="n"/>
      <c r="W968" s="234" t="n"/>
    </row>
    <row r="969" ht="54.95" customFormat="1" customHeight="1" s="235">
      <c r="A969" s="234" t="n"/>
      <c r="B969" s="234" t="n"/>
      <c r="C969" s="234" t="n"/>
      <c r="D969" s="234" t="n"/>
      <c r="E969" s="234" t="n"/>
      <c r="F969" s="234" t="n"/>
      <c r="G969" s="234" t="n"/>
      <c r="H969" s="234" t="n"/>
      <c r="I969" s="234" t="n"/>
      <c r="J969" s="234" t="n"/>
      <c r="K969" s="234" t="n"/>
      <c r="L969" s="234" t="n"/>
      <c r="M969" s="232" t="n"/>
      <c r="N969" s="233" t="n"/>
      <c r="O969" s="232" t="n"/>
      <c r="P969" s="234" t="n"/>
      <c r="Q969" s="234" t="n"/>
      <c r="R969" s="234" t="n"/>
      <c r="S969" s="234" t="n"/>
      <c r="T969" s="234" t="n"/>
      <c r="U969" s="234" t="n"/>
      <c r="V969" s="234" t="n"/>
      <c r="W969" s="234" t="n"/>
    </row>
    <row r="970" ht="54.95" customFormat="1" customHeight="1" s="235">
      <c r="A970" s="234" t="n"/>
      <c r="B970" s="234" t="n"/>
      <c r="C970" s="234" t="n"/>
      <c r="D970" s="234" t="n"/>
      <c r="E970" s="234" t="n"/>
      <c r="F970" s="234" t="n"/>
      <c r="G970" s="234" t="n"/>
      <c r="H970" s="234" t="n"/>
      <c r="I970" s="234" t="n"/>
      <c r="J970" s="234" t="n"/>
      <c r="K970" s="234" t="n"/>
      <c r="L970" s="234" t="n"/>
      <c r="M970" s="232" t="n"/>
      <c r="N970" s="233" t="n"/>
      <c r="O970" s="232" t="n"/>
      <c r="P970" s="234" t="n"/>
      <c r="Q970" s="234" t="n"/>
      <c r="R970" s="234" t="n"/>
      <c r="S970" s="234" t="n"/>
      <c r="T970" s="234" t="n"/>
      <c r="U970" s="234" t="n"/>
      <c r="V970" s="234" t="n"/>
      <c r="W970" s="234" t="n"/>
    </row>
    <row r="971" ht="54.95" customFormat="1" customHeight="1" s="235">
      <c r="A971" s="234" t="n"/>
      <c r="B971" s="234" t="n"/>
      <c r="C971" s="234" t="n"/>
      <c r="D971" s="234" t="n"/>
      <c r="E971" s="234" t="n"/>
      <c r="F971" s="234" t="n"/>
      <c r="G971" s="234" t="n"/>
      <c r="H971" s="234" t="n"/>
      <c r="I971" s="234" t="n"/>
      <c r="J971" s="234" t="n"/>
      <c r="K971" s="234" t="n"/>
      <c r="L971" s="234" t="n"/>
      <c r="M971" s="232" t="n"/>
      <c r="N971" s="233" t="n"/>
      <c r="O971" s="232" t="n"/>
      <c r="P971" s="234" t="n"/>
      <c r="Q971" s="234" t="n"/>
      <c r="R971" s="234" t="n"/>
      <c r="S971" s="234" t="n"/>
      <c r="T971" s="234" t="n"/>
      <c r="U971" s="234" t="n"/>
      <c r="V971" s="234" t="n"/>
      <c r="W971" s="234" t="n"/>
    </row>
    <row r="972" ht="54.95" customFormat="1" customHeight="1" s="235">
      <c r="A972" s="234" t="n"/>
      <c r="B972" s="234" t="n"/>
      <c r="C972" s="234" t="n"/>
      <c r="D972" s="234" t="n"/>
      <c r="E972" s="234" t="n"/>
      <c r="F972" s="234" t="n"/>
      <c r="G972" s="234" t="n"/>
      <c r="H972" s="234" t="n"/>
      <c r="I972" s="234" t="n"/>
      <c r="J972" s="234" t="n"/>
      <c r="K972" s="234" t="n"/>
      <c r="L972" s="234" t="n"/>
      <c r="M972" s="232" t="n"/>
      <c r="N972" s="233" t="n"/>
      <c r="O972" s="232" t="n"/>
      <c r="P972" s="234" t="n"/>
      <c r="Q972" s="234" t="n"/>
      <c r="R972" s="234" t="n"/>
      <c r="S972" s="234" t="n"/>
      <c r="T972" s="234" t="n"/>
      <c r="U972" s="234" t="n"/>
      <c r="V972" s="234" t="n"/>
      <c r="W972" s="234" t="n"/>
    </row>
    <row r="973" ht="54.95" customFormat="1" customHeight="1" s="235">
      <c r="A973" s="234" t="n"/>
      <c r="B973" s="234" t="n"/>
      <c r="C973" s="234" t="n"/>
      <c r="D973" s="234" t="n"/>
      <c r="E973" s="234" t="n"/>
      <c r="F973" s="234" t="n"/>
      <c r="G973" s="234" t="n"/>
      <c r="H973" s="234" t="n"/>
      <c r="I973" s="234" t="n"/>
      <c r="J973" s="234" t="n"/>
      <c r="K973" s="234" t="n"/>
      <c r="L973" s="234" t="n"/>
      <c r="M973" s="232" t="n"/>
      <c r="N973" s="233" t="n"/>
      <c r="O973" s="232" t="n"/>
      <c r="P973" s="234" t="n"/>
      <c r="Q973" s="234" t="n"/>
      <c r="R973" s="234" t="n"/>
      <c r="S973" s="234" t="n"/>
      <c r="T973" s="234" t="n"/>
      <c r="U973" s="234" t="n"/>
      <c r="V973" s="234" t="n"/>
      <c r="W973" s="234" t="n"/>
    </row>
    <row r="974" ht="54.95" customFormat="1" customHeight="1" s="235">
      <c r="A974" s="234" t="n"/>
      <c r="B974" s="234" t="n"/>
      <c r="C974" s="234" t="n"/>
      <c r="D974" s="234" t="n"/>
      <c r="E974" s="234" t="n"/>
      <c r="F974" s="234" t="n"/>
      <c r="G974" s="234" t="n"/>
      <c r="H974" s="234" t="n"/>
      <c r="I974" s="234" t="n"/>
      <c r="J974" s="234" t="n"/>
      <c r="K974" s="234" t="n"/>
      <c r="L974" s="234" t="n"/>
      <c r="M974" s="232" t="n"/>
      <c r="N974" s="233" t="n"/>
      <c r="O974" s="232" t="n"/>
      <c r="P974" s="234" t="n"/>
      <c r="Q974" s="234" t="n"/>
      <c r="R974" s="234" t="n"/>
      <c r="S974" s="234" t="n"/>
      <c r="T974" s="234" t="n"/>
      <c r="U974" s="234" t="n"/>
      <c r="V974" s="234" t="n"/>
      <c r="W974" s="234" t="n"/>
    </row>
    <row r="975" ht="54.95" customFormat="1" customHeight="1" s="235">
      <c r="A975" s="232" t="n"/>
      <c r="B975" s="232" t="n"/>
      <c r="C975" s="232" t="n"/>
      <c r="D975" s="233" t="n"/>
      <c r="E975" s="232" t="n"/>
      <c r="F975" s="233" t="n"/>
      <c r="G975" s="233" t="n"/>
      <c r="H975" s="233" t="n"/>
      <c r="I975" s="232" t="n"/>
      <c r="J975" s="233" t="n"/>
      <c r="K975" s="232" t="n"/>
      <c r="L975" s="232" t="n"/>
      <c r="M975" s="232" t="n"/>
      <c r="N975" s="233" t="n"/>
      <c r="O975" s="232" t="n"/>
      <c r="P975" s="233" t="n"/>
      <c r="Q975" s="233" t="n"/>
      <c r="R975" s="233" t="n"/>
      <c r="S975" s="232" t="n"/>
      <c r="T975" s="233" t="n"/>
      <c r="U975" s="233" t="n"/>
      <c r="V975" s="233" t="n"/>
      <c r="W975" s="232" t="n"/>
    </row>
    <row r="976" ht="54.95" customFormat="1" customHeight="1" s="235">
      <c r="A976" s="232" t="n"/>
      <c r="B976" s="232" t="n"/>
      <c r="C976" s="232" t="n"/>
      <c r="D976" s="233" t="n"/>
      <c r="E976" s="232" t="n"/>
      <c r="F976" s="233" t="n"/>
      <c r="G976" s="233" t="n"/>
      <c r="H976" s="233" t="n"/>
      <c r="I976" s="232" t="n"/>
      <c r="J976" s="233" t="n"/>
      <c r="K976" s="232" t="n"/>
      <c r="L976" s="232" t="n"/>
      <c r="M976" s="232" t="n"/>
      <c r="N976" s="233" t="n"/>
      <c r="O976" s="232" t="n"/>
      <c r="P976" s="233" t="n"/>
      <c r="Q976" s="233" t="n"/>
      <c r="R976" s="233" t="n"/>
      <c r="S976" s="232" t="n"/>
      <c r="T976" s="233" t="n"/>
      <c r="U976" s="233" t="n"/>
      <c r="V976" s="233" t="n"/>
      <c r="W976" s="232" t="n"/>
    </row>
    <row r="977" ht="54.95" customFormat="1" customHeight="1" s="235">
      <c r="A977" s="232" t="n"/>
      <c r="B977" s="232" t="n"/>
      <c r="C977" s="232" t="n"/>
      <c r="D977" s="233" t="n"/>
      <c r="E977" s="232" t="n"/>
      <c r="F977" s="233" t="n"/>
      <c r="G977" s="233" t="n"/>
      <c r="H977" s="233" t="n"/>
      <c r="I977" s="232" t="n"/>
      <c r="J977" s="233" t="n"/>
      <c r="K977" s="232" t="n"/>
      <c r="L977" s="232" t="n"/>
      <c r="M977" s="232" t="n"/>
      <c r="N977" s="233" t="n"/>
      <c r="O977" s="232" t="n"/>
      <c r="P977" s="233" t="n"/>
      <c r="Q977" s="233" t="n"/>
      <c r="R977" s="233" t="n"/>
      <c r="S977" s="232" t="n"/>
      <c r="T977" s="233" t="n"/>
      <c r="U977" s="233" t="n"/>
      <c r="V977" s="233" t="n"/>
      <c r="W977" s="232" t="n"/>
    </row>
    <row r="978" ht="54.95" customFormat="1" customHeight="1" s="235">
      <c r="A978" s="232" t="n"/>
      <c r="B978" s="232" t="n"/>
      <c r="C978" s="232" t="n"/>
      <c r="D978" s="233" t="n"/>
      <c r="E978" s="232" t="n"/>
      <c r="F978" s="233" t="n"/>
      <c r="G978" s="233" t="n"/>
      <c r="H978" s="233" t="n"/>
      <c r="I978" s="232" t="n"/>
      <c r="J978" s="233" t="n"/>
      <c r="K978" s="232" t="n"/>
      <c r="L978" s="232" t="n"/>
      <c r="M978" s="232" t="n"/>
      <c r="N978" s="233" t="n"/>
      <c r="O978" s="232" t="n"/>
      <c r="P978" s="233" t="n"/>
      <c r="Q978" s="233" t="n"/>
      <c r="R978" s="233" t="n"/>
      <c r="S978" s="232" t="n"/>
      <c r="T978" s="233" t="n"/>
      <c r="U978" s="233" t="n"/>
      <c r="V978" s="233" t="n"/>
      <c r="W978" s="232" t="n"/>
    </row>
    <row r="979" ht="54.95" customFormat="1" customHeight="1" s="235">
      <c r="A979" s="232" t="n"/>
      <c r="B979" s="232" t="n"/>
      <c r="C979" s="232" t="n"/>
      <c r="D979" s="233" t="n"/>
      <c r="E979" s="232" t="n"/>
      <c r="F979" s="233" t="n"/>
      <c r="G979" s="233" t="n"/>
      <c r="H979" s="233" t="n"/>
      <c r="I979" s="232" t="n"/>
      <c r="J979" s="233" t="n"/>
      <c r="K979" s="232" t="n"/>
      <c r="L979" s="232" t="n"/>
      <c r="M979" s="232" t="n"/>
      <c r="N979" s="233" t="n"/>
      <c r="O979" s="232" t="n"/>
      <c r="P979" s="233" t="n"/>
      <c r="Q979" s="233" t="n"/>
      <c r="R979" s="233" t="n"/>
      <c r="S979" s="232" t="n"/>
      <c r="T979" s="233" t="n"/>
      <c r="U979" s="233" t="n"/>
      <c r="V979" s="233" t="n"/>
      <c r="W979" s="232" t="n"/>
    </row>
    <row r="980" ht="54.95" customFormat="1" customHeight="1" s="235">
      <c r="A980" s="232" t="n"/>
      <c r="B980" s="232" t="n"/>
      <c r="C980" s="232" t="n"/>
      <c r="D980" s="233" t="n"/>
      <c r="E980" s="232" t="n"/>
      <c r="F980" s="233" t="n"/>
      <c r="G980" s="233" t="n"/>
      <c r="H980" s="233" t="n"/>
      <c r="I980" s="232" t="n"/>
      <c r="J980" s="233" t="n"/>
      <c r="K980" s="232" t="n"/>
      <c r="L980" s="232" t="n"/>
      <c r="M980" s="232" t="n"/>
      <c r="N980" s="233" t="n"/>
      <c r="O980" s="232" t="n"/>
      <c r="P980" s="233" t="n"/>
      <c r="Q980" s="233" t="n"/>
      <c r="R980" s="233" t="n"/>
      <c r="S980" s="232" t="n"/>
      <c r="T980" s="233" t="n"/>
      <c r="U980" s="233" t="n"/>
      <c r="V980" s="233" t="n"/>
      <c r="W980" s="232" t="n"/>
    </row>
    <row r="981" ht="54.95" customFormat="1" customHeight="1" s="235">
      <c r="A981" s="232" t="n"/>
      <c r="B981" s="232" t="n"/>
      <c r="C981" s="232" t="n"/>
      <c r="D981" s="233" t="n"/>
      <c r="E981" s="232" t="n"/>
      <c r="F981" s="233" t="n"/>
      <c r="G981" s="233" t="n"/>
      <c r="H981" s="233" t="n"/>
      <c r="I981" s="232" t="n"/>
      <c r="J981" s="233" t="n"/>
      <c r="K981" s="232" t="n"/>
      <c r="L981" s="232" t="n"/>
      <c r="M981" s="232" t="n"/>
      <c r="N981" s="233" t="n"/>
      <c r="O981" s="232" t="n"/>
      <c r="P981" s="233" t="n"/>
      <c r="Q981" s="233" t="n"/>
      <c r="R981" s="233" t="n"/>
      <c r="S981" s="232" t="n"/>
      <c r="T981" s="233" t="n"/>
      <c r="U981" s="233" t="n"/>
      <c r="V981" s="233" t="n"/>
      <c r="W981" s="232" t="n"/>
    </row>
    <row r="982" ht="54.95" customFormat="1" customHeight="1" s="235">
      <c r="A982" s="232" t="n"/>
      <c r="B982" s="232" t="n"/>
      <c r="C982" s="232" t="n"/>
      <c r="D982" s="233" t="n"/>
      <c r="E982" s="232" t="n"/>
      <c r="F982" s="233" t="n"/>
      <c r="G982" s="233" t="n"/>
      <c r="H982" s="233" t="n"/>
      <c r="I982" s="232" t="n"/>
      <c r="J982" s="233" t="n"/>
      <c r="K982" s="232" t="n"/>
      <c r="L982" s="232" t="n"/>
      <c r="M982" s="232" t="n"/>
      <c r="N982" s="233" t="n"/>
      <c r="O982" s="232" t="n"/>
      <c r="P982" s="233" t="n"/>
      <c r="Q982" s="233" t="n"/>
      <c r="R982" s="233" t="n"/>
      <c r="S982" s="232" t="n"/>
      <c r="T982" s="233" t="n"/>
      <c r="U982" s="233" t="n"/>
      <c r="V982" s="233" t="n"/>
      <c r="W982" s="232" t="n"/>
    </row>
    <row r="983" ht="54.95" customFormat="1" customHeight="1" s="235">
      <c r="A983" s="232" t="n"/>
      <c r="B983" s="232" t="n"/>
      <c r="C983" s="232" t="n"/>
      <c r="D983" s="233" t="n"/>
      <c r="E983" s="232" t="n"/>
      <c r="F983" s="233" t="n"/>
      <c r="G983" s="233" t="n"/>
      <c r="H983" s="233" t="n"/>
      <c r="I983" s="232" t="n"/>
      <c r="J983" s="233" t="n"/>
      <c r="K983" s="232" t="n"/>
      <c r="L983" s="232" t="n"/>
      <c r="M983" s="232" t="n"/>
      <c r="N983" s="233" t="n"/>
      <c r="O983" s="232" t="n"/>
      <c r="P983" s="233" t="n"/>
      <c r="Q983" s="233" t="n"/>
      <c r="R983" s="233" t="n"/>
      <c r="S983" s="232" t="n"/>
      <c r="T983" s="233" t="n"/>
      <c r="U983" s="233" t="n"/>
      <c r="V983" s="233" t="n"/>
      <c r="W983" s="232" t="n"/>
    </row>
    <row r="984" ht="54.95" customFormat="1" customHeight="1" s="235">
      <c r="A984" s="232" t="n"/>
      <c r="B984" s="232" t="n"/>
      <c r="C984" s="232" t="n"/>
      <c r="D984" s="233" t="n"/>
      <c r="E984" s="232" t="n"/>
      <c r="F984" s="233" t="n"/>
      <c r="G984" s="233" t="n"/>
      <c r="H984" s="233" t="n"/>
      <c r="I984" s="232" t="n"/>
      <c r="J984" s="233" t="n"/>
      <c r="K984" s="232" t="n"/>
      <c r="L984" s="232" t="n"/>
      <c r="M984" s="232" t="n"/>
      <c r="N984" s="233" t="n"/>
      <c r="O984" s="232" t="n"/>
      <c r="P984" s="233" t="n"/>
      <c r="Q984" s="233" t="n"/>
      <c r="R984" s="233" t="n"/>
      <c r="S984" s="232" t="n"/>
      <c r="T984" s="233" t="n"/>
      <c r="U984" s="233" t="n"/>
      <c r="V984" s="233" t="n"/>
      <c r="W984" s="232" t="n"/>
    </row>
    <row r="985" ht="54.95" customFormat="1" customHeight="1" s="235">
      <c r="A985" s="232" t="n"/>
      <c r="B985" s="232" t="n"/>
      <c r="C985" s="232" t="n"/>
      <c r="D985" s="233" t="n"/>
      <c r="E985" s="232" t="n"/>
      <c r="F985" s="233" t="n"/>
      <c r="G985" s="233" t="n"/>
      <c r="H985" s="233" t="n"/>
      <c r="I985" s="232" t="n"/>
      <c r="J985" s="233" t="n"/>
      <c r="K985" s="232" t="n"/>
      <c r="L985" s="232" t="n"/>
      <c r="M985" s="232" t="n"/>
      <c r="N985" s="233" t="n"/>
      <c r="O985" s="232" t="n"/>
      <c r="P985" s="233" t="n"/>
      <c r="Q985" s="233" t="n"/>
      <c r="R985" s="233" t="n"/>
      <c r="S985" s="232" t="n"/>
      <c r="T985" s="233" t="n"/>
      <c r="U985" s="233" t="n"/>
      <c r="V985" s="233" t="n"/>
      <c r="W985" s="232" t="n"/>
    </row>
    <row r="986" ht="54.95" customFormat="1" customHeight="1" s="235">
      <c r="A986" s="232" t="n"/>
      <c r="B986" s="232" t="n"/>
      <c r="C986" s="232" t="n"/>
      <c r="D986" s="233" t="n"/>
      <c r="E986" s="232" t="n"/>
      <c r="F986" s="233" t="n"/>
      <c r="G986" s="233" t="n"/>
      <c r="H986" s="233" t="n"/>
      <c r="I986" s="232" t="n"/>
      <c r="J986" s="233" t="n"/>
      <c r="K986" s="232" t="n"/>
      <c r="L986" s="232" t="n"/>
      <c r="M986" s="232" t="n"/>
      <c r="N986" s="233" t="n"/>
      <c r="O986" s="232" t="n"/>
      <c r="P986" s="233" t="n"/>
      <c r="Q986" s="233" t="n"/>
      <c r="R986" s="233" t="n"/>
      <c r="S986" s="232" t="n"/>
      <c r="T986" s="233" t="n"/>
      <c r="U986" s="233" t="n"/>
      <c r="V986" s="233" t="n"/>
      <c r="W986" s="232" t="n"/>
    </row>
    <row r="987" ht="54.95" customFormat="1" customHeight="1" s="235">
      <c r="A987" s="232" t="n"/>
      <c r="B987" s="232" t="n"/>
      <c r="C987" s="232" t="n"/>
      <c r="D987" s="233" t="n"/>
      <c r="E987" s="232" t="n"/>
      <c r="F987" s="233" t="n"/>
      <c r="G987" s="233" t="n"/>
      <c r="H987" s="233" t="n"/>
      <c r="I987" s="232" t="n"/>
      <c r="J987" s="233" t="n"/>
      <c r="K987" s="232" t="n"/>
      <c r="L987" s="232" t="n"/>
      <c r="M987" s="232" t="n"/>
      <c r="N987" s="233" t="n"/>
      <c r="O987" s="232" t="n"/>
      <c r="P987" s="233" t="n"/>
      <c r="Q987" s="233" t="n"/>
      <c r="R987" s="233" t="n"/>
      <c r="S987" s="232" t="n"/>
      <c r="T987" s="233" t="n"/>
      <c r="U987" s="233" t="n"/>
      <c r="V987" s="233" t="n"/>
      <c r="W987" s="232" t="n"/>
    </row>
    <row r="988" ht="54.95" customFormat="1" customHeight="1" s="235">
      <c r="A988" s="232" t="n"/>
      <c r="B988" s="232" t="n"/>
      <c r="C988" s="232" t="n"/>
      <c r="D988" s="233" t="n"/>
      <c r="E988" s="232" t="n"/>
      <c r="F988" s="233" t="n"/>
      <c r="G988" s="233" t="n"/>
      <c r="H988" s="233" t="n"/>
      <c r="I988" s="232" t="n"/>
      <c r="J988" s="233" t="n"/>
      <c r="K988" s="232" t="n"/>
      <c r="L988" s="232" t="n"/>
      <c r="M988" s="232" t="n"/>
      <c r="N988" s="233" t="n"/>
      <c r="O988" s="232" t="n"/>
      <c r="P988" s="233" t="n"/>
      <c r="Q988" s="233" t="n"/>
      <c r="R988" s="233" t="n"/>
      <c r="S988" s="232" t="n"/>
      <c r="T988" s="233" t="n"/>
      <c r="U988" s="233" t="n"/>
      <c r="V988" s="233" t="n"/>
      <c r="W988" s="232" t="n"/>
    </row>
    <row r="989" ht="54.95" customFormat="1" customHeight="1" s="235">
      <c r="A989" s="232" t="n"/>
      <c r="B989" s="232" t="n"/>
      <c r="C989" s="232" t="n"/>
      <c r="D989" s="233" t="n"/>
      <c r="E989" s="232" t="n"/>
      <c r="F989" s="233" t="n"/>
      <c r="G989" s="233" t="n"/>
      <c r="H989" s="233" t="n"/>
      <c r="I989" s="232" t="n"/>
      <c r="J989" s="233" t="n"/>
      <c r="K989" s="232" t="n"/>
      <c r="L989" s="232" t="n"/>
      <c r="M989" s="232" t="n"/>
      <c r="N989" s="233" t="n"/>
      <c r="O989" s="232" t="n"/>
      <c r="P989" s="233" t="n"/>
      <c r="Q989" s="233" t="n"/>
      <c r="R989" s="233" t="n"/>
      <c r="S989" s="232" t="n"/>
      <c r="T989" s="233" t="n"/>
      <c r="U989" s="233" t="n"/>
      <c r="V989" s="233" t="n"/>
      <c r="W989" s="232" t="n"/>
    </row>
    <row r="990" ht="54.95" customFormat="1" customHeight="1" s="235">
      <c r="A990" s="234" t="n"/>
      <c r="B990" s="234" t="n"/>
      <c r="C990" s="234" t="n"/>
      <c r="D990" s="234" t="n"/>
      <c r="E990" s="234" t="n"/>
      <c r="F990" s="234" t="n"/>
      <c r="G990" s="234" t="n"/>
      <c r="H990" s="234" t="n"/>
      <c r="I990" s="234" t="n"/>
      <c r="J990" s="234" t="n"/>
      <c r="K990" s="234" t="n"/>
      <c r="L990" s="234" t="n"/>
      <c r="M990" s="232" t="n"/>
      <c r="N990" s="233" t="n"/>
      <c r="O990" s="232" t="n"/>
      <c r="P990" s="234" t="n"/>
      <c r="Q990" s="234" t="n"/>
      <c r="R990" s="234" t="n"/>
      <c r="S990" s="234" t="n"/>
      <c r="T990" s="234" t="n"/>
      <c r="U990" s="234" t="n"/>
      <c r="V990" s="234" t="n"/>
      <c r="W990" s="234" t="n"/>
    </row>
    <row r="991" ht="54.95" customFormat="1" customHeight="1" s="235">
      <c r="A991" s="234" t="n"/>
      <c r="B991" s="234" t="n"/>
      <c r="C991" s="234" t="n"/>
      <c r="D991" s="234" t="n"/>
      <c r="E991" s="234" t="n"/>
      <c r="F991" s="234" t="n"/>
      <c r="G991" s="234" t="n"/>
      <c r="H991" s="234" t="n"/>
      <c r="I991" s="234" t="n"/>
      <c r="J991" s="234" t="n"/>
      <c r="K991" s="234" t="n"/>
      <c r="L991" s="234" t="n"/>
      <c r="M991" s="232" t="n"/>
      <c r="N991" s="233" t="n"/>
      <c r="O991" s="232" t="n"/>
      <c r="P991" s="234" t="n"/>
      <c r="Q991" s="234" t="n"/>
      <c r="R991" s="234" t="n"/>
      <c r="S991" s="234" t="n"/>
      <c r="T991" s="234" t="n"/>
      <c r="U991" s="234" t="n"/>
      <c r="V991" s="234" t="n"/>
      <c r="W991" s="234" t="n"/>
    </row>
    <row r="992" ht="54.95" customFormat="1" customHeight="1" s="235">
      <c r="A992" s="232" t="n"/>
      <c r="B992" s="232" t="n"/>
      <c r="C992" s="232" t="n"/>
      <c r="D992" s="233" t="n"/>
      <c r="E992" s="232" t="n"/>
      <c r="F992" s="233" t="n"/>
      <c r="G992" s="233" t="n"/>
      <c r="H992" s="233" t="n"/>
      <c r="I992" s="232" t="n"/>
      <c r="J992" s="233" t="n"/>
      <c r="K992" s="232" t="n"/>
      <c r="L992" s="232" t="n"/>
      <c r="M992" s="232" t="n"/>
      <c r="N992" s="233" t="n"/>
      <c r="O992" s="232" t="n"/>
      <c r="P992" s="233" t="n"/>
      <c r="Q992" s="233" t="n"/>
      <c r="R992" s="233" t="n"/>
      <c r="S992" s="232" t="n"/>
      <c r="T992" s="233" t="n"/>
      <c r="U992" s="233" t="n"/>
      <c r="V992" s="233" t="n"/>
      <c r="W992" s="232" t="n"/>
    </row>
    <row r="993" ht="54.95" customFormat="1" customHeight="1" s="235">
      <c r="A993" s="232" t="n"/>
      <c r="B993" s="232" t="n"/>
      <c r="C993" s="232" t="n"/>
      <c r="D993" s="233" t="n"/>
      <c r="E993" s="232" t="n"/>
      <c r="F993" s="233" t="n"/>
      <c r="G993" s="233" t="n"/>
      <c r="H993" s="233" t="n"/>
      <c r="I993" s="232" t="n"/>
      <c r="J993" s="233" t="n"/>
      <c r="K993" s="232" t="n"/>
      <c r="L993" s="232" t="n"/>
      <c r="M993" s="232" t="n"/>
      <c r="N993" s="233" t="n"/>
      <c r="O993" s="232" t="n"/>
      <c r="P993" s="233" t="n"/>
      <c r="Q993" s="233" t="n"/>
      <c r="R993" s="233" t="n"/>
      <c r="S993" s="232" t="n"/>
      <c r="T993" s="233" t="n"/>
      <c r="U993" s="233" t="n"/>
      <c r="V993" s="233" t="n"/>
      <c r="W993" s="232" t="n"/>
    </row>
    <row r="994" ht="54.95" customFormat="1" customHeight="1" s="235">
      <c r="A994" s="232" t="n"/>
      <c r="B994" s="232" t="n"/>
      <c r="C994" s="232" t="n"/>
      <c r="D994" s="233" t="n"/>
      <c r="E994" s="232" t="n"/>
      <c r="F994" s="233" t="n"/>
      <c r="G994" s="233" t="n"/>
      <c r="H994" s="233" t="n"/>
      <c r="I994" s="232" t="n"/>
      <c r="J994" s="233" t="n"/>
      <c r="K994" s="232" t="n"/>
      <c r="L994" s="232" t="n"/>
      <c r="M994" s="232" t="n"/>
      <c r="N994" s="233" t="n"/>
      <c r="O994" s="232" t="n"/>
      <c r="P994" s="233" t="n"/>
      <c r="Q994" s="233" t="n"/>
      <c r="R994" s="233" t="n"/>
      <c r="S994" s="232" t="n"/>
      <c r="T994" s="233" t="n"/>
      <c r="U994" s="233" t="n"/>
      <c r="V994" s="233" t="n"/>
      <c r="W994" s="232" t="n"/>
    </row>
    <row r="995" ht="54.95" customFormat="1" customHeight="1" s="235">
      <c r="A995" s="232" t="n"/>
      <c r="B995" s="232" t="n"/>
      <c r="C995" s="232" t="n"/>
      <c r="D995" s="233" t="n"/>
      <c r="E995" s="232" t="n"/>
      <c r="F995" s="233" t="n"/>
      <c r="G995" s="233" t="n"/>
      <c r="H995" s="233" t="n"/>
      <c r="I995" s="232" t="n"/>
      <c r="J995" s="233" t="n"/>
      <c r="K995" s="232" t="n"/>
      <c r="L995" s="232" t="n"/>
      <c r="M995" s="232" t="n"/>
      <c r="N995" s="233" t="n"/>
      <c r="O995" s="232" t="n"/>
      <c r="P995" s="233" t="n"/>
      <c r="Q995" s="233" t="n"/>
      <c r="R995" s="233" t="n"/>
      <c r="S995" s="232" t="n"/>
      <c r="T995" s="233" t="n"/>
      <c r="U995" s="233" t="n"/>
      <c r="V995" s="233" t="n"/>
      <c r="W995" s="232" t="n"/>
    </row>
    <row r="996" ht="54.95" customFormat="1" customHeight="1" s="235">
      <c r="A996" s="234" t="n"/>
      <c r="B996" s="234" t="n"/>
      <c r="C996" s="234" t="n"/>
      <c r="D996" s="234" t="n"/>
      <c r="E996" s="234" t="n"/>
      <c r="F996" s="234" t="n"/>
      <c r="G996" s="234" t="n"/>
      <c r="H996" s="234" t="n"/>
      <c r="I996" s="234" t="n"/>
      <c r="J996" s="234" t="n"/>
      <c r="K996" s="234" t="n"/>
      <c r="L996" s="234" t="n"/>
      <c r="M996" s="232" t="n"/>
      <c r="N996" s="233" t="n"/>
      <c r="O996" s="232" t="n"/>
      <c r="P996" s="234" t="n"/>
      <c r="Q996" s="234" t="n"/>
      <c r="R996" s="234" t="n"/>
      <c r="S996" s="234" t="n"/>
      <c r="T996" s="234" t="n"/>
      <c r="U996" s="234" t="n"/>
      <c r="V996" s="234" t="n"/>
      <c r="W996" s="234" t="n"/>
    </row>
    <row r="997" ht="54.95" customFormat="1" customHeight="1" s="235">
      <c r="A997" s="232" t="n"/>
      <c r="B997" s="232" t="n"/>
      <c r="C997" s="232" t="n"/>
      <c r="D997" s="233" t="n"/>
      <c r="E997" s="232" t="n"/>
      <c r="F997" s="233" t="n"/>
      <c r="G997" s="233" t="n"/>
      <c r="H997" s="233" t="n"/>
      <c r="I997" s="232" t="n"/>
      <c r="J997" s="233" t="n"/>
      <c r="K997" s="232" t="n"/>
      <c r="L997" s="232" t="n"/>
      <c r="M997" s="232" t="n"/>
      <c r="N997" s="233" t="n"/>
      <c r="O997" s="232" t="n"/>
      <c r="P997" s="233" t="n"/>
      <c r="Q997" s="233" t="n"/>
      <c r="R997" s="233" t="n"/>
      <c r="S997" s="232" t="n"/>
      <c r="T997" s="233" t="n"/>
      <c r="U997" s="233" t="n"/>
      <c r="V997" s="233" t="n"/>
      <c r="W997" s="232" t="n"/>
    </row>
    <row r="998" ht="54.95" customFormat="1" customHeight="1" s="235">
      <c r="A998" s="234" t="n"/>
      <c r="B998" s="234" t="n"/>
      <c r="C998" s="234" t="n"/>
      <c r="D998" s="234" t="n"/>
      <c r="E998" s="234" t="n"/>
      <c r="F998" s="234" t="n"/>
      <c r="G998" s="234" t="n"/>
      <c r="H998" s="234" t="n"/>
      <c r="I998" s="234" t="n"/>
      <c r="J998" s="234" t="n"/>
      <c r="K998" s="234" t="n"/>
      <c r="L998" s="234" t="n"/>
      <c r="M998" s="232" t="n"/>
      <c r="N998" s="233" t="n"/>
      <c r="O998" s="232" t="n"/>
      <c r="P998" s="234" t="n"/>
      <c r="Q998" s="234" t="n"/>
      <c r="R998" s="234" t="n"/>
      <c r="S998" s="234" t="n"/>
      <c r="T998" s="234" t="n"/>
      <c r="U998" s="234" t="n"/>
      <c r="V998" s="234" t="n"/>
      <c r="W998" s="234" t="n"/>
    </row>
    <row r="999" ht="54.95" customFormat="1" customHeight="1" s="235">
      <c r="A999" s="232" t="n"/>
      <c r="B999" s="232" t="n"/>
      <c r="C999" s="232" t="n"/>
      <c r="D999" s="233" t="n"/>
      <c r="E999" s="232" t="n"/>
      <c r="F999" s="233" t="n"/>
      <c r="G999" s="233" t="n"/>
      <c r="H999" s="233" t="n"/>
      <c r="I999" s="232" t="n"/>
      <c r="J999" s="233" t="n"/>
      <c r="K999" s="232" t="n"/>
      <c r="L999" s="232" t="n"/>
      <c r="M999" s="232" t="n"/>
      <c r="N999" s="233" t="n"/>
      <c r="O999" s="232" t="n"/>
      <c r="P999" s="233" t="n"/>
      <c r="Q999" s="233" t="n"/>
      <c r="R999" s="233" t="n"/>
      <c r="S999" s="232" t="n"/>
      <c r="T999" s="233" t="n"/>
      <c r="U999" s="233" t="n"/>
      <c r="V999" s="233" t="n"/>
      <c r="W999" s="232" t="n"/>
    </row>
    <row r="1000" ht="54.95" customFormat="1" customHeight="1" s="235">
      <c r="A1000" s="232" t="n"/>
      <c r="B1000" s="232" t="n"/>
      <c r="C1000" s="232" t="n"/>
      <c r="D1000" s="233" t="n"/>
      <c r="E1000" s="232" t="n"/>
      <c r="F1000" s="233" t="n"/>
      <c r="G1000" s="233" t="n"/>
      <c r="H1000" s="233" t="n"/>
      <c r="I1000" s="232" t="n"/>
      <c r="J1000" s="233" t="n"/>
      <c r="K1000" s="232" t="n"/>
      <c r="L1000" s="232" t="n"/>
      <c r="M1000" s="232" t="n"/>
      <c r="N1000" s="233" t="n"/>
      <c r="O1000" s="232" t="n"/>
      <c r="P1000" s="233" t="n"/>
      <c r="Q1000" s="233" t="n"/>
      <c r="R1000" s="233" t="n"/>
      <c r="S1000" s="232" t="n"/>
      <c r="T1000" s="233" t="n"/>
      <c r="U1000" s="233" t="n"/>
      <c r="V1000" s="233" t="n"/>
      <c r="W1000" s="232" t="n"/>
    </row>
    <row r="1001" ht="54.95" customFormat="1" customHeight="1" s="235">
      <c r="A1001" s="234" t="n"/>
      <c r="B1001" s="234" t="n"/>
      <c r="C1001" s="234" t="n"/>
      <c r="D1001" s="234" t="n"/>
      <c r="E1001" s="234" t="n"/>
      <c r="F1001" s="234" t="n"/>
      <c r="G1001" s="234" t="n"/>
      <c r="H1001" s="234" t="n"/>
      <c r="I1001" s="234" t="n"/>
      <c r="J1001" s="234" t="n"/>
      <c r="K1001" s="234" t="n"/>
      <c r="L1001" s="234" t="n"/>
      <c r="M1001" s="232" t="n"/>
      <c r="N1001" s="233" t="n"/>
      <c r="O1001" s="232" t="n"/>
      <c r="P1001" s="234" t="n"/>
      <c r="Q1001" s="234" t="n"/>
      <c r="R1001" s="234" t="n"/>
      <c r="S1001" s="234" t="n"/>
      <c r="T1001" s="234" t="n"/>
      <c r="U1001" s="234" t="n"/>
      <c r="V1001" s="234" t="n"/>
      <c r="W1001" s="234" t="n"/>
    </row>
    <row r="1002" ht="54.95" customFormat="1" customHeight="1" s="235">
      <c r="A1002" s="234" t="n"/>
      <c r="B1002" s="234" t="n"/>
      <c r="C1002" s="234" t="n"/>
      <c r="D1002" s="234" t="n"/>
      <c r="E1002" s="234" t="n"/>
      <c r="F1002" s="234" t="n"/>
      <c r="G1002" s="234" t="n"/>
      <c r="H1002" s="234" t="n"/>
      <c r="I1002" s="234" t="n"/>
      <c r="J1002" s="234" t="n"/>
      <c r="K1002" s="234" t="n"/>
      <c r="L1002" s="234" t="n"/>
      <c r="M1002" s="232" t="n"/>
      <c r="N1002" s="233" t="n"/>
      <c r="O1002" s="232" t="n"/>
      <c r="P1002" s="234" t="n"/>
      <c r="Q1002" s="234" t="n"/>
      <c r="R1002" s="234" t="n"/>
      <c r="S1002" s="234" t="n"/>
      <c r="T1002" s="234" t="n"/>
      <c r="U1002" s="234" t="n"/>
      <c r="V1002" s="234" t="n"/>
      <c r="W1002" s="234" t="n"/>
    </row>
    <row r="1003" ht="54.95" customFormat="1" customHeight="1" s="235">
      <c r="A1003" s="234" t="n"/>
      <c r="B1003" s="234" t="n"/>
      <c r="C1003" s="234" t="n"/>
      <c r="D1003" s="234" t="n"/>
      <c r="E1003" s="234" t="n"/>
      <c r="F1003" s="234" t="n"/>
      <c r="G1003" s="234" t="n"/>
      <c r="H1003" s="234" t="n"/>
      <c r="I1003" s="234" t="n"/>
      <c r="J1003" s="234" t="n"/>
      <c r="K1003" s="234" t="n"/>
      <c r="L1003" s="234" t="n"/>
      <c r="M1003" s="232" t="n"/>
      <c r="N1003" s="233" t="n"/>
      <c r="O1003" s="232" t="n"/>
      <c r="P1003" s="234" t="n"/>
      <c r="Q1003" s="234" t="n"/>
      <c r="R1003" s="234" t="n"/>
      <c r="S1003" s="234" t="n"/>
      <c r="T1003" s="234" t="n"/>
      <c r="U1003" s="234" t="n"/>
      <c r="V1003" s="234" t="n"/>
      <c r="W1003" s="234" t="n"/>
    </row>
    <row r="1004" ht="54.95" customFormat="1" customHeight="1" s="235">
      <c r="A1004" s="232" t="n"/>
      <c r="B1004" s="232" t="n"/>
      <c r="C1004" s="232" t="n"/>
      <c r="D1004" s="233" t="n"/>
      <c r="E1004" s="232" t="n"/>
      <c r="F1004" s="233" t="n"/>
      <c r="G1004" s="233" t="n"/>
      <c r="H1004" s="233" t="n"/>
      <c r="I1004" s="232" t="n"/>
      <c r="J1004" s="233" t="n"/>
      <c r="K1004" s="232" t="n"/>
      <c r="L1004" s="232" t="n"/>
      <c r="M1004" s="232" t="n"/>
      <c r="N1004" s="233" t="n"/>
      <c r="O1004" s="232" t="n"/>
      <c r="P1004" s="233" t="n"/>
      <c r="Q1004" s="233" t="n"/>
      <c r="R1004" s="233" t="n"/>
      <c r="S1004" s="232" t="n"/>
      <c r="T1004" s="233" t="n"/>
      <c r="U1004" s="233" t="n"/>
      <c r="V1004" s="233" t="n"/>
      <c r="W1004" s="232" t="n"/>
    </row>
    <row r="1005" ht="54.95" customFormat="1" customHeight="1" s="235">
      <c r="A1005" s="234" t="n"/>
      <c r="B1005" s="234" t="n"/>
      <c r="C1005" s="234" t="n"/>
      <c r="D1005" s="234" t="n"/>
      <c r="E1005" s="234" t="n"/>
      <c r="F1005" s="234" t="n"/>
      <c r="G1005" s="234" t="n"/>
      <c r="H1005" s="234" t="n"/>
      <c r="I1005" s="234" t="n"/>
      <c r="J1005" s="234" t="n"/>
      <c r="K1005" s="234" t="n"/>
      <c r="L1005" s="234" t="n"/>
      <c r="M1005" s="232" t="n"/>
      <c r="N1005" s="233" t="n"/>
      <c r="O1005" s="232" t="n"/>
      <c r="P1005" s="234" t="n"/>
      <c r="Q1005" s="234" t="n"/>
      <c r="R1005" s="234" t="n"/>
      <c r="S1005" s="234" t="n"/>
      <c r="T1005" s="234" t="n"/>
      <c r="U1005" s="234" t="n"/>
      <c r="V1005" s="234" t="n"/>
      <c r="W1005" s="234" t="n"/>
    </row>
    <row r="1006" ht="54.95" customFormat="1" customHeight="1" s="235">
      <c r="A1006" s="234" t="n"/>
      <c r="B1006" s="234" t="n"/>
      <c r="C1006" s="234" t="n"/>
      <c r="D1006" s="234" t="n"/>
      <c r="E1006" s="234" t="n"/>
      <c r="F1006" s="234" t="n"/>
      <c r="G1006" s="234" t="n"/>
      <c r="H1006" s="234" t="n"/>
      <c r="I1006" s="234" t="n"/>
      <c r="J1006" s="234" t="n"/>
      <c r="K1006" s="234" t="n"/>
      <c r="L1006" s="234" t="n"/>
      <c r="M1006" s="232" t="n"/>
      <c r="N1006" s="233" t="n"/>
      <c r="O1006" s="232" t="n"/>
      <c r="P1006" s="234" t="n"/>
      <c r="Q1006" s="234" t="n"/>
      <c r="R1006" s="234" t="n"/>
      <c r="S1006" s="234" t="n"/>
      <c r="T1006" s="234" t="n"/>
      <c r="U1006" s="234" t="n"/>
      <c r="V1006" s="234" t="n"/>
      <c r="W1006" s="234" t="n"/>
    </row>
    <row r="1007" ht="54.95" customFormat="1" customHeight="1" s="235">
      <c r="A1007" s="234" t="n"/>
      <c r="B1007" s="234" t="n"/>
      <c r="C1007" s="234" t="n"/>
      <c r="D1007" s="234" t="n"/>
      <c r="E1007" s="234" t="n"/>
      <c r="F1007" s="234" t="n"/>
      <c r="G1007" s="234" t="n"/>
      <c r="H1007" s="234" t="n"/>
      <c r="I1007" s="234" t="n"/>
      <c r="J1007" s="234" t="n"/>
      <c r="K1007" s="234" t="n"/>
      <c r="L1007" s="234" t="n"/>
      <c r="M1007" s="232" t="n"/>
      <c r="N1007" s="233" t="n"/>
      <c r="O1007" s="232" t="n"/>
      <c r="P1007" s="234" t="n"/>
      <c r="Q1007" s="234" t="n"/>
      <c r="R1007" s="234" t="n"/>
      <c r="S1007" s="234" t="n"/>
      <c r="T1007" s="234" t="n"/>
      <c r="U1007" s="234" t="n"/>
      <c r="V1007" s="234" t="n"/>
      <c r="W1007" s="234" t="n"/>
    </row>
    <row r="1008" ht="54.95" customFormat="1" customHeight="1" s="235">
      <c r="A1008" s="232" t="n"/>
      <c r="B1008" s="232" t="n"/>
      <c r="C1008" s="232" t="n"/>
      <c r="D1008" s="233" t="n"/>
      <c r="E1008" s="232" t="n"/>
      <c r="F1008" s="233" t="n"/>
      <c r="G1008" s="233" t="n"/>
      <c r="H1008" s="233" t="n"/>
      <c r="I1008" s="232" t="n"/>
      <c r="J1008" s="233" t="n"/>
      <c r="K1008" s="232" t="n"/>
      <c r="L1008" s="232" t="n"/>
      <c r="M1008" s="232" t="n"/>
      <c r="N1008" s="233" t="n"/>
      <c r="O1008" s="232" t="n"/>
      <c r="P1008" s="233" t="n"/>
      <c r="Q1008" s="233" t="n"/>
      <c r="R1008" s="233" t="n"/>
      <c r="S1008" s="232" t="n"/>
      <c r="T1008" s="233" t="n"/>
      <c r="U1008" s="233" t="n"/>
      <c r="V1008" s="233" t="n"/>
      <c r="W1008" s="232" t="n"/>
    </row>
    <row r="1009" ht="54.95" customFormat="1" customHeight="1" s="235">
      <c r="A1009" s="234" t="n"/>
      <c r="B1009" s="234" t="n"/>
      <c r="C1009" s="234" t="n"/>
      <c r="D1009" s="234" t="n"/>
      <c r="E1009" s="234" t="n"/>
      <c r="F1009" s="234" t="n"/>
      <c r="G1009" s="234" t="n"/>
      <c r="H1009" s="234" t="n"/>
      <c r="I1009" s="234" t="n"/>
      <c r="J1009" s="234" t="n"/>
      <c r="K1009" s="234" t="n"/>
      <c r="L1009" s="234" t="n"/>
      <c r="M1009" s="232" t="n"/>
      <c r="N1009" s="233" t="n"/>
      <c r="O1009" s="232" t="n"/>
      <c r="P1009" s="234" t="n"/>
      <c r="Q1009" s="234" t="n"/>
      <c r="R1009" s="234" t="n"/>
      <c r="S1009" s="234" t="n"/>
      <c r="T1009" s="234" t="n"/>
      <c r="U1009" s="234" t="n"/>
      <c r="V1009" s="234" t="n"/>
      <c r="W1009" s="234" t="n"/>
    </row>
    <row r="1010" ht="54.95" customFormat="1" customHeight="1" s="235">
      <c r="A1010" s="234" t="n"/>
      <c r="B1010" s="234" t="n"/>
      <c r="C1010" s="234" t="n"/>
      <c r="D1010" s="234" t="n"/>
      <c r="E1010" s="234" t="n"/>
      <c r="F1010" s="234" t="n"/>
      <c r="G1010" s="234" t="n"/>
      <c r="H1010" s="234" t="n"/>
      <c r="I1010" s="234" t="n"/>
      <c r="J1010" s="234" t="n"/>
      <c r="K1010" s="234" t="n"/>
      <c r="L1010" s="234" t="n"/>
      <c r="M1010" s="232" t="n"/>
      <c r="N1010" s="233" t="n"/>
      <c r="O1010" s="232" t="n"/>
      <c r="P1010" s="234" t="n"/>
      <c r="Q1010" s="234" t="n"/>
      <c r="R1010" s="234" t="n"/>
      <c r="S1010" s="234" t="n"/>
      <c r="T1010" s="234" t="n"/>
      <c r="U1010" s="234" t="n"/>
      <c r="V1010" s="234" t="n"/>
      <c r="W1010" s="234" t="n"/>
    </row>
    <row r="1011" ht="54.95" customFormat="1" customHeight="1" s="235">
      <c r="A1011" s="234" t="n"/>
      <c r="B1011" s="234" t="n"/>
      <c r="C1011" s="234" t="n"/>
      <c r="D1011" s="234" t="n"/>
      <c r="E1011" s="234" t="n"/>
      <c r="F1011" s="234" t="n"/>
      <c r="G1011" s="234" t="n"/>
      <c r="H1011" s="234" t="n"/>
      <c r="I1011" s="234" t="n"/>
      <c r="J1011" s="234" t="n"/>
      <c r="K1011" s="234" t="n"/>
      <c r="L1011" s="234" t="n"/>
      <c r="M1011" s="232" t="n"/>
      <c r="N1011" s="233" t="n"/>
      <c r="O1011" s="232" t="n"/>
      <c r="P1011" s="234" t="n"/>
      <c r="Q1011" s="234" t="n"/>
      <c r="R1011" s="234" t="n"/>
      <c r="S1011" s="234" t="n"/>
      <c r="T1011" s="234" t="n"/>
      <c r="U1011" s="234" t="n"/>
      <c r="V1011" s="234" t="n"/>
      <c r="W1011" s="234" t="n"/>
    </row>
    <row r="1012" ht="54.95" customFormat="1" customHeight="1" s="235">
      <c r="A1012" s="234" t="n"/>
      <c r="B1012" s="234" t="n"/>
      <c r="C1012" s="234" t="n"/>
      <c r="D1012" s="234" t="n"/>
      <c r="E1012" s="234" t="n"/>
      <c r="F1012" s="234" t="n"/>
      <c r="G1012" s="234" t="n"/>
      <c r="H1012" s="234" t="n"/>
      <c r="I1012" s="234" t="n"/>
      <c r="J1012" s="234" t="n"/>
      <c r="K1012" s="234" t="n"/>
      <c r="L1012" s="234" t="n"/>
      <c r="M1012" s="232" t="n"/>
      <c r="N1012" s="233" t="n"/>
      <c r="O1012" s="232" t="n"/>
      <c r="P1012" s="234" t="n"/>
      <c r="Q1012" s="234" t="n"/>
      <c r="R1012" s="234" t="n"/>
      <c r="S1012" s="234" t="n"/>
      <c r="T1012" s="234" t="n"/>
      <c r="U1012" s="234" t="n"/>
      <c r="V1012" s="234" t="n"/>
      <c r="W1012" s="234" t="n"/>
    </row>
    <row r="1013" ht="54.95" customFormat="1" customHeight="1" s="235">
      <c r="A1013" s="234" t="n"/>
      <c r="B1013" s="234" t="n"/>
      <c r="C1013" s="234" t="n"/>
      <c r="D1013" s="234" t="n"/>
      <c r="E1013" s="234" t="n"/>
      <c r="F1013" s="234" t="n"/>
      <c r="G1013" s="234" t="n"/>
      <c r="H1013" s="234" t="n"/>
      <c r="I1013" s="234" t="n"/>
      <c r="J1013" s="234" t="n"/>
      <c r="K1013" s="234" t="n"/>
      <c r="L1013" s="234" t="n"/>
      <c r="M1013" s="232" t="n"/>
      <c r="N1013" s="233" t="n"/>
      <c r="O1013" s="232" t="n"/>
      <c r="P1013" s="234" t="n"/>
      <c r="Q1013" s="234" t="n"/>
      <c r="R1013" s="234" t="n"/>
      <c r="S1013" s="234" t="n"/>
      <c r="T1013" s="234" t="n"/>
      <c r="U1013" s="234" t="n"/>
      <c r="V1013" s="234" t="n"/>
      <c r="W1013" s="234" t="n"/>
    </row>
    <row r="1014" ht="54.95" customFormat="1" customHeight="1" s="235">
      <c r="A1014" s="232" t="n"/>
      <c r="B1014" s="232" t="n"/>
      <c r="C1014" s="232" t="n"/>
      <c r="D1014" s="233" t="n"/>
      <c r="E1014" s="232" t="n"/>
      <c r="F1014" s="233" t="n"/>
      <c r="G1014" s="233" t="n"/>
      <c r="H1014" s="233" t="n"/>
      <c r="I1014" s="232" t="n"/>
      <c r="J1014" s="233" t="n"/>
      <c r="K1014" s="232" t="n"/>
      <c r="L1014" s="232" t="n"/>
      <c r="M1014" s="232" t="n"/>
      <c r="N1014" s="233" t="n"/>
      <c r="O1014" s="232" t="n"/>
      <c r="P1014" s="233" t="n"/>
      <c r="Q1014" s="233" t="n"/>
      <c r="R1014" s="233" t="n"/>
      <c r="S1014" s="232" t="n"/>
      <c r="T1014" s="233" t="n"/>
      <c r="U1014" s="233" t="n"/>
      <c r="V1014" s="233" t="n"/>
      <c r="W1014" s="232" t="n"/>
    </row>
    <row r="1015" ht="54.95" customFormat="1" customHeight="1" s="235">
      <c r="A1015" s="232" t="n"/>
      <c r="B1015" s="232" t="n"/>
      <c r="C1015" s="232" t="n"/>
      <c r="D1015" s="233" t="n"/>
      <c r="E1015" s="232" t="n"/>
      <c r="F1015" s="233" t="n"/>
      <c r="G1015" s="233" t="n"/>
      <c r="H1015" s="233" t="n"/>
      <c r="I1015" s="232" t="n"/>
      <c r="J1015" s="233" t="n"/>
      <c r="K1015" s="232" t="n"/>
      <c r="L1015" s="232" t="n"/>
      <c r="M1015" s="232" t="n"/>
      <c r="N1015" s="233" t="n"/>
      <c r="O1015" s="232" t="n"/>
      <c r="P1015" s="233" t="n"/>
      <c r="Q1015" s="233" t="n"/>
      <c r="R1015" s="233" t="n"/>
      <c r="S1015" s="232" t="n"/>
      <c r="T1015" s="233" t="n"/>
      <c r="U1015" s="233" t="n"/>
      <c r="V1015" s="233" t="n"/>
      <c r="W1015" s="232" t="n"/>
    </row>
    <row r="1016" ht="54.95" customFormat="1" customHeight="1" s="235">
      <c r="A1016" s="232" t="n"/>
      <c r="B1016" s="232" t="n"/>
      <c r="C1016" s="232" t="n"/>
      <c r="D1016" s="233" t="n"/>
      <c r="E1016" s="232" t="n"/>
      <c r="F1016" s="233" t="n"/>
      <c r="G1016" s="233" t="n"/>
      <c r="H1016" s="233" t="n"/>
      <c r="I1016" s="232" t="n"/>
      <c r="J1016" s="233" t="n"/>
      <c r="K1016" s="232" t="n"/>
      <c r="L1016" s="232" t="n"/>
      <c r="M1016" s="232" t="n"/>
      <c r="N1016" s="233" t="n"/>
      <c r="O1016" s="232" t="n"/>
      <c r="P1016" s="233" t="n"/>
      <c r="Q1016" s="233" t="n"/>
      <c r="R1016" s="233" t="n"/>
      <c r="S1016" s="232" t="n"/>
      <c r="T1016" s="233" t="n"/>
      <c r="U1016" s="233" t="n"/>
      <c r="V1016" s="233" t="n"/>
      <c r="W1016" s="232" t="n"/>
    </row>
    <row r="1017" ht="54.95" customFormat="1" customHeight="1" s="235">
      <c r="A1017" s="232" t="n"/>
      <c r="B1017" s="232" t="n"/>
      <c r="C1017" s="232" t="n"/>
      <c r="D1017" s="233" t="n"/>
      <c r="E1017" s="232" t="n"/>
      <c r="F1017" s="233" t="n"/>
      <c r="G1017" s="233" t="n"/>
      <c r="H1017" s="233" t="n"/>
      <c r="I1017" s="232" t="n"/>
      <c r="J1017" s="233" t="n"/>
      <c r="K1017" s="232" t="n"/>
      <c r="L1017" s="232" t="n"/>
      <c r="M1017" s="232" t="n"/>
      <c r="N1017" s="233" t="n"/>
      <c r="O1017" s="232" t="n"/>
      <c r="P1017" s="233" t="n"/>
      <c r="Q1017" s="233" t="n"/>
      <c r="R1017" s="233" t="n"/>
      <c r="S1017" s="232" t="n"/>
      <c r="T1017" s="233" t="n"/>
      <c r="U1017" s="233" t="n"/>
      <c r="V1017" s="233" t="n"/>
      <c r="W1017" s="232" t="n"/>
    </row>
    <row r="1018" ht="54.95" customFormat="1" customHeight="1" s="235">
      <c r="A1018" s="232" t="n"/>
      <c r="B1018" s="232" t="n"/>
      <c r="C1018" s="232" t="n"/>
      <c r="D1018" s="233" t="n"/>
      <c r="E1018" s="232" t="n"/>
      <c r="F1018" s="233" t="n"/>
      <c r="G1018" s="233" t="n"/>
      <c r="H1018" s="233" t="n"/>
      <c r="I1018" s="232" t="n"/>
      <c r="J1018" s="233" t="n"/>
      <c r="K1018" s="232" t="n"/>
      <c r="L1018" s="232" t="n"/>
      <c r="M1018" s="232" t="n"/>
      <c r="N1018" s="233" t="n"/>
      <c r="O1018" s="232" t="n"/>
      <c r="P1018" s="233" t="n"/>
      <c r="Q1018" s="233" t="n"/>
      <c r="R1018" s="233" t="n"/>
      <c r="S1018" s="232" t="n"/>
      <c r="T1018" s="233" t="n"/>
      <c r="U1018" s="233" t="n"/>
      <c r="V1018" s="233" t="n"/>
      <c r="W1018" s="232" t="n"/>
    </row>
    <row r="1019" ht="54.95" customFormat="1" customHeight="1" s="235">
      <c r="A1019" s="232" t="n"/>
      <c r="B1019" s="232" t="n"/>
      <c r="C1019" s="232" t="n"/>
      <c r="D1019" s="233" t="n"/>
      <c r="E1019" s="232" t="n"/>
      <c r="F1019" s="233" t="n"/>
      <c r="G1019" s="233" t="n"/>
      <c r="H1019" s="233" t="n"/>
      <c r="I1019" s="232" t="n"/>
      <c r="J1019" s="233" t="n"/>
      <c r="K1019" s="232" t="n"/>
      <c r="L1019" s="232" t="n"/>
      <c r="M1019" s="232" t="n"/>
      <c r="N1019" s="233" t="n"/>
      <c r="O1019" s="232" t="n"/>
      <c r="P1019" s="233" t="n"/>
      <c r="Q1019" s="233" t="n"/>
      <c r="R1019" s="233" t="n"/>
      <c r="S1019" s="232" t="n"/>
      <c r="T1019" s="233" t="n"/>
      <c r="U1019" s="233" t="n"/>
      <c r="V1019" s="233" t="n"/>
      <c r="W1019" s="232" t="n"/>
    </row>
    <row r="1020" ht="54.95" customFormat="1" customHeight="1" s="235">
      <c r="A1020" s="232" t="n"/>
      <c r="B1020" s="232" t="n"/>
      <c r="C1020" s="232" t="n"/>
      <c r="D1020" s="233" t="n"/>
      <c r="E1020" s="232" t="n"/>
      <c r="F1020" s="233" t="n"/>
      <c r="G1020" s="233" t="n"/>
      <c r="H1020" s="233" t="n"/>
      <c r="I1020" s="232" t="n"/>
      <c r="J1020" s="233" t="n"/>
      <c r="K1020" s="232" t="n"/>
      <c r="L1020" s="232" t="n"/>
      <c r="M1020" s="232" t="n"/>
      <c r="N1020" s="233" t="n"/>
      <c r="O1020" s="232" t="n"/>
      <c r="P1020" s="233" t="n"/>
      <c r="Q1020" s="233" t="n"/>
      <c r="R1020" s="233" t="n"/>
      <c r="S1020" s="232" t="n"/>
      <c r="T1020" s="233" t="n"/>
      <c r="U1020" s="233" t="n"/>
      <c r="V1020" s="233" t="n"/>
      <c r="W1020" s="232" t="n"/>
    </row>
    <row r="1021" ht="54.95" customFormat="1" customHeight="1" s="235">
      <c r="A1021" s="232" t="n"/>
      <c r="B1021" s="232" t="n"/>
      <c r="C1021" s="232" t="n"/>
      <c r="D1021" s="233" t="n"/>
      <c r="E1021" s="232" t="n"/>
      <c r="F1021" s="233" t="n"/>
      <c r="G1021" s="233" t="n"/>
      <c r="H1021" s="233" t="n"/>
      <c r="I1021" s="232" t="n"/>
      <c r="J1021" s="233" t="n"/>
      <c r="K1021" s="232" t="n"/>
      <c r="L1021" s="232" t="n"/>
      <c r="M1021" s="232" t="n"/>
      <c r="N1021" s="233" t="n"/>
      <c r="O1021" s="232" t="n"/>
      <c r="P1021" s="233" t="n"/>
      <c r="Q1021" s="233" t="n"/>
      <c r="R1021" s="233" t="n"/>
      <c r="S1021" s="232" t="n"/>
      <c r="T1021" s="233" t="n"/>
      <c r="U1021" s="233" t="n"/>
      <c r="V1021" s="233" t="n"/>
      <c r="W1021" s="232" t="n"/>
    </row>
    <row r="1022" ht="54.95" customFormat="1" customHeight="1" s="235">
      <c r="A1022" s="232" t="n"/>
      <c r="B1022" s="232" t="n"/>
      <c r="C1022" s="232" t="n"/>
      <c r="D1022" s="233" t="n"/>
      <c r="E1022" s="232" t="n"/>
      <c r="F1022" s="233" t="n"/>
      <c r="G1022" s="233" t="n"/>
      <c r="H1022" s="233" t="n"/>
      <c r="I1022" s="232" t="n"/>
      <c r="J1022" s="233" t="n"/>
      <c r="K1022" s="232" t="n"/>
      <c r="L1022" s="232" t="n"/>
      <c r="M1022" s="232" t="n"/>
      <c r="N1022" s="233" t="n"/>
      <c r="O1022" s="232" t="n"/>
      <c r="P1022" s="233" t="n"/>
      <c r="Q1022" s="233" t="n"/>
      <c r="R1022" s="233" t="n"/>
      <c r="S1022" s="232" t="n"/>
      <c r="T1022" s="233" t="n"/>
      <c r="U1022" s="233" t="n"/>
      <c r="V1022" s="233" t="n"/>
      <c r="W1022" s="232" t="n"/>
    </row>
    <row r="1023" ht="54.95" customFormat="1" customHeight="1" s="235">
      <c r="A1023" s="232" t="n"/>
      <c r="B1023" s="232" t="n"/>
      <c r="C1023" s="232" t="n"/>
      <c r="D1023" s="233" t="n"/>
      <c r="E1023" s="232" t="n"/>
      <c r="F1023" s="233" t="n"/>
      <c r="G1023" s="233" t="n"/>
      <c r="H1023" s="233" t="n"/>
      <c r="I1023" s="232" t="n"/>
      <c r="J1023" s="233" t="n"/>
      <c r="K1023" s="232" t="n"/>
      <c r="L1023" s="232" t="n"/>
      <c r="M1023" s="232" t="n"/>
      <c r="N1023" s="233" t="n"/>
      <c r="O1023" s="232" t="n"/>
      <c r="P1023" s="233" t="n"/>
      <c r="Q1023" s="233" t="n"/>
      <c r="R1023" s="233" t="n"/>
      <c r="S1023" s="232" t="n"/>
      <c r="T1023" s="233" t="n"/>
      <c r="U1023" s="233" t="n"/>
      <c r="V1023" s="233" t="n"/>
      <c r="W1023" s="232" t="n"/>
    </row>
    <row r="1024" ht="54.95" customFormat="1" customHeight="1" s="235">
      <c r="A1024" s="232" t="n"/>
      <c r="B1024" s="232" t="n"/>
      <c r="C1024" s="232" t="n"/>
      <c r="D1024" s="233" t="n"/>
      <c r="E1024" s="232" t="n"/>
      <c r="F1024" s="233" t="n"/>
      <c r="G1024" s="233" t="n"/>
      <c r="H1024" s="233" t="n"/>
      <c r="I1024" s="232" t="n"/>
      <c r="J1024" s="233" t="n"/>
      <c r="K1024" s="232" t="n"/>
      <c r="L1024" s="232" t="n"/>
      <c r="M1024" s="232" t="n"/>
      <c r="N1024" s="233" t="n"/>
      <c r="O1024" s="232" t="n"/>
      <c r="P1024" s="233" t="n"/>
      <c r="Q1024" s="233" t="n"/>
      <c r="R1024" s="233" t="n"/>
      <c r="S1024" s="232" t="n"/>
      <c r="T1024" s="233" t="n"/>
      <c r="U1024" s="233" t="n"/>
      <c r="V1024" s="233" t="n"/>
      <c r="W1024" s="232" t="n"/>
    </row>
    <row r="1025" ht="54.95" customFormat="1" customHeight="1" s="235">
      <c r="A1025" s="232" t="n"/>
      <c r="B1025" s="232" t="n"/>
      <c r="C1025" s="232" t="n"/>
      <c r="D1025" s="233" t="n"/>
      <c r="E1025" s="232" t="n"/>
      <c r="F1025" s="233" t="n"/>
      <c r="G1025" s="233" t="n"/>
      <c r="H1025" s="233" t="n"/>
      <c r="I1025" s="232" t="n"/>
      <c r="J1025" s="233" t="n"/>
      <c r="K1025" s="232" t="n"/>
      <c r="L1025" s="232" t="n"/>
      <c r="M1025" s="232" t="n"/>
      <c r="N1025" s="233" t="n"/>
      <c r="O1025" s="232" t="n"/>
      <c r="P1025" s="233" t="n"/>
      <c r="Q1025" s="233" t="n"/>
      <c r="R1025" s="233" t="n"/>
      <c r="S1025" s="232" t="n"/>
      <c r="T1025" s="233" t="n"/>
      <c r="U1025" s="233" t="n"/>
      <c r="V1025" s="233" t="n"/>
      <c r="W1025" s="232" t="n"/>
    </row>
    <row r="1026" ht="54.95" customFormat="1" customHeight="1" s="235">
      <c r="A1026" s="232" t="n"/>
      <c r="B1026" s="232" t="n"/>
      <c r="C1026" s="232" t="n"/>
      <c r="D1026" s="233" t="n"/>
      <c r="E1026" s="232" t="n"/>
      <c r="F1026" s="233" t="n"/>
      <c r="G1026" s="233" t="n"/>
      <c r="H1026" s="233" t="n"/>
      <c r="I1026" s="232" t="n"/>
      <c r="J1026" s="233" t="n"/>
      <c r="K1026" s="232" t="n"/>
      <c r="L1026" s="232" t="n"/>
      <c r="M1026" s="232" t="n"/>
      <c r="N1026" s="233" t="n"/>
      <c r="O1026" s="232" t="n"/>
      <c r="P1026" s="233" t="n"/>
      <c r="Q1026" s="233" t="n"/>
      <c r="R1026" s="233" t="n"/>
      <c r="S1026" s="232" t="n"/>
      <c r="T1026" s="233" t="n"/>
      <c r="U1026" s="233" t="n"/>
      <c r="V1026" s="233" t="n"/>
      <c r="W1026" s="232" t="n"/>
    </row>
    <row r="1027" ht="54.95" customFormat="1" customHeight="1" s="235">
      <c r="A1027" s="232" t="n"/>
      <c r="B1027" s="232" t="n"/>
      <c r="C1027" s="232" t="n"/>
      <c r="D1027" s="233" t="n"/>
      <c r="E1027" s="232" t="n"/>
      <c r="F1027" s="233" t="n"/>
      <c r="G1027" s="233" t="n"/>
      <c r="H1027" s="233" t="n"/>
      <c r="I1027" s="232" t="n"/>
      <c r="J1027" s="233" t="n"/>
      <c r="K1027" s="232" t="n"/>
      <c r="L1027" s="232" t="n"/>
      <c r="M1027" s="232" t="n"/>
      <c r="N1027" s="233" t="n"/>
      <c r="O1027" s="232" t="n"/>
      <c r="P1027" s="233" t="n"/>
      <c r="Q1027" s="233" t="n"/>
      <c r="R1027" s="233" t="n"/>
      <c r="S1027" s="232" t="n"/>
      <c r="T1027" s="233" t="n"/>
      <c r="U1027" s="233" t="n"/>
      <c r="V1027" s="233" t="n"/>
      <c r="W1027" s="232" t="n"/>
    </row>
    <row r="1028" ht="54.95" customFormat="1" customHeight="1" s="235">
      <c r="A1028" s="232" t="n"/>
      <c r="B1028" s="232" t="n"/>
      <c r="C1028" s="232" t="n"/>
      <c r="D1028" s="233" t="n"/>
      <c r="E1028" s="232" t="n"/>
      <c r="F1028" s="233" t="n"/>
      <c r="G1028" s="233" t="n"/>
      <c r="H1028" s="233" t="n"/>
      <c r="I1028" s="232" t="n"/>
      <c r="J1028" s="233" t="n"/>
      <c r="K1028" s="232" t="n"/>
      <c r="L1028" s="232" t="n"/>
      <c r="M1028" s="232" t="n"/>
      <c r="N1028" s="233" t="n"/>
      <c r="O1028" s="232" t="n"/>
      <c r="P1028" s="233" t="n"/>
      <c r="Q1028" s="233" t="n"/>
      <c r="R1028" s="233" t="n"/>
      <c r="S1028" s="232" t="n"/>
      <c r="T1028" s="233" t="n"/>
      <c r="U1028" s="233" t="n"/>
      <c r="V1028" s="233" t="n"/>
      <c r="W1028" s="232" t="n"/>
    </row>
    <row r="1029" ht="54.95" customFormat="1" customHeight="1" s="235">
      <c r="A1029" s="232" t="n"/>
      <c r="B1029" s="232" t="n"/>
      <c r="C1029" s="232" t="n"/>
      <c r="D1029" s="233" t="n"/>
      <c r="E1029" s="232" t="n"/>
      <c r="F1029" s="233" t="n"/>
      <c r="G1029" s="233" t="n"/>
      <c r="H1029" s="233" t="n"/>
      <c r="I1029" s="232" t="n"/>
      <c r="J1029" s="233" t="n"/>
      <c r="K1029" s="232" t="n"/>
      <c r="L1029" s="232" t="n"/>
      <c r="M1029" s="232" t="n"/>
      <c r="N1029" s="233" t="n"/>
      <c r="O1029" s="232" t="n"/>
      <c r="P1029" s="233" t="n"/>
      <c r="Q1029" s="233" t="n"/>
      <c r="R1029" s="233" t="n"/>
      <c r="S1029" s="232" t="n"/>
      <c r="T1029" s="233" t="n"/>
      <c r="U1029" s="233" t="n"/>
      <c r="V1029" s="233" t="n"/>
      <c r="W1029" s="232" t="n"/>
    </row>
    <row r="1030" ht="54.95" customFormat="1" customHeight="1" s="235">
      <c r="A1030" s="232" t="n"/>
      <c r="B1030" s="232" t="n"/>
      <c r="C1030" s="232" t="n"/>
      <c r="D1030" s="233" t="n"/>
      <c r="E1030" s="232" t="n"/>
      <c r="F1030" s="233" t="n"/>
      <c r="G1030" s="233" t="n"/>
      <c r="H1030" s="233" t="n"/>
      <c r="I1030" s="232" t="n"/>
      <c r="J1030" s="233" t="n"/>
      <c r="K1030" s="232" t="n"/>
      <c r="L1030" s="232" t="n"/>
      <c r="M1030" s="232" t="n"/>
      <c r="N1030" s="233" t="n"/>
      <c r="O1030" s="232" t="n"/>
      <c r="P1030" s="233" t="n"/>
      <c r="Q1030" s="233" t="n"/>
      <c r="R1030" s="233" t="n"/>
      <c r="S1030" s="232" t="n"/>
      <c r="T1030" s="233" t="n"/>
      <c r="U1030" s="233" t="n"/>
      <c r="V1030" s="233" t="n"/>
      <c r="W1030" s="232" t="n"/>
    </row>
    <row r="1031" ht="54.95" customFormat="1" customHeight="1" s="235">
      <c r="A1031" s="232" t="n"/>
      <c r="B1031" s="232" t="n"/>
      <c r="C1031" s="232" t="n"/>
      <c r="D1031" s="233" t="n"/>
      <c r="E1031" s="232" t="n"/>
      <c r="F1031" s="233" t="n"/>
      <c r="G1031" s="233" t="n"/>
      <c r="H1031" s="233" t="n"/>
      <c r="I1031" s="232" t="n"/>
      <c r="J1031" s="233" t="n"/>
      <c r="K1031" s="232" t="n"/>
      <c r="L1031" s="232" t="n"/>
      <c r="M1031" s="232" t="n"/>
      <c r="N1031" s="233" t="n"/>
      <c r="O1031" s="232" t="n"/>
      <c r="P1031" s="233" t="n"/>
      <c r="Q1031" s="233" t="n"/>
      <c r="R1031" s="233" t="n"/>
      <c r="S1031" s="232" t="n"/>
      <c r="T1031" s="233" t="n"/>
      <c r="U1031" s="233" t="n"/>
      <c r="V1031" s="233" t="n"/>
      <c r="W1031" s="232" t="n"/>
    </row>
    <row r="1032" ht="54.95" customFormat="1" customHeight="1" s="235">
      <c r="A1032" s="232" t="n"/>
      <c r="B1032" s="232" t="n"/>
      <c r="C1032" s="232" t="n"/>
      <c r="D1032" s="233" t="n"/>
      <c r="E1032" s="232" t="n"/>
      <c r="F1032" s="233" t="n"/>
      <c r="G1032" s="233" t="n"/>
      <c r="H1032" s="233" t="n"/>
      <c r="I1032" s="232" t="n"/>
      <c r="J1032" s="233" t="n"/>
      <c r="K1032" s="232" t="n"/>
      <c r="L1032" s="232" t="n"/>
      <c r="M1032" s="232" t="n"/>
      <c r="N1032" s="233" t="n"/>
      <c r="O1032" s="232" t="n"/>
      <c r="P1032" s="233" t="n"/>
      <c r="Q1032" s="233" t="n"/>
      <c r="R1032" s="233" t="n"/>
      <c r="S1032" s="232" t="n"/>
      <c r="T1032" s="233" t="n"/>
      <c r="U1032" s="233" t="n"/>
      <c r="V1032" s="233" t="n"/>
      <c r="W1032" s="232" t="n"/>
    </row>
    <row r="1033" ht="54.95" customFormat="1" customHeight="1" s="235">
      <c r="A1033" s="234" t="n"/>
      <c r="B1033" s="234" t="n"/>
      <c r="C1033" s="234" t="n"/>
      <c r="D1033" s="234" t="n"/>
      <c r="E1033" s="234" t="n"/>
      <c r="F1033" s="234" t="n"/>
      <c r="G1033" s="234" t="n"/>
      <c r="H1033" s="234" t="n"/>
      <c r="I1033" s="234" t="n"/>
      <c r="J1033" s="234" t="n"/>
      <c r="K1033" s="234" t="n"/>
      <c r="L1033" s="234" t="n"/>
      <c r="M1033" s="232" t="n"/>
      <c r="N1033" s="233" t="n"/>
      <c r="O1033" s="232" t="n"/>
      <c r="P1033" s="234" t="n"/>
      <c r="Q1033" s="234" t="n"/>
      <c r="R1033" s="234" t="n"/>
      <c r="S1033" s="234" t="n"/>
      <c r="T1033" s="234" t="n"/>
      <c r="U1033" s="234" t="n"/>
      <c r="V1033" s="234" t="n"/>
      <c r="W1033" s="234" t="n"/>
    </row>
    <row r="1034" ht="54.95" customFormat="1" customHeight="1" s="235">
      <c r="A1034" s="234" t="n"/>
      <c r="B1034" s="234" t="n"/>
      <c r="C1034" s="234" t="n"/>
      <c r="D1034" s="234" t="n"/>
      <c r="E1034" s="234" t="n"/>
      <c r="F1034" s="234" t="n"/>
      <c r="G1034" s="234" t="n"/>
      <c r="H1034" s="234" t="n"/>
      <c r="I1034" s="234" t="n"/>
      <c r="J1034" s="234" t="n"/>
      <c r="K1034" s="234" t="n"/>
      <c r="L1034" s="234" t="n"/>
      <c r="M1034" s="232" t="n"/>
      <c r="N1034" s="233" t="n"/>
      <c r="O1034" s="232" t="n"/>
      <c r="P1034" s="234" t="n"/>
      <c r="Q1034" s="234" t="n"/>
      <c r="R1034" s="234" t="n"/>
      <c r="S1034" s="234" t="n"/>
      <c r="T1034" s="234" t="n"/>
      <c r="U1034" s="234" t="n"/>
      <c r="V1034" s="234" t="n"/>
      <c r="W1034" s="234" t="n"/>
    </row>
    <row r="1035" ht="54.95" customFormat="1" customHeight="1" s="235">
      <c r="A1035" s="234" t="n"/>
      <c r="B1035" s="234" t="n"/>
      <c r="C1035" s="234" t="n"/>
      <c r="D1035" s="234" t="n"/>
      <c r="E1035" s="234" t="n"/>
      <c r="F1035" s="234" t="n"/>
      <c r="G1035" s="234" t="n"/>
      <c r="H1035" s="234" t="n"/>
      <c r="I1035" s="234" t="n"/>
      <c r="J1035" s="234" t="n"/>
      <c r="K1035" s="234" t="n"/>
      <c r="L1035" s="234" t="n"/>
      <c r="M1035" s="232" t="n"/>
      <c r="N1035" s="233" t="n"/>
      <c r="O1035" s="232" t="n"/>
      <c r="P1035" s="234" t="n"/>
      <c r="Q1035" s="234" t="n"/>
      <c r="R1035" s="234" t="n"/>
      <c r="S1035" s="234" t="n"/>
      <c r="T1035" s="234" t="n"/>
      <c r="U1035" s="234" t="n"/>
      <c r="V1035" s="234" t="n"/>
      <c r="W1035" s="234" t="n"/>
    </row>
    <row r="1036" ht="54.95" customFormat="1" customHeight="1" s="235">
      <c r="A1036" s="234" t="n"/>
      <c r="B1036" s="234" t="n"/>
      <c r="C1036" s="234" t="n"/>
      <c r="D1036" s="234" t="n"/>
      <c r="E1036" s="234" t="n"/>
      <c r="F1036" s="234" t="n"/>
      <c r="G1036" s="234" t="n"/>
      <c r="H1036" s="234" t="n"/>
      <c r="I1036" s="234" t="n"/>
      <c r="J1036" s="234" t="n"/>
      <c r="K1036" s="234" t="n"/>
      <c r="L1036" s="234" t="n"/>
      <c r="M1036" s="232" t="n"/>
      <c r="N1036" s="233" t="n"/>
      <c r="O1036" s="232" t="n"/>
      <c r="P1036" s="234" t="n"/>
      <c r="Q1036" s="234" t="n"/>
      <c r="R1036" s="234" t="n"/>
      <c r="S1036" s="234" t="n"/>
      <c r="T1036" s="234" t="n"/>
      <c r="U1036" s="234" t="n"/>
      <c r="V1036" s="234" t="n"/>
      <c r="W1036" s="234" t="n"/>
    </row>
    <row r="1037" ht="54.95" customFormat="1" customHeight="1" s="235">
      <c r="A1037" s="232" t="n"/>
      <c r="B1037" s="232" t="n"/>
      <c r="C1037" s="232" t="n"/>
      <c r="D1037" s="233" t="n"/>
      <c r="E1037" s="232" t="n"/>
      <c r="F1037" s="233" t="n"/>
      <c r="G1037" s="233" t="n"/>
      <c r="H1037" s="233" t="n"/>
      <c r="I1037" s="232" t="n"/>
      <c r="J1037" s="233" t="n"/>
      <c r="K1037" s="232" t="n"/>
      <c r="L1037" s="232" t="n"/>
      <c r="M1037" s="232" t="n"/>
      <c r="N1037" s="233" t="n"/>
      <c r="O1037" s="232" t="n"/>
      <c r="P1037" s="233" t="n"/>
      <c r="Q1037" s="233" t="n"/>
      <c r="R1037" s="233" t="n"/>
      <c r="S1037" s="232" t="n"/>
      <c r="T1037" s="233" t="n"/>
      <c r="U1037" s="233" t="n"/>
      <c r="V1037" s="233" t="n"/>
      <c r="W1037" s="232" t="n"/>
    </row>
    <row r="1038" ht="54.95" customFormat="1" customHeight="1" s="235">
      <c r="A1038" s="232" t="n"/>
      <c r="B1038" s="232" t="n"/>
      <c r="C1038" s="232" t="n"/>
      <c r="D1038" s="233" t="n"/>
      <c r="E1038" s="232" t="n"/>
      <c r="F1038" s="233" t="n"/>
      <c r="G1038" s="233" t="n"/>
      <c r="H1038" s="233" t="n"/>
      <c r="I1038" s="232" t="n"/>
      <c r="J1038" s="233" t="n"/>
      <c r="K1038" s="232" t="n"/>
      <c r="L1038" s="232" t="n"/>
      <c r="M1038" s="232" t="n"/>
      <c r="N1038" s="233" t="n"/>
      <c r="O1038" s="232" t="n"/>
      <c r="P1038" s="233" t="n"/>
      <c r="Q1038" s="233" t="n"/>
      <c r="R1038" s="233" t="n"/>
      <c r="S1038" s="232" t="n"/>
      <c r="T1038" s="233" t="n"/>
      <c r="U1038" s="233" t="n"/>
      <c r="V1038" s="233" t="n"/>
      <c r="W1038" s="232" t="n"/>
    </row>
    <row r="1039" ht="54.95" customFormat="1" customHeight="1" s="235">
      <c r="A1039" s="232" t="n"/>
      <c r="B1039" s="232" t="n"/>
      <c r="C1039" s="232" t="n"/>
      <c r="D1039" s="233" t="n"/>
      <c r="E1039" s="232" t="n"/>
      <c r="F1039" s="233" t="n"/>
      <c r="G1039" s="233" t="n"/>
      <c r="H1039" s="233" t="n"/>
      <c r="I1039" s="232" t="n"/>
      <c r="J1039" s="233" t="n"/>
      <c r="K1039" s="232" t="n"/>
      <c r="L1039" s="232" t="n"/>
      <c r="M1039" s="232" t="n"/>
      <c r="N1039" s="233" t="n"/>
      <c r="O1039" s="232" t="n"/>
      <c r="P1039" s="233" t="n"/>
      <c r="Q1039" s="233" t="n"/>
      <c r="R1039" s="233" t="n"/>
      <c r="S1039" s="232" t="n"/>
      <c r="T1039" s="233" t="n"/>
      <c r="U1039" s="233" t="n"/>
      <c r="V1039" s="233" t="n"/>
      <c r="W1039" s="232" t="n"/>
    </row>
    <row r="1040" ht="54.95" customFormat="1" customHeight="1" s="235">
      <c r="A1040" s="232" t="n"/>
      <c r="B1040" s="232" t="n"/>
      <c r="C1040" s="232" t="n"/>
      <c r="D1040" s="233" t="n"/>
      <c r="E1040" s="232" t="n"/>
      <c r="F1040" s="233" t="n"/>
      <c r="G1040" s="233" t="n"/>
      <c r="H1040" s="233" t="n"/>
      <c r="I1040" s="232" t="n"/>
      <c r="J1040" s="233" t="n"/>
      <c r="K1040" s="232" t="n"/>
      <c r="L1040" s="232" t="n"/>
      <c r="M1040" s="232" t="n"/>
      <c r="N1040" s="233" t="n"/>
      <c r="O1040" s="232" t="n"/>
      <c r="P1040" s="233" t="n"/>
      <c r="Q1040" s="233" t="n"/>
      <c r="R1040" s="233" t="n"/>
      <c r="S1040" s="232" t="n"/>
      <c r="T1040" s="233" t="n"/>
      <c r="U1040" s="233" t="n"/>
      <c r="V1040" s="233" t="n"/>
      <c r="W1040" s="232" t="n"/>
    </row>
    <row r="1041" ht="54.95" customFormat="1" customHeight="1" s="235">
      <c r="A1041" s="232" t="n"/>
      <c r="B1041" s="232" t="n"/>
      <c r="C1041" s="232" t="n"/>
      <c r="D1041" s="233" t="n"/>
      <c r="E1041" s="232" t="n"/>
      <c r="F1041" s="233" t="n"/>
      <c r="G1041" s="233" t="n"/>
      <c r="H1041" s="233" t="n"/>
      <c r="I1041" s="232" t="n"/>
      <c r="J1041" s="233" t="n"/>
      <c r="K1041" s="232" t="n"/>
      <c r="L1041" s="232" t="n"/>
      <c r="M1041" s="232" t="n"/>
      <c r="N1041" s="233" t="n"/>
      <c r="O1041" s="232" t="n"/>
      <c r="P1041" s="233" t="n"/>
      <c r="Q1041" s="233" t="n"/>
      <c r="R1041" s="233" t="n"/>
      <c r="S1041" s="232" t="n"/>
      <c r="T1041" s="233" t="n"/>
      <c r="U1041" s="233" t="n"/>
      <c r="V1041" s="233" t="n"/>
      <c r="W1041" s="232" t="n"/>
    </row>
    <row r="1042" ht="54.95" customFormat="1" customHeight="1" s="235">
      <c r="A1042" s="234" t="n"/>
      <c r="B1042" s="234" t="n"/>
      <c r="C1042" s="234" t="n"/>
      <c r="D1042" s="234" t="n"/>
      <c r="E1042" s="234" t="n"/>
      <c r="F1042" s="234" t="n"/>
      <c r="G1042" s="234" t="n"/>
      <c r="H1042" s="234" t="n"/>
      <c r="I1042" s="234" t="n"/>
      <c r="J1042" s="234" t="n"/>
      <c r="K1042" s="234" t="n"/>
      <c r="L1042" s="234" t="n"/>
      <c r="M1042" s="232" t="n"/>
      <c r="N1042" s="233" t="n"/>
      <c r="O1042" s="232" t="n"/>
      <c r="P1042" s="234" t="n"/>
      <c r="Q1042" s="234" t="n"/>
      <c r="R1042" s="234" t="n"/>
      <c r="S1042" s="234" t="n"/>
      <c r="T1042" s="234" t="n"/>
      <c r="U1042" s="234" t="n"/>
      <c r="V1042" s="234" t="n"/>
      <c r="W1042" s="234" t="n"/>
    </row>
    <row r="1043" ht="54.95" customFormat="1" customHeight="1" s="235">
      <c r="A1043" s="234" t="n"/>
      <c r="B1043" s="234" t="n"/>
      <c r="C1043" s="234" t="n"/>
      <c r="D1043" s="234" t="n"/>
      <c r="E1043" s="234" t="n"/>
      <c r="F1043" s="234" t="n"/>
      <c r="G1043" s="234" t="n"/>
      <c r="H1043" s="234" t="n"/>
      <c r="I1043" s="234" t="n"/>
      <c r="J1043" s="234" t="n"/>
      <c r="K1043" s="234" t="n"/>
      <c r="L1043" s="234" t="n"/>
      <c r="M1043" s="232" t="n"/>
      <c r="N1043" s="233" t="n"/>
      <c r="O1043" s="232" t="n"/>
      <c r="P1043" s="234" t="n"/>
      <c r="Q1043" s="234" t="n"/>
      <c r="R1043" s="234" t="n"/>
      <c r="S1043" s="234" t="n"/>
      <c r="T1043" s="234" t="n"/>
      <c r="U1043" s="234" t="n"/>
      <c r="V1043" s="234" t="n"/>
      <c r="W1043" s="234" t="n"/>
    </row>
    <row r="1044" ht="54.95" customFormat="1" customHeight="1" s="235">
      <c r="A1044" s="234" t="n"/>
      <c r="B1044" s="234" t="n"/>
      <c r="C1044" s="234" t="n"/>
      <c r="D1044" s="234" t="n"/>
      <c r="E1044" s="234" t="n"/>
      <c r="F1044" s="234" t="n"/>
      <c r="G1044" s="234" t="n"/>
      <c r="H1044" s="234" t="n"/>
      <c r="I1044" s="234" t="n"/>
      <c r="J1044" s="234" t="n"/>
      <c r="K1044" s="234" t="n"/>
      <c r="L1044" s="234" t="n"/>
      <c r="M1044" s="232" t="n"/>
      <c r="N1044" s="233" t="n"/>
      <c r="O1044" s="232" t="n"/>
      <c r="P1044" s="234" t="n"/>
      <c r="Q1044" s="234" t="n"/>
      <c r="R1044" s="234" t="n"/>
      <c r="S1044" s="234" t="n"/>
      <c r="T1044" s="234" t="n"/>
      <c r="U1044" s="234" t="n"/>
      <c r="V1044" s="234" t="n"/>
      <c r="W1044" s="234" t="n"/>
    </row>
    <row r="1045" ht="54.95" customFormat="1" customHeight="1" s="235">
      <c r="A1045" s="234" t="n"/>
      <c r="B1045" s="234" t="n"/>
      <c r="C1045" s="234" t="n"/>
      <c r="D1045" s="234" t="n"/>
      <c r="E1045" s="234" t="n"/>
      <c r="F1045" s="234" t="n"/>
      <c r="G1045" s="234" t="n"/>
      <c r="H1045" s="234" t="n"/>
      <c r="I1045" s="234" t="n"/>
      <c r="J1045" s="234" t="n"/>
      <c r="K1045" s="234" t="n"/>
      <c r="L1045" s="234" t="n"/>
      <c r="M1045" s="232" t="n"/>
      <c r="N1045" s="233" t="n"/>
      <c r="O1045" s="232" t="n"/>
      <c r="P1045" s="234" t="n"/>
      <c r="Q1045" s="234" t="n"/>
      <c r="R1045" s="234" t="n"/>
      <c r="S1045" s="234" t="n"/>
      <c r="T1045" s="234" t="n"/>
      <c r="U1045" s="234" t="n"/>
      <c r="V1045" s="234" t="n"/>
      <c r="W1045" s="234" t="n"/>
    </row>
    <row r="1046" ht="54.95" customFormat="1" customHeight="1" s="235">
      <c r="A1046" s="234" t="n"/>
      <c r="B1046" s="234" t="n"/>
      <c r="C1046" s="234" t="n"/>
      <c r="D1046" s="234" t="n"/>
      <c r="E1046" s="234" t="n"/>
      <c r="F1046" s="234" t="n"/>
      <c r="G1046" s="234" t="n"/>
      <c r="H1046" s="234" t="n"/>
      <c r="I1046" s="234" t="n"/>
      <c r="J1046" s="234" t="n"/>
      <c r="K1046" s="234" t="n"/>
      <c r="L1046" s="234" t="n"/>
      <c r="M1046" s="232" t="n"/>
      <c r="N1046" s="233" t="n"/>
      <c r="O1046" s="232" t="n"/>
      <c r="P1046" s="234" t="n"/>
      <c r="Q1046" s="234" t="n"/>
      <c r="R1046" s="234" t="n"/>
      <c r="S1046" s="234" t="n"/>
      <c r="T1046" s="234" t="n"/>
      <c r="U1046" s="234" t="n"/>
      <c r="V1046" s="234" t="n"/>
      <c r="W1046" s="234" t="n"/>
    </row>
    <row r="1047" ht="54.95" customFormat="1" customHeight="1" s="235">
      <c r="A1047" s="234" t="n"/>
      <c r="B1047" s="234" t="n"/>
      <c r="C1047" s="234" t="n"/>
      <c r="D1047" s="234" t="n"/>
      <c r="E1047" s="234" t="n"/>
      <c r="F1047" s="234" t="n"/>
      <c r="G1047" s="234" t="n"/>
      <c r="H1047" s="234" t="n"/>
      <c r="I1047" s="234" t="n"/>
      <c r="J1047" s="234" t="n"/>
      <c r="K1047" s="234" t="n"/>
      <c r="L1047" s="234" t="n"/>
      <c r="M1047" s="232" t="n"/>
      <c r="N1047" s="233" t="n"/>
      <c r="O1047" s="232" t="n"/>
      <c r="P1047" s="234" t="n"/>
      <c r="Q1047" s="234" t="n"/>
      <c r="R1047" s="234" t="n"/>
      <c r="S1047" s="234" t="n"/>
      <c r="T1047" s="234" t="n"/>
      <c r="U1047" s="234" t="n"/>
      <c r="V1047" s="234" t="n"/>
      <c r="W1047" s="234" t="n"/>
    </row>
    <row r="1048" ht="54.95" customFormat="1" customHeight="1" s="235">
      <c r="A1048" s="232" t="n"/>
      <c r="B1048" s="232" t="n"/>
      <c r="C1048" s="232" t="n"/>
      <c r="D1048" s="233" t="n"/>
      <c r="E1048" s="232" t="n"/>
      <c r="F1048" s="233" t="n"/>
      <c r="G1048" s="233" t="n"/>
      <c r="H1048" s="233" t="n"/>
      <c r="I1048" s="232" t="n"/>
      <c r="J1048" s="233" t="n"/>
      <c r="K1048" s="232" t="n"/>
      <c r="L1048" s="232" t="n"/>
      <c r="M1048" s="232" t="n"/>
      <c r="N1048" s="233" t="n"/>
      <c r="O1048" s="232" t="n"/>
      <c r="P1048" s="233" t="n"/>
      <c r="Q1048" s="233" t="n"/>
      <c r="R1048" s="233" t="n"/>
      <c r="S1048" s="232" t="n"/>
      <c r="T1048" s="233" t="n"/>
      <c r="U1048" s="233" t="n"/>
      <c r="V1048" s="233" t="n"/>
      <c r="W1048" s="232" t="n"/>
    </row>
    <row r="1049" ht="54.95" customFormat="1" customHeight="1" s="235">
      <c r="A1049" s="232" t="n"/>
      <c r="B1049" s="232" t="n"/>
      <c r="C1049" s="232" t="n"/>
      <c r="D1049" s="233" t="n"/>
      <c r="E1049" s="232" t="n"/>
      <c r="F1049" s="233" t="n"/>
      <c r="G1049" s="233" t="n"/>
      <c r="H1049" s="233" t="n"/>
      <c r="I1049" s="232" t="n"/>
      <c r="J1049" s="233" t="n"/>
      <c r="K1049" s="232" t="n"/>
      <c r="L1049" s="232" t="n"/>
      <c r="M1049" s="232" t="n"/>
      <c r="N1049" s="233" t="n"/>
      <c r="O1049" s="232" t="n"/>
      <c r="P1049" s="233" t="n"/>
      <c r="Q1049" s="233" t="n"/>
      <c r="R1049" s="233" t="n"/>
      <c r="S1049" s="232" t="n"/>
      <c r="T1049" s="233" t="n"/>
      <c r="U1049" s="233" t="n"/>
      <c r="V1049" s="233" t="n"/>
      <c r="W1049" s="232" t="n"/>
    </row>
    <row r="1050" ht="54.95" customFormat="1" customHeight="1" s="235">
      <c r="A1050" s="232" t="n"/>
      <c r="B1050" s="232" t="n"/>
      <c r="C1050" s="232" t="n"/>
      <c r="D1050" s="233" t="n"/>
      <c r="E1050" s="232" t="n"/>
      <c r="F1050" s="233" t="n"/>
      <c r="G1050" s="233" t="n"/>
      <c r="H1050" s="233" t="n"/>
      <c r="I1050" s="232" t="n"/>
      <c r="J1050" s="233" t="n"/>
      <c r="K1050" s="232" t="n"/>
      <c r="L1050" s="232" t="n"/>
      <c r="M1050" s="232" t="n"/>
      <c r="N1050" s="233" t="n"/>
      <c r="O1050" s="232" t="n"/>
      <c r="P1050" s="233" t="n"/>
      <c r="Q1050" s="233" t="n"/>
      <c r="R1050" s="233" t="n"/>
      <c r="S1050" s="232" t="n"/>
      <c r="T1050" s="233" t="n"/>
      <c r="U1050" s="233" t="n"/>
      <c r="V1050" s="233" t="n"/>
      <c r="W1050" s="232" t="n"/>
    </row>
    <row r="1051" ht="54.95" customFormat="1" customHeight="1" s="235">
      <c r="A1051" s="232" t="n"/>
      <c r="B1051" s="232" t="n"/>
      <c r="C1051" s="232" t="n"/>
      <c r="D1051" s="233" t="n"/>
      <c r="E1051" s="232" t="n"/>
      <c r="F1051" s="233" t="n"/>
      <c r="G1051" s="233" t="n"/>
      <c r="H1051" s="233" t="n"/>
      <c r="I1051" s="232" t="n"/>
      <c r="J1051" s="233" t="n"/>
      <c r="K1051" s="232" t="n"/>
      <c r="L1051" s="232" t="n"/>
      <c r="M1051" s="232" t="n"/>
      <c r="N1051" s="233" t="n"/>
      <c r="O1051" s="232" t="n"/>
      <c r="P1051" s="233" t="n"/>
      <c r="Q1051" s="233" t="n"/>
      <c r="R1051" s="233" t="n"/>
      <c r="S1051" s="232" t="n"/>
      <c r="T1051" s="233" t="n"/>
      <c r="U1051" s="233" t="n"/>
      <c r="V1051" s="233" t="n"/>
      <c r="W1051" s="232" t="n"/>
    </row>
    <row r="1052" ht="54.95" customFormat="1" customHeight="1" s="235">
      <c r="A1052" s="232" t="n"/>
      <c r="B1052" s="232" t="n"/>
      <c r="C1052" s="232" t="n"/>
      <c r="D1052" s="233" t="n"/>
      <c r="E1052" s="232" t="n"/>
      <c r="F1052" s="233" t="n"/>
      <c r="G1052" s="233" t="n"/>
      <c r="H1052" s="233" t="n"/>
      <c r="I1052" s="232" t="n"/>
      <c r="J1052" s="233" t="n"/>
      <c r="K1052" s="232" t="n"/>
      <c r="L1052" s="232" t="n"/>
      <c r="M1052" s="232" t="n"/>
      <c r="N1052" s="233" t="n"/>
      <c r="O1052" s="232" t="n"/>
      <c r="P1052" s="233" t="n"/>
      <c r="Q1052" s="233" t="n"/>
      <c r="R1052" s="233" t="n"/>
      <c r="S1052" s="232" t="n"/>
      <c r="T1052" s="233" t="n"/>
      <c r="U1052" s="233" t="n"/>
      <c r="V1052" s="233" t="n"/>
      <c r="W1052" s="232" t="n"/>
    </row>
    <row r="1053" ht="54.95" customFormat="1" customHeight="1" s="235">
      <c r="A1053" s="232" t="n"/>
      <c r="B1053" s="232" t="n"/>
      <c r="C1053" s="232" t="n"/>
      <c r="D1053" s="233" t="n"/>
      <c r="E1053" s="232" t="n"/>
      <c r="F1053" s="233" t="n"/>
      <c r="G1053" s="233" t="n"/>
      <c r="H1053" s="233" t="n"/>
      <c r="I1053" s="232" t="n"/>
      <c r="J1053" s="233" t="n"/>
      <c r="K1053" s="232" t="n"/>
      <c r="L1053" s="232" t="n"/>
      <c r="M1053" s="232" t="n"/>
      <c r="N1053" s="233" t="n"/>
      <c r="O1053" s="232" t="n"/>
      <c r="P1053" s="233" t="n"/>
      <c r="Q1053" s="233" t="n"/>
      <c r="R1053" s="233" t="n"/>
      <c r="S1053" s="232" t="n"/>
      <c r="T1053" s="233" t="n"/>
      <c r="U1053" s="233" t="n"/>
      <c r="V1053" s="233" t="n"/>
      <c r="W1053" s="232" t="n"/>
    </row>
    <row r="1054" ht="54.95" customFormat="1" customHeight="1" s="235">
      <c r="A1054" s="232" t="n"/>
      <c r="B1054" s="232" t="n"/>
      <c r="C1054" s="232" t="n"/>
      <c r="D1054" s="233" t="n"/>
      <c r="E1054" s="232" t="n"/>
      <c r="F1054" s="233" t="n"/>
      <c r="G1054" s="233" t="n"/>
      <c r="H1054" s="233" t="n"/>
      <c r="I1054" s="232" t="n"/>
      <c r="J1054" s="233" t="n"/>
      <c r="K1054" s="232" t="n"/>
      <c r="L1054" s="232" t="n"/>
      <c r="M1054" s="232" t="n"/>
      <c r="N1054" s="233" t="n"/>
      <c r="O1054" s="232" t="n"/>
      <c r="P1054" s="233" t="n"/>
      <c r="Q1054" s="233" t="n"/>
      <c r="R1054" s="233" t="n"/>
      <c r="S1054" s="232" t="n"/>
      <c r="T1054" s="233" t="n"/>
      <c r="U1054" s="233" t="n"/>
      <c r="V1054" s="233" t="n"/>
      <c r="W1054" s="232" t="n"/>
    </row>
    <row r="1055" ht="54.95" customFormat="1" customHeight="1" s="235">
      <c r="A1055" s="232" t="n"/>
      <c r="B1055" s="232" t="n"/>
      <c r="C1055" s="232" t="n"/>
      <c r="D1055" s="233" t="n"/>
      <c r="E1055" s="232" t="n"/>
      <c r="F1055" s="233" t="n"/>
      <c r="G1055" s="233" t="n"/>
      <c r="H1055" s="233" t="n"/>
      <c r="I1055" s="232" t="n"/>
      <c r="J1055" s="233" t="n"/>
      <c r="K1055" s="232" t="n"/>
      <c r="L1055" s="232" t="n"/>
      <c r="M1055" s="232" t="n"/>
      <c r="N1055" s="233" t="n"/>
      <c r="O1055" s="232" t="n"/>
      <c r="P1055" s="233" t="n"/>
      <c r="Q1055" s="233" t="n"/>
      <c r="R1055" s="233" t="n"/>
      <c r="S1055" s="232" t="n"/>
      <c r="T1055" s="233" t="n"/>
      <c r="U1055" s="233" t="n"/>
      <c r="V1055" s="233" t="n"/>
      <c r="W1055" s="232" t="n"/>
    </row>
    <row r="1056" ht="54.95" customFormat="1" customHeight="1" s="235">
      <c r="A1056" s="232" t="n"/>
      <c r="B1056" s="232" t="n"/>
      <c r="C1056" s="232" t="n"/>
      <c r="D1056" s="233" t="n"/>
      <c r="E1056" s="232" t="n"/>
      <c r="F1056" s="233" t="n"/>
      <c r="G1056" s="233" t="n"/>
      <c r="H1056" s="233" t="n"/>
      <c r="I1056" s="232" t="n"/>
      <c r="J1056" s="233" t="n"/>
      <c r="K1056" s="232" t="n"/>
      <c r="L1056" s="232" t="n"/>
      <c r="M1056" s="232" t="n"/>
      <c r="N1056" s="233" t="n"/>
      <c r="O1056" s="232" t="n"/>
      <c r="P1056" s="233" t="n"/>
      <c r="Q1056" s="233" t="n"/>
      <c r="R1056" s="233" t="n"/>
      <c r="S1056" s="232" t="n"/>
      <c r="T1056" s="233" t="n"/>
      <c r="U1056" s="233" t="n"/>
      <c r="V1056" s="233" t="n"/>
      <c r="W1056" s="232" t="n"/>
    </row>
    <row r="1057" ht="54.95" customFormat="1" customHeight="1" s="235">
      <c r="A1057" s="232" t="n"/>
      <c r="B1057" s="232" t="n"/>
      <c r="C1057" s="232" t="n"/>
      <c r="D1057" s="233" t="n"/>
      <c r="E1057" s="232" t="n"/>
      <c r="F1057" s="233" t="n"/>
      <c r="G1057" s="233" t="n"/>
      <c r="H1057" s="233" t="n"/>
      <c r="I1057" s="232" t="n"/>
      <c r="J1057" s="233" t="n"/>
      <c r="K1057" s="232" t="n"/>
      <c r="L1057" s="232" t="n"/>
      <c r="M1057" s="232" t="n"/>
      <c r="N1057" s="233" t="n"/>
      <c r="O1057" s="232" t="n"/>
      <c r="P1057" s="233" t="n"/>
      <c r="Q1057" s="233" t="n"/>
      <c r="R1057" s="233" t="n"/>
      <c r="S1057" s="232" t="n"/>
      <c r="T1057" s="233" t="n"/>
      <c r="U1057" s="233" t="n"/>
      <c r="V1057" s="233" t="n"/>
      <c r="W1057" s="232" t="n"/>
    </row>
    <row r="1058" ht="54.95" customFormat="1" customHeight="1" s="235">
      <c r="A1058" s="232" t="n"/>
      <c r="B1058" s="232" t="n"/>
      <c r="C1058" s="232" t="n"/>
      <c r="D1058" s="233" t="n"/>
      <c r="E1058" s="232" t="n"/>
      <c r="F1058" s="233" t="n"/>
      <c r="G1058" s="233" t="n"/>
      <c r="H1058" s="233" t="n"/>
      <c r="I1058" s="232" t="n"/>
      <c r="J1058" s="233" t="n"/>
      <c r="K1058" s="232" t="n"/>
      <c r="L1058" s="232" t="n"/>
      <c r="M1058" s="232" t="n"/>
      <c r="N1058" s="233" t="n"/>
      <c r="O1058" s="232" t="n"/>
      <c r="P1058" s="233" t="n"/>
      <c r="Q1058" s="233" t="n"/>
      <c r="R1058" s="233" t="n"/>
      <c r="S1058" s="232" t="n"/>
      <c r="T1058" s="233" t="n"/>
      <c r="U1058" s="233" t="n"/>
      <c r="V1058" s="233" t="n"/>
      <c r="W1058" s="232" t="n"/>
    </row>
    <row r="1059" ht="54.95" customFormat="1" customHeight="1" s="235">
      <c r="A1059" s="232" t="n"/>
      <c r="B1059" s="232" t="n"/>
      <c r="C1059" s="232" t="n"/>
      <c r="D1059" s="233" t="n"/>
      <c r="E1059" s="232" t="n"/>
      <c r="F1059" s="233" t="n"/>
      <c r="G1059" s="233" t="n"/>
      <c r="H1059" s="233" t="n"/>
      <c r="I1059" s="232" t="n"/>
      <c r="J1059" s="233" t="n"/>
      <c r="K1059" s="232" t="n"/>
      <c r="L1059" s="232" t="n"/>
      <c r="M1059" s="232" t="n"/>
      <c r="N1059" s="233" t="n"/>
      <c r="O1059" s="232" t="n"/>
      <c r="P1059" s="233" t="n"/>
      <c r="Q1059" s="233" t="n"/>
      <c r="R1059" s="233" t="n"/>
      <c r="S1059" s="232" t="n"/>
      <c r="T1059" s="233" t="n"/>
      <c r="U1059" s="233" t="n"/>
      <c r="V1059" s="233" t="n"/>
      <c r="W1059" s="232" t="n"/>
    </row>
    <row r="1060" ht="54.95" customFormat="1" customHeight="1" s="235">
      <c r="A1060" s="232" t="n"/>
      <c r="B1060" s="232" t="n"/>
      <c r="C1060" s="232" t="n"/>
      <c r="D1060" s="233" t="n"/>
      <c r="E1060" s="232" t="n"/>
      <c r="F1060" s="233" t="n"/>
      <c r="G1060" s="233" t="n"/>
      <c r="H1060" s="233" t="n"/>
      <c r="I1060" s="232" t="n"/>
      <c r="J1060" s="233" t="n"/>
      <c r="K1060" s="232" t="n"/>
      <c r="L1060" s="232" t="n"/>
      <c r="M1060" s="232" t="n"/>
      <c r="N1060" s="233" t="n"/>
      <c r="O1060" s="232" t="n"/>
      <c r="P1060" s="233" t="n"/>
      <c r="Q1060" s="233" t="n"/>
      <c r="R1060" s="233" t="n"/>
      <c r="S1060" s="232" t="n"/>
      <c r="T1060" s="233" t="n"/>
      <c r="U1060" s="233" t="n"/>
      <c r="V1060" s="233" t="n"/>
      <c r="W1060" s="232" t="n"/>
    </row>
    <row r="1061" ht="54.95" customFormat="1" customHeight="1" s="235">
      <c r="A1061" s="232" t="n"/>
      <c r="B1061" s="232" t="n"/>
      <c r="C1061" s="232" t="n"/>
      <c r="D1061" s="233" t="n"/>
      <c r="E1061" s="232" t="n"/>
      <c r="F1061" s="233" t="n"/>
      <c r="G1061" s="233" t="n"/>
      <c r="H1061" s="233" t="n"/>
      <c r="I1061" s="232" t="n"/>
      <c r="J1061" s="233" t="n"/>
      <c r="K1061" s="232" t="n"/>
      <c r="L1061" s="232" t="n"/>
      <c r="M1061" s="232" t="n"/>
      <c r="N1061" s="233" t="n"/>
      <c r="O1061" s="232" t="n"/>
      <c r="P1061" s="233" t="n"/>
      <c r="Q1061" s="233" t="n"/>
      <c r="R1061" s="233" t="n"/>
      <c r="S1061" s="232" t="n"/>
      <c r="T1061" s="233" t="n"/>
      <c r="U1061" s="233" t="n"/>
      <c r="V1061" s="233" t="n"/>
      <c r="W1061" s="232" t="n"/>
    </row>
    <row r="1062" ht="54.95" customFormat="1" customHeight="1" s="235">
      <c r="A1062" s="232" t="n"/>
      <c r="B1062" s="232" t="n"/>
      <c r="C1062" s="232" t="n"/>
      <c r="D1062" s="233" t="n"/>
      <c r="E1062" s="232" t="n"/>
      <c r="F1062" s="233" t="n"/>
      <c r="G1062" s="233" t="n"/>
      <c r="H1062" s="233" t="n"/>
      <c r="I1062" s="232" t="n"/>
      <c r="J1062" s="233" t="n"/>
      <c r="K1062" s="232" t="n"/>
      <c r="L1062" s="232" t="n"/>
      <c r="M1062" s="232" t="n"/>
      <c r="N1062" s="233" t="n"/>
      <c r="O1062" s="232" t="n"/>
      <c r="P1062" s="233" t="n"/>
      <c r="Q1062" s="233" t="n"/>
      <c r="R1062" s="233" t="n"/>
      <c r="S1062" s="232" t="n"/>
      <c r="T1062" s="233" t="n"/>
      <c r="U1062" s="233" t="n"/>
      <c r="V1062" s="233" t="n"/>
      <c r="W1062" s="232" t="n"/>
    </row>
    <row r="1063" ht="54.95" customFormat="1" customHeight="1" s="235">
      <c r="A1063" s="232" t="n"/>
      <c r="B1063" s="232" t="n"/>
      <c r="C1063" s="232" t="n"/>
      <c r="D1063" s="233" t="n"/>
      <c r="E1063" s="232" t="n"/>
      <c r="F1063" s="233" t="n"/>
      <c r="G1063" s="233" t="n"/>
      <c r="H1063" s="233" t="n"/>
      <c r="I1063" s="232" t="n"/>
      <c r="J1063" s="233" t="n"/>
      <c r="K1063" s="232" t="n"/>
      <c r="L1063" s="232" t="n"/>
      <c r="M1063" s="232" t="n"/>
      <c r="N1063" s="233" t="n"/>
      <c r="O1063" s="232" t="n"/>
      <c r="P1063" s="233" t="n"/>
      <c r="Q1063" s="233" t="n"/>
      <c r="R1063" s="233" t="n"/>
      <c r="S1063" s="232" t="n"/>
      <c r="T1063" s="233" t="n"/>
      <c r="U1063" s="233" t="n"/>
      <c r="V1063" s="233" t="n"/>
      <c r="W1063" s="232" t="n"/>
    </row>
    <row r="1064" ht="54.95" customFormat="1" customHeight="1" s="235">
      <c r="A1064" s="232" t="n"/>
      <c r="B1064" s="232" t="n"/>
      <c r="C1064" s="232" t="n"/>
      <c r="D1064" s="233" t="n"/>
      <c r="E1064" s="232" t="n"/>
      <c r="F1064" s="233" t="n"/>
      <c r="G1064" s="233" t="n"/>
      <c r="H1064" s="233" t="n"/>
      <c r="I1064" s="232" t="n"/>
      <c r="J1064" s="233" t="n"/>
      <c r="K1064" s="232" t="n"/>
      <c r="L1064" s="232" t="n"/>
      <c r="M1064" s="232" t="n"/>
      <c r="N1064" s="233" t="n"/>
      <c r="O1064" s="232" t="n"/>
      <c r="P1064" s="233" t="n"/>
      <c r="Q1064" s="233" t="n"/>
      <c r="R1064" s="233" t="n"/>
      <c r="S1064" s="232" t="n"/>
      <c r="T1064" s="233" t="n"/>
      <c r="U1064" s="233" t="n"/>
      <c r="V1064" s="233" t="n"/>
      <c r="W1064" s="232" t="n"/>
    </row>
    <row r="1065" ht="54.95" customFormat="1" customHeight="1" s="235">
      <c r="A1065" s="232" t="n"/>
      <c r="B1065" s="232" t="n"/>
      <c r="C1065" s="232" t="n"/>
      <c r="D1065" s="233" t="n"/>
      <c r="E1065" s="232" t="n"/>
      <c r="F1065" s="233" t="n"/>
      <c r="G1065" s="233" t="n"/>
      <c r="H1065" s="233" t="n"/>
      <c r="I1065" s="232" t="n"/>
      <c r="J1065" s="233" t="n"/>
      <c r="K1065" s="232" t="n"/>
      <c r="L1065" s="232" t="n"/>
      <c r="M1065" s="232" t="n"/>
      <c r="N1065" s="233" t="n"/>
      <c r="O1065" s="232" t="n"/>
      <c r="P1065" s="233" t="n"/>
      <c r="Q1065" s="233" t="n"/>
      <c r="R1065" s="233" t="n"/>
      <c r="S1065" s="232" t="n"/>
      <c r="T1065" s="233" t="n"/>
      <c r="U1065" s="233" t="n"/>
      <c r="V1065" s="233" t="n"/>
      <c r="W1065" s="232" t="n"/>
    </row>
    <row r="1066" ht="54.95" customFormat="1" customHeight="1" s="235">
      <c r="A1066" s="232" t="n"/>
      <c r="B1066" s="232" t="n"/>
      <c r="C1066" s="232" t="n"/>
      <c r="D1066" s="233" t="n"/>
      <c r="E1066" s="232" t="n"/>
      <c r="F1066" s="233" t="n"/>
      <c r="G1066" s="233" t="n"/>
      <c r="H1066" s="233" t="n"/>
      <c r="I1066" s="232" t="n"/>
      <c r="J1066" s="233" t="n"/>
      <c r="K1066" s="232" t="n"/>
      <c r="L1066" s="232" t="n"/>
      <c r="M1066" s="232" t="n"/>
      <c r="N1066" s="233" t="n"/>
      <c r="O1066" s="232" t="n"/>
      <c r="P1066" s="233" t="n"/>
      <c r="Q1066" s="233" t="n"/>
      <c r="R1066" s="233" t="n"/>
      <c r="S1066" s="232" t="n"/>
      <c r="T1066" s="233" t="n"/>
      <c r="U1066" s="233" t="n"/>
      <c r="V1066" s="233" t="n"/>
      <c r="W1066" s="232" t="n"/>
    </row>
    <row r="1067" ht="54.95" customFormat="1" customHeight="1" s="235">
      <c r="A1067" s="234" t="n"/>
      <c r="B1067" s="234" t="n"/>
      <c r="C1067" s="234" t="n"/>
      <c r="D1067" s="234" t="n"/>
      <c r="E1067" s="234" t="n"/>
      <c r="F1067" s="234" t="n"/>
      <c r="G1067" s="234" t="n"/>
      <c r="H1067" s="234" t="n"/>
      <c r="I1067" s="234" t="n"/>
      <c r="J1067" s="234" t="n"/>
      <c r="K1067" s="234" t="n"/>
      <c r="L1067" s="234" t="n"/>
      <c r="M1067" s="232" t="n"/>
      <c r="N1067" s="233" t="n"/>
      <c r="O1067" s="232" t="n"/>
      <c r="P1067" s="234" t="n"/>
      <c r="Q1067" s="234" t="n"/>
      <c r="R1067" s="234" t="n"/>
      <c r="S1067" s="234" t="n"/>
      <c r="T1067" s="234" t="n"/>
      <c r="U1067" s="234" t="n"/>
      <c r="V1067" s="234" t="n"/>
      <c r="W1067" s="234" t="n"/>
    </row>
    <row r="1068" ht="54.95" customFormat="1" customHeight="1" s="235">
      <c r="A1068" s="232" t="n"/>
      <c r="B1068" s="232" t="n"/>
      <c r="C1068" s="232" t="n"/>
      <c r="D1068" s="233" t="n"/>
      <c r="E1068" s="232" t="n"/>
      <c r="F1068" s="233" t="n"/>
      <c r="G1068" s="233" t="n"/>
      <c r="H1068" s="233" t="n"/>
      <c r="I1068" s="232" t="n"/>
      <c r="J1068" s="233" t="n"/>
      <c r="K1068" s="232" t="n"/>
      <c r="L1068" s="232" t="n"/>
      <c r="M1068" s="232" t="n"/>
      <c r="N1068" s="233" t="n"/>
      <c r="O1068" s="232" t="n"/>
      <c r="P1068" s="233" t="n"/>
      <c r="Q1068" s="233" t="n"/>
      <c r="R1068" s="233" t="n"/>
      <c r="S1068" s="232" t="n"/>
      <c r="T1068" s="233" t="n"/>
      <c r="U1068" s="233" t="n"/>
      <c r="V1068" s="233" t="n"/>
      <c r="W1068" s="232" t="n"/>
    </row>
    <row r="1069" ht="54.95" customFormat="1" customHeight="1" s="235">
      <c r="A1069" s="234" t="n"/>
      <c r="B1069" s="234" t="n"/>
      <c r="C1069" s="234" t="n"/>
      <c r="D1069" s="234" t="n"/>
      <c r="E1069" s="234" t="n"/>
      <c r="F1069" s="234" t="n"/>
      <c r="G1069" s="234" t="n"/>
      <c r="H1069" s="234" t="n"/>
      <c r="I1069" s="234" t="n"/>
      <c r="J1069" s="234" t="n"/>
      <c r="K1069" s="234" t="n"/>
      <c r="L1069" s="234" t="n"/>
      <c r="M1069" s="232" t="n"/>
      <c r="N1069" s="233" t="n"/>
      <c r="O1069" s="232" t="n"/>
      <c r="P1069" s="234" t="n"/>
      <c r="Q1069" s="234" t="n"/>
      <c r="R1069" s="234" t="n"/>
      <c r="S1069" s="234" t="n"/>
      <c r="T1069" s="234" t="n"/>
      <c r="U1069" s="234" t="n"/>
      <c r="V1069" s="234" t="n"/>
      <c r="W1069" s="234" t="n"/>
    </row>
    <row r="1070" ht="54.95" customFormat="1" customHeight="1" s="235">
      <c r="A1070" s="232" t="n"/>
      <c r="B1070" s="232" t="n"/>
      <c r="C1070" s="232" t="n"/>
      <c r="D1070" s="233" t="n"/>
      <c r="E1070" s="232" t="n"/>
      <c r="F1070" s="233" t="n"/>
      <c r="G1070" s="233" t="n"/>
      <c r="H1070" s="233" t="n"/>
      <c r="I1070" s="232" t="n"/>
      <c r="J1070" s="233" t="n"/>
      <c r="K1070" s="232" t="n"/>
      <c r="L1070" s="232" t="n"/>
      <c r="M1070" s="232" t="n"/>
      <c r="N1070" s="233" t="n"/>
      <c r="O1070" s="232" t="n"/>
      <c r="P1070" s="233" t="n"/>
      <c r="Q1070" s="233" t="n"/>
      <c r="R1070" s="233" t="n"/>
      <c r="S1070" s="232" t="n"/>
      <c r="T1070" s="233" t="n"/>
      <c r="U1070" s="233" t="n"/>
      <c r="V1070" s="233" t="n"/>
      <c r="W1070" s="232" t="n"/>
    </row>
    <row r="1071" ht="54.95" customFormat="1" customHeight="1" s="235">
      <c r="A1071" s="234" t="n"/>
      <c r="B1071" s="234" t="n"/>
      <c r="C1071" s="234" t="n"/>
      <c r="D1071" s="234" t="n"/>
      <c r="E1071" s="234" t="n"/>
      <c r="F1071" s="234" t="n"/>
      <c r="G1071" s="234" t="n"/>
      <c r="H1071" s="234" t="n"/>
      <c r="I1071" s="234" t="n"/>
      <c r="J1071" s="234" t="n"/>
      <c r="K1071" s="234" t="n"/>
      <c r="L1071" s="234" t="n"/>
      <c r="M1071" s="232" t="n"/>
      <c r="N1071" s="233" t="n"/>
      <c r="O1071" s="232" t="n"/>
      <c r="P1071" s="234" t="n"/>
      <c r="Q1071" s="234" t="n"/>
      <c r="R1071" s="234" t="n"/>
      <c r="S1071" s="234" t="n"/>
      <c r="T1071" s="234" t="n"/>
      <c r="U1071" s="234" t="n"/>
      <c r="V1071" s="234" t="n"/>
      <c r="W1071" s="234" t="n"/>
    </row>
    <row r="1072" ht="54.95" customFormat="1" customHeight="1" s="235">
      <c r="A1072" s="232" t="n"/>
      <c r="B1072" s="232" t="n"/>
      <c r="C1072" s="232" t="n"/>
      <c r="D1072" s="233" t="n"/>
      <c r="E1072" s="232" t="n"/>
      <c r="F1072" s="233" t="n"/>
      <c r="G1072" s="233" t="n"/>
      <c r="H1072" s="233" t="n"/>
      <c r="I1072" s="232" t="n"/>
      <c r="J1072" s="233" t="n"/>
      <c r="K1072" s="232" t="n"/>
      <c r="L1072" s="232" t="n"/>
      <c r="M1072" s="232" t="n"/>
      <c r="N1072" s="233" t="n"/>
      <c r="O1072" s="232" t="n"/>
      <c r="P1072" s="233" t="n"/>
      <c r="Q1072" s="233" t="n"/>
      <c r="R1072" s="233" t="n"/>
      <c r="S1072" s="232" t="n"/>
      <c r="T1072" s="233" t="n"/>
      <c r="U1072" s="233" t="n"/>
      <c r="V1072" s="233" t="n"/>
      <c r="W1072" s="232" t="n"/>
    </row>
    <row r="1073" ht="54.95" customFormat="1" customHeight="1" s="235">
      <c r="A1073" s="232" t="n"/>
      <c r="B1073" s="232" t="n"/>
      <c r="C1073" s="232" t="n"/>
      <c r="D1073" s="233" t="n"/>
      <c r="E1073" s="232" t="n"/>
      <c r="F1073" s="233" t="n"/>
      <c r="G1073" s="233" t="n"/>
      <c r="H1073" s="233" t="n"/>
      <c r="I1073" s="232" t="n"/>
      <c r="J1073" s="233" t="n"/>
      <c r="K1073" s="232" t="n"/>
      <c r="L1073" s="232" t="n"/>
      <c r="M1073" s="232" t="n"/>
      <c r="N1073" s="233" t="n"/>
      <c r="O1073" s="232" t="n"/>
      <c r="P1073" s="233" t="n"/>
      <c r="Q1073" s="233" t="n"/>
      <c r="R1073" s="233" t="n"/>
      <c r="S1073" s="232" t="n"/>
      <c r="T1073" s="233" t="n"/>
      <c r="U1073" s="233" t="n"/>
      <c r="V1073" s="233" t="n"/>
      <c r="W1073" s="232" t="n"/>
    </row>
    <row r="1074" ht="54.95" customFormat="1" customHeight="1" s="235">
      <c r="A1074" s="232" t="n"/>
      <c r="B1074" s="232" t="n"/>
      <c r="C1074" s="232" t="n"/>
      <c r="D1074" s="233" t="n"/>
      <c r="E1074" s="232" t="n"/>
      <c r="F1074" s="233" t="n"/>
      <c r="G1074" s="233" t="n"/>
      <c r="H1074" s="233" t="n"/>
      <c r="I1074" s="232" t="n"/>
      <c r="J1074" s="233" t="n"/>
      <c r="K1074" s="232" t="n"/>
      <c r="L1074" s="232" t="n"/>
      <c r="M1074" s="232" t="n"/>
      <c r="N1074" s="233" t="n"/>
      <c r="O1074" s="232" t="n"/>
      <c r="P1074" s="233" t="n"/>
      <c r="Q1074" s="233" t="n"/>
      <c r="R1074" s="233" t="n"/>
      <c r="S1074" s="232" t="n"/>
      <c r="T1074" s="233" t="n"/>
      <c r="U1074" s="233" t="n"/>
      <c r="V1074" s="233" t="n"/>
      <c r="W1074" s="232" t="n"/>
    </row>
    <row r="1075" ht="54.95" customFormat="1" customHeight="1" s="235">
      <c r="A1075" s="232" t="n"/>
      <c r="B1075" s="232" t="n"/>
      <c r="C1075" s="232" t="n"/>
      <c r="D1075" s="233" t="n"/>
      <c r="E1075" s="232" t="n"/>
      <c r="F1075" s="233" t="n"/>
      <c r="G1075" s="233" t="n"/>
      <c r="H1075" s="233" t="n"/>
      <c r="I1075" s="232" t="n"/>
      <c r="J1075" s="233" t="n"/>
      <c r="K1075" s="232" t="n"/>
      <c r="L1075" s="232" t="n"/>
      <c r="M1075" s="232" t="n"/>
      <c r="N1075" s="233" t="n"/>
      <c r="O1075" s="232" t="n"/>
      <c r="P1075" s="233" t="n"/>
      <c r="Q1075" s="233" t="n"/>
      <c r="R1075" s="233" t="n"/>
      <c r="S1075" s="232" t="n"/>
      <c r="T1075" s="233" t="n"/>
      <c r="U1075" s="233" t="n"/>
      <c r="V1075" s="233" t="n"/>
      <c r="W1075" s="232" t="n"/>
    </row>
    <row r="1076" ht="54.95" customFormat="1" customHeight="1" s="235">
      <c r="A1076" s="234" t="n"/>
      <c r="B1076" s="234" t="n"/>
      <c r="C1076" s="234" t="n"/>
      <c r="D1076" s="234" t="n"/>
      <c r="E1076" s="234" t="n"/>
      <c r="F1076" s="234" t="n"/>
      <c r="G1076" s="234" t="n"/>
      <c r="H1076" s="234" t="n"/>
      <c r="I1076" s="234" t="n"/>
      <c r="J1076" s="234" t="n"/>
      <c r="K1076" s="234" t="n"/>
      <c r="L1076" s="234" t="n"/>
      <c r="M1076" s="232" t="n"/>
      <c r="N1076" s="233" t="n"/>
      <c r="O1076" s="232" t="n"/>
      <c r="P1076" s="234" t="n"/>
      <c r="Q1076" s="234" t="n"/>
      <c r="R1076" s="234" t="n"/>
      <c r="S1076" s="234" t="n"/>
      <c r="T1076" s="234" t="n"/>
      <c r="U1076" s="234" t="n"/>
      <c r="V1076" s="234" t="n"/>
      <c r="W1076" s="234" t="n"/>
    </row>
    <row r="1077" ht="54.95" customFormat="1" customHeight="1" s="235">
      <c r="A1077" s="234" t="n"/>
      <c r="B1077" s="234" t="n"/>
      <c r="C1077" s="234" t="n"/>
      <c r="D1077" s="234" t="n"/>
      <c r="E1077" s="234" t="n"/>
      <c r="F1077" s="234" t="n"/>
      <c r="G1077" s="234" t="n"/>
      <c r="H1077" s="234" t="n"/>
      <c r="I1077" s="234" t="n"/>
      <c r="J1077" s="234" t="n"/>
      <c r="K1077" s="234" t="n"/>
      <c r="L1077" s="234" t="n"/>
      <c r="M1077" s="232" t="n"/>
      <c r="N1077" s="233" t="n"/>
      <c r="O1077" s="232" t="n"/>
      <c r="P1077" s="234" t="n"/>
      <c r="Q1077" s="234" t="n"/>
      <c r="R1077" s="234" t="n"/>
      <c r="S1077" s="234" t="n"/>
      <c r="T1077" s="234" t="n"/>
      <c r="U1077" s="234" t="n"/>
      <c r="V1077" s="234" t="n"/>
      <c r="W1077" s="234" t="n"/>
    </row>
    <row r="1078" ht="54.95" customFormat="1" customHeight="1" s="235">
      <c r="A1078" s="234" t="n"/>
      <c r="B1078" s="234" t="n"/>
      <c r="C1078" s="234" t="n"/>
      <c r="D1078" s="234" t="n"/>
      <c r="E1078" s="234" t="n"/>
      <c r="F1078" s="234" t="n"/>
      <c r="G1078" s="234" t="n"/>
      <c r="H1078" s="234" t="n"/>
      <c r="I1078" s="234" t="n"/>
      <c r="J1078" s="234" t="n"/>
      <c r="K1078" s="234" t="n"/>
      <c r="L1078" s="234" t="n"/>
      <c r="M1078" s="232" t="n"/>
      <c r="N1078" s="233" t="n"/>
      <c r="O1078" s="232" t="n"/>
      <c r="P1078" s="234" t="n"/>
      <c r="Q1078" s="234" t="n"/>
      <c r="R1078" s="234" t="n"/>
      <c r="S1078" s="234" t="n"/>
      <c r="T1078" s="234" t="n"/>
      <c r="U1078" s="234" t="n"/>
      <c r="V1078" s="234" t="n"/>
      <c r="W1078" s="234" t="n"/>
    </row>
    <row r="1079" ht="54.95" customFormat="1" customHeight="1" s="235">
      <c r="A1079" s="232" t="n"/>
      <c r="B1079" s="232" t="n"/>
      <c r="C1079" s="232" t="n"/>
      <c r="D1079" s="233" t="n"/>
      <c r="E1079" s="232" t="n"/>
      <c r="F1079" s="233" t="n"/>
      <c r="G1079" s="233" t="n"/>
      <c r="H1079" s="233" t="n"/>
      <c r="I1079" s="232" t="n"/>
      <c r="J1079" s="233" t="n"/>
      <c r="K1079" s="232" t="n"/>
      <c r="L1079" s="232" t="n"/>
      <c r="M1079" s="232" t="n"/>
      <c r="N1079" s="233" t="n"/>
      <c r="O1079" s="232" t="n"/>
      <c r="P1079" s="233" t="n"/>
      <c r="Q1079" s="233" t="n"/>
      <c r="R1079" s="233" t="n"/>
      <c r="S1079" s="232" t="n"/>
      <c r="T1079" s="233" t="n"/>
      <c r="U1079" s="233" t="n"/>
      <c r="V1079" s="233" t="n"/>
      <c r="W1079" s="232" t="n"/>
    </row>
    <row r="1080" ht="54.95" customFormat="1" customHeight="1" s="235">
      <c r="A1080" s="232" t="n"/>
      <c r="B1080" s="232" t="n"/>
      <c r="C1080" s="232" t="n"/>
      <c r="D1080" s="233" t="n"/>
      <c r="E1080" s="232" t="n"/>
      <c r="F1080" s="233" t="n"/>
      <c r="G1080" s="233" t="n"/>
      <c r="H1080" s="233" t="n"/>
      <c r="I1080" s="232" t="n"/>
      <c r="J1080" s="233" t="n"/>
      <c r="K1080" s="232" t="n"/>
      <c r="L1080" s="232" t="n"/>
      <c r="M1080" s="232" t="n"/>
      <c r="N1080" s="233" t="n"/>
      <c r="O1080" s="232" t="n"/>
      <c r="P1080" s="233" t="n"/>
      <c r="Q1080" s="233" t="n"/>
      <c r="R1080" s="233" t="n"/>
      <c r="S1080" s="232" t="n"/>
      <c r="T1080" s="233" t="n"/>
      <c r="U1080" s="233" t="n"/>
      <c r="V1080" s="233" t="n"/>
      <c r="W1080" s="232" t="n"/>
    </row>
    <row r="1081" ht="54.95" customFormat="1" customHeight="1" s="235">
      <c r="A1081" s="234" t="n"/>
      <c r="B1081" s="234" t="n"/>
      <c r="C1081" s="234" t="n"/>
      <c r="D1081" s="234" t="n"/>
      <c r="E1081" s="234" t="n"/>
      <c r="F1081" s="234" t="n"/>
      <c r="G1081" s="234" t="n"/>
      <c r="H1081" s="234" t="n"/>
      <c r="I1081" s="234" t="n"/>
      <c r="J1081" s="234" t="n"/>
      <c r="K1081" s="234" t="n"/>
      <c r="L1081" s="234" t="n"/>
      <c r="M1081" s="232" t="n"/>
      <c r="N1081" s="233" t="n"/>
      <c r="O1081" s="232" t="n"/>
      <c r="P1081" s="234" t="n"/>
      <c r="Q1081" s="234" t="n"/>
      <c r="R1081" s="234" t="n"/>
      <c r="S1081" s="234" t="n"/>
      <c r="T1081" s="234" t="n"/>
      <c r="U1081" s="234" t="n"/>
      <c r="V1081" s="234" t="n"/>
      <c r="W1081" s="234" t="n"/>
    </row>
    <row r="1082" ht="54.95" customFormat="1" customHeight="1" s="235">
      <c r="A1082" s="234" t="n"/>
      <c r="B1082" s="234" t="n"/>
      <c r="C1082" s="234" t="n"/>
      <c r="D1082" s="234" t="n"/>
      <c r="E1082" s="234" t="n"/>
      <c r="F1082" s="234" t="n"/>
      <c r="G1082" s="234" t="n"/>
      <c r="H1082" s="234" t="n"/>
      <c r="I1082" s="234" t="n"/>
      <c r="J1082" s="234" t="n"/>
      <c r="K1082" s="234" t="n"/>
      <c r="L1082" s="234" t="n"/>
      <c r="M1082" s="232" t="n"/>
      <c r="N1082" s="233" t="n"/>
      <c r="O1082" s="232" t="n"/>
      <c r="P1082" s="234" t="n"/>
      <c r="Q1082" s="234" t="n"/>
      <c r="R1082" s="234" t="n"/>
      <c r="S1082" s="234" t="n"/>
      <c r="T1082" s="234" t="n"/>
      <c r="U1082" s="234" t="n"/>
      <c r="V1082" s="234" t="n"/>
      <c r="W1082" s="234" t="n"/>
    </row>
    <row r="1083" ht="54.95" customFormat="1" customHeight="1" s="235">
      <c r="A1083" s="234" t="n"/>
      <c r="B1083" s="234" t="n"/>
      <c r="C1083" s="234" t="n"/>
      <c r="D1083" s="234" t="n"/>
      <c r="E1083" s="234" t="n"/>
      <c r="F1083" s="234" t="n"/>
      <c r="G1083" s="234" t="n"/>
      <c r="H1083" s="234" t="n"/>
      <c r="I1083" s="234" t="n"/>
      <c r="J1083" s="234" t="n"/>
      <c r="K1083" s="234" t="n"/>
      <c r="L1083" s="234" t="n"/>
      <c r="M1083" s="232" t="n"/>
      <c r="N1083" s="233" t="n"/>
      <c r="O1083" s="232" t="n"/>
      <c r="P1083" s="234" t="n"/>
      <c r="Q1083" s="234" t="n"/>
      <c r="R1083" s="234" t="n"/>
      <c r="S1083" s="234" t="n"/>
      <c r="T1083" s="234" t="n"/>
      <c r="U1083" s="234" t="n"/>
      <c r="V1083" s="234" t="n"/>
      <c r="W1083" s="234" t="n"/>
    </row>
    <row r="1084" ht="54.95" customFormat="1" customHeight="1" s="235">
      <c r="A1084" s="234" t="n"/>
      <c r="B1084" s="234" t="n"/>
      <c r="C1084" s="234" t="n"/>
      <c r="D1084" s="234" t="n"/>
      <c r="E1084" s="234" t="n"/>
      <c r="F1084" s="234" t="n"/>
      <c r="G1084" s="234" t="n"/>
      <c r="H1084" s="234" t="n"/>
      <c r="I1084" s="234" t="n"/>
      <c r="J1084" s="234" t="n"/>
      <c r="K1084" s="234" t="n"/>
      <c r="L1084" s="234" t="n"/>
      <c r="M1084" s="232" t="n"/>
      <c r="N1084" s="233" t="n"/>
      <c r="O1084" s="232" t="n"/>
      <c r="P1084" s="234" t="n"/>
      <c r="Q1084" s="234" t="n"/>
      <c r="R1084" s="234" t="n"/>
      <c r="S1084" s="234" t="n"/>
      <c r="T1084" s="234" t="n"/>
      <c r="U1084" s="234" t="n"/>
      <c r="V1084" s="234" t="n"/>
      <c r="W1084" s="234" t="n"/>
    </row>
    <row r="1085" ht="54.95" customFormat="1" customHeight="1" s="235">
      <c r="A1085" s="232" t="n"/>
      <c r="B1085" s="232" t="n"/>
      <c r="C1085" s="232" t="n"/>
      <c r="D1085" s="233" t="n"/>
      <c r="E1085" s="232" t="n"/>
      <c r="F1085" s="233" t="n"/>
      <c r="G1085" s="233" t="n"/>
      <c r="H1085" s="233" t="n"/>
      <c r="I1085" s="232" t="n"/>
      <c r="J1085" s="233" t="n"/>
      <c r="K1085" s="232" t="n"/>
      <c r="L1085" s="232" t="n"/>
      <c r="M1085" s="232" t="n"/>
      <c r="N1085" s="233" t="n"/>
      <c r="O1085" s="232" t="n"/>
      <c r="P1085" s="233" t="n"/>
      <c r="Q1085" s="233" t="n"/>
      <c r="R1085" s="233" t="n"/>
      <c r="S1085" s="232" t="n"/>
      <c r="T1085" s="233" t="n"/>
      <c r="U1085" s="233" t="n"/>
      <c r="V1085" s="233" t="n"/>
      <c r="W1085" s="232" t="n"/>
    </row>
    <row r="1086" ht="54.95" customFormat="1" customHeight="1" s="235">
      <c r="A1086" s="232" t="n"/>
      <c r="B1086" s="232" t="n"/>
      <c r="C1086" s="232" t="n"/>
      <c r="D1086" s="233" t="n"/>
      <c r="E1086" s="232" t="n"/>
      <c r="F1086" s="233" t="n"/>
      <c r="G1086" s="233" t="n"/>
      <c r="H1086" s="233" t="n"/>
      <c r="I1086" s="232" t="n"/>
      <c r="J1086" s="233" t="n"/>
      <c r="K1086" s="232" t="n"/>
      <c r="L1086" s="232" t="n"/>
      <c r="M1086" s="232" t="n"/>
      <c r="N1086" s="233" t="n"/>
      <c r="O1086" s="232" t="n"/>
      <c r="P1086" s="233" t="n"/>
      <c r="Q1086" s="233" t="n"/>
      <c r="R1086" s="233" t="n"/>
      <c r="S1086" s="232" t="n"/>
      <c r="T1086" s="233" t="n"/>
      <c r="U1086" s="233" t="n"/>
      <c r="V1086" s="233" t="n"/>
      <c r="W1086" s="232" t="n"/>
    </row>
    <row r="1087" ht="54.95" customFormat="1" customHeight="1" s="235">
      <c r="A1087" s="232" t="n"/>
      <c r="B1087" s="232" t="n"/>
      <c r="C1087" s="232" t="n"/>
      <c r="D1087" s="233" t="n"/>
      <c r="E1087" s="232" t="n"/>
      <c r="F1087" s="233" t="n"/>
      <c r="G1087" s="233" t="n"/>
      <c r="H1087" s="233" t="n"/>
      <c r="I1087" s="232" t="n"/>
      <c r="J1087" s="233" t="n"/>
      <c r="K1087" s="232" t="n"/>
      <c r="L1087" s="232" t="n"/>
      <c r="M1087" s="232" t="n"/>
      <c r="N1087" s="233" t="n"/>
      <c r="O1087" s="232" t="n"/>
      <c r="P1087" s="233" t="n"/>
      <c r="Q1087" s="233" t="n"/>
      <c r="R1087" s="233" t="n"/>
      <c r="S1087" s="232" t="n"/>
      <c r="T1087" s="233" t="n"/>
      <c r="U1087" s="233" t="n"/>
      <c r="V1087" s="233" t="n"/>
      <c r="W1087" s="232" t="n"/>
    </row>
    <row r="1088" ht="54.95" customFormat="1" customHeight="1" s="235">
      <c r="A1088" s="232" t="n"/>
      <c r="B1088" s="232" t="n"/>
      <c r="C1088" s="232" t="n"/>
      <c r="D1088" s="233" t="n"/>
      <c r="E1088" s="232" t="n"/>
      <c r="F1088" s="233" t="n"/>
      <c r="G1088" s="233" t="n"/>
      <c r="H1088" s="233" t="n"/>
      <c r="I1088" s="232" t="n"/>
      <c r="J1088" s="233" t="n"/>
      <c r="K1088" s="232" t="n"/>
      <c r="L1088" s="232" t="n"/>
      <c r="M1088" s="232" t="n"/>
      <c r="N1088" s="233" t="n"/>
      <c r="O1088" s="232" t="n"/>
      <c r="P1088" s="233" t="n"/>
      <c r="Q1088" s="233" t="n"/>
      <c r="R1088" s="233" t="n"/>
      <c r="S1088" s="232" t="n"/>
      <c r="T1088" s="233" t="n"/>
      <c r="U1088" s="233" t="n"/>
      <c r="V1088" s="233" t="n"/>
      <c r="W1088" s="232" t="n"/>
    </row>
    <row r="1089" ht="54.95" customFormat="1" customHeight="1" s="235">
      <c r="A1089" s="234" t="n"/>
      <c r="B1089" s="234" t="n"/>
      <c r="C1089" s="234" t="n"/>
      <c r="D1089" s="234" t="n"/>
      <c r="E1089" s="234" t="n"/>
      <c r="F1089" s="234" t="n"/>
      <c r="G1089" s="234" t="n"/>
      <c r="H1089" s="234" t="n"/>
      <c r="I1089" s="234" t="n"/>
      <c r="J1089" s="234" t="n"/>
      <c r="K1089" s="234" t="n"/>
      <c r="L1089" s="234" t="n"/>
      <c r="M1089" s="232" t="n"/>
      <c r="N1089" s="233" t="n"/>
      <c r="O1089" s="232" t="n"/>
      <c r="P1089" s="234" t="n"/>
      <c r="Q1089" s="234" t="n"/>
      <c r="R1089" s="234" t="n"/>
      <c r="S1089" s="234" t="n"/>
      <c r="T1089" s="234" t="n"/>
      <c r="U1089" s="234" t="n"/>
      <c r="V1089" s="234" t="n"/>
      <c r="W1089" s="234" t="n"/>
    </row>
    <row r="1090" ht="54.95" customFormat="1" customHeight="1" s="235">
      <c r="A1090" s="234" t="n"/>
      <c r="B1090" s="234" t="n"/>
      <c r="C1090" s="234" t="n"/>
      <c r="D1090" s="234" t="n"/>
      <c r="E1090" s="234" t="n"/>
      <c r="F1090" s="234" t="n"/>
      <c r="G1090" s="234" t="n"/>
      <c r="H1090" s="234" t="n"/>
      <c r="I1090" s="234" t="n"/>
      <c r="J1090" s="234" t="n"/>
      <c r="K1090" s="234" t="n"/>
      <c r="L1090" s="234" t="n"/>
      <c r="M1090" s="232" t="n"/>
      <c r="N1090" s="233" t="n"/>
      <c r="O1090" s="232" t="n"/>
      <c r="P1090" s="234" t="n"/>
      <c r="Q1090" s="234" t="n"/>
      <c r="R1090" s="234" t="n"/>
      <c r="S1090" s="234" t="n"/>
      <c r="T1090" s="234" t="n"/>
      <c r="U1090" s="234" t="n"/>
      <c r="V1090" s="234" t="n"/>
      <c r="W1090" s="234" t="n"/>
    </row>
    <row r="1091" ht="54.95" customFormat="1" customHeight="1" s="235">
      <c r="A1091" s="234" t="n"/>
      <c r="B1091" s="234" t="n"/>
      <c r="C1091" s="234" t="n"/>
      <c r="D1091" s="234" t="n"/>
      <c r="E1091" s="234" t="n"/>
      <c r="F1091" s="234" t="n"/>
      <c r="G1091" s="234" t="n"/>
      <c r="H1091" s="234" t="n"/>
      <c r="I1091" s="234" t="n"/>
      <c r="J1091" s="234" t="n"/>
      <c r="K1091" s="234" t="n"/>
      <c r="L1091" s="234" t="n"/>
      <c r="M1091" s="232" t="n"/>
      <c r="N1091" s="233" t="n"/>
      <c r="O1091" s="232" t="n"/>
      <c r="P1091" s="234" t="n"/>
      <c r="Q1091" s="234" t="n"/>
      <c r="R1091" s="234" t="n"/>
      <c r="S1091" s="234" t="n"/>
      <c r="T1091" s="234" t="n"/>
      <c r="U1091" s="234" t="n"/>
      <c r="V1091" s="234" t="n"/>
      <c r="W1091" s="234" t="n"/>
    </row>
    <row r="1092" ht="54.95" customFormat="1" customHeight="1" s="235">
      <c r="A1092" s="232" t="n"/>
      <c r="B1092" s="232" t="n"/>
      <c r="C1092" s="232" t="n"/>
      <c r="D1092" s="233" t="n"/>
      <c r="E1092" s="232" t="n"/>
      <c r="F1092" s="233" t="n"/>
      <c r="G1092" s="233" t="n"/>
      <c r="H1092" s="233" t="n"/>
      <c r="I1092" s="232" t="n"/>
      <c r="J1092" s="233" t="n"/>
      <c r="K1092" s="232" t="n"/>
      <c r="L1092" s="232" t="n"/>
      <c r="M1092" s="232" t="n"/>
      <c r="N1092" s="233" t="n"/>
      <c r="O1092" s="232" t="n"/>
      <c r="P1092" s="233" t="n"/>
      <c r="Q1092" s="233" t="n"/>
      <c r="R1092" s="233" t="n"/>
      <c r="S1092" s="232" t="n"/>
      <c r="T1092" s="233" t="n"/>
      <c r="U1092" s="233" t="n"/>
      <c r="V1092" s="233" t="n"/>
      <c r="W1092" s="232" t="n"/>
    </row>
    <row r="1093" ht="54.95" customFormat="1" customHeight="1" s="235">
      <c r="A1093" s="232" t="n"/>
      <c r="B1093" s="232" t="n"/>
      <c r="C1093" s="232" t="n"/>
      <c r="D1093" s="233" t="n"/>
      <c r="E1093" s="232" t="n"/>
      <c r="F1093" s="233" t="n"/>
      <c r="G1093" s="233" t="n"/>
      <c r="H1093" s="233" t="n"/>
      <c r="I1093" s="232" t="n"/>
      <c r="J1093" s="233" t="n"/>
      <c r="K1093" s="232" t="n"/>
      <c r="L1093" s="232" t="n"/>
      <c r="M1093" s="232" t="n"/>
      <c r="N1093" s="233" t="n"/>
      <c r="O1093" s="232" t="n"/>
      <c r="P1093" s="233" t="n"/>
      <c r="Q1093" s="233" t="n"/>
      <c r="R1093" s="233" t="n"/>
      <c r="S1093" s="232" t="n"/>
      <c r="T1093" s="233" t="n"/>
      <c r="U1093" s="233" t="n"/>
      <c r="V1093" s="233" t="n"/>
      <c r="W1093" s="232" t="n"/>
    </row>
    <row r="1094" ht="54.95" customFormat="1" customHeight="1" s="235">
      <c r="A1094" s="234" t="n"/>
      <c r="B1094" s="234" t="n"/>
      <c r="C1094" s="234" t="n"/>
      <c r="D1094" s="234" t="n"/>
      <c r="E1094" s="234" t="n"/>
      <c r="F1094" s="234" t="n"/>
      <c r="G1094" s="234" t="n"/>
      <c r="H1094" s="234" t="n"/>
      <c r="I1094" s="234" t="n"/>
      <c r="J1094" s="234" t="n"/>
      <c r="K1094" s="234" t="n"/>
      <c r="L1094" s="234" t="n"/>
      <c r="M1094" s="232" t="n"/>
      <c r="N1094" s="233" t="n"/>
      <c r="O1094" s="232" t="n"/>
      <c r="P1094" s="234" t="n"/>
      <c r="Q1094" s="234" t="n"/>
      <c r="R1094" s="234" t="n"/>
      <c r="S1094" s="234" t="n"/>
      <c r="T1094" s="234" t="n"/>
      <c r="U1094" s="234" t="n"/>
      <c r="V1094" s="234" t="n"/>
      <c r="W1094" s="234" t="n"/>
    </row>
    <row r="1095" ht="54.95" customFormat="1" customHeight="1" s="235">
      <c r="A1095" s="234" t="n"/>
      <c r="B1095" s="234" t="n"/>
      <c r="C1095" s="234" t="n"/>
      <c r="D1095" s="234" t="n"/>
      <c r="E1095" s="234" t="n"/>
      <c r="F1095" s="234" t="n"/>
      <c r="G1095" s="234" t="n"/>
      <c r="H1095" s="234" t="n"/>
      <c r="I1095" s="234" t="n"/>
      <c r="J1095" s="234" t="n"/>
      <c r="K1095" s="234" t="n"/>
      <c r="L1095" s="234" t="n"/>
      <c r="M1095" s="232" t="n"/>
      <c r="N1095" s="233" t="n"/>
      <c r="O1095" s="232" t="n"/>
      <c r="P1095" s="234" t="n"/>
      <c r="Q1095" s="234" t="n"/>
      <c r="R1095" s="234" t="n"/>
      <c r="S1095" s="234" t="n"/>
      <c r="T1095" s="234" t="n"/>
      <c r="U1095" s="234" t="n"/>
      <c r="V1095" s="234" t="n"/>
      <c r="W1095" s="234" t="n"/>
    </row>
    <row r="1096" ht="54.95" customFormat="1" customHeight="1" s="235">
      <c r="A1096" s="234" t="n"/>
      <c r="B1096" s="234" t="n"/>
      <c r="C1096" s="234" t="n"/>
      <c r="D1096" s="234" t="n"/>
      <c r="E1096" s="234" t="n"/>
      <c r="F1096" s="234" t="n"/>
      <c r="G1096" s="234" t="n"/>
      <c r="H1096" s="234" t="n"/>
      <c r="I1096" s="234" t="n"/>
      <c r="J1096" s="234" t="n"/>
      <c r="K1096" s="234" t="n"/>
      <c r="L1096" s="234" t="n"/>
      <c r="M1096" s="232" t="n"/>
      <c r="N1096" s="233" t="n"/>
      <c r="O1096" s="232" t="n"/>
      <c r="P1096" s="234" t="n"/>
      <c r="Q1096" s="234" t="n"/>
      <c r="R1096" s="234" t="n"/>
      <c r="S1096" s="234" t="n"/>
      <c r="T1096" s="234" t="n"/>
      <c r="U1096" s="234" t="n"/>
      <c r="V1096" s="234" t="n"/>
      <c r="W1096" s="234" t="n"/>
    </row>
    <row r="1097" ht="54.95" customFormat="1" customHeight="1" s="235">
      <c r="A1097" s="234" t="n"/>
      <c r="B1097" s="234" t="n"/>
      <c r="C1097" s="234" t="n"/>
      <c r="D1097" s="234" t="n"/>
      <c r="E1097" s="234" t="n"/>
      <c r="F1097" s="234" t="n"/>
      <c r="G1097" s="234" t="n"/>
      <c r="H1097" s="234" t="n"/>
      <c r="I1097" s="234" t="n"/>
      <c r="J1097" s="234" t="n"/>
      <c r="K1097" s="234" t="n"/>
      <c r="L1097" s="234" t="n"/>
      <c r="M1097" s="232" t="n"/>
      <c r="N1097" s="233" t="n"/>
      <c r="O1097" s="232" t="n"/>
      <c r="P1097" s="234" t="n"/>
      <c r="Q1097" s="234" t="n"/>
      <c r="R1097" s="234" t="n"/>
      <c r="S1097" s="234" t="n"/>
      <c r="T1097" s="234" t="n"/>
      <c r="U1097" s="234" t="n"/>
      <c r="V1097" s="234" t="n"/>
      <c r="W1097" s="234" t="n"/>
    </row>
    <row r="1098" ht="54.95" customFormat="1" customHeight="1" s="235">
      <c r="A1098" s="232" t="n"/>
      <c r="B1098" s="232" t="n"/>
      <c r="C1098" s="232" t="n"/>
      <c r="D1098" s="233" t="n"/>
      <c r="E1098" s="232" t="n"/>
      <c r="F1098" s="233" t="n"/>
      <c r="G1098" s="233" t="n"/>
      <c r="H1098" s="233" t="n"/>
      <c r="I1098" s="232" t="n"/>
      <c r="J1098" s="233" t="n"/>
      <c r="K1098" s="232" t="n"/>
      <c r="L1098" s="232" t="n"/>
      <c r="M1098" s="232" t="n"/>
      <c r="N1098" s="233" t="n"/>
      <c r="O1098" s="232" t="n"/>
      <c r="P1098" s="233" t="n"/>
      <c r="Q1098" s="233" t="n"/>
      <c r="R1098" s="233" t="n"/>
      <c r="S1098" s="232" t="n"/>
      <c r="T1098" s="233" t="n"/>
      <c r="U1098" s="233" t="n"/>
      <c r="V1098" s="233" t="n"/>
      <c r="W1098" s="232" t="n"/>
    </row>
    <row r="1099" ht="54.95" customFormat="1" customHeight="1" s="235">
      <c r="A1099" s="234" t="n"/>
      <c r="B1099" s="234" t="n"/>
      <c r="C1099" s="234" t="n"/>
      <c r="D1099" s="234" t="n"/>
      <c r="E1099" s="234" t="n"/>
      <c r="F1099" s="234" t="n"/>
      <c r="G1099" s="234" t="n"/>
      <c r="H1099" s="234" t="n"/>
      <c r="I1099" s="234" t="n"/>
      <c r="J1099" s="234" t="n"/>
      <c r="K1099" s="234" t="n"/>
      <c r="L1099" s="234" t="n"/>
      <c r="M1099" s="232" t="n"/>
      <c r="N1099" s="233" t="n"/>
      <c r="O1099" s="232" t="n"/>
      <c r="P1099" s="234" t="n"/>
      <c r="Q1099" s="234" t="n"/>
      <c r="R1099" s="234" t="n"/>
      <c r="S1099" s="234" t="n"/>
      <c r="T1099" s="234" t="n"/>
      <c r="U1099" s="234" t="n"/>
      <c r="V1099" s="234" t="n"/>
      <c r="W1099" s="234" t="n"/>
    </row>
    <row r="1100" ht="54.95" customFormat="1" customHeight="1" s="235">
      <c r="A1100" s="234" t="n"/>
      <c r="B1100" s="234" t="n"/>
      <c r="C1100" s="234" t="n"/>
      <c r="D1100" s="234" t="n"/>
      <c r="E1100" s="234" t="n"/>
      <c r="F1100" s="234" t="n"/>
      <c r="G1100" s="234" t="n"/>
      <c r="H1100" s="234" t="n"/>
      <c r="I1100" s="234" t="n"/>
      <c r="J1100" s="234" t="n"/>
      <c r="K1100" s="234" t="n"/>
      <c r="L1100" s="234" t="n"/>
      <c r="M1100" s="232" t="n"/>
      <c r="N1100" s="233" t="n"/>
      <c r="O1100" s="232" t="n"/>
      <c r="P1100" s="234" t="n"/>
      <c r="Q1100" s="234" t="n"/>
      <c r="R1100" s="234" t="n"/>
      <c r="S1100" s="234" t="n"/>
      <c r="T1100" s="234" t="n"/>
      <c r="U1100" s="234" t="n"/>
      <c r="V1100" s="234" t="n"/>
      <c r="W1100" s="234" t="n"/>
    </row>
    <row r="1101" ht="54.95" customFormat="1" customHeight="1" s="235">
      <c r="A1101" s="234" t="n"/>
      <c r="B1101" s="234" t="n"/>
      <c r="C1101" s="234" t="n"/>
      <c r="D1101" s="234" t="n"/>
      <c r="E1101" s="234" t="n"/>
      <c r="F1101" s="234" t="n"/>
      <c r="G1101" s="234" t="n"/>
      <c r="H1101" s="234" t="n"/>
      <c r="I1101" s="234" t="n"/>
      <c r="J1101" s="234" t="n"/>
      <c r="K1101" s="234" t="n"/>
      <c r="L1101" s="234" t="n"/>
      <c r="M1101" s="232" t="n"/>
      <c r="N1101" s="233" t="n"/>
      <c r="O1101" s="232" t="n"/>
      <c r="P1101" s="234" t="n"/>
      <c r="Q1101" s="234" t="n"/>
      <c r="R1101" s="234" t="n"/>
      <c r="S1101" s="234" t="n"/>
      <c r="T1101" s="234" t="n"/>
      <c r="U1101" s="234" t="n"/>
      <c r="V1101" s="234" t="n"/>
      <c r="W1101" s="234" t="n"/>
    </row>
    <row r="1102" ht="54.95" customFormat="1" customHeight="1" s="235">
      <c r="A1102" s="234" t="n"/>
      <c r="B1102" s="234" t="n"/>
      <c r="C1102" s="234" t="n"/>
      <c r="D1102" s="234" t="n"/>
      <c r="E1102" s="234" t="n"/>
      <c r="F1102" s="234" t="n"/>
      <c r="G1102" s="234" t="n"/>
      <c r="H1102" s="234" t="n"/>
      <c r="I1102" s="234" t="n"/>
      <c r="J1102" s="234" t="n"/>
      <c r="K1102" s="234" t="n"/>
      <c r="L1102" s="234" t="n"/>
      <c r="M1102" s="232" t="n"/>
      <c r="N1102" s="233" t="n"/>
      <c r="O1102" s="232" t="n"/>
      <c r="P1102" s="234" t="n"/>
      <c r="Q1102" s="234" t="n"/>
      <c r="R1102" s="234" t="n"/>
      <c r="S1102" s="234" t="n"/>
      <c r="T1102" s="234" t="n"/>
      <c r="U1102" s="234" t="n"/>
      <c r="V1102" s="234" t="n"/>
      <c r="W1102" s="234" t="n"/>
    </row>
    <row r="1103" ht="54.95" customFormat="1" customHeight="1" s="235">
      <c r="A1103" s="234" t="n"/>
      <c r="B1103" s="234" t="n"/>
      <c r="C1103" s="234" t="n"/>
      <c r="D1103" s="234" t="n"/>
      <c r="E1103" s="234" t="n"/>
      <c r="F1103" s="234" t="n"/>
      <c r="G1103" s="234" t="n"/>
      <c r="H1103" s="234" t="n"/>
      <c r="I1103" s="234" t="n"/>
      <c r="J1103" s="234" t="n"/>
      <c r="K1103" s="234" t="n"/>
      <c r="L1103" s="234" t="n"/>
      <c r="M1103" s="232" t="n"/>
      <c r="N1103" s="233" t="n"/>
      <c r="O1103" s="232" t="n"/>
      <c r="P1103" s="234" t="n"/>
      <c r="Q1103" s="234" t="n"/>
      <c r="R1103" s="234" t="n"/>
      <c r="S1103" s="234" t="n"/>
      <c r="T1103" s="234" t="n"/>
      <c r="U1103" s="234" t="n"/>
      <c r="V1103" s="234" t="n"/>
      <c r="W1103" s="234" t="n"/>
    </row>
    <row r="1104" ht="54.95" customFormat="1" customHeight="1" s="235">
      <c r="A1104" s="234" t="n"/>
      <c r="B1104" s="234" t="n"/>
      <c r="C1104" s="234" t="n"/>
      <c r="D1104" s="234" t="n"/>
      <c r="E1104" s="234" t="n"/>
      <c r="F1104" s="234" t="n"/>
      <c r="G1104" s="234" t="n"/>
      <c r="H1104" s="234" t="n"/>
      <c r="I1104" s="234" t="n"/>
      <c r="J1104" s="234" t="n"/>
      <c r="K1104" s="234" t="n"/>
      <c r="L1104" s="234" t="n"/>
      <c r="M1104" s="232" t="n"/>
      <c r="N1104" s="233" t="n"/>
      <c r="O1104" s="232" t="n"/>
      <c r="P1104" s="234" t="n"/>
      <c r="Q1104" s="234" t="n"/>
      <c r="R1104" s="234" t="n"/>
      <c r="S1104" s="234" t="n"/>
      <c r="T1104" s="234" t="n"/>
      <c r="U1104" s="234" t="n"/>
      <c r="V1104" s="234" t="n"/>
      <c r="W1104" s="234" t="n"/>
    </row>
    <row r="1105" ht="54.95" customFormat="1" customHeight="1" s="235">
      <c r="A1105" s="234" t="n"/>
      <c r="B1105" s="234" t="n"/>
      <c r="C1105" s="234" t="n"/>
      <c r="D1105" s="234" t="n"/>
      <c r="E1105" s="234" t="n"/>
      <c r="F1105" s="234" t="n"/>
      <c r="G1105" s="234" t="n"/>
      <c r="H1105" s="234" t="n"/>
      <c r="I1105" s="234" t="n"/>
      <c r="J1105" s="234" t="n"/>
      <c r="K1105" s="234" t="n"/>
      <c r="L1105" s="234" t="n"/>
      <c r="M1105" s="232" t="n"/>
      <c r="N1105" s="233" t="n"/>
      <c r="O1105" s="232" t="n"/>
      <c r="P1105" s="234" t="n"/>
      <c r="Q1105" s="234" t="n"/>
      <c r="R1105" s="234" t="n"/>
      <c r="S1105" s="234" t="n"/>
      <c r="T1105" s="234" t="n"/>
      <c r="U1105" s="234" t="n"/>
      <c r="V1105" s="234" t="n"/>
      <c r="W1105" s="234" t="n"/>
    </row>
    <row r="1106" ht="54.95" customFormat="1" customHeight="1" s="235">
      <c r="A1106" s="234" t="n"/>
      <c r="B1106" s="234" t="n"/>
      <c r="C1106" s="234" t="n"/>
      <c r="D1106" s="234" t="n"/>
      <c r="E1106" s="234" t="n"/>
      <c r="F1106" s="234" t="n"/>
      <c r="G1106" s="234" t="n"/>
      <c r="H1106" s="234" t="n"/>
      <c r="I1106" s="234" t="n"/>
      <c r="J1106" s="234" t="n"/>
      <c r="K1106" s="234" t="n"/>
      <c r="L1106" s="234" t="n"/>
      <c r="M1106" s="232" t="n"/>
      <c r="N1106" s="233" t="n"/>
      <c r="O1106" s="232" t="n"/>
      <c r="P1106" s="234" t="n"/>
      <c r="Q1106" s="234" t="n"/>
      <c r="R1106" s="234" t="n"/>
      <c r="S1106" s="234" t="n"/>
      <c r="T1106" s="234" t="n"/>
      <c r="U1106" s="234" t="n"/>
      <c r="V1106" s="234" t="n"/>
      <c r="W1106" s="234" t="n"/>
    </row>
    <row r="1107" ht="54.95" customFormat="1" customHeight="1" s="235">
      <c r="A1107" s="234" t="n"/>
      <c r="B1107" s="234" t="n"/>
      <c r="C1107" s="234" t="n"/>
      <c r="D1107" s="234" t="n"/>
      <c r="E1107" s="234" t="n"/>
      <c r="F1107" s="234" t="n"/>
      <c r="G1107" s="234" t="n"/>
      <c r="H1107" s="234" t="n"/>
      <c r="I1107" s="234" t="n"/>
      <c r="J1107" s="234" t="n"/>
      <c r="K1107" s="234" t="n"/>
      <c r="L1107" s="234" t="n"/>
      <c r="M1107" s="232" t="n"/>
      <c r="N1107" s="233" t="n"/>
      <c r="O1107" s="232" t="n"/>
      <c r="P1107" s="234" t="n"/>
      <c r="Q1107" s="234" t="n"/>
      <c r="R1107" s="234" t="n"/>
      <c r="S1107" s="234" t="n"/>
      <c r="T1107" s="234" t="n"/>
      <c r="U1107" s="234" t="n"/>
      <c r="V1107" s="234" t="n"/>
      <c r="W1107" s="234" t="n"/>
    </row>
    <row r="1108" ht="54.95" customFormat="1" customHeight="1" s="235">
      <c r="A1108" s="234" t="n"/>
      <c r="B1108" s="234" t="n"/>
      <c r="C1108" s="234" t="n"/>
      <c r="D1108" s="234" t="n"/>
      <c r="E1108" s="234" t="n"/>
      <c r="F1108" s="234" t="n"/>
      <c r="G1108" s="234" t="n"/>
      <c r="H1108" s="234" t="n"/>
      <c r="I1108" s="234" t="n"/>
      <c r="J1108" s="234" t="n"/>
      <c r="K1108" s="234" t="n"/>
      <c r="L1108" s="234" t="n"/>
      <c r="M1108" s="232" t="n"/>
      <c r="N1108" s="233" t="n"/>
      <c r="O1108" s="232" t="n"/>
      <c r="P1108" s="234" t="n"/>
      <c r="Q1108" s="234" t="n"/>
      <c r="R1108" s="234" t="n"/>
      <c r="S1108" s="234" t="n"/>
      <c r="T1108" s="234" t="n"/>
      <c r="U1108" s="234" t="n"/>
      <c r="V1108" s="234" t="n"/>
      <c r="W1108" s="234" t="n"/>
    </row>
    <row r="1109" ht="54.95" customFormat="1" customHeight="1" s="235">
      <c r="A1109" s="234" t="n"/>
      <c r="B1109" s="234" t="n"/>
      <c r="C1109" s="234" t="n"/>
      <c r="D1109" s="234" t="n"/>
      <c r="E1109" s="234" t="n"/>
      <c r="F1109" s="234" t="n"/>
      <c r="G1109" s="234" t="n"/>
      <c r="H1109" s="234" t="n"/>
      <c r="I1109" s="234" t="n"/>
      <c r="J1109" s="234" t="n"/>
      <c r="K1109" s="234" t="n"/>
      <c r="L1109" s="234" t="n"/>
      <c r="M1109" s="232" t="n"/>
      <c r="N1109" s="233" t="n"/>
      <c r="O1109" s="232" t="n"/>
      <c r="P1109" s="234" t="n"/>
      <c r="Q1109" s="234" t="n"/>
      <c r="R1109" s="234" t="n"/>
      <c r="S1109" s="234" t="n"/>
      <c r="T1109" s="234" t="n"/>
      <c r="U1109" s="234" t="n"/>
      <c r="V1109" s="234" t="n"/>
      <c r="W1109" s="234" t="n"/>
    </row>
    <row r="1110" ht="54.95" customFormat="1" customHeight="1" s="235">
      <c r="A1110" s="232" t="n"/>
      <c r="B1110" s="232" t="n"/>
      <c r="C1110" s="232" t="n"/>
      <c r="D1110" s="233" t="n"/>
      <c r="E1110" s="232" t="n"/>
      <c r="F1110" s="233" t="n"/>
      <c r="G1110" s="233" t="n"/>
      <c r="H1110" s="233" t="n"/>
      <c r="I1110" s="232" t="n"/>
      <c r="J1110" s="233" t="n"/>
      <c r="K1110" s="232" t="n"/>
      <c r="L1110" s="232" t="n"/>
      <c r="M1110" s="232" t="n"/>
      <c r="N1110" s="233" t="n"/>
      <c r="O1110" s="232" t="n"/>
      <c r="P1110" s="233" t="n"/>
      <c r="Q1110" s="233" t="n"/>
      <c r="R1110" s="233" t="n"/>
      <c r="S1110" s="232" t="n"/>
      <c r="T1110" s="233" t="n"/>
      <c r="U1110" s="233" t="n"/>
      <c r="V1110" s="233" t="n"/>
      <c r="W1110" s="232" t="n"/>
    </row>
    <row r="1111" ht="54.95" customFormat="1" customHeight="1" s="235">
      <c r="A1111" s="232" t="n"/>
      <c r="B1111" s="232" t="n"/>
      <c r="C1111" s="232" t="n"/>
      <c r="D1111" s="233" t="n"/>
      <c r="E1111" s="232" t="n"/>
      <c r="F1111" s="233" t="n"/>
      <c r="G1111" s="233" t="n"/>
      <c r="H1111" s="233" t="n"/>
      <c r="I1111" s="232" t="n"/>
      <c r="J1111" s="233" t="n"/>
      <c r="K1111" s="232" t="n"/>
      <c r="L1111" s="232" t="n"/>
      <c r="M1111" s="232" t="n"/>
      <c r="N1111" s="233" t="n"/>
      <c r="O1111" s="232" t="n"/>
      <c r="P1111" s="233" t="n"/>
      <c r="Q1111" s="233" t="n"/>
      <c r="R1111" s="233" t="n"/>
      <c r="S1111" s="232" t="n"/>
      <c r="T1111" s="233" t="n"/>
      <c r="U1111" s="233" t="n"/>
      <c r="V1111" s="233" t="n"/>
      <c r="W1111" s="232" t="n"/>
    </row>
    <row r="1112" ht="54.95" customFormat="1" customHeight="1" s="235">
      <c r="A1112" s="232" t="n"/>
      <c r="B1112" s="232" t="n"/>
      <c r="C1112" s="232" t="n"/>
      <c r="D1112" s="233" t="n"/>
      <c r="E1112" s="232" t="n"/>
      <c r="F1112" s="233" t="n"/>
      <c r="G1112" s="233" t="n"/>
      <c r="H1112" s="233" t="n"/>
      <c r="I1112" s="232" t="n"/>
      <c r="J1112" s="233" t="n"/>
      <c r="K1112" s="232" t="n"/>
      <c r="L1112" s="232" t="n"/>
      <c r="M1112" s="232" t="n"/>
      <c r="N1112" s="233" t="n"/>
      <c r="O1112" s="232" t="n"/>
      <c r="P1112" s="233" t="n"/>
      <c r="Q1112" s="233" t="n"/>
      <c r="R1112" s="233" t="n"/>
      <c r="S1112" s="232" t="n"/>
      <c r="T1112" s="233" t="n"/>
      <c r="U1112" s="233" t="n"/>
      <c r="V1112" s="233" t="n"/>
      <c r="W1112" s="232" t="n"/>
    </row>
    <row r="1113" ht="54.95" customFormat="1" customHeight="1" s="235">
      <c r="A1113" s="232" t="n"/>
      <c r="B1113" s="232" t="n"/>
      <c r="C1113" s="232" t="n"/>
      <c r="D1113" s="233" t="n"/>
      <c r="E1113" s="232" t="n"/>
      <c r="F1113" s="233" t="n"/>
      <c r="G1113" s="233" t="n"/>
      <c r="H1113" s="233" t="n"/>
      <c r="I1113" s="232" t="n"/>
      <c r="J1113" s="233" t="n"/>
      <c r="K1113" s="232" t="n"/>
      <c r="L1113" s="232" t="n"/>
      <c r="M1113" s="232" t="n"/>
      <c r="N1113" s="233" t="n"/>
      <c r="O1113" s="232" t="n"/>
      <c r="P1113" s="233" t="n"/>
      <c r="Q1113" s="233" t="n"/>
      <c r="R1113" s="233" t="n"/>
      <c r="S1113" s="232" t="n"/>
      <c r="T1113" s="233" t="n"/>
      <c r="U1113" s="233" t="n"/>
      <c r="V1113" s="233" t="n"/>
      <c r="W1113" s="232" t="n"/>
    </row>
    <row r="1114" ht="54.95" customFormat="1" customHeight="1" s="235">
      <c r="A1114" s="232" t="n"/>
      <c r="B1114" s="232" t="n"/>
      <c r="C1114" s="232" t="n"/>
      <c r="D1114" s="233" t="n"/>
      <c r="E1114" s="232" t="n"/>
      <c r="F1114" s="233" t="n"/>
      <c r="G1114" s="233" t="n"/>
      <c r="H1114" s="233" t="n"/>
      <c r="I1114" s="232" t="n"/>
      <c r="J1114" s="233" t="n"/>
      <c r="K1114" s="232" t="n"/>
      <c r="L1114" s="232" t="n"/>
      <c r="M1114" s="232" t="n"/>
      <c r="N1114" s="233" t="n"/>
      <c r="O1114" s="232" t="n"/>
      <c r="P1114" s="233" t="n"/>
      <c r="Q1114" s="233" t="n"/>
      <c r="R1114" s="233" t="n"/>
      <c r="S1114" s="232" t="n"/>
      <c r="T1114" s="233" t="n"/>
      <c r="U1114" s="233" t="n"/>
      <c r="V1114" s="233" t="n"/>
      <c r="W1114" s="232" t="n"/>
    </row>
    <row r="1115" ht="54.95" customFormat="1" customHeight="1" s="235">
      <c r="A1115" s="232" t="n"/>
      <c r="B1115" s="232" t="n"/>
      <c r="C1115" s="232" t="n"/>
      <c r="D1115" s="233" t="n"/>
      <c r="E1115" s="232" t="n"/>
      <c r="F1115" s="233" t="n"/>
      <c r="G1115" s="233" t="n"/>
      <c r="H1115" s="233" t="n"/>
      <c r="I1115" s="232" t="n"/>
      <c r="J1115" s="233" t="n"/>
      <c r="K1115" s="232" t="n"/>
      <c r="L1115" s="232" t="n"/>
      <c r="M1115" s="232" t="n"/>
      <c r="N1115" s="233" t="n"/>
      <c r="O1115" s="232" t="n"/>
      <c r="P1115" s="233" t="n"/>
      <c r="Q1115" s="233" t="n"/>
      <c r="R1115" s="233" t="n"/>
      <c r="S1115" s="232" t="n"/>
      <c r="T1115" s="233" t="n"/>
      <c r="U1115" s="233" t="n"/>
      <c r="V1115" s="233" t="n"/>
      <c r="W1115" s="232" t="n"/>
    </row>
    <row r="1116" ht="54.95" customFormat="1" customHeight="1" s="235">
      <c r="A1116" s="232" t="n"/>
      <c r="B1116" s="232" t="n"/>
      <c r="C1116" s="232" t="n"/>
      <c r="D1116" s="233" t="n"/>
      <c r="E1116" s="232" t="n"/>
      <c r="F1116" s="233" t="n"/>
      <c r="G1116" s="233" t="n"/>
      <c r="H1116" s="233" t="n"/>
      <c r="I1116" s="232" t="n"/>
      <c r="J1116" s="233" t="n"/>
      <c r="K1116" s="232" t="n"/>
      <c r="L1116" s="232" t="n"/>
      <c r="M1116" s="232" t="n"/>
      <c r="N1116" s="233" t="n"/>
      <c r="O1116" s="232" t="n"/>
      <c r="P1116" s="233" t="n"/>
      <c r="Q1116" s="233" t="n"/>
      <c r="R1116" s="233" t="n"/>
      <c r="S1116" s="232" t="n"/>
      <c r="T1116" s="233" t="n"/>
      <c r="U1116" s="233" t="n"/>
      <c r="V1116" s="233" t="n"/>
      <c r="W1116" s="232" t="n"/>
    </row>
    <row r="1117" ht="54.95" customFormat="1" customHeight="1" s="235">
      <c r="A1117" s="232" t="n"/>
      <c r="B1117" s="232" t="n"/>
      <c r="C1117" s="232" t="n"/>
      <c r="D1117" s="233" t="n"/>
      <c r="E1117" s="232" t="n"/>
      <c r="F1117" s="233" t="n"/>
      <c r="G1117" s="233" t="n"/>
      <c r="H1117" s="233" t="n"/>
      <c r="I1117" s="232" t="n"/>
      <c r="J1117" s="233" t="n"/>
      <c r="K1117" s="232" t="n"/>
      <c r="L1117" s="232" t="n"/>
      <c r="M1117" s="232" t="n"/>
      <c r="N1117" s="233" t="n"/>
      <c r="O1117" s="232" t="n"/>
      <c r="P1117" s="233" t="n"/>
      <c r="Q1117" s="233" t="n"/>
      <c r="R1117" s="233" t="n"/>
      <c r="S1117" s="232" t="n"/>
      <c r="T1117" s="233" t="n"/>
      <c r="U1117" s="233" t="n"/>
      <c r="V1117" s="233" t="n"/>
      <c r="W1117" s="232" t="n"/>
    </row>
    <row r="1118" ht="54.95" customFormat="1" customHeight="1" s="235">
      <c r="A1118" s="232" t="n"/>
      <c r="B1118" s="232" t="n"/>
      <c r="C1118" s="232" t="n"/>
      <c r="D1118" s="233" t="n"/>
      <c r="E1118" s="232" t="n"/>
      <c r="F1118" s="233" t="n"/>
      <c r="G1118" s="233" t="n"/>
      <c r="H1118" s="233" t="n"/>
      <c r="I1118" s="232" t="n"/>
      <c r="J1118" s="233" t="n"/>
      <c r="K1118" s="232" t="n"/>
      <c r="L1118" s="232" t="n"/>
      <c r="M1118" s="232" t="n"/>
      <c r="N1118" s="233" t="n"/>
      <c r="O1118" s="232" t="n"/>
      <c r="P1118" s="233" t="n"/>
      <c r="Q1118" s="233" t="n"/>
      <c r="R1118" s="233" t="n"/>
      <c r="S1118" s="232" t="n"/>
      <c r="T1118" s="233" t="n"/>
      <c r="U1118" s="233" t="n"/>
      <c r="V1118" s="233" t="n"/>
      <c r="W1118" s="232" t="n"/>
    </row>
    <row r="1119" ht="54.95" customFormat="1" customHeight="1" s="235">
      <c r="A1119" s="232" t="n"/>
      <c r="B1119" s="232" t="n"/>
      <c r="C1119" s="232" t="n"/>
      <c r="D1119" s="233" t="n"/>
      <c r="E1119" s="232" t="n"/>
      <c r="F1119" s="233" t="n"/>
      <c r="G1119" s="233" t="n"/>
      <c r="H1119" s="233" t="n"/>
      <c r="I1119" s="232" t="n"/>
      <c r="J1119" s="233" t="n"/>
      <c r="K1119" s="232" t="n"/>
      <c r="L1119" s="232" t="n"/>
      <c r="M1119" s="232" t="n"/>
      <c r="N1119" s="233" t="n"/>
      <c r="O1119" s="232" t="n"/>
      <c r="P1119" s="233" t="n"/>
      <c r="Q1119" s="233" t="n"/>
      <c r="R1119" s="233" t="n"/>
      <c r="S1119" s="232" t="n"/>
      <c r="T1119" s="233" t="n"/>
      <c r="U1119" s="233" t="n"/>
      <c r="V1119" s="233" t="n"/>
      <c r="W1119" s="232" t="n"/>
    </row>
    <row r="1120" ht="54.95" customFormat="1" customHeight="1" s="235">
      <c r="A1120" s="232" t="n"/>
      <c r="B1120" s="232" t="n"/>
      <c r="C1120" s="232" t="n"/>
      <c r="D1120" s="233" t="n"/>
      <c r="E1120" s="232" t="n"/>
      <c r="F1120" s="233" t="n"/>
      <c r="G1120" s="233" t="n"/>
      <c r="H1120" s="233" t="n"/>
      <c r="I1120" s="232" t="n"/>
      <c r="J1120" s="233" t="n"/>
      <c r="K1120" s="232" t="n"/>
      <c r="L1120" s="232" t="n"/>
      <c r="M1120" s="232" t="n"/>
      <c r="N1120" s="233" t="n"/>
      <c r="O1120" s="232" t="n"/>
      <c r="P1120" s="233" t="n"/>
      <c r="Q1120" s="233" t="n"/>
      <c r="R1120" s="233" t="n"/>
      <c r="S1120" s="232" t="n"/>
      <c r="T1120" s="233" t="n"/>
      <c r="U1120" s="233" t="n"/>
      <c r="V1120" s="233" t="n"/>
      <c r="W1120" s="232" t="n"/>
    </row>
    <row r="1121" ht="54.95" customFormat="1" customHeight="1" s="235">
      <c r="A1121" s="232" t="n"/>
      <c r="B1121" s="232" t="n"/>
      <c r="C1121" s="232" t="n"/>
      <c r="D1121" s="233" t="n"/>
      <c r="E1121" s="232" t="n"/>
      <c r="F1121" s="233" t="n"/>
      <c r="G1121" s="233" t="n"/>
      <c r="H1121" s="233" t="n"/>
      <c r="I1121" s="232" t="n"/>
      <c r="J1121" s="233" t="n"/>
      <c r="K1121" s="232" t="n"/>
      <c r="L1121" s="232" t="n"/>
      <c r="M1121" s="232" t="n"/>
      <c r="N1121" s="233" t="n"/>
      <c r="O1121" s="232" t="n"/>
      <c r="P1121" s="233" t="n"/>
      <c r="Q1121" s="233" t="n"/>
      <c r="R1121" s="233" t="n"/>
      <c r="S1121" s="232" t="n"/>
      <c r="T1121" s="233" t="n"/>
      <c r="U1121" s="233" t="n"/>
      <c r="V1121" s="233" t="n"/>
      <c r="W1121" s="232" t="n"/>
    </row>
    <row r="1122" ht="54.95" customFormat="1" customHeight="1" s="235">
      <c r="A1122" s="232" t="n"/>
      <c r="B1122" s="232" t="n"/>
      <c r="C1122" s="232" t="n"/>
      <c r="D1122" s="233" t="n"/>
      <c r="E1122" s="232" t="n"/>
      <c r="F1122" s="233" t="n"/>
      <c r="G1122" s="233" t="n"/>
      <c r="H1122" s="233" t="n"/>
      <c r="I1122" s="232" t="n"/>
      <c r="J1122" s="233" t="n"/>
      <c r="K1122" s="232" t="n"/>
      <c r="L1122" s="232" t="n"/>
      <c r="M1122" s="232" t="n"/>
      <c r="N1122" s="233" t="n"/>
      <c r="O1122" s="232" t="n"/>
      <c r="P1122" s="233" t="n"/>
      <c r="Q1122" s="233" t="n"/>
      <c r="R1122" s="233" t="n"/>
      <c r="S1122" s="232" t="n"/>
      <c r="T1122" s="233" t="n"/>
      <c r="U1122" s="233" t="n"/>
      <c r="V1122" s="233" t="n"/>
      <c r="W1122" s="232" t="n"/>
    </row>
    <row r="1123" ht="54.95" customFormat="1" customHeight="1" s="235">
      <c r="A1123" s="232" t="n"/>
      <c r="B1123" s="232" t="n"/>
      <c r="C1123" s="232" t="n"/>
      <c r="D1123" s="233" t="n"/>
      <c r="E1123" s="232" t="n"/>
      <c r="F1123" s="233" t="n"/>
      <c r="G1123" s="233" t="n"/>
      <c r="H1123" s="233" t="n"/>
      <c r="I1123" s="232" t="n"/>
      <c r="J1123" s="233" t="n"/>
      <c r="K1123" s="232" t="n"/>
      <c r="L1123" s="232" t="n"/>
      <c r="M1123" s="232" t="n"/>
      <c r="N1123" s="233" t="n"/>
      <c r="O1123" s="232" t="n"/>
      <c r="P1123" s="233" t="n"/>
      <c r="Q1123" s="233" t="n"/>
      <c r="R1123" s="233" t="n"/>
      <c r="S1123" s="232" t="n"/>
      <c r="T1123" s="233" t="n"/>
      <c r="U1123" s="233" t="n"/>
      <c r="V1123" s="233" t="n"/>
      <c r="W1123" s="232" t="n"/>
    </row>
    <row r="1124" ht="54.95" customFormat="1" customHeight="1" s="235">
      <c r="A1124" s="232" t="n"/>
      <c r="B1124" s="232" t="n"/>
      <c r="C1124" s="232" t="n"/>
      <c r="D1124" s="233" t="n"/>
      <c r="E1124" s="232" t="n"/>
      <c r="F1124" s="233" t="n"/>
      <c r="G1124" s="233" t="n"/>
      <c r="H1124" s="233" t="n"/>
      <c r="I1124" s="232" t="n"/>
      <c r="J1124" s="233" t="n"/>
      <c r="K1124" s="232" t="n"/>
      <c r="L1124" s="232" t="n"/>
      <c r="M1124" s="232" t="n"/>
      <c r="N1124" s="233" t="n"/>
      <c r="O1124" s="232" t="n"/>
      <c r="P1124" s="233" t="n"/>
      <c r="Q1124" s="233" t="n"/>
      <c r="R1124" s="233" t="n"/>
      <c r="S1124" s="232" t="n"/>
      <c r="T1124" s="233" t="n"/>
      <c r="U1124" s="233" t="n"/>
      <c r="V1124" s="233" t="n"/>
      <c r="W1124" s="232" t="n"/>
    </row>
    <row r="1125" ht="54.95" customFormat="1" customHeight="1" s="235">
      <c r="A1125" s="234" t="n"/>
      <c r="B1125" s="234" t="n"/>
      <c r="C1125" s="234" t="n"/>
      <c r="D1125" s="234" t="n"/>
      <c r="E1125" s="234" t="n"/>
      <c r="F1125" s="234" t="n"/>
      <c r="G1125" s="234" t="n"/>
      <c r="H1125" s="234" t="n"/>
      <c r="I1125" s="234" t="n"/>
      <c r="J1125" s="234" t="n"/>
      <c r="K1125" s="234" t="n"/>
      <c r="L1125" s="234" t="n"/>
      <c r="M1125" s="232" t="n"/>
      <c r="N1125" s="233" t="n"/>
      <c r="O1125" s="232" t="n"/>
      <c r="P1125" s="234" t="n"/>
      <c r="Q1125" s="234" t="n"/>
      <c r="R1125" s="234" t="n"/>
      <c r="S1125" s="234" t="n"/>
      <c r="T1125" s="234" t="n"/>
      <c r="U1125" s="234" t="n"/>
      <c r="V1125" s="234" t="n"/>
      <c r="W1125" s="234" t="n"/>
    </row>
    <row r="1126" ht="54.95" customFormat="1" customHeight="1" s="235">
      <c r="A1126" s="234" t="n"/>
      <c r="B1126" s="234" t="n"/>
      <c r="C1126" s="234" t="n"/>
      <c r="D1126" s="234" t="n"/>
      <c r="E1126" s="234" t="n"/>
      <c r="F1126" s="234" t="n"/>
      <c r="G1126" s="234" t="n"/>
      <c r="H1126" s="234" t="n"/>
      <c r="I1126" s="234" t="n"/>
      <c r="J1126" s="234" t="n"/>
      <c r="K1126" s="234" t="n"/>
      <c r="L1126" s="234" t="n"/>
      <c r="M1126" s="232" t="n"/>
      <c r="N1126" s="233" t="n"/>
      <c r="O1126" s="232" t="n"/>
      <c r="P1126" s="234" t="n"/>
      <c r="Q1126" s="234" t="n"/>
      <c r="R1126" s="234" t="n"/>
      <c r="S1126" s="234" t="n"/>
      <c r="T1126" s="234" t="n"/>
      <c r="U1126" s="234" t="n"/>
      <c r="V1126" s="234" t="n"/>
      <c r="W1126" s="234" t="n"/>
    </row>
    <row r="1127" ht="54.95" customFormat="1" customHeight="1" s="235">
      <c r="A1127" s="234" t="n"/>
      <c r="B1127" s="234" t="n"/>
      <c r="C1127" s="234" t="n"/>
      <c r="D1127" s="234" t="n"/>
      <c r="E1127" s="234" t="n"/>
      <c r="F1127" s="234" t="n"/>
      <c r="G1127" s="234" t="n"/>
      <c r="H1127" s="234" t="n"/>
      <c r="I1127" s="234" t="n"/>
      <c r="J1127" s="234" t="n"/>
      <c r="K1127" s="234" t="n"/>
      <c r="L1127" s="234" t="n"/>
      <c r="M1127" s="232" t="n"/>
      <c r="N1127" s="233" t="n"/>
      <c r="O1127" s="232" t="n"/>
      <c r="P1127" s="234" t="n"/>
      <c r="Q1127" s="234" t="n"/>
      <c r="R1127" s="234" t="n"/>
      <c r="S1127" s="234" t="n"/>
      <c r="T1127" s="234" t="n"/>
      <c r="U1127" s="234" t="n"/>
      <c r="V1127" s="234" t="n"/>
      <c r="W1127" s="234" t="n"/>
    </row>
    <row r="1128" ht="54.95" customFormat="1" customHeight="1" s="235">
      <c r="A1128" s="234" t="n"/>
      <c r="B1128" s="234" t="n"/>
      <c r="C1128" s="234" t="n"/>
      <c r="D1128" s="234" t="n"/>
      <c r="E1128" s="234" t="n"/>
      <c r="F1128" s="234" t="n"/>
      <c r="G1128" s="234" t="n"/>
      <c r="H1128" s="234" t="n"/>
      <c r="I1128" s="234" t="n"/>
      <c r="J1128" s="234" t="n"/>
      <c r="K1128" s="234" t="n"/>
      <c r="L1128" s="234" t="n"/>
      <c r="M1128" s="232" t="n"/>
      <c r="N1128" s="233" t="n"/>
      <c r="O1128" s="232" t="n"/>
      <c r="P1128" s="234" t="n"/>
      <c r="Q1128" s="234" t="n"/>
      <c r="R1128" s="234" t="n"/>
      <c r="S1128" s="234" t="n"/>
      <c r="T1128" s="234" t="n"/>
      <c r="U1128" s="234" t="n"/>
      <c r="V1128" s="234" t="n"/>
      <c r="W1128" s="234" t="n"/>
    </row>
    <row r="1129" ht="54.95" customFormat="1" customHeight="1" s="235">
      <c r="A1129" s="234" t="n"/>
      <c r="B1129" s="234" t="n"/>
      <c r="C1129" s="234" t="n"/>
      <c r="D1129" s="234" t="n"/>
      <c r="E1129" s="234" t="n"/>
      <c r="F1129" s="234" t="n"/>
      <c r="G1129" s="234" t="n"/>
      <c r="H1129" s="234" t="n"/>
      <c r="I1129" s="234" t="n"/>
      <c r="J1129" s="234" t="n"/>
      <c r="K1129" s="234" t="n"/>
      <c r="L1129" s="234" t="n"/>
      <c r="M1129" s="232" t="n"/>
      <c r="N1129" s="233" t="n"/>
      <c r="O1129" s="232" t="n"/>
      <c r="P1129" s="234" t="n"/>
      <c r="Q1129" s="234" t="n"/>
      <c r="R1129" s="234" t="n"/>
      <c r="S1129" s="234" t="n"/>
      <c r="T1129" s="234" t="n"/>
      <c r="U1129" s="234" t="n"/>
      <c r="V1129" s="234" t="n"/>
      <c r="W1129" s="234" t="n"/>
    </row>
    <row r="1130" ht="54.95" customFormat="1" customHeight="1" s="235">
      <c r="A1130" s="232" t="n"/>
      <c r="B1130" s="232" t="n"/>
      <c r="C1130" s="232" t="n"/>
      <c r="D1130" s="233" t="n"/>
      <c r="E1130" s="232" t="n"/>
      <c r="F1130" s="233" t="n"/>
      <c r="G1130" s="233" t="n"/>
      <c r="H1130" s="233" t="n"/>
      <c r="I1130" s="232" t="n"/>
      <c r="J1130" s="233" t="n"/>
      <c r="K1130" s="232" t="n"/>
      <c r="L1130" s="232" t="n"/>
      <c r="M1130" s="232" t="n"/>
      <c r="N1130" s="233" t="n"/>
      <c r="O1130" s="232" t="n"/>
      <c r="P1130" s="233" t="n"/>
      <c r="Q1130" s="233" t="n"/>
      <c r="R1130" s="233" t="n"/>
      <c r="S1130" s="232" t="n"/>
      <c r="T1130" s="233" t="n"/>
      <c r="U1130" s="233" t="n"/>
      <c r="V1130" s="233" t="n"/>
      <c r="W1130" s="232" t="n"/>
    </row>
    <row r="1131" ht="54.95" customFormat="1" customHeight="1" s="235">
      <c r="A1131" s="232" t="n"/>
      <c r="B1131" s="232" t="n"/>
      <c r="C1131" s="232" t="n"/>
      <c r="D1131" s="233" t="n"/>
      <c r="E1131" s="232" t="n"/>
      <c r="F1131" s="233" t="n"/>
      <c r="G1131" s="233" t="n"/>
      <c r="H1131" s="233" t="n"/>
      <c r="I1131" s="232" t="n"/>
      <c r="J1131" s="233" t="n"/>
      <c r="K1131" s="232" t="n"/>
      <c r="L1131" s="232" t="n"/>
      <c r="M1131" s="232" t="n"/>
      <c r="N1131" s="233" t="n"/>
      <c r="O1131" s="232" t="n"/>
      <c r="P1131" s="233" t="n"/>
      <c r="Q1131" s="233" t="n"/>
      <c r="R1131" s="233" t="n"/>
      <c r="S1131" s="232" t="n"/>
      <c r="T1131" s="233" t="n"/>
      <c r="U1131" s="233" t="n"/>
      <c r="V1131" s="233" t="n"/>
      <c r="W1131" s="232" t="n"/>
    </row>
    <row r="1132" ht="54.95" customFormat="1" customHeight="1" s="235">
      <c r="A1132" s="232" t="n"/>
      <c r="B1132" s="232" t="n"/>
      <c r="C1132" s="232" t="n"/>
      <c r="D1132" s="233" t="n"/>
      <c r="E1132" s="232" t="n"/>
      <c r="F1132" s="233" t="n"/>
      <c r="G1132" s="233" t="n"/>
      <c r="H1132" s="233" t="n"/>
      <c r="I1132" s="232" t="n"/>
      <c r="J1132" s="233" t="n"/>
      <c r="K1132" s="232" t="n"/>
      <c r="L1132" s="232" t="n"/>
      <c r="M1132" s="232" t="n"/>
      <c r="N1132" s="233" t="n"/>
      <c r="O1132" s="232" t="n"/>
      <c r="P1132" s="233" t="n"/>
      <c r="Q1132" s="233" t="n"/>
      <c r="R1132" s="233" t="n"/>
      <c r="S1132" s="232" t="n"/>
      <c r="T1132" s="233" t="n"/>
      <c r="U1132" s="233" t="n"/>
      <c r="V1132" s="233" t="n"/>
      <c r="W1132" s="232" t="n"/>
    </row>
    <row r="1133" ht="54.95" customFormat="1" customHeight="1" s="235">
      <c r="A1133" s="232" t="n"/>
      <c r="B1133" s="232" t="n"/>
      <c r="C1133" s="232" t="n"/>
      <c r="D1133" s="233" t="n"/>
      <c r="E1133" s="232" t="n"/>
      <c r="F1133" s="233" t="n"/>
      <c r="G1133" s="233" t="n"/>
      <c r="H1133" s="233" t="n"/>
      <c r="I1133" s="232" t="n"/>
      <c r="J1133" s="233" t="n"/>
      <c r="K1133" s="232" t="n"/>
      <c r="L1133" s="232" t="n"/>
      <c r="M1133" s="232" t="n"/>
      <c r="N1133" s="233" t="n"/>
      <c r="O1133" s="232" t="n"/>
      <c r="P1133" s="233" t="n"/>
      <c r="Q1133" s="233" t="n"/>
      <c r="R1133" s="233" t="n"/>
      <c r="S1133" s="232" t="n"/>
      <c r="T1133" s="233" t="n"/>
      <c r="U1133" s="233" t="n"/>
      <c r="V1133" s="233" t="n"/>
      <c r="W1133" s="232" t="n"/>
    </row>
    <row r="1134" ht="54.95" customFormat="1" customHeight="1" s="235">
      <c r="A1134" s="232" t="n"/>
      <c r="B1134" s="232" t="n"/>
      <c r="C1134" s="232" t="n"/>
      <c r="D1134" s="233" t="n"/>
      <c r="E1134" s="232" t="n"/>
      <c r="F1134" s="233" t="n"/>
      <c r="G1134" s="233" t="n"/>
      <c r="H1134" s="233" t="n"/>
      <c r="I1134" s="232" t="n"/>
      <c r="J1134" s="233" t="n"/>
      <c r="K1134" s="232" t="n"/>
      <c r="L1134" s="232" t="n"/>
      <c r="M1134" s="232" t="n"/>
      <c r="N1134" s="233" t="n"/>
      <c r="O1134" s="232" t="n"/>
      <c r="P1134" s="233" t="n"/>
      <c r="Q1134" s="233" t="n"/>
      <c r="R1134" s="233" t="n"/>
      <c r="S1134" s="232" t="n"/>
      <c r="T1134" s="233" t="n"/>
      <c r="U1134" s="233" t="n"/>
      <c r="V1134" s="233" t="n"/>
      <c r="W1134" s="232" t="n"/>
    </row>
    <row r="1135" ht="54.95" customFormat="1" customHeight="1" s="235">
      <c r="A1135" s="232" t="n"/>
      <c r="B1135" s="232" t="n"/>
      <c r="C1135" s="232" t="n"/>
      <c r="D1135" s="233" t="n"/>
      <c r="E1135" s="232" t="n"/>
      <c r="F1135" s="233" t="n"/>
      <c r="G1135" s="233" t="n"/>
      <c r="H1135" s="233" t="n"/>
      <c r="I1135" s="232" t="n"/>
      <c r="J1135" s="233" t="n"/>
      <c r="K1135" s="232" t="n"/>
      <c r="L1135" s="232" t="n"/>
      <c r="M1135" s="232" t="n"/>
      <c r="N1135" s="233" t="n"/>
      <c r="O1135" s="232" t="n"/>
      <c r="P1135" s="233" t="n"/>
      <c r="Q1135" s="233" t="n"/>
      <c r="R1135" s="233" t="n"/>
      <c r="S1135" s="232" t="n"/>
      <c r="T1135" s="233" t="n"/>
      <c r="U1135" s="233" t="n"/>
      <c r="V1135" s="233" t="n"/>
      <c r="W1135" s="232" t="n"/>
    </row>
    <row r="1136" ht="54.95" customFormat="1" customHeight="1" s="235">
      <c r="A1136" s="232" t="n"/>
      <c r="B1136" s="232" t="n"/>
      <c r="C1136" s="232" t="n"/>
      <c r="D1136" s="233" t="n"/>
      <c r="E1136" s="232" t="n"/>
      <c r="F1136" s="233" t="n"/>
      <c r="G1136" s="233" t="n"/>
      <c r="H1136" s="233" t="n"/>
      <c r="I1136" s="232" t="n"/>
      <c r="J1136" s="233" t="n"/>
      <c r="K1136" s="232" t="n"/>
      <c r="L1136" s="232" t="n"/>
      <c r="M1136" s="232" t="n"/>
      <c r="N1136" s="233" t="n"/>
      <c r="O1136" s="232" t="n"/>
      <c r="P1136" s="233" t="n"/>
      <c r="Q1136" s="233" t="n"/>
      <c r="R1136" s="233" t="n"/>
      <c r="S1136" s="232" t="n"/>
      <c r="T1136" s="233" t="n"/>
      <c r="U1136" s="233" t="n"/>
      <c r="V1136" s="233" t="n"/>
      <c r="W1136" s="232" t="n"/>
    </row>
    <row r="1137" ht="54.95" customFormat="1" customHeight="1" s="235">
      <c r="A1137" s="232" t="n"/>
      <c r="B1137" s="232" t="n"/>
      <c r="C1137" s="232" t="n"/>
      <c r="D1137" s="233" t="n"/>
      <c r="E1137" s="232" t="n"/>
      <c r="F1137" s="233" t="n"/>
      <c r="G1137" s="233" t="n"/>
      <c r="H1137" s="233" t="n"/>
      <c r="I1137" s="232" t="n"/>
      <c r="J1137" s="233" t="n"/>
      <c r="K1137" s="232" t="n"/>
      <c r="L1137" s="232" t="n"/>
      <c r="M1137" s="232" t="n"/>
      <c r="N1137" s="233" t="n"/>
      <c r="O1137" s="232" t="n"/>
      <c r="P1137" s="233" t="n"/>
      <c r="Q1137" s="233" t="n"/>
      <c r="R1137" s="233" t="n"/>
      <c r="S1137" s="232" t="n"/>
      <c r="T1137" s="233" t="n"/>
      <c r="U1137" s="233" t="n"/>
      <c r="V1137" s="233" t="n"/>
      <c r="W1137" s="232" t="n"/>
    </row>
    <row r="1138" ht="54.95" customFormat="1" customHeight="1" s="235">
      <c r="A1138" s="232" t="n"/>
      <c r="B1138" s="232" t="n"/>
      <c r="C1138" s="232" t="n"/>
      <c r="D1138" s="233" t="n"/>
      <c r="E1138" s="232" t="n"/>
      <c r="F1138" s="233" t="n"/>
      <c r="G1138" s="233" t="n"/>
      <c r="H1138" s="233" t="n"/>
      <c r="I1138" s="232" t="n"/>
      <c r="J1138" s="233" t="n"/>
      <c r="K1138" s="232" t="n"/>
      <c r="L1138" s="232" t="n"/>
      <c r="M1138" s="232" t="n"/>
      <c r="N1138" s="233" t="n"/>
      <c r="O1138" s="232" t="n"/>
      <c r="P1138" s="233" t="n"/>
      <c r="Q1138" s="233" t="n"/>
      <c r="R1138" s="233" t="n"/>
      <c r="S1138" s="232" t="n"/>
      <c r="T1138" s="233" t="n"/>
      <c r="U1138" s="233" t="n"/>
      <c r="V1138" s="233" t="n"/>
      <c r="W1138" s="232" t="n"/>
    </row>
    <row r="1139" ht="54.95" customFormat="1" customHeight="1" s="235">
      <c r="A1139" s="232" t="n"/>
      <c r="B1139" s="232" t="n"/>
      <c r="C1139" s="232" t="n"/>
      <c r="D1139" s="233" t="n"/>
      <c r="E1139" s="232" t="n"/>
      <c r="F1139" s="233" t="n"/>
      <c r="G1139" s="233" t="n"/>
      <c r="H1139" s="233" t="n"/>
      <c r="I1139" s="232" t="n"/>
      <c r="J1139" s="233" t="n"/>
      <c r="K1139" s="232" t="n"/>
      <c r="L1139" s="232" t="n"/>
      <c r="M1139" s="232" t="n"/>
      <c r="N1139" s="233" t="n"/>
      <c r="O1139" s="232" t="n"/>
      <c r="P1139" s="233" t="n"/>
      <c r="Q1139" s="233" t="n"/>
      <c r="R1139" s="233" t="n"/>
      <c r="S1139" s="232" t="n"/>
      <c r="T1139" s="233" t="n"/>
      <c r="U1139" s="233" t="n"/>
      <c r="V1139" s="233" t="n"/>
      <c r="W1139" s="232" t="n"/>
    </row>
    <row r="1140" ht="54.95" customFormat="1" customHeight="1" s="235">
      <c r="A1140" s="232" t="n"/>
      <c r="B1140" s="232" t="n"/>
      <c r="C1140" s="232" t="n"/>
      <c r="D1140" s="233" t="n"/>
      <c r="E1140" s="232" t="n"/>
      <c r="F1140" s="233" t="n"/>
      <c r="G1140" s="233" t="n"/>
      <c r="H1140" s="233" t="n"/>
      <c r="I1140" s="232" t="n"/>
      <c r="J1140" s="233" t="n"/>
      <c r="K1140" s="232" t="n"/>
      <c r="L1140" s="232" t="n"/>
      <c r="M1140" s="232" t="n"/>
      <c r="N1140" s="233" t="n"/>
      <c r="O1140" s="232" t="n"/>
      <c r="P1140" s="233" t="n"/>
      <c r="Q1140" s="233" t="n"/>
      <c r="R1140" s="233" t="n"/>
      <c r="S1140" s="232" t="n"/>
      <c r="T1140" s="233" t="n"/>
      <c r="U1140" s="233" t="n"/>
      <c r="V1140" s="233" t="n"/>
      <c r="W1140" s="232" t="n"/>
    </row>
    <row r="1141" ht="54.95" customFormat="1" customHeight="1" s="235">
      <c r="A1141" s="232" t="n"/>
      <c r="B1141" s="232" t="n"/>
      <c r="C1141" s="232" t="n"/>
      <c r="D1141" s="233" t="n"/>
      <c r="E1141" s="232" t="n"/>
      <c r="F1141" s="233" t="n"/>
      <c r="G1141" s="233" t="n"/>
      <c r="H1141" s="233" t="n"/>
      <c r="I1141" s="232" t="n"/>
      <c r="J1141" s="233" t="n"/>
      <c r="K1141" s="232" t="n"/>
      <c r="L1141" s="232" t="n"/>
      <c r="M1141" s="232" t="n"/>
      <c r="N1141" s="233" t="n"/>
      <c r="O1141" s="232" t="n"/>
      <c r="P1141" s="233" t="n"/>
      <c r="Q1141" s="233" t="n"/>
      <c r="R1141" s="233" t="n"/>
      <c r="S1141" s="232" t="n"/>
      <c r="T1141" s="233" t="n"/>
      <c r="U1141" s="233" t="n"/>
      <c r="V1141" s="233" t="n"/>
      <c r="W1141" s="232" t="n"/>
    </row>
    <row r="1142" ht="54.95" customFormat="1" customHeight="1" s="235">
      <c r="A1142" s="232" t="n"/>
      <c r="B1142" s="232" t="n"/>
      <c r="C1142" s="232" t="n"/>
      <c r="D1142" s="233" t="n"/>
      <c r="E1142" s="232" t="n"/>
      <c r="F1142" s="233" t="n"/>
      <c r="G1142" s="233" t="n"/>
      <c r="H1142" s="233" t="n"/>
      <c r="I1142" s="232" t="n"/>
      <c r="J1142" s="233" t="n"/>
      <c r="K1142" s="232" t="n"/>
      <c r="L1142" s="232" t="n"/>
      <c r="M1142" s="232" t="n"/>
      <c r="N1142" s="233" t="n"/>
      <c r="O1142" s="232" t="n"/>
      <c r="P1142" s="233" t="n"/>
      <c r="Q1142" s="233" t="n"/>
      <c r="R1142" s="233" t="n"/>
      <c r="S1142" s="232" t="n"/>
      <c r="T1142" s="233" t="n"/>
      <c r="U1142" s="233" t="n"/>
      <c r="V1142" s="233" t="n"/>
      <c r="W1142" s="232" t="n"/>
    </row>
    <row r="1143" ht="54.95" customFormat="1" customHeight="1" s="235">
      <c r="A1143" s="232" t="n"/>
      <c r="B1143" s="232" t="n"/>
      <c r="C1143" s="232" t="n"/>
      <c r="D1143" s="233" t="n"/>
      <c r="E1143" s="232" t="n"/>
      <c r="F1143" s="233" t="n"/>
      <c r="G1143" s="233" t="n"/>
      <c r="H1143" s="233" t="n"/>
      <c r="I1143" s="232" t="n"/>
      <c r="J1143" s="233" t="n"/>
      <c r="K1143" s="232" t="n"/>
      <c r="L1143" s="232" t="n"/>
      <c r="M1143" s="232" t="n"/>
      <c r="N1143" s="233" t="n"/>
      <c r="O1143" s="232" t="n"/>
      <c r="P1143" s="233" t="n"/>
      <c r="Q1143" s="233" t="n"/>
      <c r="R1143" s="233" t="n"/>
      <c r="S1143" s="232" t="n"/>
      <c r="T1143" s="233" t="n"/>
      <c r="U1143" s="233" t="n"/>
      <c r="V1143" s="233" t="n"/>
      <c r="W1143" s="232" t="n"/>
    </row>
    <row r="1144" ht="54.95" customFormat="1" customHeight="1" s="235">
      <c r="A1144" s="232" t="n"/>
      <c r="B1144" s="232" t="n"/>
      <c r="C1144" s="232" t="n"/>
      <c r="D1144" s="233" t="n"/>
      <c r="E1144" s="232" t="n"/>
      <c r="F1144" s="233" t="n"/>
      <c r="G1144" s="233" t="n"/>
      <c r="H1144" s="233" t="n"/>
      <c r="I1144" s="232" t="n"/>
      <c r="J1144" s="233" t="n"/>
      <c r="K1144" s="232" t="n"/>
      <c r="L1144" s="232" t="n"/>
      <c r="M1144" s="232" t="n"/>
      <c r="N1144" s="233" t="n"/>
      <c r="O1144" s="232" t="n"/>
      <c r="P1144" s="233" t="n"/>
      <c r="Q1144" s="233" t="n"/>
      <c r="R1144" s="233" t="n"/>
      <c r="S1144" s="232" t="n"/>
      <c r="T1144" s="233" t="n"/>
      <c r="U1144" s="233" t="n"/>
      <c r="V1144" s="233" t="n"/>
      <c r="W1144" s="232" t="n"/>
    </row>
    <row r="1145" ht="54.95" customFormat="1" customHeight="1" s="235">
      <c r="A1145" s="234" t="n"/>
      <c r="B1145" s="234" t="n"/>
      <c r="C1145" s="234" t="n"/>
      <c r="D1145" s="234" t="n"/>
      <c r="E1145" s="234" t="n"/>
      <c r="F1145" s="234" t="n"/>
      <c r="G1145" s="234" t="n"/>
      <c r="H1145" s="234" t="n"/>
      <c r="I1145" s="234" t="n"/>
      <c r="J1145" s="234" t="n"/>
      <c r="K1145" s="234" t="n"/>
      <c r="L1145" s="234" t="n"/>
      <c r="M1145" s="232" t="n"/>
      <c r="N1145" s="233" t="n"/>
      <c r="O1145" s="232" t="n"/>
      <c r="P1145" s="234" t="n"/>
      <c r="Q1145" s="234" t="n"/>
      <c r="R1145" s="234" t="n"/>
      <c r="S1145" s="234" t="n"/>
      <c r="T1145" s="234" t="n"/>
      <c r="U1145" s="234" t="n"/>
      <c r="V1145" s="234" t="n"/>
      <c r="W1145" s="234" t="n"/>
    </row>
    <row r="1146" ht="54.95" customFormat="1" customHeight="1" s="235">
      <c r="A1146" s="234" t="n"/>
      <c r="B1146" s="234" t="n"/>
      <c r="C1146" s="234" t="n"/>
      <c r="D1146" s="234" t="n"/>
      <c r="E1146" s="234" t="n"/>
      <c r="F1146" s="234" t="n"/>
      <c r="G1146" s="234" t="n"/>
      <c r="H1146" s="234" t="n"/>
      <c r="I1146" s="234" t="n"/>
      <c r="J1146" s="234" t="n"/>
      <c r="K1146" s="234" t="n"/>
      <c r="L1146" s="234" t="n"/>
      <c r="M1146" s="232" t="n"/>
      <c r="N1146" s="233" t="n"/>
      <c r="O1146" s="232" t="n"/>
      <c r="P1146" s="234" t="n"/>
      <c r="Q1146" s="234" t="n"/>
      <c r="R1146" s="234" t="n"/>
      <c r="S1146" s="234" t="n"/>
      <c r="T1146" s="234" t="n"/>
      <c r="U1146" s="234" t="n"/>
      <c r="V1146" s="234" t="n"/>
      <c r="W1146" s="234" t="n"/>
    </row>
    <row r="1147" ht="54.95" customFormat="1" customHeight="1" s="235">
      <c r="A1147" s="232" t="n"/>
      <c r="B1147" s="232" t="n"/>
      <c r="C1147" s="232" t="n"/>
      <c r="D1147" s="233" t="n"/>
      <c r="E1147" s="232" t="n"/>
      <c r="F1147" s="233" t="n"/>
      <c r="G1147" s="233" t="n"/>
      <c r="H1147" s="233" t="n"/>
      <c r="I1147" s="232" t="n"/>
      <c r="J1147" s="233" t="n"/>
      <c r="K1147" s="232" t="n"/>
      <c r="L1147" s="232" t="n"/>
      <c r="M1147" s="232" t="n"/>
      <c r="N1147" s="233" t="n"/>
      <c r="O1147" s="232" t="n"/>
      <c r="P1147" s="233" t="n"/>
      <c r="Q1147" s="233" t="n"/>
      <c r="R1147" s="233" t="n"/>
      <c r="S1147" s="232" t="n"/>
      <c r="T1147" s="233" t="n"/>
      <c r="U1147" s="233" t="n"/>
      <c r="V1147" s="233" t="n"/>
      <c r="W1147" s="232" t="n"/>
    </row>
    <row r="1148" ht="54.95" customFormat="1" customHeight="1" s="235">
      <c r="A1148" s="232" t="n"/>
      <c r="B1148" s="232" t="n"/>
      <c r="C1148" s="232" t="n"/>
      <c r="D1148" s="233" t="n"/>
      <c r="E1148" s="232" t="n"/>
      <c r="F1148" s="233" t="n"/>
      <c r="G1148" s="233" t="n"/>
      <c r="H1148" s="233" t="n"/>
      <c r="I1148" s="232" t="n"/>
      <c r="J1148" s="233" t="n"/>
      <c r="K1148" s="232" t="n"/>
      <c r="L1148" s="232" t="n"/>
      <c r="M1148" s="232" t="n"/>
      <c r="N1148" s="233" t="n"/>
      <c r="O1148" s="232" t="n"/>
      <c r="P1148" s="233" t="n"/>
      <c r="Q1148" s="233" t="n"/>
      <c r="R1148" s="233" t="n"/>
      <c r="S1148" s="232" t="n"/>
      <c r="T1148" s="233" t="n"/>
      <c r="U1148" s="233" t="n"/>
      <c r="V1148" s="233" t="n"/>
      <c r="W1148" s="232" t="n"/>
    </row>
    <row r="1149" ht="54.95" customFormat="1" customHeight="1" s="235">
      <c r="A1149" s="232" t="n"/>
      <c r="B1149" s="232" t="n"/>
      <c r="C1149" s="232" t="n"/>
      <c r="D1149" s="233" t="n"/>
      <c r="E1149" s="232" t="n"/>
      <c r="F1149" s="233" t="n"/>
      <c r="G1149" s="233" t="n"/>
      <c r="H1149" s="233" t="n"/>
      <c r="I1149" s="232" t="n"/>
      <c r="J1149" s="233" t="n"/>
      <c r="K1149" s="232" t="n"/>
      <c r="L1149" s="232" t="n"/>
      <c r="M1149" s="232" t="n"/>
      <c r="N1149" s="233" t="n"/>
      <c r="O1149" s="232" t="n"/>
      <c r="P1149" s="233" t="n"/>
      <c r="Q1149" s="233" t="n"/>
      <c r="R1149" s="233" t="n"/>
      <c r="S1149" s="232" t="n"/>
      <c r="T1149" s="233" t="n"/>
      <c r="U1149" s="233" t="n"/>
      <c r="V1149" s="233" t="n"/>
      <c r="W1149" s="232" t="n"/>
    </row>
    <row r="1150" ht="54.95" customFormat="1" customHeight="1" s="235">
      <c r="A1150" s="232" t="n"/>
      <c r="B1150" s="232" t="n"/>
      <c r="C1150" s="232" t="n"/>
      <c r="D1150" s="233" t="n"/>
      <c r="E1150" s="232" t="n"/>
      <c r="F1150" s="233" t="n"/>
      <c r="G1150" s="233" t="n"/>
      <c r="H1150" s="233" t="n"/>
      <c r="I1150" s="232" t="n"/>
      <c r="J1150" s="233" t="n"/>
      <c r="K1150" s="232" t="n"/>
      <c r="L1150" s="232" t="n"/>
      <c r="M1150" s="232" t="n"/>
      <c r="N1150" s="233" t="n"/>
      <c r="O1150" s="232" t="n"/>
      <c r="P1150" s="233" t="n"/>
      <c r="Q1150" s="233" t="n"/>
      <c r="R1150" s="233" t="n"/>
      <c r="S1150" s="232" t="n"/>
      <c r="T1150" s="233" t="n"/>
      <c r="U1150" s="233" t="n"/>
      <c r="V1150" s="233" t="n"/>
      <c r="W1150" s="232" t="n"/>
    </row>
    <row r="1151" ht="54.95" customFormat="1" customHeight="1" s="235">
      <c r="A1151" s="234" t="n"/>
      <c r="B1151" s="234" t="n"/>
      <c r="C1151" s="234" t="n"/>
      <c r="D1151" s="234" t="n"/>
      <c r="E1151" s="234" t="n"/>
      <c r="F1151" s="234" t="n"/>
      <c r="G1151" s="234" t="n"/>
      <c r="H1151" s="234" t="n"/>
      <c r="I1151" s="234" t="n"/>
      <c r="J1151" s="234" t="n"/>
      <c r="K1151" s="234" t="n"/>
      <c r="L1151" s="234" t="n"/>
      <c r="M1151" s="232" t="n"/>
      <c r="N1151" s="233" t="n"/>
      <c r="O1151" s="232" t="n"/>
      <c r="P1151" s="234" t="n"/>
      <c r="Q1151" s="234" t="n"/>
      <c r="R1151" s="234" t="n"/>
      <c r="S1151" s="234" t="n"/>
      <c r="T1151" s="234" t="n"/>
      <c r="U1151" s="234" t="n"/>
      <c r="V1151" s="234" t="n"/>
      <c r="W1151" s="234" t="n"/>
    </row>
    <row r="1152" ht="54.95" customFormat="1" customHeight="1" s="235">
      <c r="A1152" s="234" t="n"/>
      <c r="B1152" s="234" t="n"/>
      <c r="C1152" s="234" t="n"/>
      <c r="D1152" s="234" t="n"/>
      <c r="E1152" s="234" t="n"/>
      <c r="F1152" s="234" t="n"/>
      <c r="G1152" s="234" t="n"/>
      <c r="H1152" s="234" t="n"/>
      <c r="I1152" s="234" t="n"/>
      <c r="J1152" s="234" t="n"/>
      <c r="K1152" s="234" t="n"/>
      <c r="L1152" s="234" t="n"/>
      <c r="M1152" s="232" t="n"/>
      <c r="N1152" s="233" t="n"/>
      <c r="O1152" s="232" t="n"/>
      <c r="P1152" s="234" t="n"/>
      <c r="Q1152" s="234" t="n"/>
      <c r="R1152" s="234" t="n"/>
      <c r="S1152" s="234" t="n"/>
      <c r="T1152" s="234" t="n"/>
      <c r="U1152" s="234" t="n"/>
      <c r="V1152" s="234" t="n"/>
      <c r="W1152" s="234" t="n"/>
    </row>
    <row r="1153" ht="54.95" customFormat="1" customHeight="1" s="235">
      <c r="A1153" s="234" t="n"/>
      <c r="B1153" s="234" t="n"/>
      <c r="C1153" s="234" t="n"/>
      <c r="D1153" s="234" t="n"/>
      <c r="E1153" s="234" t="n"/>
      <c r="F1153" s="234" t="n"/>
      <c r="G1153" s="234" t="n"/>
      <c r="H1153" s="234" t="n"/>
      <c r="I1153" s="234" t="n"/>
      <c r="J1153" s="234" t="n"/>
      <c r="K1153" s="234" t="n"/>
      <c r="L1153" s="234" t="n"/>
      <c r="M1153" s="232" t="n"/>
      <c r="N1153" s="233" t="n"/>
      <c r="O1153" s="232" t="n"/>
      <c r="P1153" s="234" t="n"/>
      <c r="Q1153" s="234" t="n"/>
      <c r="R1153" s="234" t="n"/>
      <c r="S1153" s="234" t="n"/>
      <c r="T1153" s="234" t="n"/>
      <c r="U1153" s="234" t="n"/>
      <c r="V1153" s="234" t="n"/>
      <c r="W1153" s="234" t="n"/>
    </row>
    <row r="1154" ht="54.95" customFormat="1" customHeight="1" s="235">
      <c r="A1154" s="234" t="n"/>
      <c r="B1154" s="234" t="n"/>
      <c r="C1154" s="234" t="n"/>
      <c r="D1154" s="234" t="n"/>
      <c r="E1154" s="234" t="n"/>
      <c r="F1154" s="234" t="n"/>
      <c r="G1154" s="234" t="n"/>
      <c r="H1154" s="234" t="n"/>
      <c r="I1154" s="234" t="n"/>
      <c r="J1154" s="234" t="n"/>
      <c r="K1154" s="234" t="n"/>
      <c r="L1154" s="234" t="n"/>
      <c r="M1154" s="232" t="n"/>
      <c r="N1154" s="233" t="n"/>
      <c r="O1154" s="232" t="n"/>
      <c r="P1154" s="234" t="n"/>
      <c r="Q1154" s="234" t="n"/>
      <c r="R1154" s="234" t="n"/>
      <c r="S1154" s="234" t="n"/>
      <c r="T1154" s="234" t="n"/>
      <c r="U1154" s="234" t="n"/>
      <c r="V1154" s="234" t="n"/>
      <c r="W1154" s="234" t="n"/>
    </row>
    <row r="1155" ht="54.95" customFormat="1" customHeight="1" s="235">
      <c r="A1155" s="232" t="n"/>
      <c r="B1155" s="232" t="n"/>
      <c r="C1155" s="232" t="n"/>
      <c r="D1155" s="233" t="n"/>
      <c r="E1155" s="232" t="n"/>
      <c r="F1155" s="233" t="n"/>
      <c r="G1155" s="233" t="n"/>
      <c r="H1155" s="233" t="n"/>
      <c r="I1155" s="232" t="n"/>
      <c r="J1155" s="233" t="n"/>
      <c r="K1155" s="232" t="n"/>
      <c r="L1155" s="232" t="n"/>
      <c r="M1155" s="232" t="n"/>
      <c r="N1155" s="233" t="n"/>
      <c r="O1155" s="232" t="n"/>
      <c r="P1155" s="233" t="n"/>
      <c r="Q1155" s="233" t="n"/>
      <c r="R1155" s="233" t="n"/>
      <c r="S1155" s="232" t="n"/>
      <c r="T1155" s="233" t="n"/>
      <c r="U1155" s="233" t="n"/>
      <c r="V1155" s="233" t="n"/>
      <c r="W1155" s="232" t="n"/>
    </row>
    <row r="1156" ht="54.95" customFormat="1" customHeight="1" s="235">
      <c r="A1156" s="232" t="n"/>
      <c r="B1156" s="232" t="n"/>
      <c r="C1156" s="232" t="n"/>
      <c r="D1156" s="233" t="n"/>
      <c r="E1156" s="232" t="n"/>
      <c r="F1156" s="233" t="n"/>
      <c r="G1156" s="233" t="n"/>
      <c r="H1156" s="233" t="n"/>
      <c r="I1156" s="232" t="n"/>
      <c r="J1156" s="233" t="n"/>
      <c r="K1156" s="232" t="n"/>
      <c r="L1156" s="232" t="n"/>
      <c r="M1156" s="232" t="n"/>
      <c r="N1156" s="233" t="n"/>
      <c r="O1156" s="232" t="n"/>
      <c r="P1156" s="233" t="n"/>
      <c r="Q1156" s="233" t="n"/>
      <c r="R1156" s="233" t="n"/>
      <c r="S1156" s="232" t="n"/>
      <c r="T1156" s="233" t="n"/>
      <c r="U1156" s="233" t="n"/>
      <c r="V1156" s="233" t="n"/>
      <c r="W1156" s="232" t="n"/>
    </row>
    <row r="1157" ht="54.95" customFormat="1" customHeight="1" s="235">
      <c r="A1157" s="232" t="n"/>
      <c r="B1157" s="232" t="n"/>
      <c r="C1157" s="232" t="n"/>
      <c r="D1157" s="233" t="n"/>
      <c r="E1157" s="232" t="n"/>
      <c r="F1157" s="233" t="n"/>
      <c r="G1157" s="233" t="n"/>
      <c r="H1157" s="233" t="n"/>
      <c r="I1157" s="232" t="n"/>
      <c r="J1157" s="233" t="n"/>
      <c r="K1157" s="232" t="n"/>
      <c r="L1157" s="232" t="n"/>
      <c r="M1157" s="232" t="n"/>
      <c r="N1157" s="233" t="n"/>
      <c r="O1157" s="232" t="n"/>
      <c r="P1157" s="233" t="n"/>
      <c r="Q1157" s="233" t="n"/>
      <c r="R1157" s="233" t="n"/>
      <c r="S1157" s="232" t="n"/>
      <c r="T1157" s="233" t="n"/>
      <c r="U1157" s="233" t="n"/>
      <c r="V1157" s="233" t="n"/>
      <c r="W1157" s="232" t="n"/>
    </row>
    <row r="1158" ht="54.95" customFormat="1" customHeight="1" s="235">
      <c r="A1158" s="232" t="n"/>
      <c r="B1158" s="232" t="n"/>
      <c r="C1158" s="232" t="n"/>
      <c r="D1158" s="233" t="n"/>
      <c r="E1158" s="232" t="n"/>
      <c r="F1158" s="233" t="n"/>
      <c r="G1158" s="233" t="n"/>
      <c r="H1158" s="233" t="n"/>
      <c r="I1158" s="232" t="n"/>
      <c r="J1158" s="233" t="n"/>
      <c r="K1158" s="232" t="n"/>
      <c r="L1158" s="232" t="n"/>
      <c r="M1158" s="232" t="n"/>
      <c r="N1158" s="233" t="n"/>
      <c r="O1158" s="232" t="n"/>
      <c r="P1158" s="233" t="n"/>
      <c r="Q1158" s="233" t="n"/>
      <c r="R1158" s="233" t="n"/>
      <c r="S1158" s="232" t="n"/>
      <c r="T1158" s="233" t="n"/>
      <c r="U1158" s="233" t="n"/>
      <c r="V1158" s="233" t="n"/>
      <c r="W1158" s="232" t="n"/>
    </row>
    <row r="1159" ht="54.95" customFormat="1" customHeight="1" s="235">
      <c r="A1159" s="232" t="n"/>
      <c r="B1159" s="232" t="n"/>
      <c r="C1159" s="232" t="n"/>
      <c r="D1159" s="233" t="n"/>
      <c r="E1159" s="232" t="n"/>
      <c r="F1159" s="233" t="n"/>
      <c r="G1159" s="233" t="n"/>
      <c r="H1159" s="233" t="n"/>
      <c r="I1159" s="232" t="n"/>
      <c r="J1159" s="233" t="n"/>
      <c r="K1159" s="232" t="n"/>
      <c r="L1159" s="232" t="n"/>
      <c r="M1159" s="232" t="n"/>
      <c r="N1159" s="233" t="n"/>
      <c r="O1159" s="232" t="n"/>
      <c r="P1159" s="233" t="n"/>
      <c r="Q1159" s="233" t="n"/>
      <c r="R1159" s="233" t="n"/>
      <c r="S1159" s="232" t="n"/>
      <c r="T1159" s="233" t="n"/>
      <c r="U1159" s="233" t="n"/>
      <c r="V1159" s="233" t="n"/>
      <c r="W1159" s="232" t="n"/>
    </row>
    <row r="1160" ht="54.95" customFormat="1" customHeight="1" s="235">
      <c r="A1160" s="232" t="n"/>
      <c r="B1160" s="232" t="n"/>
      <c r="C1160" s="232" t="n"/>
      <c r="D1160" s="233" t="n"/>
      <c r="E1160" s="232" t="n"/>
      <c r="F1160" s="233" t="n"/>
      <c r="G1160" s="233" t="n"/>
      <c r="H1160" s="233" t="n"/>
      <c r="I1160" s="232" t="n"/>
      <c r="J1160" s="233" t="n"/>
      <c r="K1160" s="232" t="n"/>
      <c r="L1160" s="232" t="n"/>
      <c r="M1160" s="232" t="n"/>
      <c r="N1160" s="233" t="n"/>
      <c r="O1160" s="232" t="n"/>
      <c r="P1160" s="233" t="n"/>
      <c r="Q1160" s="233" t="n"/>
      <c r="R1160" s="233" t="n"/>
      <c r="S1160" s="232" t="n"/>
      <c r="T1160" s="233" t="n"/>
      <c r="U1160" s="233" t="n"/>
      <c r="V1160" s="233" t="n"/>
      <c r="W1160" s="232" t="n"/>
    </row>
    <row r="1161" ht="54.95" customFormat="1" customHeight="1" s="235">
      <c r="A1161" s="232" t="n"/>
      <c r="B1161" s="232" t="n"/>
      <c r="C1161" s="232" t="n"/>
      <c r="D1161" s="233" t="n"/>
      <c r="E1161" s="232" t="n"/>
      <c r="F1161" s="233" t="n"/>
      <c r="G1161" s="233" t="n"/>
      <c r="H1161" s="233" t="n"/>
      <c r="I1161" s="232" t="n"/>
      <c r="J1161" s="233" t="n"/>
      <c r="K1161" s="232" t="n"/>
      <c r="L1161" s="232" t="n"/>
      <c r="M1161" s="232" t="n"/>
      <c r="N1161" s="233" t="n"/>
      <c r="O1161" s="232" t="n"/>
      <c r="P1161" s="233" t="n"/>
      <c r="Q1161" s="233" t="n"/>
      <c r="R1161" s="233" t="n"/>
      <c r="S1161" s="232" t="n"/>
      <c r="T1161" s="233" t="n"/>
      <c r="U1161" s="233" t="n"/>
      <c r="V1161" s="233" t="n"/>
      <c r="W1161" s="232" t="n"/>
    </row>
    <row r="1162" ht="54.95" customFormat="1" customHeight="1" s="235">
      <c r="A1162" s="232" t="n"/>
      <c r="B1162" s="232" t="n"/>
      <c r="C1162" s="232" t="n"/>
      <c r="D1162" s="233" t="n"/>
      <c r="E1162" s="232" t="n"/>
      <c r="F1162" s="233" t="n"/>
      <c r="G1162" s="233" t="n"/>
      <c r="H1162" s="233" t="n"/>
      <c r="I1162" s="232" t="n"/>
      <c r="J1162" s="233" t="n"/>
      <c r="K1162" s="232" t="n"/>
      <c r="L1162" s="232" t="n"/>
      <c r="M1162" s="232" t="n"/>
      <c r="N1162" s="233" t="n"/>
      <c r="O1162" s="232" t="n"/>
      <c r="P1162" s="233" t="n"/>
      <c r="Q1162" s="233" t="n"/>
      <c r="R1162" s="233" t="n"/>
      <c r="S1162" s="232" t="n"/>
      <c r="T1162" s="233" t="n"/>
      <c r="U1162" s="233" t="n"/>
      <c r="V1162" s="233" t="n"/>
      <c r="W1162" s="232" t="n"/>
    </row>
    <row r="1163" ht="54.95" customFormat="1" customHeight="1" s="235">
      <c r="A1163" s="232" t="n"/>
      <c r="B1163" s="232" t="n"/>
      <c r="C1163" s="232" t="n"/>
      <c r="D1163" s="233" t="n"/>
      <c r="E1163" s="232" t="n"/>
      <c r="F1163" s="233" t="n"/>
      <c r="G1163" s="233" t="n"/>
      <c r="H1163" s="233" t="n"/>
      <c r="I1163" s="232" t="n"/>
      <c r="J1163" s="233" t="n"/>
      <c r="K1163" s="232" t="n"/>
      <c r="L1163" s="232" t="n"/>
      <c r="M1163" s="232" t="n"/>
      <c r="N1163" s="233" t="n"/>
      <c r="O1163" s="232" t="n"/>
      <c r="P1163" s="233" t="n"/>
      <c r="Q1163" s="233" t="n"/>
      <c r="R1163" s="233" t="n"/>
      <c r="S1163" s="232" t="n"/>
      <c r="T1163" s="233" t="n"/>
      <c r="U1163" s="233" t="n"/>
      <c r="V1163" s="233" t="n"/>
      <c r="W1163" s="232" t="n"/>
    </row>
    <row r="1164" ht="54.95" customFormat="1" customHeight="1" s="235">
      <c r="A1164" s="232" t="n"/>
      <c r="B1164" s="232" t="n"/>
      <c r="C1164" s="232" t="n"/>
      <c r="D1164" s="233" t="n"/>
      <c r="E1164" s="232" t="n"/>
      <c r="F1164" s="233" t="n"/>
      <c r="G1164" s="233" t="n"/>
      <c r="H1164" s="233" t="n"/>
      <c r="I1164" s="232" t="n"/>
      <c r="J1164" s="233" t="n"/>
      <c r="K1164" s="232" t="n"/>
      <c r="L1164" s="232" t="n"/>
      <c r="M1164" s="232" t="n"/>
      <c r="N1164" s="233" t="n"/>
      <c r="O1164" s="232" t="n"/>
      <c r="P1164" s="233" t="n"/>
      <c r="Q1164" s="233" t="n"/>
      <c r="R1164" s="233" t="n"/>
      <c r="S1164" s="232" t="n"/>
      <c r="T1164" s="233" t="n"/>
      <c r="U1164" s="233" t="n"/>
      <c r="V1164" s="233" t="n"/>
      <c r="W1164" s="232" t="n"/>
    </row>
    <row r="1165" ht="54.95" customFormat="1" customHeight="1" s="235">
      <c r="A1165" s="232" t="n"/>
      <c r="B1165" s="232" t="n"/>
      <c r="C1165" s="232" t="n"/>
      <c r="D1165" s="233" t="n"/>
      <c r="E1165" s="232" t="n"/>
      <c r="F1165" s="233" t="n"/>
      <c r="G1165" s="233" t="n"/>
      <c r="H1165" s="233" t="n"/>
      <c r="I1165" s="232" t="n"/>
      <c r="J1165" s="233" t="n"/>
      <c r="K1165" s="232" t="n"/>
      <c r="L1165" s="232" t="n"/>
      <c r="M1165" s="232" t="n"/>
      <c r="N1165" s="233" t="n"/>
      <c r="O1165" s="232" t="n"/>
      <c r="P1165" s="233" t="n"/>
      <c r="Q1165" s="233" t="n"/>
      <c r="R1165" s="233" t="n"/>
      <c r="S1165" s="232" t="n"/>
      <c r="T1165" s="233" t="n"/>
      <c r="U1165" s="233" t="n"/>
      <c r="V1165" s="233" t="n"/>
      <c r="W1165" s="232" t="n"/>
    </row>
    <row r="1166" ht="54.95" customFormat="1" customHeight="1" s="235">
      <c r="A1166" s="232" t="n"/>
      <c r="B1166" s="232" t="n"/>
      <c r="C1166" s="232" t="n"/>
      <c r="D1166" s="233" t="n"/>
      <c r="E1166" s="232" t="n"/>
      <c r="F1166" s="233" t="n"/>
      <c r="G1166" s="233" t="n"/>
      <c r="H1166" s="233" t="n"/>
      <c r="I1166" s="232" t="n"/>
      <c r="J1166" s="233" t="n"/>
      <c r="K1166" s="232" t="n"/>
      <c r="L1166" s="232" t="n"/>
      <c r="M1166" s="232" t="n"/>
      <c r="N1166" s="233" t="n"/>
      <c r="O1166" s="232" t="n"/>
      <c r="P1166" s="233" t="n"/>
      <c r="Q1166" s="233" t="n"/>
      <c r="R1166" s="233" t="n"/>
      <c r="S1166" s="232" t="n"/>
      <c r="T1166" s="233" t="n"/>
      <c r="U1166" s="233" t="n"/>
      <c r="V1166" s="233" t="n"/>
      <c r="W1166" s="232" t="n"/>
    </row>
    <row r="1167" ht="54.95" customFormat="1" customHeight="1" s="235">
      <c r="A1167" s="232" t="n"/>
      <c r="B1167" s="232" t="n"/>
      <c r="C1167" s="232" t="n"/>
      <c r="D1167" s="233" t="n"/>
      <c r="E1167" s="232" t="n"/>
      <c r="F1167" s="233" t="n"/>
      <c r="G1167" s="233" t="n"/>
      <c r="H1167" s="233" t="n"/>
      <c r="I1167" s="232" t="n"/>
      <c r="J1167" s="233" t="n"/>
      <c r="K1167" s="232" t="n"/>
      <c r="L1167" s="232" t="n"/>
      <c r="M1167" s="232" t="n"/>
      <c r="N1167" s="233" t="n"/>
      <c r="O1167" s="232" t="n"/>
      <c r="P1167" s="233" t="n"/>
      <c r="Q1167" s="233" t="n"/>
      <c r="R1167" s="233" t="n"/>
      <c r="S1167" s="232" t="n"/>
      <c r="T1167" s="233" t="n"/>
      <c r="U1167" s="233" t="n"/>
      <c r="V1167" s="233" t="n"/>
      <c r="W1167" s="232" t="n"/>
    </row>
    <row r="1168" ht="54.95" customFormat="1" customHeight="1" s="235">
      <c r="A1168" s="234" t="n"/>
      <c r="B1168" s="234" t="n"/>
      <c r="C1168" s="234" t="n"/>
      <c r="D1168" s="234" t="n"/>
      <c r="E1168" s="234" t="n"/>
      <c r="F1168" s="234" t="n"/>
      <c r="G1168" s="234" t="n"/>
      <c r="H1168" s="234" t="n"/>
      <c r="I1168" s="234" t="n"/>
      <c r="J1168" s="234" t="n"/>
      <c r="K1168" s="234" t="n"/>
      <c r="L1168" s="234" t="n"/>
      <c r="M1168" s="232" t="n"/>
      <c r="N1168" s="233" t="n"/>
      <c r="O1168" s="232" t="n"/>
      <c r="P1168" s="234" t="n"/>
      <c r="Q1168" s="234" t="n"/>
      <c r="R1168" s="234" t="n"/>
      <c r="S1168" s="234" t="n"/>
      <c r="T1168" s="234" t="n"/>
      <c r="U1168" s="234" t="n"/>
      <c r="V1168" s="234" t="n"/>
      <c r="W1168" s="234" t="n"/>
    </row>
    <row r="1169" ht="54.95" customFormat="1" customHeight="1" s="235">
      <c r="A1169" s="234" t="n"/>
      <c r="B1169" s="234" t="n"/>
      <c r="C1169" s="234" t="n"/>
      <c r="D1169" s="234" t="n"/>
      <c r="E1169" s="234" t="n"/>
      <c r="F1169" s="234" t="n"/>
      <c r="G1169" s="234" t="n"/>
      <c r="H1169" s="234" t="n"/>
      <c r="I1169" s="234" t="n"/>
      <c r="J1169" s="234" t="n"/>
      <c r="K1169" s="234" t="n"/>
      <c r="L1169" s="234" t="n"/>
      <c r="M1169" s="232" t="n"/>
      <c r="N1169" s="233" t="n"/>
      <c r="O1169" s="232" t="n"/>
      <c r="P1169" s="234" t="n"/>
      <c r="Q1169" s="234" t="n"/>
      <c r="R1169" s="234" t="n"/>
      <c r="S1169" s="234" t="n"/>
      <c r="T1169" s="234" t="n"/>
      <c r="U1169" s="234" t="n"/>
      <c r="V1169" s="234" t="n"/>
      <c r="W1169" s="234" t="n"/>
    </row>
    <row r="1170" ht="54.95" customFormat="1" customHeight="1" s="235">
      <c r="A1170" s="234" t="n"/>
      <c r="B1170" s="234" t="n"/>
      <c r="C1170" s="234" t="n"/>
      <c r="D1170" s="234" t="n"/>
      <c r="E1170" s="234" t="n"/>
      <c r="F1170" s="234" t="n"/>
      <c r="G1170" s="234" t="n"/>
      <c r="H1170" s="234" t="n"/>
      <c r="I1170" s="234" t="n"/>
      <c r="J1170" s="234" t="n"/>
      <c r="K1170" s="234" t="n"/>
      <c r="L1170" s="234" t="n"/>
      <c r="M1170" s="232" t="n"/>
      <c r="N1170" s="233" t="n"/>
      <c r="O1170" s="232" t="n"/>
      <c r="P1170" s="234" t="n"/>
      <c r="Q1170" s="234" t="n"/>
      <c r="R1170" s="234" t="n"/>
      <c r="S1170" s="234" t="n"/>
      <c r="T1170" s="234" t="n"/>
      <c r="U1170" s="234" t="n"/>
      <c r="V1170" s="234" t="n"/>
      <c r="W1170" s="234" t="n"/>
    </row>
    <row r="1171" ht="54.95" customFormat="1" customHeight="1" s="235">
      <c r="A1171" s="232" t="n"/>
      <c r="B1171" s="232" t="n"/>
      <c r="C1171" s="232" t="n"/>
      <c r="D1171" s="233" t="n"/>
      <c r="E1171" s="232" t="n"/>
      <c r="F1171" s="233" t="n"/>
      <c r="G1171" s="233" t="n"/>
      <c r="H1171" s="233" t="n"/>
      <c r="I1171" s="232" t="n"/>
      <c r="J1171" s="233" t="n"/>
      <c r="K1171" s="232" t="n"/>
      <c r="L1171" s="232" t="n"/>
      <c r="M1171" s="232" t="n"/>
      <c r="N1171" s="233" t="n"/>
      <c r="O1171" s="232" t="n"/>
      <c r="P1171" s="233" t="n"/>
      <c r="Q1171" s="233" t="n"/>
      <c r="R1171" s="233" t="n"/>
      <c r="S1171" s="232" t="n"/>
      <c r="T1171" s="233" t="n"/>
      <c r="U1171" s="233" t="n"/>
      <c r="V1171" s="233" t="n"/>
      <c r="W1171" s="232" t="n"/>
    </row>
    <row r="1172" ht="54.95" customFormat="1" customHeight="1" s="235">
      <c r="A1172" s="232" t="n"/>
      <c r="B1172" s="232" t="n"/>
      <c r="C1172" s="232" t="n"/>
      <c r="D1172" s="233" t="n"/>
      <c r="E1172" s="232" t="n"/>
      <c r="F1172" s="233" t="n"/>
      <c r="G1172" s="233" t="n"/>
      <c r="H1172" s="233" t="n"/>
      <c r="I1172" s="232" t="n"/>
      <c r="J1172" s="233" t="n"/>
      <c r="K1172" s="232" t="n"/>
      <c r="L1172" s="232" t="n"/>
      <c r="M1172" s="232" t="n"/>
      <c r="N1172" s="233" t="n"/>
      <c r="O1172" s="232" t="n"/>
      <c r="P1172" s="233" t="n"/>
      <c r="Q1172" s="233" t="n"/>
      <c r="R1172" s="233" t="n"/>
      <c r="S1172" s="232" t="n"/>
      <c r="T1172" s="233" t="n"/>
      <c r="U1172" s="233" t="n"/>
      <c r="V1172" s="233" t="n"/>
      <c r="W1172" s="232" t="n"/>
    </row>
    <row r="1173" ht="54.95" customFormat="1" customHeight="1" s="235">
      <c r="A1173" s="232" t="n"/>
      <c r="B1173" s="232" t="n"/>
      <c r="C1173" s="232" t="n"/>
      <c r="D1173" s="233" t="n"/>
      <c r="E1173" s="232" t="n"/>
      <c r="F1173" s="233" t="n"/>
      <c r="G1173" s="233" t="n"/>
      <c r="H1173" s="233" t="n"/>
      <c r="I1173" s="232" t="n"/>
      <c r="J1173" s="233" t="n"/>
      <c r="K1173" s="232" t="n"/>
      <c r="L1173" s="232" t="n"/>
      <c r="M1173" s="232" t="n"/>
      <c r="N1173" s="233" t="n"/>
      <c r="O1173" s="232" t="n"/>
      <c r="P1173" s="233" t="n"/>
      <c r="Q1173" s="233" t="n"/>
      <c r="R1173" s="233" t="n"/>
      <c r="S1173" s="232" t="n"/>
      <c r="T1173" s="233" t="n"/>
      <c r="U1173" s="233" t="n"/>
      <c r="V1173" s="233" t="n"/>
      <c r="W1173" s="232" t="n"/>
    </row>
    <row r="1174" ht="54.95" customFormat="1" customHeight="1" s="235">
      <c r="A1174" s="232" t="n"/>
      <c r="B1174" s="232" t="n"/>
      <c r="C1174" s="232" t="n"/>
      <c r="D1174" s="233" t="n"/>
      <c r="E1174" s="232" t="n"/>
      <c r="F1174" s="233" t="n"/>
      <c r="G1174" s="233" t="n"/>
      <c r="H1174" s="233" t="n"/>
      <c r="I1174" s="232" t="n"/>
      <c r="J1174" s="233" t="n"/>
      <c r="K1174" s="232" t="n"/>
      <c r="L1174" s="232" t="n"/>
      <c r="M1174" s="232" t="n"/>
      <c r="N1174" s="233" t="n"/>
      <c r="O1174" s="232" t="n"/>
      <c r="P1174" s="233" t="n"/>
      <c r="Q1174" s="233" t="n"/>
      <c r="R1174" s="233" t="n"/>
      <c r="S1174" s="232" t="n"/>
      <c r="T1174" s="233" t="n"/>
      <c r="U1174" s="233" t="n"/>
      <c r="V1174" s="233" t="n"/>
      <c r="W1174" s="232" t="n"/>
    </row>
    <row r="1175" ht="54.95" customFormat="1" customHeight="1" s="235">
      <c r="A1175" s="232" t="n"/>
      <c r="B1175" s="232" t="n"/>
      <c r="C1175" s="232" t="n"/>
      <c r="D1175" s="233" t="n"/>
      <c r="E1175" s="232" t="n"/>
      <c r="F1175" s="233" t="n"/>
      <c r="G1175" s="233" t="n"/>
      <c r="H1175" s="233" t="n"/>
      <c r="I1175" s="232" t="n"/>
      <c r="J1175" s="233" t="n"/>
      <c r="K1175" s="232" t="n"/>
      <c r="L1175" s="232" t="n"/>
      <c r="M1175" s="232" t="n"/>
      <c r="N1175" s="233" t="n"/>
      <c r="O1175" s="232" t="n"/>
      <c r="P1175" s="233" t="n"/>
      <c r="Q1175" s="233" t="n"/>
      <c r="R1175" s="233" t="n"/>
      <c r="S1175" s="232" t="n"/>
      <c r="T1175" s="233" t="n"/>
      <c r="U1175" s="233" t="n"/>
      <c r="V1175" s="233" t="n"/>
      <c r="W1175" s="232" t="n"/>
    </row>
    <row r="1176" ht="54.95" customFormat="1" customHeight="1" s="235">
      <c r="A1176" s="232" t="n"/>
      <c r="B1176" s="232" t="n"/>
      <c r="C1176" s="232" t="n"/>
      <c r="D1176" s="233" t="n"/>
      <c r="E1176" s="232" t="n"/>
      <c r="F1176" s="233" t="n"/>
      <c r="G1176" s="233" t="n"/>
      <c r="H1176" s="233" t="n"/>
      <c r="I1176" s="232" t="n"/>
      <c r="J1176" s="233" t="n"/>
      <c r="K1176" s="232" t="n"/>
      <c r="L1176" s="232" t="n"/>
      <c r="M1176" s="232" t="n"/>
      <c r="N1176" s="233" t="n"/>
      <c r="O1176" s="232" t="n"/>
      <c r="P1176" s="233" t="n"/>
      <c r="Q1176" s="233" t="n"/>
      <c r="R1176" s="233" t="n"/>
      <c r="S1176" s="232" t="n"/>
      <c r="T1176" s="233" t="n"/>
      <c r="U1176" s="233" t="n"/>
      <c r="V1176" s="233" t="n"/>
      <c r="W1176" s="232" t="n"/>
    </row>
    <row r="1177" ht="54.95" customFormat="1" customHeight="1" s="235">
      <c r="A1177" s="232" t="n"/>
      <c r="B1177" s="232" t="n"/>
      <c r="C1177" s="232" t="n"/>
      <c r="D1177" s="233" t="n"/>
      <c r="E1177" s="232" t="n"/>
      <c r="F1177" s="233" t="n"/>
      <c r="G1177" s="233" t="n"/>
      <c r="H1177" s="233" t="n"/>
      <c r="I1177" s="232" t="n"/>
      <c r="J1177" s="233" t="n"/>
      <c r="K1177" s="232" t="n"/>
      <c r="L1177" s="232" t="n"/>
      <c r="M1177" s="232" t="n"/>
      <c r="N1177" s="233" t="n"/>
      <c r="O1177" s="232" t="n"/>
      <c r="P1177" s="233" t="n"/>
      <c r="Q1177" s="233" t="n"/>
      <c r="R1177" s="233" t="n"/>
      <c r="S1177" s="232" t="n"/>
      <c r="T1177" s="233" t="n"/>
      <c r="U1177" s="233" t="n"/>
      <c r="V1177" s="233" t="n"/>
      <c r="W1177" s="232" t="n"/>
    </row>
    <row r="1178" ht="54.95" customFormat="1" customHeight="1" s="235">
      <c r="A1178" s="232" t="n"/>
      <c r="B1178" s="232" t="n"/>
      <c r="C1178" s="232" t="n"/>
      <c r="D1178" s="233" t="n"/>
      <c r="E1178" s="232" t="n"/>
      <c r="F1178" s="233" t="n"/>
      <c r="G1178" s="233" t="n"/>
      <c r="H1178" s="233" t="n"/>
      <c r="I1178" s="232" t="n"/>
      <c r="J1178" s="233" t="n"/>
      <c r="K1178" s="232" t="n"/>
      <c r="L1178" s="232" t="n"/>
      <c r="M1178" s="232" t="n"/>
      <c r="N1178" s="233" t="n"/>
      <c r="O1178" s="232" t="n"/>
      <c r="P1178" s="233" t="n"/>
      <c r="Q1178" s="233" t="n"/>
      <c r="R1178" s="233" t="n"/>
      <c r="S1178" s="232" t="n"/>
      <c r="T1178" s="233" t="n"/>
      <c r="U1178" s="233" t="n"/>
      <c r="V1178" s="233" t="n"/>
      <c r="W1178" s="232" t="n"/>
    </row>
    <row r="1179" ht="54.95" customFormat="1" customHeight="1" s="235">
      <c r="A1179" s="232" t="n"/>
      <c r="B1179" s="232" t="n"/>
      <c r="C1179" s="232" t="n"/>
      <c r="D1179" s="233" t="n"/>
      <c r="E1179" s="232" t="n"/>
      <c r="F1179" s="233" t="n"/>
      <c r="G1179" s="233" t="n"/>
      <c r="H1179" s="233" t="n"/>
      <c r="I1179" s="232" t="n"/>
      <c r="J1179" s="233" t="n"/>
      <c r="K1179" s="232" t="n"/>
      <c r="L1179" s="232" t="n"/>
      <c r="M1179" s="232" t="n"/>
      <c r="N1179" s="233" t="n"/>
      <c r="O1179" s="232" t="n"/>
      <c r="P1179" s="233" t="n"/>
      <c r="Q1179" s="233" t="n"/>
      <c r="R1179" s="233" t="n"/>
      <c r="S1179" s="232" t="n"/>
      <c r="T1179" s="233" t="n"/>
      <c r="U1179" s="233" t="n"/>
      <c r="V1179" s="233" t="n"/>
      <c r="W1179" s="232" t="n"/>
    </row>
    <row r="1180" ht="54.95" customFormat="1" customHeight="1" s="235">
      <c r="A1180" s="232" t="n"/>
      <c r="B1180" s="232" t="n"/>
      <c r="C1180" s="232" t="n"/>
      <c r="D1180" s="233" t="n"/>
      <c r="E1180" s="232" t="n"/>
      <c r="F1180" s="233" t="n"/>
      <c r="G1180" s="233" t="n"/>
      <c r="H1180" s="233" t="n"/>
      <c r="I1180" s="232" t="n"/>
      <c r="J1180" s="233" t="n"/>
      <c r="K1180" s="232" t="n"/>
      <c r="L1180" s="232" t="n"/>
      <c r="M1180" s="232" t="n"/>
      <c r="N1180" s="233" t="n"/>
      <c r="O1180" s="232" t="n"/>
      <c r="P1180" s="233" t="n"/>
      <c r="Q1180" s="233" t="n"/>
      <c r="R1180" s="233" t="n"/>
      <c r="S1180" s="232" t="n"/>
      <c r="T1180" s="233" t="n"/>
      <c r="U1180" s="233" t="n"/>
      <c r="V1180" s="233" t="n"/>
      <c r="W1180" s="232" t="n"/>
    </row>
    <row r="1181" ht="54.95" customFormat="1" customHeight="1" s="235">
      <c r="A1181" s="234" t="n"/>
      <c r="B1181" s="234" t="n"/>
      <c r="C1181" s="234" t="n"/>
      <c r="D1181" s="234" t="n"/>
      <c r="E1181" s="234" t="n"/>
      <c r="F1181" s="234" t="n"/>
      <c r="G1181" s="234" t="n"/>
      <c r="H1181" s="234" t="n"/>
      <c r="I1181" s="234" t="n"/>
      <c r="J1181" s="234" t="n"/>
      <c r="K1181" s="234" t="n"/>
      <c r="L1181" s="234" t="n"/>
      <c r="M1181" s="232" t="n"/>
      <c r="N1181" s="233" t="n"/>
      <c r="O1181" s="232" t="n"/>
      <c r="P1181" s="234" t="n"/>
      <c r="Q1181" s="234" t="n"/>
      <c r="R1181" s="234" t="n"/>
      <c r="S1181" s="234" t="n"/>
      <c r="T1181" s="234" t="n"/>
      <c r="U1181" s="234" t="n"/>
      <c r="V1181" s="234" t="n"/>
      <c r="W1181" s="234" t="n"/>
    </row>
    <row r="1182" ht="54.95" customFormat="1" customHeight="1" s="235">
      <c r="A1182" s="234" t="n"/>
      <c r="B1182" s="234" t="n"/>
      <c r="C1182" s="234" t="n"/>
      <c r="D1182" s="234" t="n"/>
      <c r="E1182" s="234" t="n"/>
      <c r="F1182" s="234" t="n"/>
      <c r="G1182" s="234" t="n"/>
      <c r="H1182" s="234" t="n"/>
      <c r="I1182" s="234" t="n"/>
      <c r="J1182" s="234" t="n"/>
      <c r="K1182" s="234" t="n"/>
      <c r="L1182" s="234" t="n"/>
      <c r="M1182" s="232" t="n"/>
      <c r="N1182" s="233" t="n"/>
      <c r="O1182" s="232" t="n"/>
      <c r="P1182" s="234" t="n"/>
      <c r="Q1182" s="234" t="n"/>
      <c r="R1182" s="234" t="n"/>
      <c r="S1182" s="234" t="n"/>
      <c r="T1182" s="234" t="n"/>
      <c r="U1182" s="234" t="n"/>
      <c r="V1182" s="234" t="n"/>
      <c r="W1182" s="234" t="n"/>
    </row>
    <row r="1183" ht="54.95" customFormat="1" customHeight="1" s="235">
      <c r="A1183" s="234" t="n"/>
      <c r="B1183" s="234" t="n"/>
      <c r="C1183" s="234" t="n"/>
      <c r="D1183" s="234" t="n"/>
      <c r="E1183" s="234" t="n"/>
      <c r="F1183" s="234" t="n"/>
      <c r="G1183" s="234" t="n"/>
      <c r="H1183" s="234" t="n"/>
      <c r="I1183" s="234" t="n"/>
      <c r="J1183" s="234" t="n"/>
      <c r="K1183" s="234" t="n"/>
      <c r="L1183" s="234" t="n"/>
      <c r="M1183" s="232" t="n"/>
      <c r="N1183" s="233" t="n"/>
      <c r="O1183" s="232" t="n"/>
      <c r="P1183" s="234" t="n"/>
      <c r="Q1183" s="234" t="n"/>
      <c r="R1183" s="234" t="n"/>
      <c r="S1183" s="234" t="n"/>
      <c r="T1183" s="234" t="n"/>
      <c r="U1183" s="234" t="n"/>
      <c r="V1183" s="234" t="n"/>
      <c r="W1183" s="234" t="n"/>
    </row>
    <row r="1184" ht="54.95" customFormat="1" customHeight="1" s="235">
      <c r="A1184" s="234" t="n"/>
      <c r="B1184" s="234" t="n"/>
      <c r="C1184" s="234" t="n"/>
      <c r="D1184" s="234" t="n"/>
      <c r="E1184" s="234" t="n"/>
      <c r="F1184" s="234" t="n"/>
      <c r="G1184" s="234" t="n"/>
      <c r="H1184" s="234" t="n"/>
      <c r="I1184" s="234" t="n"/>
      <c r="J1184" s="234" t="n"/>
      <c r="K1184" s="234" t="n"/>
      <c r="L1184" s="234" t="n"/>
      <c r="M1184" s="232" t="n"/>
      <c r="N1184" s="233" t="n"/>
      <c r="O1184" s="232" t="n"/>
      <c r="P1184" s="234" t="n"/>
      <c r="Q1184" s="234" t="n"/>
      <c r="R1184" s="234" t="n"/>
      <c r="S1184" s="234" t="n"/>
      <c r="T1184" s="234" t="n"/>
      <c r="U1184" s="234" t="n"/>
      <c r="V1184" s="234" t="n"/>
      <c r="W1184" s="234" t="n"/>
    </row>
    <row r="1185" ht="54.95" customFormat="1" customHeight="1" s="235">
      <c r="A1185" s="232" t="n"/>
      <c r="B1185" s="232" t="n"/>
      <c r="C1185" s="232" t="n"/>
      <c r="D1185" s="233" t="n"/>
      <c r="E1185" s="232" t="n"/>
      <c r="F1185" s="233" t="n"/>
      <c r="G1185" s="233" t="n"/>
      <c r="H1185" s="233" t="n"/>
      <c r="I1185" s="232" t="n"/>
      <c r="J1185" s="233" t="n"/>
      <c r="K1185" s="232" t="n"/>
      <c r="L1185" s="232" t="n"/>
      <c r="M1185" s="232" t="n"/>
      <c r="N1185" s="233" t="n"/>
      <c r="O1185" s="232" t="n"/>
      <c r="P1185" s="233" t="n"/>
      <c r="Q1185" s="233" t="n"/>
      <c r="R1185" s="233" t="n"/>
      <c r="S1185" s="232" t="n"/>
      <c r="T1185" s="233" t="n"/>
      <c r="U1185" s="233" t="n"/>
      <c r="V1185" s="233" t="n"/>
      <c r="W1185" s="232" t="n"/>
    </row>
    <row r="1186" ht="54.95" customFormat="1" customHeight="1" s="235">
      <c r="A1186" s="234" t="n"/>
      <c r="B1186" s="234" t="n"/>
      <c r="C1186" s="234" t="n"/>
      <c r="D1186" s="234" t="n"/>
      <c r="E1186" s="234" t="n"/>
      <c r="F1186" s="234" t="n"/>
      <c r="G1186" s="234" t="n"/>
      <c r="H1186" s="234" t="n"/>
      <c r="I1186" s="234" t="n"/>
      <c r="J1186" s="234" t="n"/>
      <c r="K1186" s="234" t="n"/>
      <c r="L1186" s="234" t="n"/>
      <c r="M1186" s="232" t="n"/>
      <c r="N1186" s="233" t="n"/>
      <c r="O1186" s="232" t="n"/>
      <c r="P1186" s="234" t="n"/>
      <c r="Q1186" s="234" t="n"/>
      <c r="R1186" s="234" t="n"/>
      <c r="S1186" s="234" t="n"/>
      <c r="T1186" s="234" t="n"/>
      <c r="U1186" s="234" t="n"/>
      <c r="V1186" s="234" t="n"/>
      <c r="W1186" s="234" t="n"/>
    </row>
    <row r="1187" ht="54.95" customFormat="1" customHeight="1" s="235">
      <c r="A1187" s="234" t="n"/>
      <c r="B1187" s="234" t="n"/>
      <c r="C1187" s="234" t="n"/>
      <c r="D1187" s="234" t="n"/>
      <c r="E1187" s="234" t="n"/>
      <c r="F1187" s="234" t="n"/>
      <c r="G1187" s="234" t="n"/>
      <c r="H1187" s="234" t="n"/>
      <c r="I1187" s="234" t="n"/>
      <c r="J1187" s="234" t="n"/>
      <c r="K1187" s="234" t="n"/>
      <c r="L1187" s="234" t="n"/>
      <c r="M1187" s="232" t="n"/>
      <c r="N1187" s="233" t="n"/>
      <c r="O1187" s="232" t="n"/>
      <c r="P1187" s="234" t="n"/>
      <c r="Q1187" s="234" t="n"/>
      <c r="R1187" s="234" t="n"/>
      <c r="S1187" s="234" t="n"/>
      <c r="T1187" s="234" t="n"/>
      <c r="U1187" s="234" t="n"/>
      <c r="V1187" s="234" t="n"/>
      <c r="W1187" s="234" t="n"/>
    </row>
    <row r="1188" ht="54.95" customFormat="1" customHeight="1" s="235">
      <c r="A1188" s="232" t="n"/>
      <c r="B1188" s="232" t="n"/>
      <c r="C1188" s="232" t="n"/>
      <c r="D1188" s="233" t="n"/>
      <c r="E1188" s="232" t="n"/>
      <c r="F1188" s="233" t="n"/>
      <c r="G1188" s="233" t="n"/>
      <c r="H1188" s="233" t="n"/>
      <c r="I1188" s="232" t="n"/>
      <c r="J1188" s="233" t="n"/>
      <c r="K1188" s="232" t="n"/>
      <c r="L1188" s="232" t="n"/>
      <c r="M1188" s="232" t="n"/>
      <c r="N1188" s="233" t="n"/>
      <c r="O1188" s="232" t="n"/>
      <c r="P1188" s="233" t="n"/>
      <c r="Q1188" s="233" t="n"/>
      <c r="R1188" s="233" t="n"/>
      <c r="S1188" s="232" t="n"/>
      <c r="T1188" s="233" t="n"/>
      <c r="U1188" s="233" t="n"/>
      <c r="V1188" s="233" t="n"/>
      <c r="W1188" s="232" t="n"/>
    </row>
    <row r="1189" ht="54.95" customFormat="1" customHeight="1" s="235">
      <c r="A1189" s="234" t="n"/>
      <c r="B1189" s="234" t="n"/>
      <c r="C1189" s="234" t="n"/>
      <c r="D1189" s="234" t="n"/>
      <c r="E1189" s="234" t="n"/>
      <c r="F1189" s="234" t="n"/>
      <c r="G1189" s="234" t="n"/>
      <c r="H1189" s="234" t="n"/>
      <c r="I1189" s="234" t="n"/>
      <c r="J1189" s="234" t="n"/>
      <c r="K1189" s="234" t="n"/>
      <c r="L1189" s="234" t="n"/>
      <c r="M1189" s="232" t="n"/>
      <c r="N1189" s="233" t="n"/>
      <c r="O1189" s="232" t="n"/>
      <c r="P1189" s="234" t="n"/>
      <c r="Q1189" s="234" t="n"/>
      <c r="R1189" s="234" t="n"/>
      <c r="S1189" s="234" t="n"/>
      <c r="T1189" s="234" t="n"/>
      <c r="U1189" s="234" t="n"/>
      <c r="V1189" s="234" t="n"/>
      <c r="W1189" s="234" t="n"/>
    </row>
    <row r="1190" ht="54.95" customFormat="1" customHeight="1" s="235">
      <c r="A1190" s="234" t="n"/>
      <c r="B1190" s="234" t="n"/>
      <c r="C1190" s="234" t="n"/>
      <c r="D1190" s="234" t="n"/>
      <c r="E1190" s="234" t="n"/>
      <c r="F1190" s="234" t="n"/>
      <c r="G1190" s="234" t="n"/>
      <c r="H1190" s="234" t="n"/>
      <c r="I1190" s="234" t="n"/>
      <c r="J1190" s="234" t="n"/>
      <c r="K1190" s="234" t="n"/>
      <c r="L1190" s="234" t="n"/>
      <c r="M1190" s="232" t="n"/>
      <c r="N1190" s="233" t="n"/>
      <c r="O1190" s="232" t="n"/>
      <c r="P1190" s="234" t="n"/>
      <c r="Q1190" s="234" t="n"/>
      <c r="R1190" s="234" t="n"/>
      <c r="S1190" s="234" t="n"/>
      <c r="T1190" s="234" t="n"/>
      <c r="U1190" s="234" t="n"/>
      <c r="V1190" s="234" t="n"/>
      <c r="W1190" s="234" t="n"/>
    </row>
    <row r="1191" ht="54.95" customFormat="1" customHeight="1" s="235">
      <c r="A1191" s="232" t="n"/>
      <c r="B1191" s="232" t="n"/>
      <c r="C1191" s="232" t="n"/>
      <c r="D1191" s="233" t="n"/>
      <c r="E1191" s="232" t="n"/>
      <c r="F1191" s="233" t="n"/>
      <c r="G1191" s="233" t="n"/>
      <c r="H1191" s="233" t="n"/>
      <c r="I1191" s="232" t="n"/>
      <c r="J1191" s="233" t="n"/>
      <c r="K1191" s="232" t="n"/>
      <c r="L1191" s="232" t="n"/>
      <c r="M1191" s="232" t="n"/>
      <c r="N1191" s="233" t="n"/>
      <c r="O1191" s="232" t="n"/>
      <c r="P1191" s="233" t="n"/>
      <c r="Q1191" s="233" t="n"/>
      <c r="R1191" s="233" t="n"/>
      <c r="S1191" s="232" t="n"/>
      <c r="T1191" s="233" t="n"/>
      <c r="U1191" s="233" t="n"/>
      <c r="V1191" s="233" t="n"/>
      <c r="W1191" s="232" t="n"/>
    </row>
    <row r="1192" ht="54.95" customFormat="1" customHeight="1" s="235">
      <c r="A1192" s="232" t="n"/>
      <c r="B1192" s="232" t="n"/>
      <c r="C1192" s="232" t="n"/>
      <c r="D1192" s="233" t="n"/>
      <c r="E1192" s="232" t="n"/>
      <c r="F1192" s="233" t="n"/>
      <c r="G1192" s="233" t="n"/>
      <c r="H1192" s="233" t="n"/>
      <c r="I1192" s="232" t="n"/>
      <c r="J1192" s="233" t="n"/>
      <c r="K1192" s="232" t="n"/>
      <c r="L1192" s="232" t="n"/>
      <c r="M1192" s="232" t="n"/>
      <c r="N1192" s="233" t="n"/>
      <c r="O1192" s="232" t="n"/>
      <c r="P1192" s="233" t="n"/>
      <c r="Q1192" s="233" t="n"/>
      <c r="R1192" s="233" t="n"/>
      <c r="S1192" s="232" t="n"/>
      <c r="T1192" s="233" t="n"/>
      <c r="U1192" s="233" t="n"/>
      <c r="V1192" s="233" t="n"/>
      <c r="W1192" s="232" t="n"/>
    </row>
    <row r="1193" ht="54.95" customFormat="1" customHeight="1" s="235">
      <c r="A1193" s="232" t="n"/>
      <c r="B1193" s="232" t="n"/>
      <c r="C1193" s="232" t="n"/>
      <c r="D1193" s="233" t="n"/>
      <c r="E1193" s="232" t="n"/>
      <c r="F1193" s="233" t="n"/>
      <c r="G1193" s="233" t="n"/>
      <c r="H1193" s="233" t="n"/>
      <c r="I1193" s="232" t="n"/>
      <c r="J1193" s="233" t="n"/>
      <c r="K1193" s="232" t="n"/>
      <c r="L1193" s="232" t="n"/>
      <c r="M1193" s="232" t="n"/>
      <c r="N1193" s="233" t="n"/>
      <c r="O1193" s="232" t="n"/>
      <c r="P1193" s="233" t="n"/>
      <c r="Q1193" s="233" t="n"/>
      <c r="R1193" s="233" t="n"/>
      <c r="S1193" s="232" t="n"/>
      <c r="T1193" s="233" t="n"/>
      <c r="U1193" s="233" t="n"/>
      <c r="V1193" s="233" t="n"/>
      <c r="W1193" s="232" t="n"/>
    </row>
    <row r="1194" ht="54.95" customFormat="1" customHeight="1" s="235">
      <c r="A1194" s="232" t="n"/>
      <c r="B1194" s="232" t="n"/>
      <c r="C1194" s="232" t="n"/>
      <c r="D1194" s="233" t="n"/>
      <c r="E1194" s="232" t="n"/>
      <c r="F1194" s="233" t="n"/>
      <c r="G1194" s="233" t="n"/>
      <c r="H1194" s="233" t="n"/>
      <c r="I1194" s="232" t="n"/>
      <c r="J1194" s="233" t="n"/>
      <c r="K1194" s="232" t="n"/>
      <c r="L1194" s="232" t="n"/>
      <c r="M1194" s="232" t="n"/>
      <c r="N1194" s="233" t="n"/>
      <c r="O1194" s="232" t="n"/>
      <c r="P1194" s="233" t="n"/>
      <c r="Q1194" s="233" t="n"/>
      <c r="R1194" s="233" t="n"/>
      <c r="S1194" s="232" t="n"/>
      <c r="T1194" s="233" t="n"/>
      <c r="U1194" s="233" t="n"/>
      <c r="V1194" s="233" t="n"/>
      <c r="W1194" s="232" t="n"/>
    </row>
    <row r="1195" ht="54.95" customFormat="1" customHeight="1" s="235">
      <c r="A1195" s="232" t="n"/>
      <c r="B1195" s="232" t="n"/>
      <c r="C1195" s="232" t="n"/>
      <c r="D1195" s="233" t="n"/>
      <c r="E1195" s="232" t="n"/>
      <c r="F1195" s="233" t="n"/>
      <c r="G1195" s="233" t="n"/>
      <c r="H1195" s="233" t="n"/>
      <c r="I1195" s="232" t="n"/>
      <c r="J1195" s="233" t="n"/>
      <c r="K1195" s="232" t="n"/>
      <c r="L1195" s="232" t="n"/>
      <c r="M1195" s="232" t="n"/>
      <c r="N1195" s="233" t="n"/>
      <c r="O1195" s="232" t="n"/>
      <c r="P1195" s="233" t="n"/>
      <c r="Q1195" s="233" t="n"/>
      <c r="R1195" s="233" t="n"/>
      <c r="S1195" s="232" t="n"/>
      <c r="T1195" s="233" t="n"/>
      <c r="U1195" s="233" t="n"/>
      <c r="V1195" s="233" t="n"/>
      <c r="W1195" s="232" t="n"/>
    </row>
    <row r="1196" ht="54.95" customFormat="1" customHeight="1" s="235">
      <c r="A1196" s="232" t="n"/>
      <c r="B1196" s="232" t="n"/>
      <c r="C1196" s="232" t="n"/>
      <c r="D1196" s="233" t="n"/>
      <c r="E1196" s="232" t="n"/>
      <c r="F1196" s="233" t="n"/>
      <c r="G1196" s="233" t="n"/>
      <c r="H1196" s="233" t="n"/>
      <c r="I1196" s="232" t="n"/>
      <c r="J1196" s="233" t="n"/>
      <c r="K1196" s="232" t="n"/>
      <c r="L1196" s="232" t="n"/>
      <c r="M1196" s="232" t="n"/>
      <c r="N1196" s="233" t="n"/>
      <c r="O1196" s="232" t="n"/>
      <c r="P1196" s="233" t="n"/>
      <c r="Q1196" s="233" t="n"/>
      <c r="R1196" s="233" t="n"/>
      <c r="S1196" s="232" t="n"/>
      <c r="T1196" s="233" t="n"/>
      <c r="U1196" s="233" t="n"/>
      <c r="V1196" s="233" t="n"/>
      <c r="W1196" s="232" t="n"/>
    </row>
    <row r="1197" ht="54.95" customFormat="1" customHeight="1" s="235">
      <c r="A1197" s="232" t="n"/>
      <c r="B1197" s="232" t="n"/>
      <c r="C1197" s="232" t="n"/>
      <c r="D1197" s="233" t="n"/>
      <c r="E1197" s="232" t="n"/>
      <c r="F1197" s="233" t="n"/>
      <c r="G1197" s="233" t="n"/>
      <c r="H1197" s="233" t="n"/>
      <c r="I1197" s="232" t="n"/>
      <c r="J1197" s="233" t="n"/>
      <c r="K1197" s="232" t="n"/>
      <c r="L1197" s="232" t="n"/>
      <c r="M1197" s="232" t="n"/>
      <c r="N1197" s="233" t="n"/>
      <c r="O1197" s="232" t="n"/>
      <c r="P1197" s="233" t="n"/>
      <c r="Q1197" s="233" t="n"/>
      <c r="R1197" s="233" t="n"/>
      <c r="S1197" s="232" t="n"/>
      <c r="T1197" s="233" t="n"/>
      <c r="U1197" s="233" t="n"/>
      <c r="V1197" s="233" t="n"/>
      <c r="W1197" s="232" t="n"/>
    </row>
    <row r="1198" ht="54.95" customFormat="1" customHeight="1" s="235">
      <c r="A1198" s="232" t="n"/>
      <c r="B1198" s="232" t="n"/>
      <c r="C1198" s="232" t="n"/>
      <c r="D1198" s="233" t="n"/>
      <c r="E1198" s="232" t="n"/>
      <c r="F1198" s="233" t="n"/>
      <c r="G1198" s="233" t="n"/>
      <c r="H1198" s="233" t="n"/>
      <c r="I1198" s="232" t="n"/>
      <c r="J1198" s="233" t="n"/>
      <c r="K1198" s="232" t="n"/>
      <c r="L1198" s="232" t="n"/>
      <c r="M1198" s="232" t="n"/>
      <c r="N1198" s="233" t="n"/>
      <c r="O1198" s="232" t="n"/>
      <c r="P1198" s="233" t="n"/>
      <c r="Q1198" s="233" t="n"/>
      <c r="R1198" s="233" t="n"/>
      <c r="S1198" s="232" t="n"/>
      <c r="T1198" s="233" t="n"/>
      <c r="U1198" s="233" t="n"/>
      <c r="V1198" s="233" t="n"/>
      <c r="W1198" s="232" t="n"/>
    </row>
    <row r="1199" ht="54.95" customFormat="1" customHeight="1" s="235">
      <c r="A1199" s="232" t="n"/>
      <c r="B1199" s="232" t="n"/>
      <c r="C1199" s="232" t="n"/>
      <c r="D1199" s="233" t="n"/>
      <c r="E1199" s="232" t="n"/>
      <c r="F1199" s="233" t="n"/>
      <c r="G1199" s="233" t="n"/>
      <c r="H1199" s="233" t="n"/>
      <c r="I1199" s="232" t="n"/>
      <c r="J1199" s="233" t="n"/>
      <c r="K1199" s="232" t="n"/>
      <c r="L1199" s="232" t="n"/>
      <c r="M1199" s="232" t="n"/>
      <c r="N1199" s="233" t="n"/>
      <c r="O1199" s="232" t="n"/>
      <c r="P1199" s="233" t="n"/>
      <c r="Q1199" s="233" t="n"/>
      <c r="R1199" s="233" t="n"/>
      <c r="S1199" s="232" t="n"/>
      <c r="T1199" s="233" t="n"/>
      <c r="U1199" s="233" t="n"/>
      <c r="V1199" s="233" t="n"/>
      <c r="W1199" s="232" t="n"/>
    </row>
    <row r="1200" ht="54.95" customFormat="1" customHeight="1" s="235">
      <c r="A1200" s="232" t="n"/>
      <c r="B1200" s="232" t="n"/>
      <c r="C1200" s="232" t="n"/>
      <c r="D1200" s="233" t="n"/>
      <c r="E1200" s="232" t="n"/>
      <c r="F1200" s="233" t="n"/>
      <c r="G1200" s="233" t="n"/>
      <c r="H1200" s="233" t="n"/>
      <c r="I1200" s="232" t="n"/>
      <c r="J1200" s="233" t="n"/>
      <c r="K1200" s="232" t="n"/>
      <c r="L1200" s="232" t="n"/>
      <c r="M1200" s="232" t="n"/>
      <c r="N1200" s="233" t="n"/>
      <c r="O1200" s="232" t="n"/>
      <c r="P1200" s="233" t="n"/>
      <c r="Q1200" s="233" t="n"/>
      <c r="R1200" s="233" t="n"/>
      <c r="S1200" s="232" t="n"/>
      <c r="T1200" s="233" t="n"/>
      <c r="U1200" s="233" t="n"/>
      <c r="V1200" s="233" t="n"/>
      <c r="W1200" s="232" t="n"/>
    </row>
    <row r="1201" ht="54.95" customFormat="1" customHeight="1" s="235">
      <c r="A1201" s="232" t="n"/>
      <c r="B1201" s="232" t="n"/>
      <c r="C1201" s="232" t="n"/>
      <c r="D1201" s="233" t="n"/>
      <c r="E1201" s="232" t="n"/>
      <c r="F1201" s="233" t="n"/>
      <c r="G1201" s="233" t="n"/>
      <c r="H1201" s="233" t="n"/>
      <c r="I1201" s="232" t="n"/>
      <c r="J1201" s="233" t="n"/>
      <c r="K1201" s="232" t="n"/>
      <c r="L1201" s="232" t="n"/>
      <c r="M1201" s="232" t="n"/>
      <c r="N1201" s="233" t="n"/>
      <c r="O1201" s="232" t="n"/>
      <c r="P1201" s="233" t="n"/>
      <c r="Q1201" s="233" t="n"/>
      <c r="R1201" s="233" t="n"/>
      <c r="S1201" s="232" t="n"/>
      <c r="T1201" s="233" t="n"/>
      <c r="U1201" s="233" t="n"/>
      <c r="V1201" s="233" t="n"/>
      <c r="W1201" s="232" t="n"/>
    </row>
    <row r="1202" ht="54.95" customFormat="1" customHeight="1" s="235">
      <c r="A1202" s="234" t="n"/>
      <c r="B1202" s="234" t="n"/>
      <c r="C1202" s="234" t="n"/>
      <c r="D1202" s="234" t="n"/>
      <c r="E1202" s="234" t="n"/>
      <c r="F1202" s="234" t="n"/>
      <c r="G1202" s="234" t="n"/>
      <c r="H1202" s="234" t="n"/>
      <c r="I1202" s="234" t="n"/>
      <c r="J1202" s="234" t="n"/>
      <c r="K1202" s="234" t="n"/>
      <c r="L1202" s="234" t="n"/>
      <c r="M1202" s="232" t="n"/>
      <c r="N1202" s="233" t="n"/>
      <c r="O1202" s="232" t="n"/>
      <c r="P1202" s="234" t="n"/>
      <c r="Q1202" s="234" t="n"/>
      <c r="R1202" s="234" t="n"/>
      <c r="S1202" s="234" t="n"/>
      <c r="T1202" s="234" t="n"/>
      <c r="U1202" s="234" t="n"/>
      <c r="V1202" s="234" t="n"/>
      <c r="W1202" s="234" t="n"/>
    </row>
    <row r="1203" ht="54.95" customFormat="1" customHeight="1" s="235">
      <c r="A1203" s="234" t="n"/>
      <c r="B1203" s="234" t="n"/>
      <c r="C1203" s="234" t="n"/>
      <c r="D1203" s="234" t="n"/>
      <c r="E1203" s="234" t="n"/>
      <c r="F1203" s="234" t="n"/>
      <c r="G1203" s="234" t="n"/>
      <c r="H1203" s="234" t="n"/>
      <c r="I1203" s="234" t="n"/>
      <c r="J1203" s="234" t="n"/>
      <c r="K1203" s="234" t="n"/>
      <c r="L1203" s="234" t="n"/>
      <c r="M1203" s="232" t="n"/>
      <c r="N1203" s="233" t="n"/>
      <c r="O1203" s="232" t="n"/>
      <c r="P1203" s="234" t="n"/>
      <c r="Q1203" s="234" t="n"/>
      <c r="R1203" s="234" t="n"/>
      <c r="S1203" s="234" t="n"/>
      <c r="T1203" s="234" t="n"/>
      <c r="U1203" s="234" t="n"/>
      <c r="V1203" s="234" t="n"/>
      <c r="W1203" s="234" t="n"/>
    </row>
    <row r="1204" ht="54.95" customFormat="1" customHeight="1" s="235">
      <c r="A1204" s="232" t="n"/>
      <c r="B1204" s="232" t="n"/>
      <c r="C1204" s="232" t="n"/>
      <c r="D1204" s="233" t="n"/>
      <c r="E1204" s="232" t="n"/>
      <c r="F1204" s="233" t="n"/>
      <c r="G1204" s="233" t="n"/>
      <c r="H1204" s="233" t="n"/>
      <c r="I1204" s="232" t="n"/>
      <c r="J1204" s="233" t="n"/>
      <c r="K1204" s="232" t="n"/>
      <c r="L1204" s="232" t="n"/>
      <c r="M1204" s="232" t="n"/>
      <c r="N1204" s="233" t="n"/>
      <c r="O1204" s="232" t="n"/>
      <c r="P1204" s="233" t="n"/>
      <c r="Q1204" s="233" t="n"/>
      <c r="R1204" s="233" t="n"/>
      <c r="S1204" s="232" t="n"/>
      <c r="T1204" s="233" t="n"/>
      <c r="U1204" s="233" t="n"/>
      <c r="V1204" s="233" t="n"/>
      <c r="W1204" s="232" t="n"/>
    </row>
    <row r="1205" ht="54.95" customFormat="1" customHeight="1" s="235">
      <c r="A1205" s="232" t="n"/>
      <c r="B1205" s="232" t="n"/>
      <c r="C1205" s="232" t="n"/>
      <c r="D1205" s="233" t="n"/>
      <c r="E1205" s="232" t="n"/>
      <c r="F1205" s="233" t="n"/>
      <c r="G1205" s="233" t="n"/>
      <c r="H1205" s="233" t="n"/>
      <c r="I1205" s="232" t="n"/>
      <c r="J1205" s="233" t="n"/>
      <c r="K1205" s="232" t="n"/>
      <c r="L1205" s="232" t="n"/>
      <c r="M1205" s="232" t="n"/>
      <c r="N1205" s="233" t="n"/>
      <c r="O1205" s="232" t="n"/>
      <c r="P1205" s="233" t="n"/>
      <c r="Q1205" s="233" t="n"/>
      <c r="R1205" s="233" t="n"/>
      <c r="S1205" s="232" t="n"/>
      <c r="T1205" s="233" t="n"/>
      <c r="U1205" s="233" t="n"/>
      <c r="V1205" s="233" t="n"/>
      <c r="W1205" s="232" t="n"/>
    </row>
    <row r="1206" ht="54.95" customFormat="1" customHeight="1" s="235">
      <c r="A1206" s="232" t="n"/>
      <c r="B1206" s="232" t="n"/>
      <c r="C1206" s="232" t="n"/>
      <c r="D1206" s="233" t="n"/>
      <c r="E1206" s="232" t="n"/>
      <c r="F1206" s="233" t="n"/>
      <c r="G1206" s="233" t="n"/>
      <c r="H1206" s="233" t="n"/>
      <c r="I1206" s="232" t="n"/>
      <c r="J1206" s="233" t="n"/>
      <c r="K1206" s="232" t="n"/>
      <c r="L1206" s="232" t="n"/>
      <c r="M1206" s="232" t="n"/>
      <c r="N1206" s="233" t="n"/>
      <c r="O1206" s="232" t="n"/>
      <c r="P1206" s="233" t="n"/>
      <c r="Q1206" s="233" t="n"/>
      <c r="R1206" s="233" t="n"/>
      <c r="S1206" s="232" t="n"/>
      <c r="T1206" s="233" t="n"/>
      <c r="U1206" s="233" t="n"/>
      <c r="V1206" s="233" t="n"/>
      <c r="W1206" s="232" t="n"/>
    </row>
    <row r="1207" ht="54.95" customFormat="1" customHeight="1" s="235">
      <c r="A1207" s="232" t="n"/>
      <c r="B1207" s="232" t="n"/>
      <c r="C1207" s="232" t="n"/>
      <c r="D1207" s="233" t="n"/>
      <c r="E1207" s="232" t="n"/>
      <c r="F1207" s="233" t="n"/>
      <c r="G1207" s="233" t="n"/>
      <c r="H1207" s="233" t="n"/>
      <c r="I1207" s="232" t="n"/>
      <c r="J1207" s="233" t="n"/>
      <c r="K1207" s="232" t="n"/>
      <c r="L1207" s="232" t="n"/>
      <c r="M1207" s="232" t="n"/>
      <c r="N1207" s="233" t="n"/>
      <c r="O1207" s="232" t="n"/>
      <c r="P1207" s="233" t="n"/>
      <c r="Q1207" s="233" t="n"/>
      <c r="R1207" s="233" t="n"/>
      <c r="S1207" s="232" t="n"/>
      <c r="T1207" s="233" t="n"/>
      <c r="U1207" s="233" t="n"/>
      <c r="V1207" s="233" t="n"/>
      <c r="W1207" s="232" t="n"/>
    </row>
    <row r="1208" ht="54.95" customFormat="1" customHeight="1" s="235">
      <c r="A1208" s="232" t="n"/>
      <c r="B1208" s="232" t="n"/>
      <c r="C1208" s="232" t="n"/>
      <c r="D1208" s="233" t="n"/>
      <c r="E1208" s="232" t="n"/>
      <c r="F1208" s="233" t="n"/>
      <c r="G1208" s="233" t="n"/>
      <c r="H1208" s="233" t="n"/>
      <c r="I1208" s="232" t="n"/>
      <c r="J1208" s="233" t="n"/>
      <c r="K1208" s="232" t="n"/>
      <c r="L1208" s="232" t="n"/>
      <c r="M1208" s="232" t="n"/>
      <c r="N1208" s="233" t="n"/>
      <c r="O1208" s="232" t="n"/>
      <c r="P1208" s="233" t="n"/>
      <c r="Q1208" s="233" t="n"/>
      <c r="R1208" s="233" t="n"/>
      <c r="S1208" s="232" t="n"/>
      <c r="T1208" s="233" t="n"/>
      <c r="U1208" s="233" t="n"/>
      <c r="V1208" s="233" t="n"/>
      <c r="W1208" s="232" t="n"/>
    </row>
    <row r="1209" ht="54.95" customFormat="1" customHeight="1" s="235">
      <c r="A1209" s="232" t="n"/>
      <c r="B1209" s="232" t="n"/>
      <c r="C1209" s="232" t="n"/>
      <c r="D1209" s="233" t="n"/>
      <c r="E1209" s="232" t="n"/>
      <c r="F1209" s="233" t="n"/>
      <c r="G1209" s="233" t="n"/>
      <c r="H1209" s="233" t="n"/>
      <c r="I1209" s="232" t="n"/>
      <c r="J1209" s="233" t="n"/>
      <c r="K1209" s="232" t="n"/>
      <c r="L1209" s="232" t="n"/>
      <c r="M1209" s="232" t="n"/>
      <c r="N1209" s="233" t="n"/>
      <c r="O1209" s="232" t="n"/>
      <c r="P1209" s="233" t="n"/>
      <c r="Q1209" s="233" t="n"/>
      <c r="R1209" s="233" t="n"/>
      <c r="S1209" s="232" t="n"/>
      <c r="T1209" s="233" t="n"/>
      <c r="U1209" s="233" t="n"/>
      <c r="V1209" s="233" t="n"/>
      <c r="W1209" s="232" t="n"/>
    </row>
    <row r="1210" ht="54.95" customFormat="1" customHeight="1" s="235">
      <c r="A1210" s="232" t="n"/>
      <c r="B1210" s="232" t="n"/>
      <c r="C1210" s="232" t="n"/>
      <c r="D1210" s="233" t="n"/>
      <c r="E1210" s="232" t="n"/>
      <c r="F1210" s="233" t="n"/>
      <c r="G1210" s="233" t="n"/>
      <c r="H1210" s="233" t="n"/>
      <c r="I1210" s="232" t="n"/>
      <c r="J1210" s="233" t="n"/>
      <c r="K1210" s="232" t="n"/>
      <c r="L1210" s="232" t="n"/>
      <c r="M1210" s="232" t="n"/>
      <c r="N1210" s="233" t="n"/>
      <c r="O1210" s="232" t="n"/>
      <c r="P1210" s="233" t="n"/>
      <c r="Q1210" s="233" t="n"/>
      <c r="R1210" s="233" t="n"/>
      <c r="S1210" s="232" t="n"/>
      <c r="T1210" s="233" t="n"/>
      <c r="U1210" s="233" t="n"/>
      <c r="V1210" s="233" t="n"/>
      <c r="W1210" s="232" t="n"/>
    </row>
    <row r="1211" ht="54.95" customFormat="1" customHeight="1" s="235">
      <c r="A1211" s="232" t="n"/>
      <c r="B1211" s="232" t="n"/>
      <c r="C1211" s="232" t="n"/>
      <c r="D1211" s="233" t="n"/>
      <c r="E1211" s="232" t="n"/>
      <c r="F1211" s="233" t="n"/>
      <c r="G1211" s="233" t="n"/>
      <c r="H1211" s="233" t="n"/>
      <c r="I1211" s="232" t="n"/>
      <c r="J1211" s="233" t="n"/>
      <c r="K1211" s="232" t="n"/>
      <c r="L1211" s="232" t="n"/>
      <c r="M1211" s="232" t="n"/>
      <c r="N1211" s="233" t="n"/>
      <c r="O1211" s="232" t="n"/>
      <c r="P1211" s="233" t="n"/>
      <c r="Q1211" s="233" t="n"/>
      <c r="R1211" s="233" t="n"/>
      <c r="S1211" s="232" t="n"/>
      <c r="T1211" s="233" t="n"/>
      <c r="U1211" s="233" t="n"/>
      <c r="V1211" s="233" t="n"/>
      <c r="W1211" s="232" t="n"/>
    </row>
    <row r="1212" ht="54.95" customFormat="1" customHeight="1" s="235">
      <c r="A1212" s="232" t="n"/>
      <c r="B1212" s="232" t="n"/>
      <c r="C1212" s="232" t="n"/>
      <c r="D1212" s="233" t="n"/>
      <c r="E1212" s="232" t="n"/>
      <c r="F1212" s="233" t="n"/>
      <c r="G1212" s="233" t="n"/>
      <c r="H1212" s="233" t="n"/>
      <c r="I1212" s="232" t="n"/>
      <c r="J1212" s="233" t="n"/>
      <c r="K1212" s="232" t="n"/>
      <c r="L1212" s="232" t="n"/>
      <c r="M1212" s="232" t="n"/>
      <c r="N1212" s="233" t="n"/>
      <c r="O1212" s="232" t="n"/>
      <c r="P1212" s="233" t="n"/>
      <c r="Q1212" s="233" t="n"/>
      <c r="R1212" s="233" t="n"/>
      <c r="S1212" s="232" t="n"/>
      <c r="T1212" s="233" t="n"/>
      <c r="U1212" s="233" t="n"/>
      <c r="V1212" s="233" t="n"/>
      <c r="W1212" s="232" t="n"/>
    </row>
    <row r="1213" ht="54.95" customFormat="1" customHeight="1" s="235">
      <c r="A1213" s="234" t="n"/>
      <c r="B1213" s="234" t="n"/>
      <c r="C1213" s="234" t="n"/>
      <c r="D1213" s="234" t="n"/>
      <c r="E1213" s="234" t="n"/>
      <c r="F1213" s="234" t="n"/>
      <c r="G1213" s="234" t="n"/>
      <c r="H1213" s="234" t="n"/>
      <c r="I1213" s="234" t="n"/>
      <c r="J1213" s="234" t="n"/>
      <c r="K1213" s="234" t="n"/>
      <c r="L1213" s="234" t="n"/>
      <c r="M1213" s="232" t="n"/>
      <c r="N1213" s="233" t="n"/>
      <c r="O1213" s="232" t="n"/>
      <c r="P1213" s="234" t="n"/>
      <c r="Q1213" s="234" t="n"/>
      <c r="R1213" s="234" t="n"/>
      <c r="S1213" s="234" t="n"/>
      <c r="T1213" s="234" t="n"/>
      <c r="U1213" s="234" t="n"/>
      <c r="V1213" s="234" t="n"/>
      <c r="W1213" s="234" t="n"/>
    </row>
    <row r="1214" ht="54.95" customFormat="1" customHeight="1" s="235">
      <c r="A1214" s="234" t="n"/>
      <c r="B1214" s="234" t="n"/>
      <c r="C1214" s="234" t="n"/>
      <c r="D1214" s="234" t="n"/>
      <c r="E1214" s="234" t="n"/>
      <c r="F1214" s="234" t="n"/>
      <c r="G1214" s="234" t="n"/>
      <c r="H1214" s="234" t="n"/>
      <c r="I1214" s="234" t="n"/>
      <c r="J1214" s="234" t="n"/>
      <c r="K1214" s="234" t="n"/>
      <c r="L1214" s="234" t="n"/>
      <c r="M1214" s="232" t="n"/>
      <c r="N1214" s="233" t="n"/>
      <c r="O1214" s="232" t="n"/>
      <c r="P1214" s="234" t="n"/>
      <c r="Q1214" s="234" t="n"/>
      <c r="R1214" s="234" t="n"/>
      <c r="S1214" s="234" t="n"/>
      <c r="T1214" s="234" t="n"/>
      <c r="U1214" s="234" t="n"/>
      <c r="V1214" s="234" t="n"/>
      <c r="W1214" s="234" t="n"/>
    </row>
    <row r="1215" ht="54.95" customFormat="1" customHeight="1" s="235">
      <c r="A1215" s="232" t="n"/>
      <c r="B1215" s="232" t="n"/>
      <c r="C1215" s="232" t="n"/>
      <c r="D1215" s="233" t="n"/>
      <c r="E1215" s="232" t="n"/>
      <c r="F1215" s="233" t="n"/>
      <c r="G1215" s="233" t="n"/>
      <c r="H1215" s="233" t="n"/>
      <c r="I1215" s="232" t="n"/>
      <c r="J1215" s="233" t="n"/>
      <c r="K1215" s="232" t="n"/>
      <c r="L1215" s="232" t="n"/>
      <c r="M1215" s="232" t="n"/>
      <c r="N1215" s="233" t="n"/>
      <c r="O1215" s="232" t="n"/>
      <c r="P1215" s="233" t="n"/>
      <c r="Q1215" s="233" t="n"/>
      <c r="R1215" s="233" t="n"/>
      <c r="S1215" s="232" t="n"/>
      <c r="T1215" s="233" t="n"/>
      <c r="U1215" s="233" t="n"/>
      <c r="V1215" s="233" t="n"/>
      <c r="W1215" s="232" t="n"/>
    </row>
    <row r="1216" ht="54.95" customFormat="1" customHeight="1" s="235">
      <c r="A1216" s="232" t="n"/>
      <c r="B1216" s="232" t="n"/>
      <c r="C1216" s="232" t="n"/>
      <c r="D1216" s="233" t="n"/>
      <c r="E1216" s="232" t="n"/>
      <c r="F1216" s="233" t="n"/>
      <c r="G1216" s="233" t="n"/>
      <c r="H1216" s="233" t="n"/>
      <c r="I1216" s="232" t="n"/>
      <c r="J1216" s="233" t="n"/>
      <c r="K1216" s="232" t="n"/>
      <c r="L1216" s="232" t="n"/>
      <c r="M1216" s="232" t="n"/>
      <c r="N1216" s="233" t="n"/>
      <c r="O1216" s="232" t="n"/>
      <c r="P1216" s="233" t="n"/>
      <c r="Q1216" s="233" t="n"/>
      <c r="R1216" s="233" t="n"/>
      <c r="S1216" s="232" t="n"/>
      <c r="T1216" s="233" t="n"/>
      <c r="U1216" s="233" t="n"/>
      <c r="V1216" s="233" t="n"/>
      <c r="W1216" s="232" t="n"/>
    </row>
    <row r="1217" ht="54.95" customFormat="1" customHeight="1" s="235">
      <c r="A1217" s="234" t="n"/>
      <c r="B1217" s="234" t="n"/>
      <c r="C1217" s="234" t="n"/>
      <c r="D1217" s="234" t="n"/>
      <c r="E1217" s="234" t="n"/>
      <c r="F1217" s="234" t="n"/>
      <c r="G1217" s="234" t="n"/>
      <c r="H1217" s="234" t="n"/>
      <c r="I1217" s="234" t="n"/>
      <c r="J1217" s="234" t="n"/>
      <c r="K1217" s="234" t="n"/>
      <c r="L1217" s="234" t="n"/>
      <c r="M1217" s="232" t="n"/>
      <c r="N1217" s="233" t="n"/>
      <c r="O1217" s="232" t="n"/>
      <c r="P1217" s="234" t="n"/>
      <c r="Q1217" s="234" t="n"/>
      <c r="R1217" s="234" t="n"/>
      <c r="S1217" s="234" t="n"/>
      <c r="T1217" s="234" t="n"/>
      <c r="U1217" s="234" t="n"/>
      <c r="V1217" s="234" t="n"/>
      <c r="W1217" s="234" t="n"/>
    </row>
    <row r="1218" ht="54.95" customFormat="1" customHeight="1" s="235">
      <c r="A1218" s="234" t="n"/>
      <c r="B1218" s="234" t="n"/>
      <c r="C1218" s="234" t="n"/>
      <c r="D1218" s="234" t="n"/>
      <c r="E1218" s="234" t="n"/>
      <c r="F1218" s="234" t="n"/>
      <c r="G1218" s="234" t="n"/>
      <c r="H1218" s="234" t="n"/>
      <c r="I1218" s="234" t="n"/>
      <c r="J1218" s="234" t="n"/>
      <c r="K1218" s="234" t="n"/>
      <c r="L1218" s="234" t="n"/>
      <c r="M1218" s="232" t="n"/>
      <c r="N1218" s="233" t="n"/>
      <c r="O1218" s="232" t="n"/>
      <c r="P1218" s="234" t="n"/>
      <c r="Q1218" s="234" t="n"/>
      <c r="R1218" s="234" t="n"/>
      <c r="S1218" s="234" t="n"/>
      <c r="T1218" s="234" t="n"/>
      <c r="U1218" s="234" t="n"/>
      <c r="V1218" s="234" t="n"/>
      <c r="W1218" s="234" t="n"/>
    </row>
    <row r="1219" ht="54.95" customFormat="1" customHeight="1" s="235">
      <c r="A1219" s="232" t="n"/>
      <c r="B1219" s="232" t="n"/>
      <c r="C1219" s="232" t="n"/>
      <c r="D1219" s="233" t="n"/>
      <c r="E1219" s="232" t="n"/>
      <c r="F1219" s="233" t="n"/>
      <c r="G1219" s="233" t="n"/>
      <c r="H1219" s="233" t="n"/>
      <c r="I1219" s="232" t="n"/>
      <c r="J1219" s="233" t="n"/>
      <c r="K1219" s="232" t="n"/>
      <c r="L1219" s="232" t="n"/>
      <c r="M1219" s="232" t="n"/>
      <c r="N1219" s="233" t="n"/>
      <c r="O1219" s="232" t="n"/>
      <c r="P1219" s="233" t="n"/>
      <c r="Q1219" s="233" t="n"/>
      <c r="R1219" s="233" t="n"/>
      <c r="S1219" s="232" t="n"/>
      <c r="T1219" s="233" t="n"/>
      <c r="U1219" s="233" t="n"/>
      <c r="V1219" s="233" t="n"/>
      <c r="W1219" s="232" t="n"/>
    </row>
    <row r="1220" ht="54.95" customFormat="1" customHeight="1" s="235">
      <c r="A1220" s="234" t="n"/>
      <c r="B1220" s="234" t="n"/>
      <c r="C1220" s="234" t="n"/>
      <c r="D1220" s="234" t="n"/>
      <c r="E1220" s="234" t="n"/>
      <c r="F1220" s="234" t="n"/>
      <c r="G1220" s="234" t="n"/>
      <c r="H1220" s="234" t="n"/>
      <c r="I1220" s="234" t="n"/>
      <c r="J1220" s="234" t="n"/>
      <c r="K1220" s="234" t="n"/>
      <c r="L1220" s="234" t="n"/>
      <c r="M1220" s="232" t="n"/>
      <c r="N1220" s="233" t="n"/>
      <c r="O1220" s="232" t="n"/>
      <c r="P1220" s="234" t="n"/>
      <c r="Q1220" s="234" t="n"/>
      <c r="R1220" s="234" t="n"/>
      <c r="S1220" s="234" t="n"/>
      <c r="T1220" s="234" t="n"/>
      <c r="U1220" s="234" t="n"/>
      <c r="V1220" s="234" t="n"/>
      <c r="W1220" s="234" t="n"/>
    </row>
    <row r="1221" ht="54.95" customFormat="1" customHeight="1" s="235">
      <c r="A1221" s="234" t="n"/>
      <c r="B1221" s="234" t="n"/>
      <c r="C1221" s="234" t="n"/>
      <c r="D1221" s="234" t="n"/>
      <c r="E1221" s="234" t="n"/>
      <c r="F1221" s="234" t="n"/>
      <c r="G1221" s="234" t="n"/>
      <c r="H1221" s="234" t="n"/>
      <c r="I1221" s="234" t="n"/>
      <c r="J1221" s="234" t="n"/>
      <c r="K1221" s="234" t="n"/>
      <c r="L1221" s="234" t="n"/>
      <c r="M1221" s="232" t="n"/>
      <c r="N1221" s="233" t="n"/>
      <c r="O1221" s="232" t="n"/>
      <c r="P1221" s="234" t="n"/>
      <c r="Q1221" s="234" t="n"/>
      <c r="R1221" s="234" t="n"/>
      <c r="S1221" s="234" t="n"/>
      <c r="T1221" s="234" t="n"/>
      <c r="U1221" s="234" t="n"/>
      <c r="V1221" s="234" t="n"/>
      <c r="W1221" s="234" t="n"/>
    </row>
    <row r="1222" ht="54.95" customFormat="1" customHeight="1" s="235">
      <c r="A1222" s="234" t="n"/>
      <c r="B1222" s="234" t="n"/>
      <c r="C1222" s="234" t="n"/>
      <c r="D1222" s="234" t="n"/>
      <c r="E1222" s="234" t="n"/>
      <c r="F1222" s="234" t="n"/>
      <c r="G1222" s="234" t="n"/>
      <c r="H1222" s="234" t="n"/>
      <c r="I1222" s="234" t="n"/>
      <c r="J1222" s="234" t="n"/>
      <c r="K1222" s="234" t="n"/>
      <c r="L1222" s="234" t="n"/>
      <c r="M1222" s="232" t="n"/>
      <c r="N1222" s="233" t="n"/>
      <c r="O1222" s="232" t="n"/>
      <c r="P1222" s="234" t="n"/>
      <c r="Q1222" s="234" t="n"/>
      <c r="R1222" s="234" t="n"/>
      <c r="S1222" s="234" t="n"/>
      <c r="T1222" s="234" t="n"/>
      <c r="U1222" s="234" t="n"/>
      <c r="V1222" s="234" t="n"/>
      <c r="W1222" s="234" t="n"/>
    </row>
    <row r="1223" ht="54.95" customFormat="1" customHeight="1" s="235">
      <c r="A1223" s="232" t="n"/>
      <c r="B1223" s="232" t="n"/>
      <c r="C1223" s="232" t="n"/>
      <c r="D1223" s="233" t="n"/>
      <c r="E1223" s="232" t="n"/>
      <c r="F1223" s="233" t="n"/>
      <c r="G1223" s="233" t="n"/>
      <c r="H1223" s="233" t="n"/>
      <c r="I1223" s="232" t="n"/>
      <c r="J1223" s="233" t="n"/>
      <c r="K1223" s="232" t="n"/>
      <c r="L1223" s="232" t="n"/>
      <c r="M1223" s="232" t="n"/>
      <c r="N1223" s="233" t="n"/>
      <c r="O1223" s="232" t="n"/>
      <c r="P1223" s="233" t="n"/>
      <c r="Q1223" s="233" t="n"/>
      <c r="R1223" s="233" t="n"/>
      <c r="S1223" s="232" t="n"/>
      <c r="T1223" s="233" t="n"/>
      <c r="U1223" s="233" t="n"/>
      <c r="V1223" s="233" t="n"/>
      <c r="W1223" s="232" t="n"/>
    </row>
    <row r="1224" ht="54.95" customFormat="1" customHeight="1" s="235">
      <c r="A1224" s="232" t="n"/>
      <c r="B1224" s="232" t="n"/>
      <c r="C1224" s="232" t="n"/>
      <c r="D1224" s="233" t="n"/>
      <c r="E1224" s="232" t="n"/>
      <c r="F1224" s="233" t="n"/>
      <c r="G1224" s="233" t="n"/>
      <c r="H1224" s="233" t="n"/>
      <c r="I1224" s="232" t="n"/>
      <c r="J1224" s="233" t="n"/>
      <c r="K1224" s="232" t="n"/>
      <c r="L1224" s="232" t="n"/>
      <c r="M1224" s="232" t="n"/>
      <c r="N1224" s="233" t="n"/>
      <c r="O1224" s="232" t="n"/>
      <c r="P1224" s="233" t="n"/>
      <c r="Q1224" s="233" t="n"/>
      <c r="R1224" s="233" t="n"/>
      <c r="S1224" s="232" t="n"/>
      <c r="T1224" s="233" t="n"/>
      <c r="U1224" s="233" t="n"/>
      <c r="V1224" s="233" t="n"/>
      <c r="W1224" s="232" t="n"/>
    </row>
    <row r="1225" ht="54.95" customFormat="1" customHeight="1" s="235">
      <c r="A1225" s="232" t="n"/>
      <c r="B1225" s="232" t="n"/>
      <c r="C1225" s="232" t="n"/>
      <c r="D1225" s="233" t="n"/>
      <c r="E1225" s="232" t="n"/>
      <c r="F1225" s="233" t="n"/>
      <c r="G1225" s="233" t="n"/>
      <c r="H1225" s="233" t="n"/>
      <c r="I1225" s="232" t="n"/>
      <c r="J1225" s="233" t="n"/>
      <c r="K1225" s="232" t="n"/>
      <c r="L1225" s="232" t="n"/>
      <c r="M1225" s="232" t="n"/>
      <c r="N1225" s="233" t="n"/>
      <c r="O1225" s="232" t="n"/>
      <c r="P1225" s="233" t="n"/>
      <c r="Q1225" s="233" t="n"/>
      <c r="R1225" s="233" t="n"/>
      <c r="S1225" s="232" t="n"/>
      <c r="T1225" s="233" t="n"/>
      <c r="U1225" s="233" t="n"/>
      <c r="V1225" s="233" t="n"/>
      <c r="W1225" s="232" t="n"/>
    </row>
    <row r="1226" ht="54.95" customFormat="1" customHeight="1" s="235">
      <c r="A1226" s="232" t="n"/>
      <c r="B1226" s="232" t="n"/>
      <c r="C1226" s="232" t="n"/>
      <c r="D1226" s="233" t="n"/>
      <c r="E1226" s="232" t="n"/>
      <c r="F1226" s="233" t="n"/>
      <c r="G1226" s="233" t="n"/>
      <c r="H1226" s="233" t="n"/>
      <c r="I1226" s="232" t="n"/>
      <c r="J1226" s="233" t="n"/>
      <c r="K1226" s="232" t="n"/>
      <c r="L1226" s="232" t="n"/>
      <c r="M1226" s="232" t="n"/>
      <c r="N1226" s="233" t="n"/>
      <c r="O1226" s="232" t="n"/>
      <c r="P1226" s="233" t="n"/>
      <c r="Q1226" s="233" t="n"/>
      <c r="R1226" s="233" t="n"/>
      <c r="S1226" s="232" t="n"/>
      <c r="T1226" s="233" t="n"/>
      <c r="U1226" s="233" t="n"/>
      <c r="V1226" s="233" t="n"/>
      <c r="W1226" s="232" t="n"/>
    </row>
    <row r="1227" ht="54.95" customFormat="1" customHeight="1" s="235">
      <c r="A1227" s="232" t="n"/>
      <c r="B1227" s="232" t="n"/>
      <c r="C1227" s="232" t="n"/>
      <c r="D1227" s="233" t="n"/>
      <c r="E1227" s="232" t="n"/>
      <c r="F1227" s="233" t="n"/>
      <c r="G1227" s="233" t="n"/>
      <c r="H1227" s="233" t="n"/>
      <c r="I1227" s="232" t="n"/>
      <c r="J1227" s="233" t="n"/>
      <c r="K1227" s="232" t="n"/>
      <c r="L1227" s="232" t="n"/>
      <c r="M1227" s="232" t="n"/>
      <c r="N1227" s="233" t="n"/>
      <c r="O1227" s="232" t="n"/>
      <c r="P1227" s="233" t="n"/>
      <c r="Q1227" s="233" t="n"/>
      <c r="R1227" s="233" t="n"/>
      <c r="S1227" s="232" t="n"/>
      <c r="T1227" s="233" t="n"/>
      <c r="U1227" s="233" t="n"/>
      <c r="V1227" s="233" t="n"/>
      <c r="W1227" s="232" t="n"/>
    </row>
    <row r="1228" ht="54.95" customFormat="1" customHeight="1" s="235">
      <c r="A1228" s="234" t="n"/>
      <c r="B1228" s="234" t="n"/>
      <c r="C1228" s="234" t="n"/>
      <c r="D1228" s="234" t="n"/>
      <c r="E1228" s="234" t="n"/>
      <c r="F1228" s="234" t="n"/>
      <c r="G1228" s="234" t="n"/>
      <c r="H1228" s="234" t="n"/>
      <c r="I1228" s="234" t="n"/>
      <c r="J1228" s="234" t="n"/>
      <c r="K1228" s="234" t="n"/>
      <c r="L1228" s="234" t="n"/>
      <c r="M1228" s="232" t="n"/>
      <c r="N1228" s="233" t="n"/>
      <c r="O1228" s="232" t="n"/>
      <c r="P1228" s="234" t="n"/>
      <c r="Q1228" s="234" t="n"/>
      <c r="R1228" s="234" t="n"/>
      <c r="S1228" s="234" t="n"/>
      <c r="T1228" s="234" t="n"/>
      <c r="U1228" s="234" t="n"/>
      <c r="V1228" s="234" t="n"/>
      <c r="W1228" s="234" t="n"/>
    </row>
    <row r="1229" ht="54.95" customFormat="1" customHeight="1" s="235">
      <c r="A1229" s="234" t="n"/>
      <c r="B1229" s="234" t="n"/>
      <c r="C1229" s="234" t="n"/>
      <c r="D1229" s="234" t="n"/>
      <c r="E1229" s="234" t="n"/>
      <c r="F1229" s="234" t="n"/>
      <c r="G1229" s="234" t="n"/>
      <c r="H1229" s="234" t="n"/>
      <c r="I1229" s="234" t="n"/>
      <c r="J1229" s="234" t="n"/>
      <c r="K1229" s="234" t="n"/>
      <c r="L1229" s="234" t="n"/>
      <c r="M1229" s="232" t="n"/>
      <c r="N1229" s="233" t="n"/>
      <c r="O1229" s="232" t="n"/>
      <c r="P1229" s="234" t="n"/>
      <c r="Q1229" s="234" t="n"/>
      <c r="R1229" s="234" t="n"/>
      <c r="S1229" s="234" t="n"/>
      <c r="T1229" s="234" t="n"/>
      <c r="U1229" s="234" t="n"/>
      <c r="V1229" s="234" t="n"/>
      <c r="W1229" s="234" t="n"/>
    </row>
    <row r="1230" ht="54.95" customFormat="1" customHeight="1" s="235">
      <c r="A1230" s="234" t="n"/>
      <c r="B1230" s="234" t="n"/>
      <c r="C1230" s="234" t="n"/>
      <c r="D1230" s="234" t="n"/>
      <c r="E1230" s="234" t="n"/>
      <c r="F1230" s="234" t="n"/>
      <c r="G1230" s="234" t="n"/>
      <c r="H1230" s="234" t="n"/>
      <c r="I1230" s="234" t="n"/>
      <c r="J1230" s="234" t="n"/>
      <c r="K1230" s="234" t="n"/>
      <c r="L1230" s="234" t="n"/>
      <c r="M1230" s="232" t="n"/>
      <c r="N1230" s="233" t="n"/>
      <c r="O1230" s="232" t="n"/>
      <c r="P1230" s="234" t="n"/>
      <c r="Q1230" s="234" t="n"/>
      <c r="R1230" s="234" t="n"/>
      <c r="S1230" s="234" t="n"/>
      <c r="T1230" s="234" t="n"/>
      <c r="U1230" s="234" t="n"/>
      <c r="V1230" s="234" t="n"/>
      <c r="W1230" s="234" t="n"/>
    </row>
    <row r="1231" ht="54.95" customFormat="1" customHeight="1" s="235">
      <c r="A1231" s="234" t="n"/>
      <c r="B1231" s="234" t="n"/>
      <c r="C1231" s="234" t="n"/>
      <c r="D1231" s="234" t="n"/>
      <c r="E1231" s="234" t="n"/>
      <c r="F1231" s="234" t="n"/>
      <c r="G1231" s="234" t="n"/>
      <c r="H1231" s="234" t="n"/>
      <c r="I1231" s="234" t="n"/>
      <c r="J1231" s="234" t="n"/>
      <c r="K1231" s="234" t="n"/>
      <c r="L1231" s="234" t="n"/>
      <c r="M1231" s="232" t="n"/>
      <c r="N1231" s="233" t="n"/>
      <c r="O1231" s="232" t="n"/>
      <c r="P1231" s="234" t="n"/>
      <c r="Q1231" s="234" t="n"/>
      <c r="R1231" s="234" t="n"/>
      <c r="S1231" s="234" t="n"/>
      <c r="T1231" s="234" t="n"/>
      <c r="U1231" s="234" t="n"/>
      <c r="V1231" s="234" t="n"/>
      <c r="W1231" s="234" t="n"/>
    </row>
    <row r="1232" ht="54.95" customFormat="1" customHeight="1" s="235">
      <c r="A1232" s="232" t="n"/>
      <c r="B1232" s="232" t="n"/>
      <c r="C1232" s="232" t="n"/>
      <c r="D1232" s="233" t="n"/>
      <c r="E1232" s="232" t="n"/>
      <c r="F1232" s="233" t="n"/>
      <c r="G1232" s="233" t="n"/>
      <c r="H1232" s="233" t="n"/>
      <c r="I1232" s="232" t="n"/>
      <c r="J1232" s="233" t="n"/>
      <c r="K1232" s="232" t="n"/>
      <c r="L1232" s="232" t="n"/>
      <c r="M1232" s="232" t="n"/>
      <c r="N1232" s="233" t="n"/>
      <c r="O1232" s="232" t="n"/>
      <c r="P1232" s="233" t="n"/>
      <c r="Q1232" s="233" t="n"/>
      <c r="R1232" s="233" t="n"/>
      <c r="S1232" s="232" t="n"/>
      <c r="T1232" s="233" t="n"/>
      <c r="U1232" s="233" t="n"/>
      <c r="V1232" s="233" t="n"/>
      <c r="W1232" s="232" t="n"/>
    </row>
    <row r="1233" ht="54.95" customFormat="1" customHeight="1" s="235">
      <c r="A1233" s="232" t="n"/>
      <c r="B1233" s="232" t="n"/>
      <c r="C1233" s="232" t="n"/>
      <c r="D1233" s="233" t="n"/>
      <c r="E1233" s="232" t="n"/>
      <c r="F1233" s="233" t="n"/>
      <c r="G1233" s="233" t="n"/>
      <c r="H1233" s="233" t="n"/>
      <c r="I1233" s="232" t="n"/>
      <c r="J1233" s="233" t="n"/>
      <c r="K1233" s="232" t="n"/>
      <c r="L1233" s="232" t="n"/>
      <c r="M1233" s="232" t="n"/>
      <c r="N1233" s="233" t="n"/>
      <c r="O1233" s="232" t="n"/>
      <c r="P1233" s="233" t="n"/>
      <c r="Q1233" s="233" t="n"/>
      <c r="R1233" s="233" t="n"/>
      <c r="S1233" s="232" t="n"/>
      <c r="T1233" s="233" t="n"/>
      <c r="U1233" s="233" t="n"/>
      <c r="V1233" s="233" t="n"/>
      <c r="W1233" s="232" t="n"/>
    </row>
    <row r="1234" ht="54.95" customFormat="1" customHeight="1" s="235">
      <c r="A1234" s="232" t="n"/>
      <c r="B1234" s="232" t="n"/>
      <c r="C1234" s="232" t="n"/>
      <c r="D1234" s="233" t="n"/>
      <c r="E1234" s="232" t="n"/>
      <c r="F1234" s="233" t="n"/>
      <c r="G1234" s="233" t="n"/>
      <c r="H1234" s="233" t="n"/>
      <c r="I1234" s="232" t="n"/>
      <c r="J1234" s="233" t="n"/>
      <c r="K1234" s="232" t="n"/>
      <c r="L1234" s="232" t="n"/>
      <c r="M1234" s="232" t="n"/>
      <c r="N1234" s="233" t="n"/>
      <c r="O1234" s="232" t="n"/>
      <c r="P1234" s="233" t="n"/>
      <c r="Q1234" s="233" t="n"/>
      <c r="R1234" s="233" t="n"/>
      <c r="S1234" s="232" t="n"/>
      <c r="T1234" s="233" t="n"/>
      <c r="U1234" s="233" t="n"/>
      <c r="V1234" s="233" t="n"/>
      <c r="W1234" s="232" t="n"/>
    </row>
    <row r="1235" ht="54.95" customFormat="1" customHeight="1" s="235">
      <c r="A1235" s="232" t="n"/>
      <c r="B1235" s="232" t="n"/>
      <c r="C1235" s="232" t="n"/>
      <c r="D1235" s="233" t="n"/>
      <c r="E1235" s="232" t="n"/>
      <c r="F1235" s="233" t="n"/>
      <c r="G1235" s="233" t="n"/>
      <c r="H1235" s="233" t="n"/>
      <c r="I1235" s="232" t="n"/>
      <c r="J1235" s="233" t="n"/>
      <c r="K1235" s="232" t="n"/>
      <c r="L1235" s="232" t="n"/>
      <c r="M1235" s="232" t="n"/>
      <c r="N1235" s="233" t="n"/>
      <c r="O1235" s="232" t="n"/>
      <c r="P1235" s="233" t="n"/>
      <c r="Q1235" s="233" t="n"/>
      <c r="R1235" s="233" t="n"/>
      <c r="S1235" s="232" t="n"/>
      <c r="T1235" s="233" t="n"/>
      <c r="U1235" s="233" t="n"/>
      <c r="V1235" s="233" t="n"/>
      <c r="W1235" s="232" t="n"/>
    </row>
    <row r="1236" ht="54.95" customFormat="1" customHeight="1" s="235">
      <c r="A1236" s="232" t="n"/>
      <c r="B1236" s="232" t="n"/>
      <c r="C1236" s="232" t="n"/>
      <c r="D1236" s="233" t="n"/>
      <c r="E1236" s="232" t="n"/>
      <c r="F1236" s="233" t="n"/>
      <c r="G1236" s="233" t="n"/>
      <c r="H1236" s="233" t="n"/>
      <c r="I1236" s="232" t="n"/>
      <c r="J1236" s="233" t="n"/>
      <c r="K1236" s="232" t="n"/>
      <c r="L1236" s="232" t="n"/>
      <c r="M1236" s="232" t="n"/>
      <c r="N1236" s="233" t="n"/>
      <c r="O1236" s="232" t="n"/>
      <c r="P1236" s="233" t="n"/>
      <c r="Q1236" s="233" t="n"/>
      <c r="R1236" s="233" t="n"/>
      <c r="S1236" s="232" t="n"/>
      <c r="T1236" s="233" t="n"/>
      <c r="U1236" s="233" t="n"/>
      <c r="V1236" s="233" t="n"/>
      <c r="W1236" s="232" t="n"/>
    </row>
    <row r="1237" ht="54.95" customFormat="1" customHeight="1" s="235">
      <c r="A1237" s="232" t="n"/>
      <c r="B1237" s="232" t="n"/>
      <c r="C1237" s="232" t="n"/>
      <c r="D1237" s="233" t="n"/>
      <c r="E1237" s="232" t="n"/>
      <c r="F1237" s="233" t="n"/>
      <c r="G1237" s="233" t="n"/>
      <c r="H1237" s="233" t="n"/>
      <c r="I1237" s="232" t="n"/>
      <c r="J1237" s="233" t="n"/>
      <c r="K1237" s="232" t="n"/>
      <c r="L1237" s="232" t="n"/>
      <c r="M1237" s="232" t="n"/>
      <c r="N1237" s="233" t="n"/>
      <c r="O1237" s="232" t="n"/>
      <c r="P1237" s="233" t="n"/>
      <c r="Q1237" s="233" t="n"/>
      <c r="R1237" s="233" t="n"/>
      <c r="S1237" s="232" t="n"/>
      <c r="T1237" s="233" t="n"/>
      <c r="U1237" s="233" t="n"/>
      <c r="V1237" s="233" t="n"/>
      <c r="W1237" s="232" t="n"/>
    </row>
    <row r="1238" ht="54.95" customFormat="1" customHeight="1" s="235">
      <c r="A1238" s="234" t="n"/>
      <c r="B1238" s="234" t="n"/>
      <c r="C1238" s="234" t="n"/>
      <c r="D1238" s="234" t="n"/>
      <c r="E1238" s="234" t="n"/>
      <c r="F1238" s="234" t="n"/>
      <c r="G1238" s="234" t="n"/>
      <c r="H1238" s="234" t="n"/>
      <c r="I1238" s="234" t="n"/>
      <c r="J1238" s="234" t="n"/>
      <c r="K1238" s="234" t="n"/>
      <c r="L1238" s="234" t="n"/>
      <c r="M1238" s="232" t="n"/>
      <c r="N1238" s="233" t="n"/>
      <c r="O1238" s="232" t="n"/>
      <c r="P1238" s="234" t="n"/>
      <c r="Q1238" s="234" t="n"/>
      <c r="R1238" s="234" t="n"/>
      <c r="S1238" s="234" t="n"/>
      <c r="T1238" s="234" t="n"/>
      <c r="U1238" s="234" t="n"/>
      <c r="V1238" s="234" t="n"/>
      <c r="W1238" s="234" t="n"/>
    </row>
    <row r="1239" ht="54.95" customFormat="1" customHeight="1" s="235">
      <c r="A1239" s="234" t="n"/>
      <c r="B1239" s="234" t="n"/>
      <c r="C1239" s="234" t="n"/>
      <c r="D1239" s="234" t="n"/>
      <c r="E1239" s="234" t="n"/>
      <c r="F1239" s="234" t="n"/>
      <c r="G1239" s="234" t="n"/>
      <c r="H1239" s="234" t="n"/>
      <c r="I1239" s="234" t="n"/>
      <c r="J1239" s="234" t="n"/>
      <c r="K1239" s="234" t="n"/>
      <c r="L1239" s="234" t="n"/>
      <c r="M1239" s="232" t="n"/>
      <c r="N1239" s="233" t="n"/>
      <c r="O1239" s="232" t="n"/>
      <c r="P1239" s="234" t="n"/>
      <c r="Q1239" s="234" t="n"/>
      <c r="R1239" s="234" t="n"/>
      <c r="S1239" s="234" t="n"/>
      <c r="T1239" s="234" t="n"/>
      <c r="U1239" s="234" t="n"/>
      <c r="V1239" s="234" t="n"/>
      <c r="W1239" s="234" t="n"/>
    </row>
    <row r="1240" ht="54.95" customFormat="1" customHeight="1" s="235">
      <c r="A1240" s="232" t="n"/>
      <c r="B1240" s="232" t="n"/>
      <c r="C1240" s="232" t="n"/>
      <c r="D1240" s="233" t="n"/>
      <c r="E1240" s="232" t="n"/>
      <c r="F1240" s="233" t="n"/>
      <c r="G1240" s="233" t="n"/>
      <c r="H1240" s="233" t="n"/>
      <c r="I1240" s="232" t="n"/>
      <c r="J1240" s="233" t="n"/>
      <c r="K1240" s="232" t="n"/>
      <c r="L1240" s="232" t="n"/>
      <c r="M1240" s="232" t="n"/>
      <c r="N1240" s="233" t="n"/>
      <c r="O1240" s="232" t="n"/>
      <c r="P1240" s="233" t="n"/>
      <c r="Q1240" s="233" t="n"/>
      <c r="R1240" s="233" t="n"/>
      <c r="S1240" s="232" t="n"/>
      <c r="T1240" s="233" t="n"/>
      <c r="U1240" s="233" t="n"/>
      <c r="V1240" s="233" t="n"/>
      <c r="W1240" s="232" t="n"/>
    </row>
    <row r="1241" ht="54.95" customFormat="1" customHeight="1" s="235">
      <c r="A1241" s="232" t="n"/>
      <c r="B1241" s="232" t="n"/>
      <c r="C1241" s="232" t="n"/>
      <c r="D1241" s="233" t="n"/>
      <c r="E1241" s="232" t="n"/>
      <c r="F1241" s="233" t="n"/>
      <c r="G1241" s="233" t="n"/>
      <c r="H1241" s="233" t="n"/>
      <c r="I1241" s="232" t="n"/>
      <c r="J1241" s="233" t="n"/>
      <c r="K1241" s="232" t="n"/>
      <c r="L1241" s="232" t="n"/>
      <c r="M1241" s="232" t="n"/>
      <c r="N1241" s="233" t="n"/>
      <c r="O1241" s="232" t="n"/>
      <c r="P1241" s="233" t="n"/>
      <c r="Q1241" s="233" t="n"/>
      <c r="R1241" s="233" t="n"/>
      <c r="S1241" s="232" t="n"/>
      <c r="T1241" s="233" t="n"/>
      <c r="U1241" s="233" t="n"/>
      <c r="V1241" s="233" t="n"/>
      <c r="W1241" s="232" t="n"/>
    </row>
    <row r="1242" ht="54.95" customFormat="1" customHeight="1" s="235">
      <c r="A1242" s="232" t="n"/>
      <c r="B1242" s="232" t="n"/>
      <c r="C1242" s="232" t="n"/>
      <c r="D1242" s="233" t="n"/>
      <c r="E1242" s="232" t="n"/>
      <c r="F1242" s="233" t="n"/>
      <c r="G1242" s="233" t="n"/>
      <c r="H1242" s="233" t="n"/>
      <c r="I1242" s="232" t="n"/>
      <c r="J1242" s="233" t="n"/>
      <c r="K1242" s="232" t="n"/>
      <c r="L1242" s="232" t="n"/>
      <c r="M1242" s="232" t="n"/>
      <c r="N1242" s="233" t="n"/>
      <c r="O1242" s="232" t="n"/>
      <c r="P1242" s="233" t="n"/>
      <c r="Q1242" s="233" t="n"/>
      <c r="R1242" s="233" t="n"/>
      <c r="S1242" s="232" t="n"/>
      <c r="T1242" s="233" t="n"/>
      <c r="U1242" s="233" t="n"/>
      <c r="V1242" s="233" t="n"/>
      <c r="W1242" s="232" t="n"/>
    </row>
    <row r="1243" ht="54.95" customFormat="1" customHeight="1" s="235">
      <c r="A1243" s="232" t="n"/>
      <c r="B1243" s="232" t="n"/>
      <c r="C1243" s="232" t="n"/>
      <c r="D1243" s="233" t="n"/>
      <c r="E1243" s="232" t="n"/>
      <c r="F1243" s="233" t="n"/>
      <c r="G1243" s="233" t="n"/>
      <c r="H1243" s="233" t="n"/>
      <c r="I1243" s="232" t="n"/>
      <c r="J1243" s="233" t="n"/>
      <c r="K1243" s="232" t="n"/>
      <c r="L1243" s="232" t="n"/>
      <c r="M1243" s="232" t="n"/>
      <c r="N1243" s="233" t="n"/>
      <c r="O1243" s="232" t="n"/>
      <c r="P1243" s="233" t="n"/>
      <c r="Q1243" s="233" t="n"/>
      <c r="R1243" s="233" t="n"/>
      <c r="S1243" s="232" t="n"/>
      <c r="T1243" s="233" t="n"/>
      <c r="U1243" s="233" t="n"/>
      <c r="V1243" s="233" t="n"/>
      <c r="W1243" s="232" t="n"/>
    </row>
    <row r="1244" ht="54.95" customFormat="1" customHeight="1" s="235">
      <c r="A1244" s="232" t="n"/>
      <c r="B1244" s="232" t="n"/>
      <c r="C1244" s="232" t="n"/>
      <c r="D1244" s="233" t="n"/>
      <c r="E1244" s="232" t="n"/>
      <c r="F1244" s="233" t="n"/>
      <c r="G1244" s="233" t="n"/>
      <c r="H1244" s="233" t="n"/>
      <c r="I1244" s="232" t="n"/>
      <c r="J1244" s="233" t="n"/>
      <c r="K1244" s="232" t="n"/>
      <c r="L1244" s="232" t="n"/>
      <c r="M1244" s="232" t="n"/>
      <c r="N1244" s="233" t="n"/>
      <c r="O1244" s="232" t="n"/>
      <c r="P1244" s="233" t="n"/>
      <c r="Q1244" s="233" t="n"/>
      <c r="R1244" s="233" t="n"/>
      <c r="S1244" s="232" t="n"/>
      <c r="T1244" s="233" t="n"/>
      <c r="U1244" s="233" t="n"/>
      <c r="V1244" s="233" t="n"/>
      <c r="W1244" s="232" t="n"/>
    </row>
    <row r="1245" ht="54.95" customFormat="1" customHeight="1" s="235">
      <c r="A1245" s="234" t="n"/>
      <c r="B1245" s="234" t="n"/>
      <c r="C1245" s="234" t="n"/>
      <c r="D1245" s="234" t="n"/>
      <c r="E1245" s="234" t="n"/>
      <c r="F1245" s="234" t="n"/>
      <c r="G1245" s="234" t="n"/>
      <c r="H1245" s="234" t="n"/>
      <c r="I1245" s="234" t="n"/>
      <c r="J1245" s="234" t="n"/>
      <c r="K1245" s="234" t="n"/>
      <c r="L1245" s="234" t="n"/>
      <c r="M1245" s="232" t="n"/>
      <c r="N1245" s="233" t="n"/>
      <c r="O1245" s="232" t="n"/>
      <c r="P1245" s="234" t="n"/>
      <c r="Q1245" s="234" t="n"/>
      <c r="R1245" s="234" t="n"/>
      <c r="S1245" s="234" t="n"/>
      <c r="T1245" s="234" t="n"/>
      <c r="U1245" s="234" t="n"/>
      <c r="V1245" s="234" t="n"/>
      <c r="W1245" s="234" t="n"/>
    </row>
    <row r="1246" ht="54.95" customFormat="1" customHeight="1" s="235">
      <c r="A1246" s="232" t="n"/>
      <c r="B1246" s="232" t="n"/>
      <c r="C1246" s="232" t="n"/>
      <c r="D1246" s="233" t="n"/>
      <c r="E1246" s="232" t="n"/>
      <c r="F1246" s="233" t="n"/>
      <c r="G1246" s="233" t="n"/>
      <c r="H1246" s="233" t="n"/>
      <c r="I1246" s="232" t="n"/>
      <c r="J1246" s="233" t="n"/>
      <c r="K1246" s="232" t="n"/>
      <c r="L1246" s="232" t="n"/>
      <c r="M1246" s="232" t="n"/>
      <c r="N1246" s="233" t="n"/>
      <c r="O1246" s="232" t="n"/>
      <c r="P1246" s="233" t="n"/>
      <c r="Q1246" s="233" t="n"/>
      <c r="R1246" s="233" t="n"/>
      <c r="S1246" s="232" t="n"/>
      <c r="T1246" s="233" t="n"/>
      <c r="U1246" s="233" t="n"/>
      <c r="V1246" s="233" t="n"/>
      <c r="W1246" s="232" t="n"/>
    </row>
    <row r="1247" ht="54.95" customFormat="1" customHeight="1" s="235">
      <c r="A1247" s="232" t="n"/>
      <c r="B1247" s="232" t="n"/>
      <c r="C1247" s="232" t="n"/>
      <c r="D1247" s="233" t="n"/>
      <c r="E1247" s="232" t="n"/>
      <c r="F1247" s="233" t="n"/>
      <c r="G1247" s="233" t="n"/>
      <c r="H1247" s="233" t="n"/>
      <c r="I1247" s="232" t="n"/>
      <c r="J1247" s="233" t="n"/>
      <c r="K1247" s="232" t="n"/>
      <c r="L1247" s="232" t="n"/>
      <c r="M1247" s="232" t="n"/>
      <c r="N1247" s="233" t="n"/>
      <c r="O1247" s="232" t="n"/>
      <c r="P1247" s="233" t="n"/>
      <c r="Q1247" s="233" t="n"/>
      <c r="R1247" s="233" t="n"/>
      <c r="S1247" s="232" t="n"/>
      <c r="T1247" s="233" t="n"/>
      <c r="U1247" s="233" t="n"/>
      <c r="V1247" s="233" t="n"/>
      <c r="W1247" s="232" t="n"/>
    </row>
    <row r="1248" ht="54.95" customFormat="1" customHeight="1" s="235">
      <c r="A1248" s="232" t="n"/>
      <c r="B1248" s="232" t="n"/>
      <c r="C1248" s="232" t="n"/>
      <c r="D1248" s="233" t="n"/>
      <c r="E1248" s="232" t="n"/>
      <c r="F1248" s="233" t="n"/>
      <c r="G1248" s="233" t="n"/>
      <c r="H1248" s="233" t="n"/>
      <c r="I1248" s="232" t="n"/>
      <c r="J1248" s="233" t="n"/>
      <c r="K1248" s="232" t="n"/>
      <c r="L1248" s="232" t="n"/>
      <c r="M1248" s="232" t="n"/>
      <c r="N1248" s="233" t="n"/>
      <c r="O1248" s="232" t="n"/>
      <c r="P1248" s="233" t="n"/>
      <c r="Q1248" s="233" t="n"/>
      <c r="R1248" s="233" t="n"/>
      <c r="S1248" s="232" t="n"/>
      <c r="T1248" s="233" t="n"/>
      <c r="U1248" s="233" t="n"/>
      <c r="V1248" s="233" t="n"/>
      <c r="W1248" s="232" t="n"/>
    </row>
    <row r="1249" ht="54.95" customFormat="1" customHeight="1" s="235">
      <c r="A1249" s="234" t="n"/>
      <c r="B1249" s="234" t="n"/>
      <c r="C1249" s="234" t="n"/>
      <c r="D1249" s="234" t="n"/>
      <c r="E1249" s="234" t="n"/>
      <c r="F1249" s="234" t="n"/>
      <c r="G1249" s="234" t="n"/>
      <c r="H1249" s="234" t="n"/>
      <c r="I1249" s="234" t="n"/>
      <c r="J1249" s="234" t="n"/>
      <c r="K1249" s="234" t="n"/>
      <c r="L1249" s="234" t="n"/>
      <c r="M1249" s="232" t="n"/>
      <c r="N1249" s="233" t="n"/>
      <c r="O1249" s="232" t="n"/>
      <c r="P1249" s="234" t="n"/>
      <c r="Q1249" s="234" t="n"/>
      <c r="R1249" s="234" t="n"/>
      <c r="S1249" s="234" t="n"/>
      <c r="T1249" s="234" t="n"/>
      <c r="U1249" s="234" t="n"/>
      <c r="V1249" s="234" t="n"/>
      <c r="W1249" s="234" t="n"/>
    </row>
    <row r="1250" ht="54.95" customFormat="1" customHeight="1" s="235">
      <c r="A1250" s="232" t="n"/>
      <c r="B1250" s="232" t="n"/>
      <c r="C1250" s="232" t="n"/>
      <c r="D1250" s="233" t="n"/>
      <c r="E1250" s="232" t="n"/>
      <c r="F1250" s="233" t="n"/>
      <c r="G1250" s="233" t="n"/>
      <c r="H1250" s="233" t="n"/>
      <c r="I1250" s="232" t="n"/>
      <c r="J1250" s="233" t="n"/>
      <c r="K1250" s="232" t="n"/>
      <c r="L1250" s="232" t="n"/>
      <c r="M1250" s="232" t="n"/>
      <c r="N1250" s="233" t="n"/>
      <c r="O1250" s="232" t="n"/>
      <c r="P1250" s="233" t="n"/>
      <c r="Q1250" s="233" t="n"/>
      <c r="R1250" s="233" t="n"/>
      <c r="S1250" s="232" t="n"/>
      <c r="T1250" s="233" t="n"/>
      <c r="U1250" s="233" t="n"/>
      <c r="V1250" s="233" t="n"/>
      <c r="W1250" s="232" t="n"/>
    </row>
    <row r="1251" ht="54.95" customFormat="1" customHeight="1" s="235">
      <c r="A1251" s="232" t="n"/>
      <c r="B1251" s="232" t="n"/>
      <c r="C1251" s="232" t="n"/>
      <c r="D1251" s="233" t="n"/>
      <c r="E1251" s="232" t="n"/>
      <c r="F1251" s="233" t="n"/>
      <c r="G1251" s="233" t="n"/>
      <c r="H1251" s="233" t="n"/>
      <c r="I1251" s="232" t="n"/>
      <c r="J1251" s="233" t="n"/>
      <c r="K1251" s="232" t="n"/>
      <c r="L1251" s="232" t="n"/>
      <c r="M1251" s="232" t="n"/>
      <c r="N1251" s="233" t="n"/>
      <c r="O1251" s="232" t="n"/>
      <c r="P1251" s="233" t="n"/>
      <c r="Q1251" s="233" t="n"/>
      <c r="R1251" s="233" t="n"/>
      <c r="S1251" s="232" t="n"/>
      <c r="T1251" s="233" t="n"/>
      <c r="U1251" s="233" t="n"/>
      <c r="V1251" s="233" t="n"/>
      <c r="W1251" s="232" t="n"/>
    </row>
    <row r="1252" ht="54.95" customFormat="1" customHeight="1" s="235">
      <c r="A1252" s="234" t="n"/>
      <c r="B1252" s="234" t="n"/>
      <c r="C1252" s="234" t="n"/>
      <c r="D1252" s="234" t="n"/>
      <c r="E1252" s="234" t="n"/>
      <c r="F1252" s="234" t="n"/>
      <c r="G1252" s="234" t="n"/>
      <c r="H1252" s="234" t="n"/>
      <c r="I1252" s="234" t="n"/>
      <c r="J1252" s="234" t="n"/>
      <c r="K1252" s="234" t="n"/>
      <c r="L1252" s="234" t="n"/>
      <c r="M1252" s="232" t="n"/>
      <c r="N1252" s="233" t="n"/>
      <c r="O1252" s="232" t="n"/>
      <c r="P1252" s="234" t="n"/>
      <c r="Q1252" s="234" t="n"/>
      <c r="R1252" s="234" t="n"/>
      <c r="S1252" s="234" t="n"/>
      <c r="T1252" s="234" t="n"/>
      <c r="U1252" s="234" t="n"/>
      <c r="V1252" s="234" t="n"/>
      <c r="W1252" s="234" t="n"/>
    </row>
    <row r="1253" ht="54.95" customFormat="1" customHeight="1" s="235">
      <c r="A1253" s="234" t="n"/>
      <c r="B1253" s="234" t="n"/>
      <c r="C1253" s="234" t="n"/>
      <c r="D1253" s="234" t="n"/>
      <c r="E1253" s="234" t="n"/>
      <c r="F1253" s="234" t="n"/>
      <c r="G1253" s="234" t="n"/>
      <c r="H1253" s="234" t="n"/>
      <c r="I1253" s="234" t="n"/>
      <c r="J1253" s="234" t="n"/>
      <c r="K1253" s="234" t="n"/>
      <c r="L1253" s="234" t="n"/>
      <c r="M1253" s="232" t="n"/>
      <c r="N1253" s="233" t="n"/>
      <c r="O1253" s="232" t="n"/>
      <c r="P1253" s="234" t="n"/>
      <c r="Q1253" s="234" t="n"/>
      <c r="R1253" s="234" t="n"/>
      <c r="S1253" s="234" t="n"/>
      <c r="T1253" s="234" t="n"/>
      <c r="U1253" s="234" t="n"/>
      <c r="V1253" s="234" t="n"/>
      <c r="W1253" s="234" t="n"/>
    </row>
    <row r="1254" ht="54.95" customFormat="1" customHeight="1" s="235">
      <c r="A1254" s="232" t="n"/>
      <c r="B1254" s="232" t="n"/>
      <c r="C1254" s="232" t="n"/>
      <c r="D1254" s="233" t="n"/>
      <c r="E1254" s="232" t="n"/>
      <c r="F1254" s="233" t="n"/>
      <c r="G1254" s="233" t="n"/>
      <c r="H1254" s="233" t="n"/>
      <c r="I1254" s="232" t="n"/>
      <c r="J1254" s="233" t="n"/>
      <c r="K1254" s="232" t="n"/>
      <c r="L1254" s="232" t="n"/>
      <c r="M1254" s="232" t="n"/>
      <c r="N1254" s="233" t="n"/>
      <c r="O1254" s="232" t="n"/>
      <c r="P1254" s="233" t="n"/>
      <c r="Q1254" s="233" t="n"/>
      <c r="R1254" s="233" t="n"/>
      <c r="S1254" s="232" t="n"/>
      <c r="T1254" s="233" t="n"/>
      <c r="U1254" s="233" t="n"/>
      <c r="V1254" s="233" t="n"/>
      <c r="W1254" s="232" t="n"/>
    </row>
    <row r="1255" ht="54.95" customFormat="1" customHeight="1" s="235">
      <c r="A1255" s="232" t="n"/>
      <c r="B1255" s="232" t="n"/>
      <c r="C1255" s="232" t="n"/>
      <c r="D1255" s="233" t="n"/>
      <c r="E1255" s="232" t="n"/>
      <c r="F1255" s="233" t="n"/>
      <c r="G1255" s="233" t="n"/>
      <c r="H1255" s="233" t="n"/>
      <c r="I1255" s="232" t="n"/>
      <c r="J1255" s="233" t="n"/>
      <c r="K1255" s="232" t="n"/>
      <c r="L1255" s="232" t="n"/>
      <c r="M1255" s="232" t="n"/>
      <c r="N1255" s="233" t="n"/>
      <c r="O1255" s="232" t="n"/>
      <c r="P1255" s="233" t="n"/>
      <c r="Q1255" s="233" t="n"/>
      <c r="R1255" s="233" t="n"/>
      <c r="S1255" s="232" t="n"/>
      <c r="T1255" s="233" t="n"/>
      <c r="U1255" s="233" t="n"/>
      <c r="V1255" s="233" t="n"/>
      <c r="W1255" s="232" t="n"/>
    </row>
    <row r="1256" ht="54.95" customFormat="1" customHeight="1" s="235">
      <c r="A1256" s="232" t="n"/>
      <c r="B1256" s="232" t="n"/>
      <c r="C1256" s="232" t="n"/>
      <c r="D1256" s="233" t="n"/>
      <c r="E1256" s="232" t="n"/>
      <c r="F1256" s="233" t="n"/>
      <c r="G1256" s="233" t="n"/>
      <c r="H1256" s="233" t="n"/>
      <c r="I1256" s="232" t="n"/>
      <c r="J1256" s="233" t="n"/>
      <c r="K1256" s="232" t="n"/>
      <c r="L1256" s="232" t="n"/>
      <c r="M1256" s="232" t="n"/>
      <c r="N1256" s="233" t="n"/>
      <c r="O1256" s="232" t="n"/>
      <c r="P1256" s="233" t="n"/>
      <c r="Q1256" s="233" t="n"/>
      <c r="R1256" s="233" t="n"/>
      <c r="S1256" s="232" t="n"/>
      <c r="T1256" s="233" t="n"/>
      <c r="U1256" s="233" t="n"/>
      <c r="V1256" s="233" t="n"/>
      <c r="W1256" s="232" t="n"/>
    </row>
    <row r="1257" ht="54.95" customFormat="1" customHeight="1" s="235">
      <c r="A1257" s="234" t="n"/>
      <c r="B1257" s="234" t="n"/>
      <c r="C1257" s="234" t="n"/>
      <c r="D1257" s="234" t="n"/>
      <c r="E1257" s="234" t="n"/>
      <c r="F1257" s="234" t="n"/>
      <c r="G1257" s="234" t="n"/>
      <c r="H1257" s="234" t="n"/>
      <c r="I1257" s="234" t="n"/>
      <c r="J1257" s="234" t="n"/>
      <c r="K1257" s="234" t="n"/>
      <c r="L1257" s="234" t="n"/>
      <c r="M1257" s="232" t="n"/>
      <c r="N1257" s="233" t="n"/>
      <c r="O1257" s="232" t="n"/>
      <c r="P1257" s="234" t="n"/>
      <c r="Q1257" s="234" t="n"/>
      <c r="R1257" s="234" t="n"/>
      <c r="S1257" s="234" t="n"/>
      <c r="T1257" s="234" t="n"/>
      <c r="U1257" s="234" t="n"/>
      <c r="V1257" s="234" t="n"/>
      <c r="W1257" s="234" t="n"/>
    </row>
    <row r="1258" ht="54.95" customFormat="1" customHeight="1" s="235">
      <c r="A1258" s="234" t="n"/>
      <c r="B1258" s="234" t="n"/>
      <c r="C1258" s="234" t="n"/>
      <c r="D1258" s="234" t="n"/>
      <c r="E1258" s="234" t="n"/>
      <c r="F1258" s="234" t="n"/>
      <c r="G1258" s="234" t="n"/>
      <c r="H1258" s="234" t="n"/>
      <c r="I1258" s="234" t="n"/>
      <c r="J1258" s="234" t="n"/>
      <c r="K1258" s="234" t="n"/>
      <c r="L1258" s="234" t="n"/>
      <c r="M1258" s="232" t="n"/>
      <c r="N1258" s="233" t="n"/>
      <c r="O1258" s="232" t="n"/>
      <c r="P1258" s="234" t="n"/>
      <c r="Q1258" s="234" t="n"/>
      <c r="R1258" s="234" t="n"/>
      <c r="S1258" s="234" t="n"/>
      <c r="T1258" s="234" t="n"/>
      <c r="U1258" s="234" t="n"/>
      <c r="V1258" s="234" t="n"/>
      <c r="W1258" s="234" t="n"/>
    </row>
    <row r="1259" ht="54.95" customFormat="1" customHeight="1" s="235">
      <c r="A1259" s="234" t="n"/>
      <c r="B1259" s="234" t="n"/>
      <c r="C1259" s="234" t="n"/>
      <c r="D1259" s="234" t="n"/>
      <c r="E1259" s="234" t="n"/>
      <c r="F1259" s="234" t="n"/>
      <c r="G1259" s="234" t="n"/>
      <c r="H1259" s="234" t="n"/>
      <c r="I1259" s="234" t="n"/>
      <c r="J1259" s="234" t="n"/>
      <c r="K1259" s="234" t="n"/>
      <c r="L1259" s="234" t="n"/>
      <c r="M1259" s="232" t="n"/>
      <c r="N1259" s="233" t="n"/>
      <c r="O1259" s="232" t="n"/>
      <c r="P1259" s="234" t="n"/>
      <c r="Q1259" s="234" t="n"/>
      <c r="R1259" s="234" t="n"/>
      <c r="S1259" s="234" t="n"/>
      <c r="T1259" s="234" t="n"/>
      <c r="U1259" s="234" t="n"/>
      <c r="V1259" s="234" t="n"/>
      <c r="W1259" s="234" t="n"/>
    </row>
    <row r="1260" ht="54.95" customFormat="1" customHeight="1" s="235">
      <c r="A1260" s="234" t="n"/>
      <c r="B1260" s="234" t="n"/>
      <c r="C1260" s="234" t="n"/>
      <c r="D1260" s="234" t="n"/>
      <c r="E1260" s="234" t="n"/>
      <c r="F1260" s="234" t="n"/>
      <c r="G1260" s="234" t="n"/>
      <c r="H1260" s="234" t="n"/>
      <c r="I1260" s="234" t="n"/>
      <c r="J1260" s="234" t="n"/>
      <c r="K1260" s="234" t="n"/>
      <c r="L1260" s="234" t="n"/>
      <c r="M1260" s="232" t="n"/>
      <c r="N1260" s="233" t="n"/>
      <c r="O1260" s="232" t="n"/>
      <c r="P1260" s="234" t="n"/>
      <c r="Q1260" s="234" t="n"/>
      <c r="R1260" s="234" t="n"/>
      <c r="S1260" s="234" t="n"/>
      <c r="T1260" s="234" t="n"/>
      <c r="U1260" s="234" t="n"/>
      <c r="V1260" s="234" t="n"/>
      <c r="W1260" s="234" t="n"/>
    </row>
    <row r="1261" ht="54.95" customFormat="1" customHeight="1" s="235">
      <c r="A1261" s="234" t="n"/>
      <c r="B1261" s="234" t="n"/>
      <c r="C1261" s="234" t="n"/>
      <c r="D1261" s="234" t="n"/>
      <c r="E1261" s="234" t="n"/>
      <c r="F1261" s="234" t="n"/>
      <c r="G1261" s="234" t="n"/>
      <c r="H1261" s="234" t="n"/>
      <c r="I1261" s="234" t="n"/>
      <c r="J1261" s="234" t="n"/>
      <c r="K1261" s="234" t="n"/>
      <c r="L1261" s="234" t="n"/>
      <c r="M1261" s="232" t="n"/>
      <c r="N1261" s="233" t="n"/>
      <c r="O1261" s="232" t="n"/>
      <c r="P1261" s="234" t="n"/>
      <c r="Q1261" s="234" t="n"/>
      <c r="R1261" s="234" t="n"/>
      <c r="S1261" s="234" t="n"/>
      <c r="T1261" s="234" t="n"/>
      <c r="U1261" s="234" t="n"/>
      <c r="V1261" s="234" t="n"/>
      <c r="W1261" s="234" t="n"/>
    </row>
    <row r="1262" ht="54.95" customFormat="1" customHeight="1" s="235">
      <c r="A1262" s="232" t="n"/>
      <c r="B1262" s="232" t="n"/>
      <c r="C1262" s="232" t="n"/>
      <c r="D1262" s="233" t="n"/>
      <c r="E1262" s="232" t="n"/>
      <c r="F1262" s="233" t="n"/>
      <c r="G1262" s="233" t="n"/>
      <c r="H1262" s="233" t="n"/>
      <c r="I1262" s="232" t="n"/>
      <c r="J1262" s="233" t="n"/>
      <c r="K1262" s="232" t="n"/>
      <c r="L1262" s="232" t="n"/>
      <c r="M1262" s="232" t="n"/>
      <c r="N1262" s="233" t="n"/>
      <c r="O1262" s="232" t="n"/>
      <c r="P1262" s="233" t="n"/>
      <c r="Q1262" s="233" t="n"/>
      <c r="R1262" s="233" t="n"/>
      <c r="S1262" s="232" t="n"/>
      <c r="T1262" s="233" t="n"/>
      <c r="U1262" s="233" t="n"/>
      <c r="V1262" s="233" t="n"/>
      <c r="W1262" s="232" t="n"/>
    </row>
    <row r="1263" ht="54.95" customFormat="1" customHeight="1" s="235">
      <c r="A1263" s="232" t="n"/>
      <c r="B1263" s="232" t="n"/>
      <c r="C1263" s="232" t="n"/>
      <c r="D1263" s="233" t="n"/>
      <c r="E1263" s="232" t="n"/>
      <c r="F1263" s="233" t="n"/>
      <c r="G1263" s="233" t="n"/>
      <c r="H1263" s="233" t="n"/>
      <c r="I1263" s="232" t="n"/>
      <c r="J1263" s="233" t="n"/>
      <c r="K1263" s="232" t="n"/>
      <c r="L1263" s="232" t="n"/>
      <c r="M1263" s="232" t="n"/>
      <c r="N1263" s="233" t="n"/>
      <c r="O1263" s="232" t="n"/>
      <c r="P1263" s="233" t="n"/>
      <c r="Q1263" s="233" t="n"/>
      <c r="R1263" s="233" t="n"/>
      <c r="S1263" s="232" t="n"/>
      <c r="T1263" s="233" t="n"/>
      <c r="U1263" s="233" t="n"/>
      <c r="V1263" s="233" t="n"/>
      <c r="W1263" s="232" t="n"/>
    </row>
    <row r="1264" ht="54.95" customFormat="1" customHeight="1" s="235">
      <c r="A1264" s="232" t="n"/>
      <c r="B1264" s="232" t="n"/>
      <c r="C1264" s="232" t="n"/>
      <c r="D1264" s="233" t="n"/>
      <c r="E1264" s="232" t="n"/>
      <c r="F1264" s="233" t="n"/>
      <c r="G1264" s="233" t="n"/>
      <c r="H1264" s="233" t="n"/>
      <c r="I1264" s="232" t="n"/>
      <c r="J1264" s="233" t="n"/>
      <c r="K1264" s="232" t="n"/>
      <c r="L1264" s="232" t="n"/>
      <c r="M1264" s="232" t="n"/>
      <c r="N1264" s="233" t="n"/>
      <c r="O1264" s="232" t="n"/>
      <c r="P1264" s="233" t="n"/>
      <c r="Q1264" s="233" t="n"/>
      <c r="R1264" s="233" t="n"/>
      <c r="S1264" s="232" t="n"/>
      <c r="T1264" s="233" t="n"/>
      <c r="U1264" s="233" t="n"/>
      <c r="V1264" s="233" t="n"/>
      <c r="W1264" s="232" t="n"/>
    </row>
    <row r="1265" ht="54.95" customFormat="1" customHeight="1" s="235">
      <c r="A1265" s="232" t="n"/>
      <c r="B1265" s="232" t="n"/>
      <c r="C1265" s="232" t="n"/>
      <c r="D1265" s="233" t="n"/>
      <c r="E1265" s="232" t="n"/>
      <c r="F1265" s="233" t="n"/>
      <c r="G1265" s="233" t="n"/>
      <c r="H1265" s="233" t="n"/>
      <c r="I1265" s="232" t="n"/>
      <c r="J1265" s="233" t="n"/>
      <c r="K1265" s="232" t="n"/>
      <c r="L1265" s="232" t="n"/>
      <c r="M1265" s="232" t="n"/>
      <c r="N1265" s="233" t="n"/>
      <c r="O1265" s="232" t="n"/>
      <c r="P1265" s="233" t="n"/>
      <c r="Q1265" s="233" t="n"/>
      <c r="R1265" s="233" t="n"/>
      <c r="S1265" s="232" t="n"/>
      <c r="T1265" s="233" t="n"/>
      <c r="U1265" s="233" t="n"/>
      <c r="V1265" s="233" t="n"/>
      <c r="W1265" s="232" t="n"/>
    </row>
    <row r="1266" ht="54.95" customFormat="1" customHeight="1" s="235">
      <c r="A1266" s="232" t="n"/>
      <c r="B1266" s="232" t="n"/>
      <c r="C1266" s="232" t="n"/>
      <c r="D1266" s="233" t="n"/>
      <c r="E1266" s="232" t="n"/>
      <c r="F1266" s="233" t="n"/>
      <c r="G1266" s="233" t="n"/>
      <c r="H1266" s="233" t="n"/>
      <c r="I1266" s="232" t="n"/>
      <c r="J1266" s="233" t="n"/>
      <c r="K1266" s="232" t="n"/>
      <c r="L1266" s="232" t="n"/>
      <c r="M1266" s="232" t="n"/>
      <c r="N1266" s="233" t="n"/>
      <c r="O1266" s="232" t="n"/>
      <c r="P1266" s="233" t="n"/>
      <c r="Q1266" s="233" t="n"/>
      <c r="R1266" s="233" t="n"/>
      <c r="S1266" s="232" t="n"/>
      <c r="T1266" s="233" t="n"/>
      <c r="U1266" s="233" t="n"/>
      <c r="V1266" s="233" t="n"/>
      <c r="W1266" s="232" t="n"/>
    </row>
    <row r="1267" ht="54.95" customFormat="1" customHeight="1" s="235">
      <c r="A1267" s="232" t="n"/>
      <c r="B1267" s="232" t="n"/>
      <c r="C1267" s="232" t="n"/>
      <c r="D1267" s="233" t="n"/>
      <c r="E1267" s="232" t="n"/>
      <c r="F1267" s="233" t="n"/>
      <c r="G1267" s="233" t="n"/>
      <c r="H1267" s="233" t="n"/>
      <c r="I1267" s="232" t="n"/>
      <c r="J1267" s="233" t="n"/>
      <c r="K1267" s="232" t="n"/>
      <c r="L1267" s="232" t="n"/>
      <c r="M1267" s="232" t="n"/>
      <c r="N1267" s="233" t="n"/>
      <c r="O1267" s="232" t="n"/>
      <c r="P1267" s="233" t="n"/>
      <c r="Q1267" s="233" t="n"/>
      <c r="R1267" s="233" t="n"/>
      <c r="S1267" s="232" t="n"/>
      <c r="T1267" s="233" t="n"/>
      <c r="U1267" s="233" t="n"/>
      <c r="V1267" s="233" t="n"/>
      <c r="W1267" s="232" t="n"/>
    </row>
    <row r="1268" ht="54.95" customFormat="1" customHeight="1" s="235">
      <c r="A1268" s="234" t="n"/>
      <c r="B1268" s="234" t="n"/>
      <c r="C1268" s="234" t="n"/>
      <c r="D1268" s="234" t="n"/>
      <c r="E1268" s="234" t="n"/>
      <c r="F1268" s="234" t="n"/>
      <c r="G1268" s="234" t="n"/>
      <c r="H1268" s="234" t="n"/>
      <c r="I1268" s="234" t="n"/>
      <c r="J1268" s="234" t="n"/>
      <c r="K1268" s="234" t="n"/>
      <c r="L1268" s="234" t="n"/>
      <c r="M1268" s="232" t="n"/>
      <c r="N1268" s="233" t="n"/>
      <c r="O1268" s="232" t="n"/>
      <c r="P1268" s="234" t="n"/>
      <c r="Q1268" s="234" t="n"/>
      <c r="R1268" s="234" t="n"/>
      <c r="S1268" s="234" t="n"/>
      <c r="T1268" s="234" t="n"/>
      <c r="U1268" s="234" t="n"/>
      <c r="V1268" s="234" t="n"/>
      <c r="W1268" s="234" t="n"/>
    </row>
    <row r="1269" ht="54.95" customFormat="1" customHeight="1" s="235">
      <c r="A1269" s="232" t="n"/>
      <c r="B1269" s="232" t="n"/>
      <c r="C1269" s="232" t="n"/>
      <c r="D1269" s="233" t="n"/>
      <c r="E1269" s="232" t="n"/>
      <c r="F1269" s="233" t="n"/>
      <c r="G1269" s="233" t="n"/>
      <c r="H1269" s="233" t="n"/>
      <c r="I1269" s="232" t="n"/>
      <c r="J1269" s="233" t="n"/>
      <c r="K1269" s="232" t="n"/>
      <c r="L1269" s="232" t="n"/>
      <c r="M1269" s="232" t="n"/>
      <c r="N1269" s="233" t="n"/>
      <c r="O1269" s="232" t="n"/>
      <c r="P1269" s="233" t="n"/>
      <c r="Q1269" s="233" t="n"/>
      <c r="R1269" s="233" t="n"/>
      <c r="S1269" s="232" t="n"/>
      <c r="T1269" s="233" t="n"/>
      <c r="U1269" s="233" t="n"/>
      <c r="V1269" s="233" t="n"/>
      <c r="W1269" s="232" t="n"/>
    </row>
    <row r="1270" ht="54.95" customFormat="1" customHeight="1" s="235">
      <c r="A1270" s="234" t="n"/>
      <c r="B1270" s="234" t="n"/>
      <c r="C1270" s="234" t="n"/>
      <c r="D1270" s="234" t="n"/>
      <c r="E1270" s="234" t="n"/>
      <c r="F1270" s="234" t="n"/>
      <c r="G1270" s="234" t="n"/>
      <c r="H1270" s="234" t="n"/>
      <c r="I1270" s="234" t="n"/>
      <c r="J1270" s="234" t="n"/>
      <c r="K1270" s="234" t="n"/>
      <c r="L1270" s="234" t="n"/>
      <c r="M1270" s="232" t="n"/>
      <c r="N1270" s="233" t="n"/>
      <c r="O1270" s="232" t="n"/>
      <c r="P1270" s="234" t="n"/>
      <c r="Q1270" s="234" t="n"/>
      <c r="R1270" s="234" t="n"/>
      <c r="S1270" s="234" t="n"/>
      <c r="T1270" s="234" t="n"/>
      <c r="U1270" s="234" t="n"/>
      <c r="V1270" s="234" t="n"/>
      <c r="W1270" s="234" t="n"/>
    </row>
    <row r="1271" ht="54.95" customFormat="1" customHeight="1" s="235">
      <c r="A1271" s="234" t="n"/>
      <c r="B1271" s="234" t="n"/>
      <c r="C1271" s="234" t="n"/>
      <c r="D1271" s="234" t="n"/>
      <c r="E1271" s="234" t="n"/>
      <c r="F1271" s="234" t="n"/>
      <c r="G1271" s="234" t="n"/>
      <c r="H1271" s="234" t="n"/>
      <c r="I1271" s="234" t="n"/>
      <c r="J1271" s="234" t="n"/>
      <c r="K1271" s="234" t="n"/>
      <c r="L1271" s="234" t="n"/>
      <c r="M1271" s="232" t="n"/>
      <c r="N1271" s="233" t="n"/>
      <c r="O1271" s="232" t="n"/>
      <c r="P1271" s="234" t="n"/>
      <c r="Q1271" s="234" t="n"/>
      <c r="R1271" s="234" t="n"/>
      <c r="S1271" s="234" t="n"/>
      <c r="T1271" s="234" t="n"/>
      <c r="U1271" s="234" t="n"/>
      <c r="V1271" s="234" t="n"/>
      <c r="W1271" s="234" t="n"/>
    </row>
    <row r="1272" ht="54.95" customFormat="1" customHeight="1" s="235">
      <c r="A1272" s="234" t="n"/>
      <c r="B1272" s="234" t="n"/>
      <c r="C1272" s="234" t="n"/>
      <c r="D1272" s="234" t="n"/>
      <c r="E1272" s="234" t="n"/>
      <c r="F1272" s="234" t="n"/>
      <c r="G1272" s="234" t="n"/>
      <c r="H1272" s="234" t="n"/>
      <c r="I1272" s="234" t="n"/>
      <c r="J1272" s="234" t="n"/>
      <c r="K1272" s="234" t="n"/>
      <c r="L1272" s="234" t="n"/>
      <c r="M1272" s="232" t="n"/>
      <c r="N1272" s="233" t="n"/>
      <c r="O1272" s="232" t="n"/>
      <c r="P1272" s="234" t="n"/>
      <c r="Q1272" s="234" t="n"/>
      <c r="R1272" s="234" t="n"/>
      <c r="S1272" s="234" t="n"/>
      <c r="T1272" s="234" t="n"/>
      <c r="U1272" s="234" t="n"/>
      <c r="V1272" s="234" t="n"/>
      <c r="W1272" s="234" t="n"/>
    </row>
    <row r="1273" ht="54.95" customFormat="1" customHeight="1" s="235">
      <c r="A1273" s="234" t="n"/>
      <c r="B1273" s="234" t="n"/>
      <c r="C1273" s="234" t="n"/>
      <c r="D1273" s="234" t="n"/>
      <c r="E1273" s="234" t="n"/>
      <c r="F1273" s="234" t="n"/>
      <c r="G1273" s="234" t="n"/>
      <c r="H1273" s="234" t="n"/>
      <c r="I1273" s="234" t="n"/>
      <c r="J1273" s="234" t="n"/>
      <c r="K1273" s="234" t="n"/>
      <c r="L1273" s="234" t="n"/>
      <c r="M1273" s="232" t="n"/>
      <c r="N1273" s="233" t="n"/>
      <c r="O1273" s="232" t="n"/>
      <c r="P1273" s="234" t="n"/>
      <c r="Q1273" s="234" t="n"/>
      <c r="R1273" s="234" t="n"/>
      <c r="S1273" s="234" t="n"/>
      <c r="T1273" s="234" t="n"/>
      <c r="U1273" s="234" t="n"/>
      <c r="V1273" s="234" t="n"/>
      <c r="W1273" s="234" t="n"/>
    </row>
    <row r="1274" ht="54.95" customFormat="1" customHeight="1" s="235">
      <c r="A1274" s="234" t="n"/>
      <c r="B1274" s="234" t="n"/>
      <c r="C1274" s="234" t="n"/>
      <c r="D1274" s="234" t="n"/>
      <c r="E1274" s="234" t="n"/>
      <c r="F1274" s="234" t="n"/>
      <c r="G1274" s="234" t="n"/>
      <c r="H1274" s="234" t="n"/>
      <c r="I1274" s="234" t="n"/>
      <c r="J1274" s="234" t="n"/>
      <c r="K1274" s="234" t="n"/>
      <c r="L1274" s="234" t="n"/>
      <c r="M1274" s="232" t="n"/>
      <c r="N1274" s="233" t="n"/>
      <c r="O1274" s="232" t="n"/>
      <c r="P1274" s="234" t="n"/>
      <c r="Q1274" s="234" t="n"/>
      <c r="R1274" s="234" t="n"/>
      <c r="S1274" s="234" t="n"/>
      <c r="T1274" s="234" t="n"/>
      <c r="U1274" s="234" t="n"/>
      <c r="V1274" s="234" t="n"/>
      <c r="W1274" s="234" t="n"/>
    </row>
    <row r="1275" ht="54.95" customFormat="1" customHeight="1" s="235">
      <c r="A1275" s="234" t="n"/>
      <c r="B1275" s="234" t="n"/>
      <c r="C1275" s="234" t="n"/>
      <c r="D1275" s="234" t="n"/>
      <c r="E1275" s="234" t="n"/>
      <c r="F1275" s="234" t="n"/>
      <c r="G1275" s="234" t="n"/>
      <c r="H1275" s="234" t="n"/>
      <c r="I1275" s="234" t="n"/>
      <c r="J1275" s="234" t="n"/>
      <c r="K1275" s="234" t="n"/>
      <c r="L1275" s="234" t="n"/>
      <c r="M1275" s="232" t="n"/>
      <c r="N1275" s="233" t="n"/>
      <c r="O1275" s="232" t="n"/>
      <c r="P1275" s="234" t="n"/>
      <c r="Q1275" s="234" t="n"/>
      <c r="R1275" s="234" t="n"/>
      <c r="S1275" s="234" t="n"/>
      <c r="T1275" s="234" t="n"/>
      <c r="U1275" s="234" t="n"/>
      <c r="V1275" s="234" t="n"/>
      <c r="W1275" s="234" t="n"/>
    </row>
    <row r="1276" ht="54.95" customFormat="1" customHeight="1" s="235">
      <c r="A1276" s="234" t="n"/>
      <c r="B1276" s="234" t="n"/>
      <c r="C1276" s="234" t="n"/>
      <c r="D1276" s="234" t="n"/>
      <c r="E1276" s="234" t="n"/>
      <c r="F1276" s="234" t="n"/>
      <c r="G1276" s="234" t="n"/>
      <c r="H1276" s="234" t="n"/>
      <c r="I1276" s="234" t="n"/>
      <c r="J1276" s="234" t="n"/>
      <c r="K1276" s="234" t="n"/>
      <c r="L1276" s="234" t="n"/>
      <c r="M1276" s="232" t="n"/>
      <c r="N1276" s="233" t="n"/>
      <c r="O1276" s="232" t="n"/>
      <c r="P1276" s="234" t="n"/>
      <c r="Q1276" s="234" t="n"/>
      <c r="R1276" s="234" t="n"/>
      <c r="S1276" s="234" t="n"/>
      <c r="T1276" s="234" t="n"/>
      <c r="U1276" s="234" t="n"/>
      <c r="V1276" s="234" t="n"/>
      <c r="W1276" s="234" t="n"/>
    </row>
    <row r="1277" ht="54.95" customFormat="1" customHeight="1" s="235">
      <c r="A1277" s="232" t="n"/>
      <c r="B1277" s="232" t="n"/>
      <c r="C1277" s="232" t="n"/>
      <c r="D1277" s="233" t="n"/>
      <c r="E1277" s="232" t="n"/>
      <c r="F1277" s="233" t="n"/>
      <c r="G1277" s="233" t="n"/>
      <c r="H1277" s="233" t="n"/>
      <c r="I1277" s="232" t="n"/>
      <c r="J1277" s="233" t="n"/>
      <c r="K1277" s="232" t="n"/>
      <c r="L1277" s="232" t="n"/>
      <c r="M1277" s="232" t="n"/>
      <c r="N1277" s="233" t="n"/>
      <c r="O1277" s="232" t="n"/>
      <c r="P1277" s="233" t="n"/>
      <c r="Q1277" s="233" t="n"/>
      <c r="R1277" s="233" t="n"/>
      <c r="S1277" s="232" t="n"/>
      <c r="T1277" s="233" t="n"/>
      <c r="U1277" s="233" t="n"/>
      <c r="V1277" s="233" t="n"/>
      <c r="W1277" s="232" t="n"/>
    </row>
    <row r="1278" ht="54.95" customFormat="1" customHeight="1" s="235">
      <c r="A1278" s="232" t="n"/>
      <c r="B1278" s="232" t="n"/>
      <c r="C1278" s="232" t="n"/>
      <c r="D1278" s="233" t="n"/>
      <c r="E1278" s="232" t="n"/>
      <c r="F1278" s="233" t="n"/>
      <c r="G1278" s="233" t="n"/>
      <c r="H1278" s="233" t="n"/>
      <c r="I1278" s="232" t="n"/>
      <c r="J1278" s="233" t="n"/>
      <c r="K1278" s="232" t="n"/>
      <c r="L1278" s="232" t="n"/>
      <c r="M1278" s="232" t="n"/>
      <c r="N1278" s="233" t="n"/>
      <c r="O1278" s="232" t="n"/>
      <c r="P1278" s="233" t="n"/>
      <c r="Q1278" s="233" t="n"/>
      <c r="R1278" s="233" t="n"/>
      <c r="S1278" s="232" t="n"/>
      <c r="T1278" s="233" t="n"/>
      <c r="U1278" s="233" t="n"/>
      <c r="V1278" s="233" t="n"/>
      <c r="W1278" s="232" t="n"/>
    </row>
    <row r="1279" ht="54.95" customFormat="1" customHeight="1" s="235">
      <c r="A1279" s="234" t="n"/>
      <c r="B1279" s="234" t="n"/>
      <c r="C1279" s="234" t="n"/>
      <c r="D1279" s="234" t="n"/>
      <c r="E1279" s="234" t="n"/>
      <c r="F1279" s="234" t="n"/>
      <c r="G1279" s="234" t="n"/>
      <c r="H1279" s="234" t="n"/>
      <c r="I1279" s="234" t="n"/>
      <c r="J1279" s="234" t="n"/>
      <c r="K1279" s="234" t="n"/>
      <c r="L1279" s="234" t="n"/>
      <c r="M1279" s="232" t="n"/>
      <c r="N1279" s="233" t="n"/>
      <c r="O1279" s="232" t="n"/>
      <c r="P1279" s="234" t="n"/>
      <c r="Q1279" s="234" t="n"/>
      <c r="R1279" s="234" t="n"/>
      <c r="S1279" s="234" t="n"/>
      <c r="T1279" s="234" t="n"/>
      <c r="U1279" s="234" t="n"/>
      <c r="V1279" s="234" t="n"/>
      <c r="W1279" s="234" t="n"/>
    </row>
    <row r="1280" ht="54.95" customFormat="1" customHeight="1" s="235">
      <c r="A1280" s="234" t="n"/>
      <c r="B1280" s="234" t="n"/>
      <c r="C1280" s="234" t="n"/>
      <c r="D1280" s="234" t="n"/>
      <c r="E1280" s="234" t="n"/>
      <c r="F1280" s="234" t="n"/>
      <c r="G1280" s="234" t="n"/>
      <c r="H1280" s="234" t="n"/>
      <c r="I1280" s="234" t="n"/>
      <c r="J1280" s="234" t="n"/>
      <c r="K1280" s="234" t="n"/>
      <c r="L1280" s="234" t="n"/>
      <c r="M1280" s="232" t="n"/>
      <c r="N1280" s="233" t="n"/>
      <c r="O1280" s="232" t="n"/>
      <c r="P1280" s="234" t="n"/>
      <c r="Q1280" s="234" t="n"/>
      <c r="R1280" s="234" t="n"/>
      <c r="S1280" s="234" t="n"/>
      <c r="T1280" s="234" t="n"/>
      <c r="U1280" s="234" t="n"/>
      <c r="V1280" s="234" t="n"/>
      <c r="W1280" s="234" t="n"/>
    </row>
    <row r="1281" ht="54.95" customFormat="1" customHeight="1" s="235">
      <c r="A1281" s="232" t="n"/>
      <c r="B1281" s="232" t="n"/>
      <c r="C1281" s="232" t="n"/>
      <c r="D1281" s="233" t="n"/>
      <c r="E1281" s="232" t="n"/>
      <c r="F1281" s="233" t="n"/>
      <c r="G1281" s="233" t="n"/>
      <c r="H1281" s="233" t="n"/>
      <c r="I1281" s="232" t="n"/>
      <c r="J1281" s="233" t="n"/>
      <c r="K1281" s="232" t="n"/>
      <c r="L1281" s="232" t="n"/>
      <c r="M1281" s="232" t="n"/>
      <c r="N1281" s="233" t="n"/>
      <c r="O1281" s="232" t="n"/>
      <c r="P1281" s="233" t="n"/>
      <c r="Q1281" s="233" t="n"/>
      <c r="R1281" s="233" t="n"/>
      <c r="S1281" s="232" t="n"/>
      <c r="T1281" s="233" t="n"/>
      <c r="U1281" s="233" t="n"/>
      <c r="V1281" s="233" t="n"/>
      <c r="W1281" s="232" t="n"/>
    </row>
    <row r="1282" ht="54.95" customFormat="1" customHeight="1" s="235">
      <c r="A1282" s="232" t="n"/>
      <c r="B1282" s="232" t="n"/>
      <c r="C1282" s="232" t="n"/>
      <c r="D1282" s="233" t="n"/>
      <c r="E1282" s="232" t="n"/>
      <c r="F1282" s="233" t="n"/>
      <c r="G1282" s="233" t="n"/>
      <c r="H1282" s="233" t="n"/>
      <c r="I1282" s="232" t="n"/>
      <c r="J1282" s="233" t="n"/>
      <c r="K1282" s="232" t="n"/>
      <c r="L1282" s="232" t="n"/>
      <c r="M1282" s="232" t="n"/>
      <c r="N1282" s="233" t="n"/>
      <c r="O1282" s="232" t="n"/>
      <c r="P1282" s="233" t="n"/>
      <c r="Q1282" s="233" t="n"/>
      <c r="R1282" s="233" t="n"/>
      <c r="S1282" s="232" t="n"/>
      <c r="T1282" s="233" t="n"/>
      <c r="U1282" s="233" t="n"/>
      <c r="V1282" s="233" t="n"/>
      <c r="W1282" s="232" t="n"/>
    </row>
    <row r="1283" ht="54.95" customFormat="1" customHeight="1" s="235">
      <c r="A1283" s="232" t="n"/>
      <c r="B1283" s="232" t="n"/>
      <c r="C1283" s="232" t="n"/>
      <c r="D1283" s="233" t="n"/>
      <c r="E1283" s="232" t="n"/>
      <c r="F1283" s="233" t="n"/>
      <c r="G1283" s="233" t="n"/>
      <c r="H1283" s="233" t="n"/>
      <c r="I1283" s="232" t="n"/>
      <c r="J1283" s="233" t="n"/>
      <c r="K1283" s="232" t="n"/>
      <c r="L1283" s="232" t="n"/>
      <c r="M1283" s="232" t="n"/>
      <c r="N1283" s="233" t="n"/>
      <c r="O1283" s="232" t="n"/>
      <c r="P1283" s="233" t="n"/>
      <c r="Q1283" s="233" t="n"/>
      <c r="R1283" s="233" t="n"/>
      <c r="S1283" s="232" t="n"/>
      <c r="T1283" s="233" t="n"/>
      <c r="U1283" s="233" t="n"/>
      <c r="V1283" s="233" t="n"/>
      <c r="W1283" s="232" t="n"/>
    </row>
    <row r="1284" ht="54.95" customFormat="1" customHeight="1" s="235">
      <c r="A1284" s="232" t="n"/>
      <c r="B1284" s="232" t="n"/>
      <c r="C1284" s="232" t="n"/>
      <c r="D1284" s="233" t="n"/>
      <c r="E1284" s="232" t="n"/>
      <c r="F1284" s="233" t="n"/>
      <c r="G1284" s="233" t="n"/>
      <c r="H1284" s="233" t="n"/>
      <c r="I1284" s="232" t="n"/>
      <c r="J1284" s="233" t="n"/>
      <c r="K1284" s="232" t="n"/>
      <c r="L1284" s="232" t="n"/>
      <c r="M1284" s="232" t="n"/>
      <c r="N1284" s="233" t="n"/>
      <c r="O1284" s="232" t="n"/>
      <c r="P1284" s="233" t="n"/>
      <c r="Q1284" s="233" t="n"/>
      <c r="R1284" s="233" t="n"/>
      <c r="S1284" s="232" t="n"/>
      <c r="T1284" s="233" t="n"/>
      <c r="U1284" s="233" t="n"/>
      <c r="V1284" s="233" t="n"/>
      <c r="W1284" s="232" t="n"/>
    </row>
    <row r="1285" ht="54.95" customFormat="1" customHeight="1" s="235">
      <c r="A1285" s="232" t="n"/>
      <c r="B1285" s="232" t="n"/>
      <c r="C1285" s="232" t="n"/>
      <c r="D1285" s="233" t="n"/>
      <c r="E1285" s="232" t="n"/>
      <c r="F1285" s="233" t="n"/>
      <c r="G1285" s="233" t="n"/>
      <c r="H1285" s="233" t="n"/>
      <c r="I1285" s="232" t="n"/>
      <c r="J1285" s="233" t="n"/>
      <c r="K1285" s="232" t="n"/>
      <c r="L1285" s="232" t="n"/>
      <c r="M1285" s="232" t="n"/>
      <c r="N1285" s="233" t="n"/>
      <c r="O1285" s="232" t="n"/>
      <c r="P1285" s="233" t="n"/>
      <c r="Q1285" s="233" t="n"/>
      <c r="R1285" s="233" t="n"/>
      <c r="S1285" s="232" t="n"/>
      <c r="T1285" s="233" t="n"/>
      <c r="U1285" s="233" t="n"/>
      <c r="V1285" s="233" t="n"/>
      <c r="W1285" s="232" t="n"/>
    </row>
    <row r="1286" ht="54.95" customFormat="1" customHeight="1" s="235">
      <c r="A1286" s="232" t="n"/>
      <c r="B1286" s="232" t="n"/>
      <c r="C1286" s="232" t="n"/>
      <c r="D1286" s="233" t="n"/>
      <c r="E1286" s="232" t="n"/>
      <c r="F1286" s="233" t="n"/>
      <c r="G1286" s="233" t="n"/>
      <c r="H1286" s="233" t="n"/>
      <c r="I1286" s="232" t="n"/>
      <c r="J1286" s="233" t="n"/>
      <c r="K1286" s="232" t="n"/>
      <c r="L1286" s="232" t="n"/>
      <c r="M1286" s="232" t="n"/>
      <c r="N1286" s="233" t="n"/>
      <c r="O1286" s="232" t="n"/>
      <c r="P1286" s="233" t="n"/>
      <c r="Q1286" s="233" t="n"/>
      <c r="R1286" s="233" t="n"/>
      <c r="S1286" s="232" t="n"/>
      <c r="T1286" s="233" t="n"/>
      <c r="U1286" s="233" t="n"/>
      <c r="V1286" s="233" t="n"/>
      <c r="W1286" s="232" t="n"/>
    </row>
    <row r="1287" ht="54.95" customFormat="1" customHeight="1" s="235">
      <c r="A1287" s="232" t="n"/>
      <c r="B1287" s="232" t="n"/>
      <c r="C1287" s="232" t="n"/>
      <c r="D1287" s="233" t="n"/>
      <c r="E1287" s="232" t="n"/>
      <c r="F1287" s="233" t="n"/>
      <c r="G1287" s="233" t="n"/>
      <c r="H1287" s="233" t="n"/>
      <c r="I1287" s="232" t="n"/>
      <c r="J1287" s="233" t="n"/>
      <c r="K1287" s="232" t="n"/>
      <c r="L1287" s="232" t="n"/>
      <c r="M1287" s="232" t="n"/>
      <c r="N1287" s="233" t="n"/>
      <c r="O1287" s="232" t="n"/>
      <c r="P1287" s="233" t="n"/>
      <c r="Q1287" s="233" t="n"/>
      <c r="R1287" s="233" t="n"/>
      <c r="S1287" s="232" t="n"/>
      <c r="T1287" s="233" t="n"/>
      <c r="U1287" s="233" t="n"/>
      <c r="V1287" s="233" t="n"/>
      <c r="W1287" s="232" t="n"/>
    </row>
    <row r="1288" ht="54.95" customFormat="1" customHeight="1" s="235">
      <c r="A1288" s="234" t="n"/>
      <c r="B1288" s="234" t="n"/>
      <c r="C1288" s="234" t="n"/>
      <c r="D1288" s="234" t="n"/>
      <c r="E1288" s="234" t="n"/>
      <c r="F1288" s="234" t="n"/>
      <c r="G1288" s="234" t="n"/>
      <c r="H1288" s="234" t="n"/>
      <c r="I1288" s="234" t="n"/>
      <c r="J1288" s="234" t="n"/>
      <c r="K1288" s="234" t="n"/>
      <c r="L1288" s="234" t="n"/>
      <c r="M1288" s="232" t="n"/>
      <c r="N1288" s="233" t="n"/>
      <c r="O1288" s="232" t="n"/>
      <c r="P1288" s="234" t="n"/>
      <c r="Q1288" s="234" t="n"/>
      <c r="R1288" s="234" t="n"/>
      <c r="S1288" s="234" t="n"/>
      <c r="T1288" s="234" t="n"/>
      <c r="U1288" s="234" t="n"/>
      <c r="V1288" s="234" t="n"/>
      <c r="W1288" s="234" t="n"/>
    </row>
    <row r="1289" ht="54.95" customFormat="1" customHeight="1" s="235">
      <c r="A1289" s="234" t="n"/>
      <c r="B1289" s="234" t="n"/>
      <c r="C1289" s="234" t="n"/>
      <c r="D1289" s="234" t="n"/>
      <c r="E1289" s="234" t="n"/>
      <c r="F1289" s="234" t="n"/>
      <c r="G1289" s="234" t="n"/>
      <c r="H1289" s="234" t="n"/>
      <c r="I1289" s="234" t="n"/>
      <c r="J1289" s="234" t="n"/>
      <c r="K1289" s="234" t="n"/>
      <c r="L1289" s="234" t="n"/>
      <c r="M1289" s="232" t="n"/>
      <c r="N1289" s="233" t="n"/>
      <c r="O1289" s="232" t="n"/>
      <c r="P1289" s="234" t="n"/>
      <c r="Q1289" s="234" t="n"/>
      <c r="R1289" s="234" t="n"/>
      <c r="S1289" s="234" t="n"/>
      <c r="T1289" s="234" t="n"/>
      <c r="U1289" s="234" t="n"/>
      <c r="V1289" s="234" t="n"/>
      <c r="W1289" s="234" t="n"/>
    </row>
    <row r="1290" ht="54.95" customFormat="1" customHeight="1" s="235">
      <c r="A1290" s="234" t="n"/>
      <c r="B1290" s="234" t="n"/>
      <c r="C1290" s="234" t="n"/>
      <c r="D1290" s="234" t="n"/>
      <c r="E1290" s="234" t="n"/>
      <c r="F1290" s="234" t="n"/>
      <c r="G1290" s="234" t="n"/>
      <c r="H1290" s="234" t="n"/>
      <c r="I1290" s="234" t="n"/>
      <c r="J1290" s="234" t="n"/>
      <c r="K1290" s="234" t="n"/>
      <c r="L1290" s="234" t="n"/>
      <c r="M1290" s="232" t="n"/>
      <c r="N1290" s="233" t="n"/>
      <c r="O1290" s="232" t="n"/>
      <c r="P1290" s="234" t="n"/>
      <c r="Q1290" s="234" t="n"/>
      <c r="R1290" s="234" t="n"/>
      <c r="S1290" s="234" t="n"/>
      <c r="T1290" s="234" t="n"/>
      <c r="U1290" s="234" t="n"/>
      <c r="V1290" s="234" t="n"/>
      <c r="W1290" s="234" t="n"/>
    </row>
    <row r="1291" ht="54.95" customFormat="1" customHeight="1" s="235">
      <c r="A1291" s="232" t="n"/>
      <c r="B1291" s="232" t="n"/>
      <c r="C1291" s="232" t="n"/>
      <c r="D1291" s="233" t="n"/>
      <c r="E1291" s="232" t="n"/>
      <c r="F1291" s="233" t="n"/>
      <c r="G1291" s="233" t="n"/>
      <c r="H1291" s="233" t="n"/>
      <c r="I1291" s="232" t="n"/>
      <c r="J1291" s="233" t="n"/>
      <c r="K1291" s="232" t="n"/>
      <c r="L1291" s="232" t="n"/>
      <c r="M1291" s="232" t="n"/>
      <c r="N1291" s="233" t="n"/>
      <c r="O1291" s="232" t="n"/>
      <c r="P1291" s="233" t="n"/>
      <c r="Q1291" s="233" t="n"/>
      <c r="R1291" s="233" t="n"/>
      <c r="S1291" s="232" t="n"/>
      <c r="T1291" s="233" t="n"/>
      <c r="U1291" s="233" t="n"/>
      <c r="V1291" s="233" t="n"/>
      <c r="W1291" s="232" t="n"/>
    </row>
    <row r="1292" ht="54.95" customFormat="1" customHeight="1" s="235">
      <c r="A1292" s="232" t="n"/>
      <c r="B1292" s="232" t="n"/>
      <c r="C1292" s="232" t="n"/>
      <c r="D1292" s="233" t="n"/>
      <c r="E1292" s="232" t="n"/>
      <c r="F1292" s="233" t="n"/>
      <c r="G1292" s="233" t="n"/>
      <c r="H1292" s="233" t="n"/>
      <c r="I1292" s="232" t="n"/>
      <c r="J1292" s="233" t="n"/>
      <c r="K1292" s="232" t="n"/>
      <c r="L1292" s="232" t="n"/>
      <c r="M1292" s="232" t="n"/>
      <c r="N1292" s="233" t="n"/>
      <c r="O1292" s="232" t="n"/>
      <c r="P1292" s="233" t="n"/>
      <c r="Q1292" s="233" t="n"/>
      <c r="R1292" s="233" t="n"/>
      <c r="S1292" s="232" t="n"/>
      <c r="T1292" s="233" t="n"/>
      <c r="U1292" s="233" t="n"/>
      <c r="V1292" s="233" t="n"/>
      <c r="W1292" s="232" t="n"/>
    </row>
    <row r="1293" ht="54.95" customFormat="1" customHeight="1" s="235">
      <c r="A1293" s="232" t="n"/>
      <c r="B1293" s="232" t="n"/>
      <c r="C1293" s="232" t="n"/>
      <c r="D1293" s="233" t="n"/>
      <c r="E1293" s="232" t="n"/>
      <c r="F1293" s="233" t="n"/>
      <c r="G1293" s="233" t="n"/>
      <c r="H1293" s="233" t="n"/>
      <c r="I1293" s="232" t="n"/>
      <c r="J1293" s="233" t="n"/>
      <c r="K1293" s="232" t="n"/>
      <c r="L1293" s="232" t="n"/>
      <c r="M1293" s="232" t="n"/>
      <c r="N1293" s="233" t="n"/>
      <c r="O1293" s="232" t="n"/>
      <c r="P1293" s="233" t="n"/>
      <c r="Q1293" s="233" t="n"/>
      <c r="R1293" s="233" t="n"/>
      <c r="S1293" s="232" t="n"/>
      <c r="T1293" s="233" t="n"/>
      <c r="U1293" s="233" t="n"/>
      <c r="V1293" s="233" t="n"/>
      <c r="W1293" s="232" t="n"/>
    </row>
    <row r="1294" ht="54.95" customFormat="1" customHeight="1" s="235">
      <c r="A1294" s="232" t="n"/>
      <c r="B1294" s="232" t="n"/>
      <c r="C1294" s="232" t="n"/>
      <c r="D1294" s="233" t="n"/>
      <c r="E1294" s="232" t="n"/>
      <c r="F1294" s="233" t="n"/>
      <c r="G1294" s="233" t="n"/>
      <c r="H1294" s="233" t="n"/>
      <c r="I1294" s="232" t="n"/>
      <c r="J1294" s="233" t="n"/>
      <c r="K1294" s="232" t="n"/>
      <c r="L1294" s="232" t="n"/>
      <c r="M1294" s="232" t="n"/>
      <c r="N1294" s="233" t="n"/>
      <c r="O1294" s="232" t="n"/>
      <c r="P1294" s="233" t="n"/>
      <c r="Q1294" s="233" t="n"/>
      <c r="R1294" s="233" t="n"/>
      <c r="S1294" s="232" t="n"/>
      <c r="T1294" s="233" t="n"/>
      <c r="U1294" s="233" t="n"/>
      <c r="V1294" s="233" t="n"/>
      <c r="W1294" s="232" t="n"/>
    </row>
    <row r="1295" ht="54.95" customFormat="1" customHeight="1" s="235">
      <c r="A1295" s="232" t="n"/>
      <c r="B1295" s="232" t="n"/>
      <c r="C1295" s="232" t="n"/>
      <c r="D1295" s="233" t="n"/>
      <c r="E1295" s="232" t="n"/>
      <c r="F1295" s="233" t="n"/>
      <c r="G1295" s="233" t="n"/>
      <c r="H1295" s="233" t="n"/>
      <c r="I1295" s="232" t="n"/>
      <c r="J1295" s="233" t="n"/>
      <c r="K1295" s="232" t="n"/>
      <c r="L1295" s="232" t="n"/>
      <c r="M1295" s="232" t="n"/>
      <c r="N1295" s="233" t="n"/>
      <c r="O1295" s="232" t="n"/>
      <c r="P1295" s="233" t="n"/>
      <c r="Q1295" s="233" t="n"/>
      <c r="R1295" s="233" t="n"/>
      <c r="S1295" s="232" t="n"/>
      <c r="T1295" s="233" t="n"/>
      <c r="U1295" s="233" t="n"/>
      <c r="V1295" s="233" t="n"/>
      <c r="W1295" s="232" t="n"/>
    </row>
    <row r="1296" ht="54.95" customFormat="1" customHeight="1" s="235">
      <c r="A1296" s="232" t="n"/>
      <c r="B1296" s="232" t="n"/>
      <c r="C1296" s="232" t="n"/>
      <c r="D1296" s="233" t="n"/>
      <c r="E1296" s="232" t="n"/>
      <c r="F1296" s="233" t="n"/>
      <c r="G1296" s="233" t="n"/>
      <c r="H1296" s="233" t="n"/>
      <c r="I1296" s="232" t="n"/>
      <c r="J1296" s="233" t="n"/>
      <c r="K1296" s="232" t="n"/>
      <c r="L1296" s="232" t="n"/>
      <c r="M1296" s="232" t="n"/>
      <c r="N1296" s="233" t="n"/>
      <c r="O1296" s="232" t="n"/>
      <c r="P1296" s="233" t="n"/>
      <c r="Q1296" s="233" t="n"/>
      <c r="R1296" s="233" t="n"/>
      <c r="S1296" s="232" t="n"/>
      <c r="T1296" s="233" t="n"/>
      <c r="U1296" s="233" t="n"/>
      <c r="V1296" s="233" t="n"/>
      <c r="W1296" s="232" t="n"/>
    </row>
    <row r="1297" ht="54.95" customFormat="1" customHeight="1" s="235">
      <c r="A1297" s="232" t="n"/>
      <c r="B1297" s="232" t="n"/>
      <c r="C1297" s="232" t="n"/>
      <c r="D1297" s="233" t="n"/>
      <c r="E1297" s="232" t="n"/>
      <c r="F1297" s="233" t="n"/>
      <c r="G1297" s="233" t="n"/>
      <c r="H1297" s="233" t="n"/>
      <c r="I1297" s="232" t="n"/>
      <c r="J1297" s="233" t="n"/>
      <c r="K1297" s="232" t="n"/>
      <c r="L1297" s="232" t="n"/>
      <c r="M1297" s="232" t="n"/>
      <c r="N1297" s="233" t="n"/>
      <c r="O1297" s="232" t="n"/>
      <c r="P1297" s="233" t="n"/>
      <c r="Q1297" s="233" t="n"/>
      <c r="R1297" s="233" t="n"/>
      <c r="S1297" s="232" t="n"/>
      <c r="T1297" s="233" t="n"/>
      <c r="U1297" s="233" t="n"/>
      <c r="V1297" s="233" t="n"/>
      <c r="W1297" s="232" t="n"/>
    </row>
    <row r="1298" ht="54.95" customFormat="1" customHeight="1" s="235">
      <c r="A1298" s="234" t="n"/>
      <c r="B1298" s="234" t="n"/>
      <c r="C1298" s="234" t="n"/>
      <c r="D1298" s="234" t="n"/>
      <c r="E1298" s="234" t="n"/>
      <c r="F1298" s="234" t="n"/>
      <c r="G1298" s="234" t="n"/>
      <c r="H1298" s="234" t="n"/>
      <c r="I1298" s="234" t="n"/>
      <c r="J1298" s="234" t="n"/>
      <c r="K1298" s="234" t="n"/>
      <c r="L1298" s="234" t="n"/>
      <c r="M1298" s="232" t="n"/>
      <c r="N1298" s="233" t="n"/>
      <c r="O1298" s="232" t="n"/>
      <c r="P1298" s="234" t="n"/>
      <c r="Q1298" s="234" t="n"/>
      <c r="R1298" s="234" t="n"/>
      <c r="S1298" s="234" t="n"/>
      <c r="T1298" s="234" t="n"/>
      <c r="U1298" s="234" t="n"/>
      <c r="V1298" s="234" t="n"/>
      <c r="W1298" s="234" t="n"/>
    </row>
    <row r="1299" ht="54.95" customFormat="1" customHeight="1" s="235">
      <c r="A1299" s="234" t="n"/>
      <c r="B1299" s="234" t="n"/>
      <c r="C1299" s="234" t="n"/>
      <c r="D1299" s="234" t="n"/>
      <c r="E1299" s="234" t="n"/>
      <c r="F1299" s="234" t="n"/>
      <c r="G1299" s="234" t="n"/>
      <c r="H1299" s="234" t="n"/>
      <c r="I1299" s="234" t="n"/>
      <c r="J1299" s="234" t="n"/>
      <c r="K1299" s="234" t="n"/>
      <c r="L1299" s="234" t="n"/>
      <c r="M1299" s="232" t="n"/>
      <c r="N1299" s="233" t="n"/>
      <c r="O1299" s="232" t="n"/>
      <c r="P1299" s="234" t="n"/>
      <c r="Q1299" s="234" t="n"/>
      <c r="R1299" s="234" t="n"/>
      <c r="S1299" s="234" t="n"/>
      <c r="T1299" s="234" t="n"/>
      <c r="U1299" s="234" t="n"/>
      <c r="V1299" s="234" t="n"/>
      <c r="W1299" s="234" t="n"/>
    </row>
    <row r="1300" ht="54.95" customFormat="1" customHeight="1" s="235">
      <c r="A1300" s="234" t="n"/>
      <c r="B1300" s="234" t="n"/>
      <c r="C1300" s="234" t="n"/>
      <c r="D1300" s="234" t="n"/>
      <c r="E1300" s="234" t="n"/>
      <c r="F1300" s="234" t="n"/>
      <c r="G1300" s="234" t="n"/>
      <c r="H1300" s="234" t="n"/>
      <c r="I1300" s="234" t="n"/>
      <c r="J1300" s="234" t="n"/>
      <c r="K1300" s="234" t="n"/>
      <c r="L1300" s="234" t="n"/>
      <c r="M1300" s="232" t="n"/>
      <c r="N1300" s="233" t="n"/>
      <c r="O1300" s="232" t="n"/>
      <c r="P1300" s="234" t="n"/>
      <c r="Q1300" s="234" t="n"/>
      <c r="R1300" s="234" t="n"/>
      <c r="S1300" s="234" t="n"/>
      <c r="T1300" s="234" t="n"/>
      <c r="U1300" s="234" t="n"/>
      <c r="V1300" s="234" t="n"/>
      <c r="W1300" s="234" t="n"/>
    </row>
    <row r="1301" ht="54.95" customFormat="1" customHeight="1" s="235">
      <c r="A1301" s="232" t="n"/>
      <c r="B1301" s="232" t="n"/>
      <c r="C1301" s="232" t="n"/>
      <c r="D1301" s="233" t="n"/>
      <c r="E1301" s="232" t="n"/>
      <c r="F1301" s="233" t="n"/>
      <c r="G1301" s="233" t="n"/>
      <c r="H1301" s="233" t="n"/>
      <c r="I1301" s="232" t="n"/>
      <c r="J1301" s="233" t="n"/>
      <c r="K1301" s="232" t="n"/>
      <c r="L1301" s="232" t="n"/>
      <c r="M1301" s="232" t="n"/>
      <c r="N1301" s="233" t="n"/>
      <c r="O1301" s="232" t="n"/>
      <c r="P1301" s="233" t="n"/>
      <c r="Q1301" s="233" t="n"/>
      <c r="R1301" s="233" t="n"/>
      <c r="S1301" s="232" t="n"/>
      <c r="T1301" s="233" t="n"/>
      <c r="U1301" s="233" t="n"/>
      <c r="V1301" s="233" t="n"/>
      <c r="W1301" s="232" t="n"/>
    </row>
    <row r="1302" ht="54.95" customFormat="1" customHeight="1" s="235">
      <c r="A1302" s="232" t="n"/>
      <c r="B1302" s="232" t="n"/>
      <c r="C1302" s="232" t="n"/>
      <c r="D1302" s="233" t="n"/>
      <c r="E1302" s="232" t="n"/>
      <c r="F1302" s="233" t="n"/>
      <c r="G1302" s="233" t="n"/>
      <c r="H1302" s="233" t="n"/>
      <c r="I1302" s="232" t="n"/>
      <c r="J1302" s="233" t="n"/>
      <c r="K1302" s="232" t="n"/>
      <c r="L1302" s="232" t="n"/>
      <c r="M1302" s="232" t="n"/>
      <c r="N1302" s="233" t="n"/>
      <c r="O1302" s="232" t="n"/>
      <c r="P1302" s="233" t="n"/>
      <c r="Q1302" s="233" t="n"/>
      <c r="R1302" s="233" t="n"/>
      <c r="S1302" s="232" t="n"/>
      <c r="T1302" s="233" t="n"/>
      <c r="U1302" s="233" t="n"/>
      <c r="V1302" s="233" t="n"/>
      <c r="W1302" s="232" t="n"/>
    </row>
    <row r="1303" ht="54.95" customFormat="1" customHeight="1" s="235">
      <c r="A1303" s="232" t="n"/>
      <c r="B1303" s="232" t="n"/>
      <c r="C1303" s="232" t="n"/>
      <c r="D1303" s="233" t="n"/>
      <c r="E1303" s="232" t="n"/>
      <c r="F1303" s="233" t="n"/>
      <c r="G1303" s="233" t="n"/>
      <c r="H1303" s="233" t="n"/>
      <c r="I1303" s="232" t="n"/>
      <c r="J1303" s="233" t="n"/>
      <c r="K1303" s="232" t="n"/>
      <c r="L1303" s="232" t="n"/>
      <c r="M1303" s="232" t="n"/>
      <c r="N1303" s="233" t="n"/>
      <c r="O1303" s="232" t="n"/>
      <c r="P1303" s="233" t="n"/>
      <c r="Q1303" s="233" t="n"/>
      <c r="R1303" s="233" t="n"/>
      <c r="S1303" s="232" t="n"/>
      <c r="T1303" s="233" t="n"/>
      <c r="U1303" s="233" t="n"/>
      <c r="V1303" s="233" t="n"/>
      <c r="W1303" s="232" t="n"/>
    </row>
    <row r="1304" ht="54.95" customFormat="1" customHeight="1" s="235">
      <c r="A1304" s="232" t="n"/>
      <c r="B1304" s="232" t="n"/>
      <c r="C1304" s="232" t="n"/>
      <c r="D1304" s="233" t="n"/>
      <c r="E1304" s="232" t="n"/>
      <c r="F1304" s="233" t="n"/>
      <c r="G1304" s="233" t="n"/>
      <c r="H1304" s="233" t="n"/>
      <c r="I1304" s="232" t="n"/>
      <c r="J1304" s="233" t="n"/>
      <c r="K1304" s="232" t="n"/>
      <c r="L1304" s="232" t="n"/>
      <c r="M1304" s="232" t="n"/>
      <c r="N1304" s="233" t="n"/>
      <c r="O1304" s="232" t="n"/>
      <c r="P1304" s="233" t="n"/>
      <c r="Q1304" s="233" t="n"/>
      <c r="R1304" s="233" t="n"/>
      <c r="S1304" s="232" t="n"/>
      <c r="T1304" s="233" t="n"/>
      <c r="U1304" s="233" t="n"/>
      <c r="V1304" s="233" t="n"/>
      <c r="W1304" s="232" t="n"/>
    </row>
    <row r="1305" ht="54.95" customFormat="1" customHeight="1" s="235">
      <c r="A1305" s="232" t="n"/>
      <c r="B1305" s="232" t="n"/>
      <c r="C1305" s="232" t="n"/>
      <c r="D1305" s="233" t="n"/>
      <c r="E1305" s="232" t="n"/>
      <c r="F1305" s="233" t="n"/>
      <c r="G1305" s="233" t="n"/>
      <c r="H1305" s="233" t="n"/>
      <c r="I1305" s="232" t="n"/>
      <c r="J1305" s="233" t="n"/>
      <c r="K1305" s="232" t="n"/>
      <c r="L1305" s="232" t="n"/>
      <c r="M1305" s="232" t="n"/>
      <c r="N1305" s="233" t="n"/>
      <c r="O1305" s="232" t="n"/>
      <c r="P1305" s="233" t="n"/>
      <c r="Q1305" s="233" t="n"/>
      <c r="R1305" s="233" t="n"/>
      <c r="S1305" s="232" t="n"/>
      <c r="T1305" s="233" t="n"/>
      <c r="U1305" s="233" t="n"/>
      <c r="V1305" s="233" t="n"/>
      <c r="W1305" s="232" t="n"/>
    </row>
    <row r="1306" ht="54.95" customFormat="1" customHeight="1" s="235">
      <c r="A1306" s="232" t="n"/>
      <c r="B1306" s="232" t="n"/>
      <c r="C1306" s="232" t="n"/>
      <c r="D1306" s="233" t="n"/>
      <c r="E1306" s="232" t="n"/>
      <c r="F1306" s="233" t="n"/>
      <c r="G1306" s="233" t="n"/>
      <c r="H1306" s="233" t="n"/>
      <c r="I1306" s="232" t="n"/>
      <c r="J1306" s="233" t="n"/>
      <c r="K1306" s="232" t="n"/>
      <c r="L1306" s="232" t="n"/>
      <c r="M1306" s="232" t="n"/>
      <c r="N1306" s="233" t="n"/>
      <c r="O1306" s="232" t="n"/>
      <c r="P1306" s="233" t="n"/>
      <c r="Q1306" s="233" t="n"/>
      <c r="R1306" s="233" t="n"/>
      <c r="S1306" s="232" t="n"/>
      <c r="T1306" s="233" t="n"/>
      <c r="U1306" s="233" t="n"/>
      <c r="V1306" s="233" t="n"/>
      <c r="W1306" s="232" t="n"/>
    </row>
    <row r="1307" ht="54.95" customFormat="1" customHeight="1" s="235">
      <c r="A1307" s="232" t="n"/>
      <c r="B1307" s="232" t="n"/>
      <c r="C1307" s="232" t="n"/>
      <c r="D1307" s="233" t="n"/>
      <c r="E1307" s="232" t="n"/>
      <c r="F1307" s="233" t="n"/>
      <c r="G1307" s="233" t="n"/>
      <c r="H1307" s="233" t="n"/>
      <c r="I1307" s="232" t="n"/>
      <c r="J1307" s="233" t="n"/>
      <c r="K1307" s="232" t="n"/>
      <c r="L1307" s="232" t="n"/>
      <c r="M1307" s="232" t="n"/>
      <c r="N1307" s="233" t="n"/>
      <c r="O1307" s="232" t="n"/>
      <c r="P1307" s="233" t="n"/>
      <c r="Q1307" s="233" t="n"/>
      <c r="R1307" s="233" t="n"/>
      <c r="S1307" s="232" t="n"/>
      <c r="T1307" s="233" t="n"/>
      <c r="U1307" s="233" t="n"/>
      <c r="V1307" s="233" t="n"/>
      <c r="W1307" s="232" t="n"/>
    </row>
    <row r="1308" ht="54.95" customFormat="1" customHeight="1" s="235">
      <c r="A1308" s="232" t="n"/>
      <c r="B1308" s="232" t="n"/>
      <c r="C1308" s="232" t="n"/>
      <c r="D1308" s="233" t="n"/>
      <c r="E1308" s="232" t="n"/>
      <c r="F1308" s="233" t="n"/>
      <c r="G1308" s="233" t="n"/>
      <c r="H1308" s="233" t="n"/>
      <c r="I1308" s="232" t="n"/>
      <c r="J1308" s="233" t="n"/>
      <c r="K1308" s="232" t="n"/>
      <c r="L1308" s="232" t="n"/>
      <c r="M1308" s="232" t="n"/>
      <c r="N1308" s="233" t="n"/>
      <c r="O1308" s="232" t="n"/>
      <c r="P1308" s="233" t="n"/>
      <c r="Q1308" s="233" t="n"/>
      <c r="R1308" s="233" t="n"/>
      <c r="S1308" s="232" t="n"/>
      <c r="T1308" s="233" t="n"/>
      <c r="U1308" s="233" t="n"/>
      <c r="V1308" s="233" t="n"/>
      <c r="W1308" s="232" t="n"/>
    </row>
    <row r="1309" ht="54.95" customFormat="1" customHeight="1" s="235">
      <c r="A1309" s="232" t="n"/>
      <c r="B1309" s="232" t="n"/>
      <c r="C1309" s="232" t="n"/>
      <c r="D1309" s="233" t="n"/>
      <c r="E1309" s="232" t="n"/>
      <c r="F1309" s="233" t="n"/>
      <c r="G1309" s="233" t="n"/>
      <c r="H1309" s="233" t="n"/>
      <c r="I1309" s="232" t="n"/>
      <c r="J1309" s="233" t="n"/>
      <c r="K1309" s="232" t="n"/>
      <c r="L1309" s="232" t="n"/>
      <c r="M1309" s="232" t="n"/>
      <c r="N1309" s="233" t="n"/>
      <c r="O1309" s="232" t="n"/>
      <c r="P1309" s="233" t="n"/>
      <c r="Q1309" s="233" t="n"/>
      <c r="R1309" s="233" t="n"/>
      <c r="S1309" s="232" t="n"/>
      <c r="T1309" s="233" t="n"/>
      <c r="U1309" s="233" t="n"/>
      <c r="V1309" s="233" t="n"/>
      <c r="W1309" s="232" t="n"/>
    </row>
    <row r="1310" ht="54.95" customFormat="1" customHeight="1" s="235">
      <c r="A1310" s="232" t="n"/>
      <c r="B1310" s="232" t="n"/>
      <c r="C1310" s="232" t="n"/>
      <c r="D1310" s="233" t="n"/>
      <c r="E1310" s="232" t="n"/>
      <c r="F1310" s="233" t="n"/>
      <c r="G1310" s="233" t="n"/>
      <c r="H1310" s="233" t="n"/>
      <c r="I1310" s="232" t="n"/>
      <c r="J1310" s="233" t="n"/>
      <c r="K1310" s="232" t="n"/>
      <c r="L1310" s="232" t="n"/>
      <c r="M1310" s="232" t="n"/>
      <c r="N1310" s="233" t="n"/>
      <c r="O1310" s="232" t="n"/>
      <c r="P1310" s="233" t="n"/>
      <c r="Q1310" s="233" t="n"/>
      <c r="R1310" s="233" t="n"/>
      <c r="S1310" s="232" t="n"/>
      <c r="T1310" s="233" t="n"/>
      <c r="U1310" s="233" t="n"/>
      <c r="V1310" s="233" t="n"/>
      <c r="W1310" s="232" t="n"/>
    </row>
    <row r="1311" ht="54.95" customFormat="1" customHeight="1" s="235">
      <c r="A1311" s="234" t="n"/>
      <c r="B1311" s="234" t="n"/>
      <c r="C1311" s="234" t="n"/>
      <c r="D1311" s="234" t="n"/>
      <c r="E1311" s="234" t="n"/>
      <c r="F1311" s="234" t="n"/>
      <c r="G1311" s="234" t="n"/>
      <c r="H1311" s="234" t="n"/>
      <c r="I1311" s="234" t="n"/>
      <c r="J1311" s="234" t="n"/>
      <c r="K1311" s="234" t="n"/>
      <c r="L1311" s="234" t="n"/>
      <c r="M1311" s="232" t="n"/>
      <c r="N1311" s="233" t="n"/>
      <c r="O1311" s="232" t="n"/>
      <c r="P1311" s="234" t="n"/>
      <c r="Q1311" s="234" t="n"/>
      <c r="R1311" s="234" t="n"/>
      <c r="S1311" s="234" t="n"/>
      <c r="T1311" s="234" t="n"/>
      <c r="U1311" s="234" t="n"/>
      <c r="V1311" s="234" t="n"/>
      <c r="W1311" s="234" t="n"/>
    </row>
    <row r="1312" ht="54.95" customFormat="1" customHeight="1" s="235">
      <c r="A1312" s="234" t="n"/>
      <c r="B1312" s="234" t="n"/>
      <c r="C1312" s="234" t="n"/>
      <c r="D1312" s="234" t="n"/>
      <c r="E1312" s="234" t="n"/>
      <c r="F1312" s="234" t="n"/>
      <c r="G1312" s="234" t="n"/>
      <c r="H1312" s="234" t="n"/>
      <c r="I1312" s="234" t="n"/>
      <c r="J1312" s="234" t="n"/>
      <c r="K1312" s="234" t="n"/>
      <c r="L1312" s="234" t="n"/>
      <c r="M1312" s="232" t="n"/>
      <c r="N1312" s="233" t="n"/>
      <c r="O1312" s="232" t="n"/>
      <c r="P1312" s="234" t="n"/>
      <c r="Q1312" s="234" t="n"/>
      <c r="R1312" s="234" t="n"/>
      <c r="S1312" s="234" t="n"/>
      <c r="T1312" s="234" t="n"/>
      <c r="U1312" s="234" t="n"/>
      <c r="V1312" s="234" t="n"/>
      <c r="W1312" s="234" t="n"/>
    </row>
    <row r="1313" ht="54.95" customFormat="1" customHeight="1" s="235">
      <c r="A1313" s="232" t="n"/>
      <c r="B1313" s="232" t="n"/>
      <c r="C1313" s="232" t="n"/>
      <c r="D1313" s="233" t="n"/>
      <c r="E1313" s="232" t="n"/>
      <c r="F1313" s="233" t="n"/>
      <c r="G1313" s="233" t="n"/>
      <c r="H1313" s="233" t="n"/>
      <c r="I1313" s="232" t="n"/>
      <c r="J1313" s="233" t="n"/>
      <c r="K1313" s="232" t="n"/>
      <c r="L1313" s="232" t="n"/>
      <c r="M1313" s="232" t="n"/>
      <c r="N1313" s="233" t="n"/>
      <c r="O1313" s="232" t="n"/>
      <c r="P1313" s="233" t="n"/>
      <c r="Q1313" s="233" t="n"/>
      <c r="R1313" s="233" t="n"/>
      <c r="S1313" s="232" t="n"/>
      <c r="T1313" s="233" t="n"/>
      <c r="U1313" s="233" t="n"/>
      <c r="V1313" s="233" t="n"/>
      <c r="W1313" s="232" t="n"/>
    </row>
    <row r="1314" ht="54.95" customFormat="1" customHeight="1" s="235">
      <c r="A1314" s="234" t="n"/>
      <c r="B1314" s="234" t="n"/>
      <c r="C1314" s="234" t="n"/>
      <c r="D1314" s="234" t="n"/>
      <c r="E1314" s="234" t="n"/>
      <c r="F1314" s="234" t="n"/>
      <c r="G1314" s="234" t="n"/>
      <c r="H1314" s="234" t="n"/>
      <c r="I1314" s="234" t="n"/>
      <c r="J1314" s="234" t="n"/>
      <c r="K1314" s="234" t="n"/>
      <c r="L1314" s="234" t="n"/>
      <c r="M1314" s="232" t="n"/>
      <c r="N1314" s="233" t="n"/>
      <c r="O1314" s="232" t="n"/>
      <c r="P1314" s="234" t="n"/>
      <c r="Q1314" s="234" t="n"/>
      <c r="R1314" s="234" t="n"/>
      <c r="S1314" s="234" t="n"/>
      <c r="T1314" s="234" t="n"/>
      <c r="U1314" s="234" t="n"/>
      <c r="V1314" s="234" t="n"/>
      <c r="W1314" s="234" t="n"/>
    </row>
    <row r="1315" ht="54.95" customFormat="1" customHeight="1" s="235">
      <c r="A1315" s="234" t="n"/>
      <c r="B1315" s="234" t="n"/>
      <c r="C1315" s="234" t="n"/>
      <c r="D1315" s="234" t="n"/>
      <c r="E1315" s="234" t="n"/>
      <c r="F1315" s="234" t="n"/>
      <c r="G1315" s="234" t="n"/>
      <c r="H1315" s="234" t="n"/>
      <c r="I1315" s="234" t="n"/>
      <c r="J1315" s="234" t="n"/>
      <c r="K1315" s="234" t="n"/>
      <c r="L1315" s="234" t="n"/>
      <c r="M1315" s="232" t="n"/>
      <c r="N1315" s="233" t="n"/>
      <c r="O1315" s="232" t="n"/>
      <c r="P1315" s="234" t="n"/>
      <c r="Q1315" s="234" t="n"/>
      <c r="R1315" s="234" t="n"/>
      <c r="S1315" s="234" t="n"/>
      <c r="T1315" s="234" t="n"/>
      <c r="U1315" s="234" t="n"/>
      <c r="V1315" s="234" t="n"/>
      <c r="W1315" s="234" t="n"/>
    </row>
    <row r="1316" ht="54.95" customFormat="1" customHeight="1" s="235">
      <c r="A1316" s="234" t="n"/>
      <c r="B1316" s="234" t="n"/>
      <c r="C1316" s="234" t="n"/>
      <c r="D1316" s="234" t="n"/>
      <c r="E1316" s="234" t="n"/>
      <c r="F1316" s="234" t="n"/>
      <c r="G1316" s="234" t="n"/>
      <c r="H1316" s="234" t="n"/>
      <c r="I1316" s="234" t="n"/>
      <c r="J1316" s="234" t="n"/>
      <c r="K1316" s="234" t="n"/>
      <c r="L1316" s="234" t="n"/>
      <c r="M1316" s="232" t="n"/>
      <c r="N1316" s="233" t="n"/>
      <c r="O1316" s="232" t="n"/>
      <c r="P1316" s="234" t="n"/>
      <c r="Q1316" s="234" t="n"/>
      <c r="R1316" s="234" t="n"/>
      <c r="S1316" s="234" t="n"/>
      <c r="T1316" s="234" t="n"/>
      <c r="U1316" s="234" t="n"/>
      <c r="V1316" s="234" t="n"/>
      <c r="W1316" s="234" t="n"/>
    </row>
    <row r="1317" ht="54.95" customFormat="1" customHeight="1" s="235">
      <c r="A1317" s="232" t="n"/>
      <c r="B1317" s="232" t="n"/>
      <c r="C1317" s="232" t="n"/>
      <c r="D1317" s="233" t="n"/>
      <c r="E1317" s="232" t="n"/>
      <c r="F1317" s="233" t="n"/>
      <c r="G1317" s="233" t="n"/>
      <c r="H1317" s="233" t="n"/>
      <c r="I1317" s="232" t="n"/>
      <c r="J1317" s="233" t="n"/>
      <c r="K1317" s="232" t="n"/>
      <c r="L1317" s="232" t="n"/>
      <c r="M1317" s="232" t="n"/>
      <c r="N1317" s="233" t="n"/>
      <c r="O1317" s="232" t="n"/>
      <c r="P1317" s="233" t="n"/>
      <c r="Q1317" s="233" t="n"/>
      <c r="R1317" s="233" t="n"/>
      <c r="S1317" s="232" t="n"/>
      <c r="T1317" s="233" t="n"/>
      <c r="U1317" s="233" t="n"/>
      <c r="V1317" s="233" t="n"/>
      <c r="W1317" s="232" t="n"/>
    </row>
    <row r="1318" ht="54.95" customFormat="1" customHeight="1" s="235">
      <c r="A1318" s="232" t="n"/>
      <c r="B1318" s="232" t="n"/>
      <c r="C1318" s="232" t="n"/>
      <c r="D1318" s="233" t="n"/>
      <c r="E1318" s="232" t="n"/>
      <c r="F1318" s="233" t="n"/>
      <c r="G1318" s="233" t="n"/>
      <c r="H1318" s="233" t="n"/>
      <c r="I1318" s="232" t="n"/>
      <c r="J1318" s="233" t="n"/>
      <c r="K1318" s="232" t="n"/>
      <c r="L1318" s="232" t="n"/>
      <c r="M1318" s="232" t="n"/>
      <c r="N1318" s="233" t="n"/>
      <c r="O1318" s="232" t="n"/>
      <c r="P1318" s="233" t="n"/>
      <c r="Q1318" s="233" t="n"/>
      <c r="R1318" s="233" t="n"/>
      <c r="S1318" s="232" t="n"/>
      <c r="T1318" s="233" t="n"/>
      <c r="U1318" s="233" t="n"/>
      <c r="V1318" s="233" t="n"/>
      <c r="W1318" s="232" t="n"/>
    </row>
    <row r="1319" ht="54.95" customFormat="1" customHeight="1" s="235">
      <c r="A1319" s="234" t="n"/>
      <c r="B1319" s="234" t="n"/>
      <c r="C1319" s="234" t="n"/>
      <c r="D1319" s="234" t="n"/>
      <c r="E1319" s="234" t="n"/>
      <c r="F1319" s="234" t="n"/>
      <c r="G1319" s="234" t="n"/>
      <c r="H1319" s="234" t="n"/>
      <c r="I1319" s="234" t="n"/>
      <c r="J1319" s="234" t="n"/>
      <c r="K1319" s="234" t="n"/>
      <c r="L1319" s="234" t="n"/>
      <c r="M1319" s="232" t="n"/>
      <c r="N1319" s="233" t="n"/>
      <c r="O1319" s="232" t="n"/>
      <c r="P1319" s="234" t="n"/>
      <c r="Q1319" s="234" t="n"/>
      <c r="R1319" s="234" t="n"/>
      <c r="S1319" s="234" t="n"/>
      <c r="T1319" s="234" t="n"/>
      <c r="U1319" s="234" t="n"/>
      <c r="V1319" s="234" t="n"/>
      <c r="W1319" s="234" t="n"/>
    </row>
    <row r="1320" ht="54.95" customFormat="1" customHeight="1" s="235">
      <c r="A1320" s="232" t="n"/>
      <c r="B1320" s="232" t="n"/>
      <c r="C1320" s="232" t="n"/>
      <c r="D1320" s="233" t="n"/>
      <c r="E1320" s="232" t="n"/>
      <c r="F1320" s="233" t="n"/>
      <c r="G1320" s="233" t="n"/>
      <c r="H1320" s="233" t="n"/>
      <c r="I1320" s="232" t="n"/>
      <c r="J1320" s="233" t="n"/>
      <c r="K1320" s="232" t="n"/>
      <c r="L1320" s="232" t="n"/>
      <c r="M1320" s="232" t="n"/>
      <c r="N1320" s="233" t="n"/>
      <c r="O1320" s="232" t="n"/>
      <c r="P1320" s="233" t="n"/>
      <c r="Q1320" s="233" t="n"/>
      <c r="R1320" s="233" t="n"/>
      <c r="S1320" s="232" t="n"/>
      <c r="T1320" s="233" t="n"/>
      <c r="U1320" s="233" t="n"/>
      <c r="V1320" s="233" t="n"/>
      <c r="W1320" s="232" t="n"/>
    </row>
    <row r="1321" ht="54.95" customFormat="1" customHeight="1" s="235">
      <c r="A1321" s="232" t="n"/>
      <c r="B1321" s="232" t="n"/>
      <c r="C1321" s="232" t="n"/>
      <c r="D1321" s="233" t="n"/>
      <c r="E1321" s="232" t="n"/>
      <c r="F1321" s="233" t="n"/>
      <c r="G1321" s="233" t="n"/>
      <c r="H1321" s="233" t="n"/>
      <c r="I1321" s="232" t="n"/>
      <c r="J1321" s="233" t="n"/>
      <c r="K1321" s="232" t="n"/>
      <c r="L1321" s="232" t="n"/>
      <c r="M1321" s="232" t="n"/>
      <c r="N1321" s="233" t="n"/>
      <c r="O1321" s="232" t="n"/>
      <c r="P1321" s="233" t="n"/>
      <c r="Q1321" s="233" t="n"/>
      <c r="R1321" s="233" t="n"/>
      <c r="S1321" s="232" t="n"/>
      <c r="T1321" s="233" t="n"/>
      <c r="U1321" s="233" t="n"/>
      <c r="V1321" s="233" t="n"/>
      <c r="W1321" s="232" t="n"/>
    </row>
    <row r="1322" ht="54.95" customFormat="1" customHeight="1" s="235">
      <c r="A1322" s="232" t="n"/>
      <c r="B1322" s="232" t="n"/>
      <c r="C1322" s="232" t="n"/>
      <c r="D1322" s="233" t="n"/>
      <c r="E1322" s="232" t="n"/>
      <c r="F1322" s="233" t="n"/>
      <c r="G1322" s="233" t="n"/>
      <c r="H1322" s="233" t="n"/>
      <c r="I1322" s="232" t="n"/>
      <c r="J1322" s="233" t="n"/>
      <c r="K1322" s="232" t="n"/>
      <c r="L1322" s="232" t="n"/>
      <c r="M1322" s="232" t="n"/>
      <c r="N1322" s="233" t="n"/>
      <c r="O1322" s="232" t="n"/>
      <c r="P1322" s="233" t="n"/>
      <c r="Q1322" s="233" t="n"/>
      <c r="R1322" s="233" t="n"/>
      <c r="S1322" s="232" t="n"/>
      <c r="T1322" s="233" t="n"/>
      <c r="U1322" s="233" t="n"/>
      <c r="V1322" s="233" t="n"/>
      <c r="W1322" s="232" t="n"/>
    </row>
    <row r="1323" ht="54.95" customFormat="1" customHeight="1" s="235">
      <c r="A1323" s="232" t="n"/>
      <c r="B1323" s="232" t="n"/>
      <c r="C1323" s="232" t="n"/>
      <c r="D1323" s="233" t="n"/>
      <c r="E1323" s="232" t="n"/>
      <c r="F1323" s="233" t="n"/>
      <c r="G1323" s="233" t="n"/>
      <c r="H1323" s="233" t="n"/>
      <c r="I1323" s="232" t="n"/>
      <c r="J1323" s="233" t="n"/>
      <c r="K1323" s="232" t="n"/>
      <c r="L1323" s="232" t="n"/>
      <c r="M1323" s="232" t="n"/>
      <c r="N1323" s="233" t="n"/>
      <c r="O1323" s="232" t="n"/>
      <c r="P1323" s="233" t="n"/>
      <c r="Q1323" s="233" t="n"/>
      <c r="R1323" s="233" t="n"/>
      <c r="S1323" s="232" t="n"/>
      <c r="T1323" s="233" t="n"/>
      <c r="U1323" s="233" t="n"/>
      <c r="V1323" s="233" t="n"/>
      <c r="W1323" s="232" t="n"/>
    </row>
    <row r="1324" ht="54.95" customFormat="1" customHeight="1" s="235">
      <c r="A1324" s="232" t="n"/>
      <c r="B1324" s="232" t="n"/>
      <c r="C1324" s="232" t="n"/>
      <c r="D1324" s="233" t="n"/>
      <c r="E1324" s="232" t="n"/>
      <c r="F1324" s="233" t="n"/>
      <c r="G1324" s="233" t="n"/>
      <c r="H1324" s="233" t="n"/>
      <c r="I1324" s="232" t="n"/>
      <c r="J1324" s="233" t="n"/>
      <c r="K1324" s="232" t="n"/>
      <c r="L1324" s="232" t="n"/>
      <c r="M1324" s="232" t="n"/>
      <c r="N1324" s="233" t="n"/>
      <c r="O1324" s="232" t="n"/>
      <c r="P1324" s="233" t="n"/>
      <c r="Q1324" s="233" t="n"/>
      <c r="R1324" s="233" t="n"/>
      <c r="S1324" s="232" t="n"/>
      <c r="T1324" s="233" t="n"/>
      <c r="U1324" s="233" t="n"/>
      <c r="V1324" s="233" t="n"/>
      <c r="W1324" s="232" t="n"/>
    </row>
    <row r="1325" ht="54.95" customFormat="1" customHeight="1" s="235">
      <c r="A1325" s="232" t="n"/>
      <c r="B1325" s="232" t="n"/>
      <c r="C1325" s="232" t="n"/>
      <c r="D1325" s="233" t="n"/>
      <c r="E1325" s="232" t="n"/>
      <c r="F1325" s="233" t="n"/>
      <c r="G1325" s="233" t="n"/>
      <c r="H1325" s="233" t="n"/>
      <c r="I1325" s="232" t="n"/>
      <c r="J1325" s="233" t="n"/>
      <c r="K1325" s="232" t="n"/>
      <c r="L1325" s="232" t="n"/>
      <c r="M1325" s="232" t="n"/>
      <c r="N1325" s="233" t="n"/>
      <c r="O1325" s="232" t="n"/>
      <c r="P1325" s="233" t="n"/>
      <c r="Q1325" s="233" t="n"/>
      <c r="R1325" s="233" t="n"/>
      <c r="S1325" s="232" t="n"/>
      <c r="T1325" s="233" t="n"/>
      <c r="U1325" s="233" t="n"/>
      <c r="V1325" s="233" t="n"/>
      <c r="W1325" s="232" t="n"/>
    </row>
    <row r="1326" ht="54.95" customFormat="1" customHeight="1" s="235">
      <c r="A1326" s="232" t="n"/>
      <c r="B1326" s="232" t="n"/>
      <c r="C1326" s="232" t="n"/>
      <c r="D1326" s="233" t="n"/>
      <c r="E1326" s="232" t="n"/>
      <c r="F1326" s="233" t="n"/>
      <c r="G1326" s="233" t="n"/>
      <c r="H1326" s="233" t="n"/>
      <c r="I1326" s="232" t="n"/>
      <c r="J1326" s="233" t="n"/>
      <c r="K1326" s="232" t="n"/>
      <c r="L1326" s="232" t="n"/>
      <c r="M1326" s="232" t="n"/>
      <c r="N1326" s="233" t="n"/>
      <c r="O1326" s="232" t="n"/>
      <c r="P1326" s="233" t="n"/>
      <c r="Q1326" s="233" t="n"/>
      <c r="R1326" s="233" t="n"/>
      <c r="S1326" s="232" t="n"/>
      <c r="T1326" s="233" t="n"/>
      <c r="U1326" s="233" t="n"/>
      <c r="V1326" s="233" t="n"/>
      <c r="W1326" s="232" t="n"/>
    </row>
    <row r="1327" ht="54.95" customFormat="1" customHeight="1" s="235">
      <c r="A1327" s="232" t="n"/>
      <c r="B1327" s="232" t="n"/>
      <c r="C1327" s="232" t="n"/>
      <c r="D1327" s="233" t="n"/>
      <c r="E1327" s="232" t="n"/>
      <c r="F1327" s="233" t="n"/>
      <c r="G1327" s="233" t="n"/>
      <c r="H1327" s="233" t="n"/>
      <c r="I1327" s="232" t="n"/>
      <c r="J1327" s="233" t="n"/>
      <c r="K1327" s="232" t="n"/>
      <c r="L1327" s="232" t="n"/>
      <c r="M1327" s="232" t="n"/>
      <c r="N1327" s="233" t="n"/>
      <c r="O1327" s="232" t="n"/>
      <c r="P1327" s="233" t="n"/>
      <c r="Q1327" s="233" t="n"/>
      <c r="R1327" s="233" t="n"/>
      <c r="S1327" s="232" t="n"/>
      <c r="T1327" s="233" t="n"/>
      <c r="U1327" s="233" t="n"/>
      <c r="V1327" s="233" t="n"/>
      <c r="W1327" s="232" t="n"/>
    </row>
    <row r="1328" ht="54.95" customFormat="1" customHeight="1" s="235">
      <c r="A1328" s="234" t="n"/>
      <c r="B1328" s="234" t="n"/>
      <c r="C1328" s="234" t="n"/>
      <c r="D1328" s="234" t="n"/>
      <c r="E1328" s="234" t="n"/>
      <c r="F1328" s="234" t="n"/>
      <c r="G1328" s="234" t="n"/>
      <c r="H1328" s="234" t="n"/>
      <c r="I1328" s="234" t="n"/>
      <c r="J1328" s="234" t="n"/>
      <c r="K1328" s="234" t="n"/>
      <c r="L1328" s="234" t="n"/>
      <c r="M1328" s="232" t="n"/>
      <c r="N1328" s="233" t="n"/>
      <c r="O1328" s="232" t="n"/>
      <c r="P1328" s="234" t="n"/>
      <c r="Q1328" s="234" t="n"/>
      <c r="R1328" s="234" t="n"/>
      <c r="S1328" s="234" t="n"/>
      <c r="T1328" s="234" t="n"/>
      <c r="U1328" s="234" t="n"/>
      <c r="V1328" s="234" t="n"/>
      <c r="W1328" s="234" t="n"/>
    </row>
    <row r="1329" ht="54.95" customFormat="1" customHeight="1" s="235">
      <c r="A1329" s="234" t="n"/>
      <c r="B1329" s="234" t="n"/>
      <c r="C1329" s="234" t="n"/>
      <c r="D1329" s="234" t="n"/>
      <c r="E1329" s="234" t="n"/>
      <c r="F1329" s="234" t="n"/>
      <c r="G1329" s="234" t="n"/>
      <c r="H1329" s="234" t="n"/>
      <c r="I1329" s="234" t="n"/>
      <c r="J1329" s="234" t="n"/>
      <c r="K1329" s="234" t="n"/>
      <c r="L1329" s="234" t="n"/>
      <c r="M1329" s="232" t="n"/>
      <c r="N1329" s="233" t="n"/>
      <c r="O1329" s="232" t="n"/>
      <c r="P1329" s="234" t="n"/>
      <c r="Q1329" s="234" t="n"/>
      <c r="R1329" s="234" t="n"/>
      <c r="S1329" s="234" t="n"/>
      <c r="T1329" s="234" t="n"/>
      <c r="U1329" s="234" t="n"/>
      <c r="V1329" s="234" t="n"/>
      <c r="W1329" s="234" t="n"/>
    </row>
    <row r="1330" ht="54.95" customFormat="1" customHeight="1" s="235">
      <c r="A1330" s="234" t="n"/>
      <c r="B1330" s="234" t="n"/>
      <c r="C1330" s="234" t="n"/>
      <c r="D1330" s="234" t="n"/>
      <c r="E1330" s="234" t="n"/>
      <c r="F1330" s="234" t="n"/>
      <c r="G1330" s="234" t="n"/>
      <c r="H1330" s="234" t="n"/>
      <c r="I1330" s="234" t="n"/>
      <c r="J1330" s="234" t="n"/>
      <c r="K1330" s="234" t="n"/>
      <c r="L1330" s="234" t="n"/>
      <c r="M1330" s="232" t="n"/>
      <c r="N1330" s="233" t="n"/>
      <c r="O1330" s="232" t="n"/>
      <c r="P1330" s="234" t="n"/>
      <c r="Q1330" s="234" t="n"/>
      <c r="R1330" s="234" t="n"/>
      <c r="S1330" s="234" t="n"/>
      <c r="T1330" s="234" t="n"/>
      <c r="U1330" s="234" t="n"/>
      <c r="V1330" s="234" t="n"/>
      <c r="W1330" s="234" t="n"/>
    </row>
    <row r="1331" ht="54.95" customFormat="1" customHeight="1" s="235">
      <c r="A1331" s="232" t="n"/>
      <c r="B1331" s="232" t="n"/>
      <c r="C1331" s="232" t="n"/>
      <c r="D1331" s="233" t="n"/>
      <c r="E1331" s="232" t="n"/>
      <c r="F1331" s="233" t="n"/>
      <c r="G1331" s="233" t="n"/>
      <c r="H1331" s="233" t="n"/>
      <c r="I1331" s="232" t="n"/>
      <c r="J1331" s="233" t="n"/>
      <c r="K1331" s="232" t="n"/>
      <c r="L1331" s="232" t="n"/>
      <c r="M1331" s="232" t="n"/>
      <c r="N1331" s="233" t="n"/>
      <c r="O1331" s="232" t="n"/>
      <c r="P1331" s="233" t="n"/>
      <c r="Q1331" s="233" t="n"/>
      <c r="R1331" s="233" t="n"/>
      <c r="S1331" s="232" t="n"/>
      <c r="T1331" s="233" t="n"/>
      <c r="U1331" s="233" t="n"/>
      <c r="V1331" s="233" t="n"/>
      <c r="W1331" s="232" t="n"/>
    </row>
    <row r="1332" ht="54.95" customFormat="1" customHeight="1" s="235">
      <c r="A1332" s="232" t="n"/>
      <c r="B1332" s="232" t="n"/>
      <c r="C1332" s="232" t="n"/>
      <c r="D1332" s="233" t="n"/>
      <c r="E1332" s="232" t="n"/>
      <c r="F1332" s="233" t="n"/>
      <c r="G1332" s="233" t="n"/>
      <c r="H1332" s="233" t="n"/>
      <c r="I1332" s="232" t="n"/>
      <c r="J1332" s="233" t="n"/>
      <c r="K1332" s="232" t="n"/>
      <c r="L1332" s="232" t="n"/>
      <c r="M1332" s="232" t="n"/>
      <c r="N1332" s="233" t="n"/>
      <c r="O1332" s="232" t="n"/>
      <c r="P1332" s="233" t="n"/>
      <c r="Q1332" s="233" t="n"/>
      <c r="R1332" s="233" t="n"/>
      <c r="S1332" s="232" t="n"/>
      <c r="T1332" s="233" t="n"/>
      <c r="U1332" s="233" t="n"/>
      <c r="V1332" s="233" t="n"/>
      <c r="W1332" s="232" t="n"/>
    </row>
    <row r="1333" ht="54.95" customFormat="1" customHeight="1" s="235">
      <c r="A1333" s="232" t="n"/>
      <c r="B1333" s="232" t="n"/>
      <c r="C1333" s="232" t="n"/>
      <c r="D1333" s="233" t="n"/>
      <c r="E1333" s="232" t="n"/>
      <c r="F1333" s="233" t="n"/>
      <c r="G1333" s="233" t="n"/>
      <c r="H1333" s="233" t="n"/>
      <c r="I1333" s="232" t="n"/>
      <c r="J1333" s="233" t="n"/>
      <c r="K1333" s="232" t="n"/>
      <c r="L1333" s="232" t="n"/>
      <c r="M1333" s="232" t="n"/>
      <c r="N1333" s="233" t="n"/>
      <c r="O1333" s="232" t="n"/>
      <c r="P1333" s="233" t="n"/>
      <c r="Q1333" s="233" t="n"/>
      <c r="R1333" s="233" t="n"/>
      <c r="S1333" s="232" t="n"/>
      <c r="T1333" s="233" t="n"/>
      <c r="U1333" s="233" t="n"/>
      <c r="V1333" s="233" t="n"/>
      <c r="W1333" s="232" t="n"/>
    </row>
    <row r="1334" ht="54.95" customFormat="1" customHeight="1" s="235">
      <c r="A1334" s="232" t="n"/>
      <c r="B1334" s="232" t="n"/>
      <c r="C1334" s="232" t="n"/>
      <c r="D1334" s="233" t="n"/>
      <c r="E1334" s="232" t="n"/>
      <c r="F1334" s="233" t="n"/>
      <c r="G1334" s="233" t="n"/>
      <c r="H1334" s="233" t="n"/>
      <c r="I1334" s="232" t="n"/>
      <c r="J1334" s="233" t="n"/>
      <c r="K1334" s="232" t="n"/>
      <c r="L1334" s="232" t="n"/>
      <c r="M1334" s="232" t="n"/>
      <c r="N1334" s="233" t="n"/>
      <c r="O1334" s="232" t="n"/>
      <c r="P1334" s="233" t="n"/>
      <c r="Q1334" s="233" t="n"/>
      <c r="R1334" s="233" t="n"/>
      <c r="S1334" s="232" t="n"/>
      <c r="T1334" s="233" t="n"/>
      <c r="U1334" s="233" t="n"/>
      <c r="V1334" s="233" t="n"/>
      <c r="W1334" s="232" t="n"/>
    </row>
    <row r="1335" ht="54.95" customFormat="1" customHeight="1" s="235">
      <c r="A1335" s="234" t="n"/>
      <c r="B1335" s="234" t="n"/>
      <c r="C1335" s="234" t="n"/>
      <c r="D1335" s="234" t="n"/>
      <c r="E1335" s="234" t="n"/>
      <c r="F1335" s="234" t="n"/>
      <c r="G1335" s="234" t="n"/>
      <c r="H1335" s="234" t="n"/>
      <c r="I1335" s="234" t="n"/>
      <c r="J1335" s="234" t="n"/>
      <c r="K1335" s="234" t="n"/>
      <c r="L1335" s="234" t="n"/>
      <c r="M1335" s="232" t="n"/>
      <c r="N1335" s="233" t="n"/>
      <c r="O1335" s="232" t="n"/>
      <c r="P1335" s="234" t="n"/>
      <c r="Q1335" s="234" t="n"/>
      <c r="R1335" s="234" t="n"/>
      <c r="S1335" s="234" t="n"/>
      <c r="T1335" s="234" t="n"/>
      <c r="U1335" s="234" t="n"/>
      <c r="V1335" s="234" t="n"/>
      <c r="W1335" s="234" t="n"/>
    </row>
    <row r="1336" ht="54.95" customFormat="1" customHeight="1" s="235">
      <c r="A1336" s="234" t="n"/>
      <c r="B1336" s="234" t="n"/>
      <c r="C1336" s="234" t="n"/>
      <c r="D1336" s="234" t="n"/>
      <c r="E1336" s="234" t="n"/>
      <c r="F1336" s="234" t="n"/>
      <c r="G1336" s="234" t="n"/>
      <c r="H1336" s="234" t="n"/>
      <c r="I1336" s="234" t="n"/>
      <c r="J1336" s="234" t="n"/>
      <c r="K1336" s="234" t="n"/>
      <c r="L1336" s="234" t="n"/>
      <c r="M1336" s="232" t="n"/>
      <c r="N1336" s="233" t="n"/>
      <c r="O1336" s="232" t="n"/>
      <c r="P1336" s="234" t="n"/>
      <c r="Q1336" s="234" t="n"/>
      <c r="R1336" s="234" t="n"/>
      <c r="S1336" s="234" t="n"/>
      <c r="T1336" s="234" t="n"/>
      <c r="U1336" s="234" t="n"/>
      <c r="V1336" s="234" t="n"/>
      <c r="W1336" s="234" t="n"/>
    </row>
    <row r="1337" ht="54.95" customFormat="1" customHeight="1" s="235">
      <c r="A1337" s="232" t="n"/>
      <c r="B1337" s="232" t="n"/>
      <c r="C1337" s="232" t="n"/>
      <c r="D1337" s="233" t="n"/>
      <c r="E1337" s="232" t="n"/>
      <c r="F1337" s="233" t="n"/>
      <c r="G1337" s="233" t="n"/>
      <c r="H1337" s="233" t="n"/>
      <c r="I1337" s="232" t="n"/>
      <c r="J1337" s="233" t="n"/>
      <c r="K1337" s="232" t="n"/>
      <c r="L1337" s="232" t="n"/>
      <c r="M1337" s="232" t="n"/>
      <c r="N1337" s="233" t="n"/>
      <c r="O1337" s="232" t="n"/>
      <c r="P1337" s="233" t="n"/>
      <c r="Q1337" s="233" t="n"/>
      <c r="R1337" s="233" t="n"/>
      <c r="S1337" s="232" t="n"/>
      <c r="T1337" s="233" t="n"/>
      <c r="U1337" s="233" t="n"/>
      <c r="V1337" s="233" t="n"/>
      <c r="W1337" s="232" t="n"/>
    </row>
    <row r="1338" ht="54.95" customFormat="1" customHeight="1" s="235">
      <c r="A1338" s="234" t="n"/>
      <c r="B1338" s="234" t="n"/>
      <c r="C1338" s="234" t="n"/>
      <c r="D1338" s="234" t="n"/>
      <c r="E1338" s="234" t="n"/>
      <c r="F1338" s="234" t="n"/>
      <c r="G1338" s="234" t="n"/>
      <c r="H1338" s="234" t="n"/>
      <c r="I1338" s="234" t="n"/>
      <c r="J1338" s="234" t="n"/>
      <c r="K1338" s="234" t="n"/>
      <c r="L1338" s="234" t="n"/>
      <c r="M1338" s="232" t="n"/>
      <c r="N1338" s="233" t="n"/>
      <c r="O1338" s="232" t="n"/>
      <c r="P1338" s="234" t="n"/>
      <c r="Q1338" s="234" t="n"/>
      <c r="R1338" s="234" t="n"/>
      <c r="S1338" s="234" t="n"/>
      <c r="T1338" s="234" t="n"/>
      <c r="U1338" s="234" t="n"/>
      <c r="V1338" s="234" t="n"/>
      <c r="W1338" s="234" t="n"/>
    </row>
    <row r="1339" ht="54.95" customFormat="1" customHeight="1" s="235">
      <c r="A1339" s="234" t="n"/>
      <c r="B1339" s="234" t="n"/>
      <c r="C1339" s="234" t="n"/>
      <c r="D1339" s="234" t="n"/>
      <c r="E1339" s="234" t="n"/>
      <c r="F1339" s="234" t="n"/>
      <c r="G1339" s="234" t="n"/>
      <c r="H1339" s="234" t="n"/>
      <c r="I1339" s="234" t="n"/>
      <c r="J1339" s="234" t="n"/>
      <c r="K1339" s="234" t="n"/>
      <c r="L1339" s="234" t="n"/>
      <c r="M1339" s="232" t="n"/>
      <c r="N1339" s="233" t="n"/>
      <c r="O1339" s="232" t="n"/>
      <c r="P1339" s="234" t="n"/>
      <c r="Q1339" s="234" t="n"/>
      <c r="R1339" s="234" t="n"/>
      <c r="S1339" s="234" t="n"/>
      <c r="T1339" s="234" t="n"/>
      <c r="U1339" s="234" t="n"/>
      <c r="V1339" s="234" t="n"/>
      <c r="W1339" s="234" t="n"/>
    </row>
    <row r="1340" ht="54.95" customFormat="1" customHeight="1" s="235">
      <c r="A1340" s="234" t="n"/>
      <c r="B1340" s="234" t="n"/>
      <c r="C1340" s="234" t="n"/>
      <c r="D1340" s="234" t="n"/>
      <c r="E1340" s="234" t="n"/>
      <c r="F1340" s="234" t="n"/>
      <c r="G1340" s="234" t="n"/>
      <c r="H1340" s="234" t="n"/>
      <c r="I1340" s="234" t="n"/>
      <c r="J1340" s="234" t="n"/>
      <c r="K1340" s="234" t="n"/>
      <c r="L1340" s="234" t="n"/>
      <c r="M1340" s="232" t="n"/>
      <c r="N1340" s="233" t="n"/>
      <c r="O1340" s="232" t="n"/>
      <c r="P1340" s="234" t="n"/>
      <c r="Q1340" s="234" t="n"/>
      <c r="R1340" s="234" t="n"/>
      <c r="S1340" s="234" t="n"/>
      <c r="T1340" s="234" t="n"/>
      <c r="U1340" s="234" t="n"/>
      <c r="V1340" s="234" t="n"/>
      <c r="W1340" s="234" t="n"/>
    </row>
    <row r="1341" ht="54.95" customFormat="1" customHeight="1" s="235">
      <c r="A1341" s="232" t="n"/>
      <c r="B1341" s="232" t="n"/>
      <c r="C1341" s="232" t="n"/>
      <c r="D1341" s="233" t="n"/>
      <c r="E1341" s="232" t="n"/>
      <c r="F1341" s="233" t="n"/>
      <c r="G1341" s="233" t="n"/>
      <c r="H1341" s="233" t="n"/>
      <c r="I1341" s="232" t="n"/>
      <c r="J1341" s="233" t="n"/>
      <c r="K1341" s="232" t="n"/>
      <c r="L1341" s="232" t="n"/>
      <c r="M1341" s="232" t="n"/>
      <c r="N1341" s="233" t="n"/>
      <c r="O1341" s="232" t="n"/>
      <c r="P1341" s="233" t="n"/>
      <c r="Q1341" s="233" t="n"/>
      <c r="R1341" s="233" t="n"/>
      <c r="S1341" s="232" t="n"/>
      <c r="T1341" s="233" t="n"/>
      <c r="U1341" s="233" t="n"/>
      <c r="V1341" s="233" t="n"/>
      <c r="W1341" s="232" t="n"/>
    </row>
    <row r="1342" ht="54.95" customFormat="1" customHeight="1" s="235">
      <c r="A1342" s="234" t="n"/>
      <c r="B1342" s="234" t="n"/>
      <c r="C1342" s="234" t="n"/>
      <c r="D1342" s="234" t="n"/>
      <c r="E1342" s="234" t="n"/>
      <c r="F1342" s="234" t="n"/>
      <c r="G1342" s="234" t="n"/>
      <c r="H1342" s="234" t="n"/>
      <c r="I1342" s="234" t="n"/>
      <c r="J1342" s="234" t="n"/>
      <c r="K1342" s="234" t="n"/>
      <c r="L1342" s="234" t="n"/>
      <c r="M1342" s="232" t="n"/>
      <c r="N1342" s="233" t="n"/>
      <c r="O1342" s="232" t="n"/>
      <c r="P1342" s="234" t="n"/>
      <c r="Q1342" s="234" t="n"/>
      <c r="R1342" s="234" t="n"/>
      <c r="S1342" s="234" t="n"/>
      <c r="T1342" s="234" t="n"/>
      <c r="U1342" s="234" t="n"/>
      <c r="V1342" s="234" t="n"/>
      <c r="W1342" s="234" t="n"/>
    </row>
    <row r="1343" ht="54.95" customFormat="1" customHeight="1" s="235">
      <c r="A1343" s="234" t="n"/>
      <c r="B1343" s="234" t="n"/>
      <c r="C1343" s="234" t="n"/>
      <c r="D1343" s="234" t="n"/>
      <c r="E1343" s="234" t="n"/>
      <c r="F1343" s="234" t="n"/>
      <c r="G1343" s="234" t="n"/>
      <c r="H1343" s="234" t="n"/>
      <c r="I1343" s="234" t="n"/>
      <c r="J1343" s="234" t="n"/>
      <c r="K1343" s="234" t="n"/>
      <c r="L1343" s="234" t="n"/>
      <c r="M1343" s="232" t="n"/>
      <c r="N1343" s="233" t="n"/>
      <c r="O1343" s="232" t="n"/>
      <c r="P1343" s="234" t="n"/>
      <c r="Q1343" s="234" t="n"/>
      <c r="R1343" s="234" t="n"/>
      <c r="S1343" s="234" t="n"/>
      <c r="T1343" s="234" t="n"/>
      <c r="U1343" s="234" t="n"/>
      <c r="V1343" s="234" t="n"/>
      <c r="W1343" s="234" t="n"/>
    </row>
    <row r="1344" ht="54.95" customFormat="1" customHeight="1" s="235">
      <c r="A1344" s="234" t="n"/>
      <c r="B1344" s="234" t="n"/>
      <c r="C1344" s="234" t="n"/>
      <c r="D1344" s="234" t="n"/>
      <c r="E1344" s="234" t="n"/>
      <c r="F1344" s="234" t="n"/>
      <c r="G1344" s="234" t="n"/>
      <c r="H1344" s="234" t="n"/>
      <c r="I1344" s="234" t="n"/>
      <c r="J1344" s="234" t="n"/>
      <c r="K1344" s="234" t="n"/>
      <c r="L1344" s="234" t="n"/>
      <c r="M1344" s="232" t="n"/>
      <c r="N1344" s="233" t="n"/>
      <c r="O1344" s="232" t="n"/>
      <c r="P1344" s="234" t="n"/>
      <c r="Q1344" s="234" t="n"/>
      <c r="R1344" s="234" t="n"/>
      <c r="S1344" s="234" t="n"/>
      <c r="T1344" s="234" t="n"/>
      <c r="U1344" s="234" t="n"/>
      <c r="V1344" s="234" t="n"/>
      <c r="W1344" s="234" t="n"/>
    </row>
    <row r="1345" ht="54.95" customFormat="1" customHeight="1" s="235">
      <c r="A1345" s="232" t="n"/>
      <c r="B1345" s="232" t="n"/>
      <c r="C1345" s="232" t="n"/>
      <c r="D1345" s="233" t="n"/>
      <c r="E1345" s="232" t="n"/>
      <c r="F1345" s="233" t="n"/>
      <c r="G1345" s="233" t="n"/>
      <c r="H1345" s="233" t="n"/>
      <c r="I1345" s="232" t="n"/>
      <c r="J1345" s="233" t="n"/>
      <c r="K1345" s="232" t="n"/>
      <c r="L1345" s="232" t="n"/>
      <c r="M1345" s="232" t="n"/>
      <c r="N1345" s="233" t="n"/>
      <c r="O1345" s="232" t="n"/>
      <c r="P1345" s="233" t="n"/>
      <c r="Q1345" s="233" t="n"/>
      <c r="R1345" s="233" t="n"/>
      <c r="S1345" s="232" t="n"/>
      <c r="T1345" s="233" t="n"/>
      <c r="U1345" s="233" t="n"/>
      <c r="V1345" s="233" t="n"/>
      <c r="W1345" s="232" t="n"/>
    </row>
    <row r="1346" ht="54.95" customFormat="1" customHeight="1" s="235">
      <c r="A1346" s="234" t="n"/>
      <c r="B1346" s="234" t="n"/>
      <c r="C1346" s="234" t="n"/>
      <c r="D1346" s="234" t="n"/>
      <c r="E1346" s="234" t="n"/>
      <c r="F1346" s="234" t="n"/>
      <c r="G1346" s="234" t="n"/>
      <c r="H1346" s="234" t="n"/>
      <c r="I1346" s="234" t="n"/>
      <c r="J1346" s="234" t="n"/>
      <c r="K1346" s="234" t="n"/>
      <c r="L1346" s="234" t="n"/>
      <c r="M1346" s="232" t="n"/>
      <c r="N1346" s="233" t="n"/>
      <c r="O1346" s="232" t="n"/>
      <c r="P1346" s="234" t="n"/>
      <c r="Q1346" s="234" t="n"/>
      <c r="R1346" s="234" t="n"/>
      <c r="S1346" s="234" t="n"/>
      <c r="T1346" s="234" t="n"/>
      <c r="U1346" s="234" t="n"/>
      <c r="V1346" s="234" t="n"/>
      <c r="W1346" s="234" t="n"/>
    </row>
    <row r="1347" ht="54.95" customFormat="1" customHeight="1" s="235">
      <c r="A1347" s="234" t="n"/>
      <c r="B1347" s="234" t="n"/>
      <c r="C1347" s="234" t="n"/>
      <c r="D1347" s="234" t="n"/>
      <c r="E1347" s="234" t="n"/>
      <c r="F1347" s="234" t="n"/>
      <c r="G1347" s="234" t="n"/>
      <c r="H1347" s="234" t="n"/>
      <c r="I1347" s="234" t="n"/>
      <c r="J1347" s="234" t="n"/>
      <c r="K1347" s="234" t="n"/>
      <c r="L1347" s="234" t="n"/>
      <c r="M1347" s="232" t="n"/>
      <c r="N1347" s="233" t="n"/>
      <c r="O1347" s="232" t="n"/>
      <c r="P1347" s="234" t="n"/>
      <c r="Q1347" s="234" t="n"/>
      <c r="R1347" s="234" t="n"/>
      <c r="S1347" s="234" t="n"/>
      <c r="T1347" s="234" t="n"/>
      <c r="U1347" s="234" t="n"/>
      <c r="V1347" s="234" t="n"/>
      <c r="W1347" s="234" t="n"/>
    </row>
    <row r="1348" ht="54.95" customFormat="1" customHeight="1" s="235">
      <c r="A1348" s="232" t="n"/>
      <c r="B1348" s="232" t="n"/>
      <c r="C1348" s="232" t="n"/>
      <c r="D1348" s="233" t="n"/>
      <c r="E1348" s="232" t="n"/>
      <c r="F1348" s="233" t="n"/>
      <c r="G1348" s="233" t="n"/>
      <c r="H1348" s="233" t="n"/>
      <c r="I1348" s="232" t="n"/>
      <c r="J1348" s="233" t="n"/>
      <c r="K1348" s="232" t="n"/>
      <c r="L1348" s="232" t="n"/>
      <c r="M1348" s="232" t="n"/>
      <c r="N1348" s="233" t="n"/>
      <c r="O1348" s="232" t="n"/>
      <c r="P1348" s="233" t="n"/>
      <c r="Q1348" s="233" t="n"/>
      <c r="R1348" s="233" t="n"/>
      <c r="S1348" s="232" t="n"/>
      <c r="T1348" s="233" t="n"/>
      <c r="U1348" s="233" t="n"/>
      <c r="V1348" s="233" t="n"/>
      <c r="W1348" s="232" t="n"/>
    </row>
    <row r="1349" ht="54.95" customFormat="1" customHeight="1" s="235">
      <c r="A1349" s="232" t="n"/>
      <c r="B1349" s="232" t="n"/>
      <c r="C1349" s="232" t="n"/>
      <c r="D1349" s="233" t="n"/>
      <c r="E1349" s="232" t="n"/>
      <c r="F1349" s="233" t="n"/>
      <c r="G1349" s="233" t="n"/>
      <c r="H1349" s="233" t="n"/>
      <c r="I1349" s="232" t="n"/>
      <c r="J1349" s="233" t="n"/>
      <c r="K1349" s="232" t="n"/>
      <c r="L1349" s="232" t="n"/>
      <c r="M1349" s="232" t="n"/>
      <c r="N1349" s="233" t="n"/>
      <c r="O1349" s="232" t="n"/>
      <c r="P1349" s="233" t="n"/>
      <c r="Q1349" s="233" t="n"/>
      <c r="R1349" s="233" t="n"/>
      <c r="S1349" s="232" t="n"/>
      <c r="T1349" s="233" t="n"/>
      <c r="U1349" s="233" t="n"/>
      <c r="V1349" s="233" t="n"/>
      <c r="W1349" s="232" t="n"/>
    </row>
    <row r="1350" ht="54.95" customFormat="1" customHeight="1" s="235">
      <c r="A1350" s="232" t="n"/>
      <c r="B1350" s="232" t="n"/>
      <c r="C1350" s="232" t="n"/>
      <c r="D1350" s="233" t="n"/>
      <c r="E1350" s="232" t="n"/>
      <c r="F1350" s="233" t="n"/>
      <c r="G1350" s="233" t="n"/>
      <c r="H1350" s="233" t="n"/>
      <c r="I1350" s="232" t="n"/>
      <c r="J1350" s="233" t="n"/>
      <c r="K1350" s="232" t="n"/>
      <c r="L1350" s="232" t="n"/>
      <c r="M1350" s="232" t="n"/>
      <c r="N1350" s="233" t="n"/>
      <c r="O1350" s="232" t="n"/>
      <c r="P1350" s="233" t="n"/>
      <c r="Q1350" s="233" t="n"/>
      <c r="R1350" s="233" t="n"/>
      <c r="S1350" s="232" t="n"/>
      <c r="T1350" s="233" t="n"/>
      <c r="U1350" s="233" t="n"/>
      <c r="V1350" s="233" t="n"/>
      <c r="W1350" s="232" t="n"/>
    </row>
    <row r="1351" ht="54.95" customFormat="1" customHeight="1" s="235">
      <c r="A1351" s="232" t="n"/>
      <c r="B1351" s="232" t="n"/>
      <c r="C1351" s="232" t="n"/>
      <c r="D1351" s="233" t="n"/>
      <c r="E1351" s="232" t="n"/>
      <c r="F1351" s="233" t="n"/>
      <c r="G1351" s="233" t="n"/>
      <c r="H1351" s="233" t="n"/>
      <c r="I1351" s="232" t="n"/>
      <c r="J1351" s="233" t="n"/>
      <c r="K1351" s="232" t="n"/>
      <c r="L1351" s="232" t="n"/>
      <c r="M1351" s="232" t="n"/>
      <c r="N1351" s="233" t="n"/>
      <c r="O1351" s="232" t="n"/>
      <c r="P1351" s="233" t="n"/>
      <c r="Q1351" s="233" t="n"/>
      <c r="R1351" s="233" t="n"/>
      <c r="S1351" s="232" t="n"/>
      <c r="T1351" s="233" t="n"/>
      <c r="U1351" s="233" t="n"/>
      <c r="V1351" s="233" t="n"/>
      <c r="W1351" s="232" t="n"/>
    </row>
    <row r="1352" ht="54.95" customFormat="1" customHeight="1" s="235">
      <c r="A1352" s="232" t="n"/>
      <c r="B1352" s="232" t="n"/>
      <c r="C1352" s="232" t="n"/>
      <c r="D1352" s="233" t="n"/>
      <c r="E1352" s="232" t="n"/>
      <c r="F1352" s="233" t="n"/>
      <c r="G1352" s="233" t="n"/>
      <c r="H1352" s="233" t="n"/>
      <c r="I1352" s="232" t="n"/>
      <c r="J1352" s="233" t="n"/>
      <c r="K1352" s="232" t="n"/>
      <c r="L1352" s="232" t="n"/>
      <c r="M1352" s="232" t="n"/>
      <c r="N1352" s="233" t="n"/>
      <c r="O1352" s="232" t="n"/>
      <c r="P1352" s="233" t="n"/>
      <c r="Q1352" s="233" t="n"/>
      <c r="R1352" s="233" t="n"/>
      <c r="S1352" s="232" t="n"/>
      <c r="T1352" s="233" t="n"/>
      <c r="U1352" s="233" t="n"/>
      <c r="V1352" s="233" t="n"/>
      <c r="W1352" s="232" t="n"/>
    </row>
    <row r="1353" ht="54.95" customFormat="1" customHeight="1" s="235">
      <c r="A1353" s="232" t="n"/>
      <c r="B1353" s="232" t="n"/>
      <c r="C1353" s="232" t="n"/>
      <c r="D1353" s="233" t="n"/>
      <c r="E1353" s="232" t="n"/>
      <c r="F1353" s="233" t="n"/>
      <c r="G1353" s="233" t="n"/>
      <c r="H1353" s="233" t="n"/>
      <c r="I1353" s="232" t="n"/>
      <c r="J1353" s="233" t="n"/>
      <c r="K1353" s="232" t="n"/>
      <c r="L1353" s="232" t="n"/>
      <c r="M1353" s="232" t="n"/>
      <c r="N1353" s="233" t="n"/>
      <c r="O1353" s="232" t="n"/>
      <c r="P1353" s="233" t="n"/>
      <c r="Q1353" s="233" t="n"/>
      <c r="R1353" s="233" t="n"/>
      <c r="S1353" s="232" t="n"/>
      <c r="T1353" s="233" t="n"/>
      <c r="U1353" s="233" t="n"/>
      <c r="V1353" s="233" t="n"/>
      <c r="W1353" s="232" t="n"/>
    </row>
    <row r="1354" ht="54.95" customFormat="1" customHeight="1" s="235">
      <c r="A1354" s="232" t="n"/>
      <c r="B1354" s="232" t="n"/>
      <c r="C1354" s="232" t="n"/>
      <c r="D1354" s="233" t="n"/>
      <c r="E1354" s="232" t="n"/>
      <c r="F1354" s="233" t="n"/>
      <c r="G1354" s="233" t="n"/>
      <c r="H1354" s="233" t="n"/>
      <c r="I1354" s="232" t="n"/>
      <c r="J1354" s="233" t="n"/>
      <c r="K1354" s="232" t="n"/>
      <c r="L1354" s="232" t="n"/>
      <c r="M1354" s="232" t="n"/>
      <c r="N1354" s="233" t="n"/>
      <c r="O1354" s="232" t="n"/>
      <c r="P1354" s="233" t="n"/>
      <c r="Q1354" s="233" t="n"/>
      <c r="R1354" s="233" t="n"/>
      <c r="S1354" s="232" t="n"/>
      <c r="T1354" s="233" t="n"/>
      <c r="U1354" s="233" t="n"/>
      <c r="V1354" s="233" t="n"/>
      <c r="W1354" s="232" t="n"/>
    </row>
    <row r="1355" ht="54.95" customFormat="1" customHeight="1" s="235">
      <c r="A1355" s="234" t="n"/>
      <c r="B1355" s="234" t="n"/>
      <c r="C1355" s="234" t="n"/>
      <c r="D1355" s="234" t="n"/>
      <c r="E1355" s="234" t="n"/>
      <c r="F1355" s="234" t="n"/>
      <c r="G1355" s="234" t="n"/>
      <c r="H1355" s="234" t="n"/>
      <c r="I1355" s="234" t="n"/>
      <c r="J1355" s="234" t="n"/>
      <c r="K1355" s="234" t="n"/>
      <c r="L1355" s="234" t="n"/>
      <c r="M1355" s="232" t="n"/>
      <c r="N1355" s="233" t="n"/>
      <c r="O1355" s="232" t="n"/>
      <c r="P1355" s="234" t="n"/>
      <c r="Q1355" s="234" t="n"/>
      <c r="R1355" s="234" t="n"/>
      <c r="S1355" s="234" t="n"/>
      <c r="T1355" s="234" t="n"/>
      <c r="U1355" s="234" t="n"/>
      <c r="V1355" s="234" t="n"/>
      <c r="W1355" s="234" t="n"/>
    </row>
    <row r="1356" ht="54.95" customFormat="1" customHeight="1" s="235">
      <c r="A1356" s="234" t="n"/>
      <c r="B1356" s="234" t="n"/>
      <c r="C1356" s="234" t="n"/>
      <c r="D1356" s="234" t="n"/>
      <c r="E1356" s="234" t="n"/>
      <c r="F1356" s="234" t="n"/>
      <c r="G1356" s="234" t="n"/>
      <c r="H1356" s="234" t="n"/>
      <c r="I1356" s="234" t="n"/>
      <c r="J1356" s="234" t="n"/>
      <c r="K1356" s="234" t="n"/>
      <c r="L1356" s="234" t="n"/>
      <c r="M1356" s="232" t="n"/>
      <c r="N1356" s="233" t="n"/>
      <c r="O1356" s="232" t="n"/>
      <c r="P1356" s="234" t="n"/>
      <c r="Q1356" s="234" t="n"/>
      <c r="R1356" s="234" t="n"/>
      <c r="S1356" s="234" t="n"/>
      <c r="T1356" s="234" t="n"/>
      <c r="U1356" s="234" t="n"/>
      <c r="V1356" s="234" t="n"/>
      <c r="W1356" s="234" t="n"/>
    </row>
    <row r="1357" ht="54.95" customFormat="1" customHeight="1" s="235">
      <c r="A1357" s="234" t="n"/>
      <c r="B1357" s="234" t="n"/>
      <c r="C1357" s="234" t="n"/>
      <c r="D1357" s="234" t="n"/>
      <c r="E1357" s="234" t="n"/>
      <c r="F1357" s="234" t="n"/>
      <c r="G1357" s="234" t="n"/>
      <c r="H1357" s="234" t="n"/>
      <c r="I1357" s="234" t="n"/>
      <c r="J1357" s="234" t="n"/>
      <c r="K1357" s="234" t="n"/>
      <c r="L1357" s="234" t="n"/>
      <c r="M1357" s="232" t="n"/>
      <c r="N1357" s="233" t="n"/>
      <c r="O1357" s="232" t="n"/>
      <c r="P1357" s="234" t="n"/>
      <c r="Q1357" s="234" t="n"/>
      <c r="R1357" s="234" t="n"/>
      <c r="S1357" s="234" t="n"/>
      <c r="T1357" s="234" t="n"/>
      <c r="U1357" s="234" t="n"/>
      <c r="V1357" s="234" t="n"/>
      <c r="W1357" s="234" t="n"/>
    </row>
    <row r="1358" ht="54.95" customFormat="1" customHeight="1" s="235">
      <c r="A1358" s="234" t="n"/>
      <c r="B1358" s="234" t="n"/>
      <c r="C1358" s="234" t="n"/>
      <c r="D1358" s="234" t="n"/>
      <c r="E1358" s="234" t="n"/>
      <c r="F1358" s="234" t="n"/>
      <c r="G1358" s="234" t="n"/>
      <c r="H1358" s="234" t="n"/>
      <c r="I1358" s="234" t="n"/>
      <c r="J1358" s="234" t="n"/>
      <c r="K1358" s="234" t="n"/>
      <c r="L1358" s="234" t="n"/>
      <c r="M1358" s="232" t="n"/>
      <c r="N1358" s="233" t="n"/>
      <c r="O1358" s="232" t="n"/>
      <c r="P1358" s="234" t="n"/>
      <c r="Q1358" s="234" t="n"/>
      <c r="R1358" s="234" t="n"/>
      <c r="S1358" s="234" t="n"/>
      <c r="T1358" s="234" t="n"/>
      <c r="U1358" s="234" t="n"/>
      <c r="V1358" s="234" t="n"/>
      <c r="W1358" s="234" t="n"/>
    </row>
    <row r="1359" ht="54.95" customFormat="1" customHeight="1" s="235">
      <c r="A1359" s="234" t="n"/>
      <c r="B1359" s="234" t="n"/>
      <c r="C1359" s="234" t="n"/>
      <c r="D1359" s="234" t="n"/>
      <c r="E1359" s="234" t="n"/>
      <c r="F1359" s="234" t="n"/>
      <c r="G1359" s="234" t="n"/>
      <c r="H1359" s="234" t="n"/>
      <c r="I1359" s="234" t="n"/>
      <c r="J1359" s="234" t="n"/>
      <c r="K1359" s="234" t="n"/>
      <c r="L1359" s="234" t="n"/>
      <c r="M1359" s="232" t="n"/>
      <c r="N1359" s="233" t="n"/>
      <c r="O1359" s="232" t="n"/>
      <c r="P1359" s="234" t="n"/>
      <c r="Q1359" s="234" t="n"/>
      <c r="R1359" s="234" t="n"/>
      <c r="S1359" s="234" t="n"/>
      <c r="T1359" s="234" t="n"/>
      <c r="U1359" s="234" t="n"/>
      <c r="V1359" s="234" t="n"/>
      <c r="W1359" s="234" t="n"/>
    </row>
    <row r="1360" ht="54.95" customFormat="1" customHeight="1" s="235">
      <c r="A1360" s="234" t="n"/>
      <c r="B1360" s="234" t="n"/>
      <c r="C1360" s="234" t="n"/>
      <c r="D1360" s="234" t="n"/>
      <c r="E1360" s="234" t="n"/>
      <c r="F1360" s="234" t="n"/>
      <c r="G1360" s="234" t="n"/>
      <c r="H1360" s="234" t="n"/>
      <c r="I1360" s="234" t="n"/>
      <c r="J1360" s="234" t="n"/>
      <c r="K1360" s="234" t="n"/>
      <c r="L1360" s="234" t="n"/>
      <c r="M1360" s="232" t="n"/>
      <c r="N1360" s="233" t="n"/>
      <c r="O1360" s="232" t="n"/>
      <c r="P1360" s="234" t="n"/>
      <c r="Q1360" s="234" t="n"/>
      <c r="R1360" s="234" t="n"/>
      <c r="S1360" s="234" t="n"/>
      <c r="T1360" s="234" t="n"/>
      <c r="U1360" s="234" t="n"/>
      <c r="V1360" s="234" t="n"/>
      <c r="W1360" s="234" t="n"/>
    </row>
    <row r="1361" ht="54.95" customFormat="1" customHeight="1" s="235">
      <c r="A1361" s="234" t="n"/>
      <c r="B1361" s="234" t="n"/>
      <c r="C1361" s="234" t="n"/>
      <c r="D1361" s="234" t="n"/>
      <c r="E1361" s="234" t="n"/>
      <c r="F1361" s="234" t="n"/>
      <c r="G1361" s="234" t="n"/>
      <c r="H1361" s="234" t="n"/>
      <c r="I1361" s="234" t="n"/>
      <c r="J1361" s="234" t="n"/>
      <c r="K1361" s="234" t="n"/>
      <c r="L1361" s="234" t="n"/>
      <c r="M1361" s="232" t="n"/>
      <c r="N1361" s="233" t="n"/>
      <c r="O1361" s="232" t="n"/>
      <c r="P1361" s="234" t="n"/>
      <c r="Q1361" s="234" t="n"/>
      <c r="R1361" s="234" t="n"/>
      <c r="S1361" s="234" t="n"/>
      <c r="T1361" s="234" t="n"/>
      <c r="U1361" s="234" t="n"/>
      <c r="V1361" s="234" t="n"/>
      <c r="W1361" s="234" t="n"/>
    </row>
    <row r="1362" ht="54.95" customFormat="1" customHeight="1" s="235">
      <c r="A1362" s="232" t="n"/>
      <c r="B1362" s="232" t="n"/>
      <c r="C1362" s="232" t="n"/>
      <c r="D1362" s="233" t="n"/>
      <c r="E1362" s="232" t="n"/>
      <c r="F1362" s="233" t="n"/>
      <c r="G1362" s="233" t="n"/>
      <c r="H1362" s="233" t="n"/>
      <c r="I1362" s="232" t="n"/>
      <c r="J1362" s="233" t="n"/>
      <c r="K1362" s="232" t="n"/>
      <c r="L1362" s="232" t="n"/>
      <c r="M1362" s="232" t="n"/>
      <c r="N1362" s="233" t="n"/>
      <c r="O1362" s="232" t="n"/>
      <c r="P1362" s="233" t="n"/>
      <c r="Q1362" s="233" t="n"/>
      <c r="R1362" s="233" t="n"/>
      <c r="S1362" s="232" t="n"/>
      <c r="T1362" s="233" t="n"/>
      <c r="U1362" s="233" t="n"/>
      <c r="V1362" s="233" t="n"/>
      <c r="W1362" s="232" t="n"/>
    </row>
    <row r="1363" ht="54.95" customFormat="1" customHeight="1" s="235">
      <c r="A1363" s="234" t="n"/>
      <c r="B1363" s="234" t="n"/>
      <c r="C1363" s="234" t="n"/>
      <c r="D1363" s="234" t="n"/>
      <c r="E1363" s="234" t="n"/>
      <c r="F1363" s="234" t="n"/>
      <c r="G1363" s="234" t="n"/>
      <c r="H1363" s="234" t="n"/>
      <c r="I1363" s="234" t="n"/>
      <c r="J1363" s="234" t="n"/>
      <c r="K1363" s="234" t="n"/>
      <c r="L1363" s="234" t="n"/>
      <c r="M1363" s="232" t="n"/>
      <c r="N1363" s="233" t="n"/>
      <c r="O1363" s="232" t="n"/>
      <c r="P1363" s="234" t="n"/>
      <c r="Q1363" s="234" t="n"/>
      <c r="R1363" s="234" t="n"/>
      <c r="S1363" s="234" t="n"/>
      <c r="T1363" s="234" t="n"/>
      <c r="U1363" s="234" t="n"/>
      <c r="V1363" s="234" t="n"/>
      <c r="W1363" s="234" t="n"/>
    </row>
    <row r="1364" ht="54.95" customFormat="1" customHeight="1" s="235">
      <c r="A1364" s="234" t="n"/>
      <c r="B1364" s="234" t="n"/>
      <c r="C1364" s="234" t="n"/>
      <c r="D1364" s="234" t="n"/>
      <c r="E1364" s="234" t="n"/>
      <c r="F1364" s="234" t="n"/>
      <c r="G1364" s="234" t="n"/>
      <c r="H1364" s="234" t="n"/>
      <c r="I1364" s="234" t="n"/>
      <c r="J1364" s="234" t="n"/>
      <c r="K1364" s="234" t="n"/>
      <c r="L1364" s="234" t="n"/>
      <c r="M1364" s="232" t="n"/>
      <c r="N1364" s="233" t="n"/>
      <c r="O1364" s="232" t="n"/>
      <c r="P1364" s="234" t="n"/>
      <c r="Q1364" s="234" t="n"/>
      <c r="R1364" s="234" t="n"/>
      <c r="S1364" s="234" t="n"/>
      <c r="T1364" s="234" t="n"/>
      <c r="U1364" s="234" t="n"/>
      <c r="V1364" s="234" t="n"/>
      <c r="W1364" s="234" t="n"/>
    </row>
    <row r="1365" ht="54.95" customFormat="1" customHeight="1" s="235">
      <c r="A1365" s="232" t="n"/>
      <c r="B1365" s="232" t="n"/>
      <c r="C1365" s="232" t="n"/>
      <c r="D1365" s="233" t="n"/>
      <c r="E1365" s="232" t="n"/>
      <c r="F1365" s="233" t="n"/>
      <c r="G1365" s="233" t="n"/>
      <c r="H1365" s="233" t="n"/>
      <c r="I1365" s="232" t="n"/>
      <c r="J1365" s="233" t="n"/>
      <c r="K1365" s="232" t="n"/>
      <c r="L1365" s="232" t="n"/>
      <c r="M1365" s="232" t="n"/>
      <c r="N1365" s="233" t="n"/>
      <c r="O1365" s="232" t="n"/>
      <c r="P1365" s="233" t="n"/>
      <c r="Q1365" s="233" t="n"/>
      <c r="R1365" s="233" t="n"/>
      <c r="S1365" s="232" t="n"/>
      <c r="T1365" s="233" t="n"/>
      <c r="U1365" s="233" t="n"/>
      <c r="V1365" s="233" t="n"/>
      <c r="W1365" s="232" t="n"/>
    </row>
    <row r="1366" ht="54.95" customFormat="1" customHeight="1" s="235">
      <c r="A1366" s="232" t="n"/>
      <c r="B1366" s="232" t="n"/>
      <c r="C1366" s="232" t="n"/>
      <c r="D1366" s="233" t="n"/>
      <c r="E1366" s="232" t="n"/>
      <c r="F1366" s="233" t="n"/>
      <c r="G1366" s="233" t="n"/>
      <c r="H1366" s="233" t="n"/>
      <c r="I1366" s="232" t="n"/>
      <c r="J1366" s="233" t="n"/>
      <c r="K1366" s="232" t="n"/>
      <c r="L1366" s="232" t="n"/>
      <c r="M1366" s="232" t="n"/>
      <c r="N1366" s="233" t="n"/>
      <c r="O1366" s="232" t="n"/>
      <c r="P1366" s="233" t="n"/>
      <c r="Q1366" s="233" t="n"/>
      <c r="R1366" s="233" t="n"/>
      <c r="S1366" s="232" t="n"/>
      <c r="T1366" s="233" t="n"/>
      <c r="U1366" s="233" t="n"/>
      <c r="V1366" s="233" t="n"/>
      <c r="W1366" s="232" t="n"/>
    </row>
    <row r="1367" ht="54.95" customFormat="1" customHeight="1" s="235">
      <c r="A1367" s="232" t="n"/>
      <c r="B1367" s="232" t="n"/>
      <c r="C1367" s="232" t="n"/>
      <c r="D1367" s="233" t="n"/>
      <c r="E1367" s="232" t="n"/>
      <c r="F1367" s="233" t="n"/>
      <c r="G1367" s="233" t="n"/>
      <c r="H1367" s="233" t="n"/>
      <c r="I1367" s="232" t="n"/>
      <c r="J1367" s="233" t="n"/>
      <c r="K1367" s="232" t="n"/>
      <c r="L1367" s="232" t="n"/>
      <c r="M1367" s="232" t="n"/>
      <c r="N1367" s="233" t="n"/>
      <c r="O1367" s="232" t="n"/>
      <c r="P1367" s="233" t="n"/>
      <c r="Q1367" s="233" t="n"/>
      <c r="R1367" s="233" t="n"/>
      <c r="S1367" s="232" t="n"/>
      <c r="T1367" s="233" t="n"/>
      <c r="U1367" s="233" t="n"/>
      <c r="V1367" s="233" t="n"/>
      <c r="W1367" s="232" t="n"/>
    </row>
    <row r="1368" ht="54.95" customFormat="1" customHeight="1" s="235">
      <c r="A1368" s="232" t="n"/>
      <c r="B1368" s="232" t="n"/>
      <c r="C1368" s="232" t="n"/>
      <c r="D1368" s="233" t="n"/>
      <c r="E1368" s="232" t="n"/>
      <c r="F1368" s="233" t="n"/>
      <c r="G1368" s="233" t="n"/>
      <c r="H1368" s="233" t="n"/>
      <c r="I1368" s="232" t="n"/>
      <c r="J1368" s="233" t="n"/>
      <c r="K1368" s="232" t="n"/>
      <c r="L1368" s="232" t="n"/>
      <c r="M1368" s="232" t="n"/>
      <c r="N1368" s="233" t="n"/>
      <c r="O1368" s="232" t="n"/>
      <c r="P1368" s="233" t="n"/>
      <c r="Q1368" s="233" t="n"/>
      <c r="R1368" s="233" t="n"/>
      <c r="S1368" s="232" t="n"/>
      <c r="T1368" s="233" t="n"/>
      <c r="U1368" s="233" t="n"/>
      <c r="V1368" s="233" t="n"/>
      <c r="W1368" s="232" t="n"/>
    </row>
    <row r="1369" ht="54.95" customFormat="1" customHeight="1" s="235">
      <c r="A1369" s="232" t="n"/>
      <c r="B1369" s="232" t="n"/>
      <c r="C1369" s="232" t="n"/>
      <c r="D1369" s="233" t="n"/>
      <c r="E1369" s="232" t="n"/>
      <c r="F1369" s="233" t="n"/>
      <c r="G1369" s="233" t="n"/>
      <c r="H1369" s="233" t="n"/>
      <c r="I1369" s="232" t="n"/>
      <c r="J1369" s="233" t="n"/>
      <c r="K1369" s="232" t="n"/>
      <c r="L1369" s="232" t="n"/>
      <c r="M1369" s="232" t="n"/>
      <c r="N1369" s="233" t="n"/>
      <c r="O1369" s="232" t="n"/>
      <c r="P1369" s="233" t="n"/>
      <c r="Q1369" s="233" t="n"/>
      <c r="R1369" s="233" t="n"/>
      <c r="S1369" s="232" t="n"/>
      <c r="T1369" s="233" t="n"/>
      <c r="U1369" s="233" t="n"/>
      <c r="V1369" s="233" t="n"/>
      <c r="W1369" s="232" t="n"/>
    </row>
    <row r="1370" ht="54.95" customFormat="1" customHeight="1" s="235">
      <c r="A1370" s="234" t="n"/>
      <c r="B1370" s="234" t="n"/>
      <c r="C1370" s="234" t="n"/>
      <c r="D1370" s="234" t="n"/>
      <c r="E1370" s="234" t="n"/>
      <c r="F1370" s="234" t="n"/>
      <c r="G1370" s="234" t="n"/>
      <c r="H1370" s="234" t="n"/>
      <c r="I1370" s="234" t="n"/>
      <c r="J1370" s="234" t="n"/>
      <c r="K1370" s="234" t="n"/>
      <c r="L1370" s="234" t="n"/>
      <c r="M1370" s="232" t="n"/>
      <c r="N1370" s="233" t="n"/>
      <c r="O1370" s="232" t="n"/>
      <c r="P1370" s="234" t="n"/>
      <c r="Q1370" s="234" t="n"/>
      <c r="R1370" s="234" t="n"/>
      <c r="S1370" s="234" t="n"/>
      <c r="T1370" s="234" t="n"/>
      <c r="U1370" s="234" t="n"/>
      <c r="V1370" s="234" t="n"/>
      <c r="W1370" s="234" t="n"/>
    </row>
    <row r="1371" ht="54.95" customFormat="1" customHeight="1" s="235">
      <c r="A1371" s="232" t="n"/>
      <c r="B1371" s="232" t="n"/>
      <c r="C1371" s="232" t="n"/>
      <c r="D1371" s="233" t="n"/>
      <c r="E1371" s="232" t="n"/>
      <c r="F1371" s="233" t="n"/>
      <c r="G1371" s="233" t="n"/>
      <c r="H1371" s="233" t="n"/>
      <c r="I1371" s="232" t="n"/>
      <c r="J1371" s="233" t="n"/>
      <c r="K1371" s="232" t="n"/>
      <c r="L1371" s="232" t="n"/>
      <c r="M1371" s="232" t="n"/>
      <c r="N1371" s="233" t="n"/>
      <c r="O1371" s="232" t="n"/>
      <c r="P1371" s="233" t="n"/>
      <c r="Q1371" s="233" t="n"/>
      <c r="R1371" s="233" t="n"/>
      <c r="S1371" s="232" t="n"/>
      <c r="T1371" s="233" t="n"/>
      <c r="U1371" s="233" t="n"/>
      <c r="V1371" s="233" t="n"/>
      <c r="W1371" s="232" t="n"/>
    </row>
    <row r="1372" ht="54.95" customFormat="1" customHeight="1" s="235">
      <c r="A1372" s="232" t="n"/>
      <c r="B1372" s="232" t="n"/>
      <c r="C1372" s="232" t="n"/>
      <c r="D1372" s="233" t="n"/>
      <c r="E1372" s="232" t="n"/>
      <c r="F1372" s="233" t="n"/>
      <c r="G1372" s="233" t="n"/>
      <c r="H1372" s="233" t="n"/>
      <c r="I1372" s="232" t="n"/>
      <c r="J1372" s="233" t="n"/>
      <c r="K1372" s="232" t="n"/>
      <c r="L1372" s="232" t="n"/>
      <c r="M1372" s="232" t="n"/>
      <c r="N1372" s="233" t="n"/>
      <c r="O1372" s="232" t="n"/>
      <c r="P1372" s="233" t="n"/>
      <c r="Q1372" s="233" t="n"/>
      <c r="R1372" s="233" t="n"/>
      <c r="S1372" s="232" t="n"/>
      <c r="T1372" s="233" t="n"/>
      <c r="U1372" s="233" t="n"/>
      <c r="V1372" s="233" t="n"/>
      <c r="W1372" s="232" t="n"/>
    </row>
    <row r="1373" ht="54.95" customFormat="1" customHeight="1" s="235">
      <c r="A1373" s="232" t="n"/>
      <c r="B1373" s="232" t="n"/>
      <c r="C1373" s="232" t="n"/>
      <c r="D1373" s="233" t="n"/>
      <c r="E1373" s="232" t="n"/>
      <c r="F1373" s="233" t="n"/>
      <c r="G1373" s="233" t="n"/>
      <c r="H1373" s="233" t="n"/>
      <c r="I1373" s="232" t="n"/>
      <c r="J1373" s="233" t="n"/>
      <c r="K1373" s="232" t="n"/>
      <c r="L1373" s="232" t="n"/>
      <c r="M1373" s="232" t="n"/>
      <c r="N1373" s="233" t="n"/>
      <c r="O1373" s="232" t="n"/>
      <c r="P1373" s="233" t="n"/>
      <c r="Q1373" s="233" t="n"/>
      <c r="R1373" s="233" t="n"/>
      <c r="S1373" s="232" t="n"/>
      <c r="T1373" s="233" t="n"/>
      <c r="U1373" s="233" t="n"/>
      <c r="V1373" s="233" t="n"/>
      <c r="W1373" s="232" t="n"/>
    </row>
    <row r="1374" ht="54.95" customFormat="1" customHeight="1" s="235">
      <c r="A1374" s="232" t="n"/>
      <c r="B1374" s="232" t="n"/>
      <c r="C1374" s="232" t="n"/>
      <c r="D1374" s="233" t="n"/>
      <c r="E1374" s="232" t="n"/>
      <c r="F1374" s="233" t="n"/>
      <c r="G1374" s="233" t="n"/>
      <c r="H1374" s="233" t="n"/>
      <c r="I1374" s="232" t="n"/>
      <c r="J1374" s="233" t="n"/>
      <c r="K1374" s="232" t="n"/>
      <c r="L1374" s="232" t="n"/>
      <c r="M1374" s="232" t="n"/>
      <c r="N1374" s="233" t="n"/>
      <c r="O1374" s="232" t="n"/>
      <c r="P1374" s="233" t="n"/>
      <c r="Q1374" s="233" t="n"/>
      <c r="R1374" s="233" t="n"/>
      <c r="S1374" s="232" t="n"/>
      <c r="T1374" s="233" t="n"/>
      <c r="U1374" s="233" t="n"/>
      <c r="V1374" s="233" t="n"/>
      <c r="W1374" s="232" t="n"/>
    </row>
    <row r="1375" ht="54.95" customFormat="1" customHeight="1" s="235">
      <c r="A1375" s="232" t="n"/>
      <c r="B1375" s="232" t="n"/>
      <c r="C1375" s="232" t="n"/>
      <c r="D1375" s="233" t="n"/>
      <c r="E1375" s="232" t="n"/>
      <c r="F1375" s="233" t="n"/>
      <c r="G1375" s="233" t="n"/>
      <c r="H1375" s="233" t="n"/>
      <c r="I1375" s="232" t="n"/>
      <c r="J1375" s="233" t="n"/>
      <c r="K1375" s="232" t="n"/>
      <c r="L1375" s="232" t="n"/>
      <c r="M1375" s="232" t="n"/>
      <c r="N1375" s="233" t="n"/>
      <c r="O1375" s="232" t="n"/>
      <c r="P1375" s="233" t="n"/>
      <c r="Q1375" s="233" t="n"/>
      <c r="R1375" s="233" t="n"/>
      <c r="S1375" s="232" t="n"/>
      <c r="T1375" s="233" t="n"/>
      <c r="U1375" s="233" t="n"/>
      <c r="V1375" s="233" t="n"/>
      <c r="W1375" s="232" t="n"/>
    </row>
    <row r="1376" ht="54.95" customFormat="1" customHeight="1" s="235">
      <c r="A1376" s="234" t="n"/>
      <c r="B1376" s="234" t="n"/>
      <c r="C1376" s="234" t="n"/>
      <c r="D1376" s="234" t="n"/>
      <c r="E1376" s="234" t="n"/>
      <c r="F1376" s="234" t="n"/>
      <c r="G1376" s="234" t="n"/>
      <c r="H1376" s="234" t="n"/>
      <c r="I1376" s="234" t="n"/>
      <c r="J1376" s="234" t="n"/>
      <c r="K1376" s="234" t="n"/>
      <c r="L1376" s="234" t="n"/>
      <c r="M1376" s="232" t="n"/>
      <c r="N1376" s="233" t="n"/>
      <c r="O1376" s="232" t="n"/>
      <c r="P1376" s="234" t="n"/>
      <c r="Q1376" s="234" t="n"/>
      <c r="R1376" s="234" t="n"/>
      <c r="S1376" s="234" t="n"/>
      <c r="T1376" s="234" t="n"/>
      <c r="U1376" s="234" t="n"/>
      <c r="V1376" s="234" t="n"/>
      <c r="W1376" s="234" t="n"/>
    </row>
    <row r="1377" ht="54.95" customFormat="1" customHeight="1" s="235">
      <c r="A1377" s="232" t="n"/>
      <c r="B1377" s="232" t="n"/>
      <c r="C1377" s="232" t="n"/>
      <c r="D1377" s="233" t="n"/>
      <c r="E1377" s="232" t="n"/>
      <c r="F1377" s="233" t="n"/>
      <c r="G1377" s="233" t="n"/>
      <c r="H1377" s="233" t="n"/>
      <c r="I1377" s="232" t="n"/>
      <c r="J1377" s="233" t="n"/>
      <c r="K1377" s="232" t="n"/>
      <c r="L1377" s="232" t="n"/>
      <c r="M1377" s="232" t="n"/>
      <c r="N1377" s="233" t="n"/>
      <c r="O1377" s="232" t="n"/>
      <c r="P1377" s="233" t="n"/>
      <c r="Q1377" s="233" t="n"/>
      <c r="R1377" s="233" t="n"/>
      <c r="S1377" s="232" t="n"/>
      <c r="T1377" s="233" t="n"/>
      <c r="U1377" s="233" t="n"/>
      <c r="V1377" s="233" t="n"/>
      <c r="W1377" s="232" t="n"/>
    </row>
    <row r="1378" ht="54.95" customFormat="1" customHeight="1" s="235">
      <c r="A1378" s="234" t="n"/>
      <c r="B1378" s="234" t="n"/>
      <c r="C1378" s="234" t="n"/>
      <c r="D1378" s="234" t="n"/>
      <c r="E1378" s="234" t="n"/>
      <c r="F1378" s="234" t="n"/>
      <c r="G1378" s="234" t="n"/>
      <c r="H1378" s="234" t="n"/>
      <c r="I1378" s="234" t="n"/>
      <c r="J1378" s="234" t="n"/>
      <c r="K1378" s="234" t="n"/>
      <c r="L1378" s="234" t="n"/>
      <c r="M1378" s="232" t="n"/>
      <c r="N1378" s="233" t="n"/>
      <c r="O1378" s="232" t="n"/>
      <c r="P1378" s="234" t="n"/>
      <c r="Q1378" s="234" t="n"/>
      <c r="R1378" s="234" t="n"/>
      <c r="S1378" s="234" t="n"/>
      <c r="T1378" s="234" t="n"/>
      <c r="U1378" s="234" t="n"/>
      <c r="V1378" s="234" t="n"/>
      <c r="W1378" s="234" t="n"/>
    </row>
    <row r="1379" ht="54.95" customFormat="1" customHeight="1" s="235">
      <c r="A1379" s="232" t="n"/>
      <c r="B1379" s="232" t="n"/>
      <c r="C1379" s="232" t="n"/>
      <c r="D1379" s="233" t="n"/>
      <c r="E1379" s="232" t="n"/>
      <c r="F1379" s="233" t="n"/>
      <c r="G1379" s="233" t="n"/>
      <c r="H1379" s="233" t="n"/>
      <c r="I1379" s="232" t="n"/>
      <c r="J1379" s="233" t="n"/>
      <c r="K1379" s="232" t="n"/>
      <c r="L1379" s="232" t="n"/>
      <c r="M1379" s="232" t="n"/>
      <c r="N1379" s="233" t="n"/>
      <c r="O1379" s="232" t="n"/>
      <c r="P1379" s="233" t="n"/>
      <c r="Q1379" s="233" t="n"/>
      <c r="R1379" s="233" t="n"/>
      <c r="S1379" s="232" t="n"/>
      <c r="T1379" s="233" t="n"/>
      <c r="U1379" s="233" t="n"/>
      <c r="V1379" s="233" t="n"/>
      <c r="W1379" s="232" t="n"/>
    </row>
    <row r="1380" ht="54.95" customFormat="1" customHeight="1" s="235">
      <c r="A1380" s="232" t="n"/>
      <c r="B1380" s="232" t="n"/>
      <c r="C1380" s="232" t="n"/>
      <c r="D1380" s="233" t="n"/>
      <c r="E1380" s="232" t="n"/>
      <c r="F1380" s="233" t="n"/>
      <c r="G1380" s="233" t="n"/>
      <c r="H1380" s="233" t="n"/>
      <c r="I1380" s="232" t="n"/>
      <c r="J1380" s="233" t="n"/>
      <c r="K1380" s="232" t="n"/>
      <c r="L1380" s="232" t="n"/>
      <c r="M1380" s="232" t="n"/>
      <c r="N1380" s="233" t="n"/>
      <c r="O1380" s="232" t="n"/>
      <c r="P1380" s="233" t="n"/>
      <c r="Q1380" s="233" t="n"/>
      <c r="R1380" s="233" t="n"/>
      <c r="S1380" s="232" t="n"/>
      <c r="T1380" s="233" t="n"/>
      <c r="U1380" s="233" t="n"/>
      <c r="V1380" s="233" t="n"/>
      <c r="W1380" s="232" t="n"/>
    </row>
    <row r="1381" ht="54.95" customFormat="1" customHeight="1" s="235">
      <c r="A1381" s="232" t="n"/>
      <c r="B1381" s="232" t="n"/>
      <c r="C1381" s="232" t="n"/>
      <c r="D1381" s="233" t="n"/>
      <c r="E1381" s="232" t="n"/>
      <c r="F1381" s="233" t="n"/>
      <c r="G1381" s="233" t="n"/>
      <c r="H1381" s="233" t="n"/>
      <c r="I1381" s="232" t="n"/>
      <c r="J1381" s="233" t="n"/>
      <c r="K1381" s="232" t="n"/>
      <c r="L1381" s="232" t="n"/>
      <c r="M1381" s="232" t="n"/>
      <c r="N1381" s="233" t="n"/>
      <c r="O1381" s="232" t="n"/>
      <c r="P1381" s="233" t="n"/>
      <c r="Q1381" s="233" t="n"/>
      <c r="R1381" s="233" t="n"/>
      <c r="S1381" s="232" t="n"/>
      <c r="T1381" s="233" t="n"/>
      <c r="U1381" s="233" t="n"/>
      <c r="V1381" s="233" t="n"/>
      <c r="W1381" s="232" t="n"/>
    </row>
    <row r="1382" ht="54.95" customFormat="1" customHeight="1" s="235">
      <c r="A1382" s="232" t="n"/>
      <c r="B1382" s="232" t="n"/>
      <c r="C1382" s="232" t="n"/>
      <c r="D1382" s="233" t="n"/>
      <c r="E1382" s="232" t="n"/>
      <c r="F1382" s="233" t="n"/>
      <c r="G1382" s="233" t="n"/>
      <c r="H1382" s="233" t="n"/>
      <c r="I1382" s="232" t="n"/>
      <c r="J1382" s="233" t="n"/>
      <c r="K1382" s="232" t="n"/>
      <c r="L1382" s="232" t="n"/>
      <c r="M1382" s="232" t="n"/>
      <c r="N1382" s="233" t="n"/>
      <c r="O1382" s="232" t="n"/>
      <c r="P1382" s="233" t="n"/>
      <c r="Q1382" s="233" t="n"/>
      <c r="R1382" s="233" t="n"/>
      <c r="S1382" s="232" t="n"/>
      <c r="T1382" s="233" t="n"/>
      <c r="U1382" s="233" t="n"/>
      <c r="V1382" s="233" t="n"/>
      <c r="W1382" s="232" t="n"/>
    </row>
    <row r="1383" ht="54.95" customFormat="1" customHeight="1" s="235">
      <c r="A1383" s="234" t="n"/>
      <c r="B1383" s="234" t="n"/>
      <c r="C1383" s="234" t="n"/>
      <c r="D1383" s="234" t="n"/>
      <c r="E1383" s="234" t="n"/>
      <c r="F1383" s="234" t="n"/>
      <c r="G1383" s="234" t="n"/>
      <c r="H1383" s="234" t="n"/>
      <c r="I1383" s="234" t="n"/>
      <c r="J1383" s="234" t="n"/>
      <c r="K1383" s="234" t="n"/>
      <c r="L1383" s="234" t="n"/>
      <c r="M1383" s="232" t="n"/>
      <c r="N1383" s="233" t="n"/>
      <c r="O1383" s="232" t="n"/>
      <c r="P1383" s="234" t="n"/>
      <c r="Q1383" s="234" t="n"/>
      <c r="R1383" s="234" t="n"/>
      <c r="S1383" s="234" t="n"/>
      <c r="T1383" s="234" t="n"/>
      <c r="U1383" s="234" t="n"/>
      <c r="V1383" s="234" t="n"/>
      <c r="W1383" s="234" t="n"/>
    </row>
    <row r="1384" ht="54.95" customFormat="1" customHeight="1" s="235">
      <c r="A1384" s="232" t="n"/>
      <c r="B1384" s="232" t="n"/>
      <c r="C1384" s="232" t="n"/>
      <c r="D1384" s="233" t="n"/>
      <c r="E1384" s="232" t="n"/>
      <c r="F1384" s="233" t="n"/>
      <c r="G1384" s="233" t="n"/>
      <c r="H1384" s="233" t="n"/>
      <c r="I1384" s="232" t="n"/>
      <c r="J1384" s="233" t="n"/>
      <c r="K1384" s="232" t="n"/>
      <c r="L1384" s="232" t="n"/>
      <c r="M1384" s="232" t="n"/>
      <c r="N1384" s="233" t="n"/>
      <c r="O1384" s="232" t="n"/>
      <c r="P1384" s="233" t="n"/>
      <c r="Q1384" s="233" t="n"/>
      <c r="R1384" s="233" t="n"/>
      <c r="S1384" s="232" t="n"/>
      <c r="T1384" s="233" t="n"/>
      <c r="U1384" s="233" t="n"/>
      <c r="V1384" s="233" t="n"/>
      <c r="W1384" s="232" t="n"/>
    </row>
    <row r="1385" ht="54.95" customFormat="1" customHeight="1" s="235">
      <c r="A1385" s="232" t="n"/>
      <c r="B1385" s="232" t="n"/>
      <c r="C1385" s="232" t="n"/>
      <c r="D1385" s="233" t="n"/>
      <c r="E1385" s="232" t="n"/>
      <c r="F1385" s="233" t="n"/>
      <c r="G1385" s="233" t="n"/>
      <c r="H1385" s="233" t="n"/>
      <c r="I1385" s="232" t="n"/>
      <c r="J1385" s="233" t="n"/>
      <c r="K1385" s="232" t="n"/>
      <c r="L1385" s="232" t="n"/>
      <c r="M1385" s="232" t="n"/>
      <c r="N1385" s="233" t="n"/>
      <c r="O1385" s="232" t="n"/>
      <c r="P1385" s="233" t="n"/>
      <c r="Q1385" s="233" t="n"/>
      <c r="R1385" s="233" t="n"/>
      <c r="S1385" s="232" t="n"/>
      <c r="T1385" s="233" t="n"/>
      <c r="U1385" s="233" t="n"/>
      <c r="V1385" s="233" t="n"/>
      <c r="W1385" s="232" t="n"/>
    </row>
    <row r="1386" ht="54.95" customFormat="1" customHeight="1" s="235">
      <c r="A1386" s="232" t="n"/>
      <c r="B1386" s="232" t="n"/>
      <c r="C1386" s="232" t="n"/>
      <c r="D1386" s="233" t="n"/>
      <c r="E1386" s="232" t="n"/>
      <c r="F1386" s="233" t="n"/>
      <c r="G1386" s="233" t="n"/>
      <c r="H1386" s="233" t="n"/>
      <c r="I1386" s="232" t="n"/>
      <c r="J1386" s="233" t="n"/>
      <c r="K1386" s="232" t="n"/>
      <c r="L1386" s="232" t="n"/>
      <c r="M1386" s="232" t="n"/>
      <c r="N1386" s="233" t="n"/>
      <c r="O1386" s="232" t="n"/>
      <c r="P1386" s="233" t="n"/>
      <c r="Q1386" s="233" t="n"/>
      <c r="R1386" s="233" t="n"/>
      <c r="S1386" s="232" t="n"/>
      <c r="T1386" s="233" t="n"/>
      <c r="U1386" s="233" t="n"/>
      <c r="V1386" s="233" t="n"/>
      <c r="W1386" s="232" t="n"/>
    </row>
    <row r="1387" ht="54.95" customFormat="1" customHeight="1" s="235">
      <c r="A1387" s="234" t="n"/>
      <c r="B1387" s="234" t="n"/>
      <c r="C1387" s="234" t="n"/>
      <c r="D1387" s="234" t="n"/>
      <c r="E1387" s="234" t="n"/>
      <c r="F1387" s="234" t="n"/>
      <c r="G1387" s="234" t="n"/>
      <c r="H1387" s="234" t="n"/>
      <c r="I1387" s="234" t="n"/>
      <c r="J1387" s="234" t="n"/>
      <c r="K1387" s="234" t="n"/>
      <c r="L1387" s="234" t="n"/>
      <c r="M1387" s="232" t="n"/>
      <c r="N1387" s="233" t="n"/>
      <c r="O1387" s="232" t="n"/>
      <c r="P1387" s="234" t="n"/>
      <c r="Q1387" s="234" t="n"/>
      <c r="R1387" s="234" t="n"/>
      <c r="S1387" s="234" t="n"/>
      <c r="T1387" s="234" t="n"/>
      <c r="U1387" s="234" t="n"/>
      <c r="V1387" s="234" t="n"/>
      <c r="W1387" s="234" t="n"/>
    </row>
    <row r="1388" ht="54.95" customFormat="1" customHeight="1" s="235">
      <c r="A1388" s="234" t="n"/>
      <c r="B1388" s="234" t="n"/>
      <c r="C1388" s="234" t="n"/>
      <c r="D1388" s="234" t="n"/>
      <c r="E1388" s="234" t="n"/>
      <c r="F1388" s="234" t="n"/>
      <c r="G1388" s="234" t="n"/>
      <c r="H1388" s="234" t="n"/>
      <c r="I1388" s="234" t="n"/>
      <c r="J1388" s="234" t="n"/>
      <c r="K1388" s="234" t="n"/>
      <c r="L1388" s="234" t="n"/>
      <c r="M1388" s="232" t="n"/>
      <c r="N1388" s="233" t="n"/>
      <c r="O1388" s="232" t="n"/>
      <c r="P1388" s="234" t="n"/>
      <c r="Q1388" s="234" t="n"/>
      <c r="R1388" s="234" t="n"/>
      <c r="S1388" s="234" t="n"/>
      <c r="T1388" s="234" t="n"/>
      <c r="U1388" s="234" t="n"/>
      <c r="V1388" s="234" t="n"/>
      <c r="W1388" s="234" t="n"/>
    </row>
    <row r="1389" ht="54.95" customFormat="1" customHeight="1" s="235">
      <c r="A1389" s="234" t="n"/>
      <c r="B1389" s="234" t="n"/>
      <c r="C1389" s="234" t="n"/>
      <c r="D1389" s="234" t="n"/>
      <c r="E1389" s="234" t="n"/>
      <c r="F1389" s="234" t="n"/>
      <c r="G1389" s="234" t="n"/>
      <c r="H1389" s="234" t="n"/>
      <c r="I1389" s="234" t="n"/>
      <c r="J1389" s="234" t="n"/>
      <c r="K1389" s="234" t="n"/>
      <c r="L1389" s="234" t="n"/>
      <c r="M1389" s="232" t="n"/>
      <c r="N1389" s="233" t="n"/>
      <c r="O1389" s="232" t="n"/>
      <c r="P1389" s="234" t="n"/>
      <c r="Q1389" s="234" t="n"/>
      <c r="R1389" s="234" t="n"/>
      <c r="S1389" s="234" t="n"/>
      <c r="T1389" s="234" t="n"/>
      <c r="U1389" s="234" t="n"/>
      <c r="V1389" s="234" t="n"/>
      <c r="W1389" s="234" t="n"/>
    </row>
    <row r="1390" ht="54.95" customFormat="1" customHeight="1" s="235">
      <c r="A1390" s="232" t="n"/>
      <c r="B1390" s="232" t="n"/>
      <c r="C1390" s="232" t="n"/>
      <c r="D1390" s="233" t="n"/>
      <c r="E1390" s="232" t="n"/>
      <c r="F1390" s="233" t="n"/>
      <c r="G1390" s="233" t="n"/>
      <c r="H1390" s="233" t="n"/>
      <c r="I1390" s="232" t="n"/>
      <c r="J1390" s="233" t="n"/>
      <c r="K1390" s="232" t="n"/>
      <c r="L1390" s="232" t="n"/>
      <c r="M1390" s="232" t="n"/>
      <c r="N1390" s="233" t="n"/>
      <c r="O1390" s="232" t="n"/>
      <c r="P1390" s="233" t="n"/>
      <c r="Q1390" s="233" t="n"/>
      <c r="R1390" s="233" t="n"/>
      <c r="S1390" s="232" t="n"/>
      <c r="T1390" s="233" t="n"/>
      <c r="U1390" s="233" t="n"/>
      <c r="V1390" s="233" t="n"/>
      <c r="W1390" s="232" t="n"/>
    </row>
    <row r="1391" ht="54.95" customFormat="1" customHeight="1" s="235">
      <c r="A1391" s="232" t="n"/>
      <c r="B1391" s="232" t="n"/>
      <c r="C1391" s="232" t="n"/>
      <c r="D1391" s="233" t="n"/>
      <c r="E1391" s="232" t="n"/>
      <c r="F1391" s="233" t="n"/>
      <c r="G1391" s="233" t="n"/>
      <c r="H1391" s="233" t="n"/>
      <c r="I1391" s="232" t="n"/>
      <c r="J1391" s="233" t="n"/>
      <c r="K1391" s="232" t="n"/>
      <c r="L1391" s="232" t="n"/>
      <c r="M1391" s="232" t="n"/>
      <c r="N1391" s="233" t="n"/>
      <c r="O1391" s="232" t="n"/>
      <c r="P1391" s="233" t="n"/>
      <c r="Q1391" s="233" t="n"/>
      <c r="R1391" s="233" t="n"/>
      <c r="S1391" s="232" t="n"/>
      <c r="T1391" s="233" t="n"/>
      <c r="U1391" s="233" t="n"/>
      <c r="V1391" s="233" t="n"/>
      <c r="W1391" s="232" t="n"/>
    </row>
    <row r="1392" ht="54.95" customFormat="1" customHeight="1" s="235">
      <c r="A1392" s="232" t="n"/>
      <c r="B1392" s="232" t="n"/>
      <c r="C1392" s="232" t="n"/>
      <c r="D1392" s="233" t="n"/>
      <c r="E1392" s="232" t="n"/>
      <c r="F1392" s="233" t="n"/>
      <c r="G1392" s="233" t="n"/>
      <c r="H1392" s="233" t="n"/>
      <c r="I1392" s="232" t="n"/>
      <c r="J1392" s="233" t="n"/>
      <c r="K1392" s="232" t="n"/>
      <c r="L1392" s="232" t="n"/>
      <c r="M1392" s="232" t="n"/>
      <c r="N1392" s="233" t="n"/>
      <c r="O1392" s="232" t="n"/>
      <c r="P1392" s="233" t="n"/>
      <c r="Q1392" s="233" t="n"/>
      <c r="R1392" s="233" t="n"/>
      <c r="S1392" s="232" t="n"/>
      <c r="T1392" s="233" t="n"/>
      <c r="U1392" s="233" t="n"/>
      <c r="V1392" s="233" t="n"/>
      <c r="W1392" s="232" t="n"/>
    </row>
    <row r="1393" ht="54.95" customFormat="1" customHeight="1" s="235">
      <c r="A1393" s="232" t="n"/>
      <c r="B1393" s="232" t="n"/>
      <c r="C1393" s="232" t="n"/>
      <c r="D1393" s="233" t="n"/>
      <c r="E1393" s="232" t="n"/>
      <c r="F1393" s="233" t="n"/>
      <c r="G1393" s="233" t="n"/>
      <c r="H1393" s="233" t="n"/>
      <c r="I1393" s="232" t="n"/>
      <c r="J1393" s="233" t="n"/>
      <c r="K1393" s="232" t="n"/>
      <c r="L1393" s="232" t="n"/>
      <c r="M1393" s="232" t="n"/>
      <c r="N1393" s="233" t="n"/>
      <c r="O1393" s="232" t="n"/>
      <c r="P1393" s="233" t="n"/>
      <c r="Q1393" s="233" t="n"/>
      <c r="R1393" s="233" t="n"/>
      <c r="S1393" s="232" t="n"/>
      <c r="T1393" s="233" t="n"/>
      <c r="U1393" s="233" t="n"/>
      <c r="V1393" s="233" t="n"/>
      <c r="W1393" s="232" t="n"/>
    </row>
    <row r="1394" ht="54.95" customFormat="1" customHeight="1" s="235">
      <c r="A1394" s="232" t="n"/>
      <c r="B1394" s="232" t="n"/>
      <c r="C1394" s="232" t="n"/>
      <c r="D1394" s="233" t="n"/>
      <c r="E1394" s="232" t="n"/>
      <c r="F1394" s="233" t="n"/>
      <c r="G1394" s="233" t="n"/>
      <c r="H1394" s="233" t="n"/>
      <c r="I1394" s="232" t="n"/>
      <c r="J1394" s="233" t="n"/>
      <c r="K1394" s="232" t="n"/>
      <c r="L1394" s="232" t="n"/>
      <c r="M1394" s="232" t="n"/>
      <c r="N1394" s="233" t="n"/>
      <c r="O1394" s="232" t="n"/>
      <c r="P1394" s="233" t="n"/>
      <c r="Q1394" s="233" t="n"/>
      <c r="R1394" s="233" t="n"/>
      <c r="S1394" s="232" t="n"/>
      <c r="T1394" s="233" t="n"/>
      <c r="U1394" s="233" t="n"/>
      <c r="V1394" s="233" t="n"/>
      <c r="W1394" s="232" t="n"/>
    </row>
    <row r="1395" ht="54.95" customFormat="1" customHeight="1" s="235">
      <c r="A1395" s="232" t="n"/>
      <c r="B1395" s="232" t="n"/>
      <c r="C1395" s="232" t="n"/>
      <c r="D1395" s="233" t="n"/>
      <c r="E1395" s="232" t="n"/>
      <c r="F1395" s="233" t="n"/>
      <c r="G1395" s="233" t="n"/>
      <c r="H1395" s="233" t="n"/>
      <c r="I1395" s="232" t="n"/>
      <c r="J1395" s="233" t="n"/>
      <c r="K1395" s="232" t="n"/>
      <c r="L1395" s="232" t="n"/>
      <c r="M1395" s="232" t="n"/>
      <c r="N1395" s="233" t="n"/>
      <c r="O1395" s="232" t="n"/>
      <c r="P1395" s="233" t="n"/>
      <c r="Q1395" s="233" t="n"/>
      <c r="R1395" s="233" t="n"/>
      <c r="S1395" s="232" t="n"/>
      <c r="T1395" s="233" t="n"/>
      <c r="U1395" s="233" t="n"/>
      <c r="V1395" s="233" t="n"/>
      <c r="W1395" s="232" t="n"/>
    </row>
    <row r="1396" ht="54.95" customFormat="1" customHeight="1" s="235">
      <c r="A1396" s="234" t="n"/>
      <c r="B1396" s="234" t="n"/>
      <c r="C1396" s="234" t="n"/>
      <c r="D1396" s="234" t="n"/>
      <c r="E1396" s="234" t="n"/>
      <c r="F1396" s="234" t="n"/>
      <c r="G1396" s="234" t="n"/>
      <c r="H1396" s="234" t="n"/>
      <c r="I1396" s="234" t="n"/>
      <c r="J1396" s="234" t="n"/>
      <c r="K1396" s="234" t="n"/>
      <c r="L1396" s="234" t="n"/>
      <c r="M1396" s="232" t="n"/>
      <c r="N1396" s="233" t="n"/>
      <c r="O1396" s="232" t="n"/>
      <c r="P1396" s="234" t="n"/>
      <c r="Q1396" s="234" t="n"/>
      <c r="R1396" s="234" t="n"/>
      <c r="S1396" s="234" t="n"/>
      <c r="T1396" s="234" t="n"/>
      <c r="U1396" s="234" t="n"/>
      <c r="V1396" s="234" t="n"/>
      <c r="W1396" s="234" t="n"/>
    </row>
    <row r="1397" ht="54.95" customFormat="1" customHeight="1" s="235">
      <c r="A1397" s="234" t="n"/>
      <c r="B1397" s="234" t="n"/>
      <c r="C1397" s="234" t="n"/>
      <c r="D1397" s="234" t="n"/>
      <c r="E1397" s="234" t="n"/>
      <c r="F1397" s="234" t="n"/>
      <c r="G1397" s="234" t="n"/>
      <c r="H1397" s="234" t="n"/>
      <c r="I1397" s="234" t="n"/>
      <c r="J1397" s="234" t="n"/>
      <c r="K1397" s="234" t="n"/>
      <c r="L1397" s="234" t="n"/>
      <c r="M1397" s="232" t="n"/>
      <c r="N1397" s="233" t="n"/>
      <c r="O1397" s="232" t="n"/>
      <c r="P1397" s="234" t="n"/>
      <c r="Q1397" s="234" t="n"/>
      <c r="R1397" s="234" t="n"/>
      <c r="S1397" s="234" t="n"/>
      <c r="T1397" s="234" t="n"/>
      <c r="U1397" s="234" t="n"/>
      <c r="V1397" s="234" t="n"/>
      <c r="W1397" s="234" t="n"/>
    </row>
    <row r="1398" ht="54.95" customFormat="1" customHeight="1" s="235">
      <c r="A1398" s="234" t="n"/>
      <c r="B1398" s="234" t="n"/>
      <c r="C1398" s="234" t="n"/>
      <c r="D1398" s="234" t="n"/>
      <c r="E1398" s="234" t="n"/>
      <c r="F1398" s="234" t="n"/>
      <c r="G1398" s="234" t="n"/>
      <c r="H1398" s="234" t="n"/>
      <c r="I1398" s="234" t="n"/>
      <c r="J1398" s="234" t="n"/>
      <c r="K1398" s="234" t="n"/>
      <c r="L1398" s="234" t="n"/>
      <c r="M1398" s="232" t="n"/>
      <c r="N1398" s="233" t="n"/>
      <c r="O1398" s="232" t="n"/>
      <c r="P1398" s="234" t="n"/>
      <c r="Q1398" s="234" t="n"/>
      <c r="R1398" s="234" t="n"/>
      <c r="S1398" s="234" t="n"/>
      <c r="T1398" s="234" t="n"/>
      <c r="U1398" s="234" t="n"/>
      <c r="V1398" s="234" t="n"/>
      <c r="W1398" s="234" t="n"/>
    </row>
    <row r="1399" ht="54.95" customFormat="1" customHeight="1" s="235">
      <c r="A1399" s="234" t="n"/>
      <c r="B1399" s="234" t="n"/>
      <c r="C1399" s="234" t="n"/>
      <c r="D1399" s="234" t="n"/>
      <c r="E1399" s="234" t="n"/>
      <c r="F1399" s="234" t="n"/>
      <c r="G1399" s="234" t="n"/>
      <c r="H1399" s="234" t="n"/>
      <c r="I1399" s="234" t="n"/>
      <c r="J1399" s="234" t="n"/>
      <c r="K1399" s="234" t="n"/>
      <c r="L1399" s="234" t="n"/>
      <c r="M1399" s="232" t="n"/>
      <c r="N1399" s="233" t="n"/>
      <c r="O1399" s="232" t="n"/>
      <c r="P1399" s="234" t="n"/>
      <c r="Q1399" s="234" t="n"/>
      <c r="R1399" s="234" t="n"/>
      <c r="S1399" s="234" t="n"/>
      <c r="T1399" s="234" t="n"/>
      <c r="U1399" s="234" t="n"/>
      <c r="V1399" s="234" t="n"/>
      <c r="W1399" s="234" t="n"/>
    </row>
    <row r="1400" ht="54.95" customFormat="1" customHeight="1" s="235">
      <c r="A1400" s="234" t="n"/>
      <c r="B1400" s="234" t="n"/>
      <c r="C1400" s="234" t="n"/>
      <c r="D1400" s="234" t="n"/>
      <c r="E1400" s="234" t="n"/>
      <c r="F1400" s="234" t="n"/>
      <c r="G1400" s="234" t="n"/>
      <c r="H1400" s="234" t="n"/>
      <c r="I1400" s="234" t="n"/>
      <c r="J1400" s="234" t="n"/>
      <c r="K1400" s="234" t="n"/>
      <c r="L1400" s="234" t="n"/>
      <c r="M1400" s="232" t="n"/>
      <c r="N1400" s="233" t="n"/>
      <c r="O1400" s="232" t="n"/>
      <c r="P1400" s="234" t="n"/>
      <c r="Q1400" s="234" t="n"/>
      <c r="R1400" s="234" t="n"/>
      <c r="S1400" s="234" t="n"/>
      <c r="T1400" s="234" t="n"/>
      <c r="U1400" s="234" t="n"/>
      <c r="V1400" s="234" t="n"/>
      <c r="W1400" s="234" t="n"/>
    </row>
    <row r="1401" ht="54.95" customFormat="1" customHeight="1" s="235">
      <c r="A1401" s="234" t="n"/>
      <c r="B1401" s="234" t="n"/>
      <c r="C1401" s="234" t="n"/>
      <c r="D1401" s="234" t="n"/>
      <c r="E1401" s="234" t="n"/>
      <c r="F1401" s="234" t="n"/>
      <c r="G1401" s="234" t="n"/>
      <c r="H1401" s="234" t="n"/>
      <c r="I1401" s="234" t="n"/>
      <c r="J1401" s="234" t="n"/>
      <c r="K1401" s="234" t="n"/>
      <c r="L1401" s="234" t="n"/>
      <c r="M1401" s="232" t="n"/>
      <c r="N1401" s="233" t="n"/>
      <c r="O1401" s="232" t="n"/>
      <c r="P1401" s="234" t="n"/>
      <c r="Q1401" s="234" t="n"/>
      <c r="R1401" s="234" t="n"/>
      <c r="S1401" s="234" t="n"/>
      <c r="T1401" s="234" t="n"/>
      <c r="U1401" s="234" t="n"/>
      <c r="V1401" s="234" t="n"/>
      <c r="W1401" s="234" t="n"/>
    </row>
    <row r="1402" ht="54.95" customFormat="1" customHeight="1" s="235">
      <c r="A1402" s="234" t="n"/>
      <c r="B1402" s="234" t="n"/>
      <c r="C1402" s="234" t="n"/>
      <c r="D1402" s="234" t="n"/>
      <c r="E1402" s="234" t="n"/>
      <c r="F1402" s="234" t="n"/>
      <c r="G1402" s="234" t="n"/>
      <c r="H1402" s="234" t="n"/>
      <c r="I1402" s="234" t="n"/>
      <c r="J1402" s="234" t="n"/>
      <c r="K1402" s="234" t="n"/>
      <c r="L1402" s="234" t="n"/>
      <c r="M1402" s="232" t="n"/>
      <c r="N1402" s="233" t="n"/>
      <c r="O1402" s="232" t="n"/>
      <c r="P1402" s="234" t="n"/>
      <c r="Q1402" s="234" t="n"/>
      <c r="R1402" s="234" t="n"/>
      <c r="S1402" s="234" t="n"/>
      <c r="T1402" s="234" t="n"/>
      <c r="U1402" s="234" t="n"/>
      <c r="V1402" s="234" t="n"/>
      <c r="W1402" s="234" t="n"/>
    </row>
    <row r="1403" ht="54.95" customFormat="1" customHeight="1" s="235">
      <c r="A1403" s="234" t="n"/>
      <c r="B1403" s="234" t="n"/>
      <c r="C1403" s="234" t="n"/>
      <c r="D1403" s="234" t="n"/>
      <c r="E1403" s="234" t="n"/>
      <c r="F1403" s="234" t="n"/>
      <c r="G1403" s="234" t="n"/>
      <c r="H1403" s="234" t="n"/>
      <c r="I1403" s="234" t="n"/>
      <c r="J1403" s="234" t="n"/>
      <c r="K1403" s="234" t="n"/>
      <c r="L1403" s="234" t="n"/>
      <c r="M1403" s="232" t="n"/>
      <c r="N1403" s="233" t="n"/>
      <c r="O1403" s="232" t="n"/>
      <c r="P1403" s="234" t="n"/>
      <c r="Q1403" s="234" t="n"/>
      <c r="R1403" s="234" t="n"/>
      <c r="S1403" s="234" t="n"/>
      <c r="T1403" s="234" t="n"/>
      <c r="U1403" s="234" t="n"/>
      <c r="V1403" s="234" t="n"/>
      <c r="W1403" s="234" t="n"/>
    </row>
    <row r="1404" ht="54.95" customFormat="1" customHeight="1" s="235">
      <c r="A1404" s="234" t="n"/>
      <c r="B1404" s="234" t="n"/>
      <c r="C1404" s="234" t="n"/>
      <c r="D1404" s="234" t="n"/>
      <c r="E1404" s="234" t="n"/>
      <c r="F1404" s="234" t="n"/>
      <c r="G1404" s="234" t="n"/>
      <c r="H1404" s="234" t="n"/>
      <c r="I1404" s="234" t="n"/>
      <c r="J1404" s="234" t="n"/>
      <c r="K1404" s="234" t="n"/>
      <c r="L1404" s="234" t="n"/>
      <c r="M1404" s="232" t="n"/>
      <c r="N1404" s="233" t="n"/>
      <c r="O1404" s="232" t="n"/>
      <c r="P1404" s="234" t="n"/>
      <c r="Q1404" s="234" t="n"/>
      <c r="R1404" s="234" t="n"/>
      <c r="S1404" s="234" t="n"/>
      <c r="T1404" s="234" t="n"/>
      <c r="U1404" s="234" t="n"/>
      <c r="V1404" s="234" t="n"/>
      <c r="W1404" s="234" t="n"/>
    </row>
    <row r="1405" ht="54.95" customFormat="1" customHeight="1" s="235">
      <c r="A1405" s="234" t="n"/>
      <c r="B1405" s="234" t="n"/>
      <c r="C1405" s="234" t="n"/>
      <c r="D1405" s="234" t="n"/>
      <c r="E1405" s="234" t="n"/>
      <c r="F1405" s="234" t="n"/>
      <c r="G1405" s="234" t="n"/>
      <c r="H1405" s="234" t="n"/>
      <c r="I1405" s="234" t="n"/>
      <c r="J1405" s="234" t="n"/>
      <c r="K1405" s="234" t="n"/>
      <c r="L1405" s="234" t="n"/>
      <c r="M1405" s="232" t="n"/>
      <c r="N1405" s="233" t="n"/>
      <c r="O1405" s="232" t="n"/>
      <c r="P1405" s="234" t="n"/>
      <c r="Q1405" s="234" t="n"/>
      <c r="R1405" s="234" t="n"/>
      <c r="S1405" s="234" t="n"/>
      <c r="T1405" s="234" t="n"/>
      <c r="U1405" s="234" t="n"/>
      <c r="V1405" s="234" t="n"/>
      <c r="W1405" s="234" t="n"/>
    </row>
    <row r="1406" ht="54.95" customFormat="1" customHeight="1" s="235">
      <c r="A1406" s="234" t="n"/>
      <c r="B1406" s="234" t="n"/>
      <c r="C1406" s="234" t="n"/>
      <c r="D1406" s="234" t="n"/>
      <c r="E1406" s="234" t="n"/>
      <c r="F1406" s="234" t="n"/>
      <c r="G1406" s="234" t="n"/>
      <c r="H1406" s="234" t="n"/>
      <c r="I1406" s="234" t="n"/>
      <c r="J1406" s="234" t="n"/>
      <c r="K1406" s="234" t="n"/>
      <c r="L1406" s="234" t="n"/>
      <c r="M1406" s="232" t="n"/>
      <c r="N1406" s="233" t="n"/>
      <c r="O1406" s="232" t="n"/>
      <c r="P1406" s="234" t="n"/>
      <c r="Q1406" s="234" t="n"/>
      <c r="R1406" s="234" t="n"/>
      <c r="S1406" s="234" t="n"/>
      <c r="T1406" s="234" t="n"/>
      <c r="U1406" s="234" t="n"/>
      <c r="V1406" s="234" t="n"/>
      <c r="W1406" s="234" t="n"/>
    </row>
    <row r="1407" ht="54.95" customFormat="1" customHeight="1" s="235">
      <c r="A1407" s="234" t="n"/>
      <c r="B1407" s="234" t="n"/>
      <c r="C1407" s="234" t="n"/>
      <c r="D1407" s="234" t="n"/>
      <c r="E1407" s="234" t="n"/>
      <c r="F1407" s="234" t="n"/>
      <c r="G1407" s="234" t="n"/>
      <c r="H1407" s="234" t="n"/>
      <c r="I1407" s="234" t="n"/>
      <c r="J1407" s="234" t="n"/>
      <c r="K1407" s="234" t="n"/>
      <c r="L1407" s="234" t="n"/>
      <c r="M1407" s="232" t="n"/>
      <c r="N1407" s="233" t="n"/>
      <c r="O1407" s="232" t="n"/>
      <c r="P1407" s="234" t="n"/>
      <c r="Q1407" s="234" t="n"/>
      <c r="R1407" s="234" t="n"/>
      <c r="S1407" s="234" t="n"/>
      <c r="T1407" s="234" t="n"/>
      <c r="U1407" s="234" t="n"/>
      <c r="V1407" s="234" t="n"/>
      <c r="W1407" s="234" t="n"/>
    </row>
    <row r="1408" ht="54.95" customFormat="1" customHeight="1" s="235">
      <c r="A1408" s="234" t="n"/>
      <c r="B1408" s="234" t="n"/>
      <c r="C1408" s="234" t="n"/>
      <c r="D1408" s="234" t="n"/>
      <c r="E1408" s="234" t="n"/>
      <c r="F1408" s="234" t="n"/>
      <c r="G1408" s="234" t="n"/>
      <c r="H1408" s="234" t="n"/>
      <c r="I1408" s="234" t="n"/>
      <c r="J1408" s="234" t="n"/>
      <c r="K1408" s="234" t="n"/>
      <c r="L1408" s="234" t="n"/>
      <c r="M1408" s="232" t="n"/>
      <c r="N1408" s="233" t="n"/>
      <c r="O1408" s="232" t="n"/>
      <c r="P1408" s="234" t="n"/>
      <c r="Q1408" s="234" t="n"/>
      <c r="R1408" s="234" t="n"/>
      <c r="S1408" s="234" t="n"/>
      <c r="T1408" s="234" t="n"/>
      <c r="U1408" s="234" t="n"/>
      <c r="V1408" s="234" t="n"/>
      <c r="W1408" s="234" t="n"/>
    </row>
    <row r="1409" ht="54.95" customFormat="1" customHeight="1" s="235">
      <c r="A1409" s="234" t="n"/>
      <c r="B1409" s="234" t="n"/>
      <c r="C1409" s="234" t="n"/>
      <c r="D1409" s="234" t="n"/>
      <c r="E1409" s="234" t="n"/>
      <c r="F1409" s="234" t="n"/>
      <c r="G1409" s="234" t="n"/>
      <c r="H1409" s="234" t="n"/>
      <c r="I1409" s="234" t="n"/>
      <c r="J1409" s="234" t="n"/>
      <c r="K1409" s="234" t="n"/>
      <c r="L1409" s="234" t="n"/>
      <c r="M1409" s="232" t="n"/>
      <c r="N1409" s="233" t="n"/>
      <c r="O1409" s="232" t="n"/>
      <c r="P1409" s="234" t="n"/>
      <c r="Q1409" s="234" t="n"/>
      <c r="R1409" s="234" t="n"/>
      <c r="S1409" s="234" t="n"/>
      <c r="T1409" s="234" t="n"/>
      <c r="U1409" s="234" t="n"/>
      <c r="V1409" s="234" t="n"/>
      <c r="W1409" s="234" t="n"/>
    </row>
    <row r="1410" ht="54.95" customFormat="1" customHeight="1" s="235">
      <c r="A1410" s="234" t="n"/>
      <c r="B1410" s="234" t="n"/>
      <c r="C1410" s="234" t="n"/>
      <c r="D1410" s="234" t="n"/>
      <c r="E1410" s="234" t="n"/>
      <c r="F1410" s="234" t="n"/>
      <c r="G1410" s="234" t="n"/>
      <c r="H1410" s="234" t="n"/>
      <c r="I1410" s="234" t="n"/>
      <c r="J1410" s="234" t="n"/>
      <c r="K1410" s="234" t="n"/>
      <c r="L1410" s="234" t="n"/>
      <c r="M1410" s="232" t="n"/>
      <c r="N1410" s="233" t="n"/>
      <c r="O1410" s="232" t="n"/>
      <c r="P1410" s="234" t="n"/>
      <c r="Q1410" s="234" t="n"/>
      <c r="R1410" s="234" t="n"/>
      <c r="S1410" s="234" t="n"/>
      <c r="T1410" s="234" t="n"/>
      <c r="U1410" s="234" t="n"/>
      <c r="V1410" s="234" t="n"/>
      <c r="W1410" s="234" t="n"/>
    </row>
    <row r="1411" ht="54.95" customFormat="1" customHeight="1" s="235">
      <c r="A1411" s="234" t="n"/>
      <c r="B1411" s="234" t="n"/>
      <c r="C1411" s="234" t="n"/>
      <c r="D1411" s="234" t="n"/>
      <c r="E1411" s="234" t="n"/>
      <c r="F1411" s="234" t="n"/>
      <c r="G1411" s="234" t="n"/>
      <c r="H1411" s="234" t="n"/>
      <c r="I1411" s="234" t="n"/>
      <c r="J1411" s="234" t="n"/>
      <c r="K1411" s="234" t="n"/>
      <c r="L1411" s="234" t="n"/>
      <c r="M1411" s="232" t="n"/>
      <c r="N1411" s="233" t="n"/>
      <c r="O1411" s="232" t="n"/>
      <c r="P1411" s="234" t="n"/>
      <c r="Q1411" s="234" t="n"/>
      <c r="R1411" s="234" t="n"/>
      <c r="S1411" s="234" t="n"/>
      <c r="T1411" s="234" t="n"/>
      <c r="U1411" s="234" t="n"/>
      <c r="V1411" s="234" t="n"/>
      <c r="W1411" s="234" t="n"/>
    </row>
    <row r="1412" ht="54.95" customFormat="1" customHeight="1" s="235">
      <c r="A1412" s="234" t="n"/>
      <c r="B1412" s="234" t="n"/>
      <c r="C1412" s="234" t="n"/>
      <c r="D1412" s="234" t="n"/>
      <c r="E1412" s="234" t="n"/>
      <c r="F1412" s="234" t="n"/>
      <c r="G1412" s="234" t="n"/>
      <c r="H1412" s="234" t="n"/>
      <c r="I1412" s="234" t="n"/>
      <c r="J1412" s="234" t="n"/>
      <c r="K1412" s="234" t="n"/>
      <c r="L1412" s="234" t="n"/>
      <c r="M1412" s="232" t="n"/>
      <c r="N1412" s="233" t="n"/>
      <c r="O1412" s="232" t="n"/>
      <c r="P1412" s="234" t="n"/>
      <c r="Q1412" s="234" t="n"/>
      <c r="R1412" s="234" t="n"/>
      <c r="S1412" s="234" t="n"/>
      <c r="T1412" s="234" t="n"/>
      <c r="U1412" s="234" t="n"/>
      <c r="V1412" s="234" t="n"/>
      <c r="W1412" s="234" t="n"/>
    </row>
    <row r="1413" ht="54.95" customFormat="1" customHeight="1" s="235">
      <c r="A1413" s="234" t="n"/>
      <c r="B1413" s="234" t="n"/>
      <c r="C1413" s="234" t="n"/>
      <c r="D1413" s="234" t="n"/>
      <c r="E1413" s="234" t="n"/>
      <c r="F1413" s="234" t="n"/>
      <c r="G1413" s="234" t="n"/>
      <c r="H1413" s="234" t="n"/>
      <c r="I1413" s="234" t="n"/>
      <c r="J1413" s="234" t="n"/>
      <c r="K1413" s="234" t="n"/>
      <c r="L1413" s="234" t="n"/>
      <c r="M1413" s="232" t="n"/>
      <c r="N1413" s="233" t="n"/>
      <c r="O1413" s="232" t="n"/>
      <c r="P1413" s="234" t="n"/>
      <c r="Q1413" s="234" t="n"/>
      <c r="R1413" s="234" t="n"/>
      <c r="S1413" s="234" t="n"/>
      <c r="T1413" s="234" t="n"/>
      <c r="U1413" s="234" t="n"/>
      <c r="V1413" s="234" t="n"/>
      <c r="W1413" s="234" t="n"/>
    </row>
    <row r="1414" ht="54.95" customFormat="1" customHeight="1" s="235">
      <c r="A1414" s="232" t="n"/>
      <c r="B1414" s="232" t="n"/>
      <c r="C1414" s="232" t="n"/>
      <c r="D1414" s="233" t="n"/>
      <c r="E1414" s="232" t="n"/>
      <c r="F1414" s="233" t="n"/>
      <c r="G1414" s="233" t="n"/>
      <c r="H1414" s="233" t="n"/>
      <c r="I1414" s="232" t="n"/>
      <c r="J1414" s="233" t="n"/>
      <c r="K1414" s="232" t="n"/>
      <c r="L1414" s="232" t="n"/>
      <c r="M1414" s="232" t="n"/>
      <c r="N1414" s="233" t="n"/>
      <c r="O1414" s="232" t="n"/>
      <c r="P1414" s="233" t="n"/>
      <c r="Q1414" s="233" t="n"/>
      <c r="R1414" s="233" t="n"/>
      <c r="S1414" s="232" t="n"/>
      <c r="T1414" s="233" t="n"/>
      <c r="U1414" s="233" t="n"/>
      <c r="V1414" s="233" t="n"/>
      <c r="W1414" s="232" t="n"/>
    </row>
    <row r="1415" ht="54.95" customFormat="1" customHeight="1" s="235">
      <c r="A1415" s="234" t="n"/>
      <c r="B1415" s="234" t="n"/>
      <c r="C1415" s="234" t="n"/>
      <c r="D1415" s="234" t="n"/>
      <c r="E1415" s="234" t="n"/>
      <c r="F1415" s="234" t="n"/>
      <c r="G1415" s="234" t="n"/>
      <c r="H1415" s="234" t="n"/>
      <c r="I1415" s="234" t="n"/>
      <c r="J1415" s="234" t="n"/>
      <c r="K1415" s="234" t="n"/>
      <c r="L1415" s="234" t="n"/>
      <c r="M1415" s="232" t="n"/>
      <c r="N1415" s="233" t="n"/>
      <c r="O1415" s="232" t="n"/>
      <c r="P1415" s="234" t="n"/>
      <c r="Q1415" s="234" t="n"/>
      <c r="R1415" s="234" t="n"/>
      <c r="S1415" s="234" t="n"/>
      <c r="T1415" s="234" t="n"/>
      <c r="U1415" s="234" t="n"/>
      <c r="V1415" s="234" t="n"/>
      <c r="W1415" s="234" t="n"/>
    </row>
    <row r="1416" ht="54.95" customFormat="1" customHeight="1" s="235">
      <c r="A1416" s="234" t="n"/>
      <c r="B1416" s="234" t="n"/>
      <c r="C1416" s="234" t="n"/>
      <c r="D1416" s="234" t="n"/>
      <c r="E1416" s="234" t="n"/>
      <c r="F1416" s="234" t="n"/>
      <c r="G1416" s="234" t="n"/>
      <c r="H1416" s="234" t="n"/>
      <c r="I1416" s="234" t="n"/>
      <c r="J1416" s="234" t="n"/>
      <c r="K1416" s="234" t="n"/>
      <c r="L1416" s="234" t="n"/>
      <c r="M1416" s="232" t="n"/>
      <c r="N1416" s="233" t="n"/>
      <c r="O1416" s="232" t="n"/>
      <c r="P1416" s="234" t="n"/>
      <c r="Q1416" s="234" t="n"/>
      <c r="R1416" s="234" t="n"/>
      <c r="S1416" s="234" t="n"/>
      <c r="T1416" s="234" t="n"/>
      <c r="U1416" s="234" t="n"/>
      <c r="V1416" s="234" t="n"/>
      <c r="W1416" s="234" t="n"/>
    </row>
    <row r="1417" ht="54.95" customFormat="1" customHeight="1" s="235">
      <c r="A1417" s="234" t="n"/>
      <c r="B1417" s="234" t="n"/>
      <c r="C1417" s="234" t="n"/>
      <c r="D1417" s="234" t="n"/>
      <c r="E1417" s="234" t="n"/>
      <c r="F1417" s="234" t="n"/>
      <c r="G1417" s="234" t="n"/>
      <c r="H1417" s="234" t="n"/>
      <c r="I1417" s="234" t="n"/>
      <c r="J1417" s="234" t="n"/>
      <c r="K1417" s="234" t="n"/>
      <c r="L1417" s="234" t="n"/>
      <c r="M1417" s="232" t="n"/>
      <c r="N1417" s="233" t="n"/>
      <c r="O1417" s="232" t="n"/>
      <c r="P1417" s="234" t="n"/>
      <c r="Q1417" s="234" t="n"/>
      <c r="R1417" s="234" t="n"/>
      <c r="S1417" s="234" t="n"/>
      <c r="T1417" s="234" t="n"/>
      <c r="U1417" s="234" t="n"/>
      <c r="V1417" s="234" t="n"/>
      <c r="W1417" s="234" t="n"/>
    </row>
    <row r="1418" ht="54.95" customFormat="1" customHeight="1" s="235">
      <c r="A1418" s="232" t="n"/>
      <c r="B1418" s="232" t="n"/>
      <c r="C1418" s="232" t="n"/>
      <c r="D1418" s="233" t="n"/>
      <c r="E1418" s="232" t="n"/>
      <c r="F1418" s="233" t="n"/>
      <c r="G1418" s="233" t="n"/>
      <c r="H1418" s="233" t="n"/>
      <c r="I1418" s="232" t="n"/>
      <c r="J1418" s="233" t="n"/>
      <c r="K1418" s="232" t="n"/>
      <c r="L1418" s="232" t="n"/>
      <c r="M1418" s="232" t="n"/>
      <c r="N1418" s="233" t="n"/>
      <c r="O1418" s="232" t="n"/>
      <c r="P1418" s="233" t="n"/>
      <c r="Q1418" s="233" t="n"/>
      <c r="R1418" s="233" t="n"/>
      <c r="S1418" s="232" t="n"/>
      <c r="T1418" s="233" t="n"/>
      <c r="U1418" s="233" t="n"/>
      <c r="V1418" s="233" t="n"/>
      <c r="W1418" s="232" t="n"/>
    </row>
    <row r="1419" ht="54.95" customFormat="1" customHeight="1" s="235">
      <c r="A1419" s="232" t="n"/>
      <c r="B1419" s="232" t="n"/>
      <c r="C1419" s="232" t="n"/>
      <c r="D1419" s="233" t="n"/>
      <c r="E1419" s="232" t="n"/>
      <c r="F1419" s="233" t="n"/>
      <c r="G1419" s="233" t="n"/>
      <c r="H1419" s="233" t="n"/>
      <c r="I1419" s="232" t="n"/>
      <c r="J1419" s="233" t="n"/>
      <c r="K1419" s="232" t="n"/>
      <c r="L1419" s="232" t="n"/>
      <c r="M1419" s="232" t="n"/>
      <c r="N1419" s="233" t="n"/>
      <c r="O1419" s="232" t="n"/>
      <c r="P1419" s="233" t="n"/>
      <c r="Q1419" s="233" t="n"/>
      <c r="R1419" s="233" t="n"/>
      <c r="S1419" s="232" t="n"/>
      <c r="T1419" s="233" t="n"/>
      <c r="U1419" s="233" t="n"/>
      <c r="V1419" s="233" t="n"/>
      <c r="W1419" s="232" t="n"/>
    </row>
    <row r="1420" ht="54.95" customFormat="1" customHeight="1" s="235">
      <c r="A1420" s="232" t="n"/>
      <c r="B1420" s="232" t="n"/>
      <c r="C1420" s="232" t="n"/>
      <c r="D1420" s="233" t="n"/>
      <c r="E1420" s="232" t="n"/>
      <c r="F1420" s="233" t="n"/>
      <c r="G1420" s="233" t="n"/>
      <c r="H1420" s="233" t="n"/>
      <c r="I1420" s="232" t="n"/>
      <c r="J1420" s="233" t="n"/>
      <c r="K1420" s="232" t="n"/>
      <c r="L1420" s="232" t="n"/>
      <c r="M1420" s="232" t="n"/>
      <c r="N1420" s="233" t="n"/>
      <c r="O1420" s="232" t="n"/>
      <c r="P1420" s="233" t="n"/>
      <c r="Q1420" s="233" t="n"/>
      <c r="R1420" s="233" t="n"/>
      <c r="S1420" s="232" t="n"/>
      <c r="T1420" s="233" t="n"/>
      <c r="U1420" s="233" t="n"/>
      <c r="V1420" s="233" t="n"/>
      <c r="W1420" s="232" t="n"/>
    </row>
    <row r="1421" ht="54.95" customFormat="1" customHeight="1" s="235">
      <c r="A1421" s="234" t="n"/>
      <c r="B1421" s="234" t="n"/>
      <c r="C1421" s="234" t="n"/>
      <c r="D1421" s="234" t="n"/>
      <c r="E1421" s="234" t="n"/>
      <c r="F1421" s="234" t="n"/>
      <c r="G1421" s="234" t="n"/>
      <c r="H1421" s="234" t="n"/>
      <c r="I1421" s="234" t="n"/>
      <c r="J1421" s="234" t="n"/>
      <c r="K1421" s="234" t="n"/>
      <c r="L1421" s="234" t="n"/>
      <c r="M1421" s="232" t="n"/>
      <c r="N1421" s="233" t="n"/>
      <c r="O1421" s="232" t="n"/>
      <c r="P1421" s="234" t="n"/>
      <c r="Q1421" s="234" t="n"/>
      <c r="R1421" s="234" t="n"/>
      <c r="S1421" s="234" t="n"/>
      <c r="T1421" s="234" t="n"/>
      <c r="U1421" s="234" t="n"/>
      <c r="V1421" s="234" t="n"/>
      <c r="W1421" s="234" t="n"/>
    </row>
    <row r="1422" ht="54.95" customFormat="1" customHeight="1" s="235">
      <c r="A1422" s="234" t="n"/>
      <c r="B1422" s="234" t="n"/>
      <c r="C1422" s="234" t="n"/>
      <c r="D1422" s="234" t="n"/>
      <c r="E1422" s="234" t="n"/>
      <c r="F1422" s="234" t="n"/>
      <c r="G1422" s="234" t="n"/>
      <c r="H1422" s="234" t="n"/>
      <c r="I1422" s="234" t="n"/>
      <c r="J1422" s="234" t="n"/>
      <c r="K1422" s="234" t="n"/>
      <c r="L1422" s="234" t="n"/>
      <c r="M1422" s="232" t="n"/>
      <c r="N1422" s="233" t="n"/>
      <c r="O1422" s="232" t="n"/>
      <c r="P1422" s="234" t="n"/>
      <c r="Q1422" s="234" t="n"/>
      <c r="R1422" s="234" t="n"/>
      <c r="S1422" s="234" t="n"/>
      <c r="T1422" s="234" t="n"/>
      <c r="U1422" s="234" t="n"/>
      <c r="V1422" s="234" t="n"/>
      <c r="W1422" s="234" t="n"/>
    </row>
    <row r="1423" ht="54.95" customFormat="1" customHeight="1" s="235">
      <c r="A1423" s="234" t="n"/>
      <c r="B1423" s="234" t="n"/>
      <c r="C1423" s="234" t="n"/>
      <c r="D1423" s="234" t="n"/>
      <c r="E1423" s="234" t="n"/>
      <c r="F1423" s="234" t="n"/>
      <c r="G1423" s="234" t="n"/>
      <c r="H1423" s="234" t="n"/>
      <c r="I1423" s="234" t="n"/>
      <c r="J1423" s="234" t="n"/>
      <c r="K1423" s="234" t="n"/>
      <c r="L1423" s="234" t="n"/>
      <c r="M1423" s="232" t="n"/>
      <c r="N1423" s="233" t="n"/>
      <c r="O1423" s="232" t="n"/>
      <c r="P1423" s="234" t="n"/>
      <c r="Q1423" s="234" t="n"/>
      <c r="R1423" s="234" t="n"/>
      <c r="S1423" s="234" t="n"/>
      <c r="T1423" s="234" t="n"/>
      <c r="U1423" s="234" t="n"/>
      <c r="V1423" s="234" t="n"/>
      <c r="W1423" s="234" t="n"/>
    </row>
    <row r="1424" ht="54.95" customFormat="1" customHeight="1" s="235">
      <c r="A1424" s="234" t="n"/>
      <c r="B1424" s="234" t="n"/>
      <c r="C1424" s="234" t="n"/>
      <c r="D1424" s="234" t="n"/>
      <c r="E1424" s="234" t="n"/>
      <c r="F1424" s="234" t="n"/>
      <c r="G1424" s="234" t="n"/>
      <c r="H1424" s="234" t="n"/>
      <c r="I1424" s="234" t="n"/>
      <c r="J1424" s="234" t="n"/>
      <c r="K1424" s="234" t="n"/>
      <c r="L1424" s="234" t="n"/>
      <c r="M1424" s="232" t="n"/>
      <c r="N1424" s="233" t="n"/>
      <c r="O1424" s="232" t="n"/>
      <c r="P1424" s="234" t="n"/>
      <c r="Q1424" s="234" t="n"/>
      <c r="R1424" s="234" t="n"/>
      <c r="S1424" s="234" t="n"/>
      <c r="T1424" s="234" t="n"/>
      <c r="U1424" s="234" t="n"/>
      <c r="V1424" s="234" t="n"/>
      <c r="W1424" s="234" t="n"/>
    </row>
    <row r="1425" ht="54.95" customFormat="1" customHeight="1" s="235">
      <c r="A1425" s="234" t="n"/>
      <c r="B1425" s="234" t="n"/>
      <c r="C1425" s="234" t="n"/>
      <c r="D1425" s="234" t="n"/>
      <c r="E1425" s="234" t="n"/>
      <c r="F1425" s="234" t="n"/>
      <c r="G1425" s="234" t="n"/>
      <c r="H1425" s="234" t="n"/>
      <c r="I1425" s="234" t="n"/>
      <c r="J1425" s="234" t="n"/>
      <c r="K1425" s="234" t="n"/>
      <c r="L1425" s="234" t="n"/>
      <c r="M1425" s="232" t="n"/>
      <c r="N1425" s="233" t="n"/>
      <c r="O1425" s="232" t="n"/>
      <c r="P1425" s="234" t="n"/>
      <c r="Q1425" s="234" t="n"/>
      <c r="R1425" s="234" t="n"/>
      <c r="S1425" s="234" t="n"/>
      <c r="T1425" s="234" t="n"/>
      <c r="U1425" s="234" t="n"/>
      <c r="V1425" s="234" t="n"/>
      <c r="W1425" s="234" t="n"/>
    </row>
    <row r="1426" ht="54.95" customFormat="1" customHeight="1" s="235">
      <c r="A1426" s="234" t="n"/>
      <c r="B1426" s="234" t="n"/>
      <c r="C1426" s="234" t="n"/>
      <c r="D1426" s="234" t="n"/>
      <c r="E1426" s="234" t="n"/>
      <c r="F1426" s="234" t="n"/>
      <c r="G1426" s="234" t="n"/>
      <c r="H1426" s="234" t="n"/>
      <c r="I1426" s="234" t="n"/>
      <c r="J1426" s="234" t="n"/>
      <c r="K1426" s="234" t="n"/>
      <c r="L1426" s="234" t="n"/>
      <c r="M1426" s="232" t="n"/>
      <c r="N1426" s="233" t="n"/>
      <c r="O1426" s="232" t="n"/>
      <c r="P1426" s="234" t="n"/>
      <c r="Q1426" s="234" t="n"/>
      <c r="R1426" s="234" t="n"/>
      <c r="S1426" s="234" t="n"/>
      <c r="T1426" s="234" t="n"/>
      <c r="U1426" s="234" t="n"/>
      <c r="V1426" s="234" t="n"/>
      <c r="W1426" s="234" t="n"/>
    </row>
    <row r="1427" ht="54.95" customFormat="1" customHeight="1" s="235">
      <c r="A1427" s="234" t="n"/>
      <c r="B1427" s="234" t="n"/>
      <c r="C1427" s="234" t="n"/>
      <c r="D1427" s="234" t="n"/>
      <c r="E1427" s="234" t="n"/>
      <c r="F1427" s="234" t="n"/>
      <c r="G1427" s="234" t="n"/>
      <c r="H1427" s="234" t="n"/>
      <c r="I1427" s="234" t="n"/>
      <c r="J1427" s="234" t="n"/>
      <c r="K1427" s="234" t="n"/>
      <c r="L1427" s="234" t="n"/>
      <c r="M1427" s="232" t="n"/>
      <c r="N1427" s="233" t="n"/>
      <c r="O1427" s="232" t="n"/>
      <c r="P1427" s="234" t="n"/>
      <c r="Q1427" s="234" t="n"/>
      <c r="R1427" s="234" t="n"/>
      <c r="S1427" s="234" t="n"/>
      <c r="T1427" s="234" t="n"/>
      <c r="U1427" s="234" t="n"/>
      <c r="V1427" s="234" t="n"/>
      <c r="W1427" s="234" t="n"/>
    </row>
    <row r="1428" ht="54.95" customFormat="1" customHeight="1" s="235">
      <c r="A1428" s="234" t="n"/>
      <c r="B1428" s="234" t="n"/>
      <c r="C1428" s="234" t="n"/>
      <c r="D1428" s="234" t="n"/>
      <c r="E1428" s="234" t="n"/>
      <c r="F1428" s="234" t="n"/>
      <c r="G1428" s="234" t="n"/>
      <c r="H1428" s="234" t="n"/>
      <c r="I1428" s="234" t="n"/>
      <c r="J1428" s="234" t="n"/>
      <c r="K1428" s="234" t="n"/>
      <c r="L1428" s="234" t="n"/>
      <c r="M1428" s="232" t="n"/>
      <c r="N1428" s="233" t="n"/>
      <c r="O1428" s="232" t="n"/>
      <c r="P1428" s="234" t="n"/>
      <c r="Q1428" s="234" t="n"/>
      <c r="R1428" s="234" t="n"/>
      <c r="S1428" s="234" t="n"/>
      <c r="T1428" s="234" t="n"/>
      <c r="U1428" s="234" t="n"/>
      <c r="V1428" s="234" t="n"/>
      <c r="W1428" s="234" t="n"/>
    </row>
    <row r="1429" ht="54.95" customFormat="1" customHeight="1" s="235">
      <c r="A1429" s="232" t="n"/>
      <c r="B1429" s="232" t="n"/>
      <c r="C1429" s="232" t="n"/>
      <c r="D1429" s="233" t="n"/>
      <c r="E1429" s="232" t="n"/>
      <c r="F1429" s="233" t="n"/>
      <c r="G1429" s="233" t="n"/>
      <c r="H1429" s="233" t="n"/>
      <c r="I1429" s="232" t="n"/>
      <c r="J1429" s="233" t="n"/>
      <c r="K1429" s="232" t="n"/>
      <c r="L1429" s="232" t="n"/>
      <c r="M1429" s="232" t="n"/>
      <c r="N1429" s="233" t="n"/>
      <c r="O1429" s="232" t="n"/>
      <c r="P1429" s="233" t="n"/>
      <c r="Q1429" s="233" t="n"/>
      <c r="R1429" s="233" t="n"/>
      <c r="S1429" s="232" t="n"/>
      <c r="T1429" s="233" t="n"/>
      <c r="U1429" s="233" t="n"/>
      <c r="V1429" s="233" t="n"/>
      <c r="W1429" s="232" t="n"/>
    </row>
    <row r="1430" ht="54.95" customFormat="1" customHeight="1" s="235">
      <c r="A1430" s="232" t="n"/>
      <c r="B1430" s="232" t="n"/>
      <c r="C1430" s="232" t="n"/>
      <c r="D1430" s="233" t="n"/>
      <c r="E1430" s="232" t="n"/>
      <c r="F1430" s="233" t="n"/>
      <c r="G1430" s="233" t="n"/>
      <c r="H1430" s="233" t="n"/>
      <c r="I1430" s="232" t="n"/>
      <c r="J1430" s="233" t="n"/>
      <c r="K1430" s="232" t="n"/>
      <c r="L1430" s="232" t="n"/>
      <c r="M1430" s="232" t="n"/>
      <c r="N1430" s="233" t="n"/>
      <c r="O1430" s="232" t="n"/>
      <c r="P1430" s="233" t="n"/>
      <c r="Q1430" s="233" t="n"/>
      <c r="R1430" s="233" t="n"/>
      <c r="S1430" s="232" t="n"/>
      <c r="T1430" s="233" t="n"/>
      <c r="U1430" s="233" t="n"/>
      <c r="V1430" s="233" t="n"/>
      <c r="W1430" s="232" t="n"/>
    </row>
    <row r="1431" ht="54.95" customFormat="1" customHeight="1" s="235">
      <c r="A1431" s="232" t="n"/>
      <c r="B1431" s="232" t="n"/>
      <c r="C1431" s="232" t="n"/>
      <c r="D1431" s="233" t="n"/>
      <c r="E1431" s="232" t="n"/>
      <c r="F1431" s="233" t="n"/>
      <c r="G1431" s="233" t="n"/>
      <c r="H1431" s="233" t="n"/>
      <c r="I1431" s="232" t="n"/>
      <c r="J1431" s="233" t="n"/>
      <c r="K1431" s="232" t="n"/>
      <c r="L1431" s="232" t="n"/>
      <c r="M1431" s="232" t="n"/>
      <c r="N1431" s="233" t="n"/>
      <c r="O1431" s="232" t="n"/>
      <c r="P1431" s="233" t="n"/>
      <c r="Q1431" s="233" t="n"/>
      <c r="R1431" s="233" t="n"/>
      <c r="S1431" s="232" t="n"/>
      <c r="T1431" s="233" t="n"/>
      <c r="U1431" s="233" t="n"/>
      <c r="V1431" s="233" t="n"/>
      <c r="W1431" s="232" t="n"/>
    </row>
    <row r="1432" ht="54.95" customFormat="1" customHeight="1" s="235">
      <c r="A1432" s="232" t="n"/>
      <c r="B1432" s="232" t="n"/>
      <c r="C1432" s="232" t="n"/>
      <c r="D1432" s="233" t="n"/>
      <c r="E1432" s="232" t="n"/>
      <c r="F1432" s="233" t="n"/>
      <c r="G1432" s="233" t="n"/>
      <c r="H1432" s="233" t="n"/>
      <c r="I1432" s="232" t="n"/>
      <c r="J1432" s="233" t="n"/>
      <c r="K1432" s="232" t="n"/>
      <c r="L1432" s="232" t="n"/>
      <c r="M1432" s="232" t="n"/>
      <c r="N1432" s="233" t="n"/>
      <c r="O1432" s="232" t="n"/>
      <c r="P1432" s="233" t="n"/>
      <c r="Q1432" s="233" t="n"/>
      <c r="R1432" s="233" t="n"/>
      <c r="S1432" s="232" t="n"/>
      <c r="T1432" s="233" t="n"/>
      <c r="U1432" s="233" t="n"/>
      <c r="V1432" s="233" t="n"/>
      <c r="W1432" s="232" t="n"/>
    </row>
    <row r="1433" ht="54.95" customFormat="1" customHeight="1" s="235">
      <c r="A1433" s="232" t="n"/>
      <c r="B1433" s="232" t="n"/>
      <c r="C1433" s="232" t="n"/>
      <c r="D1433" s="233" t="n"/>
      <c r="E1433" s="232" t="n"/>
      <c r="F1433" s="233" t="n"/>
      <c r="G1433" s="233" t="n"/>
      <c r="H1433" s="233" t="n"/>
      <c r="I1433" s="232" t="n"/>
      <c r="J1433" s="233" t="n"/>
      <c r="K1433" s="232" t="n"/>
      <c r="L1433" s="232" t="n"/>
      <c r="M1433" s="232" t="n"/>
      <c r="N1433" s="233" t="n"/>
      <c r="O1433" s="232" t="n"/>
      <c r="P1433" s="233" t="n"/>
      <c r="Q1433" s="233" t="n"/>
      <c r="R1433" s="233" t="n"/>
      <c r="S1433" s="232" t="n"/>
      <c r="T1433" s="233" t="n"/>
      <c r="U1433" s="233" t="n"/>
      <c r="V1433" s="233" t="n"/>
      <c r="W1433" s="232" t="n"/>
    </row>
    <row r="1434" ht="54.95" customFormat="1" customHeight="1" s="235">
      <c r="A1434" s="234" t="n"/>
      <c r="B1434" s="234" t="n"/>
      <c r="C1434" s="234" t="n"/>
      <c r="D1434" s="234" t="n"/>
      <c r="E1434" s="234" t="n"/>
      <c r="F1434" s="234" t="n"/>
      <c r="G1434" s="234" t="n"/>
      <c r="H1434" s="234" t="n"/>
      <c r="I1434" s="234" t="n"/>
      <c r="J1434" s="234" t="n"/>
      <c r="K1434" s="234" t="n"/>
      <c r="L1434" s="234" t="n"/>
      <c r="M1434" s="232" t="n"/>
      <c r="N1434" s="233" t="n"/>
      <c r="O1434" s="232" t="n"/>
      <c r="P1434" s="234" t="n"/>
      <c r="Q1434" s="234" t="n"/>
      <c r="R1434" s="234" t="n"/>
      <c r="S1434" s="234" t="n"/>
      <c r="T1434" s="234" t="n"/>
      <c r="U1434" s="234" t="n"/>
      <c r="V1434" s="234" t="n"/>
      <c r="W1434" s="234" t="n"/>
    </row>
    <row r="1435" ht="54.95" customFormat="1" customHeight="1" s="235">
      <c r="A1435" s="234" t="n"/>
      <c r="B1435" s="234" t="n"/>
      <c r="C1435" s="234" t="n"/>
      <c r="D1435" s="234" t="n"/>
      <c r="E1435" s="234" t="n"/>
      <c r="F1435" s="234" t="n"/>
      <c r="G1435" s="234" t="n"/>
      <c r="H1435" s="234" t="n"/>
      <c r="I1435" s="234" t="n"/>
      <c r="J1435" s="234" t="n"/>
      <c r="K1435" s="234" t="n"/>
      <c r="L1435" s="234" t="n"/>
      <c r="M1435" s="232" t="n"/>
      <c r="N1435" s="233" t="n"/>
      <c r="O1435" s="232" t="n"/>
      <c r="P1435" s="234" t="n"/>
      <c r="Q1435" s="234" t="n"/>
      <c r="R1435" s="234" t="n"/>
      <c r="S1435" s="234" t="n"/>
      <c r="T1435" s="234" t="n"/>
      <c r="U1435" s="234" t="n"/>
      <c r="V1435" s="234" t="n"/>
      <c r="W1435" s="234" t="n"/>
    </row>
    <row r="1436" ht="54.95" customFormat="1" customHeight="1" s="235">
      <c r="A1436" s="232" t="n"/>
      <c r="B1436" s="232" t="n"/>
      <c r="C1436" s="232" t="n"/>
      <c r="D1436" s="233" t="n"/>
      <c r="E1436" s="232" t="n"/>
      <c r="F1436" s="233" t="n"/>
      <c r="G1436" s="233" t="n"/>
      <c r="H1436" s="233" t="n"/>
      <c r="I1436" s="232" t="n"/>
      <c r="J1436" s="233" t="n"/>
      <c r="K1436" s="232" t="n"/>
      <c r="L1436" s="232" t="n"/>
      <c r="M1436" s="232" t="n"/>
      <c r="N1436" s="233" t="n"/>
      <c r="O1436" s="232" t="n"/>
      <c r="P1436" s="233" t="n"/>
      <c r="Q1436" s="233" t="n"/>
      <c r="R1436" s="233" t="n"/>
      <c r="S1436" s="232" t="n"/>
      <c r="T1436" s="233" t="n"/>
      <c r="U1436" s="233" t="n"/>
      <c r="V1436" s="233" t="n"/>
      <c r="W1436" s="232" t="n"/>
    </row>
    <row r="1437" ht="54.95" customFormat="1" customHeight="1" s="235">
      <c r="A1437" s="232" t="n"/>
      <c r="B1437" s="232" t="n"/>
      <c r="C1437" s="232" t="n"/>
      <c r="D1437" s="233" t="n"/>
      <c r="E1437" s="232" t="n"/>
      <c r="F1437" s="233" t="n"/>
      <c r="G1437" s="233" t="n"/>
      <c r="H1437" s="233" t="n"/>
      <c r="I1437" s="232" t="n"/>
      <c r="J1437" s="233" t="n"/>
      <c r="K1437" s="232" t="n"/>
      <c r="L1437" s="232" t="n"/>
      <c r="M1437" s="232" t="n"/>
      <c r="N1437" s="233" t="n"/>
      <c r="O1437" s="232" t="n"/>
      <c r="P1437" s="233" t="n"/>
      <c r="Q1437" s="233" t="n"/>
      <c r="R1437" s="233" t="n"/>
      <c r="S1437" s="232" t="n"/>
      <c r="T1437" s="233" t="n"/>
      <c r="U1437" s="233" t="n"/>
      <c r="V1437" s="233" t="n"/>
      <c r="W1437" s="232" t="n"/>
    </row>
    <row r="1438" ht="54.95" customFormat="1" customHeight="1" s="235">
      <c r="A1438" s="232" t="n"/>
      <c r="B1438" s="232" t="n"/>
      <c r="C1438" s="232" t="n"/>
      <c r="D1438" s="233" t="n"/>
      <c r="E1438" s="232" t="n"/>
      <c r="F1438" s="233" t="n"/>
      <c r="G1438" s="233" t="n"/>
      <c r="H1438" s="233" t="n"/>
      <c r="I1438" s="232" t="n"/>
      <c r="J1438" s="233" t="n"/>
      <c r="K1438" s="232" t="n"/>
      <c r="L1438" s="232" t="n"/>
      <c r="M1438" s="232" t="n"/>
      <c r="N1438" s="233" t="n"/>
      <c r="O1438" s="232" t="n"/>
      <c r="P1438" s="233" t="n"/>
      <c r="Q1438" s="233" t="n"/>
      <c r="R1438" s="233" t="n"/>
      <c r="S1438" s="232" t="n"/>
      <c r="T1438" s="233" t="n"/>
      <c r="U1438" s="233" t="n"/>
      <c r="V1438" s="233" t="n"/>
      <c r="W1438" s="232" t="n"/>
    </row>
    <row r="1439" ht="54.95" customFormat="1" customHeight="1" s="235">
      <c r="A1439" s="232" t="n"/>
      <c r="B1439" s="232" t="n"/>
      <c r="C1439" s="232" t="n"/>
      <c r="D1439" s="233" t="n"/>
      <c r="E1439" s="232" t="n"/>
      <c r="F1439" s="233" t="n"/>
      <c r="G1439" s="233" t="n"/>
      <c r="H1439" s="233" t="n"/>
      <c r="I1439" s="232" t="n"/>
      <c r="J1439" s="233" t="n"/>
      <c r="K1439" s="232" t="n"/>
      <c r="L1439" s="232" t="n"/>
      <c r="M1439" s="232" t="n"/>
      <c r="N1439" s="233" t="n"/>
      <c r="O1439" s="232" t="n"/>
      <c r="P1439" s="233" t="n"/>
      <c r="Q1439" s="233" t="n"/>
      <c r="R1439" s="233" t="n"/>
      <c r="S1439" s="232" t="n"/>
      <c r="T1439" s="233" t="n"/>
      <c r="U1439" s="233" t="n"/>
      <c r="V1439" s="233" t="n"/>
      <c r="W1439" s="232" t="n"/>
    </row>
    <row r="1440" ht="54.95" customFormat="1" customHeight="1" s="235">
      <c r="A1440" s="232" t="n"/>
      <c r="B1440" s="232" t="n"/>
      <c r="C1440" s="232" t="n"/>
      <c r="D1440" s="233" t="n"/>
      <c r="E1440" s="232" t="n"/>
      <c r="F1440" s="233" t="n"/>
      <c r="G1440" s="233" t="n"/>
      <c r="H1440" s="233" t="n"/>
      <c r="I1440" s="232" t="n"/>
      <c r="J1440" s="233" t="n"/>
      <c r="K1440" s="232" t="n"/>
      <c r="L1440" s="232" t="n"/>
      <c r="M1440" s="232" t="n"/>
      <c r="N1440" s="233" t="n"/>
      <c r="O1440" s="232" t="n"/>
      <c r="P1440" s="233" t="n"/>
      <c r="Q1440" s="233" t="n"/>
      <c r="R1440" s="233" t="n"/>
      <c r="S1440" s="232" t="n"/>
      <c r="T1440" s="233" t="n"/>
      <c r="U1440" s="233" t="n"/>
      <c r="V1440" s="233" t="n"/>
      <c r="W1440" s="232" t="n"/>
    </row>
    <row r="1441" ht="54.95" customFormat="1" customHeight="1" s="235">
      <c r="A1441" s="232" t="n"/>
      <c r="B1441" s="232" t="n"/>
      <c r="C1441" s="232" t="n"/>
      <c r="D1441" s="233" t="n"/>
      <c r="E1441" s="232" t="n"/>
      <c r="F1441" s="233" t="n"/>
      <c r="G1441" s="233" t="n"/>
      <c r="H1441" s="233" t="n"/>
      <c r="I1441" s="232" t="n"/>
      <c r="J1441" s="233" t="n"/>
      <c r="K1441" s="232" t="n"/>
      <c r="L1441" s="232" t="n"/>
      <c r="M1441" s="232" t="n"/>
      <c r="N1441" s="233" t="n"/>
      <c r="O1441" s="232" t="n"/>
      <c r="P1441" s="233" t="n"/>
      <c r="Q1441" s="233" t="n"/>
      <c r="R1441" s="233" t="n"/>
      <c r="S1441" s="232" t="n"/>
      <c r="T1441" s="233" t="n"/>
      <c r="U1441" s="233" t="n"/>
      <c r="V1441" s="233" t="n"/>
      <c r="W1441" s="232" t="n"/>
    </row>
    <row r="1442" ht="54.95" customFormat="1" customHeight="1" s="235">
      <c r="A1442" s="232" t="n"/>
      <c r="B1442" s="232" t="n"/>
      <c r="C1442" s="232" t="n"/>
      <c r="D1442" s="233" t="n"/>
      <c r="E1442" s="232" t="n"/>
      <c r="F1442" s="233" t="n"/>
      <c r="G1442" s="233" t="n"/>
      <c r="H1442" s="233" t="n"/>
      <c r="I1442" s="232" t="n"/>
      <c r="J1442" s="233" t="n"/>
      <c r="K1442" s="232" t="n"/>
      <c r="L1442" s="232" t="n"/>
      <c r="M1442" s="232" t="n"/>
      <c r="N1442" s="233" t="n"/>
      <c r="O1442" s="232" t="n"/>
      <c r="P1442" s="233" t="n"/>
      <c r="Q1442" s="233" t="n"/>
      <c r="R1442" s="233" t="n"/>
      <c r="S1442" s="232" t="n"/>
      <c r="T1442" s="233" t="n"/>
      <c r="U1442" s="233" t="n"/>
      <c r="V1442" s="233" t="n"/>
      <c r="W1442" s="232" t="n"/>
    </row>
    <row r="1443" ht="54.95" customFormat="1" customHeight="1" s="235">
      <c r="A1443" s="232" t="n"/>
      <c r="B1443" s="232" t="n"/>
      <c r="C1443" s="232" t="n"/>
      <c r="D1443" s="233" t="n"/>
      <c r="E1443" s="232" t="n"/>
      <c r="F1443" s="233" t="n"/>
      <c r="G1443" s="233" t="n"/>
      <c r="H1443" s="233" t="n"/>
      <c r="I1443" s="232" t="n"/>
      <c r="J1443" s="233" t="n"/>
      <c r="K1443" s="232" t="n"/>
      <c r="L1443" s="232" t="n"/>
      <c r="M1443" s="232" t="n"/>
      <c r="N1443" s="233" t="n"/>
      <c r="O1443" s="232" t="n"/>
      <c r="P1443" s="233" t="n"/>
      <c r="Q1443" s="233" t="n"/>
      <c r="R1443" s="233" t="n"/>
      <c r="S1443" s="232" t="n"/>
      <c r="T1443" s="233" t="n"/>
      <c r="U1443" s="233" t="n"/>
      <c r="V1443" s="233" t="n"/>
      <c r="W1443" s="232" t="n"/>
    </row>
    <row r="1444" ht="54.95" customFormat="1" customHeight="1" s="235">
      <c r="A1444" s="232" t="n"/>
      <c r="B1444" s="232" t="n"/>
      <c r="C1444" s="232" t="n"/>
      <c r="D1444" s="233" t="n"/>
      <c r="E1444" s="232" t="n"/>
      <c r="F1444" s="233" t="n"/>
      <c r="G1444" s="233" t="n"/>
      <c r="H1444" s="233" t="n"/>
      <c r="I1444" s="232" t="n"/>
      <c r="J1444" s="233" t="n"/>
      <c r="K1444" s="232" t="n"/>
      <c r="L1444" s="232" t="n"/>
      <c r="M1444" s="232" t="n"/>
      <c r="N1444" s="233" t="n"/>
      <c r="O1444" s="232" t="n"/>
      <c r="P1444" s="233" t="n"/>
      <c r="Q1444" s="233" t="n"/>
      <c r="R1444" s="233" t="n"/>
      <c r="S1444" s="232" t="n"/>
      <c r="T1444" s="233" t="n"/>
      <c r="U1444" s="233" t="n"/>
      <c r="V1444" s="233" t="n"/>
      <c r="W1444" s="232" t="n"/>
    </row>
    <row r="1445" ht="54.95" customFormat="1" customHeight="1" s="235">
      <c r="A1445" s="232" t="n"/>
      <c r="B1445" s="232" t="n"/>
      <c r="C1445" s="232" t="n"/>
      <c r="D1445" s="233" t="n"/>
      <c r="E1445" s="232" t="n"/>
      <c r="F1445" s="233" t="n"/>
      <c r="G1445" s="233" t="n"/>
      <c r="H1445" s="233" t="n"/>
      <c r="I1445" s="232" t="n"/>
      <c r="J1445" s="233" t="n"/>
      <c r="K1445" s="232" t="n"/>
      <c r="L1445" s="232" t="n"/>
      <c r="M1445" s="232" t="n"/>
      <c r="N1445" s="233" t="n"/>
      <c r="O1445" s="232" t="n"/>
      <c r="P1445" s="233" t="n"/>
      <c r="Q1445" s="233" t="n"/>
      <c r="R1445" s="233" t="n"/>
      <c r="S1445" s="232" t="n"/>
      <c r="T1445" s="233" t="n"/>
      <c r="U1445" s="233" t="n"/>
      <c r="V1445" s="233" t="n"/>
      <c r="W1445" s="232" t="n"/>
    </row>
    <row r="1446" ht="54.95" customFormat="1" customHeight="1" s="235">
      <c r="A1446" s="232" t="n"/>
      <c r="B1446" s="232" t="n"/>
      <c r="C1446" s="232" t="n"/>
      <c r="D1446" s="233" t="n"/>
      <c r="E1446" s="232" t="n"/>
      <c r="F1446" s="233" t="n"/>
      <c r="G1446" s="233" t="n"/>
      <c r="H1446" s="233" t="n"/>
      <c r="I1446" s="232" t="n"/>
      <c r="J1446" s="233" t="n"/>
      <c r="K1446" s="232" t="n"/>
      <c r="L1446" s="232" t="n"/>
      <c r="M1446" s="232" t="n"/>
      <c r="N1446" s="233" t="n"/>
      <c r="O1446" s="232" t="n"/>
      <c r="P1446" s="233" t="n"/>
      <c r="Q1446" s="233" t="n"/>
      <c r="R1446" s="233" t="n"/>
      <c r="S1446" s="232" t="n"/>
      <c r="T1446" s="233" t="n"/>
      <c r="U1446" s="233" t="n"/>
      <c r="V1446" s="233" t="n"/>
      <c r="W1446" s="232" t="n"/>
    </row>
    <row r="1447" ht="54.95" customFormat="1" customHeight="1" s="235">
      <c r="A1447" s="232" t="n"/>
      <c r="B1447" s="232" t="n"/>
      <c r="C1447" s="232" t="n"/>
      <c r="D1447" s="233" t="n"/>
      <c r="E1447" s="232" t="n"/>
      <c r="F1447" s="233" t="n"/>
      <c r="G1447" s="233" t="n"/>
      <c r="H1447" s="233" t="n"/>
      <c r="I1447" s="232" t="n"/>
      <c r="J1447" s="233" t="n"/>
      <c r="K1447" s="232" t="n"/>
      <c r="L1447" s="232" t="n"/>
      <c r="M1447" s="232" t="n"/>
      <c r="N1447" s="233" t="n"/>
      <c r="O1447" s="232" t="n"/>
      <c r="P1447" s="233" t="n"/>
      <c r="Q1447" s="233" t="n"/>
      <c r="R1447" s="233" t="n"/>
      <c r="S1447" s="232" t="n"/>
      <c r="T1447" s="233" t="n"/>
      <c r="U1447" s="233" t="n"/>
      <c r="V1447" s="233" t="n"/>
      <c r="W1447" s="232" t="n"/>
    </row>
    <row r="1448" ht="54.95" customFormat="1" customHeight="1" s="235">
      <c r="A1448" s="234" t="n"/>
      <c r="B1448" s="234" t="n"/>
      <c r="C1448" s="234" t="n"/>
      <c r="D1448" s="234" t="n"/>
      <c r="E1448" s="234" t="n"/>
      <c r="F1448" s="234" t="n"/>
      <c r="G1448" s="234" t="n"/>
      <c r="H1448" s="234" t="n"/>
      <c r="I1448" s="234" t="n"/>
      <c r="J1448" s="234" t="n"/>
      <c r="K1448" s="234" t="n"/>
      <c r="L1448" s="234" t="n"/>
      <c r="M1448" s="232" t="n"/>
      <c r="N1448" s="233" t="n"/>
      <c r="O1448" s="232" t="n"/>
      <c r="P1448" s="234" t="n"/>
      <c r="Q1448" s="234" t="n"/>
      <c r="R1448" s="234" t="n"/>
      <c r="S1448" s="234" t="n"/>
      <c r="T1448" s="234" t="n"/>
      <c r="U1448" s="234" t="n"/>
      <c r="V1448" s="234" t="n"/>
      <c r="W1448" s="234" t="n"/>
    </row>
    <row r="1449" ht="54.95" customFormat="1" customHeight="1" s="235">
      <c r="A1449" s="234" t="n"/>
      <c r="B1449" s="234" t="n"/>
      <c r="C1449" s="234" t="n"/>
      <c r="D1449" s="234" t="n"/>
      <c r="E1449" s="234" t="n"/>
      <c r="F1449" s="234" t="n"/>
      <c r="G1449" s="234" t="n"/>
      <c r="H1449" s="234" t="n"/>
      <c r="I1449" s="234" t="n"/>
      <c r="J1449" s="234" t="n"/>
      <c r="K1449" s="234" t="n"/>
      <c r="L1449" s="234" t="n"/>
      <c r="M1449" s="232" t="n"/>
      <c r="N1449" s="233" t="n"/>
      <c r="O1449" s="232" t="n"/>
      <c r="P1449" s="234" t="n"/>
      <c r="Q1449" s="234" t="n"/>
      <c r="R1449" s="234" t="n"/>
      <c r="S1449" s="234" t="n"/>
      <c r="T1449" s="234" t="n"/>
      <c r="U1449" s="234" t="n"/>
      <c r="V1449" s="234" t="n"/>
      <c r="W1449" s="234" t="n"/>
    </row>
    <row r="1450" ht="54.95" customFormat="1" customHeight="1" s="235">
      <c r="A1450" s="234" t="n"/>
      <c r="B1450" s="234" t="n"/>
      <c r="C1450" s="234" t="n"/>
      <c r="D1450" s="234" t="n"/>
      <c r="E1450" s="234" t="n"/>
      <c r="F1450" s="234" t="n"/>
      <c r="G1450" s="234" t="n"/>
      <c r="H1450" s="234" t="n"/>
      <c r="I1450" s="234" t="n"/>
      <c r="J1450" s="234" t="n"/>
      <c r="K1450" s="234" t="n"/>
      <c r="L1450" s="234" t="n"/>
      <c r="M1450" s="232" t="n"/>
      <c r="N1450" s="233" t="n"/>
      <c r="O1450" s="232" t="n"/>
      <c r="P1450" s="234" t="n"/>
      <c r="Q1450" s="234" t="n"/>
      <c r="R1450" s="234" t="n"/>
      <c r="S1450" s="234" t="n"/>
      <c r="T1450" s="234" t="n"/>
      <c r="U1450" s="234" t="n"/>
      <c r="V1450" s="234" t="n"/>
      <c r="W1450" s="234" t="n"/>
    </row>
    <row r="1451" ht="54.95" customFormat="1" customHeight="1" s="235">
      <c r="A1451" s="234" t="n"/>
      <c r="B1451" s="234" t="n"/>
      <c r="C1451" s="234" t="n"/>
      <c r="D1451" s="234" t="n"/>
      <c r="E1451" s="234" t="n"/>
      <c r="F1451" s="234" t="n"/>
      <c r="G1451" s="234" t="n"/>
      <c r="H1451" s="234" t="n"/>
      <c r="I1451" s="234" t="n"/>
      <c r="J1451" s="234" t="n"/>
      <c r="K1451" s="234" t="n"/>
      <c r="L1451" s="234" t="n"/>
      <c r="M1451" s="232" t="n"/>
      <c r="N1451" s="233" t="n"/>
      <c r="O1451" s="232" t="n"/>
      <c r="P1451" s="234" t="n"/>
      <c r="Q1451" s="234" t="n"/>
      <c r="R1451" s="234" t="n"/>
      <c r="S1451" s="234" t="n"/>
      <c r="T1451" s="234" t="n"/>
      <c r="U1451" s="234" t="n"/>
      <c r="V1451" s="234" t="n"/>
      <c r="W1451" s="234" t="n"/>
    </row>
    <row r="1452" ht="54.95" customFormat="1" customHeight="1" s="235">
      <c r="A1452" s="234" t="n"/>
      <c r="B1452" s="234" t="n"/>
      <c r="C1452" s="234" t="n"/>
      <c r="D1452" s="234" t="n"/>
      <c r="E1452" s="234" t="n"/>
      <c r="F1452" s="234" t="n"/>
      <c r="G1452" s="234" t="n"/>
      <c r="H1452" s="234" t="n"/>
      <c r="I1452" s="234" t="n"/>
      <c r="J1452" s="234" t="n"/>
      <c r="K1452" s="234" t="n"/>
      <c r="L1452" s="234" t="n"/>
      <c r="M1452" s="232" t="n"/>
      <c r="N1452" s="233" t="n"/>
      <c r="O1452" s="232" t="n"/>
      <c r="P1452" s="234" t="n"/>
      <c r="Q1452" s="234" t="n"/>
      <c r="R1452" s="234" t="n"/>
      <c r="S1452" s="234" t="n"/>
      <c r="T1452" s="234" t="n"/>
      <c r="U1452" s="234" t="n"/>
      <c r="V1452" s="234" t="n"/>
      <c r="W1452" s="234" t="n"/>
    </row>
    <row r="1453" ht="54.95" customFormat="1" customHeight="1" s="235">
      <c r="A1453" s="234" t="n"/>
      <c r="B1453" s="234" t="n"/>
      <c r="C1453" s="234" t="n"/>
      <c r="D1453" s="234" t="n"/>
      <c r="E1453" s="234" t="n"/>
      <c r="F1453" s="234" t="n"/>
      <c r="G1453" s="234" t="n"/>
      <c r="H1453" s="234" t="n"/>
      <c r="I1453" s="234" t="n"/>
      <c r="J1453" s="234" t="n"/>
      <c r="K1453" s="234" t="n"/>
      <c r="L1453" s="234" t="n"/>
      <c r="M1453" s="232" t="n"/>
      <c r="N1453" s="233" t="n"/>
      <c r="O1453" s="232" t="n"/>
      <c r="P1453" s="234" t="n"/>
      <c r="Q1453" s="234" t="n"/>
      <c r="R1453" s="234" t="n"/>
      <c r="S1453" s="234" t="n"/>
      <c r="T1453" s="234" t="n"/>
      <c r="U1453" s="234" t="n"/>
      <c r="V1453" s="234" t="n"/>
      <c r="W1453" s="234" t="n"/>
    </row>
    <row r="1454" ht="54.95" customFormat="1" customHeight="1" s="235">
      <c r="A1454" s="234" t="n"/>
      <c r="B1454" s="234" t="n"/>
      <c r="C1454" s="234" t="n"/>
      <c r="D1454" s="234" t="n"/>
      <c r="E1454" s="234" t="n"/>
      <c r="F1454" s="234" t="n"/>
      <c r="G1454" s="234" t="n"/>
      <c r="H1454" s="234" t="n"/>
      <c r="I1454" s="234" t="n"/>
      <c r="J1454" s="234" t="n"/>
      <c r="K1454" s="234" t="n"/>
      <c r="L1454" s="234" t="n"/>
      <c r="M1454" s="232" t="n"/>
      <c r="N1454" s="233" t="n"/>
      <c r="O1454" s="232" t="n"/>
      <c r="P1454" s="234" t="n"/>
      <c r="Q1454" s="234" t="n"/>
      <c r="R1454" s="234" t="n"/>
      <c r="S1454" s="234" t="n"/>
      <c r="T1454" s="234" t="n"/>
      <c r="U1454" s="234" t="n"/>
      <c r="V1454" s="234" t="n"/>
      <c r="W1454" s="234" t="n"/>
    </row>
    <row r="1455" ht="54.95" customFormat="1" customHeight="1" s="235">
      <c r="A1455" s="234" t="n"/>
      <c r="B1455" s="234" t="n"/>
      <c r="C1455" s="234" t="n"/>
      <c r="D1455" s="234" t="n"/>
      <c r="E1455" s="234" t="n"/>
      <c r="F1455" s="234" t="n"/>
      <c r="G1455" s="234" t="n"/>
      <c r="H1455" s="234" t="n"/>
      <c r="I1455" s="234" t="n"/>
      <c r="J1455" s="234" t="n"/>
      <c r="K1455" s="234" t="n"/>
      <c r="L1455" s="234" t="n"/>
      <c r="M1455" s="232" t="n"/>
      <c r="N1455" s="233" t="n"/>
      <c r="O1455" s="232" t="n"/>
      <c r="P1455" s="234" t="n"/>
      <c r="Q1455" s="234" t="n"/>
      <c r="R1455" s="234" t="n"/>
      <c r="S1455" s="234" t="n"/>
      <c r="T1455" s="234" t="n"/>
      <c r="U1455" s="234" t="n"/>
      <c r="V1455" s="234" t="n"/>
      <c r="W1455" s="234" t="n"/>
    </row>
    <row r="1456" ht="54.95" customFormat="1" customHeight="1" s="235">
      <c r="A1456" s="234" t="n"/>
      <c r="B1456" s="234" t="n"/>
      <c r="C1456" s="234" t="n"/>
      <c r="D1456" s="234" t="n"/>
      <c r="E1456" s="234" t="n"/>
      <c r="F1456" s="234" t="n"/>
      <c r="G1456" s="234" t="n"/>
      <c r="H1456" s="234" t="n"/>
      <c r="I1456" s="234" t="n"/>
      <c r="J1456" s="234" t="n"/>
      <c r="K1456" s="234" t="n"/>
      <c r="L1456" s="234" t="n"/>
      <c r="M1456" s="232" t="n"/>
      <c r="N1456" s="233" t="n"/>
      <c r="O1456" s="232" t="n"/>
      <c r="P1456" s="234" t="n"/>
      <c r="Q1456" s="234" t="n"/>
      <c r="R1456" s="234" t="n"/>
      <c r="S1456" s="234" t="n"/>
      <c r="T1456" s="234" t="n"/>
      <c r="U1456" s="234" t="n"/>
      <c r="V1456" s="234" t="n"/>
      <c r="W1456" s="234" t="n"/>
    </row>
    <row r="1457" ht="54.95" customFormat="1" customHeight="1" s="235">
      <c r="A1457" s="234" t="n"/>
      <c r="B1457" s="234" t="n"/>
      <c r="C1457" s="234" t="n"/>
      <c r="D1457" s="234" t="n"/>
      <c r="E1457" s="234" t="n"/>
      <c r="F1457" s="234" t="n"/>
      <c r="G1457" s="234" t="n"/>
      <c r="H1457" s="234" t="n"/>
      <c r="I1457" s="234" t="n"/>
      <c r="J1457" s="234" t="n"/>
      <c r="K1457" s="234" t="n"/>
      <c r="L1457" s="234" t="n"/>
      <c r="M1457" s="232" t="n"/>
      <c r="N1457" s="233" t="n"/>
      <c r="O1457" s="232" t="n"/>
      <c r="P1457" s="234" t="n"/>
      <c r="Q1457" s="234" t="n"/>
      <c r="R1457" s="234" t="n"/>
      <c r="S1457" s="234" t="n"/>
      <c r="T1457" s="234" t="n"/>
      <c r="U1457" s="234" t="n"/>
      <c r="V1457" s="234" t="n"/>
      <c r="W1457" s="234" t="n"/>
    </row>
    <row r="1458" ht="54.95" customFormat="1" customHeight="1" s="235">
      <c r="A1458" s="234" t="n"/>
      <c r="B1458" s="234" t="n"/>
      <c r="C1458" s="234" t="n"/>
      <c r="D1458" s="234" t="n"/>
      <c r="E1458" s="234" t="n"/>
      <c r="F1458" s="234" t="n"/>
      <c r="G1458" s="234" t="n"/>
      <c r="H1458" s="234" t="n"/>
      <c r="I1458" s="234" t="n"/>
      <c r="J1458" s="234" t="n"/>
      <c r="K1458" s="234" t="n"/>
      <c r="L1458" s="234" t="n"/>
      <c r="M1458" s="232" t="n"/>
      <c r="N1458" s="233" t="n"/>
      <c r="O1458" s="232" t="n"/>
      <c r="P1458" s="234" t="n"/>
      <c r="Q1458" s="234" t="n"/>
      <c r="R1458" s="234" t="n"/>
      <c r="S1458" s="234" t="n"/>
      <c r="T1458" s="234" t="n"/>
      <c r="U1458" s="234" t="n"/>
      <c r="V1458" s="234" t="n"/>
      <c r="W1458" s="234" t="n"/>
    </row>
    <row r="1459" ht="54.95" customFormat="1" customHeight="1" s="235">
      <c r="A1459" s="232" t="n"/>
      <c r="B1459" s="232" t="n"/>
      <c r="C1459" s="232" t="n"/>
      <c r="D1459" s="233" t="n"/>
      <c r="E1459" s="232" t="n"/>
      <c r="F1459" s="233" t="n"/>
      <c r="G1459" s="233" t="n"/>
      <c r="H1459" s="233" t="n"/>
      <c r="I1459" s="232" t="n"/>
      <c r="J1459" s="233" t="n"/>
      <c r="K1459" s="232" t="n"/>
      <c r="L1459" s="232" t="n"/>
      <c r="M1459" s="232" t="n"/>
      <c r="N1459" s="233" t="n"/>
      <c r="O1459" s="232" t="n"/>
      <c r="P1459" s="233" t="n"/>
      <c r="Q1459" s="233" t="n"/>
      <c r="R1459" s="233" t="n"/>
      <c r="S1459" s="232" t="n"/>
      <c r="T1459" s="233" t="n"/>
      <c r="U1459" s="233" t="n"/>
      <c r="V1459" s="233" t="n"/>
      <c r="W1459" s="232" t="n"/>
    </row>
    <row r="1460" ht="54.95" customFormat="1" customHeight="1" s="235">
      <c r="A1460" s="234" t="n"/>
      <c r="B1460" s="234" t="n"/>
      <c r="C1460" s="234" t="n"/>
      <c r="D1460" s="234" t="n"/>
      <c r="E1460" s="234" t="n"/>
      <c r="F1460" s="234" t="n"/>
      <c r="G1460" s="234" t="n"/>
      <c r="H1460" s="234" t="n"/>
      <c r="I1460" s="234" t="n"/>
      <c r="J1460" s="234" t="n"/>
      <c r="K1460" s="234" t="n"/>
      <c r="L1460" s="234" t="n"/>
      <c r="M1460" s="232" t="n"/>
      <c r="N1460" s="233" t="n"/>
      <c r="O1460" s="232" t="n"/>
      <c r="P1460" s="234" t="n"/>
      <c r="Q1460" s="234" t="n"/>
      <c r="R1460" s="234" t="n"/>
      <c r="S1460" s="234" t="n"/>
      <c r="T1460" s="234" t="n"/>
      <c r="U1460" s="234" t="n"/>
      <c r="V1460" s="234" t="n"/>
      <c r="W1460" s="234" t="n"/>
    </row>
    <row r="1461" ht="54.95" customFormat="1" customHeight="1" s="235">
      <c r="A1461" s="234" t="n"/>
      <c r="B1461" s="234" t="n"/>
      <c r="C1461" s="234" t="n"/>
      <c r="D1461" s="234" t="n"/>
      <c r="E1461" s="234" t="n"/>
      <c r="F1461" s="234" t="n"/>
      <c r="G1461" s="234" t="n"/>
      <c r="H1461" s="234" t="n"/>
      <c r="I1461" s="234" t="n"/>
      <c r="J1461" s="234" t="n"/>
      <c r="K1461" s="234" t="n"/>
      <c r="L1461" s="234" t="n"/>
      <c r="M1461" s="232" t="n"/>
      <c r="N1461" s="233" t="n"/>
      <c r="O1461" s="232" t="n"/>
      <c r="P1461" s="234" t="n"/>
      <c r="Q1461" s="234" t="n"/>
      <c r="R1461" s="234" t="n"/>
      <c r="S1461" s="234" t="n"/>
      <c r="T1461" s="234" t="n"/>
      <c r="U1461" s="234" t="n"/>
      <c r="V1461" s="234" t="n"/>
      <c r="W1461" s="234" t="n"/>
    </row>
    <row r="1462" ht="54.95" customFormat="1" customHeight="1" s="235">
      <c r="A1462" s="232" t="n"/>
      <c r="B1462" s="232" t="n"/>
      <c r="C1462" s="232" t="n"/>
      <c r="D1462" s="233" t="n"/>
      <c r="E1462" s="232" t="n"/>
      <c r="F1462" s="233" t="n"/>
      <c r="G1462" s="233" t="n"/>
      <c r="H1462" s="233" t="n"/>
      <c r="I1462" s="232" t="n"/>
      <c r="J1462" s="233" t="n"/>
      <c r="K1462" s="232" t="n"/>
      <c r="L1462" s="232" t="n"/>
      <c r="M1462" s="232" t="n"/>
      <c r="N1462" s="233" t="n"/>
      <c r="O1462" s="232" t="n"/>
      <c r="P1462" s="233" t="n"/>
      <c r="Q1462" s="233" t="n"/>
      <c r="R1462" s="233" t="n"/>
      <c r="S1462" s="232" t="n"/>
      <c r="T1462" s="233" t="n"/>
      <c r="U1462" s="233" t="n"/>
      <c r="V1462" s="233" t="n"/>
      <c r="W1462" s="232" t="n"/>
    </row>
    <row r="1463" ht="54.95" customFormat="1" customHeight="1" s="235">
      <c r="A1463" s="232" t="n"/>
      <c r="B1463" s="232" t="n"/>
      <c r="C1463" s="232" t="n"/>
      <c r="D1463" s="233" t="n"/>
      <c r="E1463" s="232" t="n"/>
      <c r="F1463" s="233" t="n"/>
      <c r="G1463" s="233" t="n"/>
      <c r="H1463" s="233" t="n"/>
      <c r="I1463" s="232" t="n"/>
      <c r="J1463" s="233" t="n"/>
      <c r="K1463" s="232" t="n"/>
      <c r="L1463" s="232" t="n"/>
      <c r="M1463" s="232" t="n"/>
      <c r="N1463" s="233" t="n"/>
      <c r="O1463" s="232" t="n"/>
      <c r="P1463" s="233" t="n"/>
      <c r="Q1463" s="233" t="n"/>
      <c r="R1463" s="233" t="n"/>
      <c r="S1463" s="232" t="n"/>
      <c r="T1463" s="233" t="n"/>
      <c r="U1463" s="233" t="n"/>
      <c r="V1463" s="233" t="n"/>
      <c r="W1463" s="232" t="n"/>
    </row>
    <row r="1464" ht="54.95" customFormat="1" customHeight="1" s="235">
      <c r="A1464" s="234" t="n"/>
      <c r="B1464" s="234" t="n"/>
      <c r="C1464" s="234" t="n"/>
      <c r="D1464" s="234" t="n"/>
      <c r="E1464" s="234" t="n"/>
      <c r="F1464" s="234" t="n"/>
      <c r="G1464" s="234" t="n"/>
      <c r="H1464" s="234" t="n"/>
      <c r="I1464" s="234" t="n"/>
      <c r="J1464" s="234" t="n"/>
      <c r="K1464" s="234" t="n"/>
      <c r="L1464" s="234" t="n"/>
      <c r="M1464" s="232" t="n"/>
      <c r="N1464" s="233" t="n"/>
      <c r="O1464" s="232" t="n"/>
      <c r="P1464" s="234" t="n"/>
      <c r="Q1464" s="234" t="n"/>
      <c r="R1464" s="234" t="n"/>
      <c r="S1464" s="234" t="n"/>
      <c r="T1464" s="234" t="n"/>
      <c r="U1464" s="234" t="n"/>
      <c r="V1464" s="234" t="n"/>
      <c r="W1464" s="234" t="n"/>
    </row>
    <row r="1465" ht="54.95" customFormat="1" customHeight="1" s="235">
      <c r="A1465" s="234" t="n"/>
      <c r="B1465" s="234" t="n"/>
      <c r="C1465" s="234" t="n"/>
      <c r="D1465" s="234" t="n"/>
      <c r="E1465" s="234" t="n"/>
      <c r="F1465" s="234" t="n"/>
      <c r="G1465" s="234" t="n"/>
      <c r="H1465" s="234" t="n"/>
      <c r="I1465" s="234" t="n"/>
      <c r="J1465" s="234" t="n"/>
      <c r="K1465" s="234" t="n"/>
      <c r="L1465" s="234" t="n"/>
      <c r="M1465" s="232" t="n"/>
      <c r="N1465" s="233" t="n"/>
      <c r="O1465" s="232" t="n"/>
      <c r="P1465" s="234" t="n"/>
      <c r="Q1465" s="234" t="n"/>
      <c r="R1465" s="234" t="n"/>
      <c r="S1465" s="234" t="n"/>
      <c r="T1465" s="234" t="n"/>
      <c r="U1465" s="234" t="n"/>
      <c r="V1465" s="234" t="n"/>
      <c r="W1465" s="234" t="n"/>
    </row>
    <row r="1466" ht="54.95" customFormat="1" customHeight="1" s="235">
      <c r="A1466" s="232" t="n"/>
      <c r="B1466" s="232" t="n"/>
      <c r="C1466" s="232" t="n"/>
      <c r="D1466" s="233" t="n"/>
      <c r="E1466" s="232" t="n"/>
      <c r="F1466" s="233" t="n"/>
      <c r="G1466" s="233" t="n"/>
      <c r="H1466" s="233" t="n"/>
      <c r="I1466" s="232" t="n"/>
      <c r="J1466" s="233" t="n"/>
      <c r="K1466" s="232" t="n"/>
      <c r="L1466" s="232" t="n"/>
      <c r="M1466" s="232" t="n"/>
      <c r="N1466" s="233" t="n"/>
      <c r="O1466" s="232" t="n"/>
      <c r="P1466" s="233" t="n"/>
      <c r="Q1466" s="233" t="n"/>
      <c r="R1466" s="233" t="n"/>
      <c r="S1466" s="232" t="n"/>
      <c r="T1466" s="233" t="n"/>
      <c r="U1466" s="233" t="n"/>
      <c r="V1466" s="233" t="n"/>
      <c r="W1466" s="232" t="n"/>
    </row>
    <row r="1467" ht="54.95" customFormat="1" customHeight="1" s="235">
      <c r="A1467" s="232" t="n"/>
      <c r="B1467" s="232" t="n"/>
      <c r="C1467" s="232" t="n"/>
      <c r="D1467" s="233" t="n"/>
      <c r="E1467" s="232" t="n"/>
      <c r="F1467" s="233" t="n"/>
      <c r="G1467" s="233" t="n"/>
      <c r="H1467" s="233" t="n"/>
      <c r="I1467" s="232" t="n"/>
      <c r="J1467" s="233" t="n"/>
      <c r="K1467" s="232" t="n"/>
      <c r="L1467" s="232" t="n"/>
      <c r="M1467" s="232" t="n"/>
      <c r="N1467" s="233" t="n"/>
      <c r="O1467" s="232" t="n"/>
      <c r="P1467" s="233" t="n"/>
      <c r="Q1467" s="233" t="n"/>
      <c r="R1467" s="233" t="n"/>
      <c r="S1467" s="232" t="n"/>
      <c r="T1467" s="233" t="n"/>
      <c r="U1467" s="233" t="n"/>
      <c r="V1467" s="233" t="n"/>
      <c r="W1467" s="232" t="n"/>
    </row>
    <row r="1468" ht="54.95" customFormat="1" customHeight="1" s="235">
      <c r="A1468" s="232" t="n"/>
      <c r="B1468" s="232" t="n"/>
      <c r="C1468" s="232" t="n"/>
      <c r="D1468" s="233" t="n"/>
      <c r="E1468" s="232" t="n"/>
      <c r="F1468" s="233" t="n"/>
      <c r="G1468" s="233" t="n"/>
      <c r="H1468" s="233" t="n"/>
      <c r="I1468" s="232" t="n"/>
      <c r="J1468" s="233" t="n"/>
      <c r="K1468" s="232" t="n"/>
      <c r="L1468" s="232" t="n"/>
      <c r="M1468" s="232" t="n"/>
      <c r="N1468" s="233" t="n"/>
      <c r="O1468" s="232" t="n"/>
      <c r="P1468" s="233" t="n"/>
      <c r="Q1468" s="233" t="n"/>
      <c r="R1468" s="233" t="n"/>
      <c r="S1468" s="232" t="n"/>
      <c r="T1468" s="233" t="n"/>
      <c r="U1468" s="233" t="n"/>
      <c r="V1468" s="233" t="n"/>
      <c r="W1468" s="232" t="n"/>
    </row>
    <row r="1469" ht="54.95" customFormat="1" customHeight="1" s="235">
      <c r="A1469" s="232" t="n"/>
      <c r="B1469" s="232" t="n"/>
      <c r="C1469" s="232" t="n"/>
      <c r="D1469" s="233" t="n"/>
      <c r="E1469" s="232" t="n"/>
      <c r="F1469" s="233" t="n"/>
      <c r="G1469" s="233" t="n"/>
      <c r="H1469" s="233" t="n"/>
      <c r="I1469" s="232" t="n"/>
      <c r="J1469" s="233" t="n"/>
      <c r="K1469" s="232" t="n"/>
      <c r="L1469" s="232" t="n"/>
      <c r="M1469" s="232" t="n"/>
      <c r="N1469" s="233" t="n"/>
      <c r="O1469" s="232" t="n"/>
      <c r="P1469" s="233" t="n"/>
      <c r="Q1469" s="233" t="n"/>
      <c r="R1469" s="233" t="n"/>
      <c r="S1469" s="232" t="n"/>
      <c r="T1469" s="233" t="n"/>
      <c r="U1469" s="233" t="n"/>
      <c r="V1469" s="233" t="n"/>
      <c r="W1469" s="232" t="n"/>
    </row>
    <row r="1470" ht="54.95" customFormat="1" customHeight="1" s="235">
      <c r="A1470" s="232" t="n"/>
      <c r="B1470" s="232" t="n"/>
      <c r="C1470" s="232" t="n"/>
      <c r="D1470" s="233" t="n"/>
      <c r="E1470" s="232" t="n"/>
      <c r="F1470" s="233" t="n"/>
      <c r="G1470" s="233" t="n"/>
      <c r="H1470" s="233" t="n"/>
      <c r="I1470" s="232" t="n"/>
      <c r="J1470" s="233" t="n"/>
      <c r="K1470" s="232" t="n"/>
      <c r="L1470" s="232" t="n"/>
      <c r="M1470" s="232" t="n"/>
      <c r="N1470" s="233" t="n"/>
      <c r="O1470" s="232" t="n"/>
      <c r="P1470" s="233" t="n"/>
      <c r="Q1470" s="233" t="n"/>
      <c r="R1470" s="233" t="n"/>
      <c r="S1470" s="232" t="n"/>
      <c r="T1470" s="233" t="n"/>
      <c r="U1470" s="233" t="n"/>
      <c r="V1470" s="233" t="n"/>
      <c r="W1470" s="232" t="n"/>
    </row>
    <row r="1471" ht="54.95" customFormat="1" customHeight="1" s="235">
      <c r="A1471" s="232" t="n"/>
      <c r="B1471" s="232" t="n"/>
      <c r="C1471" s="232" t="n"/>
      <c r="D1471" s="233" t="n"/>
      <c r="E1471" s="232" t="n"/>
      <c r="F1471" s="233" t="n"/>
      <c r="G1471" s="233" t="n"/>
      <c r="H1471" s="233" t="n"/>
      <c r="I1471" s="232" t="n"/>
      <c r="J1471" s="233" t="n"/>
      <c r="K1471" s="232" t="n"/>
      <c r="L1471" s="232" t="n"/>
      <c r="M1471" s="232" t="n"/>
      <c r="N1471" s="233" t="n"/>
      <c r="O1471" s="232" t="n"/>
      <c r="P1471" s="233" t="n"/>
      <c r="Q1471" s="233" t="n"/>
      <c r="R1471" s="233" t="n"/>
      <c r="S1471" s="232" t="n"/>
      <c r="T1471" s="233" t="n"/>
      <c r="U1471" s="233" t="n"/>
      <c r="V1471" s="233" t="n"/>
      <c r="W1471" s="232" t="n"/>
    </row>
    <row r="1472" ht="54.95" customFormat="1" customHeight="1" s="235">
      <c r="A1472" s="232" t="n"/>
      <c r="B1472" s="232" t="n"/>
      <c r="C1472" s="232" t="n"/>
      <c r="D1472" s="233" t="n"/>
      <c r="E1472" s="232" t="n"/>
      <c r="F1472" s="233" t="n"/>
      <c r="G1472" s="233" t="n"/>
      <c r="H1472" s="233" t="n"/>
      <c r="I1472" s="232" t="n"/>
      <c r="J1472" s="233" t="n"/>
      <c r="K1472" s="232" t="n"/>
      <c r="L1472" s="232" t="n"/>
      <c r="M1472" s="232" t="n"/>
      <c r="N1472" s="233" t="n"/>
      <c r="O1472" s="232" t="n"/>
      <c r="P1472" s="233" t="n"/>
      <c r="Q1472" s="233" t="n"/>
      <c r="R1472" s="233" t="n"/>
      <c r="S1472" s="232" t="n"/>
      <c r="T1472" s="233" t="n"/>
      <c r="U1472" s="233" t="n"/>
      <c r="V1472" s="233" t="n"/>
      <c r="W1472" s="232" t="n"/>
    </row>
    <row r="1473" ht="54.95" customFormat="1" customHeight="1" s="235">
      <c r="A1473" s="232" t="n"/>
      <c r="B1473" s="232" t="n"/>
      <c r="C1473" s="232" t="n"/>
      <c r="D1473" s="233" t="n"/>
      <c r="E1473" s="232" t="n"/>
      <c r="F1473" s="233" t="n"/>
      <c r="G1473" s="233" t="n"/>
      <c r="H1473" s="233" t="n"/>
      <c r="I1473" s="232" t="n"/>
      <c r="J1473" s="233" t="n"/>
      <c r="K1473" s="232" t="n"/>
      <c r="L1473" s="232" t="n"/>
      <c r="M1473" s="232" t="n"/>
      <c r="N1473" s="233" t="n"/>
      <c r="O1473" s="232" t="n"/>
      <c r="P1473" s="233" t="n"/>
      <c r="Q1473" s="233" t="n"/>
      <c r="R1473" s="233" t="n"/>
      <c r="S1473" s="232" t="n"/>
      <c r="T1473" s="233" t="n"/>
      <c r="U1473" s="233" t="n"/>
      <c r="V1473" s="233" t="n"/>
      <c r="W1473" s="232" t="n"/>
    </row>
    <row r="1474" ht="54.95" customFormat="1" customHeight="1" s="235">
      <c r="A1474" s="232" t="n"/>
      <c r="B1474" s="232" t="n"/>
      <c r="C1474" s="232" t="n"/>
      <c r="D1474" s="233" t="n"/>
      <c r="E1474" s="232" t="n"/>
      <c r="F1474" s="233" t="n"/>
      <c r="G1474" s="233" t="n"/>
      <c r="H1474" s="233" t="n"/>
      <c r="I1474" s="232" t="n"/>
      <c r="J1474" s="233" t="n"/>
      <c r="K1474" s="232" t="n"/>
      <c r="L1474" s="232" t="n"/>
      <c r="M1474" s="232" t="n"/>
      <c r="N1474" s="233" t="n"/>
      <c r="O1474" s="232" t="n"/>
      <c r="P1474" s="233" t="n"/>
      <c r="Q1474" s="233" t="n"/>
      <c r="R1474" s="233" t="n"/>
      <c r="S1474" s="232" t="n"/>
      <c r="T1474" s="233" t="n"/>
      <c r="U1474" s="233" t="n"/>
      <c r="V1474" s="233" t="n"/>
      <c r="W1474" s="232" t="n"/>
    </row>
    <row r="1475" ht="54.95" customFormat="1" customHeight="1" s="235">
      <c r="A1475" s="232" t="n"/>
      <c r="B1475" s="232" t="n"/>
      <c r="C1475" s="232" t="n"/>
      <c r="D1475" s="233" t="n"/>
      <c r="E1475" s="232" t="n"/>
      <c r="F1475" s="233" t="n"/>
      <c r="G1475" s="233" t="n"/>
      <c r="H1475" s="233" t="n"/>
      <c r="I1475" s="232" t="n"/>
      <c r="J1475" s="233" t="n"/>
      <c r="K1475" s="232" t="n"/>
      <c r="L1475" s="232" t="n"/>
      <c r="M1475" s="232" t="n"/>
      <c r="N1475" s="233" t="n"/>
      <c r="O1475" s="232" t="n"/>
      <c r="P1475" s="233" t="n"/>
      <c r="Q1475" s="233" t="n"/>
      <c r="R1475" s="233" t="n"/>
      <c r="S1475" s="232" t="n"/>
      <c r="T1475" s="233" t="n"/>
      <c r="U1475" s="233" t="n"/>
      <c r="V1475" s="233" t="n"/>
      <c r="W1475" s="232" t="n"/>
    </row>
    <row r="1476" ht="54.95" customFormat="1" customHeight="1" s="235">
      <c r="A1476" s="232" t="n"/>
      <c r="B1476" s="232" t="n"/>
      <c r="C1476" s="232" t="n"/>
      <c r="D1476" s="233" t="n"/>
      <c r="E1476" s="232" t="n"/>
      <c r="F1476" s="233" t="n"/>
      <c r="G1476" s="233" t="n"/>
      <c r="H1476" s="233" t="n"/>
      <c r="I1476" s="232" t="n"/>
      <c r="J1476" s="233" t="n"/>
      <c r="K1476" s="232" t="n"/>
      <c r="L1476" s="232" t="n"/>
      <c r="M1476" s="232" t="n"/>
      <c r="N1476" s="233" t="n"/>
      <c r="O1476" s="232" t="n"/>
      <c r="P1476" s="233" t="n"/>
      <c r="Q1476" s="233" t="n"/>
      <c r="R1476" s="233" t="n"/>
      <c r="S1476" s="232" t="n"/>
      <c r="T1476" s="233" t="n"/>
      <c r="U1476" s="233" t="n"/>
      <c r="V1476" s="233" t="n"/>
      <c r="W1476" s="232" t="n"/>
    </row>
    <row r="1477" ht="54.95" customFormat="1" customHeight="1" s="235">
      <c r="A1477" s="232" t="n"/>
      <c r="B1477" s="232" t="n"/>
      <c r="C1477" s="232" t="n"/>
      <c r="D1477" s="233" t="n"/>
      <c r="E1477" s="232" t="n"/>
      <c r="F1477" s="233" t="n"/>
      <c r="G1477" s="233" t="n"/>
      <c r="H1477" s="233" t="n"/>
      <c r="I1477" s="232" t="n"/>
      <c r="J1477" s="233" t="n"/>
      <c r="K1477" s="232" t="n"/>
      <c r="L1477" s="232" t="n"/>
      <c r="M1477" s="232" t="n"/>
      <c r="N1477" s="233" t="n"/>
      <c r="O1477" s="232" t="n"/>
      <c r="P1477" s="233" t="n"/>
      <c r="Q1477" s="233" t="n"/>
      <c r="R1477" s="233" t="n"/>
      <c r="S1477" s="232" t="n"/>
      <c r="T1477" s="233" t="n"/>
      <c r="U1477" s="233" t="n"/>
      <c r="V1477" s="233" t="n"/>
      <c r="W1477" s="232" t="n"/>
    </row>
    <row r="1478" ht="54.95" customFormat="1" customHeight="1" s="235">
      <c r="A1478" s="232" t="n"/>
      <c r="B1478" s="232" t="n"/>
      <c r="C1478" s="232" t="n"/>
      <c r="D1478" s="233" t="n"/>
      <c r="E1478" s="232" t="n"/>
      <c r="F1478" s="233" t="n"/>
      <c r="G1478" s="233" t="n"/>
      <c r="H1478" s="233" t="n"/>
      <c r="I1478" s="232" t="n"/>
      <c r="J1478" s="233" t="n"/>
      <c r="K1478" s="232" t="n"/>
      <c r="L1478" s="232" t="n"/>
      <c r="M1478" s="232" t="n"/>
      <c r="N1478" s="233" t="n"/>
      <c r="O1478" s="232" t="n"/>
      <c r="P1478" s="233" t="n"/>
      <c r="Q1478" s="233" t="n"/>
      <c r="R1478" s="233" t="n"/>
      <c r="S1478" s="232" t="n"/>
      <c r="T1478" s="233" t="n"/>
      <c r="U1478" s="233" t="n"/>
      <c r="V1478" s="233" t="n"/>
      <c r="W1478" s="232" t="n"/>
    </row>
    <row r="1479" ht="54.95" customFormat="1" customHeight="1" s="235">
      <c r="A1479" s="234" t="n"/>
      <c r="B1479" s="234" t="n"/>
      <c r="C1479" s="234" t="n"/>
      <c r="D1479" s="234" t="n"/>
      <c r="E1479" s="234" t="n"/>
      <c r="F1479" s="234" t="n"/>
      <c r="G1479" s="234" t="n"/>
      <c r="H1479" s="234" t="n"/>
      <c r="I1479" s="234" t="n"/>
      <c r="J1479" s="234" t="n"/>
      <c r="K1479" s="234" t="n"/>
      <c r="L1479" s="234" t="n"/>
      <c r="M1479" s="232" t="n"/>
      <c r="N1479" s="233" t="n"/>
      <c r="O1479" s="232" t="n"/>
      <c r="P1479" s="234" t="n"/>
      <c r="Q1479" s="234" t="n"/>
      <c r="R1479" s="234" t="n"/>
      <c r="S1479" s="234" t="n"/>
      <c r="T1479" s="234" t="n"/>
      <c r="U1479" s="234" t="n"/>
      <c r="V1479" s="234" t="n"/>
      <c r="W1479" s="234" t="n"/>
    </row>
    <row r="1480" ht="54.95" customFormat="1" customHeight="1" s="235">
      <c r="A1480" s="234" t="n"/>
      <c r="B1480" s="234" t="n"/>
      <c r="C1480" s="234" t="n"/>
      <c r="D1480" s="234" t="n"/>
      <c r="E1480" s="234" t="n"/>
      <c r="F1480" s="234" t="n"/>
      <c r="G1480" s="234" t="n"/>
      <c r="H1480" s="234" t="n"/>
      <c r="I1480" s="234" t="n"/>
      <c r="J1480" s="234" t="n"/>
      <c r="K1480" s="234" t="n"/>
      <c r="L1480" s="234" t="n"/>
      <c r="M1480" s="232" t="n"/>
      <c r="N1480" s="233" t="n"/>
      <c r="O1480" s="232" t="n"/>
      <c r="P1480" s="234" t="n"/>
      <c r="Q1480" s="234" t="n"/>
      <c r="R1480" s="234" t="n"/>
      <c r="S1480" s="234" t="n"/>
      <c r="T1480" s="234" t="n"/>
      <c r="U1480" s="234" t="n"/>
      <c r="V1480" s="234" t="n"/>
      <c r="W1480" s="234" t="n"/>
    </row>
    <row r="1481" ht="54.95" customFormat="1" customHeight="1" s="235">
      <c r="A1481" s="234" t="n"/>
      <c r="B1481" s="234" t="n"/>
      <c r="C1481" s="234" t="n"/>
      <c r="D1481" s="234" t="n"/>
      <c r="E1481" s="234" t="n"/>
      <c r="F1481" s="234" t="n"/>
      <c r="G1481" s="234" t="n"/>
      <c r="H1481" s="234" t="n"/>
      <c r="I1481" s="234" t="n"/>
      <c r="J1481" s="234" t="n"/>
      <c r="K1481" s="234" t="n"/>
      <c r="L1481" s="234" t="n"/>
      <c r="M1481" s="232" t="n"/>
      <c r="N1481" s="233" t="n"/>
      <c r="O1481" s="232" t="n"/>
      <c r="P1481" s="234" t="n"/>
      <c r="Q1481" s="234" t="n"/>
      <c r="R1481" s="234" t="n"/>
      <c r="S1481" s="234" t="n"/>
      <c r="T1481" s="234" t="n"/>
      <c r="U1481" s="234" t="n"/>
      <c r="V1481" s="234" t="n"/>
      <c r="W1481" s="234" t="n"/>
    </row>
    <row r="1482" ht="54.95" customFormat="1" customHeight="1" s="235">
      <c r="A1482" s="234" t="n"/>
      <c r="B1482" s="234" t="n"/>
      <c r="C1482" s="234" t="n"/>
      <c r="D1482" s="234" t="n"/>
      <c r="E1482" s="234" t="n"/>
      <c r="F1482" s="234" t="n"/>
      <c r="G1482" s="234" t="n"/>
      <c r="H1482" s="234" t="n"/>
      <c r="I1482" s="234" t="n"/>
      <c r="J1482" s="234" t="n"/>
      <c r="K1482" s="234" t="n"/>
      <c r="L1482" s="234" t="n"/>
      <c r="M1482" s="232" t="n"/>
      <c r="N1482" s="233" t="n"/>
      <c r="O1482" s="232" t="n"/>
      <c r="P1482" s="234" t="n"/>
      <c r="Q1482" s="234" t="n"/>
      <c r="R1482" s="234" t="n"/>
      <c r="S1482" s="234" t="n"/>
      <c r="T1482" s="234" t="n"/>
      <c r="U1482" s="234" t="n"/>
      <c r="V1482" s="234" t="n"/>
      <c r="W1482" s="234" t="n"/>
    </row>
    <row r="1483" ht="54.95" customFormat="1" customHeight="1" s="37">
      <c r="A1483" s="234" t="n"/>
      <c r="B1483" s="234" t="n"/>
      <c r="C1483" s="234" t="n"/>
      <c r="D1483" s="234" t="n"/>
      <c r="E1483" s="234" t="n"/>
      <c r="F1483" s="234" t="n"/>
      <c r="G1483" s="234" t="n"/>
      <c r="H1483" s="234" t="n"/>
      <c r="I1483" s="234" t="n"/>
      <c r="J1483" s="234" t="n"/>
      <c r="K1483" s="234" t="n"/>
      <c r="L1483" s="234" t="n"/>
      <c r="M1483" s="232" t="n"/>
      <c r="N1483" s="233" t="n"/>
      <c r="O1483" s="232" t="n"/>
      <c r="P1483" s="234" t="n"/>
      <c r="Q1483" s="234" t="n"/>
      <c r="R1483" s="234" t="n"/>
      <c r="S1483" s="234" t="n"/>
      <c r="T1483" s="234" t="n"/>
      <c r="U1483" s="234" t="n"/>
      <c r="V1483" s="234" t="n"/>
      <c r="W1483" s="234" t="n"/>
    </row>
    <row r="1484" ht="54.95" customFormat="1" customHeight="1" s="235">
      <c r="A1484" s="234" t="n"/>
      <c r="B1484" s="234" t="n"/>
      <c r="C1484" s="234" t="n"/>
      <c r="D1484" s="234" t="n"/>
      <c r="E1484" s="234" t="n"/>
      <c r="F1484" s="234" t="n"/>
      <c r="G1484" s="234" t="n"/>
      <c r="H1484" s="234" t="n"/>
      <c r="I1484" s="234" t="n"/>
      <c r="J1484" s="234" t="n"/>
      <c r="K1484" s="234" t="n"/>
      <c r="L1484" s="234" t="n"/>
      <c r="M1484" s="232" t="n"/>
      <c r="N1484" s="233" t="n"/>
      <c r="O1484" s="232" t="n"/>
      <c r="P1484" s="234" t="n"/>
      <c r="Q1484" s="234" t="n"/>
      <c r="R1484" s="234" t="n"/>
      <c r="S1484" s="234" t="n"/>
      <c r="T1484" s="234" t="n"/>
      <c r="U1484" s="234" t="n"/>
      <c r="V1484" s="234" t="n"/>
      <c r="W1484" s="234" t="n"/>
    </row>
    <row r="1485" ht="54.95" customFormat="1" customHeight="1" s="235">
      <c r="A1485" s="234" t="n"/>
      <c r="B1485" s="234" t="n"/>
      <c r="C1485" s="234" t="n"/>
      <c r="D1485" s="234" t="n"/>
      <c r="E1485" s="234" t="n"/>
      <c r="F1485" s="234" t="n"/>
      <c r="G1485" s="234" t="n"/>
      <c r="H1485" s="234" t="n"/>
      <c r="I1485" s="234" t="n"/>
      <c r="J1485" s="234" t="n"/>
      <c r="K1485" s="234" t="n"/>
      <c r="L1485" s="234" t="n"/>
      <c r="M1485" s="232" t="n"/>
      <c r="N1485" s="233" t="n"/>
      <c r="O1485" s="232" t="n"/>
      <c r="P1485" s="234" t="n"/>
      <c r="Q1485" s="234" t="n"/>
      <c r="R1485" s="234" t="n"/>
      <c r="S1485" s="234" t="n"/>
      <c r="T1485" s="234" t="n"/>
      <c r="U1485" s="234" t="n"/>
      <c r="V1485" s="234" t="n"/>
      <c r="W1485" s="234" t="n"/>
    </row>
    <row r="1486" ht="54.95" customFormat="1" customHeight="1" s="235">
      <c r="A1486" s="234" t="n"/>
      <c r="B1486" s="234" t="n"/>
      <c r="C1486" s="234" t="n"/>
      <c r="D1486" s="234" t="n"/>
      <c r="E1486" s="234" t="n"/>
      <c r="F1486" s="234" t="n"/>
      <c r="G1486" s="234" t="n"/>
      <c r="H1486" s="234" t="n"/>
      <c r="I1486" s="234" t="n"/>
      <c r="J1486" s="234" t="n"/>
      <c r="K1486" s="234" t="n"/>
      <c r="L1486" s="234" t="n"/>
      <c r="M1486" s="232" t="n"/>
      <c r="N1486" s="233" t="n"/>
      <c r="O1486" s="232" t="n"/>
      <c r="P1486" s="234" t="n"/>
      <c r="Q1486" s="234" t="n"/>
      <c r="R1486" s="234" t="n"/>
      <c r="S1486" s="234" t="n"/>
      <c r="T1486" s="234" t="n"/>
      <c r="U1486" s="234" t="n"/>
      <c r="V1486" s="234" t="n"/>
      <c r="W1486" s="234" t="n"/>
    </row>
    <row r="1487" ht="54.95" customFormat="1" customHeight="1" s="235">
      <c r="A1487" s="234" t="n"/>
      <c r="B1487" s="234" t="n"/>
      <c r="C1487" s="234" t="n"/>
      <c r="D1487" s="234" t="n"/>
      <c r="E1487" s="234" t="n"/>
      <c r="F1487" s="234" t="n"/>
      <c r="G1487" s="234" t="n"/>
      <c r="H1487" s="234" t="n"/>
      <c r="I1487" s="234" t="n"/>
      <c r="J1487" s="234" t="n"/>
      <c r="K1487" s="234" t="n"/>
      <c r="L1487" s="234" t="n"/>
      <c r="M1487" s="232" t="n"/>
      <c r="N1487" s="233" t="n"/>
      <c r="O1487" s="232" t="n"/>
      <c r="P1487" s="234" t="n"/>
      <c r="Q1487" s="234" t="n"/>
      <c r="R1487" s="234" t="n"/>
      <c r="S1487" s="234" t="n"/>
      <c r="T1487" s="234" t="n"/>
      <c r="U1487" s="234" t="n"/>
      <c r="V1487" s="234" t="n"/>
      <c r="W1487" s="234" t="n"/>
    </row>
    <row r="1488" ht="54.95" customFormat="1" customHeight="1" s="235">
      <c r="A1488" s="234" t="n"/>
      <c r="B1488" s="234" t="n"/>
      <c r="C1488" s="234" t="n"/>
      <c r="D1488" s="234" t="n"/>
      <c r="E1488" s="234" t="n"/>
      <c r="F1488" s="234" t="n"/>
      <c r="G1488" s="234" t="n"/>
      <c r="H1488" s="234" t="n"/>
      <c r="I1488" s="234" t="n"/>
      <c r="J1488" s="234" t="n"/>
      <c r="K1488" s="234" t="n"/>
      <c r="L1488" s="234" t="n"/>
      <c r="M1488" s="232" t="n"/>
      <c r="N1488" s="233" t="n"/>
      <c r="O1488" s="232" t="n"/>
      <c r="P1488" s="234" t="n"/>
      <c r="Q1488" s="234" t="n"/>
      <c r="R1488" s="234" t="n"/>
      <c r="S1488" s="234" t="n"/>
      <c r="T1488" s="234" t="n"/>
      <c r="U1488" s="234" t="n"/>
      <c r="V1488" s="234" t="n"/>
      <c r="W1488" s="234" t="n"/>
    </row>
    <row r="1489" ht="54.95" customFormat="1" customHeight="1" s="235">
      <c r="A1489" s="234" t="n"/>
      <c r="B1489" s="234" t="n"/>
      <c r="C1489" s="234" t="n"/>
      <c r="D1489" s="234" t="n"/>
      <c r="E1489" s="234" t="n"/>
      <c r="F1489" s="234" t="n"/>
      <c r="G1489" s="234" t="n"/>
      <c r="H1489" s="234" t="n"/>
      <c r="I1489" s="234" t="n"/>
      <c r="J1489" s="234" t="n"/>
      <c r="K1489" s="234" t="n"/>
      <c r="L1489" s="234" t="n"/>
      <c r="M1489" s="232" t="n"/>
      <c r="N1489" s="233" t="n"/>
      <c r="O1489" s="232" t="n"/>
      <c r="P1489" s="234" t="n"/>
      <c r="Q1489" s="234" t="n"/>
      <c r="R1489" s="234" t="n"/>
      <c r="S1489" s="234" t="n"/>
      <c r="T1489" s="234" t="n"/>
      <c r="U1489" s="234" t="n"/>
      <c r="V1489" s="234" t="n"/>
      <c r="W1489" s="234" t="n"/>
    </row>
    <row r="1490" ht="54.95" customFormat="1" customHeight="1" s="235">
      <c r="A1490" s="234" t="n"/>
      <c r="B1490" s="234" t="n"/>
      <c r="C1490" s="234" t="n"/>
      <c r="D1490" s="234" t="n"/>
      <c r="E1490" s="234" t="n"/>
      <c r="F1490" s="234" t="n"/>
      <c r="G1490" s="234" t="n"/>
      <c r="H1490" s="234" t="n"/>
      <c r="I1490" s="234" t="n"/>
      <c r="J1490" s="234" t="n"/>
      <c r="K1490" s="234" t="n"/>
      <c r="L1490" s="234" t="n"/>
      <c r="M1490" s="232" t="n"/>
      <c r="N1490" s="233" t="n"/>
      <c r="O1490" s="232" t="n"/>
      <c r="P1490" s="234" t="n"/>
      <c r="Q1490" s="234" t="n"/>
      <c r="R1490" s="234" t="n"/>
      <c r="S1490" s="234" t="n"/>
      <c r="T1490" s="234" t="n"/>
      <c r="U1490" s="234" t="n"/>
      <c r="V1490" s="234" t="n"/>
      <c r="W1490" s="234" t="n"/>
    </row>
    <row r="1491" ht="54.95" customFormat="1" customHeight="1" s="235">
      <c r="A1491" s="234" t="n"/>
      <c r="B1491" s="234" t="n"/>
      <c r="C1491" s="234" t="n"/>
      <c r="D1491" s="234" t="n"/>
      <c r="E1491" s="234" t="n"/>
      <c r="F1491" s="234" t="n"/>
      <c r="G1491" s="234" t="n"/>
      <c r="H1491" s="234" t="n"/>
      <c r="I1491" s="234" t="n"/>
      <c r="J1491" s="234" t="n"/>
      <c r="K1491" s="234" t="n"/>
      <c r="L1491" s="234" t="n"/>
      <c r="M1491" s="232" t="n"/>
      <c r="N1491" s="233" t="n"/>
      <c r="O1491" s="232" t="n"/>
      <c r="P1491" s="234" t="n"/>
      <c r="Q1491" s="234" t="n"/>
      <c r="R1491" s="234" t="n"/>
      <c r="S1491" s="234" t="n"/>
      <c r="T1491" s="234" t="n"/>
      <c r="U1491" s="234" t="n"/>
      <c r="V1491" s="234" t="n"/>
      <c r="W1491" s="234" t="n"/>
    </row>
    <row r="1492" ht="54.95" customFormat="1" customHeight="1" s="235">
      <c r="A1492" s="234" t="n"/>
      <c r="B1492" s="234" t="n"/>
      <c r="C1492" s="234" t="n"/>
      <c r="D1492" s="234" t="n"/>
      <c r="E1492" s="234" t="n"/>
      <c r="F1492" s="234" t="n"/>
      <c r="G1492" s="234" t="n"/>
      <c r="H1492" s="234" t="n"/>
      <c r="I1492" s="234" t="n"/>
      <c r="J1492" s="234" t="n"/>
      <c r="K1492" s="234" t="n"/>
      <c r="L1492" s="234" t="n"/>
      <c r="M1492" s="232" t="n"/>
      <c r="N1492" s="233" t="n"/>
      <c r="O1492" s="232" t="n"/>
      <c r="P1492" s="234" t="n"/>
      <c r="Q1492" s="234" t="n"/>
      <c r="R1492" s="234" t="n"/>
      <c r="S1492" s="234" t="n"/>
      <c r="T1492" s="234" t="n"/>
      <c r="U1492" s="234" t="n"/>
      <c r="V1492" s="234" t="n"/>
      <c r="W1492" s="234" t="n"/>
    </row>
    <row r="1493" ht="54.95" customFormat="1" customHeight="1" s="235">
      <c r="A1493" s="234" t="n"/>
      <c r="B1493" s="234" t="n"/>
      <c r="C1493" s="234" t="n"/>
      <c r="D1493" s="234" t="n"/>
      <c r="E1493" s="234" t="n"/>
      <c r="F1493" s="234" t="n"/>
      <c r="G1493" s="234" t="n"/>
      <c r="H1493" s="234" t="n"/>
      <c r="I1493" s="234" t="n"/>
      <c r="J1493" s="234" t="n"/>
      <c r="K1493" s="234" t="n"/>
      <c r="L1493" s="234" t="n"/>
      <c r="M1493" s="232" t="n"/>
      <c r="N1493" s="233" t="n"/>
      <c r="O1493" s="232" t="n"/>
      <c r="P1493" s="234" t="n"/>
      <c r="Q1493" s="234" t="n"/>
      <c r="R1493" s="234" t="n"/>
      <c r="S1493" s="234" t="n"/>
      <c r="T1493" s="234" t="n"/>
      <c r="U1493" s="234" t="n"/>
      <c r="V1493" s="234" t="n"/>
      <c r="W1493" s="234" t="n"/>
    </row>
    <row r="1494" ht="54.95" customFormat="1" customHeight="1" s="235">
      <c r="A1494" s="234" t="n"/>
      <c r="B1494" s="234" t="n"/>
      <c r="C1494" s="234" t="n"/>
      <c r="D1494" s="234" t="n"/>
      <c r="E1494" s="234" t="n"/>
      <c r="F1494" s="234" t="n"/>
      <c r="G1494" s="234" t="n"/>
      <c r="H1494" s="234" t="n"/>
      <c r="I1494" s="234" t="n"/>
      <c r="J1494" s="234" t="n"/>
      <c r="K1494" s="234" t="n"/>
      <c r="L1494" s="234" t="n"/>
      <c r="M1494" s="232" t="n"/>
      <c r="N1494" s="233" t="n"/>
      <c r="O1494" s="232" t="n"/>
      <c r="P1494" s="234" t="n"/>
      <c r="Q1494" s="234" t="n"/>
      <c r="R1494" s="234" t="n"/>
      <c r="S1494" s="234" t="n"/>
      <c r="T1494" s="234" t="n"/>
      <c r="U1494" s="234" t="n"/>
      <c r="V1494" s="234" t="n"/>
      <c r="W1494" s="234" t="n"/>
    </row>
    <row r="1495" ht="54.95" customFormat="1" customHeight="1" s="235">
      <c r="A1495" s="234" t="n"/>
      <c r="B1495" s="234" t="n"/>
      <c r="C1495" s="234" t="n"/>
      <c r="D1495" s="234" t="n"/>
      <c r="E1495" s="234" t="n"/>
      <c r="F1495" s="234" t="n"/>
      <c r="G1495" s="234" t="n"/>
      <c r="H1495" s="234" t="n"/>
      <c r="I1495" s="234" t="n"/>
      <c r="J1495" s="234" t="n"/>
      <c r="K1495" s="234" t="n"/>
      <c r="L1495" s="234" t="n"/>
      <c r="M1495" s="232" t="n"/>
      <c r="N1495" s="233" t="n"/>
      <c r="O1495" s="232" t="n"/>
      <c r="P1495" s="234" t="n"/>
      <c r="Q1495" s="234" t="n"/>
      <c r="R1495" s="234" t="n"/>
      <c r="S1495" s="234" t="n"/>
      <c r="T1495" s="234" t="n"/>
      <c r="U1495" s="234" t="n"/>
      <c r="V1495" s="234" t="n"/>
      <c r="W1495" s="234" t="n"/>
    </row>
    <row r="1496" ht="54.95" customFormat="1" customHeight="1" s="235">
      <c r="A1496" s="234" t="n"/>
      <c r="B1496" s="234" t="n"/>
      <c r="C1496" s="234" t="n"/>
      <c r="D1496" s="234" t="n"/>
      <c r="E1496" s="234" t="n"/>
      <c r="F1496" s="234" t="n"/>
      <c r="G1496" s="234" t="n"/>
      <c r="H1496" s="234" t="n"/>
      <c r="I1496" s="234" t="n"/>
      <c r="J1496" s="234" t="n"/>
      <c r="K1496" s="234" t="n"/>
      <c r="L1496" s="234" t="n"/>
      <c r="M1496" s="232" t="n"/>
      <c r="N1496" s="233" t="n"/>
      <c r="O1496" s="232" t="n"/>
      <c r="P1496" s="234" t="n"/>
      <c r="Q1496" s="234" t="n"/>
      <c r="R1496" s="234" t="n"/>
      <c r="S1496" s="234" t="n"/>
      <c r="T1496" s="234" t="n"/>
      <c r="U1496" s="234" t="n"/>
      <c r="V1496" s="234" t="n"/>
      <c r="W1496" s="234" t="n"/>
    </row>
    <row r="1497" ht="54.95" customFormat="1" customHeight="1" s="235">
      <c r="A1497" s="234" t="n"/>
      <c r="B1497" s="234" t="n"/>
      <c r="C1497" s="234" t="n"/>
      <c r="D1497" s="234" t="n"/>
      <c r="E1497" s="234" t="n"/>
      <c r="F1497" s="234" t="n"/>
      <c r="G1497" s="234" t="n"/>
      <c r="H1497" s="234" t="n"/>
      <c r="I1497" s="234" t="n"/>
      <c r="J1497" s="234" t="n"/>
      <c r="K1497" s="234" t="n"/>
      <c r="L1497" s="234" t="n"/>
      <c r="M1497" s="232" t="n"/>
      <c r="N1497" s="233" t="n"/>
      <c r="O1497" s="232" t="n"/>
      <c r="P1497" s="234" t="n"/>
      <c r="Q1497" s="234" t="n"/>
      <c r="R1497" s="234" t="n"/>
      <c r="S1497" s="234" t="n"/>
      <c r="T1497" s="234" t="n"/>
      <c r="U1497" s="234" t="n"/>
      <c r="V1497" s="234" t="n"/>
      <c r="W1497" s="234" t="n"/>
    </row>
    <row r="1498" ht="54.95" customFormat="1" customHeight="1" s="235">
      <c r="A1498" s="234" t="n"/>
      <c r="B1498" s="234" t="n"/>
      <c r="C1498" s="234" t="n"/>
      <c r="D1498" s="234" t="n"/>
      <c r="E1498" s="234" t="n"/>
      <c r="F1498" s="234" t="n"/>
      <c r="G1498" s="234" t="n"/>
      <c r="H1498" s="234" t="n"/>
      <c r="I1498" s="234" t="n"/>
      <c r="J1498" s="234" t="n"/>
      <c r="K1498" s="234" t="n"/>
      <c r="L1498" s="234" t="n"/>
      <c r="M1498" s="232" t="n"/>
      <c r="N1498" s="233" t="n"/>
      <c r="O1498" s="232" t="n"/>
      <c r="P1498" s="234" t="n"/>
      <c r="Q1498" s="234" t="n"/>
      <c r="R1498" s="234" t="n"/>
      <c r="S1498" s="234" t="n"/>
      <c r="T1498" s="234" t="n"/>
      <c r="U1498" s="234" t="n"/>
      <c r="V1498" s="234" t="n"/>
      <c r="W1498" s="234" t="n"/>
    </row>
    <row r="1499" ht="54.95" customFormat="1" customHeight="1" s="235">
      <c r="A1499" s="234" t="n"/>
      <c r="B1499" s="234" t="n"/>
      <c r="C1499" s="234" t="n"/>
      <c r="D1499" s="234" t="n"/>
      <c r="E1499" s="234" t="n"/>
      <c r="F1499" s="234" t="n"/>
      <c r="G1499" s="234" t="n"/>
      <c r="H1499" s="234" t="n"/>
      <c r="I1499" s="234" t="n"/>
      <c r="J1499" s="234" t="n"/>
      <c r="K1499" s="234" t="n"/>
      <c r="L1499" s="234" t="n"/>
      <c r="M1499" s="232" t="n"/>
      <c r="N1499" s="233" t="n"/>
      <c r="O1499" s="232" t="n"/>
      <c r="P1499" s="234" t="n"/>
      <c r="Q1499" s="234" t="n"/>
      <c r="R1499" s="234" t="n"/>
      <c r="S1499" s="234" t="n"/>
      <c r="T1499" s="234" t="n"/>
      <c r="U1499" s="234" t="n"/>
      <c r="V1499" s="234" t="n"/>
      <c r="W1499" s="234" t="n"/>
    </row>
    <row r="1500" ht="54.95" customFormat="1" customHeight="1" s="235">
      <c r="A1500" s="234" t="n"/>
      <c r="B1500" s="234" t="n"/>
      <c r="C1500" s="234" t="n"/>
      <c r="D1500" s="234" t="n"/>
      <c r="E1500" s="234" t="n"/>
      <c r="F1500" s="234" t="n"/>
      <c r="G1500" s="234" t="n"/>
      <c r="H1500" s="234" t="n"/>
      <c r="I1500" s="234" t="n"/>
      <c r="J1500" s="234" t="n"/>
      <c r="K1500" s="234" t="n"/>
      <c r="L1500" s="234" t="n"/>
      <c r="M1500" s="232" t="n"/>
      <c r="N1500" s="233" t="n"/>
      <c r="O1500" s="232" t="n"/>
      <c r="P1500" s="234" t="n"/>
      <c r="Q1500" s="234" t="n"/>
      <c r="R1500" s="234" t="n"/>
      <c r="S1500" s="234" t="n"/>
      <c r="T1500" s="234" t="n"/>
      <c r="U1500" s="234" t="n"/>
      <c r="V1500" s="234" t="n"/>
      <c r="W1500" s="234" t="n"/>
    </row>
    <row r="1501" ht="54.95" customFormat="1" customHeight="1" s="235">
      <c r="A1501" s="234" t="n"/>
      <c r="B1501" s="234" t="n"/>
      <c r="C1501" s="234" t="n"/>
      <c r="D1501" s="234" t="n"/>
      <c r="E1501" s="234" t="n"/>
      <c r="F1501" s="234" t="n"/>
      <c r="G1501" s="234" t="n"/>
      <c r="H1501" s="234" t="n"/>
      <c r="I1501" s="234" t="n"/>
      <c r="J1501" s="234" t="n"/>
      <c r="K1501" s="234" t="n"/>
      <c r="L1501" s="234" t="n"/>
      <c r="M1501" s="232" t="n"/>
      <c r="N1501" s="233" t="n"/>
      <c r="O1501" s="232" t="n"/>
      <c r="P1501" s="234" t="n"/>
      <c r="Q1501" s="234" t="n"/>
      <c r="R1501" s="234" t="n"/>
      <c r="S1501" s="234" t="n"/>
      <c r="T1501" s="234" t="n"/>
      <c r="U1501" s="234" t="n"/>
      <c r="V1501" s="234" t="n"/>
      <c r="W1501" s="234" t="n"/>
    </row>
    <row r="1502" ht="54.95" customFormat="1" customHeight="1" s="235">
      <c r="A1502" s="234" t="n"/>
      <c r="B1502" s="234" t="n"/>
      <c r="C1502" s="234" t="n"/>
      <c r="D1502" s="234" t="n"/>
      <c r="E1502" s="234" t="n"/>
      <c r="F1502" s="234" t="n"/>
      <c r="G1502" s="234" t="n"/>
      <c r="H1502" s="234" t="n"/>
      <c r="I1502" s="234" t="n"/>
      <c r="J1502" s="234" t="n"/>
      <c r="K1502" s="234" t="n"/>
      <c r="L1502" s="234" t="n"/>
      <c r="M1502" s="232" t="n"/>
      <c r="N1502" s="233" t="n"/>
      <c r="O1502" s="232" t="n"/>
      <c r="P1502" s="234" t="n"/>
      <c r="Q1502" s="234" t="n"/>
      <c r="R1502" s="234" t="n"/>
      <c r="S1502" s="234" t="n"/>
      <c r="T1502" s="234" t="n"/>
      <c r="U1502" s="234" t="n"/>
      <c r="V1502" s="234" t="n"/>
      <c r="W1502" s="234" t="n"/>
    </row>
    <row r="1503" ht="54.95" customFormat="1" customHeight="1" s="235">
      <c r="A1503" s="234" t="n"/>
      <c r="B1503" s="234" t="n"/>
      <c r="C1503" s="234" t="n"/>
      <c r="D1503" s="234" t="n"/>
      <c r="E1503" s="234" t="n"/>
      <c r="F1503" s="234" t="n"/>
      <c r="G1503" s="234" t="n"/>
      <c r="H1503" s="234" t="n"/>
      <c r="I1503" s="234" t="n"/>
      <c r="J1503" s="234" t="n"/>
      <c r="K1503" s="234" t="n"/>
      <c r="L1503" s="234" t="n"/>
      <c r="M1503" s="232" t="n"/>
      <c r="N1503" s="233" t="n"/>
      <c r="O1503" s="232" t="n"/>
      <c r="P1503" s="234" t="n"/>
      <c r="Q1503" s="234" t="n"/>
      <c r="R1503" s="234" t="n"/>
      <c r="S1503" s="234" t="n"/>
      <c r="T1503" s="234" t="n"/>
      <c r="U1503" s="234" t="n"/>
      <c r="V1503" s="234" t="n"/>
      <c r="W1503" s="234" t="n"/>
    </row>
    <row r="1504" ht="54.95" customFormat="1" customHeight="1" s="235">
      <c r="A1504" s="234" t="n"/>
      <c r="B1504" s="234" t="n"/>
      <c r="C1504" s="234" t="n"/>
      <c r="D1504" s="234" t="n"/>
      <c r="E1504" s="234" t="n"/>
      <c r="F1504" s="234" t="n"/>
      <c r="G1504" s="234" t="n"/>
      <c r="H1504" s="234" t="n"/>
      <c r="I1504" s="234" t="n"/>
      <c r="J1504" s="234" t="n"/>
      <c r="K1504" s="234" t="n"/>
      <c r="L1504" s="234" t="n"/>
      <c r="M1504" s="232" t="n"/>
      <c r="N1504" s="233" t="n"/>
      <c r="O1504" s="232" t="n"/>
      <c r="P1504" s="234" t="n"/>
      <c r="Q1504" s="234" t="n"/>
      <c r="R1504" s="234" t="n"/>
      <c r="S1504" s="234" t="n"/>
      <c r="T1504" s="234" t="n"/>
      <c r="U1504" s="234" t="n"/>
      <c r="V1504" s="234" t="n"/>
      <c r="W1504" s="234" t="n"/>
    </row>
    <row r="1505" ht="54.95" customFormat="1" customHeight="1" s="235">
      <c r="A1505" s="234" t="n"/>
      <c r="B1505" s="234" t="n"/>
      <c r="C1505" s="234" t="n"/>
      <c r="D1505" s="234" t="n"/>
      <c r="E1505" s="234" t="n"/>
      <c r="F1505" s="234" t="n"/>
      <c r="G1505" s="234" t="n"/>
      <c r="H1505" s="234" t="n"/>
      <c r="I1505" s="234" t="n"/>
      <c r="J1505" s="234" t="n"/>
      <c r="K1505" s="234" t="n"/>
      <c r="L1505" s="234" t="n"/>
      <c r="M1505" s="232" t="n"/>
      <c r="N1505" s="233" t="n"/>
      <c r="O1505" s="232" t="n"/>
      <c r="P1505" s="234" t="n"/>
      <c r="Q1505" s="234" t="n"/>
      <c r="R1505" s="234" t="n"/>
      <c r="S1505" s="234" t="n"/>
      <c r="T1505" s="234" t="n"/>
      <c r="U1505" s="234" t="n"/>
      <c r="V1505" s="234" t="n"/>
      <c r="W1505" s="234" t="n"/>
    </row>
    <row r="1506" ht="54.95" customFormat="1" customHeight="1" s="235">
      <c r="A1506" s="234" t="n"/>
      <c r="B1506" s="234" t="n"/>
      <c r="C1506" s="234" t="n"/>
      <c r="D1506" s="234" t="n"/>
      <c r="E1506" s="234" t="n"/>
      <c r="F1506" s="234" t="n"/>
      <c r="G1506" s="234" t="n"/>
      <c r="H1506" s="234" t="n"/>
      <c r="I1506" s="234" t="n"/>
      <c r="J1506" s="234" t="n"/>
      <c r="K1506" s="234" t="n"/>
      <c r="L1506" s="234" t="n"/>
      <c r="M1506" s="232" t="n"/>
      <c r="N1506" s="233" t="n"/>
      <c r="O1506" s="232" t="n"/>
      <c r="P1506" s="234" t="n"/>
      <c r="Q1506" s="234" t="n"/>
      <c r="R1506" s="234" t="n"/>
      <c r="S1506" s="234" t="n"/>
      <c r="T1506" s="234" t="n"/>
      <c r="U1506" s="234" t="n"/>
      <c r="V1506" s="234" t="n"/>
      <c r="W1506" s="234" t="n"/>
    </row>
    <row r="1507" ht="54.95" customFormat="1" customHeight="1" s="235">
      <c r="A1507" s="234" t="n"/>
      <c r="B1507" s="234" t="n"/>
      <c r="C1507" s="234" t="n"/>
      <c r="D1507" s="234" t="n"/>
      <c r="E1507" s="234" t="n"/>
      <c r="F1507" s="234" t="n"/>
      <c r="G1507" s="234" t="n"/>
      <c r="H1507" s="234" t="n"/>
      <c r="I1507" s="234" t="n"/>
      <c r="J1507" s="234" t="n"/>
      <c r="K1507" s="234" t="n"/>
      <c r="L1507" s="234" t="n"/>
      <c r="M1507" s="232" t="n"/>
      <c r="N1507" s="233" t="n"/>
      <c r="O1507" s="232" t="n"/>
      <c r="P1507" s="234" t="n"/>
      <c r="Q1507" s="234" t="n"/>
      <c r="R1507" s="234" t="n"/>
      <c r="S1507" s="234" t="n"/>
      <c r="T1507" s="234" t="n"/>
      <c r="U1507" s="234" t="n"/>
      <c r="V1507" s="234" t="n"/>
      <c r="W1507" s="234" t="n"/>
    </row>
    <row r="1508" ht="54.95" customFormat="1" customHeight="1" s="235">
      <c r="A1508" s="234" t="n"/>
      <c r="B1508" s="234" t="n"/>
      <c r="C1508" s="234" t="n"/>
      <c r="D1508" s="234" t="n"/>
      <c r="E1508" s="234" t="n"/>
      <c r="F1508" s="234" t="n"/>
      <c r="G1508" s="234" t="n"/>
      <c r="H1508" s="234" t="n"/>
      <c r="I1508" s="234" t="n"/>
      <c r="J1508" s="234" t="n"/>
      <c r="K1508" s="234" t="n"/>
      <c r="L1508" s="234" t="n"/>
      <c r="M1508" s="232" t="n"/>
      <c r="N1508" s="233" t="n"/>
      <c r="O1508" s="232" t="n"/>
      <c r="P1508" s="234" t="n"/>
      <c r="Q1508" s="234" t="n"/>
      <c r="R1508" s="234" t="n"/>
      <c r="S1508" s="234" t="n"/>
      <c r="T1508" s="234" t="n"/>
      <c r="U1508" s="234" t="n"/>
      <c r="V1508" s="234" t="n"/>
      <c r="W1508" s="234" t="n"/>
    </row>
    <row r="1509" ht="54.95" customFormat="1" customHeight="1" s="235">
      <c r="A1509" s="234" t="n"/>
      <c r="B1509" s="234" t="n"/>
      <c r="C1509" s="234" t="n"/>
      <c r="D1509" s="234" t="n"/>
      <c r="E1509" s="234" t="n"/>
      <c r="F1509" s="234" t="n"/>
      <c r="G1509" s="234" t="n"/>
      <c r="H1509" s="234" t="n"/>
      <c r="I1509" s="234" t="n"/>
      <c r="J1509" s="234" t="n"/>
      <c r="K1509" s="234" t="n"/>
      <c r="L1509" s="234" t="n"/>
      <c r="M1509" s="232" t="n"/>
      <c r="N1509" s="233" t="n"/>
      <c r="O1509" s="232" t="n"/>
      <c r="P1509" s="234" t="n"/>
      <c r="Q1509" s="234" t="n"/>
      <c r="R1509" s="234" t="n"/>
      <c r="S1509" s="234" t="n"/>
      <c r="T1509" s="234" t="n"/>
      <c r="U1509" s="234" t="n"/>
      <c r="V1509" s="234" t="n"/>
      <c r="W1509" s="234" t="n"/>
    </row>
    <row r="1510" ht="54.95" customFormat="1" customHeight="1" s="235">
      <c r="A1510" s="234" t="n"/>
      <c r="B1510" s="234" t="n"/>
      <c r="C1510" s="234" t="n"/>
      <c r="D1510" s="234" t="n"/>
      <c r="E1510" s="234" t="n"/>
      <c r="F1510" s="234" t="n"/>
      <c r="G1510" s="234" t="n"/>
      <c r="H1510" s="234" t="n"/>
      <c r="I1510" s="234" t="n"/>
      <c r="J1510" s="234" t="n"/>
      <c r="K1510" s="234" t="n"/>
      <c r="L1510" s="234" t="n"/>
      <c r="M1510" s="232" t="n"/>
      <c r="N1510" s="233" t="n"/>
      <c r="O1510" s="232" t="n"/>
      <c r="P1510" s="234" t="n"/>
      <c r="Q1510" s="234" t="n"/>
      <c r="R1510" s="234" t="n"/>
      <c r="S1510" s="234" t="n"/>
      <c r="T1510" s="234" t="n"/>
      <c r="U1510" s="234" t="n"/>
      <c r="V1510" s="234" t="n"/>
      <c r="W1510" s="234" t="n"/>
    </row>
    <row r="1511" ht="54.95" customFormat="1" customHeight="1" s="235">
      <c r="A1511" s="234" t="n"/>
      <c r="B1511" s="234" t="n"/>
      <c r="C1511" s="234" t="n"/>
      <c r="D1511" s="234" t="n"/>
      <c r="E1511" s="234" t="n"/>
      <c r="F1511" s="234" t="n"/>
      <c r="G1511" s="234" t="n"/>
      <c r="H1511" s="234" t="n"/>
      <c r="I1511" s="234" t="n"/>
      <c r="J1511" s="234" t="n"/>
      <c r="K1511" s="234" t="n"/>
      <c r="L1511" s="234" t="n"/>
      <c r="M1511" s="232" t="n"/>
      <c r="N1511" s="233" t="n"/>
      <c r="O1511" s="232" t="n"/>
      <c r="P1511" s="234" t="n"/>
      <c r="Q1511" s="234" t="n"/>
      <c r="R1511" s="234" t="n"/>
      <c r="S1511" s="234" t="n"/>
      <c r="T1511" s="234" t="n"/>
      <c r="U1511" s="234" t="n"/>
      <c r="V1511" s="234" t="n"/>
      <c r="W1511" s="234" t="n"/>
    </row>
    <row r="1512" ht="54.95" customFormat="1" customHeight="1" s="235">
      <c r="A1512" s="234" t="n"/>
      <c r="B1512" s="234" t="n"/>
      <c r="C1512" s="234" t="n"/>
      <c r="D1512" s="234" t="n"/>
      <c r="E1512" s="234" t="n"/>
      <c r="F1512" s="234" t="n"/>
      <c r="G1512" s="234" t="n"/>
      <c r="H1512" s="234" t="n"/>
      <c r="I1512" s="234" t="n"/>
      <c r="J1512" s="234" t="n"/>
      <c r="K1512" s="234" t="n"/>
      <c r="L1512" s="234" t="n"/>
      <c r="M1512" s="232" t="n"/>
      <c r="N1512" s="233" t="n"/>
      <c r="O1512" s="232" t="n"/>
      <c r="P1512" s="234" t="n"/>
      <c r="Q1512" s="234" t="n"/>
      <c r="R1512" s="234" t="n"/>
      <c r="S1512" s="234" t="n"/>
      <c r="T1512" s="234" t="n"/>
      <c r="U1512" s="234" t="n"/>
      <c r="V1512" s="234" t="n"/>
      <c r="W1512" s="234" t="n"/>
    </row>
    <row r="1513" ht="54.95" customFormat="1" customHeight="1" s="235">
      <c r="A1513" s="234" t="n"/>
      <c r="B1513" s="234" t="n"/>
      <c r="C1513" s="234" t="n"/>
      <c r="D1513" s="234" t="n"/>
      <c r="E1513" s="234" t="n"/>
      <c r="F1513" s="234" t="n"/>
      <c r="G1513" s="234" t="n"/>
      <c r="H1513" s="234" t="n"/>
      <c r="I1513" s="234" t="n"/>
      <c r="J1513" s="234" t="n"/>
      <c r="K1513" s="234" t="n"/>
      <c r="L1513" s="234" t="n"/>
      <c r="M1513" s="232" t="n"/>
      <c r="N1513" s="233" t="n"/>
      <c r="O1513" s="232" t="n"/>
      <c r="P1513" s="234" t="n"/>
      <c r="Q1513" s="234" t="n"/>
      <c r="R1513" s="234" t="n"/>
      <c r="S1513" s="234" t="n"/>
      <c r="T1513" s="234" t="n"/>
      <c r="U1513" s="234" t="n"/>
      <c r="V1513" s="234" t="n"/>
      <c r="W1513" s="234" t="n"/>
    </row>
    <row r="1514" ht="54.95" customFormat="1" customHeight="1" s="235">
      <c r="A1514" s="234" t="n"/>
      <c r="B1514" s="234" t="n"/>
      <c r="C1514" s="234" t="n"/>
      <c r="D1514" s="234" t="n"/>
      <c r="E1514" s="234" t="n"/>
      <c r="F1514" s="234" t="n"/>
      <c r="G1514" s="234" t="n"/>
      <c r="H1514" s="234" t="n"/>
      <c r="I1514" s="234" t="n"/>
      <c r="J1514" s="234" t="n"/>
      <c r="K1514" s="234" t="n"/>
      <c r="L1514" s="234" t="n"/>
      <c r="M1514" s="232" t="n"/>
      <c r="N1514" s="233" t="n"/>
      <c r="O1514" s="232" t="n"/>
      <c r="P1514" s="234" t="n"/>
      <c r="Q1514" s="234" t="n"/>
      <c r="R1514" s="234" t="n"/>
      <c r="S1514" s="234" t="n"/>
      <c r="T1514" s="234" t="n"/>
      <c r="U1514" s="234" t="n"/>
      <c r="V1514" s="234" t="n"/>
      <c r="W1514" s="234" t="n"/>
    </row>
    <row r="1515" ht="54.95" customFormat="1" customHeight="1" s="235">
      <c r="A1515" s="234" t="n"/>
      <c r="B1515" s="234" t="n"/>
      <c r="C1515" s="234" t="n"/>
      <c r="D1515" s="234" t="n"/>
      <c r="E1515" s="234" t="n"/>
      <c r="F1515" s="234" t="n"/>
      <c r="G1515" s="234" t="n"/>
      <c r="H1515" s="234" t="n"/>
      <c r="I1515" s="234" t="n"/>
      <c r="J1515" s="234" t="n"/>
      <c r="K1515" s="234" t="n"/>
      <c r="L1515" s="234" t="n"/>
      <c r="M1515" s="232" t="n"/>
      <c r="N1515" s="233" t="n"/>
      <c r="O1515" s="232" t="n"/>
      <c r="P1515" s="234" t="n"/>
      <c r="Q1515" s="234" t="n"/>
      <c r="R1515" s="234" t="n"/>
      <c r="S1515" s="234" t="n"/>
      <c r="T1515" s="234" t="n"/>
      <c r="U1515" s="234" t="n"/>
      <c r="V1515" s="234" t="n"/>
      <c r="W1515" s="234" t="n"/>
    </row>
    <row r="1516" ht="54.95" customFormat="1" customHeight="1" s="235">
      <c r="A1516" s="234" t="n"/>
      <c r="B1516" s="234" t="n"/>
      <c r="C1516" s="234" t="n"/>
      <c r="D1516" s="234" t="n"/>
      <c r="E1516" s="234" t="n"/>
      <c r="F1516" s="234" t="n"/>
      <c r="G1516" s="234" t="n"/>
      <c r="H1516" s="234" t="n"/>
      <c r="I1516" s="234" t="n"/>
      <c r="J1516" s="234" t="n"/>
      <c r="K1516" s="234" t="n"/>
      <c r="L1516" s="234" t="n"/>
      <c r="M1516" s="232" t="n"/>
      <c r="N1516" s="233" t="n"/>
      <c r="O1516" s="232" t="n"/>
      <c r="P1516" s="234" t="n"/>
      <c r="Q1516" s="234" t="n"/>
      <c r="R1516" s="234" t="n"/>
      <c r="S1516" s="234" t="n"/>
      <c r="T1516" s="234" t="n"/>
      <c r="U1516" s="234" t="n"/>
      <c r="V1516" s="234" t="n"/>
      <c r="W1516" s="234" t="n"/>
    </row>
    <row r="1517" ht="54.95" customFormat="1" customHeight="1" s="235">
      <c r="A1517" s="234" t="n"/>
      <c r="B1517" s="234" t="n"/>
      <c r="C1517" s="234" t="n"/>
      <c r="D1517" s="234" t="n"/>
      <c r="E1517" s="234" t="n"/>
      <c r="F1517" s="234" t="n"/>
      <c r="G1517" s="234" t="n"/>
      <c r="H1517" s="234" t="n"/>
      <c r="I1517" s="234" t="n"/>
      <c r="J1517" s="234" t="n"/>
      <c r="K1517" s="234" t="n"/>
      <c r="L1517" s="234" t="n"/>
      <c r="M1517" s="232" t="n"/>
      <c r="N1517" s="233" t="n"/>
      <c r="O1517" s="232" t="n"/>
      <c r="P1517" s="234" t="n"/>
      <c r="Q1517" s="234" t="n"/>
      <c r="R1517" s="234" t="n"/>
      <c r="S1517" s="234" t="n"/>
      <c r="T1517" s="234" t="n"/>
      <c r="U1517" s="234" t="n"/>
      <c r="V1517" s="234" t="n"/>
      <c r="W1517" s="234" t="n"/>
    </row>
    <row r="1518" ht="54.95" customFormat="1" customHeight="1" s="235">
      <c r="A1518" s="234" t="n"/>
      <c r="B1518" s="234" t="n"/>
      <c r="C1518" s="234" t="n"/>
      <c r="D1518" s="234" t="n"/>
      <c r="E1518" s="234" t="n"/>
      <c r="F1518" s="234" t="n"/>
      <c r="G1518" s="234" t="n"/>
      <c r="H1518" s="234" t="n"/>
      <c r="I1518" s="234" t="n"/>
      <c r="J1518" s="234" t="n"/>
      <c r="K1518" s="234" t="n"/>
      <c r="L1518" s="234" t="n"/>
      <c r="M1518" s="232" t="n"/>
      <c r="N1518" s="233" t="n"/>
      <c r="O1518" s="232" t="n"/>
      <c r="P1518" s="234" t="n"/>
      <c r="Q1518" s="234" t="n"/>
      <c r="R1518" s="234" t="n"/>
      <c r="S1518" s="234" t="n"/>
      <c r="T1518" s="234" t="n"/>
      <c r="U1518" s="234" t="n"/>
      <c r="V1518" s="234" t="n"/>
      <c r="W1518" s="234" t="n"/>
    </row>
    <row r="1519" ht="54.95" customFormat="1" customHeight="1" s="235">
      <c r="A1519" s="234" t="n"/>
      <c r="B1519" s="234" t="n"/>
      <c r="C1519" s="234" t="n"/>
      <c r="D1519" s="234" t="n"/>
      <c r="E1519" s="234" t="n"/>
      <c r="F1519" s="234" t="n"/>
      <c r="G1519" s="234" t="n"/>
      <c r="H1519" s="234" t="n"/>
      <c r="I1519" s="234" t="n"/>
      <c r="J1519" s="234" t="n"/>
      <c r="K1519" s="234" t="n"/>
      <c r="L1519" s="234" t="n"/>
      <c r="M1519" s="232" t="n"/>
      <c r="N1519" s="233" t="n"/>
      <c r="O1519" s="232" t="n"/>
      <c r="P1519" s="234" t="n"/>
      <c r="Q1519" s="234" t="n"/>
      <c r="R1519" s="234" t="n"/>
      <c r="S1519" s="234" t="n"/>
      <c r="T1519" s="234" t="n"/>
      <c r="U1519" s="234" t="n"/>
      <c r="V1519" s="234" t="n"/>
      <c r="W1519" s="234" t="n"/>
    </row>
    <row r="1520" ht="54.95" customFormat="1" customHeight="1" s="235">
      <c r="A1520" s="234" t="n"/>
      <c r="B1520" s="234" t="n"/>
      <c r="C1520" s="234" t="n"/>
      <c r="D1520" s="234" t="n"/>
      <c r="E1520" s="234" t="n"/>
      <c r="F1520" s="234" t="n"/>
      <c r="G1520" s="234" t="n"/>
      <c r="H1520" s="234" t="n"/>
      <c r="I1520" s="234" t="n"/>
      <c r="J1520" s="234" t="n"/>
      <c r="K1520" s="234" t="n"/>
      <c r="L1520" s="234" t="n"/>
      <c r="M1520" s="232" t="n"/>
      <c r="N1520" s="233" t="n"/>
      <c r="O1520" s="232" t="n"/>
      <c r="P1520" s="234" t="n"/>
      <c r="Q1520" s="234" t="n"/>
      <c r="R1520" s="234" t="n"/>
      <c r="S1520" s="234" t="n"/>
      <c r="T1520" s="234" t="n"/>
      <c r="U1520" s="234" t="n"/>
      <c r="V1520" s="234" t="n"/>
      <c r="W1520" s="234" t="n"/>
    </row>
    <row r="1521" ht="54.95" customFormat="1" customHeight="1" s="235">
      <c r="A1521" s="234" t="n"/>
      <c r="B1521" s="234" t="n"/>
      <c r="C1521" s="234" t="n"/>
      <c r="D1521" s="234" t="n"/>
      <c r="E1521" s="234" t="n"/>
      <c r="F1521" s="234" t="n"/>
      <c r="G1521" s="234" t="n"/>
      <c r="H1521" s="234" t="n"/>
      <c r="I1521" s="234" t="n"/>
      <c r="J1521" s="234" t="n"/>
      <c r="K1521" s="234" t="n"/>
      <c r="L1521" s="234" t="n"/>
      <c r="M1521" s="232" t="n"/>
      <c r="N1521" s="233" t="n"/>
      <c r="O1521" s="232" t="n"/>
      <c r="P1521" s="234" t="n"/>
      <c r="Q1521" s="234" t="n"/>
      <c r="R1521" s="234" t="n"/>
      <c r="S1521" s="234" t="n"/>
      <c r="T1521" s="234" t="n"/>
      <c r="U1521" s="234" t="n"/>
      <c r="V1521" s="234" t="n"/>
      <c r="W1521" s="234" t="n"/>
    </row>
    <row r="1522" ht="54.95" customFormat="1" customHeight="1" s="235">
      <c r="A1522" s="232" t="n"/>
      <c r="B1522" s="232" t="n"/>
      <c r="C1522" s="232" t="n"/>
      <c r="D1522" s="233" t="n"/>
      <c r="E1522" s="232" t="n"/>
      <c r="F1522" s="233" t="n"/>
      <c r="G1522" s="233" t="n"/>
      <c r="H1522" s="233" t="n"/>
      <c r="I1522" s="232" t="n"/>
      <c r="J1522" s="233" t="n"/>
      <c r="K1522" s="232" t="n"/>
      <c r="L1522" s="232" t="n"/>
      <c r="M1522" s="232" t="n"/>
      <c r="N1522" s="233" t="n"/>
      <c r="O1522" s="232" t="n"/>
      <c r="P1522" s="233" t="n"/>
      <c r="Q1522" s="233" t="n"/>
      <c r="R1522" s="233" t="n"/>
      <c r="S1522" s="232" t="n"/>
      <c r="T1522" s="233" t="n"/>
      <c r="U1522" s="233" t="n"/>
      <c r="V1522" s="233" t="n"/>
      <c r="W1522" s="232" t="n"/>
    </row>
    <row r="1523" ht="54.95" customFormat="1" customHeight="1" s="235">
      <c r="A1523" s="232" t="n"/>
      <c r="B1523" s="232" t="n"/>
      <c r="C1523" s="232" t="n"/>
      <c r="D1523" s="233" t="n"/>
      <c r="E1523" s="232" t="n"/>
      <c r="F1523" s="233" t="n"/>
      <c r="G1523" s="233" t="n"/>
      <c r="H1523" s="233" t="n"/>
      <c r="I1523" s="232" t="n"/>
      <c r="J1523" s="233" t="n"/>
      <c r="K1523" s="232" t="n"/>
      <c r="L1523" s="232" t="n"/>
      <c r="M1523" s="232" t="n"/>
      <c r="N1523" s="233" t="n"/>
      <c r="O1523" s="232" t="n"/>
      <c r="P1523" s="233" t="n"/>
      <c r="Q1523" s="233" t="n"/>
      <c r="R1523" s="233" t="n"/>
      <c r="S1523" s="232" t="n"/>
      <c r="T1523" s="233" t="n"/>
      <c r="U1523" s="233" t="n"/>
      <c r="V1523" s="233" t="n"/>
      <c r="W1523" s="232" t="n"/>
    </row>
    <row r="1524" ht="54.95" customFormat="1" customHeight="1" s="235">
      <c r="A1524" s="232" t="n"/>
      <c r="B1524" s="232" t="n"/>
      <c r="C1524" s="232" t="n"/>
      <c r="D1524" s="233" t="n"/>
      <c r="E1524" s="232" t="n"/>
      <c r="F1524" s="233" t="n"/>
      <c r="G1524" s="233" t="n"/>
      <c r="H1524" s="233" t="n"/>
      <c r="I1524" s="232" t="n"/>
      <c r="J1524" s="233" t="n"/>
      <c r="K1524" s="232" t="n"/>
      <c r="L1524" s="232" t="n"/>
      <c r="M1524" s="232" t="n"/>
      <c r="N1524" s="233" t="n"/>
      <c r="O1524" s="232" t="n"/>
      <c r="P1524" s="233" t="n"/>
      <c r="Q1524" s="233" t="n"/>
      <c r="R1524" s="233" t="n"/>
      <c r="S1524" s="232" t="n"/>
      <c r="T1524" s="233" t="n"/>
      <c r="U1524" s="233" t="n"/>
      <c r="V1524" s="233" t="n"/>
      <c r="W1524" s="232" t="n"/>
    </row>
    <row r="1525" ht="54.95" customFormat="1" customHeight="1" s="235">
      <c r="A1525" s="232" t="n"/>
      <c r="B1525" s="232" t="n"/>
      <c r="C1525" s="232" t="n"/>
      <c r="D1525" s="233" t="n"/>
      <c r="E1525" s="232" t="n"/>
      <c r="F1525" s="233" t="n"/>
      <c r="G1525" s="233" t="n"/>
      <c r="H1525" s="233" t="n"/>
      <c r="I1525" s="232" t="n"/>
      <c r="J1525" s="233" t="n"/>
      <c r="K1525" s="232" t="n"/>
      <c r="L1525" s="232" t="n"/>
      <c r="M1525" s="232" t="n"/>
      <c r="N1525" s="233" t="n"/>
      <c r="O1525" s="232" t="n"/>
      <c r="P1525" s="233" t="n"/>
      <c r="Q1525" s="233" t="n"/>
      <c r="R1525" s="233" t="n"/>
      <c r="S1525" s="232" t="n"/>
      <c r="T1525" s="233" t="n"/>
      <c r="U1525" s="233" t="n"/>
      <c r="V1525" s="233" t="n"/>
      <c r="W1525" s="232" t="n"/>
    </row>
    <row r="1526" ht="54.95" customFormat="1" customHeight="1" s="235">
      <c r="A1526" s="232" t="n"/>
      <c r="B1526" s="232" t="n"/>
      <c r="C1526" s="232" t="n"/>
      <c r="D1526" s="233" t="n"/>
      <c r="E1526" s="232" t="n"/>
      <c r="F1526" s="233" t="n"/>
      <c r="G1526" s="233" t="n"/>
      <c r="H1526" s="233" t="n"/>
      <c r="I1526" s="232" t="n"/>
      <c r="J1526" s="233" t="n"/>
      <c r="K1526" s="232" t="n"/>
      <c r="L1526" s="232" t="n"/>
      <c r="M1526" s="232" t="n"/>
      <c r="N1526" s="233" t="n"/>
      <c r="O1526" s="232" t="n"/>
      <c r="P1526" s="233" t="n"/>
      <c r="Q1526" s="233" t="n"/>
      <c r="R1526" s="233" t="n"/>
      <c r="S1526" s="232" t="n"/>
      <c r="T1526" s="233" t="n"/>
      <c r="U1526" s="233" t="n"/>
      <c r="V1526" s="233" t="n"/>
      <c r="W1526" s="232" t="n"/>
    </row>
    <row r="1527" ht="54.95" customFormat="1" customHeight="1" s="235">
      <c r="A1527" s="232" t="n"/>
      <c r="B1527" s="232" t="n"/>
      <c r="C1527" s="232" t="n"/>
      <c r="D1527" s="233" t="n"/>
      <c r="E1527" s="232" t="n"/>
      <c r="F1527" s="233" t="n"/>
      <c r="G1527" s="233" t="n"/>
      <c r="H1527" s="233" t="n"/>
      <c r="I1527" s="232" t="n"/>
      <c r="J1527" s="233" t="n"/>
      <c r="K1527" s="232" t="n"/>
      <c r="L1527" s="232" t="n"/>
      <c r="M1527" s="232" t="n"/>
      <c r="N1527" s="233" t="n"/>
      <c r="O1527" s="232" t="n"/>
      <c r="P1527" s="233" t="n"/>
      <c r="Q1527" s="233" t="n"/>
      <c r="R1527" s="233" t="n"/>
      <c r="S1527" s="232" t="n"/>
      <c r="T1527" s="233" t="n"/>
      <c r="U1527" s="233" t="n"/>
      <c r="V1527" s="233" t="n"/>
      <c r="W1527" s="232" t="n"/>
    </row>
    <row r="1528" ht="54.95" customFormat="1" customHeight="1" s="235">
      <c r="A1528" s="232" t="n"/>
      <c r="B1528" s="232" t="n"/>
      <c r="C1528" s="232" t="n"/>
      <c r="D1528" s="233" t="n"/>
      <c r="E1528" s="232" t="n"/>
      <c r="F1528" s="233" t="n"/>
      <c r="G1528" s="233" t="n"/>
      <c r="H1528" s="233" t="n"/>
      <c r="I1528" s="232" t="n"/>
      <c r="J1528" s="233" t="n"/>
      <c r="K1528" s="232" t="n"/>
      <c r="L1528" s="232" t="n"/>
      <c r="M1528" s="232" t="n"/>
      <c r="N1528" s="233" t="n"/>
      <c r="O1528" s="232" t="n"/>
      <c r="P1528" s="233" t="n"/>
      <c r="Q1528" s="233" t="n"/>
      <c r="R1528" s="233" t="n"/>
      <c r="S1528" s="232" t="n"/>
      <c r="T1528" s="233" t="n"/>
      <c r="U1528" s="233" t="n"/>
      <c r="V1528" s="233" t="n"/>
      <c r="W1528" s="232" t="n"/>
    </row>
    <row r="1529" ht="54.95" customFormat="1" customHeight="1" s="235">
      <c r="A1529" s="234" t="n"/>
      <c r="B1529" s="234" t="n"/>
      <c r="C1529" s="234" t="n"/>
      <c r="D1529" s="234" t="n"/>
      <c r="E1529" s="234" t="n"/>
      <c r="F1529" s="234" t="n"/>
      <c r="G1529" s="234" t="n"/>
      <c r="H1529" s="234" t="n"/>
      <c r="I1529" s="234" t="n"/>
      <c r="J1529" s="234" t="n"/>
      <c r="K1529" s="234" t="n"/>
      <c r="L1529" s="234" t="n"/>
      <c r="M1529" s="232" t="n"/>
      <c r="N1529" s="233" t="n"/>
      <c r="O1529" s="232" t="n"/>
      <c r="P1529" s="234" t="n"/>
      <c r="Q1529" s="234" t="n"/>
      <c r="R1529" s="234" t="n"/>
      <c r="S1529" s="234" t="n"/>
      <c r="T1529" s="234" t="n"/>
      <c r="U1529" s="234" t="n"/>
      <c r="V1529" s="234" t="n"/>
      <c r="W1529" s="234" t="n"/>
    </row>
    <row r="1530" ht="54.95" customFormat="1" customHeight="1" s="235">
      <c r="A1530" s="234" t="n"/>
      <c r="B1530" s="234" t="n"/>
      <c r="C1530" s="234" t="n"/>
      <c r="D1530" s="234" t="n"/>
      <c r="E1530" s="234" t="n"/>
      <c r="F1530" s="234" t="n"/>
      <c r="G1530" s="234" t="n"/>
      <c r="H1530" s="234" t="n"/>
      <c r="I1530" s="234" t="n"/>
      <c r="J1530" s="234" t="n"/>
      <c r="K1530" s="234" t="n"/>
      <c r="L1530" s="234" t="n"/>
      <c r="M1530" s="232" t="n"/>
      <c r="N1530" s="233" t="n"/>
      <c r="O1530" s="232" t="n"/>
      <c r="P1530" s="234" t="n"/>
      <c r="Q1530" s="234" t="n"/>
      <c r="R1530" s="234" t="n"/>
      <c r="S1530" s="234" t="n"/>
      <c r="T1530" s="234" t="n"/>
      <c r="U1530" s="234" t="n"/>
      <c r="V1530" s="234" t="n"/>
      <c r="W1530" s="234" t="n"/>
    </row>
    <row r="1531" ht="54.95" customFormat="1" customHeight="1" s="235">
      <c r="A1531" s="234" t="n"/>
      <c r="B1531" s="234" t="n"/>
      <c r="C1531" s="234" t="n"/>
      <c r="D1531" s="234" t="n"/>
      <c r="E1531" s="234" t="n"/>
      <c r="F1531" s="234" t="n"/>
      <c r="G1531" s="234" t="n"/>
      <c r="H1531" s="234" t="n"/>
      <c r="I1531" s="234" t="n"/>
      <c r="J1531" s="234" t="n"/>
      <c r="K1531" s="234" t="n"/>
      <c r="L1531" s="234" t="n"/>
      <c r="M1531" s="232" t="n"/>
      <c r="N1531" s="233" t="n"/>
      <c r="O1531" s="232" t="n"/>
      <c r="P1531" s="234" t="n"/>
      <c r="Q1531" s="234" t="n"/>
      <c r="R1531" s="234" t="n"/>
      <c r="S1531" s="234" t="n"/>
      <c r="T1531" s="234" t="n"/>
      <c r="U1531" s="234" t="n"/>
      <c r="V1531" s="234" t="n"/>
      <c r="W1531" s="234" t="n"/>
    </row>
    <row r="1532" ht="54.95" customFormat="1" customHeight="1" s="235">
      <c r="A1532" s="232" t="n"/>
      <c r="B1532" s="232" t="n"/>
      <c r="C1532" s="232" t="n"/>
      <c r="D1532" s="233" t="n"/>
      <c r="E1532" s="232" t="n"/>
      <c r="F1532" s="233" t="n"/>
      <c r="G1532" s="233" t="n"/>
      <c r="H1532" s="233" t="n"/>
      <c r="I1532" s="232" t="n"/>
      <c r="J1532" s="233" t="n"/>
      <c r="K1532" s="232" t="n"/>
      <c r="L1532" s="232" t="n"/>
      <c r="M1532" s="232" t="n"/>
      <c r="N1532" s="233" t="n"/>
      <c r="O1532" s="232" t="n"/>
      <c r="P1532" s="233" t="n"/>
      <c r="Q1532" s="233" t="n"/>
      <c r="R1532" s="233" t="n"/>
      <c r="S1532" s="232" t="n"/>
      <c r="T1532" s="233" t="n"/>
      <c r="U1532" s="233" t="n"/>
      <c r="V1532" s="233" t="n"/>
      <c r="W1532" s="232" t="n"/>
    </row>
    <row r="1533" ht="54.95" customFormat="1" customHeight="1" s="235">
      <c r="A1533" s="232" t="n"/>
      <c r="B1533" s="232" t="n"/>
      <c r="C1533" s="232" t="n"/>
      <c r="D1533" s="233" t="n"/>
      <c r="E1533" s="232" t="n"/>
      <c r="F1533" s="233" t="n"/>
      <c r="G1533" s="233" t="n"/>
      <c r="H1533" s="233" t="n"/>
      <c r="I1533" s="232" t="n"/>
      <c r="J1533" s="233" t="n"/>
      <c r="K1533" s="232" t="n"/>
      <c r="L1533" s="232" t="n"/>
      <c r="M1533" s="232" t="n"/>
      <c r="N1533" s="233" t="n"/>
      <c r="O1533" s="232" t="n"/>
      <c r="P1533" s="233" t="n"/>
      <c r="Q1533" s="233" t="n"/>
      <c r="R1533" s="233" t="n"/>
      <c r="S1533" s="232" t="n"/>
      <c r="T1533" s="233" t="n"/>
      <c r="U1533" s="233" t="n"/>
      <c r="V1533" s="233" t="n"/>
      <c r="W1533" s="232" t="n"/>
    </row>
    <row r="1534" ht="54.95" customFormat="1" customHeight="1" s="235">
      <c r="A1534" s="234" t="n"/>
      <c r="B1534" s="234" t="n"/>
      <c r="C1534" s="234" t="n"/>
      <c r="D1534" s="234" t="n"/>
      <c r="E1534" s="234" t="n"/>
      <c r="F1534" s="234" t="n"/>
      <c r="G1534" s="234" t="n"/>
      <c r="H1534" s="234" t="n"/>
      <c r="I1534" s="234" t="n"/>
      <c r="J1534" s="234" t="n"/>
      <c r="K1534" s="234" t="n"/>
      <c r="L1534" s="234" t="n"/>
      <c r="M1534" s="232" t="n"/>
      <c r="N1534" s="233" t="n"/>
      <c r="O1534" s="232" t="n"/>
      <c r="P1534" s="234" t="n"/>
      <c r="Q1534" s="234" t="n"/>
      <c r="R1534" s="234" t="n"/>
      <c r="S1534" s="234" t="n"/>
      <c r="T1534" s="234" t="n"/>
      <c r="U1534" s="234" t="n"/>
      <c r="V1534" s="234" t="n"/>
      <c r="W1534" s="234" t="n"/>
    </row>
    <row r="1535" ht="54.95" customFormat="1" customHeight="1" s="235">
      <c r="A1535" s="234" t="n"/>
      <c r="B1535" s="234" t="n"/>
      <c r="C1535" s="234" t="n"/>
      <c r="D1535" s="234" t="n"/>
      <c r="E1535" s="234" t="n"/>
      <c r="F1535" s="234" t="n"/>
      <c r="G1535" s="234" t="n"/>
      <c r="H1535" s="234" t="n"/>
      <c r="I1535" s="234" t="n"/>
      <c r="J1535" s="234" t="n"/>
      <c r="K1535" s="234" t="n"/>
      <c r="L1535" s="234" t="n"/>
      <c r="M1535" s="232" t="n"/>
      <c r="N1535" s="233" t="n"/>
      <c r="O1535" s="232" t="n"/>
      <c r="P1535" s="234" t="n"/>
      <c r="Q1535" s="234" t="n"/>
      <c r="R1535" s="234" t="n"/>
      <c r="S1535" s="234" t="n"/>
      <c r="T1535" s="234" t="n"/>
      <c r="U1535" s="234" t="n"/>
      <c r="V1535" s="234" t="n"/>
      <c r="W1535" s="234" t="n"/>
    </row>
    <row r="1536" ht="54.95" customFormat="1" customHeight="1" s="235">
      <c r="A1536" s="234" t="n"/>
      <c r="B1536" s="234" t="n"/>
      <c r="C1536" s="234" t="n"/>
      <c r="D1536" s="234" t="n"/>
      <c r="E1536" s="234" t="n"/>
      <c r="F1536" s="234" t="n"/>
      <c r="G1536" s="234" t="n"/>
      <c r="H1536" s="234" t="n"/>
      <c r="I1536" s="234" t="n"/>
      <c r="J1536" s="234" t="n"/>
      <c r="K1536" s="234" t="n"/>
      <c r="L1536" s="234" t="n"/>
      <c r="M1536" s="232" t="n"/>
      <c r="N1536" s="233" t="n"/>
      <c r="O1536" s="232" t="n"/>
      <c r="P1536" s="234" t="n"/>
      <c r="Q1536" s="234" t="n"/>
      <c r="R1536" s="234" t="n"/>
      <c r="S1536" s="234" t="n"/>
      <c r="T1536" s="234" t="n"/>
      <c r="U1536" s="234" t="n"/>
      <c r="V1536" s="234" t="n"/>
      <c r="W1536" s="234" t="n"/>
    </row>
    <row r="1537" ht="54.95" customFormat="1" customHeight="1" s="235">
      <c r="A1537" s="232" t="n"/>
      <c r="B1537" s="232" t="n"/>
      <c r="C1537" s="232" t="n"/>
      <c r="D1537" s="233" t="n"/>
      <c r="E1537" s="232" t="n"/>
      <c r="F1537" s="233" t="n"/>
      <c r="G1537" s="233" t="n"/>
      <c r="H1537" s="233" t="n"/>
      <c r="I1537" s="232" t="n"/>
      <c r="J1537" s="233" t="n"/>
      <c r="K1537" s="232" t="n"/>
      <c r="L1537" s="232" t="n"/>
      <c r="M1537" s="232" t="n"/>
      <c r="N1537" s="233" t="n"/>
      <c r="O1537" s="232" t="n"/>
      <c r="P1537" s="233" t="n"/>
      <c r="Q1537" s="233" t="n"/>
      <c r="R1537" s="233" t="n"/>
      <c r="S1537" s="232" t="n"/>
      <c r="T1537" s="233" t="n"/>
      <c r="U1537" s="233" t="n"/>
      <c r="V1537" s="233" t="n"/>
      <c r="W1537" s="232" t="n"/>
    </row>
    <row r="1538" ht="54.95" customFormat="1" customHeight="1" s="235">
      <c r="A1538" s="234" t="n"/>
      <c r="B1538" s="234" t="n"/>
      <c r="C1538" s="234" t="n"/>
      <c r="D1538" s="234" t="n"/>
      <c r="E1538" s="234" t="n"/>
      <c r="F1538" s="234" t="n"/>
      <c r="G1538" s="234" t="n"/>
      <c r="H1538" s="234" t="n"/>
      <c r="I1538" s="234" t="n"/>
      <c r="J1538" s="234" t="n"/>
      <c r="K1538" s="234" t="n"/>
      <c r="L1538" s="234" t="n"/>
      <c r="M1538" s="232" t="n"/>
      <c r="N1538" s="233" t="n"/>
      <c r="O1538" s="232" t="n"/>
      <c r="P1538" s="234" t="n"/>
      <c r="Q1538" s="234" t="n"/>
      <c r="R1538" s="234" t="n"/>
      <c r="S1538" s="234" t="n"/>
      <c r="T1538" s="234" t="n"/>
      <c r="U1538" s="234" t="n"/>
      <c r="V1538" s="234" t="n"/>
      <c r="W1538" s="234" t="n"/>
    </row>
    <row r="1539" ht="54.95" customFormat="1" customHeight="1" s="235">
      <c r="A1539" s="234" t="n"/>
      <c r="B1539" s="234" t="n"/>
      <c r="C1539" s="234" t="n"/>
      <c r="D1539" s="234" t="n"/>
      <c r="E1539" s="234" t="n"/>
      <c r="F1539" s="234" t="n"/>
      <c r="G1539" s="234" t="n"/>
      <c r="H1539" s="234" t="n"/>
      <c r="I1539" s="234" t="n"/>
      <c r="J1539" s="234" t="n"/>
      <c r="K1539" s="234" t="n"/>
      <c r="L1539" s="234" t="n"/>
      <c r="M1539" s="232" t="n"/>
      <c r="N1539" s="233" t="n"/>
      <c r="O1539" s="232" t="n"/>
      <c r="P1539" s="234" t="n"/>
      <c r="Q1539" s="234" t="n"/>
      <c r="R1539" s="234" t="n"/>
      <c r="S1539" s="234" t="n"/>
      <c r="T1539" s="234" t="n"/>
      <c r="U1539" s="234" t="n"/>
      <c r="V1539" s="234" t="n"/>
      <c r="W1539" s="234" t="n"/>
    </row>
    <row r="1540" ht="54.95" customFormat="1" customHeight="1" s="235">
      <c r="A1540" s="234" t="n"/>
      <c r="B1540" s="234" t="n"/>
      <c r="C1540" s="234" t="n"/>
      <c r="D1540" s="234" t="n"/>
      <c r="E1540" s="234" t="n"/>
      <c r="F1540" s="234" t="n"/>
      <c r="G1540" s="234" t="n"/>
      <c r="H1540" s="234" t="n"/>
      <c r="I1540" s="234" t="n"/>
      <c r="J1540" s="234" t="n"/>
      <c r="K1540" s="234" t="n"/>
      <c r="L1540" s="234" t="n"/>
      <c r="M1540" s="232" t="n"/>
      <c r="N1540" s="233" t="n"/>
      <c r="O1540" s="232" t="n"/>
      <c r="P1540" s="234" t="n"/>
      <c r="Q1540" s="234" t="n"/>
      <c r="R1540" s="234" t="n"/>
      <c r="S1540" s="234" t="n"/>
      <c r="T1540" s="234" t="n"/>
      <c r="U1540" s="234" t="n"/>
      <c r="V1540" s="234" t="n"/>
      <c r="W1540" s="234" t="n"/>
    </row>
    <row r="1541" ht="54.95" customFormat="1" customHeight="1" s="235">
      <c r="A1541" s="232" t="n"/>
      <c r="B1541" s="232" t="n"/>
      <c r="C1541" s="232" t="n"/>
      <c r="D1541" s="233" t="n"/>
      <c r="E1541" s="232" t="n"/>
      <c r="F1541" s="233" t="n"/>
      <c r="G1541" s="233" t="n"/>
      <c r="H1541" s="233" t="n"/>
      <c r="I1541" s="232" t="n"/>
      <c r="J1541" s="233" t="n"/>
      <c r="K1541" s="232" t="n"/>
      <c r="L1541" s="232" t="n"/>
      <c r="M1541" s="232" t="n"/>
      <c r="N1541" s="233" t="n"/>
      <c r="O1541" s="232" t="n"/>
      <c r="P1541" s="233" t="n"/>
      <c r="Q1541" s="233" t="n"/>
      <c r="R1541" s="233" t="n"/>
      <c r="S1541" s="232" t="n"/>
      <c r="T1541" s="233" t="n"/>
      <c r="U1541" s="233" t="n"/>
      <c r="V1541" s="233" t="n"/>
      <c r="W1541" s="232" t="n"/>
    </row>
    <row r="1542" ht="54.95" customFormat="1" customHeight="1" s="235">
      <c r="A1542" s="232" t="n"/>
      <c r="B1542" s="232" t="n"/>
      <c r="C1542" s="232" t="n"/>
      <c r="D1542" s="233" t="n"/>
      <c r="E1542" s="232" t="n"/>
      <c r="F1542" s="233" t="n"/>
      <c r="G1542" s="233" t="n"/>
      <c r="H1542" s="233" t="n"/>
      <c r="I1542" s="232" t="n"/>
      <c r="J1542" s="233" t="n"/>
      <c r="K1542" s="232" t="n"/>
      <c r="L1542" s="232" t="n"/>
      <c r="M1542" s="232" t="n"/>
      <c r="N1542" s="233" t="n"/>
      <c r="O1542" s="232" t="n"/>
      <c r="P1542" s="233" t="n"/>
      <c r="Q1542" s="233" t="n"/>
      <c r="R1542" s="233" t="n"/>
      <c r="S1542" s="232" t="n"/>
      <c r="T1542" s="233" t="n"/>
      <c r="U1542" s="233" t="n"/>
      <c r="V1542" s="233" t="n"/>
      <c r="W1542" s="232" t="n"/>
    </row>
    <row r="1543" ht="54.95" customFormat="1" customHeight="1" s="235">
      <c r="A1543" s="232" t="n"/>
      <c r="B1543" s="232" t="n"/>
      <c r="C1543" s="232" t="n"/>
      <c r="D1543" s="233" t="n"/>
      <c r="E1543" s="232" t="n"/>
      <c r="F1543" s="233" t="n"/>
      <c r="G1543" s="233" t="n"/>
      <c r="H1543" s="233" t="n"/>
      <c r="I1543" s="232" t="n"/>
      <c r="J1543" s="233" t="n"/>
      <c r="K1543" s="232" t="n"/>
      <c r="L1543" s="232" t="n"/>
      <c r="M1543" s="232" t="n"/>
      <c r="N1543" s="233" t="n"/>
      <c r="O1543" s="232" t="n"/>
      <c r="P1543" s="233" t="n"/>
      <c r="Q1543" s="233" t="n"/>
      <c r="R1543" s="233" t="n"/>
      <c r="S1543" s="232" t="n"/>
      <c r="T1543" s="233" t="n"/>
      <c r="U1543" s="233" t="n"/>
      <c r="V1543" s="233" t="n"/>
      <c r="W1543" s="232" t="n"/>
    </row>
    <row r="1544" ht="54.95" customFormat="1" customHeight="1" s="235">
      <c r="A1544" s="232" t="n"/>
      <c r="B1544" s="232" t="n"/>
      <c r="C1544" s="232" t="n"/>
      <c r="D1544" s="233" t="n"/>
      <c r="E1544" s="232" t="n"/>
      <c r="F1544" s="233" t="n"/>
      <c r="G1544" s="233" t="n"/>
      <c r="H1544" s="233" t="n"/>
      <c r="I1544" s="232" t="n"/>
      <c r="J1544" s="233" t="n"/>
      <c r="K1544" s="232" t="n"/>
      <c r="L1544" s="232" t="n"/>
      <c r="M1544" s="232" t="n"/>
      <c r="N1544" s="233" t="n"/>
      <c r="O1544" s="232" t="n"/>
      <c r="P1544" s="233" t="n"/>
      <c r="Q1544" s="233" t="n"/>
      <c r="R1544" s="233" t="n"/>
      <c r="S1544" s="232" t="n"/>
      <c r="T1544" s="233" t="n"/>
      <c r="U1544" s="233" t="n"/>
      <c r="V1544" s="233" t="n"/>
      <c r="W1544" s="232" t="n"/>
    </row>
    <row r="1545" ht="54.95" customFormat="1" customHeight="1" s="235">
      <c r="A1545" s="232" t="n"/>
      <c r="B1545" s="232" t="n"/>
      <c r="C1545" s="232" t="n"/>
      <c r="D1545" s="233" t="n"/>
      <c r="E1545" s="232" t="n"/>
      <c r="F1545" s="233" t="n"/>
      <c r="G1545" s="233" t="n"/>
      <c r="H1545" s="233" t="n"/>
      <c r="I1545" s="232" t="n"/>
      <c r="J1545" s="233" t="n"/>
      <c r="K1545" s="232" t="n"/>
      <c r="L1545" s="232" t="n"/>
      <c r="M1545" s="232" t="n"/>
      <c r="N1545" s="233" t="n"/>
      <c r="O1545" s="232" t="n"/>
      <c r="P1545" s="233" t="n"/>
      <c r="Q1545" s="233" t="n"/>
      <c r="R1545" s="233" t="n"/>
      <c r="S1545" s="232" t="n"/>
      <c r="T1545" s="233" t="n"/>
      <c r="U1545" s="233" t="n"/>
      <c r="V1545" s="233" t="n"/>
      <c r="W1545" s="232" t="n"/>
    </row>
    <row r="1546" ht="54.95" customFormat="1" customHeight="1" s="235">
      <c r="A1546" s="232" t="n"/>
      <c r="B1546" s="232" t="n"/>
      <c r="C1546" s="232" t="n"/>
      <c r="D1546" s="233" t="n"/>
      <c r="E1546" s="232" t="n"/>
      <c r="F1546" s="233" t="n"/>
      <c r="G1546" s="233" t="n"/>
      <c r="H1546" s="233" t="n"/>
      <c r="I1546" s="232" t="n"/>
      <c r="J1546" s="233" t="n"/>
      <c r="K1546" s="232" t="n"/>
      <c r="L1546" s="232" t="n"/>
      <c r="M1546" s="232" t="n"/>
      <c r="N1546" s="233" t="n"/>
      <c r="O1546" s="232" t="n"/>
      <c r="P1546" s="233" t="n"/>
      <c r="Q1546" s="233" t="n"/>
      <c r="R1546" s="233" t="n"/>
      <c r="S1546" s="232" t="n"/>
      <c r="T1546" s="233" t="n"/>
      <c r="U1546" s="233" t="n"/>
      <c r="V1546" s="233" t="n"/>
      <c r="W1546" s="232" t="n"/>
    </row>
    <row r="1547" ht="54.95" customFormat="1" customHeight="1" s="235">
      <c r="A1547" s="234" t="n"/>
      <c r="B1547" s="234" t="n"/>
      <c r="C1547" s="234" t="n"/>
      <c r="D1547" s="234" t="n"/>
      <c r="E1547" s="234" t="n"/>
      <c r="F1547" s="234" t="n"/>
      <c r="G1547" s="234" t="n"/>
      <c r="H1547" s="234" t="n"/>
      <c r="I1547" s="234" t="n"/>
      <c r="J1547" s="234" t="n"/>
      <c r="K1547" s="234" t="n"/>
      <c r="L1547" s="234" t="n"/>
      <c r="M1547" s="232" t="n"/>
      <c r="N1547" s="233" t="n"/>
      <c r="O1547" s="232" t="n"/>
      <c r="P1547" s="234" t="n"/>
      <c r="Q1547" s="234" t="n"/>
      <c r="R1547" s="234" t="n"/>
      <c r="S1547" s="234" t="n"/>
      <c r="T1547" s="234" t="n"/>
      <c r="U1547" s="234" t="n"/>
      <c r="V1547" s="234" t="n"/>
      <c r="W1547" s="234" t="n"/>
    </row>
    <row r="1548" ht="54.95" customFormat="1" customHeight="1" s="235">
      <c r="A1548" s="234" t="n"/>
      <c r="B1548" s="234" t="n"/>
      <c r="C1548" s="234" t="n"/>
      <c r="D1548" s="234" t="n"/>
      <c r="E1548" s="234" t="n"/>
      <c r="F1548" s="234" t="n"/>
      <c r="G1548" s="234" t="n"/>
      <c r="H1548" s="234" t="n"/>
      <c r="I1548" s="234" t="n"/>
      <c r="J1548" s="234" t="n"/>
      <c r="K1548" s="234" t="n"/>
      <c r="L1548" s="234" t="n"/>
      <c r="M1548" s="232" t="n"/>
      <c r="N1548" s="233" t="n"/>
      <c r="O1548" s="232" t="n"/>
      <c r="P1548" s="234" t="n"/>
      <c r="Q1548" s="234" t="n"/>
      <c r="R1548" s="234" t="n"/>
      <c r="S1548" s="234" t="n"/>
      <c r="T1548" s="234" t="n"/>
      <c r="U1548" s="234" t="n"/>
      <c r="V1548" s="234" t="n"/>
      <c r="W1548" s="234" t="n"/>
    </row>
    <row r="1549" ht="54.95" customFormat="1" customHeight="1" s="235">
      <c r="A1549" s="232" t="n"/>
      <c r="B1549" s="232" t="n"/>
      <c r="C1549" s="232" t="n"/>
      <c r="D1549" s="233" t="n"/>
      <c r="E1549" s="232" t="n"/>
      <c r="F1549" s="233" t="n"/>
      <c r="G1549" s="233" t="n"/>
      <c r="H1549" s="233" t="n"/>
      <c r="I1549" s="232" t="n"/>
      <c r="J1549" s="233" t="n"/>
      <c r="K1549" s="232" t="n"/>
      <c r="L1549" s="232" t="n"/>
      <c r="M1549" s="232" t="n"/>
      <c r="N1549" s="233" t="n"/>
      <c r="O1549" s="232" t="n"/>
      <c r="P1549" s="233" t="n"/>
      <c r="Q1549" s="233" t="n"/>
      <c r="R1549" s="233" t="n"/>
      <c r="S1549" s="232" t="n"/>
      <c r="T1549" s="233" t="n"/>
      <c r="U1549" s="233" t="n"/>
      <c r="V1549" s="233" t="n"/>
      <c r="W1549" s="232" t="n"/>
    </row>
    <row r="1550" ht="54.95" customFormat="1" customHeight="1" s="235">
      <c r="A1550" s="234" t="n"/>
      <c r="B1550" s="234" t="n"/>
      <c r="C1550" s="234" t="n"/>
      <c r="D1550" s="234" t="n"/>
      <c r="E1550" s="234" t="n"/>
      <c r="F1550" s="234" t="n"/>
      <c r="G1550" s="234" t="n"/>
      <c r="H1550" s="234" t="n"/>
      <c r="I1550" s="234" t="n"/>
      <c r="J1550" s="234" t="n"/>
      <c r="K1550" s="234" t="n"/>
      <c r="L1550" s="234" t="n"/>
      <c r="M1550" s="232" t="n"/>
      <c r="N1550" s="233" t="n"/>
      <c r="O1550" s="232" t="n"/>
      <c r="P1550" s="234" t="n"/>
      <c r="Q1550" s="234" t="n"/>
      <c r="R1550" s="234" t="n"/>
      <c r="S1550" s="234" t="n"/>
      <c r="T1550" s="234" t="n"/>
      <c r="U1550" s="234" t="n"/>
      <c r="V1550" s="234" t="n"/>
      <c r="W1550" s="234" t="n"/>
    </row>
    <row r="1551" ht="54.95" customFormat="1" customHeight="1" s="235">
      <c r="A1551" s="234" t="n"/>
      <c r="B1551" s="234" t="n"/>
      <c r="C1551" s="234" t="n"/>
      <c r="D1551" s="234" t="n"/>
      <c r="E1551" s="234" t="n"/>
      <c r="F1551" s="234" t="n"/>
      <c r="G1551" s="234" t="n"/>
      <c r="H1551" s="234" t="n"/>
      <c r="I1551" s="234" t="n"/>
      <c r="J1551" s="234" t="n"/>
      <c r="K1551" s="234" t="n"/>
      <c r="L1551" s="234" t="n"/>
      <c r="M1551" s="232" t="n"/>
      <c r="N1551" s="233" t="n"/>
      <c r="O1551" s="232" t="n"/>
      <c r="P1551" s="234" t="n"/>
      <c r="Q1551" s="234" t="n"/>
      <c r="R1551" s="234" t="n"/>
      <c r="S1551" s="234" t="n"/>
      <c r="T1551" s="234" t="n"/>
      <c r="U1551" s="234" t="n"/>
      <c r="V1551" s="234" t="n"/>
      <c r="W1551" s="234" t="n"/>
    </row>
    <row r="1552" ht="54.95" customFormat="1" customHeight="1" s="235">
      <c r="A1552" s="232" t="n"/>
      <c r="B1552" s="232" t="n"/>
      <c r="C1552" s="232" t="n"/>
      <c r="D1552" s="233" t="n"/>
      <c r="E1552" s="232" t="n"/>
      <c r="F1552" s="233" t="n"/>
      <c r="G1552" s="233" t="n"/>
      <c r="H1552" s="233" t="n"/>
      <c r="I1552" s="232" t="n"/>
      <c r="J1552" s="233" t="n"/>
      <c r="K1552" s="232" t="n"/>
      <c r="L1552" s="232" t="n"/>
      <c r="M1552" s="232" t="n"/>
      <c r="N1552" s="233" t="n"/>
      <c r="O1552" s="232" t="n"/>
      <c r="P1552" s="233" t="n"/>
      <c r="Q1552" s="233" t="n"/>
      <c r="R1552" s="233" t="n"/>
      <c r="S1552" s="232" t="n"/>
      <c r="T1552" s="233" t="n"/>
      <c r="U1552" s="233" t="n"/>
      <c r="V1552" s="233" t="n"/>
      <c r="W1552" s="232" t="n"/>
    </row>
    <row r="1553" ht="54.95" customFormat="1" customHeight="1" s="37">
      <c r="A1553" s="232" t="n"/>
      <c r="B1553" s="232" t="n"/>
      <c r="C1553" s="232" t="n"/>
      <c r="D1553" s="233" t="n"/>
      <c r="E1553" s="232" t="n"/>
      <c r="F1553" s="233" t="n"/>
      <c r="G1553" s="233" t="n"/>
      <c r="H1553" s="233" t="n"/>
      <c r="I1553" s="232" t="n"/>
      <c r="J1553" s="233" t="n"/>
      <c r="K1553" s="232" t="n"/>
      <c r="L1553" s="232" t="n"/>
      <c r="M1553" s="232" t="n"/>
      <c r="N1553" s="233" t="n"/>
      <c r="O1553" s="232" t="n"/>
      <c r="P1553" s="233" t="n"/>
      <c r="Q1553" s="233" t="n"/>
      <c r="R1553" s="233" t="n"/>
      <c r="S1553" s="232" t="n"/>
      <c r="T1553" s="233" t="n"/>
      <c r="U1553" s="233" t="n"/>
      <c r="V1553" s="233" t="n"/>
      <c r="W1553" s="232" t="n"/>
    </row>
    <row r="1554" ht="54.95" customFormat="1" customHeight="1" s="37">
      <c r="A1554" s="232" t="n"/>
      <c r="B1554" s="232" t="n"/>
      <c r="C1554" s="232" t="n"/>
      <c r="D1554" s="233" t="n"/>
      <c r="E1554" s="232" t="n"/>
      <c r="F1554" s="233" t="n"/>
      <c r="G1554" s="233" t="n"/>
      <c r="H1554" s="233" t="n"/>
      <c r="I1554" s="232" t="n"/>
      <c r="J1554" s="233" t="n"/>
      <c r="K1554" s="232" t="n"/>
      <c r="L1554" s="232" t="n"/>
      <c r="M1554" s="232" t="n"/>
      <c r="N1554" s="233" t="n"/>
      <c r="O1554" s="232" t="n"/>
      <c r="P1554" s="233" t="n"/>
      <c r="Q1554" s="233" t="n"/>
      <c r="R1554" s="233" t="n"/>
      <c r="S1554" s="232" t="n"/>
      <c r="T1554" s="233" t="n"/>
      <c r="U1554" s="233" t="n"/>
      <c r="V1554" s="233" t="n"/>
      <c r="W1554" s="232" t="n"/>
    </row>
    <row r="1555" ht="54.95" customFormat="1" customHeight="1" s="235">
      <c r="A1555" s="232" t="n"/>
      <c r="B1555" s="232" t="n"/>
      <c r="C1555" s="232" t="n"/>
      <c r="D1555" s="233" t="n"/>
      <c r="E1555" s="232" t="n"/>
      <c r="F1555" s="233" t="n"/>
      <c r="G1555" s="233" t="n"/>
      <c r="H1555" s="233" t="n"/>
      <c r="I1555" s="232" t="n"/>
      <c r="J1555" s="233" t="n"/>
      <c r="K1555" s="232" t="n"/>
      <c r="L1555" s="232" t="n"/>
      <c r="M1555" s="232" t="n"/>
      <c r="N1555" s="233" t="n"/>
      <c r="O1555" s="232" t="n"/>
      <c r="P1555" s="233" t="n"/>
      <c r="Q1555" s="233" t="n"/>
      <c r="R1555" s="233" t="n"/>
      <c r="S1555" s="232" t="n"/>
      <c r="T1555" s="233" t="n"/>
      <c r="U1555" s="233" t="n"/>
      <c r="V1555" s="233" t="n"/>
      <c r="W1555" s="232" t="n"/>
    </row>
    <row r="1556" ht="54.95" customFormat="1" customHeight="1" s="235">
      <c r="A1556" s="232" t="n"/>
      <c r="B1556" s="232" t="n"/>
      <c r="C1556" s="232" t="n"/>
      <c r="D1556" s="233" t="n"/>
      <c r="E1556" s="232" t="n"/>
      <c r="F1556" s="233" t="n"/>
      <c r="G1556" s="233" t="n"/>
      <c r="H1556" s="233" t="n"/>
      <c r="I1556" s="232" t="n"/>
      <c r="J1556" s="233" t="n"/>
      <c r="K1556" s="232" t="n"/>
      <c r="L1556" s="232" t="n"/>
      <c r="M1556" s="232" t="n"/>
      <c r="N1556" s="233" t="n"/>
      <c r="O1556" s="232" t="n"/>
      <c r="P1556" s="233" t="n"/>
      <c r="Q1556" s="233" t="n"/>
      <c r="R1556" s="233" t="n"/>
      <c r="S1556" s="232" t="n"/>
      <c r="T1556" s="233" t="n"/>
      <c r="U1556" s="233" t="n"/>
      <c r="V1556" s="233" t="n"/>
      <c r="W1556" s="232" t="n"/>
    </row>
    <row r="1557" ht="54.95" customFormat="1" customHeight="1" s="235">
      <c r="A1557" s="232" t="n"/>
      <c r="B1557" s="232" t="n"/>
      <c r="C1557" s="232" t="n"/>
      <c r="D1557" s="233" t="n"/>
      <c r="E1557" s="232" t="n"/>
      <c r="F1557" s="233" t="n"/>
      <c r="G1557" s="233" t="n"/>
      <c r="H1557" s="233" t="n"/>
      <c r="I1557" s="232" t="n"/>
      <c r="J1557" s="233" t="n"/>
      <c r="K1557" s="232" t="n"/>
      <c r="L1557" s="232" t="n"/>
      <c r="M1557" s="232" t="n"/>
      <c r="N1557" s="233" t="n"/>
      <c r="O1557" s="232" t="n"/>
      <c r="P1557" s="233" t="n"/>
      <c r="Q1557" s="233" t="n"/>
      <c r="R1557" s="233" t="n"/>
      <c r="S1557" s="232" t="n"/>
      <c r="T1557" s="233" t="n"/>
      <c r="U1557" s="233" t="n"/>
      <c r="V1557" s="233" t="n"/>
      <c r="W1557" s="232" t="n"/>
    </row>
    <row r="1558" ht="54.95" customFormat="1" customHeight="1" s="235">
      <c r="A1558" s="232" t="n"/>
      <c r="B1558" s="232" t="n"/>
      <c r="C1558" s="232" t="n"/>
      <c r="D1558" s="233" t="n"/>
      <c r="E1558" s="232" t="n"/>
      <c r="F1558" s="233" t="n"/>
      <c r="G1558" s="233" t="n"/>
      <c r="H1558" s="233" t="n"/>
      <c r="I1558" s="232" t="n"/>
      <c r="J1558" s="233" t="n"/>
      <c r="K1558" s="232" t="n"/>
      <c r="L1558" s="232" t="n"/>
      <c r="M1558" s="232" t="n"/>
      <c r="N1558" s="233" t="n"/>
      <c r="O1558" s="232" t="n"/>
      <c r="P1558" s="233" t="n"/>
      <c r="Q1558" s="233" t="n"/>
      <c r="R1558" s="233" t="n"/>
      <c r="S1558" s="232" t="n"/>
      <c r="T1558" s="233" t="n"/>
      <c r="U1558" s="233" t="n"/>
      <c r="V1558" s="233" t="n"/>
      <c r="W1558" s="232" t="n"/>
    </row>
    <row r="1559" ht="54.95" customFormat="1" customHeight="1" s="235">
      <c r="A1559" s="232" t="n"/>
      <c r="B1559" s="232" t="n"/>
      <c r="C1559" s="232" t="n"/>
      <c r="D1559" s="233" t="n"/>
      <c r="E1559" s="232" t="n"/>
      <c r="F1559" s="233" t="n"/>
      <c r="G1559" s="233" t="n"/>
      <c r="H1559" s="233" t="n"/>
      <c r="I1559" s="232" t="n"/>
      <c r="J1559" s="233" t="n"/>
      <c r="K1559" s="232" t="n"/>
      <c r="L1559" s="232" t="n"/>
      <c r="M1559" s="232" t="n"/>
      <c r="N1559" s="233" t="n"/>
      <c r="O1559" s="232" t="n"/>
      <c r="P1559" s="233" t="n"/>
      <c r="Q1559" s="233" t="n"/>
      <c r="R1559" s="233" t="n"/>
      <c r="S1559" s="232" t="n"/>
      <c r="T1559" s="233" t="n"/>
      <c r="U1559" s="233" t="n"/>
      <c r="V1559" s="233" t="n"/>
      <c r="W1559" s="232" t="n"/>
    </row>
    <row r="1560" ht="54.95" customFormat="1" customHeight="1" s="235">
      <c r="A1560" s="232" t="n"/>
      <c r="B1560" s="232" t="n"/>
      <c r="C1560" s="232" t="n"/>
      <c r="D1560" s="233" t="n"/>
      <c r="E1560" s="232" t="n"/>
      <c r="F1560" s="233" t="n"/>
      <c r="G1560" s="233" t="n"/>
      <c r="H1560" s="233" t="n"/>
      <c r="I1560" s="232" t="n"/>
      <c r="J1560" s="233" t="n"/>
      <c r="K1560" s="232" t="n"/>
      <c r="L1560" s="232" t="n"/>
      <c r="M1560" s="232" t="n"/>
      <c r="N1560" s="233" t="n"/>
      <c r="O1560" s="232" t="n"/>
      <c r="P1560" s="233" t="n"/>
      <c r="Q1560" s="233" t="n"/>
      <c r="R1560" s="233" t="n"/>
      <c r="S1560" s="232" t="n"/>
      <c r="T1560" s="233" t="n"/>
      <c r="U1560" s="233" t="n"/>
      <c r="V1560" s="233" t="n"/>
      <c r="W1560" s="232" t="n"/>
    </row>
    <row r="1561" ht="54.95" customFormat="1" customHeight="1" s="235">
      <c r="A1561" s="232" t="n"/>
      <c r="B1561" s="232" t="n"/>
      <c r="C1561" s="232" t="n"/>
      <c r="D1561" s="233" t="n"/>
      <c r="E1561" s="232" t="n"/>
      <c r="F1561" s="233" t="n"/>
      <c r="G1561" s="233" t="n"/>
      <c r="H1561" s="233" t="n"/>
      <c r="I1561" s="232" t="n"/>
      <c r="J1561" s="233" t="n"/>
      <c r="K1561" s="232" t="n"/>
      <c r="L1561" s="232" t="n"/>
      <c r="M1561" s="232" t="n"/>
      <c r="N1561" s="233" t="n"/>
      <c r="O1561" s="232" t="n"/>
      <c r="P1561" s="233" t="n"/>
      <c r="Q1561" s="233" t="n"/>
      <c r="R1561" s="233" t="n"/>
      <c r="S1561" s="232" t="n"/>
      <c r="T1561" s="233" t="n"/>
      <c r="U1561" s="233" t="n"/>
      <c r="V1561" s="233" t="n"/>
      <c r="W1561" s="232" t="n"/>
    </row>
    <row r="1562" ht="54.95" customFormat="1" customHeight="1" s="235">
      <c r="A1562" s="234" t="n"/>
      <c r="B1562" s="234" t="n"/>
      <c r="C1562" s="234" t="n"/>
      <c r="D1562" s="234" t="n"/>
      <c r="E1562" s="234" t="n"/>
      <c r="F1562" s="234" t="n"/>
      <c r="G1562" s="234" t="n"/>
      <c r="H1562" s="234" t="n"/>
      <c r="I1562" s="234" t="n"/>
      <c r="J1562" s="234" t="n"/>
      <c r="K1562" s="234" t="n"/>
      <c r="L1562" s="234" t="n"/>
      <c r="M1562" s="232" t="n"/>
      <c r="N1562" s="233" t="n"/>
      <c r="O1562" s="232" t="n"/>
      <c r="P1562" s="234" t="n"/>
      <c r="Q1562" s="234" t="n"/>
      <c r="R1562" s="234" t="n"/>
      <c r="S1562" s="234" t="n"/>
      <c r="T1562" s="234" t="n"/>
      <c r="U1562" s="234" t="n"/>
      <c r="V1562" s="234" t="n"/>
      <c r="W1562" s="234" t="n"/>
    </row>
    <row r="1563" ht="54.95" customFormat="1" customHeight="1" s="235">
      <c r="A1563" s="232" t="n"/>
      <c r="B1563" s="232" t="n"/>
      <c r="C1563" s="232" t="n"/>
      <c r="D1563" s="233" t="n"/>
      <c r="E1563" s="232" t="n"/>
      <c r="F1563" s="233" t="n"/>
      <c r="G1563" s="233" t="n"/>
      <c r="H1563" s="233" t="n"/>
      <c r="I1563" s="232" t="n"/>
      <c r="J1563" s="233" t="n"/>
      <c r="K1563" s="232" t="n"/>
      <c r="L1563" s="232" t="n"/>
      <c r="M1563" s="232" t="n"/>
      <c r="N1563" s="233" t="n"/>
      <c r="O1563" s="232" t="n"/>
      <c r="P1563" s="233" t="n"/>
      <c r="Q1563" s="233" t="n"/>
      <c r="R1563" s="233" t="n"/>
      <c r="S1563" s="232" t="n"/>
      <c r="T1563" s="233" t="n"/>
      <c r="U1563" s="233" t="n"/>
      <c r="V1563" s="233" t="n"/>
      <c r="W1563" s="232" t="n"/>
    </row>
    <row r="1564" ht="54.95" customFormat="1" customHeight="1" s="235">
      <c r="A1564" s="232" t="n"/>
      <c r="B1564" s="232" t="n"/>
      <c r="C1564" s="232" t="n"/>
      <c r="D1564" s="233" t="n"/>
      <c r="E1564" s="232" t="n"/>
      <c r="F1564" s="233" t="n"/>
      <c r="G1564" s="233" t="n"/>
      <c r="H1564" s="233" t="n"/>
      <c r="I1564" s="232" t="n"/>
      <c r="J1564" s="233" t="n"/>
      <c r="K1564" s="232" t="n"/>
      <c r="L1564" s="232" t="n"/>
      <c r="M1564" s="232" t="n"/>
      <c r="N1564" s="233" t="n"/>
      <c r="O1564" s="232" t="n"/>
      <c r="P1564" s="233" t="n"/>
      <c r="Q1564" s="233" t="n"/>
      <c r="R1564" s="233" t="n"/>
      <c r="S1564" s="232" t="n"/>
      <c r="T1564" s="233" t="n"/>
      <c r="U1564" s="233" t="n"/>
      <c r="V1564" s="233" t="n"/>
      <c r="W1564" s="232" t="n"/>
    </row>
    <row r="1565" ht="54.95" customFormat="1" customHeight="1" s="235">
      <c r="A1565" s="232" t="n"/>
      <c r="B1565" s="232" t="n"/>
      <c r="C1565" s="232" t="n"/>
      <c r="D1565" s="233" t="n"/>
      <c r="E1565" s="232" t="n"/>
      <c r="F1565" s="233" t="n"/>
      <c r="G1565" s="233" t="n"/>
      <c r="H1565" s="233" t="n"/>
      <c r="I1565" s="232" t="n"/>
      <c r="J1565" s="233" t="n"/>
      <c r="K1565" s="232" t="n"/>
      <c r="L1565" s="232" t="n"/>
      <c r="M1565" s="232" t="n"/>
      <c r="N1565" s="233" t="n"/>
      <c r="O1565" s="232" t="n"/>
      <c r="P1565" s="233" t="n"/>
      <c r="Q1565" s="233" t="n"/>
      <c r="R1565" s="233" t="n"/>
      <c r="S1565" s="232" t="n"/>
      <c r="T1565" s="233" t="n"/>
      <c r="U1565" s="233" t="n"/>
      <c r="V1565" s="233" t="n"/>
      <c r="W1565" s="232" t="n"/>
    </row>
    <row r="1566" ht="54.95" customFormat="1" customHeight="1" s="235">
      <c r="A1566" s="232" t="n"/>
      <c r="B1566" s="232" t="n"/>
      <c r="C1566" s="232" t="n"/>
      <c r="D1566" s="233" t="n"/>
      <c r="E1566" s="232" t="n"/>
      <c r="F1566" s="233" t="n"/>
      <c r="G1566" s="233" t="n"/>
      <c r="H1566" s="233" t="n"/>
      <c r="I1566" s="232" t="n"/>
      <c r="J1566" s="233" t="n"/>
      <c r="K1566" s="232" t="n"/>
      <c r="L1566" s="232" t="n"/>
      <c r="M1566" s="232" t="n"/>
      <c r="N1566" s="233" t="n"/>
      <c r="O1566" s="232" t="n"/>
      <c r="P1566" s="233" t="n"/>
      <c r="Q1566" s="233" t="n"/>
      <c r="R1566" s="233" t="n"/>
      <c r="S1566" s="232" t="n"/>
      <c r="T1566" s="233" t="n"/>
      <c r="U1566" s="233" t="n"/>
      <c r="V1566" s="233" t="n"/>
      <c r="W1566" s="232" t="n"/>
    </row>
    <row r="1567" ht="54.95" customFormat="1" customHeight="1" s="235">
      <c r="A1567" s="232" t="n"/>
      <c r="B1567" s="232" t="n"/>
      <c r="C1567" s="232" t="n"/>
      <c r="D1567" s="233" t="n"/>
      <c r="E1567" s="232" t="n"/>
      <c r="F1567" s="233" t="n"/>
      <c r="G1567" s="233" t="n"/>
      <c r="H1567" s="233" t="n"/>
      <c r="I1567" s="232" t="n"/>
      <c r="J1567" s="233" t="n"/>
      <c r="K1567" s="232" t="n"/>
      <c r="L1567" s="232" t="n"/>
      <c r="M1567" s="232" t="n"/>
      <c r="N1567" s="233" t="n"/>
      <c r="O1567" s="232" t="n"/>
      <c r="P1567" s="233" t="n"/>
      <c r="Q1567" s="233" t="n"/>
      <c r="R1567" s="233" t="n"/>
      <c r="S1567" s="232" t="n"/>
      <c r="T1567" s="233" t="n"/>
      <c r="U1567" s="233" t="n"/>
      <c r="V1567" s="233" t="n"/>
      <c r="W1567" s="232" t="n"/>
    </row>
    <row r="1568" ht="54.95" customFormat="1" customHeight="1" s="235">
      <c r="A1568" s="232" t="n"/>
      <c r="B1568" s="232" t="n"/>
      <c r="C1568" s="232" t="n"/>
      <c r="D1568" s="233" t="n"/>
      <c r="E1568" s="232" t="n"/>
      <c r="F1568" s="233" t="n"/>
      <c r="G1568" s="233" t="n"/>
      <c r="H1568" s="233" t="n"/>
      <c r="I1568" s="232" t="n"/>
      <c r="J1568" s="233" t="n"/>
      <c r="K1568" s="232" t="n"/>
      <c r="L1568" s="232" t="n"/>
      <c r="M1568" s="232" t="n"/>
      <c r="N1568" s="233" t="n"/>
      <c r="O1568" s="232" t="n"/>
      <c r="P1568" s="233" t="n"/>
      <c r="Q1568" s="233" t="n"/>
      <c r="R1568" s="233" t="n"/>
      <c r="S1568" s="232" t="n"/>
      <c r="T1568" s="233" t="n"/>
      <c r="U1568" s="233" t="n"/>
      <c r="V1568" s="233" t="n"/>
      <c r="W1568" s="232" t="n"/>
    </row>
    <row r="1569" ht="54.95" customFormat="1" customHeight="1" s="235">
      <c r="A1569" s="232" t="n"/>
      <c r="B1569" s="232" t="n"/>
      <c r="C1569" s="232" t="n"/>
      <c r="D1569" s="233" t="n"/>
      <c r="E1569" s="232" t="n"/>
      <c r="F1569" s="233" t="n"/>
      <c r="G1569" s="233" t="n"/>
      <c r="H1569" s="233" t="n"/>
      <c r="I1569" s="232" t="n"/>
      <c r="J1569" s="233" t="n"/>
      <c r="K1569" s="232" t="n"/>
      <c r="L1569" s="232" t="n"/>
      <c r="M1569" s="232" t="n"/>
      <c r="N1569" s="233" t="n"/>
      <c r="O1569" s="232" t="n"/>
      <c r="P1569" s="233" t="n"/>
      <c r="Q1569" s="233" t="n"/>
      <c r="R1569" s="233" t="n"/>
      <c r="S1569" s="232" t="n"/>
      <c r="T1569" s="233" t="n"/>
      <c r="U1569" s="233" t="n"/>
      <c r="V1569" s="233" t="n"/>
      <c r="W1569" s="232" t="n"/>
    </row>
    <row r="1570" ht="54.95" customFormat="1" customHeight="1" s="235">
      <c r="A1570" s="234" t="n"/>
      <c r="B1570" s="234" t="n"/>
      <c r="C1570" s="234" t="n"/>
      <c r="D1570" s="234" t="n"/>
      <c r="E1570" s="234" t="n"/>
      <c r="F1570" s="234" t="n"/>
      <c r="G1570" s="234" t="n"/>
      <c r="H1570" s="234" t="n"/>
      <c r="I1570" s="234" t="n"/>
      <c r="J1570" s="234" t="n"/>
      <c r="K1570" s="234" t="n"/>
      <c r="L1570" s="234" t="n"/>
      <c r="M1570" s="232" t="n"/>
      <c r="N1570" s="233" t="n"/>
      <c r="O1570" s="232" t="n"/>
      <c r="P1570" s="234" t="n"/>
      <c r="Q1570" s="234" t="n"/>
      <c r="R1570" s="234" t="n"/>
      <c r="S1570" s="234" t="n"/>
      <c r="T1570" s="234" t="n"/>
      <c r="U1570" s="234" t="n"/>
      <c r="V1570" s="234" t="n"/>
      <c r="W1570" s="234" t="n"/>
    </row>
    <row r="1571" ht="54.95" customFormat="1" customHeight="1" s="235">
      <c r="A1571" s="232" t="n"/>
      <c r="B1571" s="232" t="n"/>
      <c r="C1571" s="232" t="n"/>
      <c r="D1571" s="233" t="n"/>
      <c r="E1571" s="232" t="n"/>
      <c r="F1571" s="233" t="n"/>
      <c r="G1571" s="233" t="n"/>
      <c r="H1571" s="233" t="n"/>
      <c r="I1571" s="232" t="n"/>
      <c r="J1571" s="233" t="n"/>
      <c r="K1571" s="232" t="n"/>
      <c r="L1571" s="232" t="n"/>
      <c r="M1571" s="232" t="n"/>
      <c r="N1571" s="233" t="n"/>
      <c r="O1571" s="232" t="n"/>
      <c r="P1571" s="233" t="n"/>
      <c r="Q1571" s="233" t="n"/>
      <c r="R1571" s="233" t="n"/>
      <c r="S1571" s="232" t="n"/>
      <c r="T1571" s="233" t="n"/>
      <c r="U1571" s="233" t="n"/>
      <c r="V1571" s="233" t="n"/>
      <c r="W1571" s="232" t="n"/>
    </row>
    <row r="1572" ht="54.95" customFormat="1" customHeight="1" s="235">
      <c r="A1572" s="232" t="n"/>
      <c r="B1572" s="232" t="n"/>
      <c r="C1572" s="232" t="n"/>
      <c r="D1572" s="233" t="n"/>
      <c r="E1572" s="232" t="n"/>
      <c r="F1572" s="233" t="n"/>
      <c r="G1572" s="233" t="n"/>
      <c r="H1572" s="233" t="n"/>
      <c r="I1572" s="232" t="n"/>
      <c r="J1572" s="233" t="n"/>
      <c r="K1572" s="232" t="n"/>
      <c r="L1572" s="232" t="n"/>
      <c r="M1572" s="232" t="n"/>
      <c r="N1572" s="233" t="n"/>
      <c r="O1572" s="232" t="n"/>
      <c r="P1572" s="233" t="n"/>
      <c r="Q1572" s="233" t="n"/>
      <c r="R1572" s="233" t="n"/>
      <c r="S1572" s="232" t="n"/>
      <c r="T1572" s="233" t="n"/>
      <c r="U1572" s="233" t="n"/>
      <c r="V1572" s="233" t="n"/>
      <c r="W1572" s="232" t="n"/>
    </row>
    <row r="1573" ht="54.95" customFormat="1" customHeight="1" s="235">
      <c r="A1573" s="234" t="n"/>
      <c r="B1573" s="234" t="n"/>
      <c r="C1573" s="234" t="n"/>
      <c r="D1573" s="234" t="n"/>
      <c r="E1573" s="234" t="n"/>
      <c r="F1573" s="234" t="n"/>
      <c r="G1573" s="234" t="n"/>
      <c r="H1573" s="234" t="n"/>
      <c r="I1573" s="234" t="n"/>
      <c r="J1573" s="234" t="n"/>
      <c r="K1573" s="234" t="n"/>
      <c r="L1573" s="234" t="n"/>
      <c r="M1573" s="232" t="n"/>
      <c r="N1573" s="233" t="n"/>
      <c r="O1573" s="232" t="n"/>
      <c r="P1573" s="234" t="n"/>
      <c r="Q1573" s="234" t="n"/>
      <c r="R1573" s="234" t="n"/>
      <c r="S1573" s="234" t="n"/>
      <c r="T1573" s="234" t="n"/>
      <c r="U1573" s="234" t="n"/>
      <c r="V1573" s="234" t="n"/>
      <c r="W1573" s="234" t="n"/>
    </row>
    <row r="1574" ht="54.95" customFormat="1" customHeight="1" s="235">
      <c r="A1574" s="234" t="n"/>
      <c r="B1574" s="234" t="n"/>
      <c r="C1574" s="234" t="n"/>
      <c r="D1574" s="234" t="n"/>
      <c r="E1574" s="234" t="n"/>
      <c r="F1574" s="234" t="n"/>
      <c r="G1574" s="234" t="n"/>
      <c r="H1574" s="234" t="n"/>
      <c r="I1574" s="234" t="n"/>
      <c r="J1574" s="234" t="n"/>
      <c r="K1574" s="234" t="n"/>
      <c r="L1574" s="234" t="n"/>
      <c r="M1574" s="232" t="n"/>
      <c r="N1574" s="233" t="n"/>
      <c r="O1574" s="232" t="n"/>
      <c r="P1574" s="234" t="n"/>
      <c r="Q1574" s="234" t="n"/>
      <c r="R1574" s="234" t="n"/>
      <c r="S1574" s="234" t="n"/>
      <c r="T1574" s="234" t="n"/>
      <c r="U1574" s="234" t="n"/>
      <c r="V1574" s="234" t="n"/>
      <c r="W1574" s="234" t="n"/>
    </row>
    <row r="1575" ht="54.95" customFormat="1" customHeight="1" s="235">
      <c r="A1575" s="234" t="n"/>
      <c r="B1575" s="234" t="n"/>
      <c r="C1575" s="234" t="n"/>
      <c r="D1575" s="234" t="n"/>
      <c r="E1575" s="234" t="n"/>
      <c r="F1575" s="234" t="n"/>
      <c r="G1575" s="234" t="n"/>
      <c r="H1575" s="234" t="n"/>
      <c r="I1575" s="234" t="n"/>
      <c r="J1575" s="234" t="n"/>
      <c r="K1575" s="234" t="n"/>
      <c r="L1575" s="234" t="n"/>
      <c r="M1575" s="232" t="n"/>
      <c r="N1575" s="233" t="n"/>
      <c r="O1575" s="232" t="n"/>
      <c r="P1575" s="234" t="n"/>
      <c r="Q1575" s="234" t="n"/>
      <c r="R1575" s="234" t="n"/>
      <c r="S1575" s="234" t="n"/>
      <c r="T1575" s="234" t="n"/>
      <c r="U1575" s="234" t="n"/>
      <c r="V1575" s="234" t="n"/>
      <c r="W1575" s="234" t="n"/>
    </row>
    <row r="1576" ht="54.95" customFormat="1" customHeight="1" s="235">
      <c r="A1576" s="234" t="n"/>
      <c r="B1576" s="234" t="n"/>
      <c r="C1576" s="234" t="n"/>
      <c r="D1576" s="234" t="n"/>
      <c r="E1576" s="234" t="n"/>
      <c r="F1576" s="234" t="n"/>
      <c r="G1576" s="234" t="n"/>
      <c r="H1576" s="234" t="n"/>
      <c r="I1576" s="234" t="n"/>
      <c r="J1576" s="234" t="n"/>
      <c r="K1576" s="234" t="n"/>
      <c r="L1576" s="234" t="n"/>
      <c r="M1576" s="232" t="n"/>
      <c r="N1576" s="233" t="n"/>
      <c r="O1576" s="232" t="n"/>
      <c r="P1576" s="234" t="n"/>
      <c r="Q1576" s="234" t="n"/>
      <c r="R1576" s="234" t="n"/>
      <c r="S1576" s="234" t="n"/>
      <c r="T1576" s="234" t="n"/>
      <c r="U1576" s="234" t="n"/>
      <c r="V1576" s="234" t="n"/>
      <c r="W1576" s="234" t="n"/>
    </row>
    <row r="1577" ht="54.95" customFormat="1" customHeight="1" s="235">
      <c r="A1577" s="234" t="n"/>
      <c r="B1577" s="234" t="n"/>
      <c r="C1577" s="234" t="n"/>
      <c r="D1577" s="234" t="n"/>
      <c r="E1577" s="234" t="n"/>
      <c r="F1577" s="234" t="n"/>
      <c r="G1577" s="234" t="n"/>
      <c r="H1577" s="234" t="n"/>
      <c r="I1577" s="234" t="n"/>
      <c r="J1577" s="234" t="n"/>
      <c r="K1577" s="234" t="n"/>
      <c r="L1577" s="234" t="n"/>
      <c r="M1577" s="232" t="n"/>
      <c r="N1577" s="233" t="n"/>
      <c r="O1577" s="232" t="n"/>
      <c r="P1577" s="234" t="n"/>
      <c r="Q1577" s="234" t="n"/>
      <c r="R1577" s="234" t="n"/>
      <c r="S1577" s="234" t="n"/>
      <c r="T1577" s="234" t="n"/>
      <c r="U1577" s="234" t="n"/>
      <c r="V1577" s="234" t="n"/>
      <c r="W1577" s="234" t="n"/>
    </row>
    <row r="1578" ht="54.95" customFormat="1" customHeight="1" s="235">
      <c r="A1578" s="234" t="n"/>
      <c r="B1578" s="234" t="n"/>
      <c r="C1578" s="234" t="n"/>
      <c r="D1578" s="234" t="n"/>
      <c r="E1578" s="234" t="n"/>
      <c r="F1578" s="234" t="n"/>
      <c r="G1578" s="234" t="n"/>
      <c r="H1578" s="234" t="n"/>
      <c r="I1578" s="234" t="n"/>
      <c r="J1578" s="234" t="n"/>
      <c r="K1578" s="234" t="n"/>
      <c r="L1578" s="234" t="n"/>
      <c r="M1578" s="232" t="n"/>
      <c r="N1578" s="233" t="n"/>
      <c r="O1578" s="232" t="n"/>
      <c r="P1578" s="234" t="n"/>
      <c r="Q1578" s="234" t="n"/>
      <c r="R1578" s="234" t="n"/>
      <c r="S1578" s="234" t="n"/>
      <c r="T1578" s="234" t="n"/>
      <c r="U1578" s="234" t="n"/>
      <c r="V1578" s="234" t="n"/>
      <c r="W1578" s="234" t="n"/>
    </row>
    <row r="1579" ht="54.95" customFormat="1" customHeight="1" s="235">
      <c r="A1579" s="232" t="n"/>
      <c r="B1579" s="232" t="n"/>
      <c r="C1579" s="232" t="n"/>
      <c r="D1579" s="233" t="n"/>
      <c r="E1579" s="232" t="n"/>
      <c r="F1579" s="233" t="n"/>
      <c r="G1579" s="233" t="n"/>
      <c r="H1579" s="233" t="n"/>
      <c r="I1579" s="232" t="n"/>
      <c r="J1579" s="233" t="n"/>
      <c r="K1579" s="232" t="n"/>
      <c r="L1579" s="232" t="n"/>
      <c r="M1579" s="232" t="n"/>
      <c r="N1579" s="233" t="n"/>
      <c r="O1579" s="232" t="n"/>
      <c r="P1579" s="233" t="n"/>
      <c r="Q1579" s="233" t="n"/>
      <c r="R1579" s="233" t="n"/>
      <c r="S1579" s="232" t="n"/>
      <c r="T1579" s="233" t="n"/>
      <c r="U1579" s="233" t="n"/>
      <c r="V1579" s="233" t="n"/>
      <c r="W1579" s="232" t="n"/>
    </row>
    <row r="1580" ht="54.95" customFormat="1" customHeight="1" s="235">
      <c r="A1580" s="234" t="n"/>
      <c r="B1580" s="234" t="n"/>
      <c r="C1580" s="234" t="n"/>
      <c r="D1580" s="234" t="n"/>
      <c r="E1580" s="234" t="n"/>
      <c r="F1580" s="234" t="n"/>
      <c r="G1580" s="234" t="n"/>
      <c r="H1580" s="234" t="n"/>
      <c r="I1580" s="234" t="n"/>
      <c r="J1580" s="234" t="n"/>
      <c r="K1580" s="234" t="n"/>
      <c r="L1580" s="234" t="n"/>
      <c r="M1580" s="232" t="n"/>
      <c r="N1580" s="233" t="n"/>
      <c r="O1580" s="232" t="n"/>
      <c r="P1580" s="234" t="n"/>
      <c r="Q1580" s="234" t="n"/>
      <c r="R1580" s="234" t="n"/>
      <c r="S1580" s="234" t="n"/>
      <c r="T1580" s="234" t="n"/>
      <c r="U1580" s="234" t="n"/>
      <c r="V1580" s="234" t="n"/>
      <c r="W1580" s="234" t="n"/>
    </row>
    <row r="1581" ht="54.95" customFormat="1" customHeight="1" s="235">
      <c r="A1581" s="234" t="n"/>
      <c r="B1581" s="234" t="n"/>
      <c r="C1581" s="234" t="n"/>
      <c r="D1581" s="234" t="n"/>
      <c r="E1581" s="234" t="n"/>
      <c r="F1581" s="234" t="n"/>
      <c r="G1581" s="234" t="n"/>
      <c r="H1581" s="234" t="n"/>
      <c r="I1581" s="234" t="n"/>
      <c r="J1581" s="234" t="n"/>
      <c r="K1581" s="234" t="n"/>
      <c r="L1581" s="234" t="n"/>
      <c r="M1581" s="232" t="n"/>
      <c r="N1581" s="233" t="n"/>
      <c r="O1581" s="232" t="n"/>
      <c r="P1581" s="234" t="n"/>
      <c r="Q1581" s="234" t="n"/>
      <c r="R1581" s="234" t="n"/>
      <c r="S1581" s="234" t="n"/>
      <c r="T1581" s="234" t="n"/>
      <c r="U1581" s="234" t="n"/>
      <c r="V1581" s="234" t="n"/>
      <c r="W1581" s="234" t="n"/>
    </row>
    <row r="1582" ht="54.95" customFormat="1" customHeight="1" s="235">
      <c r="A1582" s="234" t="n"/>
      <c r="B1582" s="234" t="n"/>
      <c r="C1582" s="234" t="n"/>
      <c r="D1582" s="234" t="n"/>
      <c r="E1582" s="234" t="n"/>
      <c r="F1582" s="234" t="n"/>
      <c r="G1582" s="234" t="n"/>
      <c r="H1582" s="234" t="n"/>
      <c r="I1582" s="234" t="n"/>
      <c r="J1582" s="234" t="n"/>
      <c r="K1582" s="234" t="n"/>
      <c r="L1582" s="234" t="n"/>
      <c r="M1582" s="232" t="n"/>
      <c r="N1582" s="233" t="n"/>
      <c r="O1582" s="232" t="n"/>
      <c r="P1582" s="234" t="n"/>
      <c r="Q1582" s="234" t="n"/>
      <c r="R1582" s="234" t="n"/>
      <c r="S1582" s="234" t="n"/>
      <c r="T1582" s="234" t="n"/>
      <c r="U1582" s="234" t="n"/>
      <c r="V1582" s="234" t="n"/>
      <c r="W1582" s="234" t="n"/>
    </row>
    <row r="1583" ht="54.95" customFormat="1" customHeight="1" s="235">
      <c r="A1583" s="234" t="n"/>
      <c r="B1583" s="234" t="n"/>
      <c r="C1583" s="234" t="n"/>
      <c r="D1583" s="234" t="n"/>
      <c r="E1583" s="234" t="n"/>
      <c r="F1583" s="234" t="n"/>
      <c r="G1583" s="234" t="n"/>
      <c r="H1583" s="234" t="n"/>
      <c r="I1583" s="234" t="n"/>
      <c r="J1583" s="234" t="n"/>
      <c r="K1583" s="234" t="n"/>
      <c r="L1583" s="234" t="n"/>
      <c r="M1583" s="232" t="n"/>
      <c r="N1583" s="233" t="n"/>
      <c r="O1583" s="232" t="n"/>
      <c r="P1583" s="234" t="n"/>
      <c r="Q1583" s="234" t="n"/>
      <c r="R1583" s="234" t="n"/>
      <c r="S1583" s="234" t="n"/>
      <c r="T1583" s="234" t="n"/>
      <c r="U1583" s="234" t="n"/>
      <c r="V1583" s="234" t="n"/>
      <c r="W1583" s="234" t="n"/>
    </row>
    <row r="1584" ht="54.95" customFormat="1" customHeight="1" s="235">
      <c r="A1584" s="234" t="n"/>
      <c r="B1584" s="234" t="n"/>
      <c r="C1584" s="234" t="n"/>
      <c r="D1584" s="234" t="n"/>
      <c r="E1584" s="234" t="n"/>
      <c r="F1584" s="234" t="n"/>
      <c r="G1584" s="234" t="n"/>
      <c r="H1584" s="234" t="n"/>
      <c r="I1584" s="234" t="n"/>
      <c r="J1584" s="234" t="n"/>
      <c r="K1584" s="234" t="n"/>
      <c r="L1584" s="234" t="n"/>
      <c r="M1584" s="232" t="n"/>
      <c r="N1584" s="233" t="n"/>
      <c r="O1584" s="232" t="n"/>
      <c r="P1584" s="234" t="n"/>
      <c r="Q1584" s="234" t="n"/>
      <c r="R1584" s="234" t="n"/>
      <c r="S1584" s="234" t="n"/>
      <c r="T1584" s="234" t="n"/>
      <c r="U1584" s="234" t="n"/>
      <c r="V1584" s="234" t="n"/>
      <c r="W1584" s="234" t="n"/>
    </row>
    <row r="1585" ht="54.95" customFormat="1" customHeight="1" s="235">
      <c r="A1585" s="234" t="n"/>
      <c r="B1585" s="234" t="n"/>
      <c r="C1585" s="234" t="n"/>
      <c r="D1585" s="234" t="n"/>
      <c r="E1585" s="234" t="n"/>
      <c r="F1585" s="234" t="n"/>
      <c r="G1585" s="234" t="n"/>
      <c r="H1585" s="234" t="n"/>
      <c r="I1585" s="234" t="n"/>
      <c r="J1585" s="234" t="n"/>
      <c r="K1585" s="234" t="n"/>
      <c r="L1585" s="234" t="n"/>
      <c r="M1585" s="232" t="n"/>
      <c r="N1585" s="233" t="n"/>
      <c r="O1585" s="232" t="n"/>
      <c r="P1585" s="234" t="n"/>
      <c r="Q1585" s="234" t="n"/>
      <c r="R1585" s="234" t="n"/>
      <c r="S1585" s="234" t="n"/>
      <c r="T1585" s="234" t="n"/>
      <c r="U1585" s="234" t="n"/>
      <c r="V1585" s="234" t="n"/>
      <c r="W1585" s="234" t="n"/>
    </row>
    <row r="1586" ht="54.95" customFormat="1" customHeight="1" s="235">
      <c r="A1586" s="234" t="n"/>
      <c r="B1586" s="234" t="n"/>
      <c r="C1586" s="234" t="n"/>
      <c r="D1586" s="234" t="n"/>
      <c r="E1586" s="234" t="n"/>
      <c r="F1586" s="234" t="n"/>
      <c r="G1586" s="234" t="n"/>
      <c r="H1586" s="234" t="n"/>
      <c r="I1586" s="234" t="n"/>
      <c r="J1586" s="234" t="n"/>
      <c r="K1586" s="234" t="n"/>
      <c r="L1586" s="234" t="n"/>
      <c r="M1586" s="232" t="n"/>
      <c r="N1586" s="233" t="n"/>
      <c r="O1586" s="232" t="n"/>
      <c r="P1586" s="234" t="n"/>
      <c r="Q1586" s="234" t="n"/>
      <c r="R1586" s="234" t="n"/>
      <c r="S1586" s="234" t="n"/>
      <c r="T1586" s="234" t="n"/>
      <c r="U1586" s="234" t="n"/>
      <c r="V1586" s="234" t="n"/>
      <c r="W1586" s="234" t="n"/>
    </row>
    <row r="1587" ht="54.95" customFormat="1" customHeight="1" s="235">
      <c r="A1587" s="234" t="n"/>
      <c r="B1587" s="234" t="n"/>
      <c r="C1587" s="234" t="n"/>
      <c r="D1587" s="234" t="n"/>
      <c r="E1587" s="234" t="n"/>
      <c r="F1587" s="234" t="n"/>
      <c r="G1587" s="234" t="n"/>
      <c r="H1587" s="234" t="n"/>
      <c r="I1587" s="234" t="n"/>
      <c r="J1587" s="234" t="n"/>
      <c r="K1587" s="234" t="n"/>
      <c r="L1587" s="234" t="n"/>
      <c r="M1587" s="232" t="n"/>
      <c r="N1587" s="233" t="n"/>
      <c r="O1587" s="232" t="n"/>
      <c r="P1587" s="234" t="n"/>
      <c r="Q1587" s="234" t="n"/>
      <c r="R1587" s="234" t="n"/>
      <c r="S1587" s="234" t="n"/>
      <c r="T1587" s="234" t="n"/>
      <c r="U1587" s="234" t="n"/>
      <c r="V1587" s="234" t="n"/>
      <c r="W1587" s="234" t="n"/>
    </row>
    <row r="1588" ht="54.95" customFormat="1" customHeight="1" s="235">
      <c r="A1588" s="234" t="n"/>
      <c r="B1588" s="234" t="n"/>
      <c r="C1588" s="234" t="n"/>
      <c r="D1588" s="234" t="n"/>
      <c r="E1588" s="234" t="n"/>
      <c r="F1588" s="234" t="n"/>
      <c r="G1588" s="234" t="n"/>
      <c r="H1588" s="234" t="n"/>
      <c r="I1588" s="234" t="n"/>
      <c r="J1588" s="234" t="n"/>
      <c r="K1588" s="234" t="n"/>
      <c r="L1588" s="234" t="n"/>
      <c r="M1588" s="232" t="n"/>
      <c r="N1588" s="233" t="n"/>
      <c r="O1588" s="232" t="n"/>
      <c r="P1588" s="234" t="n"/>
      <c r="Q1588" s="234" t="n"/>
      <c r="R1588" s="234" t="n"/>
      <c r="S1588" s="234" t="n"/>
      <c r="T1588" s="234" t="n"/>
      <c r="U1588" s="234" t="n"/>
      <c r="V1588" s="234" t="n"/>
      <c r="W1588" s="234" t="n"/>
    </row>
    <row r="1589" ht="54.95" customFormat="1" customHeight="1" s="235">
      <c r="A1589" s="234" t="n"/>
      <c r="B1589" s="234" t="n"/>
      <c r="C1589" s="234" t="n"/>
      <c r="D1589" s="234" t="n"/>
      <c r="E1589" s="234" t="n"/>
      <c r="F1589" s="234" t="n"/>
      <c r="G1589" s="234" t="n"/>
      <c r="H1589" s="234" t="n"/>
      <c r="I1589" s="234" t="n"/>
      <c r="J1589" s="234" t="n"/>
      <c r="K1589" s="234" t="n"/>
      <c r="L1589" s="234" t="n"/>
      <c r="M1589" s="232" t="n"/>
      <c r="N1589" s="233" t="n"/>
      <c r="O1589" s="232" t="n"/>
      <c r="P1589" s="234" t="n"/>
      <c r="Q1589" s="234" t="n"/>
      <c r="R1589" s="234" t="n"/>
      <c r="S1589" s="234" t="n"/>
      <c r="T1589" s="234" t="n"/>
      <c r="U1589" s="234" t="n"/>
      <c r="V1589" s="234" t="n"/>
      <c r="W1589" s="234" t="n"/>
    </row>
    <row r="1590" ht="54.95" customFormat="1" customHeight="1" s="235">
      <c r="A1590" s="234" t="n"/>
      <c r="B1590" s="234" t="n"/>
      <c r="C1590" s="234" t="n"/>
      <c r="D1590" s="234" t="n"/>
      <c r="E1590" s="234" t="n"/>
      <c r="F1590" s="234" t="n"/>
      <c r="G1590" s="234" t="n"/>
      <c r="H1590" s="234" t="n"/>
      <c r="I1590" s="234" t="n"/>
      <c r="J1590" s="234" t="n"/>
      <c r="K1590" s="234" t="n"/>
      <c r="L1590" s="234" t="n"/>
      <c r="M1590" s="232" t="n"/>
      <c r="N1590" s="233" t="n"/>
      <c r="O1590" s="232" t="n"/>
      <c r="P1590" s="234" t="n"/>
      <c r="Q1590" s="234" t="n"/>
      <c r="R1590" s="234" t="n"/>
      <c r="S1590" s="234" t="n"/>
      <c r="T1590" s="234" t="n"/>
      <c r="U1590" s="234" t="n"/>
      <c r="V1590" s="234" t="n"/>
      <c r="W1590" s="234" t="n"/>
    </row>
    <row r="1591" ht="54.95" customFormat="1" customHeight="1" s="235">
      <c r="A1591" s="234" t="n"/>
      <c r="B1591" s="234" t="n"/>
      <c r="C1591" s="234" t="n"/>
      <c r="D1591" s="234" t="n"/>
      <c r="E1591" s="234" t="n"/>
      <c r="F1591" s="234" t="n"/>
      <c r="G1591" s="234" t="n"/>
      <c r="H1591" s="234" t="n"/>
      <c r="I1591" s="234" t="n"/>
      <c r="J1591" s="234" t="n"/>
      <c r="K1591" s="234" t="n"/>
      <c r="L1591" s="234" t="n"/>
      <c r="M1591" s="232" t="n"/>
      <c r="N1591" s="233" t="n"/>
      <c r="O1591" s="232" t="n"/>
      <c r="P1591" s="234" t="n"/>
      <c r="Q1591" s="234" t="n"/>
      <c r="R1591" s="234" t="n"/>
      <c r="S1591" s="234" t="n"/>
      <c r="T1591" s="234" t="n"/>
      <c r="U1591" s="234" t="n"/>
      <c r="V1591" s="234" t="n"/>
      <c r="W1591" s="234" t="n"/>
    </row>
    <row r="1592" ht="54.95" customFormat="1" customHeight="1" s="235">
      <c r="A1592" s="234" t="n"/>
      <c r="B1592" s="234" t="n"/>
      <c r="C1592" s="234" t="n"/>
      <c r="D1592" s="234" t="n"/>
      <c r="E1592" s="234" t="n"/>
      <c r="F1592" s="234" t="n"/>
      <c r="G1592" s="234" t="n"/>
      <c r="H1592" s="234" t="n"/>
      <c r="I1592" s="234" t="n"/>
      <c r="J1592" s="234" t="n"/>
      <c r="K1592" s="234" t="n"/>
      <c r="L1592" s="234" t="n"/>
      <c r="M1592" s="232" t="n"/>
      <c r="N1592" s="233" t="n"/>
      <c r="O1592" s="232" t="n"/>
      <c r="P1592" s="234" t="n"/>
      <c r="Q1592" s="234" t="n"/>
      <c r="R1592" s="234" t="n"/>
      <c r="S1592" s="234" t="n"/>
      <c r="T1592" s="234" t="n"/>
      <c r="U1592" s="234" t="n"/>
      <c r="V1592" s="234" t="n"/>
      <c r="W1592" s="234" t="n"/>
    </row>
    <row r="1593" ht="54.95" customFormat="1" customHeight="1" s="235">
      <c r="A1593" s="232" t="n"/>
      <c r="B1593" s="232" t="n"/>
      <c r="C1593" s="232" t="n"/>
      <c r="D1593" s="233" t="n"/>
      <c r="E1593" s="232" t="n"/>
      <c r="F1593" s="233" t="n"/>
      <c r="G1593" s="233" t="n"/>
      <c r="H1593" s="233" t="n"/>
      <c r="I1593" s="232" t="n"/>
      <c r="J1593" s="233" t="n"/>
      <c r="K1593" s="232" t="n"/>
      <c r="L1593" s="232" t="n"/>
      <c r="M1593" s="232" t="n"/>
      <c r="N1593" s="233" t="n"/>
      <c r="O1593" s="232" t="n"/>
      <c r="P1593" s="233" t="n"/>
      <c r="Q1593" s="233" t="n"/>
      <c r="R1593" s="233" t="n"/>
      <c r="S1593" s="232" t="n"/>
      <c r="T1593" s="233" t="n"/>
      <c r="U1593" s="233" t="n"/>
      <c r="V1593" s="233" t="n"/>
      <c r="W1593" s="232" t="n"/>
    </row>
    <row r="1594" ht="54.95" customFormat="1" customHeight="1" s="235">
      <c r="A1594" s="234" t="n"/>
      <c r="B1594" s="234" t="n"/>
      <c r="C1594" s="234" t="n"/>
      <c r="D1594" s="234" t="n"/>
      <c r="E1594" s="234" t="n"/>
      <c r="F1594" s="234" t="n"/>
      <c r="G1594" s="234" t="n"/>
      <c r="H1594" s="234" t="n"/>
      <c r="I1594" s="234" t="n"/>
      <c r="J1594" s="234" t="n"/>
      <c r="K1594" s="234" t="n"/>
      <c r="L1594" s="234" t="n"/>
      <c r="M1594" s="232" t="n"/>
      <c r="N1594" s="233" t="n"/>
      <c r="O1594" s="232" t="n"/>
      <c r="P1594" s="234" t="n"/>
      <c r="Q1594" s="234" t="n"/>
      <c r="R1594" s="234" t="n"/>
      <c r="S1594" s="234" t="n"/>
      <c r="T1594" s="234" t="n"/>
      <c r="U1594" s="234" t="n"/>
      <c r="V1594" s="234" t="n"/>
      <c r="W1594" s="234" t="n"/>
    </row>
    <row r="1595" ht="54.95" customFormat="1" customHeight="1" s="235">
      <c r="A1595" s="234" t="n"/>
      <c r="B1595" s="234" t="n"/>
      <c r="C1595" s="234" t="n"/>
      <c r="D1595" s="234" t="n"/>
      <c r="E1595" s="234" t="n"/>
      <c r="F1595" s="234" t="n"/>
      <c r="G1595" s="234" t="n"/>
      <c r="H1595" s="234" t="n"/>
      <c r="I1595" s="234" t="n"/>
      <c r="J1595" s="234" t="n"/>
      <c r="K1595" s="234" t="n"/>
      <c r="L1595" s="234" t="n"/>
      <c r="M1595" s="232" t="n"/>
      <c r="N1595" s="233" t="n"/>
      <c r="O1595" s="232" t="n"/>
      <c r="P1595" s="234" t="n"/>
      <c r="Q1595" s="234" t="n"/>
      <c r="R1595" s="234" t="n"/>
      <c r="S1595" s="234" t="n"/>
      <c r="T1595" s="234" t="n"/>
      <c r="U1595" s="234" t="n"/>
      <c r="V1595" s="234" t="n"/>
      <c r="W1595" s="234" t="n"/>
    </row>
    <row r="1596" ht="54.95" customFormat="1" customHeight="1" s="235">
      <c r="A1596" s="234" t="n"/>
      <c r="B1596" s="234" t="n"/>
      <c r="C1596" s="234" t="n"/>
      <c r="D1596" s="234" t="n"/>
      <c r="E1596" s="234" t="n"/>
      <c r="F1596" s="234" t="n"/>
      <c r="G1596" s="234" t="n"/>
      <c r="H1596" s="234" t="n"/>
      <c r="I1596" s="234" t="n"/>
      <c r="J1596" s="234" t="n"/>
      <c r="K1596" s="234" t="n"/>
      <c r="L1596" s="234" t="n"/>
      <c r="M1596" s="232" t="n"/>
      <c r="N1596" s="233" t="n"/>
      <c r="O1596" s="232" t="n"/>
      <c r="P1596" s="234" t="n"/>
      <c r="Q1596" s="234" t="n"/>
      <c r="R1596" s="234" t="n"/>
      <c r="S1596" s="234" t="n"/>
      <c r="T1596" s="234" t="n"/>
      <c r="U1596" s="234" t="n"/>
      <c r="V1596" s="234" t="n"/>
      <c r="W1596" s="234" t="n"/>
    </row>
    <row r="1597" ht="54.95" customFormat="1" customHeight="1" s="236">
      <c r="A1597" s="234" t="n"/>
      <c r="B1597" s="234" t="n"/>
      <c r="C1597" s="234" t="n"/>
      <c r="D1597" s="234" t="n"/>
      <c r="E1597" s="234" t="n"/>
      <c r="F1597" s="234" t="n"/>
      <c r="G1597" s="234" t="n"/>
      <c r="H1597" s="234" t="n"/>
      <c r="I1597" s="234" t="n"/>
      <c r="J1597" s="234" t="n"/>
      <c r="K1597" s="234" t="n"/>
      <c r="L1597" s="234" t="n"/>
      <c r="M1597" s="232" t="n"/>
      <c r="N1597" s="233" t="n"/>
      <c r="O1597" s="232" t="n"/>
      <c r="P1597" s="234" t="n"/>
      <c r="Q1597" s="234" t="n"/>
      <c r="R1597" s="234" t="n"/>
      <c r="S1597" s="234" t="n"/>
      <c r="T1597" s="234" t="n"/>
      <c r="U1597" s="234" t="n"/>
      <c r="V1597" s="234" t="n"/>
      <c r="W1597" s="234" t="n"/>
    </row>
    <row r="1598" ht="54.95" customFormat="1" customHeight="1" s="236">
      <c r="A1598" s="234" t="n"/>
      <c r="B1598" s="234" t="n"/>
      <c r="C1598" s="234" t="n"/>
      <c r="D1598" s="234" t="n"/>
      <c r="E1598" s="234" t="n"/>
      <c r="F1598" s="234" t="n"/>
      <c r="G1598" s="234" t="n"/>
      <c r="H1598" s="234" t="n"/>
      <c r="I1598" s="234" t="n"/>
      <c r="J1598" s="234" t="n"/>
      <c r="K1598" s="234" t="n"/>
      <c r="L1598" s="234" t="n"/>
      <c r="M1598" s="232" t="n"/>
      <c r="N1598" s="233" t="n"/>
      <c r="O1598" s="232" t="n"/>
      <c r="P1598" s="234" t="n"/>
      <c r="Q1598" s="234" t="n"/>
      <c r="R1598" s="234" t="n"/>
      <c r="S1598" s="234" t="n"/>
      <c r="T1598" s="234" t="n"/>
      <c r="U1598" s="234" t="n"/>
      <c r="V1598" s="234" t="n"/>
      <c r="W1598" s="234" t="n"/>
    </row>
    <row r="1599" ht="54.95" customFormat="1" customHeight="1" s="236">
      <c r="A1599" s="234" t="n"/>
      <c r="B1599" s="234" t="n"/>
      <c r="C1599" s="234" t="n"/>
      <c r="D1599" s="234" t="n"/>
      <c r="E1599" s="234" t="n"/>
      <c r="F1599" s="234" t="n"/>
      <c r="G1599" s="234" t="n"/>
      <c r="H1599" s="234" t="n"/>
      <c r="I1599" s="234" t="n"/>
      <c r="J1599" s="234" t="n"/>
      <c r="K1599" s="234" t="n"/>
      <c r="L1599" s="234" t="n"/>
      <c r="M1599" s="232" t="n"/>
      <c r="N1599" s="233" t="n"/>
      <c r="O1599" s="232" t="n"/>
      <c r="P1599" s="234" t="n"/>
      <c r="Q1599" s="234" t="n"/>
      <c r="R1599" s="234" t="n"/>
      <c r="S1599" s="234" t="n"/>
      <c r="T1599" s="234" t="n"/>
      <c r="U1599" s="234" t="n"/>
      <c r="V1599" s="234" t="n"/>
      <c r="W1599" s="234" t="n"/>
    </row>
    <row r="1600" ht="54.95" customFormat="1" customHeight="1" s="236">
      <c r="A1600" s="232" t="n"/>
      <c r="B1600" s="232" t="n"/>
      <c r="C1600" s="232" t="n"/>
      <c r="D1600" s="233" t="n"/>
      <c r="E1600" s="232" t="n"/>
      <c r="F1600" s="233" t="n"/>
      <c r="G1600" s="233" t="n"/>
      <c r="H1600" s="233" t="n"/>
      <c r="I1600" s="232" t="n"/>
      <c r="J1600" s="233" t="n"/>
      <c r="K1600" s="232" t="n"/>
      <c r="L1600" s="232" t="n"/>
      <c r="M1600" s="232" t="n"/>
      <c r="N1600" s="233" t="n"/>
      <c r="O1600" s="232" t="n"/>
      <c r="P1600" s="233" t="n"/>
      <c r="Q1600" s="233" t="n"/>
      <c r="R1600" s="233" t="n"/>
      <c r="S1600" s="232" t="n"/>
      <c r="T1600" s="233" t="n"/>
      <c r="U1600" s="233" t="n"/>
      <c r="V1600" s="233" t="n"/>
      <c r="W1600" s="232" t="n"/>
    </row>
    <row r="1601" ht="54.95" customFormat="1" customHeight="1" s="235">
      <c r="A1601" s="232" t="n"/>
      <c r="B1601" s="232" t="n"/>
      <c r="C1601" s="232" t="n"/>
      <c r="D1601" s="233" t="n"/>
      <c r="E1601" s="232" t="n"/>
      <c r="F1601" s="233" t="n"/>
      <c r="G1601" s="233" t="n"/>
      <c r="H1601" s="233" t="n"/>
      <c r="I1601" s="232" t="n"/>
      <c r="J1601" s="233" t="n"/>
      <c r="K1601" s="232" t="n"/>
      <c r="L1601" s="232" t="n"/>
      <c r="M1601" s="232" t="n"/>
      <c r="N1601" s="233" t="n"/>
      <c r="O1601" s="232" t="n"/>
      <c r="P1601" s="233" t="n"/>
      <c r="Q1601" s="233" t="n"/>
      <c r="R1601" s="233" t="n"/>
      <c r="S1601" s="232" t="n"/>
      <c r="T1601" s="233" t="n"/>
      <c r="U1601" s="233" t="n"/>
      <c r="V1601" s="233" t="n"/>
      <c r="W1601" s="232" t="n"/>
    </row>
    <row r="1602" ht="54.95" customFormat="1" customHeight="1" s="235">
      <c r="A1602" s="232" t="n"/>
      <c r="B1602" s="232" t="n"/>
      <c r="C1602" s="232" t="n"/>
      <c r="D1602" s="233" t="n"/>
      <c r="E1602" s="232" t="n"/>
      <c r="F1602" s="233" t="n"/>
      <c r="G1602" s="233" t="n"/>
      <c r="H1602" s="233" t="n"/>
      <c r="I1602" s="232" t="n"/>
      <c r="J1602" s="233" t="n"/>
      <c r="K1602" s="232" t="n"/>
      <c r="L1602" s="232" t="n"/>
      <c r="M1602" s="232" t="n"/>
      <c r="N1602" s="233" t="n"/>
      <c r="O1602" s="232" t="n"/>
      <c r="P1602" s="233" t="n"/>
      <c r="Q1602" s="233" t="n"/>
      <c r="R1602" s="233" t="n"/>
      <c r="S1602" s="232" t="n"/>
      <c r="T1602" s="233" t="n"/>
      <c r="U1602" s="233" t="n"/>
      <c r="V1602" s="233" t="n"/>
      <c r="W1602" s="232" t="n"/>
    </row>
    <row r="1603" ht="54.95" customFormat="1" customHeight="1" s="235">
      <c r="A1603" s="232" t="n"/>
      <c r="B1603" s="232" t="n"/>
      <c r="C1603" s="232" t="n"/>
      <c r="D1603" s="233" t="n"/>
      <c r="E1603" s="232" t="n"/>
      <c r="F1603" s="233" t="n"/>
      <c r="G1603" s="233" t="n"/>
      <c r="H1603" s="233" t="n"/>
      <c r="I1603" s="232" t="n"/>
      <c r="J1603" s="233" t="n"/>
      <c r="K1603" s="232" t="n"/>
      <c r="L1603" s="232" t="n"/>
      <c r="M1603" s="232" t="n"/>
      <c r="N1603" s="233" t="n"/>
      <c r="O1603" s="232" t="n"/>
      <c r="P1603" s="233" t="n"/>
      <c r="Q1603" s="233" t="n"/>
      <c r="R1603" s="233" t="n"/>
      <c r="S1603" s="232" t="n"/>
      <c r="T1603" s="233" t="n"/>
      <c r="U1603" s="233" t="n"/>
      <c r="V1603" s="233" t="n"/>
      <c r="W1603" s="232" t="n"/>
    </row>
    <row r="1604" ht="54.95" customFormat="1" customHeight="1" s="235">
      <c r="A1604" s="232" t="n"/>
      <c r="B1604" s="232" t="n"/>
      <c r="C1604" s="232" t="n"/>
      <c r="D1604" s="233" t="n"/>
      <c r="E1604" s="232" t="n"/>
      <c r="F1604" s="233" t="n"/>
      <c r="G1604" s="233" t="n"/>
      <c r="H1604" s="233" t="n"/>
      <c r="I1604" s="232" t="n"/>
      <c r="J1604" s="233" t="n"/>
      <c r="K1604" s="232" t="n"/>
      <c r="L1604" s="232" t="n"/>
      <c r="M1604" s="232" t="n"/>
      <c r="N1604" s="233" t="n"/>
      <c r="O1604" s="232" t="n"/>
      <c r="P1604" s="233" t="n"/>
      <c r="Q1604" s="233" t="n"/>
      <c r="R1604" s="233" t="n"/>
      <c r="S1604" s="232" t="n"/>
      <c r="T1604" s="233" t="n"/>
      <c r="U1604" s="233" t="n"/>
      <c r="V1604" s="233" t="n"/>
      <c r="W1604" s="232" t="n"/>
    </row>
    <row r="1605" ht="54.95" customFormat="1" customHeight="1" s="235">
      <c r="A1605" s="232" t="n"/>
      <c r="B1605" s="232" t="n"/>
      <c r="C1605" s="232" t="n"/>
      <c r="D1605" s="233" t="n"/>
      <c r="E1605" s="232" t="n"/>
      <c r="F1605" s="233" t="n"/>
      <c r="G1605" s="233" t="n"/>
      <c r="H1605" s="233" t="n"/>
      <c r="I1605" s="232" t="n"/>
      <c r="J1605" s="233" t="n"/>
      <c r="K1605" s="232" t="n"/>
      <c r="L1605" s="232" t="n"/>
      <c r="M1605" s="232" t="n"/>
      <c r="N1605" s="233" t="n"/>
      <c r="O1605" s="232" t="n"/>
      <c r="P1605" s="233" t="n"/>
      <c r="Q1605" s="233" t="n"/>
      <c r="R1605" s="233" t="n"/>
      <c r="S1605" s="232" t="n"/>
      <c r="T1605" s="233" t="n"/>
      <c r="U1605" s="233" t="n"/>
      <c r="V1605" s="233" t="n"/>
      <c r="W1605" s="232" t="n"/>
    </row>
    <row r="1606" ht="54.95" customFormat="1" customHeight="1" s="235">
      <c r="A1606" s="232" t="n"/>
      <c r="B1606" s="232" t="n"/>
      <c r="C1606" s="232" t="n"/>
      <c r="D1606" s="233" t="n"/>
      <c r="E1606" s="232" t="n"/>
      <c r="F1606" s="233" t="n"/>
      <c r="G1606" s="233" t="n"/>
      <c r="H1606" s="233" t="n"/>
      <c r="I1606" s="232" t="n"/>
      <c r="J1606" s="233" t="n"/>
      <c r="K1606" s="232" t="n"/>
      <c r="L1606" s="232" t="n"/>
      <c r="M1606" s="232" t="n"/>
      <c r="N1606" s="233" t="n"/>
      <c r="O1606" s="232" t="n"/>
      <c r="P1606" s="233" t="n"/>
      <c r="Q1606" s="233" t="n"/>
      <c r="R1606" s="233" t="n"/>
      <c r="S1606" s="232" t="n"/>
      <c r="T1606" s="233" t="n"/>
      <c r="U1606" s="233" t="n"/>
      <c r="V1606" s="233" t="n"/>
      <c r="W1606" s="232" t="n"/>
    </row>
    <row r="1607" ht="54.95" customFormat="1" customHeight="1" s="235">
      <c r="A1607" s="234" t="n"/>
      <c r="B1607" s="234" t="n"/>
      <c r="C1607" s="234" t="n"/>
      <c r="D1607" s="234" t="n"/>
      <c r="E1607" s="234" t="n"/>
      <c r="F1607" s="234" t="n"/>
      <c r="G1607" s="234" t="n"/>
      <c r="H1607" s="234" t="n"/>
      <c r="I1607" s="234" t="n"/>
      <c r="J1607" s="234" t="n"/>
      <c r="K1607" s="234" t="n"/>
      <c r="L1607" s="234" t="n"/>
      <c r="M1607" s="232" t="n"/>
      <c r="N1607" s="233" t="n"/>
      <c r="O1607" s="232" t="n"/>
      <c r="P1607" s="234" t="n"/>
      <c r="Q1607" s="234" t="n"/>
      <c r="R1607" s="234" t="n"/>
      <c r="S1607" s="234" t="n"/>
      <c r="T1607" s="234" t="n"/>
      <c r="U1607" s="234" t="n"/>
      <c r="V1607" s="234" t="n"/>
      <c r="W1607" s="234" t="n"/>
    </row>
    <row r="1608" ht="54.95" customFormat="1" customHeight="1" s="235">
      <c r="A1608" s="234" t="n"/>
      <c r="B1608" s="234" t="n"/>
      <c r="C1608" s="234" t="n"/>
      <c r="D1608" s="234" t="n"/>
      <c r="E1608" s="234" t="n"/>
      <c r="F1608" s="234" t="n"/>
      <c r="G1608" s="234" t="n"/>
      <c r="H1608" s="234" t="n"/>
      <c r="I1608" s="234" t="n"/>
      <c r="J1608" s="234" t="n"/>
      <c r="K1608" s="234" t="n"/>
      <c r="L1608" s="234" t="n"/>
      <c r="M1608" s="232" t="n"/>
      <c r="N1608" s="233" t="n"/>
      <c r="O1608" s="232" t="n"/>
      <c r="P1608" s="234" t="n"/>
      <c r="Q1608" s="234" t="n"/>
      <c r="R1608" s="234" t="n"/>
      <c r="S1608" s="234" t="n"/>
      <c r="T1608" s="234" t="n"/>
      <c r="U1608" s="234" t="n"/>
      <c r="V1608" s="234" t="n"/>
      <c r="W1608" s="234" t="n"/>
    </row>
    <row r="1609" ht="54.95" customFormat="1" customHeight="1" s="235">
      <c r="A1609" s="234" t="n"/>
      <c r="B1609" s="234" t="n"/>
      <c r="C1609" s="234" t="n"/>
      <c r="D1609" s="234" t="n"/>
      <c r="E1609" s="234" t="n"/>
      <c r="F1609" s="234" t="n"/>
      <c r="G1609" s="234" t="n"/>
      <c r="H1609" s="234" t="n"/>
      <c r="I1609" s="234" t="n"/>
      <c r="J1609" s="234" t="n"/>
      <c r="K1609" s="234" t="n"/>
      <c r="L1609" s="234" t="n"/>
      <c r="M1609" s="232" t="n"/>
      <c r="N1609" s="233" t="n"/>
      <c r="O1609" s="232" t="n"/>
      <c r="P1609" s="234" t="n"/>
      <c r="Q1609" s="234" t="n"/>
      <c r="R1609" s="234" t="n"/>
      <c r="S1609" s="234" t="n"/>
      <c r="T1609" s="234" t="n"/>
      <c r="U1609" s="234" t="n"/>
      <c r="V1609" s="234" t="n"/>
      <c r="W1609" s="234" t="n"/>
    </row>
    <row r="1610" ht="54.95" customFormat="1" customHeight="1" s="235">
      <c r="A1610" s="232" t="n"/>
      <c r="B1610" s="232" t="n"/>
      <c r="C1610" s="232" t="n"/>
      <c r="D1610" s="233" t="n"/>
      <c r="E1610" s="232" t="n"/>
      <c r="F1610" s="233" t="n"/>
      <c r="G1610" s="233" t="n"/>
      <c r="H1610" s="233" t="n"/>
      <c r="I1610" s="232" t="n"/>
      <c r="J1610" s="233" t="n"/>
      <c r="K1610" s="232" t="n"/>
      <c r="L1610" s="232" t="n"/>
      <c r="M1610" s="232" t="n"/>
      <c r="N1610" s="233" t="n"/>
      <c r="O1610" s="232" t="n"/>
      <c r="P1610" s="233" t="n"/>
      <c r="Q1610" s="233" t="n"/>
      <c r="R1610" s="233" t="n"/>
      <c r="S1610" s="232" t="n"/>
      <c r="T1610" s="233" t="n"/>
      <c r="U1610" s="233" t="n"/>
      <c r="V1610" s="233" t="n"/>
      <c r="W1610" s="232" t="n"/>
    </row>
    <row r="1611" ht="54.95" customFormat="1" customHeight="1" s="235">
      <c r="A1611" s="232" t="n"/>
      <c r="B1611" s="232" t="n"/>
      <c r="C1611" s="232" t="n"/>
      <c r="D1611" s="233" t="n"/>
      <c r="E1611" s="232" t="n"/>
      <c r="F1611" s="233" t="n"/>
      <c r="G1611" s="233" t="n"/>
      <c r="H1611" s="233" t="n"/>
      <c r="I1611" s="232" t="n"/>
      <c r="J1611" s="233" t="n"/>
      <c r="K1611" s="232" t="n"/>
      <c r="L1611" s="232" t="n"/>
      <c r="M1611" s="232" t="n"/>
      <c r="N1611" s="233" t="n"/>
      <c r="O1611" s="232" t="n"/>
      <c r="P1611" s="233" t="n"/>
      <c r="Q1611" s="233" t="n"/>
      <c r="R1611" s="233" t="n"/>
      <c r="S1611" s="232" t="n"/>
      <c r="T1611" s="233" t="n"/>
      <c r="U1611" s="233" t="n"/>
      <c r="V1611" s="233" t="n"/>
      <c r="W1611" s="232" t="n"/>
    </row>
    <row r="1612" ht="54.95" customFormat="1" customHeight="1" s="235">
      <c r="A1612" s="234" t="n"/>
      <c r="B1612" s="234" t="n"/>
      <c r="C1612" s="234" t="n"/>
      <c r="D1612" s="234" t="n"/>
      <c r="E1612" s="234" t="n"/>
      <c r="F1612" s="234" t="n"/>
      <c r="G1612" s="234" t="n"/>
      <c r="H1612" s="234" t="n"/>
      <c r="I1612" s="234" t="n"/>
      <c r="J1612" s="234" t="n"/>
      <c r="K1612" s="234" t="n"/>
      <c r="L1612" s="234" t="n"/>
      <c r="M1612" s="232" t="n"/>
      <c r="N1612" s="233" t="n"/>
      <c r="O1612" s="232" t="n"/>
      <c r="P1612" s="234" t="n"/>
      <c r="Q1612" s="234" t="n"/>
      <c r="R1612" s="234" t="n"/>
      <c r="S1612" s="234" t="n"/>
      <c r="T1612" s="234" t="n"/>
      <c r="U1612" s="234" t="n"/>
      <c r="V1612" s="234" t="n"/>
      <c r="W1612" s="234" t="n"/>
    </row>
    <row r="1613" ht="54.95" customFormat="1" customHeight="1" s="235">
      <c r="A1613" s="232" t="n"/>
      <c r="B1613" s="232" t="n"/>
      <c r="C1613" s="232" t="n"/>
      <c r="D1613" s="233" t="n"/>
      <c r="E1613" s="232" t="n"/>
      <c r="F1613" s="233" t="n"/>
      <c r="G1613" s="233" t="n"/>
      <c r="H1613" s="233" t="n"/>
      <c r="I1613" s="232" t="n"/>
      <c r="J1613" s="233" t="n"/>
      <c r="K1613" s="232" t="n"/>
      <c r="L1613" s="232" t="n"/>
      <c r="M1613" s="232" t="n"/>
      <c r="N1613" s="233" t="n"/>
      <c r="O1613" s="232" t="n"/>
      <c r="P1613" s="233" t="n"/>
      <c r="Q1613" s="233" t="n"/>
      <c r="R1613" s="233" t="n"/>
      <c r="S1613" s="232" t="n"/>
      <c r="T1613" s="233" t="n"/>
      <c r="U1613" s="233" t="n"/>
      <c r="V1613" s="233" t="n"/>
      <c r="W1613" s="232" t="n"/>
    </row>
    <row r="1614" ht="54.95" customFormat="1" customHeight="1" s="235">
      <c r="A1614" s="232" t="n"/>
      <c r="B1614" s="232" t="n"/>
      <c r="C1614" s="232" t="n"/>
      <c r="D1614" s="233" t="n"/>
      <c r="E1614" s="232" t="n"/>
      <c r="F1614" s="233" t="n"/>
      <c r="G1614" s="233" t="n"/>
      <c r="H1614" s="233" t="n"/>
      <c r="I1614" s="232" t="n"/>
      <c r="J1614" s="233" t="n"/>
      <c r="K1614" s="232" t="n"/>
      <c r="L1614" s="232" t="n"/>
      <c r="M1614" s="232" t="n"/>
      <c r="N1614" s="233" t="n"/>
      <c r="O1614" s="232" t="n"/>
      <c r="P1614" s="233" t="n"/>
      <c r="Q1614" s="233" t="n"/>
      <c r="R1614" s="233" t="n"/>
      <c r="S1614" s="232" t="n"/>
      <c r="T1614" s="233" t="n"/>
      <c r="U1614" s="233" t="n"/>
      <c r="V1614" s="233" t="n"/>
      <c r="W1614" s="232" t="n"/>
    </row>
    <row r="1615" ht="54.95" customFormat="1" customHeight="1" s="235">
      <c r="A1615" s="232" t="n"/>
      <c r="B1615" s="232" t="n"/>
      <c r="C1615" s="232" t="n"/>
      <c r="D1615" s="233" t="n"/>
      <c r="E1615" s="232" t="n"/>
      <c r="F1615" s="233" t="n"/>
      <c r="G1615" s="233" t="n"/>
      <c r="H1615" s="233" t="n"/>
      <c r="I1615" s="232" t="n"/>
      <c r="J1615" s="233" t="n"/>
      <c r="K1615" s="232" t="n"/>
      <c r="L1615" s="232" t="n"/>
      <c r="M1615" s="232" t="n"/>
      <c r="N1615" s="233" t="n"/>
      <c r="O1615" s="232" t="n"/>
      <c r="P1615" s="233" t="n"/>
      <c r="Q1615" s="233" t="n"/>
      <c r="R1615" s="233" t="n"/>
      <c r="S1615" s="232" t="n"/>
      <c r="T1615" s="233" t="n"/>
      <c r="U1615" s="233" t="n"/>
      <c r="V1615" s="233" t="n"/>
      <c r="W1615" s="232" t="n"/>
    </row>
    <row r="1616" ht="54.95" customFormat="1" customHeight="1" s="235">
      <c r="A1616" s="232" t="n"/>
      <c r="B1616" s="232" t="n"/>
      <c r="C1616" s="232" t="n"/>
      <c r="D1616" s="233" t="n"/>
      <c r="E1616" s="232" t="n"/>
      <c r="F1616" s="233" t="n"/>
      <c r="G1616" s="233" t="n"/>
      <c r="H1616" s="233" t="n"/>
      <c r="I1616" s="232" t="n"/>
      <c r="J1616" s="233" t="n"/>
      <c r="K1616" s="232" t="n"/>
      <c r="L1616" s="232" t="n"/>
      <c r="M1616" s="232" t="n"/>
      <c r="N1616" s="233" t="n"/>
      <c r="O1616" s="232" t="n"/>
      <c r="P1616" s="233" t="n"/>
      <c r="Q1616" s="233" t="n"/>
      <c r="R1616" s="233" t="n"/>
      <c r="S1616" s="232" t="n"/>
      <c r="T1616" s="233" t="n"/>
      <c r="U1616" s="233" t="n"/>
      <c r="V1616" s="233" t="n"/>
      <c r="W1616" s="232" t="n"/>
    </row>
    <row r="1617" ht="54.95" customFormat="1" customHeight="1" s="235">
      <c r="A1617" s="232" t="n"/>
      <c r="B1617" s="232" t="n"/>
      <c r="C1617" s="232" t="n"/>
      <c r="D1617" s="233" t="n"/>
      <c r="E1617" s="232" t="n"/>
      <c r="F1617" s="233" t="n"/>
      <c r="G1617" s="233" t="n"/>
      <c r="H1617" s="233" t="n"/>
      <c r="I1617" s="232" t="n"/>
      <c r="J1617" s="233" t="n"/>
      <c r="K1617" s="232" t="n"/>
      <c r="L1617" s="232" t="n"/>
      <c r="M1617" s="232" t="n"/>
      <c r="N1617" s="233" t="n"/>
      <c r="O1617" s="232" t="n"/>
      <c r="P1617" s="233" t="n"/>
      <c r="Q1617" s="233" t="n"/>
      <c r="R1617" s="233" t="n"/>
      <c r="S1617" s="232" t="n"/>
      <c r="T1617" s="233" t="n"/>
      <c r="U1617" s="233" t="n"/>
      <c r="V1617" s="233" t="n"/>
      <c r="W1617" s="232" t="n"/>
    </row>
    <row r="1618" ht="54.95" customFormat="1" customHeight="1" s="235">
      <c r="A1618" s="232" t="n"/>
      <c r="B1618" s="232" t="n"/>
      <c r="C1618" s="232" t="n"/>
      <c r="D1618" s="233" t="n"/>
      <c r="E1618" s="232" t="n"/>
      <c r="F1618" s="233" t="n"/>
      <c r="G1618" s="233" t="n"/>
      <c r="H1618" s="233" t="n"/>
      <c r="I1618" s="232" t="n"/>
      <c r="J1618" s="233" t="n"/>
      <c r="K1618" s="232" t="n"/>
      <c r="L1618" s="232" t="n"/>
      <c r="M1618" s="232" t="n"/>
      <c r="N1618" s="233" t="n"/>
      <c r="O1618" s="232" t="n"/>
      <c r="P1618" s="233" t="n"/>
      <c r="Q1618" s="233" t="n"/>
      <c r="R1618" s="233" t="n"/>
      <c r="S1618" s="232" t="n"/>
      <c r="T1618" s="233" t="n"/>
      <c r="U1618" s="233" t="n"/>
      <c r="V1618" s="233" t="n"/>
      <c r="W1618" s="232" t="n"/>
    </row>
    <row r="1619" ht="54.95" customFormat="1" customHeight="1" s="235">
      <c r="A1619" s="232" t="n"/>
      <c r="B1619" s="232" t="n"/>
      <c r="C1619" s="232" t="n"/>
      <c r="D1619" s="233" t="n"/>
      <c r="E1619" s="232" t="n"/>
      <c r="F1619" s="233" t="n"/>
      <c r="G1619" s="233" t="n"/>
      <c r="H1619" s="233" t="n"/>
      <c r="I1619" s="232" t="n"/>
      <c r="J1619" s="233" t="n"/>
      <c r="K1619" s="232" t="n"/>
      <c r="L1619" s="232" t="n"/>
      <c r="M1619" s="232" t="n"/>
      <c r="N1619" s="233" t="n"/>
      <c r="O1619" s="232" t="n"/>
      <c r="P1619" s="233" t="n"/>
      <c r="Q1619" s="233" t="n"/>
      <c r="R1619" s="233" t="n"/>
      <c r="S1619" s="232" t="n"/>
      <c r="T1619" s="233" t="n"/>
      <c r="U1619" s="233" t="n"/>
      <c r="V1619" s="233" t="n"/>
      <c r="W1619" s="232" t="n"/>
    </row>
    <row r="1620" ht="54.95" customFormat="1" customHeight="1" s="235">
      <c r="A1620" s="232" t="n"/>
      <c r="B1620" s="232" t="n"/>
      <c r="C1620" s="232" t="n"/>
      <c r="D1620" s="233" t="n"/>
      <c r="E1620" s="232" t="n"/>
      <c r="F1620" s="233" t="n"/>
      <c r="G1620" s="233" t="n"/>
      <c r="H1620" s="233" t="n"/>
      <c r="I1620" s="232" t="n"/>
      <c r="J1620" s="233" t="n"/>
      <c r="K1620" s="232" t="n"/>
      <c r="L1620" s="232" t="n"/>
      <c r="M1620" s="232" t="n"/>
      <c r="N1620" s="233" t="n"/>
      <c r="O1620" s="232" t="n"/>
      <c r="P1620" s="233" t="n"/>
      <c r="Q1620" s="233" t="n"/>
      <c r="R1620" s="233" t="n"/>
      <c r="S1620" s="232" t="n"/>
      <c r="T1620" s="233" t="n"/>
      <c r="U1620" s="233" t="n"/>
      <c r="V1620" s="233" t="n"/>
      <c r="W1620" s="232" t="n"/>
    </row>
    <row r="1621" ht="54.95" customFormat="1" customHeight="1" s="235">
      <c r="A1621" s="232" t="n"/>
      <c r="B1621" s="232" t="n"/>
      <c r="C1621" s="232" t="n"/>
      <c r="D1621" s="233" t="n"/>
      <c r="E1621" s="232" t="n"/>
      <c r="F1621" s="233" t="n"/>
      <c r="G1621" s="233" t="n"/>
      <c r="H1621" s="233" t="n"/>
      <c r="I1621" s="232" t="n"/>
      <c r="J1621" s="233" t="n"/>
      <c r="K1621" s="232" t="n"/>
      <c r="L1621" s="232" t="n"/>
      <c r="M1621" s="232" t="n"/>
      <c r="N1621" s="233" t="n"/>
      <c r="O1621" s="232" t="n"/>
      <c r="P1621" s="233" t="n"/>
      <c r="Q1621" s="233" t="n"/>
      <c r="R1621" s="233" t="n"/>
      <c r="S1621" s="232" t="n"/>
      <c r="T1621" s="233" t="n"/>
      <c r="U1621" s="233" t="n"/>
      <c r="V1621" s="233" t="n"/>
      <c r="W1621" s="232" t="n"/>
    </row>
    <row r="1622" ht="54.95" customFormat="1" customHeight="1" s="235">
      <c r="A1622" s="232" t="n"/>
      <c r="B1622" s="232" t="n"/>
      <c r="C1622" s="232" t="n"/>
      <c r="D1622" s="233" t="n"/>
      <c r="E1622" s="232" t="n"/>
      <c r="F1622" s="233" t="n"/>
      <c r="G1622" s="233" t="n"/>
      <c r="H1622" s="233" t="n"/>
      <c r="I1622" s="232" t="n"/>
      <c r="J1622" s="233" t="n"/>
      <c r="K1622" s="232" t="n"/>
      <c r="L1622" s="232" t="n"/>
      <c r="M1622" s="232" t="n"/>
      <c r="N1622" s="233" t="n"/>
      <c r="O1622" s="232" t="n"/>
      <c r="P1622" s="233" t="n"/>
      <c r="Q1622" s="233" t="n"/>
      <c r="R1622" s="233" t="n"/>
      <c r="S1622" s="232" t="n"/>
      <c r="T1622" s="233" t="n"/>
      <c r="U1622" s="233" t="n"/>
      <c r="V1622" s="233" t="n"/>
      <c r="W1622" s="232" t="n"/>
    </row>
    <row r="1623" ht="54.95" customFormat="1" customHeight="1" s="235">
      <c r="A1623" s="234" t="n"/>
      <c r="B1623" s="234" t="n"/>
      <c r="C1623" s="234" t="n"/>
      <c r="D1623" s="234" t="n"/>
      <c r="E1623" s="234" t="n"/>
      <c r="F1623" s="234" t="n"/>
      <c r="G1623" s="234" t="n"/>
      <c r="H1623" s="234" t="n"/>
      <c r="I1623" s="234" t="n"/>
      <c r="J1623" s="234" t="n"/>
      <c r="K1623" s="234" t="n"/>
      <c r="L1623" s="234" t="n"/>
      <c r="M1623" s="232" t="n"/>
      <c r="N1623" s="233" t="n"/>
      <c r="O1623" s="232" t="n"/>
      <c r="P1623" s="234" t="n"/>
      <c r="Q1623" s="234" t="n"/>
      <c r="R1623" s="234" t="n"/>
      <c r="S1623" s="234" t="n"/>
      <c r="T1623" s="234" t="n"/>
      <c r="U1623" s="234" t="n"/>
      <c r="V1623" s="234" t="n"/>
      <c r="W1623" s="234" t="n"/>
    </row>
    <row r="1624" ht="54.95" customFormat="1" customHeight="1" s="235">
      <c r="A1624" s="232" t="n"/>
      <c r="B1624" s="232" t="n"/>
      <c r="C1624" s="232" t="n"/>
      <c r="D1624" s="233" t="n"/>
      <c r="E1624" s="232" t="n"/>
      <c r="F1624" s="233" t="n"/>
      <c r="G1624" s="233" t="n"/>
      <c r="H1624" s="233" t="n"/>
      <c r="I1624" s="232" t="n"/>
      <c r="J1624" s="233" t="n"/>
      <c r="K1624" s="232" t="n"/>
      <c r="L1624" s="232" t="n"/>
      <c r="M1624" s="232" t="n"/>
      <c r="N1624" s="233" t="n"/>
      <c r="O1624" s="232" t="n"/>
      <c r="P1624" s="233" t="n"/>
      <c r="Q1624" s="233" t="n"/>
      <c r="R1624" s="233" t="n"/>
      <c r="S1624" s="232" t="n"/>
      <c r="T1624" s="233" t="n"/>
      <c r="U1624" s="233" t="n"/>
      <c r="V1624" s="233" t="n"/>
      <c r="W1624" s="232" t="n"/>
    </row>
    <row r="1625" ht="54.95" customFormat="1" customHeight="1" s="235">
      <c r="A1625" s="234" t="n"/>
      <c r="B1625" s="234" t="n"/>
      <c r="C1625" s="234" t="n"/>
      <c r="D1625" s="234" t="n"/>
      <c r="E1625" s="234" t="n"/>
      <c r="F1625" s="234" t="n"/>
      <c r="G1625" s="234" t="n"/>
      <c r="H1625" s="234" t="n"/>
      <c r="I1625" s="234" t="n"/>
      <c r="J1625" s="234" t="n"/>
      <c r="K1625" s="234" t="n"/>
      <c r="L1625" s="234" t="n"/>
      <c r="M1625" s="232" t="n"/>
      <c r="N1625" s="233" t="n"/>
      <c r="O1625" s="232" t="n"/>
      <c r="P1625" s="234" t="n"/>
      <c r="Q1625" s="234" t="n"/>
      <c r="R1625" s="234" t="n"/>
      <c r="S1625" s="234" t="n"/>
      <c r="T1625" s="234" t="n"/>
      <c r="U1625" s="234" t="n"/>
      <c r="V1625" s="234" t="n"/>
      <c r="W1625" s="234" t="n"/>
    </row>
    <row r="1626" ht="54.95" customFormat="1" customHeight="1" s="235">
      <c r="A1626" s="232" t="n"/>
      <c r="B1626" s="232" t="n"/>
      <c r="C1626" s="232" t="n"/>
      <c r="D1626" s="233" t="n"/>
      <c r="E1626" s="232" t="n"/>
      <c r="F1626" s="233" t="n"/>
      <c r="G1626" s="233" t="n"/>
      <c r="H1626" s="233" t="n"/>
      <c r="I1626" s="232" t="n"/>
      <c r="J1626" s="233" t="n"/>
      <c r="K1626" s="232" t="n"/>
      <c r="L1626" s="232" t="n"/>
      <c r="M1626" s="232" t="n"/>
      <c r="N1626" s="233" t="n"/>
      <c r="O1626" s="232" t="n"/>
      <c r="P1626" s="233" t="n"/>
      <c r="Q1626" s="233" t="n"/>
      <c r="R1626" s="233" t="n"/>
      <c r="S1626" s="232" t="n"/>
      <c r="T1626" s="233" t="n"/>
      <c r="U1626" s="233" t="n"/>
      <c r="V1626" s="233" t="n"/>
      <c r="W1626" s="232" t="n"/>
    </row>
    <row r="1627" ht="54.95" customFormat="1" customHeight="1" s="235">
      <c r="A1627" s="234" t="n"/>
      <c r="B1627" s="234" t="n"/>
      <c r="C1627" s="234" t="n"/>
      <c r="D1627" s="234" t="n"/>
      <c r="E1627" s="234" t="n"/>
      <c r="F1627" s="234" t="n"/>
      <c r="G1627" s="234" t="n"/>
      <c r="H1627" s="234" t="n"/>
      <c r="I1627" s="234" t="n"/>
      <c r="J1627" s="234" t="n"/>
      <c r="K1627" s="234" t="n"/>
      <c r="L1627" s="234" t="n"/>
      <c r="M1627" s="232" t="n"/>
      <c r="N1627" s="233" t="n"/>
      <c r="O1627" s="232" t="n"/>
      <c r="P1627" s="234" t="n"/>
      <c r="Q1627" s="234" t="n"/>
      <c r="R1627" s="234" t="n"/>
      <c r="S1627" s="234" t="n"/>
      <c r="T1627" s="234" t="n"/>
      <c r="U1627" s="234" t="n"/>
      <c r="V1627" s="234" t="n"/>
      <c r="W1627" s="234" t="n"/>
    </row>
    <row r="1628" ht="54.95" customFormat="1" customHeight="1" s="235">
      <c r="A1628" s="232" t="n"/>
      <c r="B1628" s="232" t="n"/>
      <c r="C1628" s="232" t="n"/>
      <c r="D1628" s="233" t="n"/>
      <c r="E1628" s="232" t="n"/>
      <c r="F1628" s="233" t="n"/>
      <c r="G1628" s="233" t="n"/>
      <c r="H1628" s="233" t="n"/>
      <c r="I1628" s="232" t="n"/>
      <c r="J1628" s="233" t="n"/>
      <c r="K1628" s="232" t="n"/>
      <c r="L1628" s="232" t="n"/>
      <c r="M1628" s="232" t="n"/>
      <c r="N1628" s="233" t="n"/>
      <c r="O1628" s="232" t="n"/>
      <c r="P1628" s="233" t="n"/>
      <c r="Q1628" s="233" t="n"/>
      <c r="R1628" s="233" t="n"/>
      <c r="S1628" s="232" t="n"/>
      <c r="T1628" s="233" t="n"/>
      <c r="U1628" s="233" t="n"/>
      <c r="V1628" s="233" t="n"/>
      <c r="W1628" s="232" t="n"/>
    </row>
    <row r="1629" ht="54.95" customFormat="1" customHeight="1" s="235">
      <c r="A1629" s="232" t="n"/>
      <c r="B1629" s="232" t="n"/>
      <c r="C1629" s="232" t="n"/>
      <c r="D1629" s="233" t="n"/>
      <c r="E1629" s="232" t="n"/>
      <c r="F1629" s="233" t="n"/>
      <c r="G1629" s="233" t="n"/>
      <c r="H1629" s="233" t="n"/>
      <c r="I1629" s="232" t="n"/>
      <c r="J1629" s="233" t="n"/>
      <c r="K1629" s="232" t="n"/>
      <c r="L1629" s="232" t="n"/>
      <c r="M1629" s="232" t="n"/>
      <c r="N1629" s="233" t="n"/>
      <c r="O1629" s="232" t="n"/>
      <c r="P1629" s="233" t="n"/>
      <c r="Q1629" s="233" t="n"/>
      <c r="R1629" s="233" t="n"/>
      <c r="S1629" s="232" t="n"/>
      <c r="T1629" s="233" t="n"/>
      <c r="U1629" s="233" t="n"/>
      <c r="V1629" s="233" t="n"/>
      <c r="W1629" s="232" t="n"/>
    </row>
    <row r="1630" ht="54.95" customFormat="1" customHeight="1" s="235">
      <c r="A1630" s="234" t="n"/>
      <c r="B1630" s="234" t="n"/>
      <c r="C1630" s="234" t="n"/>
      <c r="D1630" s="234" t="n"/>
      <c r="E1630" s="234" t="n"/>
      <c r="F1630" s="234" t="n"/>
      <c r="G1630" s="234" t="n"/>
      <c r="H1630" s="234" t="n"/>
      <c r="I1630" s="234" t="n"/>
      <c r="J1630" s="234" t="n"/>
      <c r="K1630" s="234" t="n"/>
      <c r="L1630" s="234" t="n"/>
      <c r="M1630" s="232" t="n"/>
      <c r="N1630" s="233" t="n"/>
      <c r="O1630" s="232" t="n"/>
      <c r="P1630" s="234" t="n"/>
      <c r="Q1630" s="234" t="n"/>
      <c r="R1630" s="234" t="n"/>
      <c r="S1630" s="234" t="n"/>
      <c r="T1630" s="234" t="n"/>
      <c r="U1630" s="234" t="n"/>
      <c r="V1630" s="234" t="n"/>
      <c r="W1630" s="234" t="n"/>
    </row>
    <row r="1631" ht="54.95" customFormat="1" customHeight="1" s="235">
      <c r="A1631" s="232" t="n"/>
      <c r="B1631" s="232" t="n"/>
      <c r="C1631" s="232" t="n"/>
      <c r="D1631" s="233" t="n"/>
      <c r="E1631" s="232" t="n"/>
      <c r="F1631" s="233" t="n"/>
      <c r="G1631" s="233" t="n"/>
      <c r="H1631" s="233" t="n"/>
      <c r="I1631" s="232" t="n"/>
      <c r="J1631" s="233" t="n"/>
      <c r="K1631" s="232" t="n"/>
      <c r="L1631" s="232" t="n"/>
      <c r="M1631" s="232" t="n"/>
      <c r="N1631" s="233" t="n"/>
      <c r="O1631" s="232" t="n"/>
      <c r="P1631" s="233" t="n"/>
      <c r="Q1631" s="233" t="n"/>
      <c r="R1631" s="233" t="n"/>
      <c r="S1631" s="232" t="n"/>
      <c r="T1631" s="233" t="n"/>
      <c r="U1631" s="233" t="n"/>
      <c r="V1631" s="233" t="n"/>
      <c r="W1631" s="232" t="n"/>
    </row>
    <row r="1632" ht="54.95" customFormat="1" customHeight="1" s="235">
      <c r="A1632" s="232" t="n"/>
      <c r="B1632" s="232" t="n"/>
      <c r="C1632" s="232" t="n"/>
      <c r="D1632" s="233" t="n"/>
      <c r="E1632" s="232" t="n"/>
      <c r="F1632" s="233" t="n"/>
      <c r="G1632" s="233" t="n"/>
      <c r="H1632" s="233" t="n"/>
      <c r="I1632" s="232" t="n"/>
      <c r="J1632" s="233" t="n"/>
      <c r="K1632" s="232" t="n"/>
      <c r="L1632" s="232" t="n"/>
      <c r="M1632" s="232" t="n"/>
      <c r="N1632" s="233" t="n"/>
      <c r="O1632" s="232" t="n"/>
      <c r="P1632" s="233" t="n"/>
      <c r="Q1632" s="233" t="n"/>
      <c r="R1632" s="233" t="n"/>
      <c r="S1632" s="232" t="n"/>
      <c r="T1632" s="233" t="n"/>
      <c r="U1632" s="233" t="n"/>
      <c r="V1632" s="233" t="n"/>
      <c r="W1632" s="232" t="n"/>
    </row>
    <row r="1633" ht="54.95" customFormat="1" customHeight="1" s="235">
      <c r="A1633" s="234" t="n"/>
      <c r="B1633" s="234" t="n"/>
      <c r="C1633" s="234" t="n"/>
      <c r="D1633" s="234" t="n"/>
      <c r="E1633" s="234" t="n"/>
      <c r="F1633" s="234" t="n"/>
      <c r="G1633" s="234" t="n"/>
      <c r="H1633" s="234" t="n"/>
      <c r="I1633" s="234" t="n"/>
      <c r="J1633" s="234" t="n"/>
      <c r="K1633" s="234" t="n"/>
      <c r="L1633" s="234" t="n"/>
      <c r="M1633" s="232" t="n"/>
      <c r="N1633" s="233" t="n"/>
      <c r="O1633" s="232" t="n"/>
      <c r="P1633" s="234" t="n"/>
      <c r="Q1633" s="234" t="n"/>
      <c r="R1633" s="234" t="n"/>
      <c r="S1633" s="234" t="n"/>
      <c r="T1633" s="234" t="n"/>
      <c r="U1633" s="234" t="n"/>
      <c r="V1633" s="234" t="n"/>
      <c r="W1633" s="234" t="n"/>
    </row>
    <row r="1634" ht="54.95" customFormat="1" customHeight="1" s="235">
      <c r="A1634" s="232" t="n"/>
      <c r="B1634" s="232" t="n"/>
      <c r="C1634" s="232" t="n"/>
      <c r="D1634" s="233" t="n"/>
      <c r="E1634" s="232" t="n"/>
      <c r="F1634" s="233" t="n"/>
      <c r="G1634" s="233" t="n"/>
      <c r="H1634" s="233" t="n"/>
      <c r="I1634" s="232" t="n"/>
      <c r="J1634" s="233" t="n"/>
      <c r="K1634" s="232" t="n"/>
      <c r="L1634" s="232" t="n"/>
      <c r="M1634" s="232" t="n"/>
      <c r="N1634" s="233" t="n"/>
      <c r="O1634" s="232" t="n"/>
      <c r="P1634" s="233" t="n"/>
      <c r="Q1634" s="233" t="n"/>
      <c r="R1634" s="233" t="n"/>
      <c r="S1634" s="232" t="n"/>
      <c r="T1634" s="233" t="n"/>
      <c r="U1634" s="233" t="n"/>
      <c r="V1634" s="233" t="n"/>
      <c r="W1634" s="232" t="n"/>
    </row>
    <row r="1635" ht="54.95" customFormat="1" customHeight="1" s="235">
      <c r="A1635" s="232" t="n"/>
      <c r="B1635" s="232" t="n"/>
      <c r="C1635" s="232" t="n"/>
      <c r="D1635" s="233" t="n"/>
      <c r="E1635" s="232" t="n"/>
      <c r="F1635" s="233" t="n"/>
      <c r="G1635" s="233" t="n"/>
      <c r="H1635" s="233" t="n"/>
      <c r="I1635" s="232" t="n"/>
      <c r="J1635" s="233" t="n"/>
      <c r="K1635" s="232" t="n"/>
      <c r="L1635" s="232" t="n"/>
      <c r="M1635" s="232" t="n"/>
      <c r="N1635" s="233" t="n"/>
      <c r="O1635" s="232" t="n"/>
      <c r="P1635" s="233" t="n"/>
      <c r="Q1635" s="233" t="n"/>
      <c r="R1635" s="233" t="n"/>
      <c r="S1635" s="232" t="n"/>
      <c r="T1635" s="233" t="n"/>
      <c r="U1635" s="233" t="n"/>
      <c r="V1635" s="233" t="n"/>
      <c r="W1635" s="232" t="n"/>
    </row>
    <row r="1636" ht="54.95" customFormat="1" customHeight="1" s="235">
      <c r="A1636" s="232" t="n"/>
      <c r="B1636" s="232" t="n"/>
      <c r="C1636" s="232" t="n"/>
      <c r="D1636" s="233" t="n"/>
      <c r="E1636" s="232" t="n"/>
      <c r="F1636" s="233" t="n"/>
      <c r="G1636" s="233" t="n"/>
      <c r="H1636" s="233" t="n"/>
      <c r="I1636" s="232" t="n"/>
      <c r="J1636" s="233" t="n"/>
      <c r="K1636" s="232" t="n"/>
      <c r="L1636" s="232" t="n"/>
      <c r="M1636" s="232" t="n"/>
      <c r="N1636" s="233" t="n"/>
      <c r="O1636" s="232" t="n"/>
      <c r="P1636" s="233" t="n"/>
      <c r="Q1636" s="233" t="n"/>
      <c r="R1636" s="233" t="n"/>
      <c r="S1636" s="232" t="n"/>
      <c r="T1636" s="233" t="n"/>
      <c r="U1636" s="233" t="n"/>
      <c r="V1636" s="233" t="n"/>
      <c r="W1636" s="232" t="n"/>
    </row>
    <row r="1637" ht="54.95" customFormat="1" customHeight="1" s="235">
      <c r="A1637" s="232" t="n"/>
      <c r="B1637" s="232" t="n"/>
      <c r="C1637" s="232" t="n"/>
      <c r="D1637" s="233" t="n"/>
      <c r="E1637" s="232" t="n"/>
      <c r="F1637" s="233" t="n"/>
      <c r="G1637" s="233" t="n"/>
      <c r="H1637" s="233" t="n"/>
      <c r="I1637" s="232" t="n"/>
      <c r="J1637" s="233" t="n"/>
      <c r="K1637" s="232" t="n"/>
      <c r="L1637" s="232" t="n"/>
      <c r="M1637" s="232" t="n"/>
      <c r="N1637" s="233" t="n"/>
      <c r="O1637" s="232" t="n"/>
      <c r="P1637" s="233" t="n"/>
      <c r="Q1637" s="233" t="n"/>
      <c r="R1637" s="233" t="n"/>
      <c r="S1637" s="232" t="n"/>
      <c r="T1637" s="233" t="n"/>
      <c r="U1637" s="233" t="n"/>
      <c r="V1637" s="233" t="n"/>
      <c r="W1637" s="232" t="n"/>
    </row>
    <row r="1638" ht="54.95" customFormat="1" customHeight="1" s="235">
      <c r="A1638" s="232" t="n"/>
      <c r="B1638" s="232" t="n"/>
      <c r="C1638" s="232" t="n"/>
      <c r="D1638" s="233" t="n"/>
      <c r="E1638" s="232" t="n"/>
      <c r="F1638" s="233" t="n"/>
      <c r="G1638" s="233" t="n"/>
      <c r="H1638" s="233" t="n"/>
      <c r="I1638" s="232" t="n"/>
      <c r="J1638" s="233" t="n"/>
      <c r="K1638" s="232" t="n"/>
      <c r="L1638" s="232" t="n"/>
      <c r="M1638" s="232" t="n"/>
      <c r="N1638" s="233" t="n"/>
      <c r="O1638" s="232" t="n"/>
      <c r="P1638" s="233" t="n"/>
      <c r="Q1638" s="233" t="n"/>
      <c r="R1638" s="233" t="n"/>
      <c r="S1638" s="232" t="n"/>
      <c r="T1638" s="233" t="n"/>
      <c r="U1638" s="233" t="n"/>
      <c r="V1638" s="233" t="n"/>
      <c r="W1638" s="232" t="n"/>
    </row>
    <row r="1639" ht="54.95" customFormat="1" customHeight="1" s="235">
      <c r="A1639" s="232" t="n"/>
      <c r="B1639" s="232" t="n"/>
      <c r="C1639" s="232" t="n"/>
      <c r="D1639" s="233" t="n"/>
      <c r="E1639" s="232" t="n"/>
      <c r="F1639" s="233" t="n"/>
      <c r="G1639" s="233" t="n"/>
      <c r="H1639" s="233" t="n"/>
      <c r="I1639" s="232" t="n"/>
      <c r="J1639" s="233" t="n"/>
      <c r="K1639" s="232" t="n"/>
      <c r="L1639" s="232" t="n"/>
      <c r="M1639" s="232" t="n"/>
      <c r="N1639" s="233" t="n"/>
      <c r="O1639" s="232" t="n"/>
      <c r="P1639" s="233" t="n"/>
      <c r="Q1639" s="233" t="n"/>
      <c r="R1639" s="233" t="n"/>
      <c r="S1639" s="232" t="n"/>
      <c r="T1639" s="233" t="n"/>
      <c r="U1639" s="233" t="n"/>
      <c r="V1639" s="233" t="n"/>
      <c r="W1639" s="232" t="n"/>
    </row>
    <row r="1640" ht="54.95" customFormat="1" customHeight="1" s="235">
      <c r="A1640" s="234" t="n"/>
      <c r="B1640" s="234" t="n"/>
      <c r="C1640" s="234" t="n"/>
      <c r="D1640" s="234" t="n"/>
      <c r="E1640" s="234" t="n"/>
      <c r="F1640" s="234" t="n"/>
      <c r="G1640" s="234" t="n"/>
      <c r="H1640" s="234" t="n"/>
      <c r="I1640" s="234" t="n"/>
      <c r="J1640" s="234" t="n"/>
      <c r="K1640" s="234" t="n"/>
      <c r="L1640" s="234" t="n"/>
      <c r="M1640" s="232" t="n"/>
      <c r="N1640" s="233" t="n"/>
      <c r="O1640" s="232" t="n"/>
      <c r="P1640" s="234" t="n"/>
      <c r="Q1640" s="234" t="n"/>
      <c r="R1640" s="234" t="n"/>
      <c r="S1640" s="234" t="n"/>
      <c r="T1640" s="234" t="n"/>
      <c r="U1640" s="234" t="n"/>
      <c r="V1640" s="234" t="n"/>
      <c r="W1640" s="234" t="n"/>
    </row>
    <row r="1641" ht="54.95" customFormat="1" customHeight="1" s="235">
      <c r="A1641" s="234" t="n"/>
      <c r="B1641" s="234" t="n"/>
      <c r="C1641" s="234" t="n"/>
      <c r="D1641" s="234" t="n"/>
      <c r="E1641" s="234" t="n"/>
      <c r="F1641" s="234" t="n"/>
      <c r="G1641" s="234" t="n"/>
      <c r="H1641" s="234" t="n"/>
      <c r="I1641" s="234" t="n"/>
      <c r="J1641" s="234" t="n"/>
      <c r="K1641" s="234" t="n"/>
      <c r="L1641" s="234" t="n"/>
      <c r="M1641" s="232" t="n"/>
      <c r="N1641" s="233" t="n"/>
      <c r="O1641" s="232" t="n"/>
      <c r="P1641" s="234" t="n"/>
      <c r="Q1641" s="234" t="n"/>
      <c r="R1641" s="234" t="n"/>
      <c r="S1641" s="234" t="n"/>
      <c r="T1641" s="234" t="n"/>
      <c r="U1641" s="234" t="n"/>
      <c r="V1641" s="234" t="n"/>
      <c r="W1641" s="234" t="n"/>
    </row>
    <row r="1642" ht="54.95" customFormat="1" customHeight="1" s="235">
      <c r="A1642" s="234" t="n"/>
      <c r="B1642" s="234" t="n"/>
      <c r="C1642" s="234" t="n"/>
      <c r="D1642" s="234" t="n"/>
      <c r="E1642" s="234" t="n"/>
      <c r="F1642" s="234" t="n"/>
      <c r="G1642" s="234" t="n"/>
      <c r="H1642" s="234" t="n"/>
      <c r="I1642" s="234" t="n"/>
      <c r="J1642" s="234" t="n"/>
      <c r="K1642" s="234" t="n"/>
      <c r="L1642" s="234" t="n"/>
      <c r="M1642" s="232" t="n"/>
      <c r="N1642" s="233" t="n"/>
      <c r="O1642" s="232" t="n"/>
      <c r="P1642" s="234" t="n"/>
      <c r="Q1642" s="234" t="n"/>
      <c r="R1642" s="234" t="n"/>
      <c r="S1642" s="234" t="n"/>
      <c r="T1642" s="234" t="n"/>
      <c r="U1642" s="234" t="n"/>
      <c r="V1642" s="234" t="n"/>
      <c r="W1642" s="234" t="n"/>
    </row>
    <row r="1643" ht="54.95" customFormat="1" customHeight="1" s="235">
      <c r="A1643" s="234" t="n"/>
      <c r="B1643" s="234" t="n"/>
      <c r="C1643" s="234" t="n"/>
      <c r="D1643" s="234" t="n"/>
      <c r="E1643" s="234" t="n"/>
      <c r="F1643" s="234" t="n"/>
      <c r="G1643" s="234" t="n"/>
      <c r="H1643" s="234" t="n"/>
      <c r="I1643" s="234" t="n"/>
      <c r="J1643" s="234" t="n"/>
      <c r="K1643" s="234" t="n"/>
      <c r="L1643" s="234" t="n"/>
      <c r="M1643" s="232" t="n"/>
      <c r="N1643" s="233" t="n"/>
      <c r="O1643" s="232" t="n"/>
      <c r="P1643" s="234" t="n"/>
      <c r="Q1643" s="234" t="n"/>
      <c r="R1643" s="234" t="n"/>
      <c r="S1643" s="234" t="n"/>
      <c r="T1643" s="234" t="n"/>
      <c r="U1643" s="234" t="n"/>
      <c r="V1643" s="234" t="n"/>
      <c r="W1643" s="234" t="n"/>
    </row>
    <row r="1644" ht="54.95" customFormat="1" customHeight="1" s="235">
      <c r="A1644" s="234" t="n"/>
      <c r="B1644" s="234" t="n"/>
      <c r="C1644" s="234" t="n"/>
      <c r="D1644" s="234" t="n"/>
      <c r="E1644" s="234" t="n"/>
      <c r="F1644" s="234" t="n"/>
      <c r="G1644" s="234" t="n"/>
      <c r="H1644" s="234" t="n"/>
      <c r="I1644" s="234" t="n"/>
      <c r="J1644" s="234" t="n"/>
      <c r="K1644" s="234" t="n"/>
      <c r="L1644" s="234" t="n"/>
      <c r="M1644" s="232" t="n"/>
      <c r="N1644" s="233" t="n"/>
      <c r="O1644" s="232" t="n"/>
      <c r="P1644" s="234" t="n"/>
      <c r="Q1644" s="234" t="n"/>
      <c r="R1644" s="234" t="n"/>
      <c r="S1644" s="234" t="n"/>
      <c r="T1644" s="234" t="n"/>
      <c r="U1644" s="234" t="n"/>
      <c r="V1644" s="234" t="n"/>
      <c r="W1644" s="234" t="n"/>
    </row>
    <row r="1645" ht="54.95" customFormat="1" customHeight="1" s="235">
      <c r="A1645" s="232" t="n"/>
      <c r="B1645" s="232" t="n"/>
      <c r="C1645" s="232" t="n"/>
      <c r="D1645" s="233" t="n"/>
      <c r="E1645" s="232" t="n"/>
      <c r="F1645" s="233" t="n"/>
      <c r="G1645" s="233" t="n"/>
      <c r="H1645" s="233" t="n"/>
      <c r="I1645" s="232" t="n"/>
      <c r="J1645" s="233" t="n"/>
      <c r="K1645" s="232" t="n"/>
      <c r="L1645" s="232" t="n"/>
      <c r="M1645" s="232" t="n"/>
      <c r="N1645" s="233" t="n"/>
      <c r="O1645" s="232" t="n"/>
      <c r="P1645" s="233" t="n"/>
      <c r="Q1645" s="233" t="n"/>
      <c r="R1645" s="233" t="n"/>
      <c r="S1645" s="232" t="n"/>
      <c r="T1645" s="233" t="n"/>
      <c r="U1645" s="233" t="n"/>
      <c r="V1645" s="233" t="n"/>
      <c r="W1645" s="232" t="n"/>
    </row>
    <row r="1646" ht="54.95" customFormat="1" customHeight="1" s="235">
      <c r="A1646" s="232" t="n"/>
      <c r="B1646" s="232" t="n"/>
      <c r="C1646" s="232" t="n"/>
      <c r="D1646" s="233" t="n"/>
      <c r="E1646" s="232" t="n"/>
      <c r="F1646" s="233" t="n"/>
      <c r="G1646" s="233" t="n"/>
      <c r="H1646" s="233" t="n"/>
      <c r="I1646" s="232" t="n"/>
      <c r="J1646" s="233" t="n"/>
      <c r="K1646" s="232" t="n"/>
      <c r="L1646" s="232" t="n"/>
      <c r="M1646" s="232" t="n"/>
      <c r="N1646" s="233" t="n"/>
      <c r="O1646" s="232" t="n"/>
      <c r="P1646" s="233" t="n"/>
      <c r="Q1646" s="233" t="n"/>
      <c r="R1646" s="233" t="n"/>
      <c r="S1646" s="232" t="n"/>
      <c r="T1646" s="233" t="n"/>
      <c r="U1646" s="233" t="n"/>
      <c r="V1646" s="233" t="n"/>
      <c r="W1646" s="232" t="n"/>
    </row>
    <row r="1647" ht="54.95" customFormat="1" customHeight="1" s="235">
      <c r="A1647" s="232" t="n"/>
      <c r="B1647" s="232" t="n"/>
      <c r="C1647" s="232" t="n"/>
      <c r="D1647" s="233" t="n"/>
      <c r="E1647" s="232" t="n"/>
      <c r="F1647" s="233" t="n"/>
      <c r="G1647" s="233" t="n"/>
      <c r="H1647" s="233" t="n"/>
      <c r="I1647" s="232" t="n"/>
      <c r="J1647" s="233" t="n"/>
      <c r="K1647" s="232" t="n"/>
      <c r="L1647" s="232" t="n"/>
      <c r="M1647" s="232" t="n"/>
      <c r="N1647" s="233" t="n"/>
      <c r="O1647" s="232" t="n"/>
      <c r="P1647" s="233" t="n"/>
      <c r="Q1647" s="233" t="n"/>
      <c r="R1647" s="233" t="n"/>
      <c r="S1647" s="232" t="n"/>
      <c r="T1647" s="233" t="n"/>
      <c r="U1647" s="233" t="n"/>
      <c r="V1647" s="233" t="n"/>
      <c r="W1647" s="232" t="n"/>
    </row>
    <row r="1648" ht="54.95" customFormat="1" customHeight="1" s="235">
      <c r="A1648" s="232" t="n"/>
      <c r="B1648" s="232" t="n"/>
      <c r="C1648" s="232" t="n"/>
      <c r="D1648" s="233" t="n"/>
      <c r="E1648" s="232" t="n"/>
      <c r="F1648" s="233" t="n"/>
      <c r="G1648" s="233" t="n"/>
      <c r="H1648" s="233" t="n"/>
      <c r="I1648" s="232" t="n"/>
      <c r="J1648" s="233" t="n"/>
      <c r="K1648" s="232" t="n"/>
      <c r="L1648" s="232" t="n"/>
      <c r="M1648" s="232" t="n"/>
      <c r="N1648" s="233" t="n"/>
      <c r="O1648" s="232" t="n"/>
      <c r="P1648" s="233" t="n"/>
      <c r="Q1648" s="233" t="n"/>
      <c r="R1648" s="233" t="n"/>
      <c r="S1648" s="232" t="n"/>
      <c r="T1648" s="233" t="n"/>
      <c r="U1648" s="233" t="n"/>
      <c r="V1648" s="233" t="n"/>
      <c r="W1648" s="232" t="n"/>
    </row>
    <row r="1649" ht="54.95" customFormat="1" customHeight="1" s="235">
      <c r="A1649" s="232" t="n"/>
      <c r="B1649" s="232" t="n"/>
      <c r="C1649" s="232" t="n"/>
      <c r="D1649" s="233" t="n"/>
      <c r="E1649" s="232" t="n"/>
      <c r="F1649" s="233" t="n"/>
      <c r="G1649" s="233" t="n"/>
      <c r="H1649" s="233" t="n"/>
      <c r="I1649" s="232" t="n"/>
      <c r="J1649" s="233" t="n"/>
      <c r="K1649" s="232" t="n"/>
      <c r="L1649" s="232" t="n"/>
      <c r="M1649" s="232" t="n"/>
      <c r="N1649" s="233" t="n"/>
      <c r="O1649" s="232" t="n"/>
      <c r="P1649" s="233" t="n"/>
      <c r="Q1649" s="233" t="n"/>
      <c r="R1649" s="233" t="n"/>
      <c r="S1649" s="232" t="n"/>
      <c r="T1649" s="233" t="n"/>
      <c r="U1649" s="233" t="n"/>
      <c r="V1649" s="233" t="n"/>
      <c r="W1649" s="232" t="n"/>
    </row>
    <row r="1650" ht="54.95" customFormat="1" customHeight="1" s="235">
      <c r="A1650" s="232" t="n"/>
      <c r="B1650" s="232" t="n"/>
      <c r="C1650" s="232" t="n"/>
      <c r="D1650" s="233" t="n"/>
      <c r="E1650" s="232" t="n"/>
      <c r="F1650" s="233" t="n"/>
      <c r="G1650" s="233" t="n"/>
      <c r="H1650" s="233" t="n"/>
      <c r="I1650" s="232" t="n"/>
      <c r="J1650" s="233" t="n"/>
      <c r="K1650" s="232" t="n"/>
      <c r="L1650" s="232" t="n"/>
      <c r="M1650" s="232" t="n"/>
      <c r="N1650" s="233" t="n"/>
      <c r="O1650" s="232" t="n"/>
      <c r="P1650" s="233" t="n"/>
      <c r="Q1650" s="233" t="n"/>
      <c r="R1650" s="233" t="n"/>
      <c r="S1650" s="232" t="n"/>
      <c r="T1650" s="233" t="n"/>
      <c r="U1650" s="233" t="n"/>
      <c r="V1650" s="233" t="n"/>
      <c r="W1650" s="232" t="n"/>
    </row>
    <row r="1651" ht="54.95" customFormat="1" customHeight="1" s="235">
      <c r="A1651" s="232" t="n"/>
      <c r="B1651" s="232" t="n"/>
      <c r="C1651" s="232" t="n"/>
      <c r="D1651" s="233" t="n"/>
      <c r="E1651" s="232" t="n"/>
      <c r="F1651" s="233" t="n"/>
      <c r="G1651" s="233" t="n"/>
      <c r="H1651" s="233" t="n"/>
      <c r="I1651" s="232" t="n"/>
      <c r="J1651" s="233" t="n"/>
      <c r="K1651" s="232" t="n"/>
      <c r="L1651" s="232" t="n"/>
      <c r="M1651" s="232" t="n"/>
      <c r="N1651" s="233" t="n"/>
      <c r="O1651" s="232" t="n"/>
      <c r="P1651" s="233" t="n"/>
      <c r="Q1651" s="233" t="n"/>
      <c r="R1651" s="233" t="n"/>
      <c r="S1651" s="232" t="n"/>
      <c r="T1651" s="233" t="n"/>
      <c r="U1651" s="233" t="n"/>
      <c r="V1651" s="233" t="n"/>
      <c r="W1651" s="232" t="n"/>
    </row>
    <row r="1652" ht="54.95" customFormat="1" customHeight="1" s="235">
      <c r="A1652" s="234" t="n"/>
      <c r="B1652" s="234" t="n"/>
      <c r="C1652" s="234" t="n"/>
      <c r="D1652" s="234" t="n"/>
      <c r="E1652" s="234" t="n"/>
      <c r="F1652" s="234" t="n"/>
      <c r="G1652" s="234" t="n"/>
      <c r="H1652" s="234" t="n"/>
      <c r="I1652" s="234" t="n"/>
      <c r="J1652" s="234" t="n"/>
      <c r="K1652" s="234" t="n"/>
      <c r="L1652" s="234" t="n"/>
      <c r="M1652" s="232" t="n"/>
      <c r="N1652" s="233" t="n"/>
      <c r="O1652" s="232" t="n"/>
      <c r="P1652" s="234" t="n"/>
      <c r="Q1652" s="234" t="n"/>
      <c r="R1652" s="234" t="n"/>
      <c r="S1652" s="234" t="n"/>
      <c r="T1652" s="234" t="n"/>
      <c r="U1652" s="234" t="n"/>
      <c r="V1652" s="234" t="n"/>
      <c r="W1652" s="234" t="n"/>
    </row>
    <row r="1653" ht="54.95" customFormat="1" customHeight="1" s="235">
      <c r="A1653" s="232" t="n"/>
      <c r="B1653" s="232" t="n"/>
      <c r="C1653" s="232" t="n"/>
      <c r="D1653" s="233" t="n"/>
      <c r="E1653" s="232" t="n"/>
      <c r="F1653" s="233" t="n"/>
      <c r="G1653" s="233" t="n"/>
      <c r="H1653" s="233" t="n"/>
      <c r="I1653" s="232" t="n"/>
      <c r="J1653" s="233" t="n"/>
      <c r="K1653" s="232" t="n"/>
      <c r="L1653" s="232" t="n"/>
      <c r="M1653" s="232" t="n"/>
      <c r="N1653" s="233" t="n"/>
      <c r="O1653" s="232" t="n"/>
      <c r="P1653" s="233" t="n"/>
      <c r="Q1653" s="233" t="n"/>
      <c r="R1653" s="233" t="n"/>
      <c r="S1653" s="232" t="n"/>
      <c r="T1653" s="233" t="n"/>
      <c r="U1653" s="233" t="n"/>
      <c r="V1653" s="233" t="n"/>
      <c r="W1653" s="232" t="n"/>
    </row>
    <row r="1654" ht="54.95" customFormat="1" customHeight="1" s="235">
      <c r="A1654" s="234" t="n"/>
      <c r="B1654" s="234" t="n"/>
      <c r="C1654" s="234" t="n"/>
      <c r="D1654" s="234" t="n"/>
      <c r="E1654" s="234" t="n"/>
      <c r="F1654" s="234" t="n"/>
      <c r="G1654" s="234" t="n"/>
      <c r="H1654" s="234" t="n"/>
      <c r="I1654" s="234" t="n"/>
      <c r="J1654" s="234" t="n"/>
      <c r="K1654" s="234" t="n"/>
      <c r="L1654" s="234" t="n"/>
      <c r="M1654" s="232" t="n"/>
      <c r="N1654" s="233" t="n"/>
      <c r="O1654" s="232" t="n"/>
      <c r="P1654" s="234" t="n"/>
      <c r="Q1654" s="234" t="n"/>
      <c r="R1654" s="234" t="n"/>
      <c r="S1654" s="234" t="n"/>
      <c r="T1654" s="234" t="n"/>
      <c r="U1654" s="234" t="n"/>
      <c r="V1654" s="234" t="n"/>
      <c r="W1654" s="234" t="n"/>
    </row>
    <row r="1655" ht="54.95" customFormat="1" customHeight="1" s="235">
      <c r="A1655" s="232" t="n"/>
      <c r="B1655" s="232" t="n"/>
      <c r="C1655" s="232" t="n"/>
      <c r="D1655" s="233" t="n"/>
      <c r="E1655" s="232" t="n"/>
      <c r="F1655" s="233" t="n"/>
      <c r="G1655" s="233" t="n"/>
      <c r="H1655" s="233" t="n"/>
      <c r="I1655" s="232" t="n"/>
      <c r="J1655" s="233" t="n"/>
      <c r="K1655" s="232" t="n"/>
      <c r="L1655" s="232" t="n"/>
      <c r="M1655" s="232" t="n"/>
      <c r="N1655" s="233" t="n"/>
      <c r="O1655" s="232" t="n"/>
      <c r="P1655" s="233" t="n"/>
      <c r="Q1655" s="233" t="n"/>
      <c r="R1655" s="233" t="n"/>
      <c r="S1655" s="232" t="n"/>
      <c r="T1655" s="233" t="n"/>
      <c r="U1655" s="233" t="n"/>
      <c r="V1655" s="233" t="n"/>
      <c r="W1655" s="232" t="n"/>
    </row>
    <row r="1656" ht="54.95" customFormat="1" customHeight="1" s="235">
      <c r="A1656" s="232" t="n"/>
      <c r="B1656" s="232" t="n"/>
      <c r="C1656" s="232" t="n"/>
      <c r="D1656" s="233" t="n"/>
      <c r="E1656" s="232" t="n"/>
      <c r="F1656" s="233" t="n"/>
      <c r="G1656" s="233" t="n"/>
      <c r="H1656" s="233" t="n"/>
      <c r="I1656" s="232" t="n"/>
      <c r="J1656" s="233" t="n"/>
      <c r="K1656" s="232" t="n"/>
      <c r="L1656" s="232" t="n"/>
      <c r="M1656" s="232" t="n"/>
      <c r="N1656" s="233" t="n"/>
      <c r="O1656" s="232" t="n"/>
      <c r="P1656" s="233" t="n"/>
      <c r="Q1656" s="233" t="n"/>
      <c r="R1656" s="233" t="n"/>
      <c r="S1656" s="232" t="n"/>
      <c r="T1656" s="233" t="n"/>
      <c r="U1656" s="233" t="n"/>
      <c r="V1656" s="233" t="n"/>
      <c r="W1656" s="232" t="n"/>
    </row>
    <row r="1657" ht="54.95" customFormat="1" customHeight="1" s="235">
      <c r="A1657" s="234" t="n"/>
      <c r="B1657" s="234" t="n"/>
      <c r="C1657" s="234" t="n"/>
      <c r="D1657" s="234" t="n"/>
      <c r="E1657" s="234" t="n"/>
      <c r="F1657" s="234" t="n"/>
      <c r="G1657" s="234" t="n"/>
      <c r="H1657" s="234" t="n"/>
      <c r="I1657" s="234" t="n"/>
      <c r="J1657" s="234" t="n"/>
      <c r="K1657" s="234" t="n"/>
      <c r="L1657" s="234" t="n"/>
      <c r="M1657" s="232" t="n"/>
      <c r="N1657" s="233" t="n"/>
      <c r="O1657" s="232" t="n"/>
      <c r="P1657" s="234" t="n"/>
      <c r="Q1657" s="234" t="n"/>
      <c r="R1657" s="234" t="n"/>
      <c r="S1657" s="234" t="n"/>
      <c r="T1657" s="234" t="n"/>
      <c r="U1657" s="234" t="n"/>
      <c r="V1657" s="234" t="n"/>
      <c r="W1657" s="234" t="n"/>
    </row>
    <row r="1658" ht="54.95" customFormat="1" customHeight="1" s="235">
      <c r="A1658" s="234" t="n"/>
      <c r="B1658" s="234" t="n"/>
      <c r="C1658" s="234" t="n"/>
      <c r="D1658" s="234" t="n"/>
      <c r="E1658" s="234" t="n"/>
      <c r="F1658" s="234" t="n"/>
      <c r="G1658" s="234" t="n"/>
      <c r="H1658" s="234" t="n"/>
      <c r="I1658" s="234" t="n"/>
      <c r="J1658" s="234" t="n"/>
      <c r="K1658" s="234" t="n"/>
      <c r="L1658" s="234" t="n"/>
      <c r="M1658" s="232" t="n"/>
      <c r="N1658" s="233" t="n"/>
      <c r="O1658" s="232" t="n"/>
      <c r="P1658" s="234" t="n"/>
      <c r="Q1658" s="234" t="n"/>
      <c r="R1658" s="234" t="n"/>
      <c r="S1658" s="234" t="n"/>
      <c r="T1658" s="234" t="n"/>
      <c r="U1658" s="234" t="n"/>
      <c r="V1658" s="234" t="n"/>
      <c r="W1658" s="234" t="n"/>
    </row>
    <row r="1659" ht="54.95" customFormat="1" customHeight="1" s="235">
      <c r="A1659" s="234" t="n"/>
      <c r="B1659" s="234" t="n"/>
      <c r="C1659" s="234" t="n"/>
      <c r="D1659" s="234" t="n"/>
      <c r="E1659" s="234" t="n"/>
      <c r="F1659" s="234" t="n"/>
      <c r="G1659" s="234" t="n"/>
      <c r="H1659" s="234" t="n"/>
      <c r="I1659" s="234" t="n"/>
      <c r="J1659" s="234" t="n"/>
      <c r="K1659" s="234" t="n"/>
      <c r="L1659" s="234" t="n"/>
      <c r="M1659" s="232" t="n"/>
      <c r="N1659" s="233" t="n"/>
      <c r="O1659" s="232" t="n"/>
      <c r="P1659" s="234" t="n"/>
      <c r="Q1659" s="234" t="n"/>
      <c r="R1659" s="234" t="n"/>
      <c r="S1659" s="234" t="n"/>
      <c r="T1659" s="234" t="n"/>
      <c r="U1659" s="234" t="n"/>
      <c r="V1659" s="234" t="n"/>
      <c r="W1659" s="234" t="n"/>
    </row>
    <row r="1660" ht="54.95" customFormat="1" customHeight="1" s="235">
      <c r="A1660" s="234" t="n"/>
      <c r="B1660" s="234" t="n"/>
      <c r="C1660" s="234" t="n"/>
      <c r="D1660" s="234" t="n"/>
      <c r="E1660" s="234" t="n"/>
      <c r="F1660" s="234" t="n"/>
      <c r="G1660" s="234" t="n"/>
      <c r="H1660" s="234" t="n"/>
      <c r="I1660" s="234" t="n"/>
      <c r="J1660" s="234" t="n"/>
      <c r="K1660" s="234" t="n"/>
      <c r="L1660" s="234" t="n"/>
      <c r="M1660" s="232" t="n"/>
      <c r="N1660" s="233" t="n"/>
      <c r="O1660" s="232" t="n"/>
      <c r="P1660" s="234" t="n"/>
      <c r="Q1660" s="234" t="n"/>
      <c r="R1660" s="234" t="n"/>
      <c r="S1660" s="234" t="n"/>
      <c r="T1660" s="234" t="n"/>
      <c r="U1660" s="234" t="n"/>
      <c r="V1660" s="234" t="n"/>
      <c r="W1660" s="234" t="n"/>
    </row>
    <row r="1661" ht="54.95" customFormat="1" customHeight="1" s="235">
      <c r="A1661" s="232" t="n"/>
      <c r="B1661" s="232" t="n"/>
      <c r="C1661" s="232" t="n"/>
      <c r="D1661" s="233" t="n"/>
      <c r="E1661" s="232" t="n"/>
      <c r="F1661" s="233" t="n"/>
      <c r="G1661" s="233" t="n"/>
      <c r="H1661" s="233" t="n"/>
      <c r="I1661" s="232" t="n"/>
      <c r="J1661" s="233" t="n"/>
      <c r="K1661" s="232" t="n"/>
      <c r="L1661" s="232" t="n"/>
      <c r="M1661" s="232" t="n"/>
      <c r="N1661" s="233" t="n"/>
      <c r="O1661" s="232" t="n"/>
      <c r="P1661" s="233" t="n"/>
      <c r="Q1661" s="233" t="n"/>
      <c r="R1661" s="233" t="n"/>
      <c r="S1661" s="232" t="n"/>
      <c r="T1661" s="233" t="n"/>
      <c r="U1661" s="233" t="n"/>
      <c r="V1661" s="233" t="n"/>
      <c r="W1661" s="232" t="n"/>
    </row>
    <row r="1662" ht="54.95" customFormat="1" customHeight="1" s="235">
      <c r="A1662" s="232" t="n"/>
      <c r="B1662" s="232" t="n"/>
      <c r="C1662" s="232" t="n"/>
      <c r="D1662" s="233" t="n"/>
      <c r="E1662" s="232" t="n"/>
      <c r="F1662" s="233" t="n"/>
      <c r="G1662" s="233" t="n"/>
      <c r="H1662" s="233" t="n"/>
      <c r="I1662" s="232" t="n"/>
      <c r="J1662" s="233" t="n"/>
      <c r="K1662" s="232" t="n"/>
      <c r="L1662" s="232" t="n"/>
      <c r="M1662" s="232" t="n"/>
      <c r="N1662" s="233" t="n"/>
      <c r="O1662" s="232" t="n"/>
      <c r="P1662" s="233" t="n"/>
      <c r="Q1662" s="233" t="n"/>
      <c r="R1662" s="233" t="n"/>
      <c r="S1662" s="232" t="n"/>
      <c r="T1662" s="233" t="n"/>
      <c r="U1662" s="233" t="n"/>
      <c r="V1662" s="233" t="n"/>
      <c r="W1662" s="232" t="n"/>
    </row>
    <row r="1663" ht="54.95" customFormat="1" customHeight="1" s="235">
      <c r="A1663" s="232" t="n"/>
      <c r="B1663" s="232" t="n"/>
      <c r="C1663" s="232" t="n"/>
      <c r="D1663" s="233" t="n"/>
      <c r="E1663" s="232" t="n"/>
      <c r="F1663" s="233" t="n"/>
      <c r="G1663" s="233" t="n"/>
      <c r="H1663" s="233" t="n"/>
      <c r="I1663" s="232" t="n"/>
      <c r="J1663" s="233" t="n"/>
      <c r="K1663" s="232" t="n"/>
      <c r="L1663" s="232" t="n"/>
      <c r="M1663" s="232" t="n"/>
      <c r="N1663" s="233" t="n"/>
      <c r="O1663" s="232" t="n"/>
      <c r="P1663" s="233" t="n"/>
      <c r="Q1663" s="233" t="n"/>
      <c r="R1663" s="233" t="n"/>
      <c r="S1663" s="232" t="n"/>
      <c r="T1663" s="233" t="n"/>
      <c r="U1663" s="233" t="n"/>
      <c r="V1663" s="233" t="n"/>
      <c r="W1663" s="232" t="n"/>
    </row>
    <row r="1664" ht="54.95" customFormat="1" customHeight="1" s="235">
      <c r="A1664" s="232" t="n"/>
      <c r="B1664" s="232" t="n"/>
      <c r="C1664" s="232" t="n"/>
      <c r="D1664" s="233" t="n"/>
      <c r="E1664" s="232" t="n"/>
      <c r="F1664" s="233" t="n"/>
      <c r="G1664" s="233" t="n"/>
      <c r="H1664" s="233" t="n"/>
      <c r="I1664" s="232" t="n"/>
      <c r="J1664" s="233" t="n"/>
      <c r="K1664" s="232" t="n"/>
      <c r="L1664" s="232" t="n"/>
      <c r="M1664" s="232" t="n"/>
      <c r="N1664" s="233" t="n"/>
      <c r="O1664" s="232" t="n"/>
      <c r="P1664" s="233" t="n"/>
      <c r="Q1664" s="233" t="n"/>
      <c r="R1664" s="233" t="n"/>
      <c r="S1664" s="232" t="n"/>
      <c r="T1664" s="233" t="n"/>
      <c r="U1664" s="233" t="n"/>
      <c r="V1664" s="233" t="n"/>
      <c r="W1664" s="232" t="n"/>
    </row>
    <row r="1665" ht="54.95" customFormat="1" customHeight="1" s="235">
      <c r="A1665" s="234" t="n"/>
      <c r="B1665" s="234" t="n"/>
      <c r="C1665" s="234" t="n"/>
      <c r="D1665" s="234" t="n"/>
      <c r="E1665" s="234" t="n"/>
      <c r="F1665" s="234" t="n"/>
      <c r="G1665" s="234" t="n"/>
      <c r="H1665" s="234" t="n"/>
      <c r="I1665" s="234" t="n"/>
      <c r="J1665" s="234" t="n"/>
      <c r="K1665" s="234" t="n"/>
      <c r="L1665" s="234" t="n"/>
      <c r="M1665" s="232" t="n"/>
      <c r="N1665" s="233" t="n"/>
      <c r="O1665" s="232" t="n"/>
      <c r="P1665" s="234" t="n"/>
      <c r="Q1665" s="234" t="n"/>
      <c r="R1665" s="234" t="n"/>
      <c r="S1665" s="234" t="n"/>
      <c r="T1665" s="234" t="n"/>
      <c r="U1665" s="234" t="n"/>
      <c r="V1665" s="234" t="n"/>
      <c r="W1665" s="234" t="n"/>
    </row>
    <row r="1666" ht="54.95" customFormat="1" customHeight="1" s="235">
      <c r="A1666" s="232" t="n"/>
      <c r="B1666" s="232" t="n"/>
      <c r="C1666" s="232" t="n"/>
      <c r="D1666" s="233" t="n"/>
      <c r="E1666" s="232" t="n"/>
      <c r="F1666" s="233" t="n"/>
      <c r="G1666" s="233" t="n"/>
      <c r="H1666" s="233" t="n"/>
      <c r="I1666" s="232" t="n"/>
      <c r="J1666" s="233" t="n"/>
      <c r="K1666" s="232" t="n"/>
      <c r="L1666" s="232" t="n"/>
      <c r="M1666" s="232" t="n"/>
      <c r="N1666" s="233" t="n"/>
      <c r="O1666" s="232" t="n"/>
      <c r="P1666" s="233" t="n"/>
      <c r="Q1666" s="233" t="n"/>
      <c r="R1666" s="233" t="n"/>
      <c r="S1666" s="232" t="n"/>
      <c r="T1666" s="233" t="n"/>
      <c r="U1666" s="233" t="n"/>
      <c r="V1666" s="233" t="n"/>
      <c r="W1666" s="232" t="n"/>
    </row>
    <row r="1667" ht="54.95" customFormat="1" customHeight="1" s="235">
      <c r="A1667" s="232" t="n"/>
      <c r="B1667" s="232" t="n"/>
      <c r="C1667" s="232" t="n"/>
      <c r="D1667" s="233" t="n"/>
      <c r="E1667" s="232" t="n"/>
      <c r="F1667" s="233" t="n"/>
      <c r="G1667" s="233" t="n"/>
      <c r="H1667" s="233" t="n"/>
      <c r="I1667" s="232" t="n"/>
      <c r="J1667" s="233" t="n"/>
      <c r="K1667" s="232" t="n"/>
      <c r="L1667" s="232" t="n"/>
      <c r="M1667" s="232" t="n"/>
      <c r="N1667" s="233" t="n"/>
      <c r="O1667" s="232" t="n"/>
      <c r="P1667" s="233" t="n"/>
      <c r="Q1667" s="233" t="n"/>
      <c r="R1667" s="233" t="n"/>
      <c r="S1667" s="232" t="n"/>
      <c r="T1667" s="233" t="n"/>
      <c r="U1667" s="233" t="n"/>
      <c r="V1667" s="233" t="n"/>
      <c r="W1667" s="232" t="n"/>
    </row>
    <row r="1668" ht="54.95" customFormat="1" customHeight="1" s="235">
      <c r="A1668" s="234" t="n"/>
      <c r="B1668" s="234" t="n"/>
      <c r="C1668" s="234" t="n"/>
      <c r="D1668" s="234" t="n"/>
      <c r="E1668" s="234" t="n"/>
      <c r="F1668" s="234" t="n"/>
      <c r="G1668" s="234" t="n"/>
      <c r="H1668" s="234" t="n"/>
      <c r="I1668" s="234" t="n"/>
      <c r="J1668" s="234" t="n"/>
      <c r="K1668" s="234" t="n"/>
      <c r="L1668" s="234" t="n"/>
      <c r="M1668" s="232" t="n"/>
      <c r="N1668" s="233" t="n"/>
      <c r="O1668" s="232" t="n"/>
      <c r="P1668" s="234" t="n"/>
      <c r="Q1668" s="234" t="n"/>
      <c r="R1668" s="234" t="n"/>
      <c r="S1668" s="234" t="n"/>
      <c r="T1668" s="234" t="n"/>
      <c r="U1668" s="234" t="n"/>
      <c r="V1668" s="234" t="n"/>
      <c r="W1668" s="234" t="n"/>
    </row>
    <row r="1669" ht="54.95" customFormat="1" customHeight="1" s="235">
      <c r="A1669" s="232" t="n"/>
      <c r="B1669" s="232" t="n"/>
      <c r="C1669" s="232" t="n"/>
      <c r="D1669" s="233" t="n"/>
      <c r="E1669" s="232" t="n"/>
      <c r="F1669" s="233" t="n"/>
      <c r="G1669" s="233" t="n"/>
      <c r="H1669" s="233" t="n"/>
      <c r="I1669" s="232" t="n"/>
      <c r="J1669" s="233" t="n"/>
      <c r="K1669" s="232" t="n"/>
      <c r="L1669" s="232" t="n"/>
      <c r="M1669" s="232" t="n"/>
      <c r="N1669" s="233" t="n"/>
      <c r="O1669" s="232" t="n"/>
      <c r="P1669" s="233" t="n"/>
      <c r="Q1669" s="233" t="n"/>
      <c r="R1669" s="233" t="n"/>
      <c r="S1669" s="232" t="n"/>
      <c r="T1669" s="233" t="n"/>
      <c r="U1669" s="233" t="n"/>
      <c r="V1669" s="233" t="n"/>
      <c r="W1669" s="232" t="n"/>
    </row>
    <row r="1670" ht="54.95" customFormat="1" customHeight="1" s="235">
      <c r="A1670" s="232" t="n"/>
      <c r="B1670" s="232" t="n"/>
      <c r="C1670" s="232" t="n"/>
      <c r="D1670" s="233" t="n"/>
      <c r="E1670" s="232" t="n"/>
      <c r="F1670" s="233" t="n"/>
      <c r="G1670" s="233" t="n"/>
      <c r="H1670" s="233" t="n"/>
      <c r="I1670" s="232" t="n"/>
      <c r="J1670" s="233" t="n"/>
      <c r="K1670" s="232" t="n"/>
      <c r="L1670" s="232" t="n"/>
      <c r="M1670" s="232" t="n"/>
      <c r="N1670" s="233" t="n"/>
      <c r="O1670" s="232" t="n"/>
      <c r="P1670" s="233" t="n"/>
      <c r="Q1670" s="233" t="n"/>
      <c r="R1670" s="233" t="n"/>
      <c r="S1670" s="232" t="n"/>
      <c r="T1670" s="233" t="n"/>
      <c r="U1670" s="233" t="n"/>
      <c r="V1670" s="233" t="n"/>
      <c r="W1670" s="232" t="n"/>
    </row>
    <row r="1671" ht="54.95" customFormat="1" customHeight="1" s="235">
      <c r="A1671" s="234" t="n"/>
      <c r="B1671" s="234" t="n"/>
      <c r="C1671" s="234" t="n"/>
      <c r="D1671" s="234" t="n"/>
      <c r="E1671" s="234" t="n"/>
      <c r="F1671" s="234" t="n"/>
      <c r="G1671" s="234" t="n"/>
      <c r="H1671" s="234" t="n"/>
      <c r="I1671" s="234" t="n"/>
      <c r="J1671" s="234" t="n"/>
      <c r="K1671" s="234" t="n"/>
      <c r="L1671" s="234" t="n"/>
      <c r="M1671" s="232" t="n"/>
      <c r="N1671" s="233" t="n"/>
      <c r="O1671" s="232" t="n"/>
      <c r="P1671" s="234" t="n"/>
      <c r="Q1671" s="234" t="n"/>
      <c r="R1671" s="234" t="n"/>
      <c r="S1671" s="234" t="n"/>
      <c r="T1671" s="234" t="n"/>
      <c r="U1671" s="234" t="n"/>
      <c r="V1671" s="234" t="n"/>
      <c r="W1671" s="234" t="n"/>
    </row>
    <row r="1672" ht="54.95" customFormat="1" customHeight="1" s="235">
      <c r="A1672" s="232" t="n"/>
      <c r="B1672" s="232" t="n"/>
      <c r="C1672" s="232" t="n"/>
      <c r="D1672" s="233" t="n"/>
      <c r="E1672" s="232" t="n"/>
      <c r="F1672" s="233" t="n"/>
      <c r="G1672" s="233" t="n"/>
      <c r="H1672" s="233" t="n"/>
      <c r="I1672" s="232" t="n"/>
      <c r="J1672" s="233" t="n"/>
      <c r="K1672" s="232" t="n"/>
      <c r="L1672" s="232" t="n"/>
      <c r="M1672" s="232" t="n"/>
      <c r="N1672" s="233" t="n"/>
      <c r="O1672" s="232" t="n"/>
      <c r="P1672" s="233" t="n"/>
      <c r="Q1672" s="233" t="n"/>
      <c r="R1672" s="233" t="n"/>
      <c r="S1672" s="232" t="n"/>
      <c r="T1672" s="233" t="n"/>
      <c r="U1672" s="233" t="n"/>
      <c r="V1672" s="233" t="n"/>
      <c r="W1672" s="232" t="n"/>
    </row>
    <row r="1673" ht="54.95" customFormat="1" customHeight="1" s="235">
      <c r="A1673" s="232" t="n"/>
      <c r="B1673" s="232" t="n"/>
      <c r="C1673" s="232" t="n"/>
      <c r="D1673" s="233" t="n"/>
      <c r="E1673" s="232" t="n"/>
      <c r="F1673" s="233" t="n"/>
      <c r="G1673" s="233" t="n"/>
      <c r="H1673" s="233" t="n"/>
      <c r="I1673" s="232" t="n"/>
      <c r="J1673" s="233" t="n"/>
      <c r="K1673" s="232" t="n"/>
      <c r="L1673" s="232" t="n"/>
      <c r="M1673" s="232" t="n"/>
      <c r="N1673" s="233" t="n"/>
      <c r="O1673" s="232" t="n"/>
      <c r="P1673" s="233" t="n"/>
      <c r="Q1673" s="233" t="n"/>
      <c r="R1673" s="233" t="n"/>
      <c r="S1673" s="232" t="n"/>
      <c r="T1673" s="233" t="n"/>
      <c r="U1673" s="233" t="n"/>
      <c r="V1673" s="233" t="n"/>
      <c r="W1673" s="232" t="n"/>
    </row>
    <row r="1674" ht="54.95" customFormat="1" customHeight="1" s="235">
      <c r="A1674" s="232" t="n"/>
      <c r="B1674" s="232" t="n"/>
      <c r="C1674" s="232" t="n"/>
      <c r="D1674" s="233" t="n"/>
      <c r="E1674" s="232" t="n"/>
      <c r="F1674" s="233" t="n"/>
      <c r="G1674" s="233" t="n"/>
      <c r="H1674" s="233" t="n"/>
      <c r="I1674" s="232" t="n"/>
      <c r="J1674" s="233" t="n"/>
      <c r="K1674" s="232" t="n"/>
      <c r="L1674" s="232" t="n"/>
      <c r="M1674" s="232" t="n"/>
      <c r="N1674" s="233" t="n"/>
      <c r="O1674" s="232" t="n"/>
      <c r="P1674" s="233" t="n"/>
      <c r="Q1674" s="233" t="n"/>
      <c r="R1674" s="233" t="n"/>
      <c r="S1674" s="232" t="n"/>
      <c r="T1674" s="233" t="n"/>
      <c r="U1674" s="233" t="n"/>
      <c r="V1674" s="233" t="n"/>
      <c r="W1674" s="232" t="n"/>
    </row>
    <row r="1675" ht="54.95" customFormat="1" customHeight="1" s="235">
      <c r="A1675" s="232" t="n"/>
      <c r="B1675" s="232" t="n"/>
      <c r="C1675" s="232" t="n"/>
      <c r="D1675" s="233" t="n"/>
      <c r="E1675" s="232" t="n"/>
      <c r="F1675" s="233" t="n"/>
      <c r="G1675" s="233" t="n"/>
      <c r="H1675" s="233" t="n"/>
      <c r="I1675" s="232" t="n"/>
      <c r="J1675" s="233" t="n"/>
      <c r="K1675" s="232" t="n"/>
      <c r="L1675" s="232" t="n"/>
      <c r="M1675" s="232" t="n"/>
      <c r="N1675" s="233" t="n"/>
      <c r="O1675" s="232" t="n"/>
      <c r="P1675" s="233" t="n"/>
      <c r="Q1675" s="233" t="n"/>
      <c r="R1675" s="233" t="n"/>
      <c r="S1675" s="232" t="n"/>
      <c r="T1675" s="233" t="n"/>
      <c r="U1675" s="233" t="n"/>
      <c r="V1675" s="233" t="n"/>
      <c r="W1675" s="232" t="n"/>
    </row>
    <row r="1676" ht="54.95" customFormat="1" customHeight="1" s="235">
      <c r="A1676" s="232" t="n"/>
      <c r="B1676" s="232" t="n"/>
      <c r="C1676" s="232" t="n"/>
      <c r="D1676" s="233" t="n"/>
      <c r="E1676" s="232" t="n"/>
      <c r="F1676" s="233" t="n"/>
      <c r="G1676" s="233" t="n"/>
      <c r="H1676" s="233" t="n"/>
      <c r="I1676" s="232" t="n"/>
      <c r="J1676" s="233" t="n"/>
      <c r="K1676" s="232" t="n"/>
      <c r="L1676" s="232" t="n"/>
      <c r="M1676" s="232" t="n"/>
      <c r="N1676" s="233" t="n"/>
      <c r="O1676" s="232" t="n"/>
      <c r="P1676" s="233" t="n"/>
      <c r="Q1676" s="233" t="n"/>
      <c r="R1676" s="233" t="n"/>
      <c r="S1676" s="232" t="n"/>
      <c r="T1676" s="233" t="n"/>
      <c r="U1676" s="233" t="n"/>
      <c r="V1676" s="233" t="n"/>
      <c r="W1676" s="232" t="n"/>
    </row>
    <row r="1677" ht="54.95" customFormat="1" customHeight="1" s="235">
      <c r="A1677" s="232" t="n"/>
      <c r="B1677" s="232" t="n"/>
      <c r="C1677" s="232" t="n"/>
      <c r="D1677" s="233" t="n"/>
      <c r="E1677" s="232" t="n"/>
      <c r="F1677" s="233" t="n"/>
      <c r="G1677" s="233" t="n"/>
      <c r="H1677" s="233" t="n"/>
      <c r="I1677" s="232" t="n"/>
      <c r="J1677" s="233" t="n"/>
      <c r="K1677" s="232" t="n"/>
      <c r="L1677" s="232" t="n"/>
      <c r="M1677" s="232" t="n"/>
      <c r="N1677" s="233" t="n"/>
      <c r="O1677" s="232" t="n"/>
      <c r="P1677" s="233" t="n"/>
      <c r="Q1677" s="233" t="n"/>
      <c r="R1677" s="233" t="n"/>
      <c r="S1677" s="232" t="n"/>
      <c r="T1677" s="233" t="n"/>
      <c r="U1677" s="233" t="n"/>
      <c r="V1677" s="233" t="n"/>
      <c r="W1677" s="232" t="n"/>
    </row>
    <row r="1678" ht="54.95" customFormat="1" customHeight="1" s="235">
      <c r="A1678" s="232" t="n"/>
      <c r="B1678" s="232" t="n"/>
      <c r="C1678" s="232" t="n"/>
      <c r="D1678" s="233" t="n"/>
      <c r="E1678" s="232" t="n"/>
      <c r="F1678" s="233" t="n"/>
      <c r="G1678" s="233" t="n"/>
      <c r="H1678" s="233" t="n"/>
      <c r="I1678" s="232" t="n"/>
      <c r="J1678" s="233" t="n"/>
      <c r="K1678" s="232" t="n"/>
      <c r="L1678" s="232" t="n"/>
      <c r="M1678" s="232" t="n"/>
      <c r="N1678" s="233" t="n"/>
      <c r="O1678" s="232" t="n"/>
      <c r="P1678" s="233" t="n"/>
      <c r="Q1678" s="233" t="n"/>
      <c r="R1678" s="233" t="n"/>
      <c r="S1678" s="232" t="n"/>
      <c r="T1678" s="233" t="n"/>
      <c r="U1678" s="233" t="n"/>
      <c r="V1678" s="233" t="n"/>
      <c r="W1678" s="232" t="n"/>
    </row>
    <row r="1679" ht="54.95" customFormat="1" customHeight="1" s="235">
      <c r="A1679" s="232" t="n"/>
      <c r="B1679" s="232" t="n"/>
      <c r="C1679" s="232" t="n"/>
      <c r="D1679" s="233" t="n"/>
      <c r="E1679" s="232" t="n"/>
      <c r="F1679" s="233" t="n"/>
      <c r="G1679" s="233" t="n"/>
      <c r="H1679" s="233" t="n"/>
      <c r="I1679" s="232" t="n"/>
      <c r="J1679" s="233" t="n"/>
      <c r="K1679" s="232" t="n"/>
      <c r="L1679" s="232" t="n"/>
      <c r="M1679" s="232" t="n"/>
      <c r="N1679" s="233" t="n"/>
      <c r="O1679" s="232" t="n"/>
      <c r="P1679" s="233" t="n"/>
      <c r="Q1679" s="233" t="n"/>
      <c r="R1679" s="233" t="n"/>
      <c r="S1679" s="232" t="n"/>
      <c r="T1679" s="233" t="n"/>
      <c r="U1679" s="233" t="n"/>
      <c r="V1679" s="233" t="n"/>
      <c r="W1679" s="232" t="n"/>
    </row>
    <row r="1680" ht="54.95" customFormat="1" customHeight="1" s="235">
      <c r="A1680" s="232" t="n"/>
      <c r="B1680" s="232" t="n"/>
      <c r="C1680" s="232" t="n"/>
      <c r="D1680" s="233" t="n"/>
      <c r="E1680" s="232" t="n"/>
      <c r="F1680" s="233" t="n"/>
      <c r="G1680" s="233" t="n"/>
      <c r="H1680" s="233" t="n"/>
      <c r="I1680" s="232" t="n"/>
      <c r="J1680" s="233" t="n"/>
      <c r="K1680" s="232" t="n"/>
      <c r="L1680" s="232" t="n"/>
      <c r="M1680" s="232" t="n"/>
      <c r="N1680" s="233" t="n"/>
      <c r="O1680" s="232" t="n"/>
      <c r="P1680" s="233" t="n"/>
      <c r="Q1680" s="233" t="n"/>
      <c r="R1680" s="233" t="n"/>
      <c r="S1680" s="232" t="n"/>
      <c r="T1680" s="233" t="n"/>
      <c r="U1680" s="233" t="n"/>
      <c r="V1680" s="233" t="n"/>
      <c r="W1680" s="232" t="n"/>
    </row>
    <row r="1681" ht="54.95" customFormat="1" customHeight="1" s="235">
      <c r="A1681" s="234" t="n"/>
      <c r="B1681" s="234" t="n"/>
      <c r="C1681" s="234" t="n"/>
      <c r="D1681" s="234" t="n"/>
      <c r="E1681" s="234" t="n"/>
      <c r="F1681" s="234" t="n"/>
      <c r="G1681" s="234" t="n"/>
      <c r="H1681" s="234" t="n"/>
      <c r="I1681" s="234" t="n"/>
      <c r="J1681" s="234" t="n"/>
      <c r="K1681" s="234" t="n"/>
      <c r="L1681" s="234" t="n"/>
      <c r="M1681" s="232" t="n"/>
      <c r="N1681" s="233" t="n"/>
      <c r="O1681" s="232" t="n"/>
      <c r="P1681" s="234" t="n"/>
      <c r="Q1681" s="234" t="n"/>
      <c r="R1681" s="234" t="n"/>
      <c r="S1681" s="234" t="n"/>
      <c r="T1681" s="234" t="n"/>
      <c r="U1681" s="234" t="n"/>
      <c r="V1681" s="234" t="n"/>
      <c r="W1681" s="234" t="n"/>
    </row>
    <row r="1682" ht="54.95" customFormat="1" customHeight="1" s="235">
      <c r="A1682" s="234" t="n"/>
      <c r="B1682" s="234" t="n"/>
      <c r="C1682" s="234" t="n"/>
      <c r="D1682" s="234" t="n"/>
      <c r="E1682" s="234" t="n"/>
      <c r="F1682" s="234" t="n"/>
      <c r="G1682" s="234" t="n"/>
      <c r="H1682" s="234" t="n"/>
      <c r="I1682" s="234" t="n"/>
      <c r="J1682" s="234" t="n"/>
      <c r="K1682" s="234" t="n"/>
      <c r="L1682" s="234" t="n"/>
      <c r="M1682" s="232" t="n"/>
      <c r="N1682" s="233" t="n"/>
      <c r="O1682" s="232" t="n"/>
      <c r="P1682" s="234" t="n"/>
      <c r="Q1682" s="234" t="n"/>
      <c r="R1682" s="234" t="n"/>
      <c r="S1682" s="234" t="n"/>
      <c r="T1682" s="234" t="n"/>
      <c r="U1682" s="234" t="n"/>
      <c r="V1682" s="234" t="n"/>
      <c r="W1682" s="234" t="n"/>
    </row>
    <row r="1683" ht="54.95" customFormat="1" customHeight="1" s="235">
      <c r="A1683" s="234" t="n"/>
      <c r="B1683" s="234" t="n"/>
      <c r="C1683" s="234" t="n"/>
      <c r="D1683" s="234" t="n"/>
      <c r="E1683" s="234" t="n"/>
      <c r="F1683" s="234" t="n"/>
      <c r="G1683" s="234" t="n"/>
      <c r="H1683" s="234" t="n"/>
      <c r="I1683" s="234" t="n"/>
      <c r="J1683" s="234" t="n"/>
      <c r="K1683" s="234" t="n"/>
      <c r="L1683" s="234" t="n"/>
      <c r="M1683" s="232" t="n"/>
      <c r="N1683" s="233" t="n"/>
      <c r="O1683" s="232" t="n"/>
      <c r="P1683" s="234" t="n"/>
      <c r="Q1683" s="234" t="n"/>
      <c r="R1683" s="234" t="n"/>
      <c r="S1683" s="234" t="n"/>
      <c r="T1683" s="234" t="n"/>
      <c r="U1683" s="234" t="n"/>
      <c r="V1683" s="234" t="n"/>
      <c r="W1683" s="234" t="n"/>
    </row>
    <row r="1684" ht="54.95" customFormat="1" customHeight="1" s="235">
      <c r="A1684" s="234" t="n"/>
      <c r="B1684" s="234" t="n"/>
      <c r="C1684" s="234" t="n"/>
      <c r="D1684" s="234" t="n"/>
      <c r="E1684" s="234" t="n"/>
      <c r="F1684" s="234" t="n"/>
      <c r="G1684" s="234" t="n"/>
      <c r="H1684" s="234" t="n"/>
      <c r="I1684" s="234" t="n"/>
      <c r="J1684" s="234" t="n"/>
      <c r="K1684" s="234" t="n"/>
      <c r="L1684" s="234" t="n"/>
      <c r="M1684" s="232" t="n"/>
      <c r="N1684" s="233" t="n"/>
      <c r="O1684" s="232" t="n"/>
      <c r="P1684" s="234" t="n"/>
      <c r="Q1684" s="234" t="n"/>
      <c r="R1684" s="234" t="n"/>
      <c r="S1684" s="234" t="n"/>
      <c r="T1684" s="234" t="n"/>
      <c r="U1684" s="234" t="n"/>
      <c r="V1684" s="234" t="n"/>
      <c r="W1684" s="234" t="n"/>
    </row>
    <row r="1685" ht="54.95" customFormat="1" customHeight="1" s="235">
      <c r="A1685" s="234" t="n"/>
      <c r="B1685" s="234" t="n"/>
      <c r="C1685" s="234" t="n"/>
      <c r="D1685" s="234" t="n"/>
      <c r="E1685" s="234" t="n"/>
      <c r="F1685" s="234" t="n"/>
      <c r="G1685" s="234" t="n"/>
      <c r="H1685" s="234" t="n"/>
      <c r="I1685" s="234" t="n"/>
      <c r="J1685" s="234" t="n"/>
      <c r="K1685" s="234" t="n"/>
      <c r="L1685" s="234" t="n"/>
      <c r="M1685" s="232" t="n"/>
      <c r="N1685" s="233" t="n"/>
      <c r="O1685" s="232" t="n"/>
      <c r="P1685" s="234" t="n"/>
      <c r="Q1685" s="234" t="n"/>
      <c r="R1685" s="234" t="n"/>
      <c r="S1685" s="234" t="n"/>
      <c r="T1685" s="234" t="n"/>
      <c r="U1685" s="234" t="n"/>
      <c r="V1685" s="234" t="n"/>
      <c r="W1685" s="234" t="n"/>
    </row>
    <row r="1686" ht="54.95" customFormat="1" customHeight="1" s="235">
      <c r="A1686" s="234" t="n"/>
      <c r="B1686" s="234" t="n"/>
      <c r="C1686" s="234" t="n"/>
      <c r="D1686" s="234" t="n"/>
      <c r="E1686" s="234" t="n"/>
      <c r="F1686" s="234" t="n"/>
      <c r="G1686" s="234" t="n"/>
      <c r="H1686" s="234" t="n"/>
      <c r="I1686" s="234" t="n"/>
      <c r="J1686" s="234" t="n"/>
      <c r="K1686" s="234" t="n"/>
      <c r="L1686" s="234" t="n"/>
      <c r="M1686" s="232" t="n"/>
      <c r="N1686" s="233" t="n"/>
      <c r="O1686" s="232" t="n"/>
      <c r="P1686" s="234" t="n"/>
      <c r="Q1686" s="234" t="n"/>
      <c r="R1686" s="234" t="n"/>
      <c r="S1686" s="234" t="n"/>
      <c r="T1686" s="234" t="n"/>
      <c r="U1686" s="234" t="n"/>
      <c r="V1686" s="234" t="n"/>
      <c r="W1686" s="234" t="n"/>
    </row>
    <row r="1687" ht="54.95" customFormat="1" customHeight="1" s="235">
      <c r="A1687" s="234" t="n"/>
      <c r="B1687" s="234" t="n"/>
      <c r="C1687" s="234" t="n"/>
      <c r="D1687" s="234" t="n"/>
      <c r="E1687" s="234" t="n"/>
      <c r="F1687" s="234" t="n"/>
      <c r="G1687" s="234" t="n"/>
      <c r="H1687" s="234" t="n"/>
      <c r="I1687" s="234" t="n"/>
      <c r="J1687" s="234" t="n"/>
      <c r="K1687" s="234" t="n"/>
      <c r="L1687" s="234" t="n"/>
      <c r="M1687" s="232" t="n"/>
      <c r="N1687" s="233" t="n"/>
      <c r="O1687" s="232" t="n"/>
      <c r="P1687" s="234" t="n"/>
      <c r="Q1687" s="234" t="n"/>
      <c r="R1687" s="234" t="n"/>
      <c r="S1687" s="234" t="n"/>
      <c r="T1687" s="234" t="n"/>
      <c r="U1687" s="234" t="n"/>
      <c r="V1687" s="234" t="n"/>
      <c r="W1687" s="234" t="n"/>
    </row>
    <row r="1688" ht="54.95" customFormat="1" customHeight="1" s="235">
      <c r="A1688" s="234" t="n"/>
      <c r="B1688" s="234" t="n"/>
      <c r="C1688" s="234" t="n"/>
      <c r="D1688" s="234" t="n"/>
      <c r="E1688" s="234" t="n"/>
      <c r="F1688" s="234" t="n"/>
      <c r="G1688" s="234" t="n"/>
      <c r="H1688" s="234" t="n"/>
      <c r="I1688" s="234" t="n"/>
      <c r="J1688" s="234" t="n"/>
      <c r="K1688" s="234" t="n"/>
      <c r="L1688" s="234" t="n"/>
      <c r="M1688" s="232" t="n"/>
      <c r="N1688" s="233" t="n"/>
      <c r="O1688" s="232" t="n"/>
      <c r="P1688" s="234" t="n"/>
      <c r="Q1688" s="234" t="n"/>
      <c r="R1688" s="234" t="n"/>
      <c r="S1688" s="234" t="n"/>
      <c r="T1688" s="234" t="n"/>
      <c r="U1688" s="234" t="n"/>
      <c r="V1688" s="234" t="n"/>
      <c r="W1688" s="234" t="n"/>
    </row>
    <row r="1689" ht="54.95" customFormat="1" customHeight="1" s="235">
      <c r="A1689" s="234" t="n"/>
      <c r="B1689" s="234" t="n"/>
      <c r="C1689" s="234" t="n"/>
      <c r="D1689" s="234" t="n"/>
      <c r="E1689" s="234" t="n"/>
      <c r="F1689" s="234" t="n"/>
      <c r="G1689" s="234" t="n"/>
      <c r="H1689" s="234" t="n"/>
      <c r="I1689" s="234" t="n"/>
      <c r="J1689" s="234" t="n"/>
      <c r="K1689" s="234" t="n"/>
      <c r="L1689" s="234" t="n"/>
      <c r="M1689" s="232" t="n"/>
      <c r="N1689" s="233" t="n"/>
      <c r="O1689" s="232" t="n"/>
      <c r="P1689" s="234" t="n"/>
      <c r="Q1689" s="234" t="n"/>
      <c r="R1689" s="234" t="n"/>
      <c r="S1689" s="234" t="n"/>
      <c r="T1689" s="234" t="n"/>
      <c r="U1689" s="234" t="n"/>
      <c r="V1689" s="234" t="n"/>
      <c r="W1689" s="234" t="n"/>
    </row>
    <row r="1690" ht="54.95" customFormat="1" customHeight="1" s="235">
      <c r="A1690" s="234" t="n"/>
      <c r="B1690" s="234" t="n"/>
      <c r="C1690" s="234" t="n"/>
      <c r="D1690" s="234" t="n"/>
      <c r="E1690" s="234" t="n"/>
      <c r="F1690" s="234" t="n"/>
      <c r="G1690" s="234" t="n"/>
      <c r="H1690" s="234" t="n"/>
      <c r="I1690" s="234" t="n"/>
      <c r="J1690" s="234" t="n"/>
      <c r="K1690" s="234" t="n"/>
      <c r="L1690" s="234" t="n"/>
      <c r="M1690" s="232" t="n"/>
      <c r="N1690" s="233" t="n"/>
      <c r="O1690" s="232" t="n"/>
      <c r="P1690" s="234" t="n"/>
      <c r="Q1690" s="234" t="n"/>
      <c r="R1690" s="234" t="n"/>
      <c r="S1690" s="234" t="n"/>
      <c r="T1690" s="234" t="n"/>
      <c r="U1690" s="234" t="n"/>
      <c r="V1690" s="234" t="n"/>
      <c r="W1690" s="234" t="n"/>
    </row>
    <row r="1691" ht="54.95" customFormat="1" customHeight="1" s="235">
      <c r="A1691" s="234" t="n"/>
      <c r="B1691" s="234" t="n"/>
      <c r="C1691" s="234" t="n"/>
      <c r="D1691" s="234" t="n"/>
      <c r="E1691" s="234" t="n"/>
      <c r="F1691" s="234" t="n"/>
      <c r="G1691" s="234" t="n"/>
      <c r="H1691" s="234" t="n"/>
      <c r="I1691" s="234" t="n"/>
      <c r="J1691" s="234" t="n"/>
      <c r="K1691" s="234" t="n"/>
      <c r="L1691" s="234" t="n"/>
      <c r="M1691" s="232" t="n"/>
      <c r="N1691" s="233" t="n"/>
      <c r="O1691" s="232" t="n"/>
      <c r="P1691" s="234" t="n"/>
      <c r="Q1691" s="234" t="n"/>
      <c r="R1691" s="234" t="n"/>
      <c r="S1691" s="234" t="n"/>
      <c r="T1691" s="234" t="n"/>
      <c r="U1691" s="234" t="n"/>
      <c r="V1691" s="234" t="n"/>
      <c r="W1691" s="234" t="n"/>
    </row>
    <row r="1692" ht="54.95" customFormat="1" customHeight="1" s="235">
      <c r="A1692" s="234" t="n"/>
      <c r="B1692" s="234" t="n"/>
      <c r="C1692" s="234" t="n"/>
      <c r="D1692" s="234" t="n"/>
      <c r="E1692" s="234" t="n"/>
      <c r="F1692" s="234" t="n"/>
      <c r="G1692" s="234" t="n"/>
      <c r="H1692" s="234" t="n"/>
      <c r="I1692" s="234" t="n"/>
      <c r="J1692" s="234" t="n"/>
      <c r="K1692" s="234" t="n"/>
      <c r="L1692" s="234" t="n"/>
      <c r="M1692" s="232" t="n"/>
      <c r="N1692" s="233" t="n"/>
      <c r="O1692" s="232" t="n"/>
      <c r="P1692" s="234" t="n"/>
      <c r="Q1692" s="234" t="n"/>
      <c r="R1692" s="234" t="n"/>
      <c r="S1692" s="234" t="n"/>
      <c r="T1692" s="234" t="n"/>
      <c r="U1692" s="234" t="n"/>
      <c r="V1692" s="234" t="n"/>
      <c r="W1692" s="234" t="n"/>
    </row>
    <row r="1693" ht="54.95" customFormat="1" customHeight="1" s="235">
      <c r="A1693" s="232" t="n"/>
      <c r="B1693" s="232" t="n"/>
      <c r="C1693" s="232" t="n"/>
      <c r="D1693" s="233" t="n"/>
      <c r="E1693" s="232" t="n"/>
      <c r="F1693" s="233" t="n"/>
      <c r="G1693" s="233" t="n"/>
      <c r="H1693" s="233" t="n"/>
      <c r="I1693" s="232" t="n"/>
      <c r="J1693" s="233" t="n"/>
      <c r="K1693" s="232" t="n"/>
      <c r="L1693" s="232" t="n"/>
      <c r="M1693" s="232" t="n"/>
      <c r="N1693" s="233" t="n"/>
      <c r="O1693" s="232" t="n"/>
      <c r="P1693" s="233" t="n"/>
      <c r="Q1693" s="233" t="n"/>
      <c r="R1693" s="233" t="n"/>
      <c r="S1693" s="232" t="n"/>
      <c r="T1693" s="233" t="n"/>
      <c r="U1693" s="233" t="n"/>
      <c r="V1693" s="233" t="n"/>
      <c r="W1693" s="232" t="n"/>
    </row>
    <row r="1694" ht="54.95" customFormat="1" customHeight="1" s="235">
      <c r="A1694" s="234" t="n"/>
      <c r="B1694" s="234" t="n"/>
      <c r="C1694" s="234" t="n"/>
      <c r="D1694" s="234" t="n"/>
      <c r="E1694" s="234" t="n"/>
      <c r="F1694" s="234" t="n"/>
      <c r="G1694" s="234" t="n"/>
      <c r="H1694" s="234" t="n"/>
      <c r="I1694" s="234" t="n"/>
      <c r="J1694" s="234" t="n"/>
      <c r="K1694" s="234" t="n"/>
      <c r="L1694" s="234" t="n"/>
      <c r="M1694" s="232" t="n"/>
      <c r="N1694" s="233" t="n"/>
      <c r="O1694" s="232" t="n"/>
      <c r="P1694" s="234" t="n"/>
      <c r="Q1694" s="234" t="n"/>
      <c r="R1694" s="234" t="n"/>
      <c r="S1694" s="234" t="n"/>
      <c r="T1694" s="234" t="n"/>
      <c r="U1694" s="234" t="n"/>
      <c r="V1694" s="234" t="n"/>
      <c r="W1694" s="234" t="n"/>
    </row>
    <row r="1695" ht="54.95" customFormat="1" customHeight="1" s="235">
      <c r="A1695" s="234" t="n"/>
      <c r="B1695" s="234" t="n"/>
      <c r="C1695" s="234" t="n"/>
      <c r="D1695" s="234" t="n"/>
      <c r="E1695" s="234" t="n"/>
      <c r="F1695" s="234" t="n"/>
      <c r="G1695" s="234" t="n"/>
      <c r="H1695" s="234" t="n"/>
      <c r="I1695" s="234" t="n"/>
      <c r="J1695" s="234" t="n"/>
      <c r="K1695" s="234" t="n"/>
      <c r="L1695" s="234" t="n"/>
      <c r="M1695" s="232" t="n"/>
      <c r="N1695" s="233" t="n"/>
      <c r="O1695" s="232" t="n"/>
      <c r="P1695" s="234" t="n"/>
      <c r="Q1695" s="234" t="n"/>
      <c r="R1695" s="234" t="n"/>
      <c r="S1695" s="234" t="n"/>
      <c r="T1695" s="234" t="n"/>
      <c r="U1695" s="234" t="n"/>
      <c r="V1695" s="234" t="n"/>
      <c r="W1695" s="234" t="n"/>
    </row>
    <row r="1696" ht="54.95" customFormat="1" customHeight="1" s="235">
      <c r="A1696" s="234" t="n"/>
      <c r="B1696" s="234" t="n"/>
      <c r="C1696" s="234" t="n"/>
      <c r="D1696" s="234" t="n"/>
      <c r="E1696" s="234" t="n"/>
      <c r="F1696" s="234" t="n"/>
      <c r="G1696" s="234" t="n"/>
      <c r="H1696" s="234" t="n"/>
      <c r="I1696" s="234" t="n"/>
      <c r="J1696" s="234" t="n"/>
      <c r="K1696" s="234" t="n"/>
      <c r="L1696" s="234" t="n"/>
      <c r="M1696" s="232" t="n"/>
      <c r="N1696" s="233" t="n"/>
      <c r="O1696" s="232" t="n"/>
      <c r="P1696" s="234" t="n"/>
      <c r="Q1696" s="234" t="n"/>
      <c r="R1696" s="234" t="n"/>
      <c r="S1696" s="234" t="n"/>
      <c r="T1696" s="234" t="n"/>
      <c r="U1696" s="234" t="n"/>
      <c r="V1696" s="234" t="n"/>
      <c r="W1696" s="234" t="n"/>
    </row>
    <row r="1697" ht="54.95" customFormat="1" customHeight="1" s="235">
      <c r="A1697" s="232" t="n"/>
      <c r="B1697" s="232" t="n"/>
      <c r="C1697" s="232" t="n"/>
      <c r="D1697" s="233" t="n"/>
      <c r="E1697" s="232" t="n"/>
      <c r="F1697" s="233" t="n"/>
      <c r="G1697" s="233" t="n"/>
      <c r="H1697" s="233" t="n"/>
      <c r="I1697" s="232" t="n"/>
      <c r="J1697" s="233" t="n"/>
      <c r="K1697" s="232" t="n"/>
      <c r="L1697" s="232" t="n"/>
      <c r="M1697" s="232" t="n"/>
      <c r="N1697" s="233" t="n"/>
      <c r="O1697" s="232" t="n"/>
      <c r="P1697" s="233" t="n"/>
      <c r="Q1697" s="233" t="n"/>
      <c r="R1697" s="233" t="n"/>
      <c r="S1697" s="232" t="n"/>
      <c r="T1697" s="233" t="n"/>
      <c r="U1697" s="233" t="n"/>
      <c r="V1697" s="233" t="n"/>
      <c r="W1697" s="232" t="n"/>
    </row>
    <row r="1698" ht="54.95" customFormat="1" customHeight="1" s="235">
      <c r="A1698" s="232" t="n"/>
      <c r="B1698" s="232" t="n"/>
      <c r="C1698" s="232" t="n"/>
      <c r="D1698" s="233" t="n"/>
      <c r="E1698" s="232" t="n"/>
      <c r="F1698" s="233" t="n"/>
      <c r="G1698" s="233" t="n"/>
      <c r="H1698" s="233" t="n"/>
      <c r="I1698" s="232" t="n"/>
      <c r="J1698" s="233" t="n"/>
      <c r="K1698" s="232" t="n"/>
      <c r="L1698" s="232" t="n"/>
      <c r="M1698" s="232" t="n"/>
      <c r="N1698" s="233" t="n"/>
      <c r="O1698" s="232" t="n"/>
      <c r="P1698" s="233" t="n"/>
      <c r="Q1698" s="233" t="n"/>
      <c r="R1698" s="233" t="n"/>
      <c r="S1698" s="232" t="n"/>
      <c r="T1698" s="233" t="n"/>
      <c r="U1698" s="233" t="n"/>
      <c r="V1698" s="233" t="n"/>
      <c r="W1698" s="232" t="n"/>
    </row>
    <row r="1699" ht="54.95" customFormat="1" customHeight="1" s="235">
      <c r="A1699" s="232" t="n"/>
      <c r="B1699" s="232" t="n"/>
      <c r="C1699" s="232" t="n"/>
      <c r="D1699" s="233" t="n"/>
      <c r="E1699" s="232" t="n"/>
      <c r="F1699" s="233" t="n"/>
      <c r="G1699" s="233" t="n"/>
      <c r="H1699" s="233" t="n"/>
      <c r="I1699" s="232" t="n"/>
      <c r="J1699" s="233" t="n"/>
      <c r="K1699" s="232" t="n"/>
      <c r="L1699" s="232" t="n"/>
      <c r="M1699" s="232" t="n"/>
      <c r="N1699" s="233" t="n"/>
      <c r="O1699" s="232" t="n"/>
      <c r="P1699" s="233" t="n"/>
      <c r="Q1699" s="233" t="n"/>
      <c r="R1699" s="233" t="n"/>
      <c r="S1699" s="232" t="n"/>
      <c r="T1699" s="233" t="n"/>
      <c r="U1699" s="233" t="n"/>
      <c r="V1699" s="233" t="n"/>
      <c r="W1699" s="232" t="n"/>
    </row>
    <row r="1700" ht="54.95" customFormat="1" customHeight="1" s="235">
      <c r="A1700" s="232" t="n"/>
      <c r="B1700" s="232" t="n"/>
      <c r="C1700" s="232" t="n"/>
      <c r="D1700" s="233" t="n"/>
      <c r="E1700" s="232" t="n"/>
      <c r="F1700" s="233" t="n"/>
      <c r="G1700" s="233" t="n"/>
      <c r="H1700" s="233" t="n"/>
      <c r="I1700" s="232" t="n"/>
      <c r="J1700" s="233" t="n"/>
      <c r="K1700" s="232" t="n"/>
      <c r="L1700" s="232" t="n"/>
      <c r="M1700" s="232" t="n"/>
      <c r="N1700" s="233" t="n"/>
      <c r="O1700" s="232" t="n"/>
      <c r="P1700" s="233" t="n"/>
      <c r="Q1700" s="233" t="n"/>
      <c r="R1700" s="233" t="n"/>
      <c r="S1700" s="232" t="n"/>
      <c r="T1700" s="233" t="n"/>
      <c r="U1700" s="233" t="n"/>
      <c r="V1700" s="233" t="n"/>
      <c r="W1700" s="232" t="n"/>
    </row>
    <row r="1701" ht="54.95" customFormat="1" customHeight="1" s="235">
      <c r="A1701" s="232" t="n"/>
      <c r="B1701" s="232" t="n"/>
      <c r="C1701" s="232" t="n"/>
      <c r="D1701" s="233" t="n"/>
      <c r="E1701" s="232" t="n"/>
      <c r="F1701" s="233" t="n"/>
      <c r="G1701" s="233" t="n"/>
      <c r="H1701" s="233" t="n"/>
      <c r="I1701" s="232" t="n"/>
      <c r="J1701" s="233" t="n"/>
      <c r="K1701" s="232" t="n"/>
      <c r="L1701" s="232" t="n"/>
      <c r="M1701" s="232" t="n"/>
      <c r="N1701" s="233" t="n"/>
      <c r="O1701" s="232" t="n"/>
      <c r="P1701" s="233" t="n"/>
      <c r="Q1701" s="233" t="n"/>
      <c r="R1701" s="233" t="n"/>
      <c r="S1701" s="232" t="n"/>
      <c r="T1701" s="233" t="n"/>
      <c r="U1701" s="233" t="n"/>
      <c r="V1701" s="233" t="n"/>
      <c r="W1701" s="232" t="n"/>
    </row>
    <row r="1702" ht="54.95" customFormat="1" customHeight="1" s="235">
      <c r="A1702" s="232" t="n"/>
      <c r="B1702" s="232" t="n"/>
      <c r="C1702" s="232" t="n"/>
      <c r="D1702" s="233" t="n"/>
      <c r="E1702" s="232" t="n"/>
      <c r="F1702" s="233" t="n"/>
      <c r="G1702" s="233" t="n"/>
      <c r="H1702" s="233" t="n"/>
      <c r="I1702" s="232" t="n"/>
      <c r="J1702" s="233" t="n"/>
      <c r="K1702" s="232" t="n"/>
      <c r="L1702" s="232" t="n"/>
      <c r="M1702" s="232" t="n"/>
      <c r="N1702" s="233" t="n"/>
      <c r="O1702" s="232" t="n"/>
      <c r="P1702" s="233" t="n"/>
      <c r="Q1702" s="233" t="n"/>
      <c r="R1702" s="233" t="n"/>
      <c r="S1702" s="232" t="n"/>
      <c r="T1702" s="233" t="n"/>
      <c r="U1702" s="233" t="n"/>
      <c r="V1702" s="233" t="n"/>
      <c r="W1702" s="232" t="n"/>
    </row>
    <row r="1703" ht="54.95" customFormat="1" customHeight="1" s="235">
      <c r="A1703" s="232" t="n"/>
      <c r="B1703" s="232" t="n"/>
      <c r="C1703" s="232" t="n"/>
      <c r="D1703" s="233" t="n"/>
      <c r="E1703" s="232" t="n"/>
      <c r="F1703" s="233" t="n"/>
      <c r="G1703" s="233" t="n"/>
      <c r="H1703" s="233" t="n"/>
      <c r="I1703" s="232" t="n"/>
      <c r="J1703" s="233" t="n"/>
      <c r="K1703" s="232" t="n"/>
      <c r="L1703" s="232" t="n"/>
      <c r="M1703" s="232" t="n"/>
      <c r="N1703" s="233" t="n"/>
      <c r="O1703" s="232" t="n"/>
      <c r="P1703" s="233" t="n"/>
      <c r="Q1703" s="233" t="n"/>
      <c r="R1703" s="233" t="n"/>
      <c r="S1703" s="232" t="n"/>
      <c r="T1703" s="233" t="n"/>
      <c r="U1703" s="233" t="n"/>
      <c r="V1703" s="233" t="n"/>
      <c r="W1703" s="232" t="n"/>
    </row>
    <row r="1704" ht="54.95" customFormat="1" customHeight="1" s="235">
      <c r="A1704" s="232" t="n"/>
      <c r="B1704" s="232" t="n"/>
      <c r="C1704" s="232" t="n"/>
      <c r="D1704" s="233" t="n"/>
      <c r="E1704" s="232" t="n"/>
      <c r="F1704" s="233" t="n"/>
      <c r="G1704" s="233" t="n"/>
      <c r="H1704" s="233" t="n"/>
      <c r="I1704" s="232" t="n"/>
      <c r="J1704" s="233" t="n"/>
      <c r="K1704" s="232" t="n"/>
      <c r="L1704" s="232" t="n"/>
      <c r="M1704" s="232" t="n"/>
      <c r="N1704" s="233" t="n"/>
      <c r="O1704" s="232" t="n"/>
      <c r="P1704" s="233" t="n"/>
      <c r="Q1704" s="233" t="n"/>
      <c r="R1704" s="233" t="n"/>
      <c r="S1704" s="232" t="n"/>
      <c r="T1704" s="233" t="n"/>
      <c r="U1704" s="233" t="n"/>
      <c r="V1704" s="233" t="n"/>
      <c r="W1704" s="232" t="n"/>
    </row>
    <row r="1705" ht="54.95" customFormat="1" customHeight="1" s="235">
      <c r="A1705" s="234" t="n"/>
      <c r="B1705" s="234" t="n"/>
      <c r="C1705" s="234" t="n"/>
      <c r="D1705" s="234" t="n"/>
      <c r="E1705" s="234" t="n"/>
      <c r="F1705" s="234" t="n"/>
      <c r="G1705" s="234" t="n"/>
      <c r="H1705" s="234" t="n"/>
      <c r="I1705" s="234" t="n"/>
      <c r="J1705" s="234" t="n"/>
      <c r="K1705" s="234" t="n"/>
      <c r="L1705" s="234" t="n"/>
      <c r="M1705" s="232" t="n"/>
      <c r="N1705" s="233" t="n"/>
      <c r="O1705" s="232" t="n"/>
      <c r="P1705" s="234" t="n"/>
      <c r="Q1705" s="234" t="n"/>
      <c r="R1705" s="234" t="n"/>
      <c r="S1705" s="234" t="n"/>
      <c r="T1705" s="234" t="n"/>
      <c r="U1705" s="234" t="n"/>
      <c r="V1705" s="234" t="n"/>
      <c r="W1705" s="234" t="n"/>
    </row>
    <row r="1706" ht="54.95" customFormat="1" customHeight="1" s="235">
      <c r="A1706" s="234" t="n"/>
      <c r="B1706" s="234" t="n"/>
      <c r="C1706" s="234" t="n"/>
      <c r="D1706" s="234" t="n"/>
      <c r="E1706" s="234" t="n"/>
      <c r="F1706" s="234" t="n"/>
      <c r="G1706" s="234" t="n"/>
      <c r="H1706" s="234" t="n"/>
      <c r="I1706" s="234" t="n"/>
      <c r="J1706" s="234" t="n"/>
      <c r="K1706" s="234" t="n"/>
      <c r="L1706" s="234" t="n"/>
      <c r="M1706" s="232" t="n"/>
      <c r="N1706" s="233" t="n"/>
      <c r="O1706" s="232" t="n"/>
      <c r="P1706" s="234" t="n"/>
      <c r="Q1706" s="234" t="n"/>
      <c r="R1706" s="234" t="n"/>
      <c r="S1706" s="234" t="n"/>
      <c r="T1706" s="234" t="n"/>
      <c r="U1706" s="234" t="n"/>
      <c r="V1706" s="234" t="n"/>
      <c r="W1706" s="234" t="n"/>
    </row>
    <row r="1707" ht="54.95" customFormat="1" customHeight="1" s="235">
      <c r="A1707" s="234" t="n"/>
      <c r="B1707" s="234" t="n"/>
      <c r="C1707" s="234" t="n"/>
      <c r="D1707" s="234" t="n"/>
      <c r="E1707" s="234" t="n"/>
      <c r="F1707" s="234" t="n"/>
      <c r="G1707" s="234" t="n"/>
      <c r="H1707" s="234" t="n"/>
      <c r="I1707" s="234" t="n"/>
      <c r="J1707" s="234" t="n"/>
      <c r="K1707" s="234" t="n"/>
      <c r="L1707" s="234" t="n"/>
      <c r="M1707" s="232" t="n"/>
      <c r="N1707" s="233" t="n"/>
      <c r="O1707" s="232" t="n"/>
      <c r="P1707" s="234" t="n"/>
      <c r="Q1707" s="234" t="n"/>
      <c r="R1707" s="234" t="n"/>
      <c r="S1707" s="234" t="n"/>
      <c r="T1707" s="234" t="n"/>
      <c r="U1707" s="234" t="n"/>
      <c r="V1707" s="234" t="n"/>
      <c r="W1707" s="234" t="n"/>
    </row>
    <row r="1708" ht="54.95" customFormat="1" customHeight="1" s="235">
      <c r="A1708" s="234" t="n"/>
      <c r="B1708" s="234" t="n"/>
      <c r="C1708" s="234" t="n"/>
      <c r="D1708" s="234" t="n"/>
      <c r="E1708" s="234" t="n"/>
      <c r="F1708" s="234" t="n"/>
      <c r="G1708" s="234" t="n"/>
      <c r="H1708" s="234" t="n"/>
      <c r="I1708" s="234" t="n"/>
      <c r="J1708" s="234" t="n"/>
      <c r="K1708" s="234" t="n"/>
      <c r="L1708" s="234" t="n"/>
      <c r="M1708" s="232" t="n"/>
      <c r="N1708" s="233" t="n"/>
      <c r="O1708" s="232" t="n"/>
      <c r="P1708" s="234" t="n"/>
      <c r="Q1708" s="234" t="n"/>
      <c r="R1708" s="234" t="n"/>
      <c r="S1708" s="234" t="n"/>
      <c r="T1708" s="234" t="n"/>
      <c r="U1708" s="234" t="n"/>
      <c r="V1708" s="234" t="n"/>
      <c r="W1708" s="234" t="n"/>
    </row>
    <row r="1709" ht="54.95" customFormat="1" customHeight="1" s="235">
      <c r="A1709" s="232" t="n"/>
      <c r="B1709" s="232" t="n"/>
      <c r="C1709" s="232" t="n"/>
      <c r="D1709" s="233" t="n"/>
      <c r="E1709" s="232" t="n"/>
      <c r="F1709" s="233" t="n"/>
      <c r="G1709" s="233" t="n"/>
      <c r="H1709" s="233" t="n"/>
      <c r="I1709" s="232" t="n"/>
      <c r="J1709" s="233" t="n"/>
      <c r="K1709" s="232" t="n"/>
      <c r="L1709" s="232" t="n"/>
      <c r="M1709" s="232" t="n"/>
      <c r="N1709" s="233" t="n"/>
      <c r="O1709" s="232" t="n"/>
      <c r="P1709" s="233" t="n"/>
      <c r="Q1709" s="233" t="n"/>
      <c r="R1709" s="233" t="n"/>
      <c r="S1709" s="232" t="n"/>
      <c r="T1709" s="233" t="n"/>
      <c r="U1709" s="233" t="n"/>
      <c r="V1709" s="233" t="n"/>
      <c r="W1709" s="232" t="n"/>
    </row>
    <row r="1710" ht="54.95" customFormat="1" customHeight="1" s="235">
      <c r="A1710" s="234" t="n"/>
      <c r="B1710" s="234" t="n"/>
      <c r="C1710" s="234" t="n"/>
      <c r="D1710" s="234" t="n"/>
      <c r="E1710" s="234" t="n"/>
      <c r="F1710" s="234" t="n"/>
      <c r="G1710" s="234" t="n"/>
      <c r="H1710" s="234" t="n"/>
      <c r="I1710" s="234" t="n"/>
      <c r="J1710" s="234" t="n"/>
      <c r="K1710" s="234" t="n"/>
      <c r="L1710" s="234" t="n"/>
      <c r="M1710" s="232" t="n"/>
      <c r="N1710" s="233" t="n"/>
      <c r="O1710" s="232" t="n"/>
      <c r="P1710" s="234" t="n"/>
      <c r="Q1710" s="234" t="n"/>
      <c r="R1710" s="234" t="n"/>
      <c r="S1710" s="234" t="n"/>
      <c r="T1710" s="234" t="n"/>
      <c r="U1710" s="234" t="n"/>
      <c r="V1710" s="234" t="n"/>
      <c r="W1710" s="234" t="n"/>
    </row>
    <row r="1711" ht="54.95" customFormat="1" customHeight="1" s="235">
      <c r="A1711" s="234" t="n"/>
      <c r="B1711" s="234" t="n"/>
      <c r="C1711" s="234" t="n"/>
      <c r="D1711" s="234" t="n"/>
      <c r="E1711" s="234" t="n"/>
      <c r="F1711" s="234" t="n"/>
      <c r="G1711" s="234" t="n"/>
      <c r="H1711" s="234" t="n"/>
      <c r="I1711" s="234" t="n"/>
      <c r="J1711" s="234" t="n"/>
      <c r="K1711" s="234" t="n"/>
      <c r="L1711" s="234" t="n"/>
      <c r="M1711" s="232" t="n"/>
      <c r="N1711" s="233" t="n"/>
      <c r="O1711" s="232" t="n"/>
      <c r="P1711" s="234" t="n"/>
      <c r="Q1711" s="234" t="n"/>
      <c r="R1711" s="234" t="n"/>
      <c r="S1711" s="234" t="n"/>
      <c r="T1711" s="234" t="n"/>
      <c r="U1711" s="234" t="n"/>
      <c r="V1711" s="234" t="n"/>
      <c r="W1711" s="234" t="n"/>
    </row>
    <row r="1712" ht="54.95" customFormat="1" customHeight="1" s="235">
      <c r="A1712" s="234" t="n"/>
      <c r="B1712" s="234" t="n"/>
      <c r="C1712" s="234" t="n"/>
      <c r="D1712" s="234" t="n"/>
      <c r="E1712" s="234" t="n"/>
      <c r="F1712" s="234" t="n"/>
      <c r="G1712" s="234" t="n"/>
      <c r="H1712" s="234" t="n"/>
      <c r="I1712" s="234" t="n"/>
      <c r="J1712" s="234" t="n"/>
      <c r="K1712" s="234" t="n"/>
      <c r="L1712" s="234" t="n"/>
      <c r="M1712" s="232" t="n"/>
      <c r="N1712" s="233" t="n"/>
      <c r="O1712" s="232" t="n"/>
      <c r="P1712" s="234" t="n"/>
      <c r="Q1712" s="234" t="n"/>
      <c r="R1712" s="234" t="n"/>
      <c r="S1712" s="234" t="n"/>
      <c r="T1712" s="234" t="n"/>
      <c r="U1712" s="234" t="n"/>
      <c r="V1712" s="234" t="n"/>
      <c r="W1712" s="234" t="n"/>
    </row>
    <row r="1713" ht="54.95" customFormat="1" customHeight="1" s="235">
      <c r="A1713" s="234" t="n"/>
      <c r="B1713" s="234" t="n"/>
      <c r="C1713" s="234" t="n"/>
      <c r="D1713" s="234" t="n"/>
      <c r="E1713" s="234" t="n"/>
      <c r="F1713" s="234" t="n"/>
      <c r="G1713" s="234" t="n"/>
      <c r="H1713" s="234" t="n"/>
      <c r="I1713" s="234" t="n"/>
      <c r="J1713" s="234" t="n"/>
      <c r="K1713" s="234" t="n"/>
      <c r="L1713" s="234" t="n"/>
      <c r="M1713" s="232" t="n"/>
      <c r="N1713" s="233" t="n"/>
      <c r="O1713" s="232" t="n"/>
      <c r="P1713" s="234" t="n"/>
      <c r="Q1713" s="234" t="n"/>
      <c r="R1713" s="234" t="n"/>
      <c r="S1713" s="234" t="n"/>
      <c r="T1713" s="234" t="n"/>
      <c r="U1713" s="234" t="n"/>
      <c r="V1713" s="234" t="n"/>
      <c r="W1713" s="234" t="n"/>
    </row>
    <row r="1714" ht="54.95" customFormat="1" customHeight="1" s="235">
      <c r="A1714" s="234" t="n"/>
      <c r="B1714" s="234" t="n"/>
      <c r="C1714" s="234" t="n"/>
      <c r="D1714" s="234" t="n"/>
      <c r="E1714" s="234" t="n"/>
      <c r="F1714" s="234" t="n"/>
      <c r="G1714" s="234" t="n"/>
      <c r="H1714" s="234" t="n"/>
      <c r="I1714" s="234" t="n"/>
      <c r="J1714" s="234" t="n"/>
      <c r="K1714" s="234" t="n"/>
      <c r="L1714" s="234" t="n"/>
      <c r="M1714" s="232" t="n"/>
      <c r="N1714" s="233" t="n"/>
      <c r="O1714" s="232" t="n"/>
      <c r="P1714" s="234" t="n"/>
      <c r="Q1714" s="234" t="n"/>
      <c r="R1714" s="234" t="n"/>
      <c r="S1714" s="234" t="n"/>
      <c r="T1714" s="234" t="n"/>
      <c r="U1714" s="234" t="n"/>
      <c r="V1714" s="234" t="n"/>
      <c r="W1714" s="234" t="n"/>
    </row>
    <row r="1715" ht="54.95" customFormat="1" customHeight="1" s="235">
      <c r="A1715" s="234" t="n"/>
      <c r="B1715" s="234" t="n"/>
      <c r="C1715" s="234" t="n"/>
      <c r="D1715" s="234" t="n"/>
      <c r="E1715" s="234" t="n"/>
      <c r="F1715" s="234" t="n"/>
      <c r="G1715" s="234" t="n"/>
      <c r="H1715" s="234" t="n"/>
      <c r="I1715" s="234" t="n"/>
      <c r="J1715" s="234" t="n"/>
      <c r="K1715" s="234" t="n"/>
      <c r="L1715" s="234" t="n"/>
      <c r="M1715" s="232" t="n"/>
      <c r="N1715" s="233" t="n"/>
      <c r="O1715" s="232" t="n"/>
      <c r="P1715" s="234" t="n"/>
      <c r="Q1715" s="234" t="n"/>
      <c r="R1715" s="234" t="n"/>
      <c r="S1715" s="234" t="n"/>
      <c r="T1715" s="234" t="n"/>
      <c r="U1715" s="234" t="n"/>
      <c r="V1715" s="234" t="n"/>
      <c r="W1715" s="234" t="n"/>
    </row>
    <row r="1716" ht="54.95" customFormat="1" customHeight="1" s="235">
      <c r="A1716" s="234" t="n"/>
      <c r="B1716" s="234" t="n"/>
      <c r="C1716" s="234" t="n"/>
      <c r="D1716" s="234" t="n"/>
      <c r="E1716" s="234" t="n"/>
      <c r="F1716" s="234" t="n"/>
      <c r="G1716" s="234" t="n"/>
      <c r="H1716" s="234" t="n"/>
      <c r="I1716" s="234" t="n"/>
      <c r="J1716" s="234" t="n"/>
      <c r="K1716" s="234" t="n"/>
      <c r="L1716" s="234" t="n"/>
      <c r="M1716" s="232" t="n"/>
      <c r="N1716" s="233" t="n"/>
      <c r="O1716" s="232" t="n"/>
      <c r="P1716" s="234" t="n"/>
      <c r="Q1716" s="234" t="n"/>
      <c r="R1716" s="234" t="n"/>
      <c r="S1716" s="234" t="n"/>
      <c r="T1716" s="234" t="n"/>
      <c r="U1716" s="234" t="n"/>
      <c r="V1716" s="234" t="n"/>
      <c r="W1716" s="234" t="n"/>
    </row>
    <row r="1717" ht="54.95" customFormat="1" customHeight="1" s="235">
      <c r="A1717" s="234" t="n"/>
      <c r="B1717" s="234" t="n"/>
      <c r="C1717" s="234" t="n"/>
      <c r="D1717" s="234" t="n"/>
      <c r="E1717" s="234" t="n"/>
      <c r="F1717" s="234" t="n"/>
      <c r="G1717" s="234" t="n"/>
      <c r="H1717" s="234" t="n"/>
      <c r="I1717" s="234" t="n"/>
      <c r="J1717" s="234" t="n"/>
      <c r="K1717" s="234" t="n"/>
      <c r="L1717" s="234" t="n"/>
      <c r="M1717" s="232" t="n"/>
      <c r="N1717" s="233" t="n"/>
      <c r="O1717" s="232" t="n"/>
      <c r="P1717" s="234" t="n"/>
      <c r="Q1717" s="234" t="n"/>
      <c r="R1717" s="234" t="n"/>
      <c r="S1717" s="234" t="n"/>
      <c r="T1717" s="234" t="n"/>
      <c r="U1717" s="234" t="n"/>
      <c r="V1717" s="234" t="n"/>
      <c r="W1717" s="234" t="n"/>
    </row>
    <row r="1718" ht="54.95" customFormat="1" customHeight="1" s="235">
      <c r="A1718" s="234" t="n"/>
      <c r="B1718" s="234" t="n"/>
      <c r="C1718" s="234" t="n"/>
      <c r="D1718" s="234" t="n"/>
      <c r="E1718" s="234" t="n"/>
      <c r="F1718" s="234" t="n"/>
      <c r="G1718" s="234" t="n"/>
      <c r="H1718" s="234" t="n"/>
      <c r="I1718" s="234" t="n"/>
      <c r="J1718" s="234" t="n"/>
      <c r="K1718" s="234" t="n"/>
      <c r="L1718" s="234" t="n"/>
      <c r="M1718" s="232" t="n"/>
      <c r="N1718" s="233" t="n"/>
      <c r="O1718" s="232" t="n"/>
      <c r="P1718" s="234" t="n"/>
      <c r="Q1718" s="234" t="n"/>
      <c r="R1718" s="234" t="n"/>
      <c r="S1718" s="234" t="n"/>
      <c r="T1718" s="234" t="n"/>
      <c r="U1718" s="234" t="n"/>
      <c r="V1718" s="234" t="n"/>
      <c r="W1718" s="234" t="n"/>
    </row>
    <row r="1719" ht="54.95" customFormat="1" customHeight="1" s="235">
      <c r="A1719" s="234" t="n"/>
      <c r="B1719" s="234" t="n"/>
      <c r="C1719" s="234" t="n"/>
      <c r="D1719" s="234" t="n"/>
      <c r="E1719" s="234" t="n"/>
      <c r="F1719" s="234" t="n"/>
      <c r="G1719" s="234" t="n"/>
      <c r="H1719" s="234" t="n"/>
      <c r="I1719" s="234" t="n"/>
      <c r="J1719" s="234" t="n"/>
      <c r="K1719" s="234" t="n"/>
      <c r="L1719" s="234" t="n"/>
      <c r="M1719" s="232" t="n"/>
      <c r="N1719" s="233" t="n"/>
      <c r="O1719" s="232" t="n"/>
      <c r="P1719" s="234" t="n"/>
      <c r="Q1719" s="234" t="n"/>
      <c r="R1719" s="234" t="n"/>
      <c r="S1719" s="234" t="n"/>
      <c r="T1719" s="234" t="n"/>
      <c r="U1719" s="234" t="n"/>
      <c r="V1719" s="234" t="n"/>
      <c r="W1719" s="234" t="n"/>
    </row>
    <row r="1720" ht="54.95" customFormat="1" customHeight="1" s="235">
      <c r="A1720" s="232" t="n"/>
      <c r="B1720" s="232" t="n"/>
      <c r="C1720" s="232" t="n"/>
      <c r="D1720" s="233" t="n"/>
      <c r="E1720" s="232" t="n"/>
      <c r="F1720" s="233" t="n"/>
      <c r="G1720" s="233" t="n"/>
      <c r="H1720" s="233" t="n"/>
      <c r="I1720" s="232" t="n"/>
      <c r="J1720" s="233" t="n"/>
      <c r="K1720" s="232" t="n"/>
      <c r="L1720" s="232" t="n"/>
      <c r="M1720" s="232" t="n"/>
      <c r="N1720" s="233" t="n"/>
      <c r="O1720" s="232" t="n"/>
      <c r="P1720" s="233" t="n"/>
      <c r="Q1720" s="233" t="n"/>
      <c r="R1720" s="233" t="n"/>
      <c r="S1720" s="232" t="n"/>
      <c r="T1720" s="233" t="n"/>
      <c r="U1720" s="233" t="n"/>
      <c r="V1720" s="233" t="n"/>
      <c r="W1720" s="232" t="n"/>
    </row>
    <row r="1721" ht="54.95" customFormat="1" customHeight="1" s="235">
      <c r="A1721" s="232" t="n"/>
      <c r="B1721" s="232" t="n"/>
      <c r="C1721" s="232" t="n"/>
      <c r="D1721" s="233" t="n"/>
      <c r="E1721" s="232" t="n"/>
      <c r="F1721" s="233" t="n"/>
      <c r="G1721" s="233" t="n"/>
      <c r="H1721" s="233" t="n"/>
      <c r="I1721" s="232" t="n"/>
      <c r="J1721" s="233" t="n"/>
      <c r="K1721" s="232" t="n"/>
      <c r="L1721" s="232" t="n"/>
      <c r="M1721" s="232" t="n"/>
      <c r="N1721" s="233" t="n"/>
      <c r="O1721" s="232" t="n"/>
      <c r="P1721" s="233" t="n"/>
      <c r="Q1721" s="233" t="n"/>
      <c r="R1721" s="233" t="n"/>
      <c r="S1721" s="232" t="n"/>
      <c r="T1721" s="233" t="n"/>
      <c r="U1721" s="233" t="n"/>
      <c r="V1721" s="233" t="n"/>
      <c r="W1721" s="232" t="n"/>
    </row>
    <row r="1722" ht="54.95" customFormat="1" customHeight="1" s="235">
      <c r="A1722" s="232" t="n"/>
      <c r="B1722" s="232" t="n"/>
      <c r="C1722" s="232" t="n"/>
      <c r="D1722" s="233" t="n"/>
      <c r="E1722" s="232" t="n"/>
      <c r="F1722" s="233" t="n"/>
      <c r="G1722" s="233" t="n"/>
      <c r="H1722" s="233" t="n"/>
      <c r="I1722" s="232" t="n"/>
      <c r="J1722" s="233" t="n"/>
      <c r="K1722" s="232" t="n"/>
      <c r="L1722" s="232" t="n"/>
      <c r="M1722" s="232" t="n"/>
      <c r="N1722" s="233" t="n"/>
      <c r="O1722" s="232" t="n"/>
      <c r="P1722" s="233" t="n"/>
      <c r="Q1722" s="233" t="n"/>
      <c r="R1722" s="233" t="n"/>
      <c r="S1722" s="232" t="n"/>
      <c r="T1722" s="233" t="n"/>
      <c r="U1722" s="233" t="n"/>
      <c r="V1722" s="233" t="n"/>
      <c r="W1722" s="232" t="n"/>
    </row>
    <row r="1723" ht="54.95" customFormat="1" customHeight="1" s="235">
      <c r="A1723" s="232" t="n"/>
      <c r="B1723" s="232" t="n"/>
      <c r="C1723" s="232" t="n"/>
      <c r="D1723" s="233" t="n"/>
      <c r="E1723" s="232" t="n"/>
      <c r="F1723" s="233" t="n"/>
      <c r="G1723" s="233" t="n"/>
      <c r="H1723" s="233" t="n"/>
      <c r="I1723" s="232" t="n"/>
      <c r="J1723" s="233" t="n"/>
      <c r="K1723" s="232" t="n"/>
      <c r="L1723" s="232" t="n"/>
      <c r="M1723" s="232" t="n"/>
      <c r="N1723" s="233" t="n"/>
      <c r="O1723" s="232" t="n"/>
      <c r="P1723" s="233" t="n"/>
      <c r="Q1723" s="233" t="n"/>
      <c r="R1723" s="233" t="n"/>
      <c r="S1723" s="232" t="n"/>
      <c r="T1723" s="233" t="n"/>
      <c r="U1723" s="233" t="n"/>
      <c r="V1723" s="233" t="n"/>
      <c r="W1723" s="232" t="n"/>
    </row>
    <row r="1724" ht="54.95" customFormat="1" customHeight="1" s="235">
      <c r="A1724" s="232" t="n"/>
      <c r="B1724" s="232" t="n"/>
      <c r="C1724" s="232" t="n"/>
      <c r="D1724" s="233" t="n"/>
      <c r="E1724" s="232" t="n"/>
      <c r="F1724" s="233" t="n"/>
      <c r="G1724" s="233" t="n"/>
      <c r="H1724" s="233" t="n"/>
      <c r="I1724" s="232" t="n"/>
      <c r="J1724" s="233" t="n"/>
      <c r="K1724" s="232" t="n"/>
      <c r="L1724" s="232" t="n"/>
      <c r="M1724" s="232" t="n"/>
      <c r="N1724" s="233" t="n"/>
      <c r="O1724" s="232" t="n"/>
      <c r="P1724" s="233" t="n"/>
      <c r="Q1724" s="233" t="n"/>
      <c r="R1724" s="233" t="n"/>
      <c r="S1724" s="232" t="n"/>
      <c r="T1724" s="233" t="n"/>
      <c r="U1724" s="233" t="n"/>
      <c r="V1724" s="233" t="n"/>
      <c r="W1724" s="232" t="n"/>
    </row>
    <row r="1725" ht="54.95" customFormat="1" customHeight="1" s="235">
      <c r="A1725" s="232" t="n"/>
      <c r="B1725" s="232" t="n"/>
      <c r="C1725" s="232" t="n"/>
      <c r="D1725" s="233" t="n"/>
      <c r="E1725" s="232" t="n"/>
      <c r="F1725" s="233" t="n"/>
      <c r="G1725" s="233" t="n"/>
      <c r="H1725" s="233" t="n"/>
      <c r="I1725" s="232" t="n"/>
      <c r="J1725" s="233" t="n"/>
      <c r="K1725" s="232" t="n"/>
      <c r="L1725" s="232" t="n"/>
      <c r="M1725" s="232" t="n"/>
      <c r="N1725" s="233" t="n"/>
      <c r="O1725" s="232" t="n"/>
      <c r="P1725" s="233" t="n"/>
      <c r="Q1725" s="233" t="n"/>
      <c r="R1725" s="233" t="n"/>
      <c r="S1725" s="232" t="n"/>
      <c r="T1725" s="233" t="n"/>
      <c r="U1725" s="233" t="n"/>
      <c r="V1725" s="233" t="n"/>
      <c r="W1725" s="232" t="n"/>
    </row>
    <row r="1726" ht="54.95" customFormat="1" customHeight="1" s="235">
      <c r="A1726" s="234" t="n"/>
      <c r="B1726" s="234" t="n"/>
      <c r="C1726" s="234" t="n"/>
      <c r="D1726" s="234" t="n"/>
      <c r="E1726" s="234" t="n"/>
      <c r="F1726" s="234" t="n"/>
      <c r="G1726" s="234" t="n"/>
      <c r="H1726" s="234" t="n"/>
      <c r="I1726" s="234" t="n"/>
      <c r="J1726" s="234" t="n"/>
      <c r="K1726" s="234" t="n"/>
      <c r="L1726" s="234" t="n"/>
      <c r="M1726" s="232" t="n"/>
      <c r="N1726" s="233" t="n"/>
      <c r="O1726" s="232" t="n"/>
      <c r="P1726" s="234" t="n"/>
      <c r="Q1726" s="234" t="n"/>
      <c r="R1726" s="234" t="n"/>
      <c r="S1726" s="234" t="n"/>
      <c r="T1726" s="234" t="n"/>
      <c r="U1726" s="234" t="n"/>
      <c r="V1726" s="234" t="n"/>
      <c r="W1726" s="234" t="n"/>
    </row>
    <row r="1727" ht="54.95" customFormat="1" customHeight="1" s="235">
      <c r="A1727" s="234" t="n"/>
      <c r="B1727" s="234" t="n"/>
      <c r="C1727" s="234" t="n"/>
      <c r="D1727" s="234" t="n"/>
      <c r="E1727" s="234" t="n"/>
      <c r="F1727" s="234" t="n"/>
      <c r="G1727" s="234" t="n"/>
      <c r="H1727" s="234" t="n"/>
      <c r="I1727" s="234" t="n"/>
      <c r="J1727" s="234" t="n"/>
      <c r="K1727" s="234" t="n"/>
      <c r="L1727" s="234" t="n"/>
      <c r="M1727" s="232" t="n"/>
      <c r="N1727" s="233" t="n"/>
      <c r="O1727" s="232" t="n"/>
      <c r="P1727" s="234" t="n"/>
      <c r="Q1727" s="234" t="n"/>
      <c r="R1727" s="234" t="n"/>
      <c r="S1727" s="234" t="n"/>
      <c r="T1727" s="234" t="n"/>
      <c r="U1727" s="234" t="n"/>
      <c r="V1727" s="234" t="n"/>
      <c r="W1727" s="234" t="n"/>
    </row>
    <row r="1728" ht="54.95" customFormat="1" customHeight="1" s="235">
      <c r="A1728" s="234" t="n"/>
      <c r="B1728" s="234" t="n"/>
      <c r="C1728" s="234" t="n"/>
      <c r="D1728" s="234" t="n"/>
      <c r="E1728" s="234" t="n"/>
      <c r="F1728" s="234" t="n"/>
      <c r="G1728" s="234" t="n"/>
      <c r="H1728" s="234" t="n"/>
      <c r="I1728" s="234" t="n"/>
      <c r="J1728" s="234" t="n"/>
      <c r="K1728" s="234" t="n"/>
      <c r="L1728" s="234" t="n"/>
      <c r="M1728" s="232" t="n"/>
      <c r="N1728" s="233" t="n"/>
      <c r="O1728" s="232" t="n"/>
      <c r="P1728" s="234" t="n"/>
      <c r="Q1728" s="234" t="n"/>
      <c r="R1728" s="234" t="n"/>
      <c r="S1728" s="234" t="n"/>
      <c r="T1728" s="234" t="n"/>
      <c r="U1728" s="234" t="n"/>
      <c r="V1728" s="234" t="n"/>
      <c r="W1728" s="234" t="n"/>
    </row>
    <row r="1729" ht="54.95" customFormat="1" customHeight="1" s="235">
      <c r="A1729" s="232" t="n"/>
      <c r="B1729" s="232" t="n"/>
      <c r="C1729" s="232" t="n"/>
      <c r="D1729" s="233" t="n"/>
      <c r="E1729" s="232" t="n"/>
      <c r="F1729" s="233" t="n"/>
      <c r="G1729" s="233" t="n"/>
      <c r="H1729" s="233" t="n"/>
      <c r="I1729" s="232" t="n"/>
      <c r="J1729" s="233" t="n"/>
      <c r="K1729" s="232" t="n"/>
      <c r="L1729" s="232" t="n"/>
      <c r="M1729" s="232" t="n"/>
      <c r="N1729" s="233" t="n"/>
      <c r="O1729" s="232" t="n"/>
      <c r="P1729" s="233" t="n"/>
      <c r="Q1729" s="233" t="n"/>
      <c r="R1729" s="233" t="n"/>
      <c r="S1729" s="232" t="n"/>
      <c r="T1729" s="233" t="n"/>
      <c r="U1729" s="233" t="n"/>
      <c r="V1729" s="233" t="n"/>
      <c r="W1729" s="232" t="n"/>
    </row>
    <row r="1730" ht="54.95" customFormat="1" customHeight="1" s="235">
      <c r="A1730" s="232" t="n"/>
      <c r="B1730" s="232" t="n"/>
      <c r="C1730" s="232" t="n"/>
      <c r="D1730" s="233" t="n"/>
      <c r="E1730" s="232" t="n"/>
      <c r="F1730" s="233" t="n"/>
      <c r="G1730" s="233" t="n"/>
      <c r="H1730" s="233" t="n"/>
      <c r="I1730" s="232" t="n"/>
      <c r="J1730" s="233" t="n"/>
      <c r="K1730" s="232" t="n"/>
      <c r="L1730" s="232" t="n"/>
      <c r="M1730" s="232" t="n"/>
      <c r="N1730" s="233" t="n"/>
      <c r="O1730" s="232" t="n"/>
      <c r="P1730" s="233" t="n"/>
      <c r="Q1730" s="233" t="n"/>
      <c r="R1730" s="233" t="n"/>
      <c r="S1730" s="232" t="n"/>
      <c r="T1730" s="233" t="n"/>
      <c r="U1730" s="233" t="n"/>
      <c r="V1730" s="233" t="n"/>
      <c r="W1730" s="232" t="n"/>
    </row>
    <row r="1731" ht="54.95" customFormat="1" customHeight="1" s="235">
      <c r="A1731" s="232" t="n"/>
      <c r="B1731" s="232" t="n"/>
      <c r="C1731" s="232" t="n"/>
      <c r="D1731" s="233" t="n"/>
      <c r="E1731" s="232" t="n"/>
      <c r="F1731" s="233" t="n"/>
      <c r="G1731" s="233" t="n"/>
      <c r="H1731" s="233" t="n"/>
      <c r="I1731" s="232" t="n"/>
      <c r="J1731" s="233" t="n"/>
      <c r="K1731" s="232" t="n"/>
      <c r="L1731" s="232" t="n"/>
      <c r="M1731" s="232" t="n"/>
      <c r="N1731" s="233" t="n"/>
      <c r="O1731" s="232" t="n"/>
      <c r="P1731" s="233" t="n"/>
      <c r="Q1731" s="233" t="n"/>
      <c r="R1731" s="233" t="n"/>
      <c r="S1731" s="232" t="n"/>
      <c r="T1731" s="233" t="n"/>
      <c r="U1731" s="233" t="n"/>
      <c r="V1731" s="233" t="n"/>
      <c r="W1731" s="232" t="n"/>
    </row>
    <row r="1732" ht="54.95" customFormat="1" customHeight="1" s="235">
      <c r="A1732" s="232" t="n"/>
      <c r="B1732" s="232" t="n"/>
      <c r="C1732" s="232" t="n"/>
      <c r="D1732" s="233" t="n"/>
      <c r="E1732" s="232" t="n"/>
      <c r="F1732" s="233" t="n"/>
      <c r="G1732" s="233" t="n"/>
      <c r="H1732" s="233" t="n"/>
      <c r="I1732" s="232" t="n"/>
      <c r="J1732" s="233" t="n"/>
      <c r="K1732" s="232" t="n"/>
      <c r="L1732" s="232" t="n"/>
      <c r="M1732" s="232" t="n"/>
      <c r="N1732" s="233" t="n"/>
      <c r="O1732" s="232" t="n"/>
      <c r="P1732" s="233" t="n"/>
      <c r="Q1732" s="233" t="n"/>
      <c r="R1732" s="233" t="n"/>
      <c r="S1732" s="232" t="n"/>
      <c r="T1732" s="233" t="n"/>
      <c r="U1732" s="233" t="n"/>
      <c r="V1732" s="233" t="n"/>
      <c r="W1732" s="232" t="n"/>
    </row>
    <row r="1733" ht="54.95" customFormat="1" customHeight="1" s="235">
      <c r="A1733" s="232" t="n"/>
      <c r="B1733" s="232" t="n"/>
      <c r="C1733" s="232" t="n"/>
      <c r="D1733" s="233" t="n"/>
      <c r="E1733" s="232" t="n"/>
      <c r="F1733" s="233" t="n"/>
      <c r="G1733" s="233" t="n"/>
      <c r="H1733" s="233" t="n"/>
      <c r="I1733" s="232" t="n"/>
      <c r="J1733" s="233" t="n"/>
      <c r="K1733" s="232" t="n"/>
      <c r="L1733" s="232" t="n"/>
      <c r="M1733" s="232" t="n"/>
      <c r="N1733" s="233" t="n"/>
      <c r="O1733" s="232" t="n"/>
      <c r="P1733" s="233" t="n"/>
      <c r="Q1733" s="233" t="n"/>
      <c r="R1733" s="233" t="n"/>
      <c r="S1733" s="232" t="n"/>
      <c r="T1733" s="233" t="n"/>
      <c r="U1733" s="233" t="n"/>
      <c r="V1733" s="233" t="n"/>
      <c r="W1733" s="232" t="n"/>
    </row>
    <row r="1734" ht="54.95" customFormat="1" customHeight="1" s="235">
      <c r="A1734" s="232" t="n"/>
      <c r="B1734" s="232" t="n"/>
      <c r="C1734" s="232" t="n"/>
      <c r="D1734" s="233" t="n"/>
      <c r="E1734" s="232" t="n"/>
      <c r="F1734" s="233" t="n"/>
      <c r="G1734" s="233" t="n"/>
      <c r="H1734" s="233" t="n"/>
      <c r="I1734" s="232" t="n"/>
      <c r="J1734" s="233" t="n"/>
      <c r="K1734" s="232" t="n"/>
      <c r="L1734" s="232" t="n"/>
      <c r="M1734" s="232" t="n"/>
      <c r="N1734" s="233" t="n"/>
      <c r="O1734" s="232" t="n"/>
      <c r="P1734" s="233" t="n"/>
      <c r="Q1734" s="233" t="n"/>
      <c r="R1734" s="233" t="n"/>
      <c r="S1734" s="232" t="n"/>
      <c r="T1734" s="233" t="n"/>
      <c r="U1734" s="233" t="n"/>
      <c r="V1734" s="233" t="n"/>
      <c r="W1734" s="232" t="n"/>
    </row>
    <row r="1735" ht="54.95" customFormat="1" customHeight="1" s="235">
      <c r="A1735" s="234" t="n"/>
      <c r="B1735" s="234" t="n"/>
      <c r="C1735" s="234" t="n"/>
      <c r="D1735" s="234" t="n"/>
      <c r="E1735" s="234" t="n"/>
      <c r="F1735" s="234" t="n"/>
      <c r="G1735" s="234" t="n"/>
      <c r="H1735" s="234" t="n"/>
      <c r="I1735" s="234" t="n"/>
      <c r="J1735" s="234" t="n"/>
      <c r="K1735" s="234" t="n"/>
      <c r="L1735" s="234" t="n"/>
      <c r="M1735" s="232" t="n"/>
      <c r="N1735" s="233" t="n"/>
      <c r="O1735" s="232" t="n"/>
      <c r="P1735" s="234" t="n"/>
      <c r="Q1735" s="234" t="n"/>
      <c r="R1735" s="234" t="n"/>
      <c r="S1735" s="234" t="n"/>
      <c r="T1735" s="234" t="n"/>
      <c r="U1735" s="234" t="n"/>
      <c r="V1735" s="234" t="n"/>
      <c r="W1735" s="234" t="n"/>
    </row>
    <row r="1736" ht="54.95" customFormat="1" customHeight="1" s="235">
      <c r="A1736" s="234" t="n"/>
      <c r="B1736" s="234" t="n"/>
      <c r="C1736" s="234" t="n"/>
      <c r="D1736" s="234" t="n"/>
      <c r="E1736" s="234" t="n"/>
      <c r="F1736" s="234" t="n"/>
      <c r="G1736" s="234" t="n"/>
      <c r="H1736" s="234" t="n"/>
      <c r="I1736" s="234" t="n"/>
      <c r="J1736" s="234" t="n"/>
      <c r="K1736" s="234" t="n"/>
      <c r="L1736" s="234" t="n"/>
      <c r="M1736" s="232" t="n"/>
      <c r="N1736" s="233" t="n"/>
      <c r="O1736" s="232" t="n"/>
      <c r="P1736" s="234" t="n"/>
      <c r="Q1736" s="234" t="n"/>
      <c r="R1736" s="234" t="n"/>
      <c r="S1736" s="234" t="n"/>
      <c r="T1736" s="234" t="n"/>
      <c r="U1736" s="234" t="n"/>
      <c r="V1736" s="234" t="n"/>
      <c r="W1736" s="234" t="n"/>
    </row>
    <row r="1737" ht="54.95" customFormat="1" customHeight="1" s="235">
      <c r="A1737" s="234" t="n"/>
      <c r="B1737" s="234" t="n"/>
      <c r="C1737" s="234" t="n"/>
      <c r="D1737" s="234" t="n"/>
      <c r="E1737" s="234" t="n"/>
      <c r="F1737" s="234" t="n"/>
      <c r="G1737" s="234" t="n"/>
      <c r="H1737" s="234" t="n"/>
      <c r="I1737" s="234" t="n"/>
      <c r="J1737" s="234" t="n"/>
      <c r="K1737" s="234" t="n"/>
      <c r="L1737" s="234" t="n"/>
      <c r="M1737" s="232" t="n"/>
      <c r="N1737" s="233" t="n"/>
      <c r="O1737" s="232" t="n"/>
      <c r="P1737" s="234" t="n"/>
      <c r="Q1737" s="234" t="n"/>
      <c r="R1737" s="234" t="n"/>
      <c r="S1737" s="234" t="n"/>
      <c r="T1737" s="234" t="n"/>
      <c r="U1737" s="234" t="n"/>
      <c r="V1737" s="234" t="n"/>
      <c r="W1737" s="234" t="n"/>
    </row>
    <row r="1738" ht="54.95" customFormat="1" customHeight="1" s="235">
      <c r="A1738" s="234" t="n"/>
      <c r="B1738" s="234" t="n"/>
      <c r="C1738" s="234" t="n"/>
      <c r="D1738" s="234" t="n"/>
      <c r="E1738" s="234" t="n"/>
      <c r="F1738" s="234" t="n"/>
      <c r="G1738" s="234" t="n"/>
      <c r="H1738" s="234" t="n"/>
      <c r="I1738" s="234" t="n"/>
      <c r="J1738" s="234" t="n"/>
      <c r="K1738" s="234" t="n"/>
      <c r="L1738" s="234" t="n"/>
      <c r="M1738" s="232" t="n"/>
      <c r="N1738" s="233" t="n"/>
      <c r="O1738" s="232" t="n"/>
      <c r="P1738" s="234" t="n"/>
      <c r="Q1738" s="234" t="n"/>
      <c r="R1738" s="234" t="n"/>
      <c r="S1738" s="234" t="n"/>
      <c r="T1738" s="234" t="n"/>
      <c r="U1738" s="234" t="n"/>
      <c r="V1738" s="234" t="n"/>
      <c r="W1738" s="234" t="n"/>
    </row>
    <row r="1739" ht="54.95" customFormat="1" customHeight="1" s="235">
      <c r="A1739" s="234" t="n"/>
      <c r="B1739" s="234" t="n"/>
      <c r="C1739" s="234" t="n"/>
      <c r="D1739" s="234" t="n"/>
      <c r="E1739" s="234" t="n"/>
      <c r="F1739" s="234" t="n"/>
      <c r="G1739" s="234" t="n"/>
      <c r="H1739" s="234" t="n"/>
      <c r="I1739" s="234" t="n"/>
      <c r="J1739" s="234" t="n"/>
      <c r="K1739" s="234" t="n"/>
      <c r="L1739" s="234" t="n"/>
      <c r="M1739" s="232" t="n"/>
      <c r="N1739" s="233" t="n"/>
      <c r="O1739" s="232" t="n"/>
      <c r="P1739" s="234" t="n"/>
      <c r="Q1739" s="234" t="n"/>
      <c r="R1739" s="234" t="n"/>
      <c r="S1739" s="234" t="n"/>
      <c r="T1739" s="234" t="n"/>
      <c r="U1739" s="234" t="n"/>
      <c r="V1739" s="234" t="n"/>
      <c r="W1739" s="234" t="n"/>
    </row>
    <row r="1740" ht="54.95" customFormat="1" customHeight="1" s="235">
      <c r="A1740" s="234" t="n"/>
      <c r="B1740" s="234" t="n"/>
      <c r="C1740" s="234" t="n"/>
      <c r="D1740" s="234" t="n"/>
      <c r="E1740" s="234" t="n"/>
      <c r="F1740" s="234" t="n"/>
      <c r="G1740" s="234" t="n"/>
      <c r="H1740" s="234" t="n"/>
      <c r="I1740" s="234" t="n"/>
      <c r="J1740" s="234" t="n"/>
      <c r="K1740" s="234" t="n"/>
      <c r="L1740" s="234" t="n"/>
      <c r="M1740" s="232" t="n"/>
      <c r="N1740" s="233" t="n"/>
      <c r="O1740" s="232" t="n"/>
      <c r="P1740" s="234" t="n"/>
      <c r="Q1740" s="234" t="n"/>
      <c r="R1740" s="234" t="n"/>
      <c r="S1740" s="234" t="n"/>
      <c r="T1740" s="234" t="n"/>
      <c r="U1740" s="234" t="n"/>
      <c r="V1740" s="234" t="n"/>
      <c r="W1740" s="234" t="n"/>
    </row>
    <row r="1741" ht="54.95" customFormat="1" customHeight="1" s="235">
      <c r="A1741" s="234" t="n"/>
      <c r="B1741" s="234" t="n"/>
      <c r="C1741" s="234" t="n"/>
      <c r="D1741" s="234" t="n"/>
      <c r="E1741" s="234" t="n"/>
      <c r="F1741" s="234" t="n"/>
      <c r="G1741" s="234" t="n"/>
      <c r="H1741" s="234" t="n"/>
      <c r="I1741" s="234" t="n"/>
      <c r="J1741" s="234" t="n"/>
      <c r="K1741" s="234" t="n"/>
      <c r="L1741" s="234" t="n"/>
      <c r="M1741" s="232" t="n"/>
      <c r="N1741" s="233" t="n"/>
      <c r="O1741" s="232" t="n"/>
      <c r="P1741" s="234" t="n"/>
      <c r="Q1741" s="234" t="n"/>
      <c r="R1741" s="234" t="n"/>
      <c r="S1741" s="234" t="n"/>
      <c r="T1741" s="234" t="n"/>
      <c r="U1741" s="234" t="n"/>
      <c r="V1741" s="234" t="n"/>
      <c r="W1741" s="234" t="n"/>
    </row>
    <row r="1742" ht="54.95" customFormat="1" customHeight="1" s="235">
      <c r="A1742" s="232" t="n"/>
      <c r="B1742" s="232" t="n"/>
      <c r="C1742" s="232" t="n"/>
      <c r="D1742" s="233" t="n"/>
      <c r="E1742" s="232" t="n"/>
      <c r="F1742" s="233" t="n"/>
      <c r="G1742" s="233" t="n"/>
      <c r="H1742" s="233" t="n"/>
      <c r="I1742" s="232" t="n"/>
      <c r="J1742" s="233" t="n"/>
      <c r="K1742" s="232" t="n"/>
      <c r="L1742" s="232" t="n"/>
      <c r="M1742" s="232" t="n"/>
      <c r="N1742" s="233" t="n"/>
      <c r="O1742" s="232" t="n"/>
      <c r="P1742" s="233" t="n"/>
      <c r="Q1742" s="233" t="n"/>
      <c r="R1742" s="233" t="n"/>
      <c r="S1742" s="232" t="n"/>
      <c r="T1742" s="233" t="n"/>
      <c r="U1742" s="233" t="n"/>
      <c r="V1742" s="233" t="n"/>
      <c r="W1742" s="232" t="n"/>
    </row>
    <row r="1743" ht="54.95" customFormat="1" customHeight="1" s="235">
      <c r="A1743" s="232" t="n"/>
      <c r="B1743" s="232" t="n"/>
      <c r="C1743" s="232" t="n"/>
      <c r="D1743" s="233" t="n"/>
      <c r="E1743" s="232" t="n"/>
      <c r="F1743" s="233" t="n"/>
      <c r="G1743" s="233" t="n"/>
      <c r="H1743" s="233" t="n"/>
      <c r="I1743" s="232" t="n"/>
      <c r="J1743" s="233" t="n"/>
      <c r="K1743" s="232" t="n"/>
      <c r="L1743" s="232" t="n"/>
      <c r="M1743" s="232" t="n"/>
      <c r="N1743" s="233" t="n"/>
      <c r="O1743" s="232" t="n"/>
      <c r="P1743" s="233" t="n"/>
      <c r="Q1743" s="233" t="n"/>
      <c r="R1743" s="233" t="n"/>
      <c r="S1743" s="232" t="n"/>
      <c r="T1743" s="233" t="n"/>
      <c r="U1743" s="233" t="n"/>
      <c r="V1743" s="233" t="n"/>
      <c r="W1743" s="232" t="n"/>
    </row>
    <row r="1744" ht="54.95" customFormat="1" customHeight="1" s="235">
      <c r="A1744" s="234" t="n"/>
      <c r="B1744" s="234" t="n"/>
      <c r="C1744" s="234" t="n"/>
      <c r="D1744" s="234" t="n"/>
      <c r="E1744" s="234" t="n"/>
      <c r="F1744" s="234" t="n"/>
      <c r="G1744" s="234" t="n"/>
      <c r="H1744" s="234" t="n"/>
      <c r="I1744" s="234" t="n"/>
      <c r="J1744" s="234" t="n"/>
      <c r="K1744" s="234" t="n"/>
      <c r="L1744" s="234" t="n"/>
      <c r="M1744" s="232" t="n"/>
      <c r="N1744" s="233" t="n"/>
      <c r="O1744" s="232" t="n"/>
      <c r="P1744" s="234" t="n"/>
      <c r="Q1744" s="234" t="n"/>
      <c r="R1744" s="234" t="n"/>
      <c r="S1744" s="234" t="n"/>
      <c r="T1744" s="234" t="n"/>
      <c r="U1744" s="234" t="n"/>
      <c r="V1744" s="234" t="n"/>
      <c r="W1744" s="234" t="n"/>
    </row>
    <row r="1745" ht="54.95" customFormat="1" customHeight="1" s="235">
      <c r="A1745" s="232" t="n"/>
      <c r="B1745" s="232" t="n"/>
      <c r="C1745" s="232" t="n"/>
      <c r="D1745" s="233" t="n"/>
      <c r="E1745" s="232" t="n"/>
      <c r="F1745" s="233" t="n"/>
      <c r="G1745" s="233" t="n"/>
      <c r="H1745" s="233" t="n"/>
      <c r="I1745" s="232" t="n"/>
      <c r="J1745" s="233" t="n"/>
      <c r="K1745" s="232" t="n"/>
      <c r="L1745" s="232" t="n"/>
      <c r="M1745" s="232" t="n"/>
      <c r="N1745" s="233" t="n"/>
      <c r="O1745" s="232" t="n"/>
      <c r="P1745" s="233" t="n"/>
      <c r="Q1745" s="233" t="n"/>
      <c r="R1745" s="233" t="n"/>
      <c r="S1745" s="232" t="n"/>
      <c r="T1745" s="233" t="n"/>
      <c r="U1745" s="233" t="n"/>
      <c r="V1745" s="233" t="n"/>
      <c r="W1745" s="232" t="n"/>
    </row>
    <row r="1746" ht="54.95" customFormat="1" customHeight="1" s="235">
      <c r="A1746" s="232" t="n"/>
      <c r="B1746" s="232" t="n"/>
      <c r="C1746" s="232" t="n"/>
      <c r="D1746" s="233" t="n"/>
      <c r="E1746" s="232" t="n"/>
      <c r="F1746" s="233" t="n"/>
      <c r="G1746" s="233" t="n"/>
      <c r="H1746" s="233" t="n"/>
      <c r="I1746" s="232" t="n"/>
      <c r="J1746" s="233" t="n"/>
      <c r="K1746" s="232" t="n"/>
      <c r="L1746" s="232" t="n"/>
      <c r="M1746" s="232" t="n"/>
      <c r="N1746" s="233" t="n"/>
      <c r="O1746" s="232" t="n"/>
      <c r="P1746" s="233" t="n"/>
      <c r="Q1746" s="233" t="n"/>
      <c r="R1746" s="233" t="n"/>
      <c r="S1746" s="232" t="n"/>
      <c r="T1746" s="233" t="n"/>
      <c r="U1746" s="233" t="n"/>
      <c r="V1746" s="233" t="n"/>
      <c r="W1746" s="232" t="n"/>
    </row>
    <row r="1747" ht="54.95" customFormat="1" customHeight="1" s="235">
      <c r="A1747" s="234" t="n"/>
      <c r="B1747" s="234" t="n"/>
      <c r="C1747" s="234" t="n"/>
      <c r="D1747" s="234" t="n"/>
      <c r="E1747" s="234" t="n"/>
      <c r="F1747" s="234" t="n"/>
      <c r="G1747" s="234" t="n"/>
      <c r="H1747" s="234" t="n"/>
      <c r="I1747" s="234" t="n"/>
      <c r="J1747" s="234" t="n"/>
      <c r="K1747" s="234" t="n"/>
      <c r="L1747" s="234" t="n"/>
      <c r="M1747" s="232" t="n"/>
      <c r="N1747" s="233" t="n"/>
      <c r="O1747" s="232" t="n"/>
      <c r="P1747" s="234" t="n"/>
      <c r="Q1747" s="234" t="n"/>
      <c r="R1747" s="234" t="n"/>
      <c r="S1747" s="234" t="n"/>
      <c r="T1747" s="234" t="n"/>
      <c r="U1747" s="234" t="n"/>
      <c r="V1747" s="234" t="n"/>
      <c r="W1747" s="234" t="n"/>
    </row>
    <row r="1748" ht="54.95" customFormat="1" customHeight="1" s="235">
      <c r="A1748" s="234" t="n"/>
      <c r="B1748" s="234" t="n"/>
      <c r="C1748" s="234" t="n"/>
      <c r="D1748" s="234" t="n"/>
      <c r="E1748" s="234" t="n"/>
      <c r="F1748" s="234" t="n"/>
      <c r="G1748" s="234" t="n"/>
      <c r="H1748" s="234" t="n"/>
      <c r="I1748" s="234" t="n"/>
      <c r="J1748" s="234" t="n"/>
      <c r="K1748" s="234" t="n"/>
      <c r="L1748" s="234" t="n"/>
      <c r="M1748" s="232" t="n"/>
      <c r="N1748" s="233" t="n"/>
      <c r="O1748" s="232" t="n"/>
      <c r="P1748" s="234" t="n"/>
      <c r="Q1748" s="234" t="n"/>
      <c r="R1748" s="234" t="n"/>
      <c r="S1748" s="234" t="n"/>
      <c r="T1748" s="234" t="n"/>
      <c r="U1748" s="234" t="n"/>
      <c r="V1748" s="234" t="n"/>
      <c r="W1748" s="234" t="n"/>
    </row>
    <row r="1749" ht="54.95" customFormat="1" customHeight="1" s="235">
      <c r="A1749" s="232" t="n"/>
      <c r="B1749" s="232" t="n"/>
      <c r="C1749" s="232" t="n"/>
      <c r="D1749" s="233" t="n"/>
      <c r="E1749" s="232" t="n"/>
      <c r="F1749" s="233" t="n"/>
      <c r="G1749" s="233" t="n"/>
      <c r="H1749" s="233" t="n"/>
      <c r="I1749" s="232" t="n"/>
      <c r="J1749" s="233" t="n"/>
      <c r="K1749" s="232" t="n"/>
      <c r="L1749" s="232" t="n"/>
      <c r="M1749" s="232" t="n"/>
      <c r="N1749" s="233" t="n"/>
      <c r="O1749" s="232" t="n"/>
      <c r="P1749" s="233" t="n"/>
      <c r="Q1749" s="233" t="n"/>
      <c r="R1749" s="233" t="n"/>
      <c r="S1749" s="232" t="n"/>
      <c r="T1749" s="233" t="n"/>
      <c r="U1749" s="233" t="n"/>
      <c r="V1749" s="233" t="n"/>
      <c r="W1749" s="232" t="n"/>
    </row>
    <row r="1750" ht="54.95" customFormat="1" customHeight="1" s="235">
      <c r="A1750" s="232" t="n"/>
      <c r="B1750" s="232" t="n"/>
      <c r="C1750" s="232" t="n"/>
      <c r="D1750" s="233" t="n"/>
      <c r="E1750" s="232" t="n"/>
      <c r="F1750" s="233" t="n"/>
      <c r="G1750" s="233" t="n"/>
      <c r="H1750" s="233" t="n"/>
      <c r="I1750" s="232" t="n"/>
      <c r="J1750" s="233" t="n"/>
      <c r="K1750" s="232" t="n"/>
      <c r="L1750" s="232" t="n"/>
      <c r="M1750" s="232" t="n"/>
      <c r="N1750" s="233" t="n"/>
      <c r="O1750" s="232" t="n"/>
      <c r="P1750" s="233" t="n"/>
      <c r="Q1750" s="233" t="n"/>
      <c r="R1750" s="233" t="n"/>
      <c r="S1750" s="232" t="n"/>
      <c r="T1750" s="233" t="n"/>
      <c r="U1750" s="233" t="n"/>
      <c r="V1750" s="233" t="n"/>
      <c r="W1750" s="232" t="n"/>
    </row>
    <row r="1751" ht="54.95" customFormat="1" customHeight="1" s="235">
      <c r="A1751" s="232" t="n"/>
      <c r="B1751" s="232" t="n"/>
      <c r="C1751" s="232" t="n"/>
      <c r="D1751" s="233" t="n"/>
      <c r="E1751" s="232" t="n"/>
      <c r="F1751" s="233" t="n"/>
      <c r="G1751" s="233" t="n"/>
      <c r="H1751" s="233" t="n"/>
      <c r="I1751" s="232" t="n"/>
      <c r="J1751" s="233" t="n"/>
      <c r="K1751" s="232" t="n"/>
      <c r="L1751" s="232" t="n"/>
      <c r="M1751" s="232" t="n"/>
      <c r="N1751" s="233" t="n"/>
      <c r="O1751" s="232" t="n"/>
      <c r="P1751" s="233" t="n"/>
      <c r="Q1751" s="233" t="n"/>
      <c r="R1751" s="233" t="n"/>
      <c r="S1751" s="232" t="n"/>
      <c r="T1751" s="233" t="n"/>
      <c r="U1751" s="233" t="n"/>
      <c r="V1751" s="233" t="n"/>
      <c r="W1751" s="232" t="n"/>
    </row>
    <row r="1752" ht="54.95" customFormat="1" customHeight="1" s="235">
      <c r="A1752" s="232" t="n"/>
      <c r="B1752" s="232" t="n"/>
      <c r="C1752" s="232" t="n"/>
      <c r="D1752" s="233" t="n"/>
      <c r="E1752" s="232" t="n"/>
      <c r="F1752" s="233" t="n"/>
      <c r="G1752" s="233" t="n"/>
      <c r="H1752" s="233" t="n"/>
      <c r="I1752" s="232" t="n"/>
      <c r="J1752" s="233" t="n"/>
      <c r="K1752" s="232" t="n"/>
      <c r="L1752" s="232" t="n"/>
      <c r="M1752" s="232" t="n"/>
      <c r="N1752" s="233" t="n"/>
      <c r="O1752" s="232" t="n"/>
      <c r="P1752" s="233" t="n"/>
      <c r="Q1752" s="233" t="n"/>
      <c r="R1752" s="233" t="n"/>
      <c r="S1752" s="232" t="n"/>
      <c r="T1752" s="233" t="n"/>
      <c r="U1752" s="233" t="n"/>
      <c r="V1752" s="233" t="n"/>
      <c r="W1752" s="232" t="n"/>
    </row>
    <row r="1753" ht="54.95" customFormat="1" customHeight="1" s="235">
      <c r="A1753" s="232" t="n"/>
      <c r="B1753" s="232" t="n"/>
      <c r="C1753" s="232" t="n"/>
      <c r="D1753" s="233" t="n"/>
      <c r="E1753" s="232" t="n"/>
      <c r="F1753" s="233" t="n"/>
      <c r="G1753" s="233" t="n"/>
      <c r="H1753" s="233" t="n"/>
      <c r="I1753" s="232" t="n"/>
      <c r="J1753" s="233" t="n"/>
      <c r="K1753" s="232" t="n"/>
      <c r="L1753" s="232" t="n"/>
      <c r="M1753" s="232" t="n"/>
      <c r="N1753" s="233" t="n"/>
      <c r="O1753" s="232" t="n"/>
      <c r="P1753" s="233" t="n"/>
      <c r="Q1753" s="233" t="n"/>
      <c r="R1753" s="233" t="n"/>
      <c r="S1753" s="232" t="n"/>
      <c r="T1753" s="233" t="n"/>
      <c r="U1753" s="233" t="n"/>
      <c r="V1753" s="233" t="n"/>
      <c r="W1753" s="232" t="n"/>
    </row>
    <row r="1754" ht="54.95" customFormat="1" customHeight="1" s="235">
      <c r="A1754" s="232" t="n"/>
      <c r="B1754" s="232" t="n"/>
      <c r="C1754" s="232" t="n"/>
      <c r="D1754" s="233" t="n"/>
      <c r="E1754" s="232" t="n"/>
      <c r="F1754" s="233" t="n"/>
      <c r="G1754" s="233" t="n"/>
      <c r="H1754" s="233" t="n"/>
      <c r="I1754" s="232" t="n"/>
      <c r="J1754" s="233" t="n"/>
      <c r="K1754" s="232" t="n"/>
      <c r="L1754" s="232" t="n"/>
      <c r="M1754" s="232" t="n"/>
      <c r="N1754" s="233" t="n"/>
      <c r="O1754" s="232" t="n"/>
      <c r="P1754" s="233" t="n"/>
      <c r="Q1754" s="233" t="n"/>
      <c r="R1754" s="233" t="n"/>
      <c r="S1754" s="232" t="n"/>
      <c r="T1754" s="233" t="n"/>
      <c r="U1754" s="233" t="n"/>
      <c r="V1754" s="233" t="n"/>
      <c r="W1754" s="232" t="n"/>
    </row>
    <row r="1755" ht="54.95" customFormat="1" customHeight="1" s="235">
      <c r="A1755" s="232" t="n"/>
      <c r="B1755" s="232" t="n"/>
      <c r="C1755" s="232" t="n"/>
      <c r="D1755" s="233" t="n"/>
      <c r="E1755" s="232" t="n"/>
      <c r="F1755" s="233" t="n"/>
      <c r="G1755" s="233" t="n"/>
      <c r="H1755" s="233" t="n"/>
      <c r="I1755" s="232" t="n"/>
      <c r="J1755" s="233" t="n"/>
      <c r="K1755" s="232" t="n"/>
      <c r="L1755" s="232" t="n"/>
      <c r="M1755" s="232" t="n"/>
      <c r="N1755" s="233" t="n"/>
      <c r="O1755" s="232" t="n"/>
      <c r="P1755" s="233" t="n"/>
      <c r="Q1755" s="233" t="n"/>
      <c r="R1755" s="233" t="n"/>
      <c r="S1755" s="232" t="n"/>
      <c r="T1755" s="233" t="n"/>
      <c r="U1755" s="233" t="n"/>
      <c r="V1755" s="233" t="n"/>
      <c r="W1755" s="232" t="n"/>
    </row>
    <row r="1756" ht="54.95" customFormat="1" customHeight="1" s="235">
      <c r="A1756" s="234" t="n"/>
      <c r="B1756" s="234" t="n"/>
      <c r="C1756" s="234" t="n"/>
      <c r="D1756" s="234" t="n"/>
      <c r="E1756" s="234" t="n"/>
      <c r="F1756" s="234" t="n"/>
      <c r="G1756" s="234" t="n"/>
      <c r="H1756" s="234" t="n"/>
      <c r="I1756" s="234" t="n"/>
      <c r="J1756" s="234" t="n"/>
      <c r="K1756" s="234" t="n"/>
      <c r="L1756" s="234" t="n"/>
      <c r="M1756" s="232" t="n"/>
      <c r="N1756" s="233" t="n"/>
      <c r="O1756" s="232" t="n"/>
      <c r="P1756" s="234" t="n"/>
      <c r="Q1756" s="234" t="n"/>
      <c r="R1756" s="234" t="n"/>
      <c r="S1756" s="234" t="n"/>
      <c r="T1756" s="234" t="n"/>
      <c r="U1756" s="234" t="n"/>
      <c r="V1756" s="234" t="n"/>
      <c r="W1756" s="234" t="n"/>
    </row>
    <row r="1757" ht="54.95" customFormat="1" customHeight="1" s="235">
      <c r="A1757" s="234" t="n"/>
      <c r="B1757" s="234" t="n"/>
      <c r="C1757" s="234" t="n"/>
      <c r="D1757" s="234" t="n"/>
      <c r="E1757" s="234" t="n"/>
      <c r="F1757" s="234" t="n"/>
      <c r="G1757" s="234" t="n"/>
      <c r="H1757" s="234" t="n"/>
      <c r="I1757" s="234" t="n"/>
      <c r="J1757" s="234" t="n"/>
      <c r="K1757" s="234" t="n"/>
      <c r="L1757" s="234" t="n"/>
      <c r="M1757" s="232" t="n"/>
      <c r="N1757" s="233" t="n"/>
      <c r="O1757" s="232" t="n"/>
      <c r="P1757" s="234" t="n"/>
      <c r="Q1757" s="234" t="n"/>
      <c r="R1757" s="234" t="n"/>
      <c r="S1757" s="234" t="n"/>
      <c r="T1757" s="234" t="n"/>
      <c r="U1757" s="234" t="n"/>
      <c r="V1757" s="234" t="n"/>
      <c r="W1757" s="234" t="n"/>
    </row>
    <row r="1758" ht="54.95" customFormat="1" customHeight="1" s="235">
      <c r="A1758" s="234" t="n"/>
      <c r="B1758" s="234" t="n"/>
      <c r="C1758" s="234" t="n"/>
      <c r="D1758" s="234" t="n"/>
      <c r="E1758" s="234" t="n"/>
      <c r="F1758" s="234" t="n"/>
      <c r="G1758" s="234" t="n"/>
      <c r="H1758" s="234" t="n"/>
      <c r="I1758" s="234" t="n"/>
      <c r="J1758" s="234" t="n"/>
      <c r="K1758" s="234" t="n"/>
      <c r="L1758" s="234" t="n"/>
      <c r="M1758" s="232" t="n"/>
      <c r="N1758" s="233" t="n"/>
      <c r="O1758" s="232" t="n"/>
      <c r="P1758" s="234" t="n"/>
      <c r="Q1758" s="234" t="n"/>
      <c r="R1758" s="234" t="n"/>
      <c r="S1758" s="234" t="n"/>
      <c r="T1758" s="234" t="n"/>
      <c r="U1758" s="234" t="n"/>
      <c r="V1758" s="234" t="n"/>
      <c r="W1758" s="234" t="n"/>
    </row>
    <row r="1759" ht="54.95" customFormat="1" customHeight="1" s="235">
      <c r="A1759" s="232" t="n"/>
      <c r="B1759" s="232" t="n"/>
      <c r="C1759" s="232" t="n"/>
      <c r="D1759" s="233" t="n"/>
      <c r="E1759" s="232" t="n"/>
      <c r="F1759" s="233" t="n"/>
      <c r="G1759" s="233" t="n"/>
      <c r="H1759" s="233" t="n"/>
      <c r="I1759" s="232" t="n"/>
      <c r="J1759" s="233" t="n"/>
      <c r="K1759" s="232" t="n"/>
      <c r="L1759" s="232" t="n"/>
      <c r="M1759" s="232" t="n"/>
      <c r="N1759" s="233" t="n"/>
      <c r="O1759" s="232" t="n"/>
      <c r="P1759" s="233" t="n"/>
      <c r="Q1759" s="233" t="n"/>
      <c r="R1759" s="233" t="n"/>
      <c r="S1759" s="232" t="n"/>
      <c r="T1759" s="233" t="n"/>
      <c r="U1759" s="233" t="n"/>
      <c r="V1759" s="233" t="n"/>
      <c r="W1759" s="232" t="n"/>
    </row>
    <row r="1760" ht="54.95" customFormat="1" customHeight="1" s="235">
      <c r="A1760" s="232" t="n"/>
      <c r="B1760" s="232" t="n"/>
      <c r="C1760" s="232" t="n"/>
      <c r="D1760" s="233" t="n"/>
      <c r="E1760" s="232" t="n"/>
      <c r="F1760" s="233" t="n"/>
      <c r="G1760" s="233" t="n"/>
      <c r="H1760" s="233" t="n"/>
      <c r="I1760" s="232" t="n"/>
      <c r="J1760" s="233" t="n"/>
      <c r="K1760" s="232" t="n"/>
      <c r="L1760" s="232" t="n"/>
      <c r="M1760" s="232" t="n"/>
      <c r="N1760" s="233" t="n"/>
      <c r="O1760" s="232" t="n"/>
      <c r="P1760" s="233" t="n"/>
      <c r="Q1760" s="233" t="n"/>
      <c r="R1760" s="233" t="n"/>
      <c r="S1760" s="232" t="n"/>
      <c r="T1760" s="233" t="n"/>
      <c r="U1760" s="233" t="n"/>
      <c r="V1760" s="233" t="n"/>
      <c r="W1760" s="232" t="n"/>
    </row>
    <row r="1761" ht="54.95" customFormat="1" customHeight="1" s="235">
      <c r="A1761" s="232" t="n"/>
      <c r="B1761" s="232" t="n"/>
      <c r="C1761" s="232" t="n"/>
      <c r="D1761" s="233" t="n"/>
      <c r="E1761" s="232" t="n"/>
      <c r="F1761" s="233" t="n"/>
      <c r="G1761" s="233" t="n"/>
      <c r="H1761" s="233" t="n"/>
      <c r="I1761" s="232" t="n"/>
      <c r="J1761" s="233" t="n"/>
      <c r="K1761" s="232" t="n"/>
      <c r="L1761" s="232" t="n"/>
      <c r="M1761" s="232" t="n"/>
      <c r="N1761" s="233" t="n"/>
      <c r="O1761" s="232" t="n"/>
      <c r="P1761" s="233" t="n"/>
      <c r="Q1761" s="233" t="n"/>
      <c r="R1761" s="233" t="n"/>
      <c r="S1761" s="232" t="n"/>
      <c r="T1761" s="233" t="n"/>
      <c r="U1761" s="233" t="n"/>
      <c r="V1761" s="233" t="n"/>
      <c r="W1761" s="232" t="n"/>
    </row>
    <row r="1762" ht="54.95" customFormat="1" customHeight="1" s="235">
      <c r="A1762" s="232" t="n"/>
      <c r="B1762" s="232" t="n"/>
      <c r="C1762" s="232" t="n"/>
      <c r="D1762" s="233" t="n"/>
      <c r="E1762" s="232" t="n"/>
      <c r="F1762" s="233" t="n"/>
      <c r="G1762" s="233" t="n"/>
      <c r="H1762" s="233" t="n"/>
      <c r="I1762" s="232" t="n"/>
      <c r="J1762" s="233" t="n"/>
      <c r="K1762" s="232" t="n"/>
      <c r="L1762" s="232" t="n"/>
      <c r="M1762" s="232" t="n"/>
      <c r="N1762" s="233" t="n"/>
      <c r="O1762" s="232" t="n"/>
      <c r="P1762" s="233" t="n"/>
      <c r="Q1762" s="233" t="n"/>
      <c r="R1762" s="233" t="n"/>
      <c r="S1762" s="232" t="n"/>
      <c r="T1762" s="233" t="n"/>
      <c r="U1762" s="233" t="n"/>
      <c r="V1762" s="233" t="n"/>
      <c r="W1762" s="232" t="n"/>
    </row>
    <row r="1763" ht="54.95" customFormat="1" customHeight="1" s="235">
      <c r="A1763" s="232" t="n"/>
      <c r="B1763" s="232" t="n"/>
      <c r="C1763" s="232" t="n"/>
      <c r="D1763" s="233" t="n"/>
      <c r="E1763" s="232" t="n"/>
      <c r="F1763" s="233" t="n"/>
      <c r="G1763" s="233" t="n"/>
      <c r="H1763" s="233" t="n"/>
      <c r="I1763" s="232" t="n"/>
      <c r="J1763" s="233" t="n"/>
      <c r="K1763" s="232" t="n"/>
      <c r="L1763" s="232" t="n"/>
      <c r="M1763" s="232" t="n"/>
      <c r="N1763" s="233" t="n"/>
      <c r="O1763" s="232" t="n"/>
      <c r="P1763" s="233" t="n"/>
      <c r="Q1763" s="233" t="n"/>
      <c r="R1763" s="233" t="n"/>
      <c r="S1763" s="232" t="n"/>
      <c r="T1763" s="233" t="n"/>
      <c r="U1763" s="233" t="n"/>
      <c r="V1763" s="233" t="n"/>
      <c r="W1763" s="232" t="n"/>
    </row>
    <row r="1764" ht="54.95" customFormat="1" customHeight="1" s="235">
      <c r="A1764" s="232" t="n"/>
      <c r="B1764" s="232" t="n"/>
      <c r="C1764" s="232" t="n"/>
      <c r="D1764" s="233" t="n"/>
      <c r="E1764" s="232" t="n"/>
      <c r="F1764" s="233" t="n"/>
      <c r="G1764" s="233" t="n"/>
      <c r="H1764" s="233" t="n"/>
      <c r="I1764" s="232" t="n"/>
      <c r="J1764" s="233" t="n"/>
      <c r="K1764" s="232" t="n"/>
      <c r="L1764" s="232" t="n"/>
      <c r="M1764" s="232" t="n"/>
      <c r="N1764" s="233" t="n"/>
      <c r="O1764" s="232" t="n"/>
      <c r="P1764" s="233" t="n"/>
      <c r="Q1764" s="233" t="n"/>
      <c r="R1764" s="233" t="n"/>
      <c r="S1764" s="232" t="n"/>
      <c r="T1764" s="233" t="n"/>
      <c r="U1764" s="233" t="n"/>
      <c r="V1764" s="233" t="n"/>
      <c r="W1764" s="232" t="n"/>
    </row>
    <row r="1765" ht="54.95" customFormat="1" customHeight="1" s="235">
      <c r="A1765" s="232" t="n"/>
      <c r="B1765" s="232" t="n"/>
      <c r="C1765" s="232" t="n"/>
      <c r="D1765" s="233" t="n"/>
      <c r="E1765" s="232" t="n"/>
      <c r="F1765" s="233" t="n"/>
      <c r="G1765" s="233" t="n"/>
      <c r="H1765" s="233" t="n"/>
      <c r="I1765" s="232" t="n"/>
      <c r="J1765" s="233" t="n"/>
      <c r="K1765" s="232" t="n"/>
      <c r="L1765" s="232" t="n"/>
      <c r="M1765" s="232" t="n"/>
      <c r="N1765" s="233" t="n"/>
      <c r="O1765" s="232" t="n"/>
      <c r="P1765" s="233" t="n"/>
      <c r="Q1765" s="233" t="n"/>
      <c r="R1765" s="233" t="n"/>
      <c r="S1765" s="232" t="n"/>
      <c r="T1765" s="233" t="n"/>
      <c r="U1765" s="233" t="n"/>
      <c r="V1765" s="233" t="n"/>
      <c r="W1765" s="232" t="n"/>
    </row>
    <row r="1766" ht="54.95" customFormat="1" customHeight="1" s="235">
      <c r="A1766" s="232" t="n"/>
      <c r="B1766" s="232" t="n"/>
      <c r="C1766" s="232" t="n"/>
      <c r="D1766" s="233" t="n"/>
      <c r="E1766" s="232" t="n"/>
      <c r="F1766" s="233" t="n"/>
      <c r="G1766" s="233" t="n"/>
      <c r="H1766" s="233" t="n"/>
      <c r="I1766" s="232" t="n"/>
      <c r="J1766" s="233" t="n"/>
      <c r="K1766" s="232" t="n"/>
      <c r="L1766" s="232" t="n"/>
      <c r="M1766" s="232" t="n"/>
      <c r="N1766" s="233" t="n"/>
      <c r="O1766" s="232" t="n"/>
      <c r="P1766" s="233" t="n"/>
      <c r="Q1766" s="233" t="n"/>
      <c r="R1766" s="233" t="n"/>
      <c r="S1766" s="232" t="n"/>
      <c r="T1766" s="233" t="n"/>
      <c r="U1766" s="233" t="n"/>
      <c r="V1766" s="233" t="n"/>
      <c r="W1766" s="232" t="n"/>
    </row>
    <row r="1767" ht="54.95" customFormat="1" customHeight="1" s="235">
      <c r="A1767" s="232" t="n"/>
      <c r="B1767" s="232" t="n"/>
      <c r="C1767" s="232" t="n"/>
      <c r="D1767" s="233" t="n"/>
      <c r="E1767" s="232" t="n"/>
      <c r="F1767" s="233" t="n"/>
      <c r="G1767" s="233" t="n"/>
      <c r="H1767" s="233" t="n"/>
      <c r="I1767" s="232" t="n"/>
      <c r="J1767" s="233" t="n"/>
      <c r="K1767" s="232" t="n"/>
      <c r="L1767" s="232" t="n"/>
      <c r="M1767" s="232" t="n"/>
      <c r="N1767" s="233" t="n"/>
      <c r="O1767" s="232" t="n"/>
      <c r="P1767" s="233" t="n"/>
      <c r="Q1767" s="233" t="n"/>
      <c r="R1767" s="233" t="n"/>
      <c r="S1767" s="232" t="n"/>
      <c r="T1767" s="233" t="n"/>
      <c r="U1767" s="233" t="n"/>
      <c r="V1767" s="233" t="n"/>
      <c r="W1767" s="232" t="n"/>
    </row>
    <row r="1768" ht="54.95" customFormat="1" customHeight="1" s="235">
      <c r="A1768" s="232" t="n"/>
      <c r="B1768" s="232" t="n"/>
      <c r="C1768" s="232" t="n"/>
      <c r="D1768" s="233" t="n"/>
      <c r="E1768" s="232" t="n"/>
      <c r="F1768" s="233" t="n"/>
      <c r="G1768" s="233" t="n"/>
      <c r="H1768" s="233" t="n"/>
      <c r="I1768" s="232" t="n"/>
      <c r="J1768" s="233" t="n"/>
      <c r="K1768" s="232" t="n"/>
      <c r="L1768" s="232" t="n"/>
      <c r="M1768" s="232" t="n"/>
      <c r="N1768" s="233" t="n"/>
      <c r="O1768" s="232" t="n"/>
      <c r="P1768" s="233" t="n"/>
      <c r="Q1768" s="233" t="n"/>
      <c r="R1768" s="233" t="n"/>
      <c r="S1768" s="232" t="n"/>
      <c r="T1768" s="233" t="n"/>
      <c r="U1768" s="233" t="n"/>
      <c r="V1768" s="233" t="n"/>
      <c r="W1768" s="232" t="n"/>
    </row>
    <row r="1769" ht="54.95" customFormat="1" customHeight="1" s="37">
      <c r="A1769" s="232" t="n"/>
      <c r="B1769" s="232" t="n"/>
      <c r="C1769" s="232" t="n"/>
      <c r="D1769" s="233" t="n"/>
      <c r="E1769" s="232" t="n"/>
      <c r="F1769" s="233" t="n"/>
      <c r="G1769" s="233" t="n"/>
      <c r="H1769" s="233" t="n"/>
      <c r="I1769" s="232" t="n"/>
      <c r="J1769" s="233" t="n"/>
      <c r="K1769" s="232" t="n"/>
      <c r="L1769" s="232" t="n"/>
      <c r="M1769" s="232" t="n"/>
      <c r="N1769" s="233" t="n"/>
      <c r="O1769" s="232" t="n"/>
      <c r="P1769" s="233" t="n"/>
      <c r="Q1769" s="233" t="n"/>
      <c r="R1769" s="233" t="n"/>
      <c r="S1769" s="232" t="n"/>
      <c r="T1769" s="233" t="n"/>
      <c r="U1769" s="233" t="n"/>
      <c r="V1769" s="233" t="n"/>
      <c r="W1769" s="232" t="n"/>
    </row>
    <row r="1770" ht="54.95" customFormat="1" customHeight="1" s="37">
      <c r="A1770" s="232" t="n"/>
      <c r="B1770" s="232" t="n"/>
      <c r="C1770" s="232" t="n"/>
      <c r="D1770" s="233" t="n"/>
      <c r="E1770" s="232" t="n"/>
      <c r="F1770" s="233" t="n"/>
      <c r="G1770" s="233" t="n"/>
      <c r="H1770" s="233" t="n"/>
      <c r="I1770" s="232" t="n"/>
      <c r="J1770" s="233" t="n"/>
      <c r="K1770" s="232" t="n"/>
      <c r="L1770" s="232" t="n"/>
      <c r="M1770" s="232" t="n"/>
      <c r="N1770" s="233" t="n"/>
      <c r="O1770" s="232" t="n"/>
      <c r="P1770" s="233" t="n"/>
      <c r="Q1770" s="233" t="n"/>
      <c r="R1770" s="233" t="n"/>
      <c r="S1770" s="232" t="n"/>
      <c r="T1770" s="233" t="n"/>
      <c r="U1770" s="233" t="n"/>
      <c r="V1770" s="233" t="n"/>
      <c r="W1770" s="232" t="n"/>
    </row>
    <row r="1771" ht="54.95" customFormat="1" customHeight="1" s="37">
      <c r="A1771" s="234" t="n"/>
      <c r="B1771" s="234" t="n"/>
      <c r="C1771" s="234" t="n"/>
      <c r="D1771" s="234" t="n"/>
      <c r="E1771" s="234" t="n"/>
      <c r="F1771" s="234" t="n"/>
      <c r="G1771" s="234" t="n"/>
      <c r="H1771" s="234" t="n"/>
      <c r="I1771" s="234" t="n"/>
      <c r="J1771" s="234" t="n"/>
      <c r="K1771" s="234" t="n"/>
      <c r="L1771" s="234" t="n"/>
      <c r="M1771" s="232" t="n"/>
      <c r="N1771" s="233" t="n"/>
      <c r="O1771" s="232" t="n"/>
      <c r="P1771" s="234" t="n"/>
      <c r="Q1771" s="234" t="n"/>
      <c r="R1771" s="234" t="n"/>
      <c r="S1771" s="234" t="n"/>
      <c r="T1771" s="234" t="n"/>
      <c r="U1771" s="234" t="n"/>
      <c r="V1771" s="234" t="n"/>
      <c r="W1771" s="234" t="n"/>
    </row>
    <row r="1772" ht="54.95" customFormat="1" customHeight="1" s="37">
      <c r="A1772" s="234" t="n"/>
      <c r="B1772" s="234" t="n"/>
      <c r="C1772" s="234" t="n"/>
      <c r="D1772" s="234" t="n"/>
      <c r="E1772" s="234" t="n"/>
      <c r="F1772" s="234" t="n"/>
      <c r="G1772" s="234" t="n"/>
      <c r="H1772" s="234" t="n"/>
      <c r="I1772" s="234" t="n"/>
      <c r="J1772" s="234" t="n"/>
      <c r="K1772" s="234" t="n"/>
      <c r="L1772" s="234" t="n"/>
      <c r="M1772" s="232" t="n"/>
      <c r="N1772" s="233" t="n"/>
      <c r="O1772" s="232" t="n"/>
      <c r="P1772" s="234" t="n"/>
      <c r="Q1772" s="234" t="n"/>
      <c r="R1772" s="234" t="n"/>
      <c r="S1772" s="234" t="n"/>
      <c r="T1772" s="234" t="n"/>
      <c r="U1772" s="234" t="n"/>
      <c r="V1772" s="234" t="n"/>
      <c r="W1772" s="234" t="n"/>
    </row>
    <row r="1773" ht="54.95" customFormat="1" customHeight="1" s="37">
      <c r="A1773" s="234" t="n"/>
      <c r="B1773" s="234" t="n"/>
      <c r="C1773" s="234" t="n"/>
      <c r="D1773" s="234" t="n"/>
      <c r="E1773" s="234" t="n"/>
      <c r="F1773" s="234" t="n"/>
      <c r="G1773" s="234" t="n"/>
      <c r="H1773" s="234" t="n"/>
      <c r="I1773" s="234" t="n"/>
      <c r="J1773" s="234" t="n"/>
      <c r="K1773" s="234" t="n"/>
      <c r="L1773" s="234" t="n"/>
      <c r="M1773" s="232" t="n"/>
      <c r="N1773" s="233" t="n"/>
      <c r="O1773" s="232" t="n"/>
      <c r="P1773" s="234" t="n"/>
      <c r="Q1773" s="234" t="n"/>
      <c r="R1773" s="234" t="n"/>
      <c r="S1773" s="234" t="n"/>
      <c r="T1773" s="234" t="n"/>
      <c r="U1773" s="234" t="n"/>
      <c r="V1773" s="234" t="n"/>
      <c r="W1773" s="234" t="n"/>
    </row>
    <row r="1774" ht="54.95" customFormat="1" customHeight="1" s="37">
      <c r="A1774" s="232" t="n"/>
      <c r="B1774" s="232" t="n"/>
      <c r="C1774" s="232" t="n"/>
      <c r="D1774" s="233" t="n"/>
      <c r="E1774" s="232" t="n"/>
      <c r="F1774" s="233" t="n"/>
      <c r="G1774" s="233" t="n"/>
      <c r="H1774" s="233" t="n"/>
      <c r="I1774" s="232" t="n"/>
      <c r="J1774" s="233" t="n"/>
      <c r="K1774" s="232" t="n"/>
      <c r="L1774" s="232" t="n"/>
      <c r="M1774" s="232" t="n"/>
      <c r="N1774" s="233" t="n"/>
      <c r="O1774" s="232" t="n"/>
      <c r="P1774" s="233" t="n"/>
      <c r="Q1774" s="233" t="n"/>
      <c r="R1774" s="233" t="n"/>
      <c r="S1774" s="232" t="n"/>
      <c r="T1774" s="233" t="n"/>
      <c r="U1774" s="233" t="n"/>
      <c r="V1774" s="233" t="n"/>
      <c r="W1774" s="232" t="n"/>
    </row>
    <row r="1775" ht="54.95" customFormat="1" customHeight="1" s="37">
      <c r="A1775" s="232" t="n"/>
      <c r="B1775" s="232" t="n"/>
      <c r="C1775" s="232" t="n"/>
      <c r="D1775" s="233" t="n"/>
      <c r="E1775" s="232" t="n"/>
      <c r="F1775" s="233" t="n"/>
      <c r="G1775" s="233" t="n"/>
      <c r="H1775" s="233" t="n"/>
      <c r="I1775" s="232" t="n"/>
      <c r="J1775" s="233" t="n"/>
      <c r="K1775" s="232" t="n"/>
      <c r="L1775" s="232" t="n"/>
      <c r="M1775" s="232" t="n"/>
      <c r="N1775" s="233" t="n"/>
      <c r="O1775" s="232" t="n"/>
      <c r="P1775" s="233" t="n"/>
      <c r="Q1775" s="233" t="n"/>
      <c r="R1775" s="233" t="n"/>
      <c r="S1775" s="232" t="n"/>
      <c r="T1775" s="233" t="n"/>
      <c r="U1775" s="233" t="n"/>
      <c r="V1775" s="233" t="n"/>
      <c r="W1775" s="232" t="n"/>
    </row>
    <row r="1776" ht="54.95" customFormat="1" customHeight="1" s="37">
      <c r="A1776" s="232" t="n"/>
      <c r="B1776" s="232" t="n"/>
      <c r="C1776" s="232" t="n"/>
      <c r="D1776" s="233" t="n"/>
      <c r="E1776" s="232" t="n"/>
      <c r="F1776" s="233" t="n"/>
      <c r="G1776" s="233" t="n"/>
      <c r="H1776" s="233" t="n"/>
      <c r="I1776" s="232" t="n"/>
      <c r="J1776" s="233" t="n"/>
      <c r="K1776" s="232" t="n"/>
      <c r="L1776" s="232" t="n"/>
      <c r="M1776" s="232" t="n"/>
      <c r="N1776" s="233" t="n"/>
      <c r="O1776" s="232" t="n"/>
      <c r="P1776" s="233" t="n"/>
      <c r="Q1776" s="233" t="n"/>
      <c r="R1776" s="233" t="n"/>
      <c r="S1776" s="232" t="n"/>
      <c r="T1776" s="233" t="n"/>
      <c r="U1776" s="233" t="n"/>
      <c r="V1776" s="233" t="n"/>
      <c r="W1776" s="232" t="n"/>
    </row>
    <row r="1777" ht="54.95" customFormat="1" customHeight="1" s="37">
      <c r="A1777" s="232" t="n"/>
      <c r="B1777" s="232" t="n"/>
      <c r="C1777" s="232" t="n"/>
      <c r="D1777" s="233" t="n"/>
      <c r="E1777" s="232" t="n"/>
      <c r="F1777" s="233" t="n"/>
      <c r="G1777" s="233" t="n"/>
      <c r="H1777" s="233" t="n"/>
      <c r="I1777" s="232" t="n"/>
      <c r="J1777" s="233" t="n"/>
      <c r="K1777" s="232" t="n"/>
      <c r="L1777" s="232" t="n"/>
      <c r="M1777" s="232" t="n"/>
      <c r="N1777" s="233" t="n"/>
      <c r="O1777" s="232" t="n"/>
      <c r="P1777" s="233" t="n"/>
      <c r="Q1777" s="233" t="n"/>
      <c r="R1777" s="233" t="n"/>
      <c r="S1777" s="232" t="n"/>
      <c r="T1777" s="233" t="n"/>
      <c r="U1777" s="233" t="n"/>
      <c r="V1777" s="233" t="n"/>
      <c r="W1777" s="232" t="n"/>
    </row>
    <row r="1778" ht="54.95" customFormat="1" customHeight="1" s="37">
      <c r="A1778" s="232" t="n"/>
      <c r="B1778" s="232" t="n"/>
      <c r="C1778" s="232" t="n"/>
      <c r="D1778" s="233" t="n"/>
      <c r="E1778" s="232" t="n"/>
      <c r="F1778" s="233" t="n"/>
      <c r="G1778" s="233" t="n"/>
      <c r="H1778" s="233" t="n"/>
      <c r="I1778" s="232" t="n"/>
      <c r="J1778" s="233" t="n"/>
      <c r="K1778" s="232" t="n"/>
      <c r="L1778" s="232" t="n"/>
      <c r="M1778" s="232" t="n"/>
      <c r="N1778" s="233" t="n"/>
      <c r="O1778" s="232" t="n"/>
      <c r="P1778" s="233" t="n"/>
      <c r="Q1778" s="233" t="n"/>
      <c r="R1778" s="233" t="n"/>
      <c r="S1778" s="232" t="n"/>
      <c r="T1778" s="233" t="n"/>
      <c r="U1778" s="233" t="n"/>
      <c r="V1778" s="233" t="n"/>
      <c r="W1778" s="232" t="n"/>
    </row>
    <row r="1779" ht="54.95" customFormat="1" customHeight="1" s="37">
      <c r="A1779" s="232" t="n"/>
      <c r="B1779" s="232" t="n"/>
      <c r="C1779" s="232" t="n"/>
      <c r="D1779" s="233" t="n"/>
      <c r="E1779" s="232" t="n"/>
      <c r="F1779" s="233" t="n"/>
      <c r="G1779" s="233" t="n"/>
      <c r="H1779" s="233" t="n"/>
      <c r="I1779" s="232" t="n"/>
      <c r="J1779" s="233" t="n"/>
      <c r="K1779" s="232" t="n"/>
      <c r="L1779" s="232" t="n"/>
      <c r="M1779" s="232" t="n"/>
      <c r="N1779" s="233" t="n"/>
      <c r="O1779" s="232" t="n"/>
      <c r="P1779" s="233" t="n"/>
      <c r="Q1779" s="233" t="n"/>
      <c r="R1779" s="233" t="n"/>
      <c r="S1779" s="232" t="n"/>
      <c r="T1779" s="233" t="n"/>
      <c r="U1779" s="233" t="n"/>
      <c r="V1779" s="233" t="n"/>
      <c r="W1779" s="232" t="n"/>
    </row>
    <row r="1780" ht="54.95" customFormat="1" customHeight="1" s="37">
      <c r="A1780" s="232" t="n"/>
      <c r="B1780" s="232" t="n"/>
      <c r="C1780" s="232" t="n"/>
      <c r="D1780" s="233" t="n"/>
      <c r="E1780" s="232" t="n"/>
      <c r="F1780" s="233" t="n"/>
      <c r="G1780" s="233" t="n"/>
      <c r="H1780" s="233" t="n"/>
      <c r="I1780" s="232" t="n"/>
      <c r="J1780" s="233" t="n"/>
      <c r="K1780" s="232" t="n"/>
      <c r="L1780" s="232" t="n"/>
      <c r="M1780" s="232" t="n"/>
      <c r="N1780" s="233" t="n"/>
      <c r="O1780" s="232" t="n"/>
      <c r="P1780" s="233" t="n"/>
      <c r="Q1780" s="233" t="n"/>
      <c r="R1780" s="233" t="n"/>
      <c r="S1780" s="232" t="n"/>
      <c r="T1780" s="233" t="n"/>
      <c r="U1780" s="233" t="n"/>
      <c r="V1780" s="233" t="n"/>
      <c r="W1780" s="232" t="n"/>
    </row>
    <row r="1781" ht="54.95" customFormat="1" customHeight="1" s="37">
      <c r="A1781" s="232" t="n"/>
      <c r="B1781" s="232" t="n"/>
      <c r="C1781" s="232" t="n"/>
      <c r="D1781" s="233" t="n"/>
      <c r="E1781" s="232" t="n"/>
      <c r="F1781" s="233" t="n"/>
      <c r="G1781" s="233" t="n"/>
      <c r="H1781" s="233" t="n"/>
      <c r="I1781" s="232" t="n"/>
      <c r="J1781" s="233" t="n"/>
      <c r="K1781" s="232" t="n"/>
      <c r="L1781" s="232" t="n"/>
      <c r="M1781" s="232" t="n"/>
      <c r="N1781" s="233" t="n"/>
      <c r="O1781" s="232" t="n"/>
      <c r="P1781" s="233" t="n"/>
      <c r="Q1781" s="233" t="n"/>
      <c r="R1781" s="233" t="n"/>
      <c r="S1781" s="232" t="n"/>
      <c r="T1781" s="233" t="n"/>
      <c r="U1781" s="233" t="n"/>
      <c r="V1781" s="233" t="n"/>
      <c r="W1781" s="232" t="n"/>
    </row>
    <row r="1782" ht="54.95" customFormat="1" customHeight="1" s="37">
      <c r="A1782" s="234" t="n"/>
      <c r="B1782" s="234" t="n"/>
      <c r="C1782" s="234" t="n"/>
      <c r="D1782" s="234" t="n"/>
      <c r="E1782" s="234" t="n"/>
      <c r="F1782" s="234" t="n"/>
      <c r="G1782" s="234" t="n"/>
      <c r="H1782" s="234" t="n"/>
      <c r="I1782" s="234" t="n"/>
      <c r="J1782" s="234" t="n"/>
      <c r="K1782" s="234" t="n"/>
      <c r="L1782" s="234" t="n"/>
      <c r="M1782" s="232" t="n"/>
      <c r="N1782" s="233" t="n"/>
      <c r="O1782" s="232" t="n"/>
      <c r="P1782" s="234" t="n"/>
      <c r="Q1782" s="234" t="n"/>
      <c r="R1782" s="234" t="n"/>
      <c r="S1782" s="234" t="n"/>
      <c r="T1782" s="234" t="n"/>
      <c r="U1782" s="234" t="n"/>
      <c r="V1782" s="234" t="n"/>
      <c r="W1782" s="234" t="n"/>
    </row>
    <row r="1783" ht="54.95" customFormat="1" customHeight="1" s="37">
      <c r="A1783" s="234" t="n"/>
      <c r="B1783" s="234" t="n"/>
      <c r="C1783" s="234" t="n"/>
      <c r="D1783" s="234" t="n"/>
      <c r="E1783" s="234" t="n"/>
      <c r="F1783" s="234" t="n"/>
      <c r="G1783" s="234" t="n"/>
      <c r="H1783" s="234" t="n"/>
      <c r="I1783" s="234" t="n"/>
      <c r="J1783" s="234" t="n"/>
      <c r="K1783" s="234" t="n"/>
      <c r="L1783" s="234" t="n"/>
      <c r="M1783" s="232" t="n"/>
      <c r="N1783" s="233" t="n"/>
      <c r="O1783" s="232" t="n"/>
      <c r="P1783" s="234" t="n"/>
      <c r="Q1783" s="234" t="n"/>
      <c r="R1783" s="234" t="n"/>
      <c r="S1783" s="234" t="n"/>
      <c r="T1783" s="234" t="n"/>
      <c r="U1783" s="234" t="n"/>
      <c r="V1783" s="234" t="n"/>
      <c r="W1783" s="234" t="n"/>
    </row>
    <row r="1784" ht="54.95" customFormat="1" customHeight="1" s="37">
      <c r="A1784" s="234" t="n"/>
      <c r="B1784" s="234" t="n"/>
      <c r="C1784" s="234" t="n"/>
      <c r="D1784" s="234" t="n"/>
      <c r="E1784" s="234" t="n"/>
      <c r="F1784" s="234" t="n"/>
      <c r="G1784" s="234" t="n"/>
      <c r="H1784" s="234" t="n"/>
      <c r="I1784" s="234" t="n"/>
      <c r="J1784" s="234" t="n"/>
      <c r="K1784" s="234" t="n"/>
      <c r="L1784" s="234" t="n"/>
      <c r="M1784" s="232" t="n"/>
      <c r="N1784" s="233" t="n"/>
      <c r="O1784" s="232" t="n"/>
      <c r="P1784" s="234" t="n"/>
      <c r="Q1784" s="234" t="n"/>
      <c r="R1784" s="234" t="n"/>
      <c r="S1784" s="234" t="n"/>
      <c r="T1784" s="234" t="n"/>
      <c r="U1784" s="234" t="n"/>
      <c r="V1784" s="234" t="n"/>
      <c r="W1784" s="234" t="n"/>
    </row>
    <row r="1785" ht="54.95" customFormat="1" customHeight="1" s="37">
      <c r="A1785" s="234" t="n"/>
      <c r="B1785" s="234" t="n"/>
      <c r="C1785" s="234" t="n"/>
      <c r="D1785" s="234" t="n"/>
      <c r="E1785" s="234" t="n"/>
      <c r="F1785" s="234" t="n"/>
      <c r="G1785" s="234" t="n"/>
      <c r="H1785" s="234" t="n"/>
      <c r="I1785" s="234" t="n"/>
      <c r="J1785" s="234" t="n"/>
      <c r="K1785" s="234" t="n"/>
      <c r="L1785" s="234" t="n"/>
      <c r="M1785" s="232" t="n"/>
      <c r="N1785" s="233" t="n"/>
      <c r="O1785" s="232" t="n"/>
      <c r="P1785" s="234" t="n"/>
      <c r="Q1785" s="234" t="n"/>
      <c r="R1785" s="234" t="n"/>
      <c r="S1785" s="234" t="n"/>
      <c r="T1785" s="234" t="n"/>
      <c r="U1785" s="234" t="n"/>
      <c r="V1785" s="234" t="n"/>
      <c r="W1785" s="234" t="n"/>
    </row>
    <row r="1786" ht="54.95" customFormat="1" customHeight="1" s="37">
      <c r="A1786" s="234" t="n"/>
      <c r="B1786" s="234" t="n"/>
      <c r="C1786" s="234" t="n"/>
      <c r="D1786" s="234" t="n"/>
      <c r="E1786" s="234" t="n"/>
      <c r="F1786" s="234" t="n"/>
      <c r="G1786" s="234" t="n"/>
      <c r="H1786" s="234" t="n"/>
      <c r="I1786" s="234" t="n"/>
      <c r="J1786" s="234" t="n"/>
      <c r="K1786" s="234" t="n"/>
      <c r="L1786" s="234" t="n"/>
      <c r="M1786" s="232" t="n"/>
      <c r="N1786" s="233" t="n"/>
      <c r="O1786" s="232" t="n"/>
      <c r="P1786" s="234" t="n"/>
      <c r="Q1786" s="234" t="n"/>
      <c r="R1786" s="234" t="n"/>
      <c r="S1786" s="234" t="n"/>
      <c r="T1786" s="234" t="n"/>
      <c r="U1786" s="234" t="n"/>
      <c r="V1786" s="234" t="n"/>
      <c r="W1786" s="234" t="n"/>
    </row>
    <row r="1787" ht="54.95" customFormat="1" customHeight="1" s="37">
      <c r="A1787" s="232" t="n"/>
      <c r="B1787" s="232" t="n"/>
      <c r="C1787" s="232" t="n"/>
      <c r="D1787" s="233" t="n"/>
      <c r="E1787" s="232" t="n"/>
      <c r="F1787" s="233" t="n"/>
      <c r="G1787" s="233" t="n"/>
      <c r="H1787" s="233" t="n"/>
      <c r="I1787" s="232" t="n"/>
      <c r="J1787" s="233" t="n"/>
      <c r="K1787" s="232" t="n"/>
      <c r="L1787" s="232" t="n"/>
      <c r="M1787" s="232" t="n"/>
      <c r="N1787" s="233" t="n"/>
      <c r="O1787" s="232" t="n"/>
      <c r="P1787" s="233" t="n"/>
      <c r="Q1787" s="233" t="n"/>
      <c r="R1787" s="233" t="n"/>
      <c r="S1787" s="232" t="n"/>
      <c r="T1787" s="233" t="n"/>
      <c r="U1787" s="233" t="n"/>
      <c r="V1787" s="233" t="n"/>
      <c r="W1787" s="232" t="n"/>
    </row>
    <row r="1788" ht="54.95" customFormat="1" customHeight="1" s="37">
      <c r="A1788" s="232" t="n"/>
      <c r="B1788" s="232" t="n"/>
      <c r="C1788" s="232" t="n"/>
      <c r="D1788" s="233" t="n"/>
      <c r="E1788" s="232" t="n"/>
      <c r="F1788" s="233" t="n"/>
      <c r="G1788" s="233" t="n"/>
      <c r="H1788" s="233" t="n"/>
      <c r="I1788" s="232" t="n"/>
      <c r="J1788" s="233" t="n"/>
      <c r="K1788" s="232" t="n"/>
      <c r="L1788" s="232" t="n"/>
      <c r="M1788" s="232" t="n"/>
      <c r="N1788" s="233" t="n"/>
      <c r="O1788" s="232" t="n"/>
      <c r="P1788" s="233" t="n"/>
      <c r="Q1788" s="233" t="n"/>
      <c r="R1788" s="233" t="n"/>
      <c r="S1788" s="232" t="n"/>
      <c r="T1788" s="233" t="n"/>
      <c r="U1788" s="233" t="n"/>
      <c r="V1788" s="233" t="n"/>
      <c r="W1788" s="232" t="n"/>
    </row>
    <row r="1789" ht="54.95" customFormat="1" customHeight="1" s="37">
      <c r="A1789" s="232" t="n"/>
      <c r="B1789" s="232" t="n"/>
      <c r="C1789" s="232" t="n"/>
      <c r="D1789" s="233" t="n"/>
      <c r="E1789" s="232" t="n"/>
      <c r="F1789" s="233" t="n"/>
      <c r="G1789" s="233" t="n"/>
      <c r="H1789" s="233" t="n"/>
      <c r="I1789" s="232" t="n"/>
      <c r="J1789" s="233" t="n"/>
      <c r="K1789" s="232" t="n"/>
      <c r="L1789" s="232" t="n"/>
      <c r="M1789" s="232" t="n"/>
      <c r="N1789" s="233" t="n"/>
      <c r="O1789" s="232" t="n"/>
      <c r="P1789" s="233" t="n"/>
      <c r="Q1789" s="233" t="n"/>
      <c r="R1789" s="233" t="n"/>
      <c r="S1789" s="232" t="n"/>
      <c r="T1789" s="233" t="n"/>
      <c r="U1789" s="233" t="n"/>
      <c r="V1789" s="233" t="n"/>
      <c r="W1789" s="232" t="n"/>
    </row>
    <row r="1790" ht="54.95" customFormat="1" customHeight="1" s="37">
      <c r="A1790" s="232" t="n"/>
      <c r="B1790" s="232" t="n"/>
      <c r="C1790" s="232" t="n"/>
      <c r="D1790" s="233" t="n"/>
      <c r="E1790" s="232" t="n"/>
      <c r="F1790" s="233" t="n"/>
      <c r="G1790" s="233" t="n"/>
      <c r="H1790" s="233" t="n"/>
      <c r="I1790" s="232" t="n"/>
      <c r="J1790" s="233" t="n"/>
      <c r="K1790" s="232" t="n"/>
      <c r="L1790" s="232" t="n"/>
      <c r="M1790" s="232" t="n"/>
      <c r="N1790" s="233" t="n"/>
      <c r="O1790" s="232" t="n"/>
      <c r="P1790" s="233" t="n"/>
      <c r="Q1790" s="233" t="n"/>
      <c r="R1790" s="233" t="n"/>
      <c r="S1790" s="232" t="n"/>
      <c r="T1790" s="233" t="n"/>
      <c r="U1790" s="233" t="n"/>
      <c r="V1790" s="233" t="n"/>
      <c r="W1790" s="232" t="n"/>
    </row>
    <row r="1791" ht="54.95" customFormat="1" customHeight="1" s="37">
      <c r="A1791" s="232" t="n"/>
      <c r="B1791" s="232" t="n"/>
      <c r="C1791" s="232" t="n"/>
      <c r="D1791" s="233" t="n"/>
      <c r="E1791" s="232" t="n"/>
      <c r="F1791" s="233" t="n"/>
      <c r="G1791" s="233" t="n"/>
      <c r="H1791" s="233" t="n"/>
      <c r="I1791" s="232" t="n"/>
      <c r="J1791" s="233" t="n"/>
      <c r="K1791" s="232" t="n"/>
      <c r="L1791" s="232" t="n"/>
      <c r="M1791" s="232" t="n"/>
      <c r="N1791" s="233" t="n"/>
      <c r="O1791" s="232" t="n"/>
      <c r="P1791" s="233" t="n"/>
      <c r="Q1791" s="233" t="n"/>
      <c r="R1791" s="233" t="n"/>
      <c r="S1791" s="232" t="n"/>
      <c r="T1791" s="233" t="n"/>
      <c r="U1791" s="233" t="n"/>
      <c r="V1791" s="233" t="n"/>
      <c r="W1791" s="232" t="n"/>
    </row>
    <row r="1792" ht="54.95" customFormat="1" customHeight="1" s="37">
      <c r="A1792" s="232" t="n"/>
      <c r="B1792" s="232" t="n"/>
      <c r="C1792" s="232" t="n"/>
      <c r="D1792" s="233" t="n"/>
      <c r="E1792" s="232" t="n"/>
      <c r="F1792" s="233" t="n"/>
      <c r="G1792" s="233" t="n"/>
      <c r="H1792" s="233" t="n"/>
      <c r="I1792" s="232" t="n"/>
      <c r="J1792" s="233" t="n"/>
      <c r="K1792" s="232" t="n"/>
      <c r="L1792" s="232" t="n"/>
      <c r="M1792" s="232" t="n"/>
      <c r="N1792" s="233" t="n"/>
      <c r="O1792" s="232" t="n"/>
      <c r="P1792" s="233" t="n"/>
      <c r="Q1792" s="233" t="n"/>
      <c r="R1792" s="233" t="n"/>
      <c r="S1792" s="232" t="n"/>
      <c r="T1792" s="233" t="n"/>
      <c r="U1792" s="233" t="n"/>
      <c r="V1792" s="233" t="n"/>
      <c r="W1792" s="232" t="n"/>
    </row>
    <row r="1793" ht="54.95" customFormat="1" customHeight="1" s="37">
      <c r="A1793" s="232" t="n"/>
      <c r="B1793" s="232" t="n"/>
      <c r="C1793" s="232" t="n"/>
      <c r="D1793" s="233" t="n"/>
      <c r="E1793" s="232" t="n"/>
      <c r="F1793" s="233" t="n"/>
      <c r="G1793" s="233" t="n"/>
      <c r="H1793" s="233" t="n"/>
      <c r="I1793" s="232" t="n"/>
      <c r="J1793" s="233" t="n"/>
      <c r="K1793" s="232" t="n"/>
      <c r="L1793" s="232" t="n"/>
      <c r="M1793" s="232" t="n"/>
      <c r="N1793" s="233" t="n"/>
      <c r="O1793" s="232" t="n"/>
      <c r="P1793" s="233" t="n"/>
      <c r="Q1793" s="233" t="n"/>
      <c r="R1793" s="233" t="n"/>
      <c r="S1793" s="232" t="n"/>
      <c r="T1793" s="233" t="n"/>
      <c r="U1793" s="233" t="n"/>
      <c r="V1793" s="233" t="n"/>
      <c r="W1793" s="232" t="n"/>
    </row>
    <row r="1794" ht="54.95" customFormat="1" customHeight="1" s="37">
      <c r="A1794" s="232" t="n"/>
      <c r="B1794" s="232" t="n"/>
      <c r="C1794" s="232" t="n"/>
      <c r="D1794" s="233" t="n"/>
      <c r="E1794" s="232" t="n"/>
      <c r="F1794" s="233" t="n"/>
      <c r="G1794" s="233" t="n"/>
      <c r="H1794" s="233" t="n"/>
      <c r="I1794" s="232" t="n"/>
      <c r="J1794" s="233" t="n"/>
      <c r="K1794" s="232" t="n"/>
      <c r="L1794" s="232" t="n"/>
      <c r="M1794" s="232" t="n"/>
      <c r="N1794" s="233" t="n"/>
      <c r="O1794" s="232" t="n"/>
      <c r="P1794" s="233" t="n"/>
      <c r="Q1794" s="233" t="n"/>
      <c r="R1794" s="233" t="n"/>
      <c r="S1794" s="232" t="n"/>
      <c r="T1794" s="233" t="n"/>
      <c r="U1794" s="233" t="n"/>
      <c r="V1794" s="233" t="n"/>
      <c r="W1794" s="232" t="n"/>
    </row>
    <row r="1795" ht="54.95" customFormat="1" customHeight="1" s="37">
      <c r="A1795" s="232" t="n"/>
      <c r="B1795" s="232" t="n"/>
      <c r="C1795" s="232" t="n"/>
      <c r="D1795" s="233" t="n"/>
      <c r="E1795" s="232" t="n"/>
      <c r="F1795" s="233" t="n"/>
      <c r="G1795" s="233" t="n"/>
      <c r="H1795" s="233" t="n"/>
      <c r="I1795" s="232" t="n"/>
      <c r="J1795" s="233" t="n"/>
      <c r="K1795" s="232" t="n"/>
      <c r="L1795" s="232" t="n"/>
      <c r="M1795" s="232" t="n"/>
      <c r="N1795" s="233" t="n"/>
      <c r="O1795" s="232" t="n"/>
      <c r="P1795" s="233" t="n"/>
      <c r="Q1795" s="233" t="n"/>
      <c r="R1795" s="233" t="n"/>
      <c r="S1795" s="232" t="n"/>
      <c r="T1795" s="233" t="n"/>
      <c r="U1795" s="233" t="n"/>
      <c r="V1795" s="233" t="n"/>
      <c r="W1795" s="232" t="n"/>
    </row>
    <row r="1796" ht="54.95" customFormat="1" customHeight="1" s="37">
      <c r="A1796" s="232" t="n"/>
      <c r="B1796" s="232" t="n"/>
      <c r="C1796" s="232" t="n"/>
      <c r="D1796" s="233" t="n"/>
      <c r="E1796" s="232" t="n"/>
      <c r="F1796" s="233" t="n"/>
      <c r="G1796" s="233" t="n"/>
      <c r="H1796" s="233" t="n"/>
      <c r="I1796" s="232" t="n"/>
      <c r="J1796" s="233" t="n"/>
      <c r="K1796" s="232" t="n"/>
      <c r="L1796" s="232" t="n"/>
      <c r="M1796" s="232" t="n"/>
      <c r="N1796" s="233" t="n"/>
      <c r="O1796" s="232" t="n"/>
      <c r="P1796" s="233" t="n"/>
      <c r="Q1796" s="233" t="n"/>
      <c r="R1796" s="233" t="n"/>
      <c r="S1796" s="232" t="n"/>
      <c r="T1796" s="233" t="n"/>
      <c r="U1796" s="233" t="n"/>
      <c r="V1796" s="233" t="n"/>
      <c r="W1796" s="232" t="n"/>
    </row>
    <row r="1797" ht="54.95" customFormat="1" customHeight="1" s="37">
      <c r="A1797" s="232" t="n"/>
      <c r="B1797" s="232" t="n"/>
      <c r="C1797" s="232" t="n"/>
      <c r="D1797" s="233" t="n"/>
      <c r="E1797" s="232" t="n"/>
      <c r="F1797" s="233" t="n"/>
      <c r="G1797" s="233" t="n"/>
      <c r="H1797" s="233" t="n"/>
      <c r="I1797" s="232" t="n"/>
      <c r="J1797" s="233" t="n"/>
      <c r="K1797" s="232" t="n"/>
      <c r="L1797" s="232" t="n"/>
      <c r="M1797" s="232" t="n"/>
      <c r="N1797" s="233" t="n"/>
      <c r="O1797" s="232" t="n"/>
      <c r="P1797" s="233" t="n"/>
      <c r="Q1797" s="233" t="n"/>
      <c r="R1797" s="233" t="n"/>
      <c r="S1797" s="232" t="n"/>
      <c r="T1797" s="233" t="n"/>
      <c r="U1797" s="233" t="n"/>
      <c r="V1797" s="233" t="n"/>
      <c r="W1797" s="232" t="n"/>
    </row>
    <row r="1798" ht="54.95" customFormat="1" customHeight="1" s="37">
      <c r="A1798" s="234" t="n"/>
      <c r="B1798" s="234" t="n"/>
      <c r="C1798" s="234" t="n"/>
      <c r="D1798" s="234" t="n"/>
      <c r="E1798" s="234" t="n"/>
      <c r="F1798" s="234" t="n"/>
      <c r="G1798" s="234" t="n"/>
      <c r="H1798" s="234" t="n"/>
      <c r="I1798" s="234" t="n"/>
      <c r="J1798" s="234" t="n"/>
      <c r="K1798" s="234" t="n"/>
      <c r="L1798" s="234" t="n"/>
      <c r="M1798" s="232" t="n"/>
      <c r="N1798" s="233" t="n"/>
      <c r="O1798" s="232" t="n"/>
      <c r="P1798" s="234" t="n"/>
      <c r="Q1798" s="234" t="n"/>
      <c r="R1798" s="234" t="n"/>
      <c r="S1798" s="234" t="n"/>
      <c r="T1798" s="234" t="n"/>
      <c r="U1798" s="234" t="n"/>
      <c r="V1798" s="234" t="n"/>
      <c r="W1798" s="234" t="n"/>
    </row>
    <row r="1799" ht="54.95" customFormat="1" customHeight="1" s="37">
      <c r="A1799" s="232" t="n"/>
      <c r="B1799" s="232" t="n"/>
      <c r="C1799" s="232" t="n"/>
      <c r="D1799" s="233" t="n"/>
      <c r="E1799" s="232" t="n"/>
      <c r="F1799" s="233" t="n"/>
      <c r="G1799" s="233" t="n"/>
      <c r="H1799" s="233" t="n"/>
      <c r="I1799" s="232" t="n"/>
      <c r="J1799" s="233" t="n"/>
      <c r="K1799" s="232" t="n"/>
      <c r="L1799" s="232" t="n"/>
      <c r="M1799" s="232" t="n"/>
      <c r="N1799" s="233" t="n"/>
      <c r="O1799" s="232" t="n"/>
      <c r="P1799" s="233" t="n"/>
      <c r="Q1799" s="233" t="n"/>
      <c r="R1799" s="233" t="n"/>
      <c r="S1799" s="232" t="n"/>
      <c r="T1799" s="233" t="n"/>
      <c r="U1799" s="233" t="n"/>
      <c r="V1799" s="233" t="n"/>
      <c r="W1799" s="232" t="n"/>
    </row>
    <row r="1800" ht="54.95" customFormat="1" customHeight="1" s="37">
      <c r="A1800" s="234" t="n"/>
      <c r="B1800" s="234" t="n"/>
      <c r="C1800" s="234" t="n"/>
      <c r="D1800" s="234" t="n"/>
      <c r="E1800" s="234" t="n"/>
      <c r="F1800" s="234" t="n"/>
      <c r="G1800" s="234" t="n"/>
      <c r="H1800" s="234" t="n"/>
      <c r="I1800" s="234" t="n"/>
      <c r="J1800" s="234" t="n"/>
      <c r="K1800" s="234" t="n"/>
      <c r="L1800" s="234" t="n"/>
      <c r="M1800" s="232" t="n"/>
      <c r="N1800" s="233" t="n"/>
      <c r="O1800" s="232" t="n"/>
      <c r="P1800" s="234" t="n"/>
      <c r="Q1800" s="234" t="n"/>
      <c r="R1800" s="234" t="n"/>
      <c r="S1800" s="234" t="n"/>
      <c r="T1800" s="234" t="n"/>
      <c r="U1800" s="234" t="n"/>
      <c r="V1800" s="234" t="n"/>
      <c r="W1800" s="234" t="n"/>
    </row>
    <row r="1801" ht="54.95" customFormat="1" customHeight="1" s="37">
      <c r="A1801" s="234" t="n"/>
      <c r="B1801" s="234" t="n"/>
      <c r="C1801" s="234" t="n"/>
      <c r="D1801" s="234" t="n"/>
      <c r="E1801" s="234" t="n"/>
      <c r="F1801" s="234" t="n"/>
      <c r="G1801" s="234" t="n"/>
      <c r="H1801" s="234" t="n"/>
      <c r="I1801" s="234" t="n"/>
      <c r="J1801" s="234" t="n"/>
      <c r="K1801" s="234" t="n"/>
      <c r="L1801" s="234" t="n"/>
      <c r="M1801" s="232" t="n"/>
      <c r="N1801" s="233" t="n"/>
      <c r="O1801" s="232" t="n"/>
      <c r="P1801" s="234" t="n"/>
      <c r="Q1801" s="234" t="n"/>
      <c r="R1801" s="234" t="n"/>
      <c r="S1801" s="234" t="n"/>
      <c r="T1801" s="234" t="n"/>
      <c r="U1801" s="234" t="n"/>
      <c r="V1801" s="234" t="n"/>
      <c r="W1801" s="234" t="n"/>
    </row>
    <row r="1802" ht="54.95" customFormat="1" customHeight="1" s="37">
      <c r="A1802" s="234" t="n"/>
      <c r="B1802" s="234" t="n"/>
      <c r="C1802" s="234" t="n"/>
      <c r="D1802" s="234" t="n"/>
      <c r="E1802" s="234" t="n"/>
      <c r="F1802" s="234" t="n"/>
      <c r="G1802" s="234" t="n"/>
      <c r="H1802" s="234" t="n"/>
      <c r="I1802" s="234" t="n"/>
      <c r="J1802" s="234" t="n"/>
      <c r="K1802" s="234" t="n"/>
      <c r="L1802" s="234" t="n"/>
      <c r="M1802" s="232" t="n"/>
      <c r="N1802" s="233" t="n"/>
      <c r="O1802" s="232" t="n"/>
      <c r="P1802" s="234" t="n"/>
      <c r="Q1802" s="234" t="n"/>
      <c r="R1802" s="234" t="n"/>
      <c r="S1802" s="234" t="n"/>
      <c r="T1802" s="234" t="n"/>
      <c r="U1802" s="234" t="n"/>
      <c r="V1802" s="234" t="n"/>
      <c r="W1802" s="234" t="n"/>
    </row>
    <row r="1803" ht="54.95" customFormat="1" customHeight="1" s="37">
      <c r="A1803" s="234" t="n"/>
      <c r="B1803" s="234" t="n"/>
      <c r="C1803" s="234" t="n"/>
      <c r="D1803" s="234" t="n"/>
      <c r="E1803" s="234" t="n"/>
      <c r="F1803" s="234" t="n"/>
      <c r="G1803" s="234" t="n"/>
      <c r="H1803" s="234" t="n"/>
      <c r="I1803" s="234" t="n"/>
      <c r="J1803" s="234" t="n"/>
      <c r="K1803" s="234" t="n"/>
      <c r="L1803" s="234" t="n"/>
      <c r="M1803" s="232" t="n"/>
      <c r="N1803" s="233" t="n"/>
      <c r="O1803" s="232" t="n"/>
      <c r="P1803" s="234" t="n"/>
      <c r="Q1803" s="234" t="n"/>
      <c r="R1803" s="234" t="n"/>
      <c r="S1803" s="234" t="n"/>
      <c r="T1803" s="234" t="n"/>
      <c r="U1803" s="234" t="n"/>
      <c r="V1803" s="234" t="n"/>
      <c r="W1803" s="234" t="n"/>
    </row>
    <row r="1804" ht="54.95" customFormat="1" customHeight="1" s="37">
      <c r="A1804" s="234" t="n"/>
      <c r="B1804" s="234" t="n"/>
      <c r="C1804" s="234" t="n"/>
      <c r="D1804" s="234" t="n"/>
      <c r="E1804" s="234" t="n"/>
      <c r="F1804" s="234" t="n"/>
      <c r="G1804" s="234" t="n"/>
      <c r="H1804" s="234" t="n"/>
      <c r="I1804" s="234" t="n"/>
      <c r="J1804" s="234" t="n"/>
      <c r="K1804" s="234" t="n"/>
      <c r="L1804" s="234" t="n"/>
      <c r="M1804" s="232" t="n"/>
      <c r="N1804" s="233" t="n"/>
      <c r="O1804" s="232" t="n"/>
      <c r="P1804" s="234" t="n"/>
      <c r="Q1804" s="234" t="n"/>
      <c r="R1804" s="234" t="n"/>
      <c r="S1804" s="234" t="n"/>
      <c r="T1804" s="234" t="n"/>
      <c r="U1804" s="234" t="n"/>
      <c r="V1804" s="234" t="n"/>
      <c r="W1804" s="234" t="n"/>
    </row>
    <row r="1805" ht="54.95" customFormat="1" customHeight="1" s="37">
      <c r="A1805" s="234" t="n"/>
      <c r="B1805" s="234" t="n"/>
      <c r="C1805" s="234" t="n"/>
      <c r="D1805" s="234" t="n"/>
      <c r="E1805" s="234" t="n"/>
      <c r="F1805" s="234" t="n"/>
      <c r="G1805" s="234" t="n"/>
      <c r="H1805" s="234" t="n"/>
      <c r="I1805" s="234" t="n"/>
      <c r="J1805" s="234" t="n"/>
      <c r="K1805" s="234" t="n"/>
      <c r="L1805" s="234" t="n"/>
      <c r="M1805" s="232" t="n"/>
      <c r="N1805" s="233" t="n"/>
      <c r="O1805" s="232" t="n"/>
      <c r="P1805" s="234" t="n"/>
      <c r="Q1805" s="234" t="n"/>
      <c r="R1805" s="234" t="n"/>
      <c r="S1805" s="234" t="n"/>
      <c r="T1805" s="234" t="n"/>
      <c r="U1805" s="234" t="n"/>
      <c r="V1805" s="234" t="n"/>
      <c r="W1805" s="234" t="n"/>
    </row>
    <row r="1806" ht="54.95" customFormat="1" customHeight="1" s="37">
      <c r="A1806" s="234" t="n"/>
      <c r="B1806" s="234" t="n"/>
      <c r="C1806" s="234" t="n"/>
      <c r="D1806" s="234" t="n"/>
      <c r="E1806" s="234" t="n"/>
      <c r="F1806" s="234" t="n"/>
      <c r="G1806" s="234" t="n"/>
      <c r="H1806" s="234" t="n"/>
      <c r="I1806" s="234" t="n"/>
      <c r="J1806" s="234" t="n"/>
      <c r="K1806" s="234" t="n"/>
      <c r="L1806" s="234" t="n"/>
      <c r="M1806" s="232" t="n"/>
      <c r="N1806" s="233" t="n"/>
      <c r="O1806" s="232" t="n"/>
      <c r="P1806" s="234" t="n"/>
      <c r="Q1806" s="234" t="n"/>
      <c r="R1806" s="234" t="n"/>
      <c r="S1806" s="234" t="n"/>
      <c r="T1806" s="234" t="n"/>
      <c r="U1806" s="234" t="n"/>
      <c r="V1806" s="234" t="n"/>
      <c r="W1806" s="234" t="n"/>
    </row>
    <row r="1807" ht="54.95" customFormat="1" customHeight="1" s="37">
      <c r="A1807" s="234" t="n"/>
      <c r="B1807" s="234" t="n"/>
      <c r="C1807" s="234" t="n"/>
      <c r="D1807" s="234" t="n"/>
      <c r="E1807" s="234" t="n"/>
      <c r="F1807" s="234" t="n"/>
      <c r="G1807" s="234" t="n"/>
      <c r="H1807" s="234" t="n"/>
      <c r="I1807" s="234" t="n"/>
      <c r="J1807" s="234" t="n"/>
      <c r="K1807" s="234" t="n"/>
      <c r="L1807" s="234" t="n"/>
      <c r="M1807" s="232" t="n"/>
      <c r="N1807" s="233" t="n"/>
      <c r="O1807" s="232" t="n"/>
      <c r="P1807" s="234" t="n"/>
      <c r="Q1807" s="234" t="n"/>
      <c r="R1807" s="234" t="n"/>
      <c r="S1807" s="234" t="n"/>
      <c r="T1807" s="234" t="n"/>
      <c r="U1807" s="234" t="n"/>
      <c r="V1807" s="234" t="n"/>
      <c r="W1807" s="234" t="n"/>
    </row>
    <row r="1808" ht="54.95" customFormat="1" customHeight="1" s="37">
      <c r="A1808" s="234" t="n"/>
      <c r="B1808" s="234" t="n"/>
      <c r="C1808" s="234" t="n"/>
      <c r="D1808" s="234" t="n"/>
      <c r="E1808" s="234" t="n"/>
      <c r="F1808" s="234" t="n"/>
      <c r="G1808" s="234" t="n"/>
      <c r="H1808" s="234" t="n"/>
      <c r="I1808" s="234" t="n"/>
      <c r="J1808" s="234" t="n"/>
      <c r="K1808" s="234" t="n"/>
      <c r="L1808" s="234" t="n"/>
      <c r="M1808" s="232" t="n"/>
      <c r="N1808" s="233" t="n"/>
      <c r="O1808" s="232" t="n"/>
      <c r="P1808" s="234" t="n"/>
      <c r="Q1808" s="234" t="n"/>
      <c r="R1808" s="234" t="n"/>
      <c r="S1808" s="234" t="n"/>
      <c r="T1808" s="234" t="n"/>
      <c r="U1808" s="234" t="n"/>
      <c r="V1808" s="234" t="n"/>
      <c r="W1808" s="234" t="n"/>
    </row>
    <row r="1809" ht="54.95" customFormat="1" customHeight="1" s="37">
      <c r="A1809" s="232" t="n"/>
      <c r="B1809" s="232" t="n"/>
      <c r="C1809" s="232" t="n"/>
      <c r="D1809" s="233" t="n"/>
      <c r="E1809" s="232" t="n"/>
      <c r="F1809" s="233" t="n"/>
      <c r="G1809" s="233" t="n"/>
      <c r="H1809" s="233" t="n"/>
      <c r="I1809" s="232" t="n"/>
      <c r="J1809" s="233" t="n"/>
      <c r="K1809" s="232" t="n"/>
      <c r="L1809" s="232" t="n"/>
      <c r="M1809" s="232" t="n"/>
      <c r="N1809" s="233" t="n"/>
      <c r="O1809" s="232" t="n"/>
      <c r="P1809" s="233" t="n"/>
      <c r="Q1809" s="233" t="n"/>
      <c r="R1809" s="233" t="n"/>
      <c r="S1809" s="232" t="n"/>
      <c r="T1809" s="233" t="n"/>
      <c r="U1809" s="233" t="n"/>
      <c r="V1809" s="233" t="n"/>
      <c r="W1809" s="232" t="n"/>
    </row>
    <row r="1810" ht="54.95" customFormat="1" customHeight="1" s="37">
      <c r="A1810" s="232" t="n"/>
      <c r="B1810" s="232" t="n"/>
      <c r="C1810" s="232" t="n"/>
      <c r="D1810" s="233" t="n"/>
      <c r="E1810" s="232" t="n"/>
      <c r="F1810" s="233" t="n"/>
      <c r="G1810" s="233" t="n"/>
      <c r="H1810" s="233" t="n"/>
      <c r="I1810" s="232" t="n"/>
      <c r="J1810" s="233" t="n"/>
      <c r="K1810" s="232" t="n"/>
      <c r="L1810" s="232" t="n"/>
      <c r="M1810" s="232" t="n"/>
      <c r="N1810" s="233" t="n"/>
      <c r="O1810" s="232" t="n"/>
      <c r="P1810" s="233" t="n"/>
      <c r="Q1810" s="233" t="n"/>
      <c r="R1810" s="233" t="n"/>
      <c r="S1810" s="232" t="n"/>
      <c r="T1810" s="233" t="n"/>
      <c r="U1810" s="233" t="n"/>
      <c r="V1810" s="233" t="n"/>
      <c r="W1810" s="232" t="n"/>
    </row>
    <row r="1811" ht="54.95" customFormat="1" customHeight="1" s="37">
      <c r="A1811" s="232" t="n"/>
      <c r="B1811" s="232" t="n"/>
      <c r="C1811" s="232" t="n"/>
      <c r="D1811" s="233" t="n"/>
      <c r="E1811" s="232" t="n"/>
      <c r="F1811" s="233" t="n"/>
      <c r="G1811" s="233" t="n"/>
      <c r="H1811" s="233" t="n"/>
      <c r="I1811" s="232" t="n"/>
      <c r="J1811" s="233" t="n"/>
      <c r="K1811" s="232" t="n"/>
      <c r="L1811" s="232" t="n"/>
      <c r="M1811" s="232" t="n"/>
      <c r="N1811" s="233" t="n"/>
      <c r="O1811" s="232" t="n"/>
      <c r="P1811" s="233" t="n"/>
      <c r="Q1811" s="233" t="n"/>
      <c r="R1811" s="233" t="n"/>
      <c r="S1811" s="232" t="n"/>
      <c r="T1811" s="233" t="n"/>
      <c r="U1811" s="233" t="n"/>
      <c r="V1811" s="233" t="n"/>
      <c r="W1811" s="232" t="n"/>
    </row>
    <row r="1812" ht="54.95" customFormat="1" customHeight="1" s="37">
      <c r="A1812" s="232" t="n"/>
      <c r="B1812" s="232" t="n"/>
      <c r="C1812" s="232" t="n"/>
      <c r="D1812" s="233" t="n"/>
      <c r="E1812" s="232" t="n"/>
      <c r="F1812" s="233" t="n"/>
      <c r="G1812" s="233" t="n"/>
      <c r="H1812" s="233" t="n"/>
      <c r="I1812" s="232" t="n"/>
      <c r="J1812" s="233" t="n"/>
      <c r="K1812" s="232" t="n"/>
      <c r="L1812" s="232" t="n"/>
      <c r="M1812" s="232" t="n"/>
      <c r="N1812" s="233" t="n"/>
      <c r="O1812" s="232" t="n"/>
      <c r="P1812" s="233" t="n"/>
      <c r="Q1812" s="233" t="n"/>
      <c r="R1812" s="233" t="n"/>
      <c r="S1812" s="232" t="n"/>
      <c r="T1812" s="233" t="n"/>
      <c r="U1812" s="233" t="n"/>
      <c r="V1812" s="233" t="n"/>
      <c r="W1812" s="232" t="n"/>
    </row>
    <row r="1813" ht="54.95" customFormat="1" customHeight="1" s="37">
      <c r="A1813" s="232" t="n"/>
      <c r="B1813" s="232" t="n"/>
      <c r="C1813" s="232" t="n"/>
      <c r="D1813" s="233" t="n"/>
      <c r="E1813" s="232" t="n"/>
      <c r="F1813" s="233" t="n"/>
      <c r="G1813" s="233" t="n"/>
      <c r="H1813" s="233" t="n"/>
      <c r="I1813" s="232" t="n"/>
      <c r="J1813" s="233" t="n"/>
      <c r="K1813" s="232" t="n"/>
      <c r="L1813" s="232" t="n"/>
      <c r="M1813" s="232" t="n"/>
      <c r="N1813" s="233" t="n"/>
      <c r="O1813" s="232" t="n"/>
      <c r="P1813" s="233" t="n"/>
      <c r="Q1813" s="233" t="n"/>
      <c r="R1813" s="233" t="n"/>
      <c r="S1813" s="232" t="n"/>
      <c r="T1813" s="233" t="n"/>
      <c r="U1813" s="233" t="n"/>
      <c r="V1813" s="233" t="n"/>
      <c r="W1813" s="232" t="n"/>
    </row>
    <row r="1814" ht="54.95" customFormat="1" customHeight="1" s="37">
      <c r="A1814" s="234" t="n"/>
      <c r="B1814" s="234" t="n"/>
      <c r="C1814" s="234" t="n"/>
      <c r="D1814" s="234" t="n"/>
      <c r="E1814" s="234" t="n"/>
      <c r="F1814" s="234" t="n"/>
      <c r="G1814" s="234" t="n"/>
      <c r="H1814" s="234" t="n"/>
      <c r="I1814" s="234" t="n"/>
      <c r="J1814" s="234" t="n"/>
      <c r="K1814" s="234" t="n"/>
      <c r="L1814" s="234" t="n"/>
      <c r="M1814" s="232" t="n"/>
      <c r="N1814" s="233" t="n"/>
      <c r="O1814" s="232" t="n"/>
      <c r="P1814" s="234" t="n"/>
      <c r="Q1814" s="234" t="n"/>
      <c r="R1814" s="234" t="n"/>
      <c r="S1814" s="234" t="n"/>
      <c r="T1814" s="234" t="n"/>
      <c r="U1814" s="234" t="n"/>
      <c r="V1814" s="234" t="n"/>
      <c r="W1814" s="234" t="n"/>
    </row>
    <row r="1815" ht="54.95" customFormat="1" customHeight="1" s="37">
      <c r="A1815" s="234" t="n"/>
      <c r="B1815" s="234" t="n"/>
      <c r="C1815" s="234" t="n"/>
      <c r="D1815" s="234" t="n"/>
      <c r="E1815" s="234" t="n"/>
      <c r="F1815" s="234" t="n"/>
      <c r="G1815" s="234" t="n"/>
      <c r="H1815" s="234" t="n"/>
      <c r="I1815" s="234" t="n"/>
      <c r="J1815" s="234" t="n"/>
      <c r="K1815" s="234" t="n"/>
      <c r="L1815" s="234" t="n"/>
      <c r="M1815" s="232" t="n"/>
      <c r="N1815" s="233" t="n"/>
      <c r="O1815" s="232" t="n"/>
      <c r="P1815" s="234" t="n"/>
      <c r="Q1815" s="234" t="n"/>
      <c r="R1815" s="234" t="n"/>
      <c r="S1815" s="234" t="n"/>
      <c r="T1815" s="234" t="n"/>
      <c r="U1815" s="234" t="n"/>
      <c r="V1815" s="234" t="n"/>
      <c r="W1815" s="234" t="n"/>
    </row>
    <row r="1816" ht="54.95" customFormat="1" customHeight="1" s="37">
      <c r="A1816" s="234" t="n"/>
      <c r="B1816" s="234" t="n"/>
      <c r="C1816" s="234" t="n"/>
      <c r="D1816" s="234" t="n"/>
      <c r="E1816" s="234" t="n"/>
      <c r="F1816" s="234" t="n"/>
      <c r="G1816" s="234" t="n"/>
      <c r="H1816" s="234" t="n"/>
      <c r="I1816" s="234" t="n"/>
      <c r="J1816" s="234" t="n"/>
      <c r="K1816" s="234" t="n"/>
      <c r="L1816" s="234" t="n"/>
      <c r="M1816" s="232" t="n"/>
      <c r="N1816" s="233" t="n"/>
      <c r="O1816" s="232" t="n"/>
      <c r="P1816" s="234" t="n"/>
      <c r="Q1816" s="234" t="n"/>
      <c r="R1816" s="234" t="n"/>
      <c r="S1816" s="234" t="n"/>
      <c r="T1816" s="234" t="n"/>
      <c r="U1816" s="234" t="n"/>
      <c r="V1816" s="234" t="n"/>
      <c r="W1816" s="234" t="n"/>
    </row>
    <row r="1817" ht="54.95" customFormat="1" customHeight="1" s="37">
      <c r="A1817" s="232" t="n"/>
      <c r="B1817" s="232" t="n"/>
      <c r="C1817" s="232" t="n"/>
      <c r="D1817" s="233" t="n"/>
      <c r="E1817" s="232" t="n"/>
      <c r="F1817" s="233" t="n"/>
      <c r="G1817" s="233" t="n"/>
      <c r="H1817" s="233" t="n"/>
      <c r="I1817" s="232" t="n"/>
      <c r="J1817" s="233" t="n"/>
      <c r="K1817" s="232" t="n"/>
      <c r="L1817" s="232" t="n"/>
      <c r="M1817" s="232" t="n"/>
      <c r="N1817" s="233" t="n"/>
      <c r="O1817" s="232" t="n"/>
      <c r="P1817" s="233" t="n"/>
      <c r="Q1817" s="233" t="n"/>
      <c r="R1817" s="233" t="n"/>
      <c r="S1817" s="232" t="n"/>
      <c r="T1817" s="233" t="n"/>
      <c r="U1817" s="233" t="n"/>
      <c r="V1817" s="233" t="n"/>
      <c r="W1817" s="232" t="n"/>
    </row>
    <row r="1818" ht="54.95" customFormat="1" customHeight="1" s="37">
      <c r="A1818" s="232" t="n"/>
      <c r="B1818" s="232" t="n"/>
      <c r="C1818" s="232" t="n"/>
      <c r="D1818" s="233" t="n"/>
      <c r="E1818" s="232" t="n"/>
      <c r="F1818" s="233" t="n"/>
      <c r="G1818" s="233" t="n"/>
      <c r="H1818" s="233" t="n"/>
      <c r="I1818" s="232" t="n"/>
      <c r="J1818" s="233" t="n"/>
      <c r="K1818" s="232" t="n"/>
      <c r="L1818" s="232" t="n"/>
      <c r="M1818" s="232" t="n"/>
      <c r="N1818" s="233" t="n"/>
      <c r="O1818" s="232" t="n"/>
      <c r="P1818" s="233" t="n"/>
      <c r="Q1818" s="233" t="n"/>
      <c r="R1818" s="233" t="n"/>
      <c r="S1818" s="232" t="n"/>
      <c r="T1818" s="233" t="n"/>
      <c r="U1818" s="233" t="n"/>
      <c r="V1818" s="233" t="n"/>
      <c r="W1818" s="232" t="n"/>
    </row>
    <row r="1819" ht="54.95" customFormat="1" customHeight="1" s="37">
      <c r="A1819" s="232" t="n"/>
      <c r="B1819" s="232" t="n"/>
      <c r="C1819" s="232" t="n"/>
      <c r="D1819" s="233" t="n"/>
      <c r="E1819" s="232" t="n"/>
      <c r="F1819" s="233" t="n"/>
      <c r="G1819" s="233" t="n"/>
      <c r="H1819" s="233" t="n"/>
      <c r="I1819" s="232" t="n"/>
      <c r="J1819" s="233" t="n"/>
      <c r="K1819" s="232" t="n"/>
      <c r="L1819" s="232" t="n"/>
      <c r="M1819" s="232" t="n"/>
      <c r="N1819" s="233" t="n"/>
      <c r="O1819" s="232" t="n"/>
      <c r="P1819" s="233" t="n"/>
      <c r="Q1819" s="233" t="n"/>
      <c r="R1819" s="233" t="n"/>
      <c r="S1819" s="232" t="n"/>
      <c r="T1819" s="233" t="n"/>
      <c r="U1819" s="233" t="n"/>
      <c r="V1819" s="233" t="n"/>
      <c r="W1819" s="232" t="n"/>
    </row>
    <row r="1820" ht="54.95" customFormat="1" customHeight="1" s="37">
      <c r="A1820" s="232" t="n"/>
      <c r="B1820" s="232" t="n"/>
      <c r="C1820" s="232" t="n"/>
      <c r="D1820" s="233" t="n"/>
      <c r="E1820" s="232" t="n"/>
      <c r="F1820" s="233" t="n"/>
      <c r="G1820" s="233" t="n"/>
      <c r="H1820" s="233" t="n"/>
      <c r="I1820" s="232" t="n"/>
      <c r="J1820" s="233" t="n"/>
      <c r="K1820" s="232" t="n"/>
      <c r="L1820" s="232" t="n"/>
      <c r="M1820" s="232" t="n"/>
      <c r="N1820" s="233" t="n"/>
      <c r="O1820" s="232" t="n"/>
      <c r="P1820" s="233" t="n"/>
      <c r="Q1820" s="233" t="n"/>
      <c r="R1820" s="233" t="n"/>
      <c r="S1820" s="232" t="n"/>
      <c r="T1820" s="233" t="n"/>
      <c r="U1820" s="233" t="n"/>
      <c r="V1820" s="233" t="n"/>
      <c r="W1820" s="232" t="n"/>
    </row>
    <row r="1821" ht="54.95" customFormat="1" customHeight="1" s="37">
      <c r="A1821" s="232" t="n"/>
      <c r="B1821" s="232" t="n"/>
      <c r="C1821" s="232" t="n"/>
      <c r="D1821" s="233" t="n"/>
      <c r="E1821" s="232" t="n"/>
      <c r="F1821" s="233" t="n"/>
      <c r="G1821" s="233" t="n"/>
      <c r="H1821" s="233" t="n"/>
      <c r="I1821" s="232" t="n"/>
      <c r="J1821" s="233" t="n"/>
      <c r="K1821" s="232" t="n"/>
      <c r="L1821" s="232" t="n"/>
      <c r="M1821" s="232" t="n"/>
      <c r="N1821" s="233" t="n"/>
      <c r="O1821" s="232" t="n"/>
      <c r="P1821" s="233" t="n"/>
      <c r="Q1821" s="233" t="n"/>
      <c r="R1821" s="233" t="n"/>
      <c r="S1821" s="232" t="n"/>
      <c r="T1821" s="233" t="n"/>
      <c r="U1821" s="233" t="n"/>
      <c r="V1821" s="233" t="n"/>
      <c r="W1821" s="232" t="n"/>
    </row>
    <row r="1822" ht="54.95" customFormat="1" customHeight="1" s="37">
      <c r="A1822" s="232" t="n"/>
      <c r="B1822" s="232" t="n"/>
      <c r="C1822" s="232" t="n"/>
      <c r="D1822" s="233" t="n"/>
      <c r="E1822" s="232" t="n"/>
      <c r="F1822" s="233" t="n"/>
      <c r="G1822" s="233" t="n"/>
      <c r="H1822" s="233" t="n"/>
      <c r="I1822" s="232" t="n"/>
      <c r="J1822" s="233" t="n"/>
      <c r="K1822" s="232" t="n"/>
      <c r="L1822" s="232" t="n"/>
      <c r="M1822" s="232" t="n"/>
      <c r="N1822" s="233" t="n"/>
      <c r="O1822" s="232" t="n"/>
      <c r="P1822" s="233" t="n"/>
      <c r="Q1822" s="233" t="n"/>
      <c r="R1822" s="233" t="n"/>
      <c r="S1822" s="232" t="n"/>
      <c r="T1822" s="233" t="n"/>
      <c r="U1822" s="233" t="n"/>
      <c r="V1822" s="233" t="n"/>
      <c r="W1822" s="232" t="n"/>
    </row>
    <row r="1823" ht="54.95" customFormat="1" customHeight="1" s="37">
      <c r="A1823" s="234" t="n"/>
      <c r="B1823" s="234" t="n"/>
      <c r="C1823" s="234" t="n"/>
      <c r="D1823" s="234" t="n"/>
      <c r="E1823" s="234" t="n"/>
      <c r="F1823" s="234" t="n"/>
      <c r="G1823" s="234" t="n"/>
      <c r="H1823" s="234" t="n"/>
      <c r="I1823" s="234" t="n"/>
      <c r="J1823" s="234" t="n"/>
      <c r="K1823" s="234" t="n"/>
      <c r="L1823" s="234" t="n"/>
      <c r="M1823" s="232" t="n"/>
      <c r="N1823" s="233" t="n"/>
      <c r="O1823" s="232" t="n"/>
      <c r="P1823" s="234" t="n"/>
      <c r="Q1823" s="234" t="n"/>
      <c r="R1823" s="234" t="n"/>
      <c r="S1823" s="234" t="n"/>
      <c r="T1823" s="234" t="n"/>
      <c r="U1823" s="234" t="n"/>
      <c r="V1823" s="234" t="n"/>
      <c r="W1823" s="234" t="n"/>
    </row>
    <row r="1824" ht="54.95" customFormat="1" customHeight="1" s="37">
      <c r="A1824" s="232" t="n"/>
      <c r="B1824" s="232" t="n"/>
      <c r="C1824" s="232" t="n"/>
      <c r="D1824" s="233" t="n"/>
      <c r="E1824" s="232" t="n"/>
      <c r="F1824" s="233" t="n"/>
      <c r="G1824" s="233" t="n"/>
      <c r="H1824" s="233" t="n"/>
      <c r="I1824" s="232" t="n"/>
      <c r="J1824" s="233" t="n"/>
      <c r="K1824" s="232" t="n"/>
      <c r="L1824" s="232" t="n"/>
      <c r="M1824" s="232" t="n"/>
      <c r="N1824" s="233" t="n"/>
      <c r="O1824" s="232" t="n"/>
      <c r="P1824" s="233" t="n"/>
      <c r="Q1824" s="233" t="n"/>
      <c r="R1824" s="233" t="n"/>
      <c r="S1824" s="232" t="n"/>
      <c r="T1824" s="233" t="n"/>
      <c r="U1824" s="233" t="n"/>
      <c r="V1824" s="233" t="n"/>
      <c r="W1824" s="232" t="n"/>
    </row>
    <row r="1825" ht="54.95" customFormat="1" customHeight="1" s="37">
      <c r="A1825" s="232" t="n"/>
      <c r="B1825" s="232" t="n"/>
      <c r="C1825" s="232" t="n"/>
      <c r="D1825" s="233" t="n"/>
      <c r="E1825" s="232" t="n"/>
      <c r="F1825" s="233" t="n"/>
      <c r="G1825" s="233" t="n"/>
      <c r="H1825" s="233" t="n"/>
      <c r="I1825" s="232" t="n"/>
      <c r="J1825" s="233" t="n"/>
      <c r="K1825" s="232" t="n"/>
      <c r="L1825" s="232" t="n"/>
      <c r="M1825" s="232" t="n"/>
      <c r="N1825" s="233" t="n"/>
      <c r="O1825" s="232" t="n"/>
      <c r="P1825" s="233" t="n"/>
      <c r="Q1825" s="233" t="n"/>
      <c r="R1825" s="233" t="n"/>
      <c r="S1825" s="232" t="n"/>
      <c r="T1825" s="233" t="n"/>
      <c r="U1825" s="233" t="n"/>
      <c r="V1825" s="233" t="n"/>
      <c r="W1825" s="232" t="n"/>
    </row>
    <row r="1826" ht="54.95" customFormat="1" customHeight="1" s="37">
      <c r="A1826" s="234" t="n"/>
      <c r="B1826" s="234" t="n"/>
      <c r="C1826" s="234" t="n"/>
      <c r="D1826" s="234" t="n"/>
      <c r="E1826" s="234" t="n"/>
      <c r="F1826" s="234" t="n"/>
      <c r="G1826" s="234" t="n"/>
      <c r="H1826" s="234" t="n"/>
      <c r="I1826" s="234" t="n"/>
      <c r="J1826" s="234" t="n"/>
      <c r="K1826" s="234" t="n"/>
      <c r="L1826" s="234" t="n"/>
      <c r="M1826" s="232" t="n"/>
      <c r="N1826" s="233" t="n"/>
      <c r="O1826" s="232" t="n"/>
      <c r="P1826" s="234" t="n"/>
      <c r="Q1826" s="234" t="n"/>
      <c r="R1826" s="234" t="n"/>
      <c r="S1826" s="234" t="n"/>
      <c r="T1826" s="234" t="n"/>
      <c r="U1826" s="234" t="n"/>
      <c r="V1826" s="234" t="n"/>
      <c r="W1826" s="234" t="n"/>
    </row>
    <row r="1827" ht="54.95" customFormat="1" customHeight="1" s="37">
      <c r="A1827" s="234" t="n"/>
      <c r="B1827" s="234" t="n"/>
      <c r="C1827" s="234" t="n"/>
      <c r="D1827" s="234" t="n"/>
      <c r="E1827" s="234" t="n"/>
      <c r="F1827" s="234" t="n"/>
      <c r="G1827" s="234" t="n"/>
      <c r="H1827" s="234" t="n"/>
      <c r="I1827" s="234" t="n"/>
      <c r="J1827" s="234" t="n"/>
      <c r="K1827" s="234" t="n"/>
      <c r="L1827" s="234" t="n"/>
      <c r="M1827" s="232" t="n"/>
      <c r="N1827" s="233" t="n"/>
      <c r="O1827" s="232" t="n"/>
      <c r="P1827" s="234" t="n"/>
      <c r="Q1827" s="234" t="n"/>
      <c r="R1827" s="234" t="n"/>
      <c r="S1827" s="234" t="n"/>
      <c r="T1827" s="234" t="n"/>
      <c r="U1827" s="234" t="n"/>
      <c r="V1827" s="234" t="n"/>
      <c r="W1827" s="234" t="n"/>
    </row>
    <row r="1828" ht="54.95" customFormat="1" customHeight="1" s="37">
      <c r="A1828" s="234" t="n"/>
      <c r="B1828" s="234" t="n"/>
      <c r="C1828" s="234" t="n"/>
      <c r="D1828" s="234" t="n"/>
      <c r="E1828" s="234" t="n"/>
      <c r="F1828" s="234" t="n"/>
      <c r="G1828" s="234" t="n"/>
      <c r="H1828" s="234" t="n"/>
      <c r="I1828" s="234" t="n"/>
      <c r="J1828" s="234" t="n"/>
      <c r="K1828" s="234" t="n"/>
      <c r="L1828" s="234" t="n"/>
      <c r="M1828" s="232" t="n"/>
      <c r="N1828" s="233" t="n"/>
      <c r="O1828" s="232" t="n"/>
      <c r="P1828" s="234" t="n"/>
      <c r="Q1828" s="234" t="n"/>
      <c r="R1828" s="234" t="n"/>
      <c r="S1828" s="234" t="n"/>
      <c r="T1828" s="234" t="n"/>
      <c r="U1828" s="234" t="n"/>
      <c r="V1828" s="234" t="n"/>
      <c r="W1828" s="234" t="n"/>
    </row>
    <row r="1829" ht="54.95" customFormat="1" customHeight="1" s="37">
      <c r="A1829" s="234" t="n"/>
      <c r="B1829" s="234" t="n"/>
      <c r="C1829" s="234" t="n"/>
      <c r="D1829" s="234" t="n"/>
      <c r="E1829" s="234" t="n"/>
      <c r="F1829" s="234" t="n"/>
      <c r="G1829" s="234" t="n"/>
      <c r="H1829" s="234" t="n"/>
      <c r="I1829" s="234" t="n"/>
      <c r="J1829" s="234" t="n"/>
      <c r="K1829" s="234" t="n"/>
      <c r="L1829" s="234" t="n"/>
      <c r="M1829" s="232" t="n"/>
      <c r="N1829" s="233" t="n"/>
      <c r="O1829" s="232" t="n"/>
      <c r="P1829" s="234" t="n"/>
      <c r="Q1829" s="234" t="n"/>
      <c r="R1829" s="234" t="n"/>
      <c r="S1829" s="234" t="n"/>
      <c r="T1829" s="234" t="n"/>
      <c r="U1829" s="234" t="n"/>
      <c r="V1829" s="234" t="n"/>
      <c r="W1829" s="234" t="n"/>
    </row>
    <row r="1830" ht="54.95" customFormat="1" customHeight="1" s="37">
      <c r="A1830" s="234" t="n"/>
      <c r="B1830" s="234" t="n"/>
      <c r="C1830" s="234" t="n"/>
      <c r="D1830" s="234" t="n"/>
      <c r="E1830" s="234" t="n"/>
      <c r="F1830" s="234" t="n"/>
      <c r="G1830" s="234" t="n"/>
      <c r="H1830" s="234" t="n"/>
      <c r="I1830" s="234" t="n"/>
      <c r="J1830" s="234" t="n"/>
      <c r="K1830" s="234" t="n"/>
      <c r="L1830" s="234" t="n"/>
      <c r="M1830" s="232" t="n"/>
      <c r="N1830" s="233" t="n"/>
      <c r="O1830" s="232" t="n"/>
      <c r="P1830" s="234" t="n"/>
      <c r="Q1830" s="234" t="n"/>
      <c r="R1830" s="234" t="n"/>
      <c r="S1830" s="234" t="n"/>
      <c r="T1830" s="234" t="n"/>
      <c r="U1830" s="234" t="n"/>
      <c r="V1830" s="234" t="n"/>
      <c r="W1830" s="234" t="n"/>
    </row>
    <row r="1831" ht="54.95" customFormat="1" customHeight="1" s="37">
      <c r="A1831" s="234" t="n"/>
      <c r="B1831" s="234" t="n"/>
      <c r="C1831" s="234" t="n"/>
      <c r="D1831" s="234" t="n"/>
      <c r="E1831" s="234" t="n"/>
      <c r="F1831" s="234" t="n"/>
      <c r="G1831" s="234" t="n"/>
      <c r="H1831" s="234" t="n"/>
      <c r="I1831" s="234" t="n"/>
      <c r="J1831" s="234" t="n"/>
      <c r="K1831" s="234" t="n"/>
      <c r="L1831" s="234" t="n"/>
      <c r="M1831" s="232" t="n"/>
      <c r="N1831" s="233" t="n"/>
      <c r="O1831" s="232" t="n"/>
      <c r="P1831" s="234" t="n"/>
      <c r="Q1831" s="234" t="n"/>
      <c r="R1831" s="234" t="n"/>
      <c r="S1831" s="234" t="n"/>
      <c r="T1831" s="234" t="n"/>
      <c r="U1831" s="234" t="n"/>
      <c r="V1831" s="234" t="n"/>
      <c r="W1831" s="234" t="n"/>
    </row>
    <row r="1832" ht="54.95" customFormat="1" customHeight="1" s="37">
      <c r="A1832" s="234" t="n"/>
      <c r="B1832" s="234" t="n"/>
      <c r="C1832" s="234" t="n"/>
      <c r="D1832" s="234" t="n"/>
      <c r="E1832" s="234" t="n"/>
      <c r="F1832" s="234" t="n"/>
      <c r="G1832" s="234" t="n"/>
      <c r="H1832" s="234" t="n"/>
      <c r="I1832" s="234" t="n"/>
      <c r="J1832" s="234" t="n"/>
      <c r="K1832" s="234" t="n"/>
      <c r="L1832" s="234" t="n"/>
      <c r="M1832" s="232" t="n"/>
      <c r="N1832" s="233" t="n"/>
      <c r="O1832" s="232" t="n"/>
      <c r="P1832" s="234" t="n"/>
      <c r="Q1832" s="234" t="n"/>
      <c r="R1832" s="234" t="n"/>
      <c r="S1832" s="234" t="n"/>
      <c r="T1832" s="234" t="n"/>
      <c r="U1832" s="234" t="n"/>
      <c r="V1832" s="234" t="n"/>
      <c r="W1832" s="234" t="n"/>
    </row>
    <row r="1833" ht="54.95" customFormat="1" customHeight="1" s="37">
      <c r="A1833" s="234" t="n"/>
      <c r="B1833" s="234" t="n"/>
      <c r="C1833" s="234" t="n"/>
      <c r="D1833" s="234" t="n"/>
      <c r="E1833" s="234" t="n"/>
      <c r="F1833" s="234" t="n"/>
      <c r="G1833" s="234" t="n"/>
      <c r="H1833" s="234" t="n"/>
      <c r="I1833" s="234" t="n"/>
      <c r="J1833" s="234" t="n"/>
      <c r="K1833" s="234" t="n"/>
      <c r="L1833" s="234" t="n"/>
      <c r="M1833" s="232" t="n"/>
      <c r="N1833" s="233" t="n"/>
      <c r="O1833" s="232" t="n"/>
      <c r="P1833" s="234" t="n"/>
      <c r="Q1833" s="234" t="n"/>
      <c r="R1833" s="234" t="n"/>
      <c r="S1833" s="234" t="n"/>
      <c r="T1833" s="234" t="n"/>
      <c r="U1833" s="234" t="n"/>
      <c r="V1833" s="234" t="n"/>
      <c r="W1833" s="234" t="n"/>
    </row>
    <row r="1834" ht="54.95" customFormat="1" customHeight="1" s="37">
      <c r="A1834" s="234" t="n"/>
      <c r="B1834" s="234" t="n"/>
      <c r="C1834" s="234" t="n"/>
      <c r="D1834" s="234" t="n"/>
      <c r="E1834" s="234" t="n"/>
      <c r="F1834" s="234" t="n"/>
      <c r="G1834" s="234" t="n"/>
      <c r="H1834" s="234" t="n"/>
      <c r="I1834" s="234" t="n"/>
      <c r="J1834" s="234" t="n"/>
      <c r="K1834" s="234" t="n"/>
      <c r="L1834" s="234" t="n"/>
      <c r="M1834" s="232" t="n"/>
      <c r="N1834" s="233" t="n"/>
      <c r="O1834" s="232" t="n"/>
      <c r="P1834" s="234" t="n"/>
      <c r="Q1834" s="234" t="n"/>
      <c r="R1834" s="234" t="n"/>
      <c r="S1834" s="234" t="n"/>
      <c r="T1834" s="234" t="n"/>
      <c r="U1834" s="234" t="n"/>
      <c r="V1834" s="234" t="n"/>
      <c r="W1834" s="234" t="n"/>
    </row>
    <row r="1835" ht="54.95" customFormat="1" customHeight="1" s="37">
      <c r="A1835" s="234" t="n"/>
      <c r="B1835" s="234" t="n"/>
      <c r="C1835" s="234" t="n"/>
      <c r="D1835" s="234" t="n"/>
      <c r="E1835" s="234" t="n"/>
      <c r="F1835" s="234" t="n"/>
      <c r="G1835" s="234" t="n"/>
      <c r="H1835" s="234" t="n"/>
      <c r="I1835" s="234" t="n"/>
      <c r="J1835" s="234" t="n"/>
      <c r="K1835" s="234" t="n"/>
      <c r="L1835" s="234" t="n"/>
      <c r="M1835" s="232" t="n"/>
      <c r="N1835" s="233" t="n"/>
      <c r="O1835" s="232" t="n"/>
      <c r="P1835" s="234" t="n"/>
      <c r="Q1835" s="234" t="n"/>
      <c r="R1835" s="234" t="n"/>
      <c r="S1835" s="234" t="n"/>
      <c r="T1835" s="234" t="n"/>
      <c r="U1835" s="234" t="n"/>
      <c r="V1835" s="234" t="n"/>
      <c r="W1835" s="234" t="n"/>
    </row>
    <row r="1836" ht="54.95" customFormat="1" customHeight="1" s="37">
      <c r="A1836" s="234" t="n"/>
      <c r="B1836" s="234" t="n"/>
      <c r="C1836" s="234" t="n"/>
      <c r="D1836" s="234" t="n"/>
      <c r="E1836" s="234" t="n"/>
      <c r="F1836" s="234" t="n"/>
      <c r="G1836" s="234" t="n"/>
      <c r="H1836" s="234" t="n"/>
      <c r="I1836" s="234" t="n"/>
      <c r="J1836" s="234" t="n"/>
      <c r="K1836" s="234" t="n"/>
      <c r="L1836" s="234" t="n"/>
      <c r="M1836" s="232" t="n"/>
      <c r="N1836" s="233" t="n"/>
      <c r="O1836" s="232" t="n"/>
      <c r="P1836" s="234" t="n"/>
      <c r="Q1836" s="234" t="n"/>
      <c r="R1836" s="234" t="n"/>
      <c r="S1836" s="234" t="n"/>
      <c r="T1836" s="234" t="n"/>
      <c r="U1836" s="234" t="n"/>
      <c r="V1836" s="234" t="n"/>
      <c r="W1836" s="234" t="n"/>
    </row>
    <row r="1837" ht="54.95" customFormat="1" customHeight="1" s="37">
      <c r="A1837" s="232" t="n"/>
      <c r="B1837" s="232" t="n"/>
      <c r="C1837" s="232" t="n"/>
      <c r="D1837" s="233" t="n"/>
      <c r="E1837" s="232" t="n"/>
      <c r="F1837" s="233" t="n"/>
      <c r="G1837" s="233" t="n"/>
      <c r="H1837" s="233" t="n"/>
      <c r="I1837" s="232" t="n"/>
      <c r="J1837" s="233" t="n"/>
      <c r="K1837" s="232" t="n"/>
      <c r="L1837" s="232" t="n"/>
      <c r="M1837" s="232" t="n"/>
      <c r="N1837" s="233" t="n"/>
      <c r="O1837" s="232" t="n"/>
      <c r="P1837" s="233" t="n"/>
      <c r="Q1837" s="233" t="n"/>
      <c r="R1837" s="233" t="n"/>
      <c r="S1837" s="232" t="n"/>
      <c r="T1837" s="233" t="n"/>
      <c r="U1837" s="233" t="n"/>
      <c r="V1837" s="233" t="n"/>
      <c r="W1837" s="232" t="n"/>
    </row>
    <row r="1838" ht="54.95" customFormat="1" customHeight="1" s="37">
      <c r="A1838" s="232" t="n"/>
      <c r="B1838" s="232" t="n"/>
      <c r="C1838" s="232" t="n"/>
      <c r="D1838" s="233" t="n"/>
      <c r="E1838" s="232" t="n"/>
      <c r="F1838" s="233" t="n"/>
      <c r="G1838" s="233" t="n"/>
      <c r="H1838" s="233" t="n"/>
      <c r="I1838" s="232" t="n"/>
      <c r="J1838" s="233" t="n"/>
      <c r="K1838" s="232" t="n"/>
      <c r="L1838" s="232" t="n"/>
      <c r="M1838" s="232" t="n"/>
      <c r="N1838" s="233" t="n"/>
      <c r="O1838" s="232" t="n"/>
      <c r="P1838" s="233" t="n"/>
      <c r="Q1838" s="233" t="n"/>
      <c r="R1838" s="233" t="n"/>
      <c r="S1838" s="232" t="n"/>
      <c r="T1838" s="233" t="n"/>
      <c r="U1838" s="233" t="n"/>
      <c r="V1838" s="233" t="n"/>
      <c r="W1838" s="232" t="n"/>
    </row>
    <row r="1839" ht="54.95" customFormat="1" customHeight="1" s="37">
      <c r="A1839" s="232" t="n"/>
      <c r="B1839" s="232" t="n"/>
      <c r="C1839" s="232" t="n"/>
      <c r="D1839" s="233" t="n"/>
      <c r="E1839" s="232" t="n"/>
      <c r="F1839" s="233" t="n"/>
      <c r="G1839" s="233" t="n"/>
      <c r="H1839" s="233" t="n"/>
      <c r="I1839" s="232" t="n"/>
      <c r="J1839" s="233" t="n"/>
      <c r="K1839" s="232" t="n"/>
      <c r="L1839" s="232" t="n"/>
      <c r="M1839" s="232" t="n"/>
      <c r="N1839" s="233" t="n"/>
      <c r="O1839" s="232" t="n"/>
      <c r="P1839" s="233" t="n"/>
      <c r="Q1839" s="233" t="n"/>
      <c r="R1839" s="233" t="n"/>
      <c r="S1839" s="232" t="n"/>
      <c r="T1839" s="233" t="n"/>
      <c r="U1839" s="233" t="n"/>
      <c r="V1839" s="233" t="n"/>
      <c r="W1839" s="232" t="n"/>
    </row>
    <row r="1840" ht="54.95" customFormat="1" customHeight="1" s="37">
      <c r="A1840" s="232" t="n"/>
      <c r="B1840" s="232" t="n"/>
      <c r="C1840" s="232" t="n"/>
      <c r="D1840" s="233" t="n"/>
      <c r="E1840" s="232" t="n"/>
      <c r="F1840" s="233" t="n"/>
      <c r="G1840" s="233" t="n"/>
      <c r="H1840" s="233" t="n"/>
      <c r="I1840" s="232" t="n"/>
      <c r="J1840" s="233" t="n"/>
      <c r="K1840" s="232" t="n"/>
      <c r="L1840" s="232" t="n"/>
      <c r="M1840" s="232" t="n"/>
      <c r="N1840" s="233" t="n"/>
      <c r="O1840" s="232" t="n"/>
      <c r="P1840" s="233" t="n"/>
      <c r="Q1840" s="233" t="n"/>
      <c r="R1840" s="233" t="n"/>
      <c r="S1840" s="232" t="n"/>
      <c r="T1840" s="233" t="n"/>
      <c r="U1840" s="233" t="n"/>
      <c r="V1840" s="233" t="n"/>
      <c r="W1840" s="232" t="n"/>
    </row>
    <row r="1841" ht="54.95" customFormat="1" customHeight="1" s="37">
      <c r="A1841" s="232" t="n"/>
      <c r="B1841" s="232" t="n"/>
      <c r="C1841" s="232" t="n"/>
      <c r="D1841" s="233" t="n"/>
      <c r="E1841" s="232" t="n"/>
      <c r="F1841" s="233" t="n"/>
      <c r="G1841" s="233" t="n"/>
      <c r="H1841" s="233" t="n"/>
      <c r="I1841" s="232" t="n"/>
      <c r="J1841" s="233" t="n"/>
      <c r="K1841" s="232" t="n"/>
      <c r="L1841" s="232" t="n"/>
      <c r="M1841" s="232" t="n"/>
      <c r="N1841" s="233" t="n"/>
      <c r="O1841" s="232" t="n"/>
      <c r="P1841" s="233" t="n"/>
      <c r="Q1841" s="233" t="n"/>
      <c r="R1841" s="233" t="n"/>
      <c r="S1841" s="232" t="n"/>
      <c r="T1841" s="233" t="n"/>
      <c r="U1841" s="233" t="n"/>
      <c r="V1841" s="233" t="n"/>
      <c r="W1841" s="232" t="n"/>
    </row>
    <row r="1842" ht="54.95" customFormat="1" customHeight="1" s="37">
      <c r="A1842" s="232" t="n"/>
      <c r="B1842" s="232" t="n"/>
      <c r="C1842" s="232" t="n"/>
      <c r="D1842" s="233" t="n"/>
      <c r="E1842" s="232" t="n"/>
      <c r="F1842" s="233" t="n"/>
      <c r="G1842" s="233" t="n"/>
      <c r="H1842" s="233" t="n"/>
      <c r="I1842" s="232" t="n"/>
      <c r="J1842" s="233" t="n"/>
      <c r="K1842" s="232" t="n"/>
      <c r="L1842" s="232" t="n"/>
      <c r="M1842" s="232" t="n"/>
      <c r="N1842" s="233" t="n"/>
      <c r="O1842" s="232" t="n"/>
      <c r="P1842" s="233" t="n"/>
      <c r="Q1842" s="233" t="n"/>
      <c r="R1842" s="233" t="n"/>
      <c r="S1842" s="232" t="n"/>
      <c r="T1842" s="233" t="n"/>
      <c r="U1842" s="233" t="n"/>
      <c r="V1842" s="233" t="n"/>
      <c r="W1842" s="232" t="n"/>
    </row>
    <row r="1843" ht="54.95" customFormat="1" customHeight="1" s="37">
      <c r="A1843" s="232" t="n"/>
      <c r="B1843" s="232" t="n"/>
      <c r="C1843" s="232" t="n"/>
      <c r="D1843" s="233" t="n"/>
      <c r="E1843" s="232" t="n"/>
      <c r="F1843" s="233" t="n"/>
      <c r="G1843" s="233" t="n"/>
      <c r="H1843" s="233" t="n"/>
      <c r="I1843" s="232" t="n"/>
      <c r="J1843" s="233" t="n"/>
      <c r="K1843" s="232" t="n"/>
      <c r="L1843" s="232" t="n"/>
      <c r="M1843" s="232" t="n"/>
      <c r="N1843" s="233" t="n"/>
      <c r="O1843" s="232" t="n"/>
      <c r="P1843" s="233" t="n"/>
      <c r="Q1843" s="233" t="n"/>
      <c r="R1843" s="233" t="n"/>
      <c r="S1843" s="232" t="n"/>
      <c r="T1843" s="233" t="n"/>
      <c r="U1843" s="233" t="n"/>
      <c r="V1843" s="233" t="n"/>
      <c r="W1843" s="232" t="n"/>
    </row>
    <row r="1844" ht="54.95" customFormat="1" customHeight="1" s="37">
      <c r="A1844" s="234" t="n"/>
      <c r="B1844" s="234" t="n"/>
      <c r="C1844" s="234" t="n"/>
      <c r="D1844" s="234" t="n"/>
      <c r="E1844" s="234" t="n"/>
      <c r="F1844" s="234" t="n"/>
      <c r="G1844" s="234" t="n"/>
      <c r="H1844" s="234" t="n"/>
      <c r="I1844" s="234" t="n"/>
      <c r="J1844" s="234" t="n"/>
      <c r="K1844" s="234" t="n"/>
      <c r="L1844" s="234" t="n"/>
      <c r="M1844" s="232" t="n"/>
      <c r="N1844" s="233" t="n"/>
      <c r="O1844" s="232" t="n"/>
      <c r="P1844" s="234" t="n"/>
      <c r="Q1844" s="234" t="n"/>
      <c r="R1844" s="234" t="n"/>
      <c r="S1844" s="234" t="n"/>
      <c r="T1844" s="234" t="n"/>
      <c r="U1844" s="234" t="n"/>
      <c r="V1844" s="234" t="n"/>
      <c r="W1844" s="234" t="n"/>
    </row>
    <row r="1845" ht="54.95" customFormat="1" customHeight="1" s="37">
      <c r="A1845" s="232" t="n"/>
      <c r="B1845" s="232" t="n"/>
      <c r="C1845" s="232" t="n"/>
      <c r="D1845" s="233" t="n"/>
      <c r="E1845" s="232" t="n"/>
      <c r="F1845" s="233" t="n"/>
      <c r="G1845" s="233" t="n"/>
      <c r="H1845" s="233" t="n"/>
      <c r="I1845" s="232" t="n"/>
      <c r="J1845" s="233" t="n"/>
      <c r="K1845" s="232" t="n"/>
      <c r="L1845" s="232" t="n"/>
      <c r="M1845" s="232" t="n"/>
      <c r="N1845" s="233" t="n"/>
      <c r="O1845" s="232" t="n"/>
      <c r="P1845" s="233" t="n"/>
      <c r="Q1845" s="233" t="n"/>
      <c r="R1845" s="233" t="n"/>
      <c r="S1845" s="232" t="n"/>
      <c r="T1845" s="233" t="n"/>
      <c r="U1845" s="233" t="n"/>
      <c r="V1845" s="233" t="n"/>
      <c r="W1845" s="232" t="n"/>
    </row>
    <row r="1846" ht="54.95" customFormat="1" customHeight="1" s="37">
      <c r="A1846" s="232" t="n"/>
      <c r="B1846" s="232" t="n"/>
      <c r="C1846" s="232" t="n"/>
      <c r="D1846" s="233" t="n"/>
      <c r="E1846" s="232" t="n"/>
      <c r="F1846" s="233" t="n"/>
      <c r="G1846" s="233" t="n"/>
      <c r="H1846" s="233" t="n"/>
      <c r="I1846" s="232" t="n"/>
      <c r="J1846" s="233" t="n"/>
      <c r="K1846" s="232" t="n"/>
      <c r="L1846" s="232" t="n"/>
      <c r="M1846" s="232" t="n"/>
      <c r="N1846" s="233" t="n"/>
      <c r="O1846" s="232" t="n"/>
      <c r="P1846" s="233" t="n"/>
      <c r="Q1846" s="233" t="n"/>
      <c r="R1846" s="233" t="n"/>
      <c r="S1846" s="232" t="n"/>
      <c r="T1846" s="233" t="n"/>
      <c r="U1846" s="233" t="n"/>
      <c r="V1846" s="233" t="n"/>
      <c r="W1846" s="232" t="n"/>
    </row>
    <row r="1847" ht="54.95" customFormat="1" customHeight="1" s="37">
      <c r="A1847" s="232" t="n"/>
      <c r="B1847" s="232" t="n"/>
      <c r="C1847" s="232" t="n"/>
      <c r="D1847" s="233" t="n"/>
      <c r="E1847" s="232" t="n"/>
      <c r="F1847" s="233" t="n"/>
      <c r="G1847" s="233" t="n"/>
      <c r="H1847" s="233" t="n"/>
      <c r="I1847" s="232" t="n"/>
      <c r="J1847" s="233" t="n"/>
      <c r="K1847" s="232" t="n"/>
      <c r="L1847" s="232" t="n"/>
      <c r="M1847" s="232" t="n"/>
      <c r="N1847" s="233" t="n"/>
      <c r="O1847" s="232" t="n"/>
      <c r="P1847" s="233" t="n"/>
      <c r="Q1847" s="233" t="n"/>
      <c r="R1847" s="233" t="n"/>
      <c r="S1847" s="232" t="n"/>
      <c r="T1847" s="233" t="n"/>
      <c r="U1847" s="233" t="n"/>
      <c r="V1847" s="233" t="n"/>
      <c r="W1847" s="232" t="n"/>
    </row>
    <row r="1848" ht="54.95" customFormat="1" customHeight="1" s="37">
      <c r="A1848" s="232" t="n"/>
      <c r="B1848" s="232" t="n"/>
      <c r="C1848" s="232" t="n"/>
      <c r="D1848" s="233" t="n"/>
      <c r="E1848" s="232" t="n"/>
      <c r="F1848" s="233" t="n"/>
      <c r="G1848" s="233" t="n"/>
      <c r="H1848" s="233" t="n"/>
      <c r="I1848" s="232" t="n"/>
      <c r="J1848" s="233" t="n"/>
      <c r="K1848" s="232" t="n"/>
      <c r="L1848" s="232" t="n"/>
      <c r="M1848" s="232" t="n"/>
      <c r="N1848" s="233" t="n"/>
      <c r="O1848" s="232" t="n"/>
      <c r="P1848" s="233" t="n"/>
      <c r="Q1848" s="233" t="n"/>
      <c r="R1848" s="233" t="n"/>
      <c r="S1848" s="232" t="n"/>
      <c r="T1848" s="233" t="n"/>
      <c r="U1848" s="233" t="n"/>
      <c r="V1848" s="233" t="n"/>
      <c r="W1848" s="232" t="n"/>
    </row>
    <row r="1849" ht="54.95" customFormat="1" customHeight="1" s="37">
      <c r="A1849" s="232" t="n"/>
      <c r="B1849" s="232" t="n"/>
      <c r="C1849" s="232" t="n"/>
      <c r="D1849" s="233" t="n"/>
      <c r="E1849" s="232" t="n"/>
      <c r="F1849" s="233" t="n"/>
      <c r="G1849" s="233" t="n"/>
      <c r="H1849" s="233" t="n"/>
      <c r="I1849" s="232" t="n"/>
      <c r="J1849" s="233" t="n"/>
      <c r="K1849" s="232" t="n"/>
      <c r="L1849" s="232" t="n"/>
      <c r="M1849" s="232" t="n"/>
      <c r="N1849" s="233" t="n"/>
      <c r="O1849" s="232" t="n"/>
      <c r="P1849" s="233" t="n"/>
      <c r="Q1849" s="233" t="n"/>
      <c r="R1849" s="233" t="n"/>
      <c r="S1849" s="232" t="n"/>
      <c r="T1849" s="233" t="n"/>
      <c r="U1849" s="233" t="n"/>
      <c r="V1849" s="233" t="n"/>
      <c r="W1849" s="232" t="n"/>
    </row>
    <row r="1850" ht="54.95" customFormat="1" customHeight="1" s="37">
      <c r="A1850" s="232" t="n"/>
      <c r="B1850" s="232" t="n"/>
      <c r="C1850" s="232" t="n"/>
      <c r="D1850" s="233" t="n"/>
      <c r="E1850" s="232" t="n"/>
      <c r="F1850" s="233" t="n"/>
      <c r="G1850" s="233" t="n"/>
      <c r="H1850" s="233" t="n"/>
      <c r="I1850" s="232" t="n"/>
      <c r="J1850" s="233" t="n"/>
      <c r="K1850" s="232" t="n"/>
      <c r="L1850" s="232" t="n"/>
      <c r="M1850" s="232" t="n"/>
      <c r="N1850" s="233" t="n"/>
      <c r="O1850" s="232" t="n"/>
      <c r="P1850" s="233" t="n"/>
      <c r="Q1850" s="233" t="n"/>
      <c r="R1850" s="233" t="n"/>
      <c r="S1850" s="232" t="n"/>
      <c r="T1850" s="233" t="n"/>
      <c r="U1850" s="233" t="n"/>
      <c r="V1850" s="233" t="n"/>
      <c r="W1850" s="232" t="n"/>
    </row>
    <row r="1851" ht="54.95" customFormat="1" customHeight="1" s="37">
      <c r="A1851" s="232" t="n"/>
      <c r="B1851" s="232" t="n"/>
      <c r="C1851" s="232" t="n"/>
      <c r="D1851" s="233" t="n"/>
      <c r="E1851" s="232" t="n"/>
      <c r="F1851" s="233" t="n"/>
      <c r="G1851" s="233" t="n"/>
      <c r="H1851" s="233" t="n"/>
      <c r="I1851" s="232" t="n"/>
      <c r="J1851" s="233" t="n"/>
      <c r="K1851" s="232" t="n"/>
      <c r="L1851" s="232" t="n"/>
      <c r="M1851" s="232" t="n"/>
      <c r="N1851" s="233" t="n"/>
      <c r="O1851" s="232" t="n"/>
      <c r="P1851" s="233" t="n"/>
      <c r="Q1851" s="233" t="n"/>
      <c r="R1851" s="233" t="n"/>
      <c r="S1851" s="232" t="n"/>
      <c r="T1851" s="233" t="n"/>
      <c r="U1851" s="233" t="n"/>
      <c r="V1851" s="233" t="n"/>
      <c r="W1851" s="232" t="n"/>
    </row>
    <row r="1852" ht="54.95" customFormat="1" customHeight="1" s="37">
      <c r="A1852" s="232" t="n"/>
      <c r="B1852" s="232" t="n"/>
      <c r="C1852" s="232" t="n"/>
      <c r="D1852" s="233" t="n"/>
      <c r="E1852" s="232" t="n"/>
      <c r="F1852" s="233" t="n"/>
      <c r="G1852" s="233" t="n"/>
      <c r="H1852" s="233" t="n"/>
      <c r="I1852" s="232" t="n"/>
      <c r="J1852" s="233" t="n"/>
      <c r="K1852" s="232" t="n"/>
      <c r="L1852" s="232" t="n"/>
      <c r="M1852" s="232" t="n"/>
      <c r="N1852" s="233" t="n"/>
      <c r="O1852" s="232" t="n"/>
      <c r="P1852" s="233" t="n"/>
      <c r="Q1852" s="233" t="n"/>
      <c r="R1852" s="233" t="n"/>
      <c r="S1852" s="232" t="n"/>
      <c r="T1852" s="233" t="n"/>
      <c r="U1852" s="233" t="n"/>
      <c r="V1852" s="233" t="n"/>
      <c r="W1852" s="232" t="n"/>
    </row>
    <row r="1853" ht="54.95" customFormat="1" customHeight="1" s="37">
      <c r="A1853" s="232" t="n"/>
      <c r="B1853" s="232" t="n"/>
      <c r="C1853" s="232" t="n"/>
      <c r="D1853" s="233" t="n"/>
      <c r="E1853" s="232" t="n"/>
      <c r="F1853" s="233" t="n"/>
      <c r="G1853" s="233" t="n"/>
      <c r="H1853" s="233" t="n"/>
      <c r="I1853" s="232" t="n"/>
      <c r="J1853" s="233" t="n"/>
      <c r="K1853" s="232" t="n"/>
      <c r="L1853" s="232" t="n"/>
      <c r="M1853" s="232" t="n"/>
      <c r="N1853" s="233" t="n"/>
      <c r="O1853" s="232" t="n"/>
      <c r="P1853" s="233" t="n"/>
      <c r="Q1853" s="233" t="n"/>
      <c r="R1853" s="233" t="n"/>
      <c r="S1853" s="232" t="n"/>
      <c r="T1853" s="233" t="n"/>
      <c r="U1853" s="233" t="n"/>
      <c r="V1853" s="233" t="n"/>
      <c r="W1853" s="232" t="n"/>
    </row>
    <row r="1854" ht="54.95" customFormat="1" customHeight="1" s="37">
      <c r="A1854" s="232" t="n"/>
      <c r="B1854" s="232" t="n"/>
      <c r="C1854" s="232" t="n"/>
      <c r="D1854" s="233" t="n"/>
      <c r="E1854" s="232" t="n"/>
      <c r="F1854" s="233" t="n"/>
      <c r="G1854" s="233" t="n"/>
      <c r="H1854" s="233" t="n"/>
      <c r="I1854" s="232" t="n"/>
      <c r="J1854" s="233" t="n"/>
      <c r="K1854" s="232" t="n"/>
      <c r="L1854" s="232" t="n"/>
      <c r="M1854" s="232" t="n"/>
      <c r="N1854" s="233" t="n"/>
      <c r="O1854" s="232" t="n"/>
      <c r="P1854" s="233" t="n"/>
      <c r="Q1854" s="233" t="n"/>
      <c r="R1854" s="233" t="n"/>
      <c r="S1854" s="232" t="n"/>
      <c r="T1854" s="233" t="n"/>
      <c r="U1854" s="233" t="n"/>
      <c r="V1854" s="233" t="n"/>
      <c r="W1854" s="232" t="n"/>
    </row>
    <row r="1855" ht="54.95" customFormat="1" customHeight="1" s="37">
      <c r="A1855" s="232" t="n"/>
      <c r="B1855" s="232" t="n"/>
      <c r="C1855" s="232" t="n"/>
      <c r="D1855" s="233" t="n"/>
      <c r="E1855" s="232" t="n"/>
      <c r="F1855" s="233" t="n"/>
      <c r="G1855" s="233" t="n"/>
      <c r="H1855" s="233" t="n"/>
      <c r="I1855" s="232" t="n"/>
      <c r="J1855" s="233" t="n"/>
      <c r="K1855" s="232" t="n"/>
      <c r="L1855" s="232" t="n"/>
      <c r="M1855" s="232" t="n"/>
      <c r="N1855" s="233" t="n"/>
      <c r="O1855" s="232" t="n"/>
      <c r="P1855" s="233" t="n"/>
      <c r="Q1855" s="233" t="n"/>
      <c r="R1855" s="233" t="n"/>
      <c r="S1855" s="232" t="n"/>
      <c r="T1855" s="233" t="n"/>
      <c r="U1855" s="233" t="n"/>
      <c r="V1855" s="233" t="n"/>
      <c r="W1855" s="232" t="n"/>
    </row>
    <row r="1856" ht="54.95" customFormat="1" customHeight="1" s="37">
      <c r="A1856" s="232" t="n"/>
      <c r="B1856" s="232" t="n"/>
      <c r="C1856" s="232" t="n"/>
      <c r="D1856" s="233" t="n"/>
      <c r="E1856" s="232" t="n"/>
      <c r="F1856" s="233" t="n"/>
      <c r="G1856" s="233" t="n"/>
      <c r="H1856" s="233" t="n"/>
      <c r="I1856" s="232" t="n"/>
      <c r="J1856" s="233" t="n"/>
      <c r="K1856" s="232" t="n"/>
      <c r="L1856" s="232" t="n"/>
      <c r="M1856" s="232" t="n"/>
      <c r="N1856" s="233" t="n"/>
      <c r="O1856" s="232" t="n"/>
      <c r="P1856" s="233" t="n"/>
      <c r="Q1856" s="233" t="n"/>
      <c r="R1856" s="233" t="n"/>
      <c r="S1856" s="232" t="n"/>
      <c r="T1856" s="233" t="n"/>
      <c r="U1856" s="233" t="n"/>
      <c r="V1856" s="233" t="n"/>
      <c r="W1856" s="232" t="n"/>
    </row>
    <row r="1857" ht="54.95" customFormat="1" customHeight="1" s="37">
      <c r="A1857" s="232" t="n"/>
      <c r="B1857" s="232" t="n"/>
      <c r="C1857" s="232" t="n"/>
      <c r="D1857" s="233" t="n"/>
      <c r="E1857" s="232" t="n"/>
      <c r="F1857" s="233" t="n"/>
      <c r="G1857" s="233" t="n"/>
      <c r="H1857" s="233" t="n"/>
      <c r="I1857" s="232" t="n"/>
      <c r="J1857" s="233" t="n"/>
      <c r="K1857" s="232" t="n"/>
      <c r="L1857" s="232" t="n"/>
      <c r="M1857" s="232" t="n"/>
      <c r="N1857" s="233" t="n"/>
      <c r="O1857" s="232" t="n"/>
      <c r="P1857" s="233" t="n"/>
      <c r="Q1857" s="233" t="n"/>
      <c r="R1857" s="233" t="n"/>
      <c r="S1857" s="232" t="n"/>
      <c r="T1857" s="233" t="n"/>
      <c r="U1857" s="233" t="n"/>
      <c r="V1857" s="233" t="n"/>
      <c r="W1857" s="232" t="n"/>
    </row>
    <row r="1858" ht="54.95" customFormat="1" customHeight="1" s="37">
      <c r="A1858" s="232" t="n"/>
      <c r="B1858" s="232" t="n"/>
      <c r="C1858" s="232" t="n"/>
      <c r="D1858" s="233" t="n"/>
      <c r="E1858" s="232" t="n"/>
      <c r="F1858" s="233" t="n"/>
      <c r="G1858" s="233" t="n"/>
      <c r="H1858" s="233" t="n"/>
      <c r="I1858" s="232" t="n"/>
      <c r="J1858" s="233" t="n"/>
      <c r="K1858" s="232" t="n"/>
      <c r="L1858" s="232" t="n"/>
      <c r="M1858" s="232" t="n"/>
      <c r="N1858" s="233" t="n"/>
      <c r="O1858" s="232" t="n"/>
      <c r="P1858" s="233" t="n"/>
      <c r="Q1858" s="233" t="n"/>
      <c r="R1858" s="233" t="n"/>
      <c r="S1858" s="232" t="n"/>
      <c r="T1858" s="233" t="n"/>
      <c r="U1858" s="233" t="n"/>
      <c r="V1858" s="233" t="n"/>
      <c r="W1858" s="232" t="n"/>
    </row>
    <row r="1859" ht="54.95" customFormat="1" customHeight="1" s="37">
      <c r="A1859" s="232" t="n"/>
      <c r="B1859" s="232" t="n"/>
      <c r="C1859" s="232" t="n"/>
      <c r="D1859" s="233" t="n"/>
      <c r="E1859" s="232" t="n"/>
      <c r="F1859" s="233" t="n"/>
      <c r="G1859" s="233" t="n"/>
      <c r="H1859" s="233" t="n"/>
      <c r="I1859" s="232" t="n"/>
      <c r="J1859" s="233" t="n"/>
      <c r="K1859" s="232" t="n"/>
      <c r="L1859" s="232" t="n"/>
      <c r="M1859" s="232" t="n"/>
      <c r="N1859" s="233" t="n"/>
      <c r="O1859" s="232" t="n"/>
      <c r="P1859" s="233" t="n"/>
      <c r="Q1859" s="233" t="n"/>
      <c r="R1859" s="233" t="n"/>
      <c r="S1859" s="232" t="n"/>
      <c r="T1859" s="233" t="n"/>
      <c r="U1859" s="233" t="n"/>
      <c r="V1859" s="233" t="n"/>
      <c r="W1859" s="232" t="n"/>
    </row>
    <row r="1860" ht="54.95" customFormat="1" customHeight="1" s="37">
      <c r="A1860" s="232" t="n"/>
      <c r="B1860" s="232" t="n"/>
      <c r="C1860" s="232" t="n"/>
      <c r="D1860" s="233" t="n"/>
      <c r="E1860" s="232" t="n"/>
      <c r="F1860" s="233" t="n"/>
      <c r="G1860" s="233" t="n"/>
      <c r="H1860" s="233" t="n"/>
      <c r="I1860" s="232" t="n"/>
      <c r="J1860" s="233" t="n"/>
      <c r="K1860" s="232" t="n"/>
      <c r="L1860" s="232" t="n"/>
      <c r="M1860" s="232" t="n"/>
      <c r="N1860" s="233" t="n"/>
      <c r="O1860" s="232" t="n"/>
      <c r="P1860" s="233" t="n"/>
      <c r="Q1860" s="233" t="n"/>
      <c r="R1860" s="233" t="n"/>
      <c r="S1860" s="232" t="n"/>
      <c r="T1860" s="233" t="n"/>
      <c r="U1860" s="233" t="n"/>
      <c r="V1860" s="233" t="n"/>
      <c r="W1860" s="232" t="n"/>
    </row>
    <row r="1861" ht="54.95" customFormat="1" customHeight="1" s="37">
      <c r="A1861" s="232" t="n"/>
      <c r="B1861" s="232" t="n"/>
      <c r="C1861" s="232" t="n"/>
      <c r="D1861" s="233" t="n"/>
      <c r="E1861" s="232" t="n"/>
      <c r="F1861" s="233" t="n"/>
      <c r="G1861" s="233" t="n"/>
      <c r="H1861" s="233" t="n"/>
      <c r="I1861" s="232" t="n"/>
      <c r="J1861" s="233" t="n"/>
      <c r="K1861" s="232" t="n"/>
      <c r="L1861" s="232" t="n"/>
      <c r="M1861" s="232" t="n"/>
      <c r="N1861" s="233" t="n"/>
      <c r="O1861" s="232" t="n"/>
      <c r="P1861" s="233" t="n"/>
      <c r="Q1861" s="233" t="n"/>
      <c r="R1861" s="233" t="n"/>
      <c r="S1861" s="232" t="n"/>
      <c r="T1861" s="233" t="n"/>
      <c r="U1861" s="233" t="n"/>
      <c r="V1861" s="233" t="n"/>
      <c r="W1861" s="232" t="n"/>
    </row>
    <row r="1862" ht="54.95" customFormat="1" customHeight="1" s="37">
      <c r="A1862" s="232" t="n"/>
      <c r="B1862" s="232" t="n"/>
      <c r="C1862" s="232" t="n"/>
      <c r="D1862" s="233" t="n"/>
      <c r="E1862" s="232" t="n"/>
      <c r="F1862" s="233" t="n"/>
      <c r="G1862" s="233" t="n"/>
      <c r="H1862" s="233" t="n"/>
      <c r="I1862" s="232" t="n"/>
      <c r="J1862" s="233" t="n"/>
      <c r="K1862" s="232" t="n"/>
      <c r="L1862" s="232" t="n"/>
      <c r="M1862" s="232" t="n"/>
      <c r="N1862" s="233" t="n"/>
      <c r="O1862" s="232" t="n"/>
      <c r="P1862" s="233" t="n"/>
      <c r="Q1862" s="233" t="n"/>
      <c r="R1862" s="233" t="n"/>
      <c r="S1862" s="232" t="n"/>
      <c r="T1862" s="233" t="n"/>
      <c r="U1862" s="233" t="n"/>
      <c r="V1862" s="233" t="n"/>
      <c r="W1862" s="232" t="n"/>
    </row>
    <row r="1863" ht="54.95" customFormat="1" customHeight="1" s="37">
      <c r="A1863" s="232" t="n"/>
      <c r="B1863" s="232" t="n"/>
      <c r="C1863" s="232" t="n"/>
      <c r="D1863" s="233" t="n"/>
      <c r="E1863" s="232" t="n"/>
      <c r="F1863" s="233" t="n"/>
      <c r="G1863" s="233" t="n"/>
      <c r="H1863" s="233" t="n"/>
      <c r="I1863" s="232" t="n"/>
      <c r="J1863" s="233" t="n"/>
      <c r="K1863" s="232" t="n"/>
      <c r="L1863" s="232" t="n"/>
      <c r="M1863" s="232" t="n"/>
      <c r="N1863" s="233" t="n"/>
      <c r="O1863" s="232" t="n"/>
      <c r="P1863" s="233" t="n"/>
      <c r="Q1863" s="233" t="n"/>
      <c r="R1863" s="233" t="n"/>
      <c r="S1863" s="232" t="n"/>
      <c r="T1863" s="233" t="n"/>
      <c r="U1863" s="233" t="n"/>
      <c r="V1863" s="233" t="n"/>
      <c r="W1863" s="232" t="n"/>
    </row>
    <row r="1864" ht="54.95" customFormat="1" customHeight="1" s="37">
      <c r="A1864" s="232" t="n"/>
      <c r="B1864" s="232" t="n"/>
      <c r="C1864" s="232" t="n"/>
      <c r="D1864" s="233" t="n"/>
      <c r="E1864" s="232" t="n"/>
      <c r="F1864" s="233" t="n"/>
      <c r="G1864" s="233" t="n"/>
      <c r="H1864" s="233" t="n"/>
      <c r="I1864" s="232" t="n"/>
      <c r="J1864" s="233" t="n"/>
      <c r="K1864" s="232" t="n"/>
      <c r="L1864" s="232" t="n"/>
      <c r="M1864" s="232" t="n"/>
      <c r="N1864" s="233" t="n"/>
      <c r="O1864" s="232" t="n"/>
      <c r="P1864" s="233" t="n"/>
      <c r="Q1864" s="233" t="n"/>
      <c r="R1864" s="233" t="n"/>
      <c r="S1864" s="232" t="n"/>
      <c r="T1864" s="233" t="n"/>
      <c r="U1864" s="233" t="n"/>
      <c r="V1864" s="233" t="n"/>
      <c r="W1864" s="232" t="n"/>
    </row>
    <row r="1865" ht="54.95" customFormat="1" customHeight="1" s="37">
      <c r="A1865" s="232" t="n"/>
      <c r="B1865" s="232" t="n"/>
      <c r="C1865" s="232" t="n"/>
      <c r="D1865" s="233" t="n"/>
      <c r="E1865" s="232" t="n"/>
      <c r="F1865" s="233" t="n"/>
      <c r="G1865" s="233" t="n"/>
      <c r="H1865" s="233" t="n"/>
      <c r="I1865" s="232" t="n"/>
      <c r="J1865" s="233" t="n"/>
      <c r="K1865" s="232" t="n"/>
      <c r="L1865" s="232" t="n"/>
      <c r="M1865" s="232" t="n"/>
      <c r="N1865" s="233" t="n"/>
      <c r="O1865" s="232" t="n"/>
      <c r="P1865" s="233" t="n"/>
      <c r="Q1865" s="233" t="n"/>
      <c r="R1865" s="233" t="n"/>
      <c r="S1865" s="232" t="n"/>
      <c r="T1865" s="233" t="n"/>
      <c r="U1865" s="233" t="n"/>
      <c r="V1865" s="233" t="n"/>
      <c r="W1865" s="232" t="n"/>
    </row>
    <row r="1866" ht="54.95" customFormat="1" customHeight="1" s="37">
      <c r="A1866" s="232" t="n"/>
      <c r="B1866" s="232" t="n"/>
      <c r="C1866" s="232" t="n"/>
      <c r="D1866" s="233" t="n"/>
      <c r="E1866" s="232" t="n"/>
      <c r="F1866" s="233" t="n"/>
      <c r="G1866" s="233" t="n"/>
      <c r="H1866" s="233" t="n"/>
      <c r="I1866" s="232" t="n"/>
      <c r="J1866" s="233" t="n"/>
      <c r="K1866" s="232" t="n"/>
      <c r="L1866" s="232" t="n"/>
      <c r="M1866" s="232" t="n"/>
      <c r="N1866" s="233" t="n"/>
      <c r="O1866" s="232" t="n"/>
      <c r="P1866" s="233" t="n"/>
      <c r="Q1866" s="233" t="n"/>
      <c r="R1866" s="233" t="n"/>
      <c r="S1866" s="232" t="n"/>
      <c r="T1866" s="233" t="n"/>
      <c r="U1866" s="233" t="n"/>
      <c r="V1866" s="233" t="n"/>
      <c r="W1866" s="232" t="n"/>
    </row>
    <row r="1867" ht="54.95" customFormat="1" customHeight="1" s="37">
      <c r="A1867" s="234" t="n"/>
      <c r="B1867" s="234" t="n"/>
      <c r="C1867" s="234" t="n"/>
      <c r="D1867" s="234" t="n"/>
      <c r="E1867" s="234" t="n"/>
      <c r="F1867" s="234" t="n"/>
      <c r="G1867" s="234" t="n"/>
      <c r="H1867" s="234" t="n"/>
      <c r="I1867" s="234" t="n"/>
      <c r="J1867" s="234" t="n"/>
      <c r="K1867" s="234" t="n"/>
      <c r="L1867" s="234" t="n"/>
      <c r="M1867" s="232" t="n"/>
      <c r="N1867" s="233" t="n"/>
      <c r="O1867" s="232" t="n"/>
      <c r="P1867" s="234" t="n"/>
      <c r="Q1867" s="234" t="n"/>
      <c r="R1867" s="234" t="n"/>
      <c r="S1867" s="234" t="n"/>
      <c r="T1867" s="234" t="n"/>
      <c r="U1867" s="234" t="n"/>
      <c r="V1867" s="234" t="n"/>
      <c r="W1867" s="234" t="n"/>
    </row>
    <row r="1868" ht="54.95" customFormat="1" customHeight="1" s="37">
      <c r="A1868" s="234" t="n"/>
      <c r="B1868" s="234" t="n"/>
      <c r="C1868" s="234" t="n"/>
      <c r="D1868" s="234" t="n"/>
      <c r="E1868" s="234" t="n"/>
      <c r="F1868" s="234" t="n"/>
      <c r="G1868" s="234" t="n"/>
      <c r="H1868" s="234" t="n"/>
      <c r="I1868" s="234" t="n"/>
      <c r="J1868" s="234" t="n"/>
      <c r="K1868" s="234" t="n"/>
      <c r="L1868" s="234" t="n"/>
      <c r="M1868" s="232" t="n"/>
      <c r="N1868" s="233" t="n"/>
      <c r="O1868" s="232" t="n"/>
      <c r="P1868" s="234" t="n"/>
      <c r="Q1868" s="234" t="n"/>
      <c r="R1868" s="234" t="n"/>
      <c r="S1868" s="234" t="n"/>
      <c r="T1868" s="234" t="n"/>
      <c r="U1868" s="234" t="n"/>
      <c r="V1868" s="234" t="n"/>
      <c r="W1868" s="234" t="n"/>
    </row>
    <row r="1869" ht="54.95" customFormat="1" customHeight="1" s="37">
      <c r="A1869" s="232" t="n"/>
      <c r="B1869" s="232" t="n"/>
      <c r="C1869" s="232" t="n"/>
      <c r="D1869" s="233" t="n"/>
      <c r="E1869" s="232" t="n"/>
      <c r="F1869" s="233" t="n"/>
      <c r="G1869" s="233" t="n"/>
      <c r="H1869" s="233" t="n"/>
      <c r="I1869" s="232" t="n"/>
      <c r="J1869" s="233" t="n"/>
      <c r="K1869" s="232" t="n"/>
      <c r="L1869" s="232" t="n"/>
      <c r="M1869" s="232" t="n"/>
      <c r="N1869" s="233" t="n"/>
      <c r="O1869" s="232" t="n"/>
      <c r="P1869" s="233" t="n"/>
      <c r="Q1869" s="233" t="n"/>
      <c r="R1869" s="233" t="n"/>
      <c r="S1869" s="232" t="n"/>
      <c r="T1869" s="233" t="n"/>
      <c r="U1869" s="233" t="n"/>
      <c r="V1869" s="233" t="n"/>
      <c r="W1869" s="232" t="n"/>
    </row>
    <row r="1870" ht="54.95" customFormat="1" customHeight="1" s="37">
      <c r="A1870" s="232" t="n"/>
      <c r="B1870" s="232" t="n"/>
      <c r="C1870" s="232" t="n"/>
      <c r="D1870" s="233" t="n"/>
      <c r="E1870" s="232" t="n"/>
      <c r="F1870" s="233" t="n"/>
      <c r="G1870" s="233" t="n"/>
      <c r="H1870" s="233" t="n"/>
      <c r="I1870" s="232" t="n"/>
      <c r="J1870" s="233" t="n"/>
      <c r="K1870" s="232" t="n"/>
      <c r="L1870" s="232" t="n"/>
      <c r="M1870" s="232" t="n"/>
      <c r="N1870" s="233" t="n"/>
      <c r="O1870" s="232" t="n"/>
      <c r="P1870" s="233" t="n"/>
      <c r="Q1870" s="233" t="n"/>
      <c r="R1870" s="233" t="n"/>
      <c r="S1870" s="232" t="n"/>
      <c r="T1870" s="233" t="n"/>
      <c r="U1870" s="233" t="n"/>
      <c r="V1870" s="233" t="n"/>
      <c r="W1870" s="232" t="n"/>
    </row>
    <row r="1871" ht="54.95" customFormat="1" customHeight="1" s="37">
      <c r="A1871" s="232" t="n"/>
      <c r="B1871" s="232" t="n"/>
      <c r="C1871" s="232" t="n"/>
      <c r="D1871" s="233" t="n"/>
      <c r="E1871" s="232" t="n"/>
      <c r="F1871" s="233" t="n"/>
      <c r="G1871" s="233" t="n"/>
      <c r="H1871" s="233" t="n"/>
      <c r="I1871" s="232" t="n"/>
      <c r="J1871" s="233" t="n"/>
      <c r="K1871" s="232" t="n"/>
      <c r="L1871" s="232" t="n"/>
      <c r="M1871" s="232" t="n"/>
      <c r="N1871" s="233" t="n"/>
      <c r="O1871" s="232" t="n"/>
      <c r="P1871" s="233" t="n"/>
      <c r="Q1871" s="233" t="n"/>
      <c r="R1871" s="233" t="n"/>
      <c r="S1871" s="232" t="n"/>
      <c r="T1871" s="233" t="n"/>
      <c r="U1871" s="233" t="n"/>
      <c r="V1871" s="233" t="n"/>
      <c r="W1871" s="232" t="n"/>
    </row>
    <row r="1872" ht="54.95" customFormat="1" customHeight="1" s="37">
      <c r="A1872" s="232" t="n"/>
      <c r="B1872" s="232" t="n"/>
      <c r="C1872" s="232" t="n"/>
      <c r="D1872" s="233" t="n"/>
      <c r="E1872" s="232" t="n"/>
      <c r="F1872" s="233" t="n"/>
      <c r="G1872" s="233" t="n"/>
      <c r="H1872" s="233" t="n"/>
      <c r="I1872" s="232" t="n"/>
      <c r="J1872" s="233" t="n"/>
      <c r="K1872" s="232" t="n"/>
      <c r="L1872" s="232" t="n"/>
      <c r="M1872" s="232" t="n"/>
      <c r="N1872" s="233" t="n"/>
      <c r="O1872" s="232" t="n"/>
      <c r="P1872" s="233" t="n"/>
      <c r="Q1872" s="233" t="n"/>
      <c r="R1872" s="233" t="n"/>
      <c r="S1872" s="232" t="n"/>
      <c r="T1872" s="233" t="n"/>
      <c r="U1872" s="233" t="n"/>
      <c r="V1872" s="233" t="n"/>
      <c r="W1872" s="232" t="n"/>
    </row>
    <row r="1873" ht="54.95" customFormat="1" customHeight="1" s="37">
      <c r="A1873" s="234" t="n"/>
      <c r="B1873" s="234" t="n"/>
      <c r="C1873" s="234" t="n"/>
      <c r="D1873" s="234" t="n"/>
      <c r="E1873" s="234" t="n"/>
      <c r="F1873" s="234" t="n"/>
      <c r="G1873" s="234" t="n"/>
      <c r="H1873" s="234" t="n"/>
      <c r="I1873" s="234" t="n"/>
      <c r="J1873" s="234" t="n"/>
      <c r="K1873" s="234" t="n"/>
      <c r="L1873" s="234" t="n"/>
      <c r="M1873" s="232" t="n"/>
      <c r="N1873" s="233" t="n"/>
      <c r="O1873" s="232" t="n"/>
      <c r="P1873" s="234" t="n"/>
      <c r="Q1873" s="234" t="n"/>
      <c r="R1873" s="234" t="n"/>
      <c r="S1873" s="234" t="n"/>
      <c r="T1873" s="234" t="n"/>
      <c r="U1873" s="234" t="n"/>
      <c r="V1873" s="234" t="n"/>
      <c r="W1873" s="234" t="n"/>
    </row>
    <row r="1874" ht="54.95" customFormat="1" customHeight="1" s="37">
      <c r="A1874" s="232" t="n"/>
      <c r="B1874" s="232" t="n"/>
      <c r="C1874" s="232" t="n"/>
      <c r="D1874" s="233" t="n"/>
      <c r="E1874" s="232" t="n"/>
      <c r="F1874" s="233" t="n"/>
      <c r="G1874" s="233" t="n"/>
      <c r="H1874" s="233" t="n"/>
      <c r="I1874" s="232" t="n"/>
      <c r="J1874" s="233" t="n"/>
      <c r="K1874" s="232" t="n"/>
      <c r="L1874" s="232" t="n"/>
      <c r="M1874" s="232" t="n"/>
      <c r="N1874" s="233" t="n"/>
      <c r="O1874" s="232" t="n"/>
      <c r="P1874" s="233" t="n"/>
      <c r="Q1874" s="233" t="n"/>
      <c r="R1874" s="233" t="n"/>
      <c r="S1874" s="232" t="n"/>
      <c r="T1874" s="233" t="n"/>
      <c r="U1874" s="233" t="n"/>
      <c r="V1874" s="233" t="n"/>
      <c r="W1874" s="232" t="n"/>
    </row>
    <row r="1875" ht="54.95" customFormat="1" customHeight="1" s="37">
      <c r="A1875" s="232" t="n"/>
      <c r="B1875" s="232" t="n"/>
      <c r="C1875" s="232" t="n"/>
      <c r="D1875" s="233" t="n"/>
      <c r="E1875" s="232" t="n"/>
      <c r="F1875" s="233" t="n"/>
      <c r="G1875" s="233" t="n"/>
      <c r="H1875" s="233" t="n"/>
      <c r="I1875" s="232" t="n"/>
      <c r="J1875" s="233" t="n"/>
      <c r="K1875" s="232" t="n"/>
      <c r="L1875" s="232" t="n"/>
      <c r="M1875" s="232" t="n"/>
      <c r="N1875" s="233" t="n"/>
      <c r="O1875" s="232" t="n"/>
      <c r="P1875" s="233" t="n"/>
      <c r="Q1875" s="233" t="n"/>
      <c r="R1875" s="233" t="n"/>
      <c r="S1875" s="232" t="n"/>
      <c r="T1875" s="233" t="n"/>
      <c r="U1875" s="233" t="n"/>
      <c r="V1875" s="233" t="n"/>
      <c r="W1875" s="232" t="n"/>
    </row>
    <row r="1876" ht="54.95" customFormat="1" customHeight="1" s="37">
      <c r="A1876" s="234" t="n"/>
      <c r="B1876" s="234" t="n"/>
      <c r="C1876" s="234" t="n"/>
      <c r="D1876" s="234" t="n"/>
      <c r="E1876" s="234" t="n"/>
      <c r="F1876" s="234" t="n"/>
      <c r="G1876" s="234" t="n"/>
      <c r="H1876" s="234" t="n"/>
      <c r="I1876" s="234" t="n"/>
      <c r="J1876" s="234" t="n"/>
      <c r="K1876" s="234" t="n"/>
      <c r="L1876" s="234" t="n"/>
      <c r="M1876" s="232" t="n"/>
      <c r="N1876" s="233" t="n"/>
      <c r="O1876" s="232" t="n"/>
      <c r="P1876" s="234" t="n"/>
      <c r="Q1876" s="234" t="n"/>
      <c r="R1876" s="234" t="n"/>
      <c r="S1876" s="234" t="n"/>
      <c r="T1876" s="234" t="n"/>
      <c r="U1876" s="234" t="n"/>
      <c r="V1876" s="234" t="n"/>
      <c r="W1876" s="234" t="n"/>
    </row>
    <row r="1877" ht="54.95" customFormat="1" customHeight="1" s="37">
      <c r="A1877" s="234" t="n"/>
      <c r="B1877" s="234" t="n"/>
      <c r="C1877" s="234" t="n"/>
      <c r="D1877" s="234" t="n"/>
      <c r="E1877" s="234" t="n"/>
      <c r="F1877" s="234" t="n"/>
      <c r="G1877" s="234" t="n"/>
      <c r="H1877" s="234" t="n"/>
      <c r="I1877" s="234" t="n"/>
      <c r="J1877" s="234" t="n"/>
      <c r="K1877" s="234" t="n"/>
      <c r="L1877" s="234" t="n"/>
      <c r="M1877" s="232" t="n"/>
      <c r="N1877" s="233" t="n"/>
      <c r="O1877" s="232" t="n"/>
      <c r="P1877" s="234" t="n"/>
      <c r="Q1877" s="234" t="n"/>
      <c r="R1877" s="234" t="n"/>
      <c r="S1877" s="234" t="n"/>
      <c r="T1877" s="234" t="n"/>
      <c r="U1877" s="234" t="n"/>
      <c r="V1877" s="234" t="n"/>
      <c r="W1877" s="234" t="n"/>
    </row>
    <row r="1878" ht="54.95" customFormat="1" customHeight="1" s="37">
      <c r="A1878" s="234" t="n"/>
      <c r="B1878" s="234" t="n"/>
      <c r="C1878" s="234" t="n"/>
      <c r="D1878" s="234" t="n"/>
      <c r="E1878" s="234" t="n"/>
      <c r="F1878" s="234" t="n"/>
      <c r="G1878" s="234" t="n"/>
      <c r="H1878" s="234" t="n"/>
      <c r="I1878" s="234" t="n"/>
      <c r="J1878" s="234" t="n"/>
      <c r="K1878" s="234" t="n"/>
      <c r="L1878" s="234" t="n"/>
      <c r="M1878" s="232" t="n"/>
      <c r="N1878" s="233" t="n"/>
      <c r="O1878" s="232" t="n"/>
      <c r="P1878" s="234" t="n"/>
      <c r="Q1878" s="234" t="n"/>
      <c r="R1878" s="234" t="n"/>
      <c r="S1878" s="234" t="n"/>
      <c r="T1878" s="234" t="n"/>
      <c r="U1878" s="234" t="n"/>
      <c r="V1878" s="234" t="n"/>
      <c r="W1878" s="234" t="n"/>
    </row>
    <row r="1879" ht="54.95" customFormat="1" customHeight="1" s="37">
      <c r="A1879" s="232" t="n"/>
      <c r="B1879" s="232" t="n"/>
      <c r="C1879" s="232" t="n"/>
      <c r="D1879" s="233" t="n"/>
      <c r="E1879" s="232" t="n"/>
      <c r="F1879" s="233" t="n"/>
      <c r="G1879" s="233" t="n"/>
      <c r="H1879" s="233" t="n"/>
      <c r="I1879" s="232" t="n"/>
      <c r="J1879" s="233" t="n"/>
      <c r="K1879" s="232" t="n"/>
      <c r="L1879" s="232" t="n"/>
      <c r="M1879" s="232" t="n"/>
      <c r="N1879" s="233" t="n"/>
      <c r="O1879" s="232" t="n"/>
      <c r="P1879" s="233" t="n"/>
      <c r="Q1879" s="233" t="n"/>
      <c r="R1879" s="233" t="n"/>
      <c r="S1879" s="232" t="n"/>
      <c r="T1879" s="233" t="n"/>
      <c r="U1879" s="233" t="n"/>
      <c r="V1879" s="233" t="n"/>
      <c r="W1879" s="232" t="n"/>
    </row>
    <row r="1880" ht="54.95" customFormat="1" customHeight="1" s="37">
      <c r="A1880" s="232" t="n"/>
      <c r="B1880" s="232" t="n"/>
      <c r="C1880" s="232" t="n"/>
      <c r="D1880" s="233" t="n"/>
      <c r="E1880" s="232" t="n"/>
      <c r="F1880" s="233" t="n"/>
      <c r="G1880" s="233" t="n"/>
      <c r="H1880" s="233" t="n"/>
      <c r="I1880" s="232" t="n"/>
      <c r="J1880" s="233" t="n"/>
      <c r="K1880" s="232" t="n"/>
      <c r="L1880" s="232" t="n"/>
      <c r="M1880" s="232" t="n"/>
      <c r="N1880" s="233" t="n"/>
      <c r="O1880" s="232" t="n"/>
      <c r="P1880" s="233" t="n"/>
      <c r="Q1880" s="233" t="n"/>
      <c r="R1880" s="233" t="n"/>
      <c r="S1880" s="232" t="n"/>
      <c r="T1880" s="233" t="n"/>
      <c r="U1880" s="233" t="n"/>
      <c r="V1880" s="233" t="n"/>
      <c r="W1880" s="232" t="n"/>
    </row>
    <row r="1881" ht="54.95" customFormat="1" customHeight="1" s="37">
      <c r="A1881" s="232" t="n"/>
      <c r="B1881" s="232" t="n"/>
      <c r="C1881" s="232" t="n"/>
      <c r="D1881" s="233" t="n"/>
      <c r="E1881" s="232" t="n"/>
      <c r="F1881" s="233" t="n"/>
      <c r="G1881" s="233" t="n"/>
      <c r="H1881" s="233" t="n"/>
      <c r="I1881" s="232" t="n"/>
      <c r="J1881" s="233" t="n"/>
      <c r="K1881" s="232" t="n"/>
      <c r="L1881" s="232" t="n"/>
      <c r="M1881" s="232" t="n"/>
      <c r="N1881" s="233" t="n"/>
      <c r="O1881" s="232" t="n"/>
      <c r="P1881" s="233" t="n"/>
      <c r="Q1881" s="233" t="n"/>
      <c r="R1881" s="233" t="n"/>
      <c r="S1881" s="232" t="n"/>
      <c r="T1881" s="233" t="n"/>
      <c r="U1881" s="233" t="n"/>
      <c r="V1881" s="233" t="n"/>
      <c r="W1881" s="232" t="n"/>
    </row>
    <row r="1882" ht="54.95" customFormat="1" customHeight="1" s="37">
      <c r="A1882" s="232" t="n"/>
      <c r="B1882" s="232" t="n"/>
      <c r="C1882" s="232" t="n"/>
      <c r="D1882" s="233" t="n"/>
      <c r="E1882" s="232" t="n"/>
      <c r="F1882" s="233" t="n"/>
      <c r="G1882" s="233" t="n"/>
      <c r="H1882" s="233" t="n"/>
      <c r="I1882" s="232" t="n"/>
      <c r="J1882" s="233" t="n"/>
      <c r="K1882" s="232" t="n"/>
      <c r="L1882" s="232" t="n"/>
      <c r="M1882" s="232" t="n"/>
      <c r="N1882" s="233" t="n"/>
      <c r="O1882" s="232" t="n"/>
      <c r="P1882" s="233" t="n"/>
      <c r="Q1882" s="233" t="n"/>
      <c r="R1882" s="233" t="n"/>
      <c r="S1882" s="232" t="n"/>
      <c r="T1882" s="233" t="n"/>
      <c r="U1882" s="233" t="n"/>
      <c r="V1882" s="233" t="n"/>
      <c r="W1882" s="232" t="n"/>
    </row>
    <row r="1883" ht="54.95" customFormat="1" customHeight="1" s="37">
      <c r="A1883" s="232" t="n"/>
      <c r="B1883" s="232" t="n"/>
      <c r="C1883" s="232" t="n"/>
      <c r="D1883" s="233" t="n"/>
      <c r="E1883" s="232" t="n"/>
      <c r="F1883" s="233" t="n"/>
      <c r="G1883" s="233" t="n"/>
      <c r="H1883" s="233" t="n"/>
      <c r="I1883" s="232" t="n"/>
      <c r="J1883" s="233" t="n"/>
      <c r="K1883" s="232" t="n"/>
      <c r="L1883" s="232" t="n"/>
      <c r="M1883" s="232" t="n"/>
      <c r="N1883" s="233" t="n"/>
      <c r="O1883" s="232" t="n"/>
      <c r="P1883" s="233" t="n"/>
      <c r="Q1883" s="233" t="n"/>
      <c r="R1883" s="233" t="n"/>
      <c r="S1883" s="232" t="n"/>
      <c r="T1883" s="233" t="n"/>
      <c r="U1883" s="233" t="n"/>
      <c r="V1883" s="233" t="n"/>
      <c r="W1883" s="232" t="n"/>
    </row>
    <row r="1884" ht="54.95" customFormat="1" customHeight="1" s="37">
      <c r="A1884" s="232" t="n"/>
      <c r="B1884" s="232" t="n"/>
      <c r="C1884" s="232" t="n"/>
      <c r="D1884" s="233" t="n"/>
      <c r="E1884" s="232" t="n"/>
      <c r="F1884" s="233" t="n"/>
      <c r="G1884" s="233" t="n"/>
      <c r="H1884" s="233" t="n"/>
      <c r="I1884" s="232" t="n"/>
      <c r="J1884" s="233" t="n"/>
      <c r="K1884" s="232" t="n"/>
      <c r="L1884" s="232" t="n"/>
      <c r="M1884" s="232" t="n"/>
      <c r="N1884" s="233" t="n"/>
      <c r="O1884" s="232" t="n"/>
      <c r="P1884" s="233" t="n"/>
      <c r="Q1884" s="233" t="n"/>
      <c r="R1884" s="233" t="n"/>
      <c r="S1884" s="232" t="n"/>
      <c r="T1884" s="233" t="n"/>
      <c r="U1884" s="233" t="n"/>
      <c r="V1884" s="233" t="n"/>
      <c r="W1884" s="232" t="n"/>
    </row>
    <row r="1885" ht="54.95" customFormat="1" customHeight="1" s="37">
      <c r="A1885" s="232" t="n"/>
      <c r="B1885" s="232" t="n"/>
      <c r="C1885" s="232" t="n"/>
      <c r="D1885" s="233" t="n"/>
      <c r="E1885" s="232" t="n"/>
      <c r="F1885" s="233" t="n"/>
      <c r="G1885" s="233" t="n"/>
      <c r="H1885" s="233" t="n"/>
      <c r="I1885" s="232" t="n"/>
      <c r="J1885" s="233" t="n"/>
      <c r="K1885" s="232" t="n"/>
      <c r="L1885" s="232" t="n"/>
      <c r="M1885" s="232" t="n"/>
      <c r="N1885" s="233" t="n"/>
      <c r="O1885" s="232" t="n"/>
      <c r="P1885" s="233" t="n"/>
      <c r="Q1885" s="233" t="n"/>
      <c r="R1885" s="233" t="n"/>
      <c r="S1885" s="232" t="n"/>
      <c r="T1885" s="233" t="n"/>
      <c r="U1885" s="233" t="n"/>
      <c r="V1885" s="233" t="n"/>
      <c r="W1885" s="232" t="n"/>
    </row>
    <row r="1886" ht="54.95" customFormat="1" customHeight="1" s="37">
      <c r="A1886" s="232" t="n"/>
      <c r="B1886" s="232" t="n"/>
      <c r="C1886" s="232" t="n"/>
      <c r="D1886" s="233" t="n"/>
      <c r="E1886" s="232" t="n"/>
      <c r="F1886" s="233" t="n"/>
      <c r="G1886" s="233" t="n"/>
      <c r="H1886" s="233" t="n"/>
      <c r="I1886" s="232" t="n"/>
      <c r="J1886" s="233" t="n"/>
      <c r="K1886" s="232" t="n"/>
      <c r="L1886" s="232" t="n"/>
      <c r="M1886" s="232" t="n"/>
      <c r="N1886" s="233" t="n"/>
      <c r="O1886" s="232" t="n"/>
      <c r="P1886" s="233" t="n"/>
      <c r="Q1886" s="233" t="n"/>
      <c r="R1886" s="233" t="n"/>
      <c r="S1886" s="232" t="n"/>
      <c r="T1886" s="233" t="n"/>
      <c r="U1886" s="233" t="n"/>
      <c r="V1886" s="233" t="n"/>
      <c r="W1886" s="232" t="n"/>
    </row>
    <row r="1887" ht="54.95" customFormat="1" customHeight="1" s="37">
      <c r="A1887" s="232" t="n"/>
      <c r="B1887" s="232" t="n"/>
      <c r="C1887" s="232" t="n"/>
      <c r="D1887" s="233" t="n"/>
      <c r="E1887" s="232" t="n"/>
      <c r="F1887" s="233" t="n"/>
      <c r="G1887" s="233" t="n"/>
      <c r="H1887" s="233" t="n"/>
      <c r="I1887" s="232" t="n"/>
      <c r="J1887" s="233" t="n"/>
      <c r="K1887" s="232" t="n"/>
      <c r="L1887" s="232" t="n"/>
      <c r="M1887" s="232" t="n"/>
      <c r="N1887" s="233" t="n"/>
      <c r="O1887" s="232" t="n"/>
      <c r="P1887" s="233" t="n"/>
      <c r="Q1887" s="233" t="n"/>
      <c r="R1887" s="233" t="n"/>
      <c r="S1887" s="232" t="n"/>
      <c r="T1887" s="233" t="n"/>
      <c r="U1887" s="233" t="n"/>
      <c r="V1887" s="233" t="n"/>
      <c r="W1887" s="232" t="n"/>
    </row>
    <row r="1888" ht="54.95" customFormat="1" customHeight="1" s="37">
      <c r="A1888" s="232" t="n"/>
      <c r="B1888" s="232" t="n"/>
      <c r="C1888" s="232" t="n"/>
      <c r="D1888" s="233" t="n"/>
      <c r="E1888" s="232" t="n"/>
      <c r="F1888" s="233" t="n"/>
      <c r="G1888" s="233" t="n"/>
      <c r="H1888" s="233" t="n"/>
      <c r="I1888" s="232" t="n"/>
      <c r="J1888" s="233" t="n"/>
      <c r="K1888" s="232" t="n"/>
      <c r="L1888" s="232" t="n"/>
      <c r="M1888" s="232" t="n"/>
      <c r="N1888" s="233" t="n"/>
      <c r="O1888" s="232" t="n"/>
      <c r="P1888" s="233" t="n"/>
      <c r="Q1888" s="233" t="n"/>
      <c r="R1888" s="233" t="n"/>
      <c r="S1888" s="232" t="n"/>
      <c r="T1888" s="233" t="n"/>
      <c r="U1888" s="233" t="n"/>
      <c r="V1888" s="233" t="n"/>
      <c r="W1888" s="232" t="n"/>
    </row>
    <row r="1889" ht="54.95" customFormat="1" customHeight="1" s="37">
      <c r="A1889" s="232" t="n"/>
      <c r="B1889" s="232" t="n"/>
      <c r="C1889" s="232" t="n"/>
      <c r="D1889" s="233" t="n"/>
      <c r="E1889" s="232" t="n"/>
      <c r="F1889" s="233" t="n"/>
      <c r="G1889" s="233" t="n"/>
      <c r="H1889" s="233" t="n"/>
      <c r="I1889" s="232" t="n"/>
      <c r="J1889" s="233" t="n"/>
      <c r="K1889" s="232" t="n"/>
      <c r="L1889" s="232" t="n"/>
      <c r="M1889" s="232" t="n"/>
      <c r="N1889" s="233" t="n"/>
      <c r="O1889" s="232" t="n"/>
      <c r="P1889" s="233" t="n"/>
      <c r="Q1889" s="233" t="n"/>
      <c r="R1889" s="233" t="n"/>
      <c r="S1889" s="232" t="n"/>
      <c r="T1889" s="233" t="n"/>
      <c r="U1889" s="233" t="n"/>
      <c r="V1889" s="233" t="n"/>
      <c r="W1889" s="232" t="n"/>
    </row>
    <row r="1890" ht="54.95" customFormat="1" customHeight="1" s="37">
      <c r="A1890" s="232" t="n"/>
      <c r="B1890" s="232" t="n"/>
      <c r="C1890" s="232" t="n"/>
      <c r="D1890" s="233" t="n"/>
      <c r="E1890" s="232" t="n"/>
      <c r="F1890" s="233" t="n"/>
      <c r="G1890" s="233" t="n"/>
      <c r="H1890" s="233" t="n"/>
      <c r="I1890" s="232" t="n"/>
      <c r="J1890" s="233" t="n"/>
      <c r="K1890" s="232" t="n"/>
      <c r="L1890" s="232" t="n"/>
      <c r="M1890" s="232" t="n"/>
      <c r="N1890" s="233" t="n"/>
      <c r="O1890" s="232" t="n"/>
      <c r="P1890" s="233" t="n"/>
      <c r="Q1890" s="233" t="n"/>
      <c r="R1890" s="233" t="n"/>
      <c r="S1890" s="232" t="n"/>
      <c r="T1890" s="233" t="n"/>
      <c r="U1890" s="233" t="n"/>
      <c r="V1890" s="233" t="n"/>
      <c r="W1890" s="232" t="n"/>
    </row>
    <row r="1891" ht="54.95" customFormat="1" customHeight="1" s="37">
      <c r="A1891" s="232" t="n"/>
      <c r="B1891" s="232" t="n"/>
      <c r="C1891" s="232" t="n"/>
      <c r="D1891" s="233" t="n"/>
      <c r="E1891" s="232" t="n"/>
      <c r="F1891" s="233" t="n"/>
      <c r="G1891" s="233" t="n"/>
      <c r="H1891" s="233" t="n"/>
      <c r="I1891" s="232" t="n"/>
      <c r="J1891" s="233" t="n"/>
      <c r="K1891" s="232" t="n"/>
      <c r="L1891" s="232" t="n"/>
      <c r="M1891" s="232" t="n"/>
      <c r="N1891" s="233" t="n"/>
      <c r="O1891" s="232" t="n"/>
      <c r="P1891" s="233" t="n"/>
      <c r="Q1891" s="233" t="n"/>
      <c r="R1891" s="233" t="n"/>
      <c r="S1891" s="232" t="n"/>
      <c r="T1891" s="233" t="n"/>
      <c r="U1891" s="233" t="n"/>
      <c r="V1891" s="233" t="n"/>
      <c r="W1891" s="232" t="n"/>
    </row>
    <row r="1892" ht="54.95" customFormat="1" customHeight="1" s="37">
      <c r="A1892" s="232" t="n"/>
      <c r="B1892" s="232" t="n"/>
      <c r="C1892" s="232" t="n"/>
      <c r="D1892" s="233" t="n"/>
      <c r="E1892" s="232" t="n"/>
      <c r="F1892" s="233" t="n"/>
      <c r="G1892" s="233" t="n"/>
      <c r="H1892" s="233" t="n"/>
      <c r="I1892" s="232" t="n"/>
      <c r="J1892" s="233" t="n"/>
      <c r="K1892" s="232" t="n"/>
      <c r="L1892" s="232" t="n"/>
      <c r="M1892" s="232" t="n"/>
      <c r="N1892" s="233" t="n"/>
      <c r="O1892" s="232" t="n"/>
      <c r="P1892" s="233" t="n"/>
      <c r="Q1892" s="233" t="n"/>
      <c r="R1892" s="233" t="n"/>
      <c r="S1892" s="232" t="n"/>
      <c r="T1892" s="233" t="n"/>
      <c r="U1892" s="233" t="n"/>
      <c r="V1892" s="233" t="n"/>
      <c r="W1892" s="232" t="n"/>
    </row>
    <row r="1893" ht="54.95" customFormat="1" customHeight="1" s="37">
      <c r="A1893" s="234" t="n"/>
      <c r="B1893" s="234" t="n"/>
      <c r="C1893" s="234" t="n"/>
      <c r="D1893" s="234" t="n"/>
      <c r="E1893" s="234" t="n"/>
      <c r="F1893" s="234" t="n"/>
      <c r="G1893" s="234" t="n"/>
      <c r="H1893" s="234" t="n"/>
      <c r="I1893" s="234" t="n"/>
      <c r="J1893" s="234" t="n"/>
      <c r="K1893" s="234" t="n"/>
      <c r="L1893" s="234" t="n"/>
      <c r="M1893" s="232" t="n"/>
      <c r="N1893" s="233" t="n"/>
      <c r="O1893" s="232" t="n"/>
      <c r="P1893" s="234" t="n"/>
      <c r="Q1893" s="234" t="n"/>
      <c r="R1893" s="234" t="n"/>
      <c r="S1893" s="234" t="n"/>
      <c r="T1893" s="234" t="n"/>
      <c r="U1893" s="234" t="n"/>
      <c r="V1893" s="234" t="n"/>
      <c r="W1893" s="234" t="n"/>
    </row>
    <row r="1894" ht="54.95" customFormat="1" customHeight="1" s="37">
      <c r="A1894" s="234" t="n"/>
      <c r="B1894" s="234" t="n"/>
      <c r="C1894" s="234" t="n"/>
      <c r="D1894" s="234" t="n"/>
      <c r="E1894" s="234" t="n"/>
      <c r="F1894" s="234" t="n"/>
      <c r="G1894" s="234" t="n"/>
      <c r="H1894" s="234" t="n"/>
      <c r="I1894" s="234" t="n"/>
      <c r="J1894" s="234" t="n"/>
      <c r="K1894" s="234" t="n"/>
      <c r="L1894" s="234" t="n"/>
      <c r="M1894" s="232" t="n"/>
      <c r="N1894" s="233" t="n"/>
      <c r="O1894" s="232" t="n"/>
      <c r="P1894" s="234" t="n"/>
      <c r="Q1894" s="234" t="n"/>
      <c r="R1894" s="234" t="n"/>
      <c r="S1894" s="234" t="n"/>
      <c r="T1894" s="234" t="n"/>
      <c r="U1894" s="234" t="n"/>
      <c r="V1894" s="234" t="n"/>
      <c r="W1894" s="234" t="n"/>
    </row>
    <row r="1895" ht="54.95" customFormat="1" customHeight="1" s="37">
      <c r="A1895" s="234" t="n"/>
      <c r="B1895" s="234" t="n"/>
      <c r="C1895" s="234" t="n"/>
      <c r="D1895" s="234" t="n"/>
      <c r="E1895" s="234" t="n"/>
      <c r="F1895" s="234" t="n"/>
      <c r="G1895" s="234" t="n"/>
      <c r="H1895" s="234" t="n"/>
      <c r="I1895" s="234" t="n"/>
      <c r="J1895" s="234" t="n"/>
      <c r="K1895" s="234" t="n"/>
      <c r="L1895" s="234" t="n"/>
      <c r="M1895" s="232" t="n"/>
      <c r="N1895" s="233" t="n"/>
      <c r="O1895" s="232" t="n"/>
      <c r="P1895" s="234" t="n"/>
      <c r="Q1895" s="234" t="n"/>
      <c r="R1895" s="234" t="n"/>
      <c r="S1895" s="234" t="n"/>
      <c r="T1895" s="234" t="n"/>
      <c r="U1895" s="234" t="n"/>
      <c r="V1895" s="234" t="n"/>
      <c r="W1895" s="234" t="n"/>
    </row>
    <row r="1896" ht="54.95" customFormat="1" customHeight="1" s="37">
      <c r="A1896" s="234" t="n"/>
      <c r="B1896" s="234" t="n"/>
      <c r="C1896" s="234" t="n"/>
      <c r="D1896" s="234" t="n"/>
      <c r="E1896" s="234" t="n"/>
      <c r="F1896" s="234" t="n"/>
      <c r="G1896" s="234" t="n"/>
      <c r="H1896" s="234" t="n"/>
      <c r="I1896" s="234" t="n"/>
      <c r="J1896" s="234" t="n"/>
      <c r="K1896" s="234" t="n"/>
      <c r="L1896" s="234" t="n"/>
      <c r="M1896" s="232" t="n"/>
      <c r="N1896" s="233" t="n"/>
      <c r="O1896" s="232" t="n"/>
      <c r="P1896" s="234" t="n"/>
      <c r="Q1896" s="234" t="n"/>
      <c r="R1896" s="234" t="n"/>
      <c r="S1896" s="234" t="n"/>
      <c r="T1896" s="234" t="n"/>
      <c r="U1896" s="234" t="n"/>
      <c r="V1896" s="234" t="n"/>
      <c r="W1896" s="234" t="n"/>
    </row>
    <row r="1897" ht="54.95" customFormat="1" customHeight="1" s="37">
      <c r="A1897" s="234" t="n"/>
      <c r="B1897" s="234" t="n"/>
      <c r="C1897" s="234" t="n"/>
      <c r="D1897" s="234" t="n"/>
      <c r="E1897" s="234" t="n"/>
      <c r="F1897" s="234" t="n"/>
      <c r="G1897" s="234" t="n"/>
      <c r="H1897" s="234" t="n"/>
      <c r="I1897" s="234" t="n"/>
      <c r="J1897" s="234" t="n"/>
      <c r="K1897" s="234" t="n"/>
      <c r="L1897" s="234" t="n"/>
      <c r="M1897" s="232" t="n"/>
      <c r="N1897" s="233" t="n"/>
      <c r="O1897" s="232" t="n"/>
      <c r="P1897" s="234" t="n"/>
      <c r="Q1897" s="234" t="n"/>
      <c r="R1897" s="234" t="n"/>
      <c r="S1897" s="234" t="n"/>
      <c r="T1897" s="234" t="n"/>
      <c r="U1897" s="234" t="n"/>
      <c r="V1897" s="234" t="n"/>
      <c r="W1897" s="234" t="n"/>
    </row>
    <row r="1898" ht="54.95" customFormat="1" customHeight="1" s="37">
      <c r="A1898" s="232" t="n"/>
      <c r="B1898" s="232" t="n"/>
      <c r="C1898" s="232" t="n"/>
      <c r="D1898" s="233" t="n"/>
      <c r="E1898" s="232" t="n"/>
      <c r="F1898" s="233" t="n"/>
      <c r="G1898" s="233" t="n"/>
      <c r="H1898" s="233" t="n"/>
      <c r="I1898" s="232" t="n"/>
      <c r="J1898" s="233" t="n"/>
      <c r="K1898" s="232" t="n"/>
      <c r="L1898" s="232" t="n"/>
      <c r="M1898" s="232" t="n"/>
      <c r="N1898" s="233" t="n"/>
      <c r="O1898" s="232" t="n"/>
      <c r="P1898" s="233" t="n"/>
      <c r="Q1898" s="233" t="n"/>
      <c r="R1898" s="233" t="n"/>
      <c r="S1898" s="232" t="n"/>
      <c r="T1898" s="233" t="n"/>
      <c r="U1898" s="233" t="n"/>
      <c r="V1898" s="233" t="n"/>
      <c r="W1898" s="232" t="n"/>
    </row>
    <row r="1899" ht="54.95" customFormat="1" customHeight="1" s="37">
      <c r="A1899" s="232" t="n"/>
      <c r="B1899" s="232" t="n"/>
      <c r="C1899" s="232" t="n"/>
      <c r="D1899" s="233" t="n"/>
      <c r="E1899" s="232" t="n"/>
      <c r="F1899" s="233" t="n"/>
      <c r="G1899" s="233" t="n"/>
      <c r="H1899" s="233" t="n"/>
      <c r="I1899" s="232" t="n"/>
      <c r="J1899" s="233" t="n"/>
      <c r="K1899" s="232" t="n"/>
      <c r="L1899" s="232" t="n"/>
      <c r="M1899" s="232" t="n"/>
      <c r="N1899" s="233" t="n"/>
      <c r="O1899" s="232" t="n"/>
      <c r="P1899" s="233" t="n"/>
      <c r="Q1899" s="233" t="n"/>
      <c r="R1899" s="233" t="n"/>
      <c r="S1899" s="232" t="n"/>
      <c r="T1899" s="233" t="n"/>
      <c r="U1899" s="233" t="n"/>
      <c r="V1899" s="233" t="n"/>
      <c r="W1899" s="232" t="n"/>
    </row>
    <row r="1900" ht="54.95" customFormat="1" customHeight="1" s="37">
      <c r="A1900" s="232" t="n"/>
      <c r="B1900" s="232" t="n"/>
      <c r="C1900" s="232" t="n"/>
      <c r="D1900" s="233" t="n"/>
      <c r="E1900" s="232" t="n"/>
      <c r="F1900" s="233" t="n"/>
      <c r="G1900" s="233" t="n"/>
      <c r="H1900" s="233" t="n"/>
      <c r="I1900" s="232" t="n"/>
      <c r="J1900" s="233" t="n"/>
      <c r="K1900" s="232" t="n"/>
      <c r="L1900" s="232" t="n"/>
      <c r="M1900" s="232" t="n"/>
      <c r="N1900" s="233" t="n"/>
      <c r="O1900" s="232" t="n"/>
      <c r="P1900" s="233" t="n"/>
      <c r="Q1900" s="233" t="n"/>
      <c r="R1900" s="233" t="n"/>
      <c r="S1900" s="232" t="n"/>
      <c r="T1900" s="233" t="n"/>
      <c r="U1900" s="233" t="n"/>
      <c r="V1900" s="233" t="n"/>
      <c r="W1900" s="232" t="n"/>
    </row>
    <row r="1901" ht="54.95" customFormat="1" customHeight="1" s="37">
      <c r="A1901" s="232" t="n"/>
      <c r="B1901" s="232" t="n"/>
      <c r="C1901" s="232" t="n"/>
      <c r="D1901" s="233" t="n"/>
      <c r="E1901" s="232" t="n"/>
      <c r="F1901" s="233" t="n"/>
      <c r="G1901" s="233" t="n"/>
      <c r="H1901" s="233" t="n"/>
      <c r="I1901" s="232" t="n"/>
      <c r="J1901" s="233" t="n"/>
      <c r="K1901" s="232" t="n"/>
      <c r="L1901" s="232" t="n"/>
      <c r="M1901" s="232" t="n"/>
      <c r="N1901" s="233" t="n"/>
      <c r="O1901" s="232" t="n"/>
      <c r="P1901" s="233" t="n"/>
      <c r="Q1901" s="233" t="n"/>
      <c r="R1901" s="233" t="n"/>
      <c r="S1901" s="232" t="n"/>
      <c r="T1901" s="233" t="n"/>
      <c r="U1901" s="233" t="n"/>
      <c r="V1901" s="233" t="n"/>
      <c r="W1901" s="232" t="n"/>
    </row>
    <row r="1902" ht="54.95" customFormat="1" customHeight="1" s="37">
      <c r="A1902" s="232" t="n"/>
      <c r="B1902" s="232" t="n"/>
      <c r="C1902" s="232" t="n"/>
      <c r="D1902" s="233" t="n"/>
      <c r="E1902" s="232" t="n"/>
      <c r="F1902" s="233" t="n"/>
      <c r="G1902" s="233" t="n"/>
      <c r="H1902" s="233" t="n"/>
      <c r="I1902" s="232" t="n"/>
      <c r="J1902" s="233" t="n"/>
      <c r="K1902" s="232" t="n"/>
      <c r="L1902" s="232" t="n"/>
      <c r="M1902" s="232" t="n"/>
      <c r="N1902" s="233" t="n"/>
      <c r="O1902" s="232" t="n"/>
      <c r="P1902" s="233" t="n"/>
      <c r="Q1902" s="233" t="n"/>
      <c r="R1902" s="233" t="n"/>
      <c r="S1902" s="232" t="n"/>
      <c r="T1902" s="233" t="n"/>
      <c r="U1902" s="233" t="n"/>
      <c r="V1902" s="233" t="n"/>
      <c r="W1902" s="232" t="n"/>
    </row>
    <row r="1903" ht="54.95" customFormat="1" customHeight="1" s="37">
      <c r="A1903" s="232" t="n"/>
      <c r="B1903" s="232" t="n"/>
      <c r="C1903" s="232" t="n"/>
      <c r="D1903" s="233" t="n"/>
      <c r="E1903" s="232" t="n"/>
      <c r="F1903" s="233" t="n"/>
      <c r="G1903" s="233" t="n"/>
      <c r="H1903" s="233" t="n"/>
      <c r="I1903" s="232" t="n"/>
      <c r="J1903" s="233" t="n"/>
      <c r="K1903" s="232" t="n"/>
      <c r="L1903" s="232" t="n"/>
      <c r="M1903" s="232" t="n"/>
      <c r="N1903" s="233" t="n"/>
      <c r="O1903" s="232" t="n"/>
      <c r="P1903" s="233" t="n"/>
      <c r="Q1903" s="233" t="n"/>
      <c r="R1903" s="233" t="n"/>
      <c r="S1903" s="232" t="n"/>
      <c r="T1903" s="233" t="n"/>
      <c r="U1903" s="233" t="n"/>
      <c r="V1903" s="233" t="n"/>
      <c r="W1903" s="232" t="n"/>
    </row>
    <row r="1904" ht="54.95" customFormat="1" customHeight="1" s="37">
      <c r="A1904" s="232" t="n"/>
      <c r="B1904" s="232" t="n"/>
      <c r="C1904" s="232" t="n"/>
      <c r="D1904" s="233" t="n"/>
      <c r="E1904" s="232" t="n"/>
      <c r="F1904" s="233" t="n"/>
      <c r="G1904" s="233" t="n"/>
      <c r="H1904" s="233" t="n"/>
      <c r="I1904" s="232" t="n"/>
      <c r="J1904" s="233" t="n"/>
      <c r="K1904" s="232" t="n"/>
      <c r="L1904" s="232" t="n"/>
      <c r="M1904" s="232" t="n"/>
      <c r="N1904" s="233" t="n"/>
      <c r="O1904" s="232" t="n"/>
      <c r="P1904" s="233" t="n"/>
      <c r="Q1904" s="233" t="n"/>
      <c r="R1904" s="233" t="n"/>
      <c r="S1904" s="232" t="n"/>
      <c r="T1904" s="233" t="n"/>
      <c r="U1904" s="233" t="n"/>
      <c r="V1904" s="233" t="n"/>
      <c r="W1904" s="232" t="n"/>
    </row>
    <row r="1905" ht="54.95" customFormat="1" customHeight="1" s="37">
      <c r="A1905" s="232" t="n"/>
      <c r="B1905" s="232" t="n"/>
      <c r="C1905" s="232" t="n"/>
      <c r="D1905" s="233" t="n"/>
      <c r="E1905" s="232" t="n"/>
      <c r="F1905" s="233" t="n"/>
      <c r="G1905" s="233" t="n"/>
      <c r="H1905" s="233" t="n"/>
      <c r="I1905" s="232" t="n"/>
      <c r="J1905" s="233" t="n"/>
      <c r="K1905" s="232" t="n"/>
      <c r="L1905" s="232" t="n"/>
      <c r="M1905" s="232" t="n"/>
      <c r="N1905" s="233" t="n"/>
      <c r="O1905" s="232" t="n"/>
      <c r="P1905" s="233" t="n"/>
      <c r="Q1905" s="233" t="n"/>
      <c r="R1905" s="233" t="n"/>
      <c r="S1905" s="232" t="n"/>
      <c r="T1905" s="233" t="n"/>
      <c r="U1905" s="233" t="n"/>
      <c r="V1905" s="233" t="n"/>
      <c r="W1905" s="232" t="n"/>
    </row>
    <row r="1906" ht="54.95" customFormat="1" customHeight="1" s="37">
      <c r="A1906" s="232" t="n"/>
      <c r="B1906" s="232" t="n"/>
      <c r="C1906" s="232" t="n"/>
      <c r="D1906" s="233" t="n"/>
      <c r="E1906" s="232" t="n"/>
      <c r="F1906" s="233" t="n"/>
      <c r="G1906" s="233" t="n"/>
      <c r="H1906" s="233" t="n"/>
      <c r="I1906" s="232" t="n"/>
      <c r="J1906" s="233" t="n"/>
      <c r="K1906" s="232" t="n"/>
      <c r="L1906" s="232" t="n"/>
      <c r="M1906" s="232" t="n"/>
      <c r="N1906" s="233" t="n"/>
      <c r="O1906" s="232" t="n"/>
      <c r="P1906" s="233" t="n"/>
      <c r="Q1906" s="233" t="n"/>
      <c r="R1906" s="233" t="n"/>
      <c r="S1906" s="232" t="n"/>
      <c r="T1906" s="233" t="n"/>
      <c r="U1906" s="233" t="n"/>
      <c r="V1906" s="233" t="n"/>
      <c r="W1906" s="232" t="n"/>
    </row>
    <row r="1907" ht="54.95" customFormat="1" customHeight="1" s="37">
      <c r="A1907" s="232" t="n"/>
      <c r="B1907" s="232" t="n"/>
      <c r="C1907" s="232" t="n"/>
      <c r="D1907" s="233" t="n"/>
      <c r="E1907" s="232" t="n"/>
      <c r="F1907" s="233" t="n"/>
      <c r="G1907" s="233" t="n"/>
      <c r="H1907" s="233" t="n"/>
      <c r="I1907" s="232" t="n"/>
      <c r="J1907" s="233" t="n"/>
      <c r="K1907" s="232" t="n"/>
      <c r="L1907" s="232" t="n"/>
      <c r="M1907" s="232" t="n"/>
      <c r="N1907" s="233" t="n"/>
      <c r="O1907" s="232" t="n"/>
      <c r="P1907" s="233" t="n"/>
      <c r="Q1907" s="233" t="n"/>
      <c r="R1907" s="233" t="n"/>
      <c r="S1907" s="232" t="n"/>
      <c r="T1907" s="233" t="n"/>
      <c r="U1907" s="233" t="n"/>
      <c r="V1907" s="233" t="n"/>
      <c r="W1907" s="232" t="n"/>
    </row>
    <row r="1908" ht="54.95" customFormat="1" customHeight="1" s="37">
      <c r="A1908" s="232" t="n"/>
      <c r="B1908" s="232" t="n"/>
      <c r="C1908" s="232" t="n"/>
      <c r="D1908" s="233" t="n"/>
      <c r="E1908" s="232" t="n"/>
      <c r="F1908" s="233" t="n"/>
      <c r="G1908" s="233" t="n"/>
      <c r="H1908" s="233" t="n"/>
      <c r="I1908" s="232" t="n"/>
      <c r="J1908" s="233" t="n"/>
      <c r="K1908" s="232" t="n"/>
      <c r="L1908" s="232" t="n"/>
      <c r="M1908" s="232" t="n"/>
      <c r="N1908" s="233" t="n"/>
      <c r="O1908" s="232" t="n"/>
      <c r="P1908" s="233" t="n"/>
      <c r="Q1908" s="233" t="n"/>
      <c r="R1908" s="233" t="n"/>
      <c r="S1908" s="232" t="n"/>
      <c r="T1908" s="233" t="n"/>
      <c r="U1908" s="233" t="n"/>
      <c r="V1908" s="233" t="n"/>
      <c r="W1908" s="232" t="n"/>
    </row>
    <row r="1909" ht="54.95" customFormat="1" customHeight="1" s="37">
      <c r="A1909" s="232" t="n"/>
      <c r="B1909" s="232" t="n"/>
      <c r="C1909" s="232" t="n"/>
      <c r="D1909" s="233" t="n"/>
      <c r="E1909" s="232" t="n"/>
      <c r="F1909" s="233" t="n"/>
      <c r="G1909" s="233" t="n"/>
      <c r="H1909" s="233" t="n"/>
      <c r="I1909" s="232" t="n"/>
      <c r="J1909" s="233" t="n"/>
      <c r="K1909" s="232" t="n"/>
      <c r="L1909" s="232" t="n"/>
      <c r="M1909" s="232" t="n"/>
      <c r="N1909" s="233" t="n"/>
      <c r="O1909" s="232" t="n"/>
      <c r="P1909" s="233" t="n"/>
      <c r="Q1909" s="233" t="n"/>
      <c r="R1909" s="233" t="n"/>
      <c r="S1909" s="232" t="n"/>
      <c r="T1909" s="233" t="n"/>
      <c r="U1909" s="233" t="n"/>
      <c r="V1909" s="233" t="n"/>
      <c r="W1909" s="232" t="n"/>
    </row>
    <row r="1910" ht="54.95" customFormat="1" customHeight="1" s="37">
      <c r="A1910" s="232" t="n"/>
      <c r="B1910" s="232" t="n"/>
      <c r="C1910" s="232" t="n"/>
      <c r="D1910" s="233" t="n"/>
      <c r="E1910" s="232" t="n"/>
      <c r="F1910" s="233" t="n"/>
      <c r="G1910" s="233" t="n"/>
      <c r="H1910" s="233" t="n"/>
      <c r="I1910" s="232" t="n"/>
      <c r="J1910" s="233" t="n"/>
      <c r="K1910" s="232" t="n"/>
      <c r="L1910" s="232" t="n"/>
      <c r="M1910" s="232" t="n"/>
      <c r="N1910" s="233" t="n"/>
      <c r="O1910" s="232" t="n"/>
      <c r="P1910" s="233" t="n"/>
      <c r="Q1910" s="233" t="n"/>
      <c r="R1910" s="233" t="n"/>
      <c r="S1910" s="232" t="n"/>
      <c r="T1910" s="233" t="n"/>
      <c r="U1910" s="233" t="n"/>
      <c r="V1910" s="233" t="n"/>
      <c r="W1910" s="232" t="n"/>
    </row>
    <row r="1911" ht="54.95" customFormat="1" customHeight="1" s="37">
      <c r="A1911" s="232" t="n"/>
      <c r="B1911" s="232" t="n"/>
      <c r="C1911" s="232" t="n"/>
      <c r="D1911" s="233" t="n"/>
      <c r="E1911" s="232" t="n"/>
      <c r="F1911" s="233" t="n"/>
      <c r="G1911" s="233" t="n"/>
      <c r="H1911" s="233" t="n"/>
      <c r="I1911" s="232" t="n"/>
      <c r="J1911" s="233" t="n"/>
      <c r="K1911" s="232" t="n"/>
      <c r="L1911" s="232" t="n"/>
      <c r="M1911" s="232" t="n"/>
      <c r="N1911" s="233" t="n"/>
      <c r="O1911" s="232" t="n"/>
      <c r="P1911" s="233" t="n"/>
      <c r="Q1911" s="233" t="n"/>
      <c r="R1911" s="233" t="n"/>
      <c r="S1911" s="232" t="n"/>
      <c r="T1911" s="233" t="n"/>
      <c r="U1911" s="233" t="n"/>
      <c r="V1911" s="233" t="n"/>
      <c r="W1911" s="232" t="n"/>
    </row>
    <row r="1912" ht="54.95" customFormat="1" customHeight="1" s="37">
      <c r="A1912" s="232" t="n"/>
      <c r="B1912" s="232" t="n"/>
      <c r="C1912" s="232" t="n"/>
      <c r="D1912" s="233" t="n"/>
      <c r="E1912" s="232" t="n"/>
      <c r="F1912" s="233" t="n"/>
      <c r="G1912" s="233" t="n"/>
      <c r="H1912" s="233" t="n"/>
      <c r="I1912" s="232" t="n"/>
      <c r="J1912" s="233" t="n"/>
      <c r="K1912" s="232" t="n"/>
      <c r="L1912" s="232" t="n"/>
      <c r="M1912" s="232" t="n"/>
      <c r="N1912" s="233" t="n"/>
      <c r="O1912" s="232" t="n"/>
      <c r="P1912" s="233" t="n"/>
      <c r="Q1912" s="233" t="n"/>
      <c r="R1912" s="233" t="n"/>
      <c r="S1912" s="232" t="n"/>
      <c r="T1912" s="233" t="n"/>
      <c r="U1912" s="233" t="n"/>
      <c r="V1912" s="233" t="n"/>
      <c r="W1912" s="232" t="n"/>
    </row>
    <row r="1913" ht="54.95" customFormat="1" customHeight="1" s="37">
      <c r="A1913" s="232" t="n"/>
      <c r="B1913" s="232" t="n"/>
      <c r="C1913" s="232" t="n"/>
      <c r="D1913" s="233" t="n"/>
      <c r="E1913" s="232" t="n"/>
      <c r="F1913" s="233" t="n"/>
      <c r="G1913" s="233" t="n"/>
      <c r="H1913" s="233" t="n"/>
      <c r="I1913" s="232" t="n"/>
      <c r="J1913" s="233" t="n"/>
      <c r="K1913" s="232" t="n"/>
      <c r="L1913" s="232" t="n"/>
      <c r="M1913" s="232" t="n"/>
      <c r="N1913" s="233" t="n"/>
      <c r="O1913" s="232" t="n"/>
      <c r="P1913" s="233" t="n"/>
      <c r="Q1913" s="233" t="n"/>
      <c r="R1913" s="233" t="n"/>
      <c r="S1913" s="232" t="n"/>
      <c r="T1913" s="233" t="n"/>
      <c r="U1913" s="233" t="n"/>
      <c r="V1913" s="233" t="n"/>
      <c r="W1913" s="232" t="n"/>
    </row>
    <row r="1914" ht="54.95" customFormat="1" customHeight="1" s="37">
      <c r="A1914" s="232" t="n"/>
      <c r="B1914" s="232" t="n"/>
      <c r="C1914" s="232" t="n"/>
      <c r="D1914" s="233" t="n"/>
      <c r="E1914" s="232" t="n"/>
      <c r="F1914" s="233" t="n"/>
      <c r="G1914" s="233" t="n"/>
      <c r="H1914" s="233" t="n"/>
      <c r="I1914" s="232" t="n"/>
      <c r="J1914" s="233" t="n"/>
      <c r="K1914" s="232" t="n"/>
      <c r="L1914" s="232" t="n"/>
      <c r="M1914" s="232" t="n"/>
      <c r="N1914" s="233" t="n"/>
      <c r="O1914" s="232" t="n"/>
      <c r="P1914" s="233" t="n"/>
      <c r="Q1914" s="233" t="n"/>
      <c r="R1914" s="233" t="n"/>
      <c r="S1914" s="232" t="n"/>
      <c r="T1914" s="233" t="n"/>
      <c r="U1914" s="233" t="n"/>
      <c r="V1914" s="233" t="n"/>
      <c r="W1914" s="232" t="n"/>
    </row>
    <row r="1915" ht="54.95" customFormat="1" customHeight="1" s="37">
      <c r="A1915" s="232" t="n"/>
      <c r="B1915" s="232" t="n"/>
      <c r="C1915" s="232" t="n"/>
      <c r="D1915" s="233" t="n"/>
      <c r="E1915" s="232" t="n"/>
      <c r="F1915" s="233" t="n"/>
      <c r="G1915" s="233" t="n"/>
      <c r="H1915" s="233" t="n"/>
      <c r="I1915" s="232" t="n"/>
      <c r="J1915" s="233" t="n"/>
      <c r="K1915" s="232" t="n"/>
      <c r="L1915" s="232" t="n"/>
      <c r="M1915" s="232" t="n"/>
      <c r="N1915" s="233" t="n"/>
      <c r="O1915" s="232" t="n"/>
      <c r="P1915" s="233" t="n"/>
      <c r="Q1915" s="233" t="n"/>
      <c r="R1915" s="233" t="n"/>
      <c r="S1915" s="232" t="n"/>
      <c r="T1915" s="233" t="n"/>
      <c r="U1915" s="233" t="n"/>
      <c r="V1915" s="233" t="n"/>
      <c r="W1915" s="232" t="n"/>
    </row>
    <row r="1916" ht="54.95" customFormat="1" customHeight="1" s="37">
      <c r="A1916" s="232" t="n"/>
      <c r="B1916" s="232" t="n"/>
      <c r="C1916" s="232" t="n"/>
      <c r="D1916" s="233" t="n"/>
      <c r="E1916" s="232" t="n"/>
      <c r="F1916" s="233" t="n"/>
      <c r="G1916" s="233" t="n"/>
      <c r="H1916" s="233" t="n"/>
      <c r="I1916" s="232" t="n"/>
      <c r="J1916" s="233" t="n"/>
      <c r="K1916" s="232" t="n"/>
      <c r="L1916" s="232" t="n"/>
      <c r="M1916" s="232" t="n"/>
      <c r="N1916" s="233" t="n"/>
      <c r="O1916" s="232" t="n"/>
      <c r="P1916" s="233" t="n"/>
      <c r="Q1916" s="233" t="n"/>
      <c r="R1916" s="233" t="n"/>
      <c r="S1916" s="232" t="n"/>
      <c r="T1916" s="233" t="n"/>
      <c r="U1916" s="233" t="n"/>
      <c r="V1916" s="233" t="n"/>
      <c r="W1916" s="232" t="n"/>
    </row>
    <row r="1917" ht="54.95" customFormat="1" customHeight="1" s="37">
      <c r="A1917" s="232" t="n"/>
      <c r="B1917" s="232" t="n"/>
      <c r="C1917" s="232" t="n"/>
      <c r="D1917" s="233" t="n"/>
      <c r="E1917" s="232" t="n"/>
      <c r="F1917" s="233" t="n"/>
      <c r="G1917" s="233" t="n"/>
      <c r="H1917" s="233" t="n"/>
      <c r="I1917" s="232" t="n"/>
      <c r="J1917" s="233" t="n"/>
      <c r="K1917" s="232" t="n"/>
      <c r="L1917" s="232" t="n"/>
      <c r="M1917" s="232" t="n"/>
      <c r="N1917" s="233" t="n"/>
      <c r="O1917" s="232" t="n"/>
      <c r="P1917" s="233" t="n"/>
      <c r="Q1917" s="233" t="n"/>
      <c r="R1917" s="233" t="n"/>
      <c r="S1917" s="232" t="n"/>
      <c r="T1917" s="233" t="n"/>
      <c r="U1917" s="233" t="n"/>
      <c r="V1917" s="233" t="n"/>
      <c r="W1917" s="232" t="n"/>
    </row>
    <row r="1918" ht="54.95" customFormat="1" customHeight="1" s="37">
      <c r="A1918" s="232" t="n"/>
      <c r="B1918" s="232" t="n"/>
      <c r="C1918" s="232" t="n"/>
      <c r="D1918" s="233" t="n"/>
      <c r="E1918" s="232" t="n"/>
      <c r="F1918" s="233" t="n"/>
      <c r="G1918" s="233" t="n"/>
      <c r="H1918" s="233" t="n"/>
      <c r="I1918" s="232" t="n"/>
      <c r="J1918" s="233" t="n"/>
      <c r="K1918" s="232" t="n"/>
      <c r="L1918" s="232" t="n"/>
      <c r="M1918" s="232" t="n"/>
      <c r="N1918" s="233" t="n"/>
      <c r="O1918" s="232" t="n"/>
      <c r="P1918" s="233" t="n"/>
      <c r="Q1918" s="233" t="n"/>
      <c r="R1918" s="233" t="n"/>
      <c r="S1918" s="232" t="n"/>
      <c r="T1918" s="233" t="n"/>
      <c r="U1918" s="233" t="n"/>
      <c r="V1918" s="233" t="n"/>
      <c r="W1918" s="232" t="n"/>
    </row>
    <row r="1919" ht="54.95" customFormat="1" customHeight="1" s="37">
      <c r="A1919" s="232" t="n"/>
      <c r="B1919" s="232" t="n"/>
      <c r="C1919" s="232" t="n"/>
      <c r="D1919" s="233" t="n"/>
      <c r="E1919" s="232" t="n"/>
      <c r="F1919" s="233" t="n"/>
      <c r="G1919" s="233" t="n"/>
      <c r="H1919" s="233" t="n"/>
      <c r="I1919" s="232" t="n"/>
      <c r="J1919" s="233" t="n"/>
      <c r="K1919" s="232" t="n"/>
      <c r="L1919" s="232" t="n"/>
      <c r="M1919" s="232" t="n"/>
      <c r="N1919" s="233" t="n"/>
      <c r="O1919" s="232" t="n"/>
      <c r="P1919" s="233" t="n"/>
      <c r="Q1919" s="233" t="n"/>
      <c r="R1919" s="233" t="n"/>
      <c r="S1919" s="232" t="n"/>
      <c r="T1919" s="233" t="n"/>
      <c r="U1919" s="233" t="n"/>
      <c r="V1919" s="233" t="n"/>
      <c r="W1919" s="232" t="n"/>
    </row>
    <row r="1920" ht="54.95" customFormat="1" customHeight="1" s="37">
      <c r="A1920" s="234" t="n"/>
      <c r="B1920" s="234" t="n"/>
      <c r="C1920" s="234" t="n"/>
      <c r="D1920" s="234" t="n"/>
      <c r="E1920" s="234" t="n"/>
      <c r="F1920" s="234" t="n"/>
      <c r="G1920" s="234" t="n"/>
      <c r="H1920" s="234" t="n"/>
      <c r="I1920" s="234" t="n"/>
      <c r="J1920" s="234" t="n"/>
      <c r="K1920" s="234" t="n"/>
      <c r="L1920" s="234" t="n"/>
      <c r="M1920" s="232" t="n"/>
      <c r="N1920" s="233" t="n"/>
      <c r="O1920" s="232" t="n"/>
      <c r="P1920" s="234" t="n"/>
      <c r="Q1920" s="234" t="n"/>
      <c r="R1920" s="234" t="n"/>
      <c r="S1920" s="234" t="n"/>
      <c r="T1920" s="234" t="n"/>
      <c r="U1920" s="234" t="n"/>
      <c r="V1920" s="234" t="n"/>
      <c r="W1920" s="234" t="n"/>
    </row>
    <row r="1921" ht="54.95" customFormat="1" customHeight="1" s="37">
      <c r="A1921" s="234" t="n"/>
      <c r="B1921" s="234" t="n"/>
      <c r="C1921" s="234" t="n"/>
      <c r="D1921" s="234" t="n"/>
      <c r="E1921" s="234" t="n"/>
      <c r="F1921" s="234" t="n"/>
      <c r="G1921" s="234" t="n"/>
      <c r="H1921" s="234" t="n"/>
      <c r="I1921" s="234" t="n"/>
      <c r="J1921" s="234" t="n"/>
      <c r="K1921" s="234" t="n"/>
      <c r="L1921" s="234" t="n"/>
      <c r="M1921" s="232" t="n"/>
      <c r="N1921" s="233" t="n"/>
      <c r="O1921" s="232" t="n"/>
      <c r="P1921" s="234" t="n"/>
      <c r="Q1921" s="234" t="n"/>
      <c r="R1921" s="234" t="n"/>
      <c r="S1921" s="234" t="n"/>
      <c r="T1921" s="234" t="n"/>
      <c r="U1921" s="234" t="n"/>
      <c r="V1921" s="234" t="n"/>
      <c r="W1921" s="234" t="n"/>
    </row>
    <row r="1922" ht="54.95" customFormat="1" customHeight="1" s="37">
      <c r="A1922" s="232" t="n"/>
      <c r="B1922" s="232" t="n"/>
      <c r="C1922" s="232" t="n"/>
      <c r="D1922" s="233" t="n"/>
      <c r="E1922" s="232" t="n"/>
      <c r="F1922" s="233" t="n"/>
      <c r="G1922" s="233" t="n"/>
      <c r="H1922" s="233" t="n"/>
      <c r="I1922" s="232" t="n"/>
      <c r="J1922" s="233" t="n"/>
      <c r="K1922" s="232" t="n"/>
      <c r="L1922" s="232" t="n"/>
      <c r="M1922" s="232" t="n"/>
      <c r="N1922" s="233" t="n"/>
      <c r="O1922" s="232" t="n"/>
      <c r="P1922" s="233" t="n"/>
      <c r="Q1922" s="233" t="n"/>
      <c r="R1922" s="233" t="n"/>
      <c r="S1922" s="232" t="n"/>
      <c r="T1922" s="233" t="n"/>
      <c r="U1922" s="233" t="n"/>
      <c r="V1922" s="233" t="n"/>
      <c r="W1922" s="232" t="n"/>
    </row>
    <row r="1923" ht="54.95" customFormat="1" customHeight="1" s="37">
      <c r="A1923" s="232" t="n"/>
      <c r="B1923" s="232" t="n"/>
      <c r="C1923" s="232" t="n"/>
      <c r="D1923" s="233" t="n"/>
      <c r="E1923" s="232" t="n"/>
      <c r="F1923" s="233" t="n"/>
      <c r="G1923" s="233" t="n"/>
      <c r="H1923" s="233" t="n"/>
      <c r="I1923" s="232" t="n"/>
      <c r="J1923" s="233" t="n"/>
      <c r="K1923" s="232" t="n"/>
      <c r="L1923" s="232" t="n"/>
      <c r="M1923" s="232" t="n"/>
      <c r="N1923" s="233" t="n"/>
      <c r="O1923" s="232" t="n"/>
      <c r="P1923" s="233" t="n"/>
      <c r="Q1923" s="233" t="n"/>
      <c r="R1923" s="233" t="n"/>
      <c r="S1923" s="232" t="n"/>
      <c r="T1923" s="233" t="n"/>
      <c r="U1923" s="233" t="n"/>
      <c r="V1923" s="233" t="n"/>
      <c r="W1923" s="232" t="n"/>
    </row>
    <row r="1924" ht="54.95" customFormat="1" customHeight="1" s="37">
      <c r="A1924" s="232" t="n"/>
      <c r="B1924" s="232" t="n"/>
      <c r="C1924" s="232" t="n"/>
      <c r="D1924" s="233" t="n"/>
      <c r="E1924" s="232" t="n"/>
      <c r="F1924" s="233" t="n"/>
      <c r="G1924" s="233" t="n"/>
      <c r="H1924" s="233" t="n"/>
      <c r="I1924" s="232" t="n"/>
      <c r="J1924" s="233" t="n"/>
      <c r="K1924" s="232" t="n"/>
      <c r="L1924" s="232" t="n"/>
      <c r="M1924" s="232" t="n"/>
      <c r="N1924" s="233" t="n"/>
      <c r="O1924" s="232" t="n"/>
      <c r="P1924" s="233" t="n"/>
      <c r="Q1924" s="233" t="n"/>
      <c r="R1924" s="233" t="n"/>
      <c r="S1924" s="232" t="n"/>
      <c r="T1924" s="233" t="n"/>
      <c r="U1924" s="233" t="n"/>
      <c r="V1924" s="233" t="n"/>
      <c r="W1924" s="232" t="n"/>
    </row>
    <row r="1925" ht="54.95" customFormat="1" customHeight="1" s="37">
      <c r="A1925" s="234" t="n"/>
      <c r="B1925" s="234" t="n"/>
      <c r="C1925" s="234" t="n"/>
      <c r="D1925" s="234" t="n"/>
      <c r="E1925" s="234" t="n"/>
      <c r="F1925" s="234" t="n"/>
      <c r="G1925" s="234" t="n"/>
      <c r="H1925" s="234" t="n"/>
      <c r="I1925" s="234" t="n"/>
      <c r="J1925" s="234" t="n"/>
      <c r="K1925" s="234" t="n"/>
      <c r="L1925" s="234" t="n"/>
      <c r="M1925" s="232" t="n"/>
      <c r="N1925" s="233" t="n"/>
      <c r="O1925" s="232" t="n"/>
      <c r="P1925" s="234" t="n"/>
      <c r="Q1925" s="234" t="n"/>
      <c r="R1925" s="234" t="n"/>
      <c r="S1925" s="234" t="n"/>
      <c r="T1925" s="234" t="n"/>
      <c r="U1925" s="234" t="n"/>
      <c r="V1925" s="234" t="n"/>
      <c r="W1925" s="234" t="n"/>
    </row>
    <row r="1926" ht="54.95" customFormat="1" customHeight="1" s="37">
      <c r="A1926" s="234" t="n"/>
      <c r="B1926" s="234" t="n"/>
      <c r="C1926" s="234" t="n"/>
      <c r="D1926" s="234" t="n"/>
      <c r="E1926" s="234" t="n"/>
      <c r="F1926" s="234" t="n"/>
      <c r="G1926" s="234" t="n"/>
      <c r="H1926" s="234" t="n"/>
      <c r="I1926" s="234" t="n"/>
      <c r="J1926" s="234" t="n"/>
      <c r="K1926" s="234" t="n"/>
      <c r="L1926" s="234" t="n"/>
      <c r="M1926" s="232" t="n"/>
      <c r="N1926" s="233" t="n"/>
      <c r="O1926" s="232" t="n"/>
      <c r="P1926" s="234" t="n"/>
      <c r="Q1926" s="234" t="n"/>
      <c r="R1926" s="234" t="n"/>
      <c r="S1926" s="234" t="n"/>
      <c r="T1926" s="234" t="n"/>
      <c r="U1926" s="234" t="n"/>
      <c r="V1926" s="234" t="n"/>
      <c r="W1926" s="234" t="n"/>
    </row>
    <row r="1927" ht="54.95" customFormat="1" customHeight="1" s="37">
      <c r="A1927" s="234" t="n"/>
      <c r="B1927" s="234" t="n"/>
      <c r="C1927" s="234" t="n"/>
      <c r="D1927" s="234" t="n"/>
      <c r="E1927" s="234" t="n"/>
      <c r="F1927" s="234" t="n"/>
      <c r="G1927" s="234" t="n"/>
      <c r="H1927" s="234" t="n"/>
      <c r="I1927" s="234" t="n"/>
      <c r="J1927" s="234" t="n"/>
      <c r="K1927" s="234" t="n"/>
      <c r="L1927" s="234" t="n"/>
      <c r="M1927" s="232" t="n"/>
      <c r="N1927" s="233" t="n"/>
      <c r="O1927" s="232" t="n"/>
      <c r="P1927" s="234" t="n"/>
      <c r="Q1927" s="234" t="n"/>
      <c r="R1927" s="234" t="n"/>
      <c r="S1927" s="234" t="n"/>
      <c r="T1927" s="234" t="n"/>
      <c r="U1927" s="234" t="n"/>
      <c r="V1927" s="234" t="n"/>
      <c r="W1927" s="234" t="n"/>
    </row>
    <row r="1928" ht="54.95" customFormat="1" customHeight="1" s="37">
      <c r="A1928" s="232" t="n"/>
      <c r="B1928" s="232" t="n"/>
      <c r="C1928" s="232" t="n"/>
      <c r="D1928" s="233" t="n"/>
      <c r="E1928" s="232" t="n"/>
      <c r="F1928" s="233" t="n"/>
      <c r="G1928" s="233" t="n"/>
      <c r="H1928" s="233" t="n"/>
      <c r="I1928" s="232" t="n"/>
      <c r="J1928" s="233" t="n"/>
      <c r="K1928" s="232" t="n"/>
      <c r="L1928" s="232" t="n"/>
      <c r="M1928" s="232" t="n"/>
      <c r="N1928" s="233" t="n"/>
      <c r="O1928" s="232" t="n"/>
      <c r="P1928" s="233" t="n"/>
      <c r="Q1928" s="233" t="n"/>
      <c r="R1928" s="233" t="n"/>
      <c r="S1928" s="232" t="n"/>
      <c r="T1928" s="233" t="n"/>
      <c r="U1928" s="233" t="n"/>
      <c r="V1928" s="233" t="n"/>
      <c r="W1928" s="232" t="n"/>
    </row>
    <row r="1929" ht="54.95" customFormat="1" customHeight="1" s="37">
      <c r="A1929" s="232" t="n"/>
      <c r="B1929" s="232" t="n"/>
      <c r="C1929" s="232" t="n"/>
      <c r="D1929" s="233" t="n"/>
      <c r="E1929" s="232" t="n"/>
      <c r="F1929" s="233" t="n"/>
      <c r="G1929" s="233" t="n"/>
      <c r="H1929" s="233" t="n"/>
      <c r="I1929" s="232" t="n"/>
      <c r="J1929" s="233" t="n"/>
      <c r="K1929" s="232" t="n"/>
      <c r="L1929" s="232" t="n"/>
      <c r="M1929" s="232" t="n"/>
      <c r="N1929" s="233" t="n"/>
      <c r="O1929" s="232" t="n"/>
      <c r="P1929" s="233" t="n"/>
      <c r="Q1929" s="233" t="n"/>
      <c r="R1929" s="233" t="n"/>
      <c r="S1929" s="232" t="n"/>
      <c r="T1929" s="233" t="n"/>
      <c r="U1929" s="233" t="n"/>
      <c r="V1929" s="233" t="n"/>
      <c r="W1929" s="232" t="n"/>
    </row>
    <row r="1930" ht="54.95" customFormat="1" customHeight="1" s="37">
      <c r="A1930" s="232" t="n"/>
      <c r="B1930" s="232" t="n"/>
      <c r="C1930" s="232" t="n"/>
      <c r="D1930" s="233" t="n"/>
      <c r="E1930" s="232" t="n"/>
      <c r="F1930" s="233" t="n"/>
      <c r="G1930" s="233" t="n"/>
      <c r="H1930" s="233" t="n"/>
      <c r="I1930" s="232" t="n"/>
      <c r="J1930" s="233" t="n"/>
      <c r="K1930" s="232" t="n"/>
      <c r="L1930" s="232" t="n"/>
      <c r="M1930" s="232" t="n"/>
      <c r="N1930" s="233" t="n"/>
      <c r="O1930" s="232" t="n"/>
      <c r="P1930" s="233" t="n"/>
      <c r="Q1930" s="233" t="n"/>
      <c r="R1930" s="233" t="n"/>
      <c r="S1930" s="232" t="n"/>
      <c r="T1930" s="233" t="n"/>
      <c r="U1930" s="233" t="n"/>
      <c r="V1930" s="233" t="n"/>
      <c r="W1930" s="232" t="n"/>
    </row>
    <row r="1931" ht="54.95" customFormat="1" customHeight="1" s="37">
      <c r="A1931" s="232" t="n"/>
      <c r="B1931" s="232" t="n"/>
      <c r="C1931" s="232" t="n"/>
      <c r="D1931" s="233" t="n"/>
      <c r="E1931" s="232" t="n"/>
      <c r="F1931" s="233" t="n"/>
      <c r="G1931" s="233" t="n"/>
      <c r="H1931" s="233" t="n"/>
      <c r="I1931" s="232" t="n"/>
      <c r="J1931" s="233" t="n"/>
      <c r="K1931" s="232" t="n"/>
      <c r="L1931" s="232" t="n"/>
      <c r="M1931" s="232" t="n"/>
      <c r="N1931" s="233" t="n"/>
      <c r="O1931" s="232" t="n"/>
      <c r="P1931" s="233" t="n"/>
      <c r="Q1931" s="233" t="n"/>
      <c r="R1931" s="233" t="n"/>
      <c r="S1931" s="232" t="n"/>
      <c r="T1931" s="233" t="n"/>
      <c r="U1931" s="233" t="n"/>
      <c r="V1931" s="233" t="n"/>
      <c r="W1931" s="232" t="n"/>
    </row>
    <row r="1932" ht="54.95" customFormat="1" customHeight="1" s="37">
      <c r="A1932" s="232" t="n"/>
      <c r="B1932" s="232" t="n"/>
      <c r="C1932" s="232" t="n"/>
      <c r="D1932" s="233" t="n"/>
      <c r="E1932" s="232" t="n"/>
      <c r="F1932" s="233" t="n"/>
      <c r="G1932" s="233" t="n"/>
      <c r="H1932" s="233" t="n"/>
      <c r="I1932" s="232" t="n"/>
      <c r="J1932" s="233" t="n"/>
      <c r="K1932" s="232" t="n"/>
      <c r="L1932" s="232" t="n"/>
      <c r="M1932" s="232" t="n"/>
      <c r="N1932" s="233" t="n"/>
      <c r="O1932" s="232" t="n"/>
      <c r="P1932" s="233" t="n"/>
      <c r="Q1932" s="233" t="n"/>
      <c r="R1932" s="233" t="n"/>
      <c r="S1932" s="232" t="n"/>
      <c r="T1932" s="233" t="n"/>
      <c r="U1932" s="233" t="n"/>
      <c r="V1932" s="233" t="n"/>
      <c r="W1932" s="232" t="n"/>
    </row>
    <row r="1933" ht="54.95" customFormat="1" customHeight="1" s="37">
      <c r="A1933" s="232" t="n"/>
      <c r="B1933" s="232" t="n"/>
      <c r="C1933" s="232" t="n"/>
      <c r="D1933" s="233" t="n"/>
      <c r="E1933" s="232" t="n"/>
      <c r="F1933" s="233" t="n"/>
      <c r="G1933" s="233" t="n"/>
      <c r="H1933" s="233" t="n"/>
      <c r="I1933" s="232" t="n"/>
      <c r="J1933" s="233" t="n"/>
      <c r="K1933" s="232" t="n"/>
      <c r="L1933" s="232" t="n"/>
      <c r="M1933" s="232" t="n"/>
      <c r="N1933" s="233" t="n"/>
      <c r="O1933" s="232" t="n"/>
      <c r="P1933" s="233" t="n"/>
      <c r="Q1933" s="233" t="n"/>
      <c r="R1933" s="233" t="n"/>
      <c r="S1933" s="232" t="n"/>
      <c r="T1933" s="233" t="n"/>
      <c r="U1933" s="233" t="n"/>
      <c r="V1933" s="233" t="n"/>
      <c r="W1933" s="232" t="n"/>
    </row>
    <row r="1934" ht="54.95" customFormat="1" customHeight="1" s="37">
      <c r="A1934" s="232" t="n"/>
      <c r="B1934" s="232" t="n"/>
      <c r="C1934" s="232" t="n"/>
      <c r="D1934" s="233" t="n"/>
      <c r="E1934" s="232" t="n"/>
      <c r="F1934" s="233" t="n"/>
      <c r="G1934" s="233" t="n"/>
      <c r="H1934" s="233" t="n"/>
      <c r="I1934" s="232" t="n"/>
      <c r="J1934" s="233" t="n"/>
      <c r="K1934" s="232" t="n"/>
      <c r="L1934" s="232" t="n"/>
      <c r="M1934" s="232" t="n"/>
      <c r="N1934" s="233" t="n"/>
      <c r="O1934" s="232" t="n"/>
      <c r="P1934" s="233" t="n"/>
      <c r="Q1934" s="233" t="n"/>
      <c r="R1934" s="233" t="n"/>
      <c r="S1934" s="232" t="n"/>
      <c r="T1934" s="233" t="n"/>
      <c r="U1934" s="233" t="n"/>
      <c r="V1934" s="233" t="n"/>
      <c r="W1934" s="232" t="n"/>
    </row>
    <row r="1935" ht="54.95" customFormat="1" customHeight="1" s="37">
      <c r="A1935" s="232" t="n"/>
      <c r="B1935" s="232" t="n"/>
      <c r="C1935" s="232" t="n"/>
      <c r="D1935" s="233" t="n"/>
      <c r="E1935" s="232" t="n"/>
      <c r="F1935" s="233" t="n"/>
      <c r="G1935" s="233" t="n"/>
      <c r="H1935" s="233" t="n"/>
      <c r="I1935" s="232" t="n"/>
      <c r="J1935" s="233" t="n"/>
      <c r="K1935" s="232" t="n"/>
      <c r="L1935" s="232" t="n"/>
      <c r="M1935" s="232" t="n"/>
      <c r="N1935" s="233" t="n"/>
      <c r="O1935" s="232" t="n"/>
      <c r="P1935" s="233" t="n"/>
      <c r="Q1935" s="233" t="n"/>
      <c r="R1935" s="233" t="n"/>
      <c r="S1935" s="232" t="n"/>
      <c r="T1935" s="233" t="n"/>
      <c r="U1935" s="233" t="n"/>
      <c r="V1935" s="233" t="n"/>
      <c r="W1935" s="232" t="n"/>
    </row>
    <row r="1936" ht="54.95" customFormat="1" customHeight="1" s="37">
      <c r="A1936" s="232" t="n"/>
      <c r="B1936" s="232" t="n"/>
      <c r="C1936" s="232" t="n"/>
      <c r="D1936" s="233" t="n"/>
      <c r="E1936" s="232" t="n"/>
      <c r="F1936" s="233" t="n"/>
      <c r="G1936" s="233" t="n"/>
      <c r="H1936" s="233" t="n"/>
      <c r="I1936" s="232" t="n"/>
      <c r="J1936" s="233" t="n"/>
      <c r="K1936" s="232" t="n"/>
      <c r="L1936" s="232" t="n"/>
      <c r="M1936" s="232" t="n"/>
      <c r="N1936" s="233" t="n"/>
      <c r="O1936" s="232" t="n"/>
      <c r="P1936" s="233" t="n"/>
      <c r="Q1936" s="233" t="n"/>
      <c r="R1936" s="233" t="n"/>
      <c r="S1936" s="232" t="n"/>
      <c r="T1936" s="233" t="n"/>
      <c r="U1936" s="233" t="n"/>
      <c r="V1936" s="233" t="n"/>
      <c r="W1936" s="232" t="n"/>
    </row>
    <row r="1937" ht="54.95" customFormat="1" customHeight="1" s="37">
      <c r="A1937" s="232" t="n"/>
      <c r="B1937" s="232" t="n"/>
      <c r="C1937" s="232" t="n"/>
      <c r="D1937" s="233" t="n"/>
      <c r="E1937" s="232" t="n"/>
      <c r="F1937" s="233" t="n"/>
      <c r="G1937" s="233" t="n"/>
      <c r="H1937" s="233" t="n"/>
      <c r="I1937" s="232" t="n"/>
      <c r="J1937" s="233" t="n"/>
      <c r="K1937" s="232" t="n"/>
      <c r="L1937" s="232" t="n"/>
      <c r="M1937" s="232" t="n"/>
      <c r="N1937" s="233" t="n"/>
      <c r="O1937" s="232" t="n"/>
      <c r="P1937" s="233" t="n"/>
      <c r="Q1937" s="233" t="n"/>
      <c r="R1937" s="233" t="n"/>
      <c r="S1937" s="232" t="n"/>
      <c r="T1937" s="233" t="n"/>
      <c r="U1937" s="233" t="n"/>
      <c r="V1937" s="233" t="n"/>
      <c r="W1937" s="232" t="n"/>
    </row>
    <row r="1938" ht="54.95" customFormat="1" customHeight="1" s="37">
      <c r="A1938" s="232" t="n"/>
      <c r="B1938" s="232" t="n"/>
      <c r="C1938" s="232" t="n"/>
      <c r="D1938" s="233" t="n"/>
      <c r="E1938" s="232" t="n"/>
      <c r="F1938" s="233" t="n"/>
      <c r="G1938" s="233" t="n"/>
      <c r="H1938" s="233" t="n"/>
      <c r="I1938" s="232" t="n"/>
      <c r="J1938" s="233" t="n"/>
      <c r="K1938" s="232" t="n"/>
      <c r="L1938" s="232" t="n"/>
      <c r="M1938" s="232" t="n"/>
      <c r="N1938" s="233" t="n"/>
      <c r="O1938" s="232" t="n"/>
      <c r="P1938" s="233" t="n"/>
      <c r="Q1938" s="233" t="n"/>
      <c r="R1938" s="233" t="n"/>
      <c r="S1938" s="232" t="n"/>
      <c r="T1938" s="233" t="n"/>
      <c r="U1938" s="233" t="n"/>
      <c r="V1938" s="233" t="n"/>
      <c r="W1938" s="232" t="n"/>
    </row>
    <row r="1939" ht="54.95" customFormat="1" customHeight="1" s="37">
      <c r="A1939" s="234" t="n"/>
      <c r="B1939" s="234" t="n"/>
      <c r="C1939" s="234" t="n"/>
      <c r="D1939" s="234" t="n"/>
      <c r="E1939" s="234" t="n"/>
      <c r="F1939" s="234" t="n"/>
      <c r="G1939" s="234" t="n"/>
      <c r="H1939" s="234" t="n"/>
      <c r="I1939" s="234" t="n"/>
      <c r="J1939" s="234" t="n"/>
      <c r="K1939" s="234" t="n"/>
      <c r="L1939" s="234" t="n"/>
      <c r="M1939" s="232" t="n"/>
      <c r="N1939" s="233" t="n"/>
      <c r="O1939" s="232" t="n"/>
      <c r="P1939" s="234" t="n"/>
      <c r="Q1939" s="234" t="n"/>
      <c r="R1939" s="234" t="n"/>
      <c r="S1939" s="234" t="n"/>
      <c r="T1939" s="234" t="n"/>
      <c r="U1939" s="234" t="n"/>
      <c r="V1939" s="234" t="n"/>
      <c r="W1939" s="234" t="n"/>
    </row>
    <row r="1940" ht="54.95" customFormat="1" customHeight="1" s="37">
      <c r="A1940" s="234" t="n"/>
      <c r="B1940" s="234" t="n"/>
      <c r="C1940" s="234" t="n"/>
      <c r="D1940" s="234" t="n"/>
      <c r="E1940" s="234" t="n"/>
      <c r="F1940" s="234" t="n"/>
      <c r="G1940" s="234" t="n"/>
      <c r="H1940" s="234" t="n"/>
      <c r="I1940" s="234" t="n"/>
      <c r="J1940" s="234" t="n"/>
      <c r="K1940" s="234" t="n"/>
      <c r="L1940" s="234" t="n"/>
      <c r="M1940" s="232" t="n"/>
      <c r="N1940" s="233" t="n"/>
      <c r="O1940" s="232" t="n"/>
      <c r="P1940" s="234" t="n"/>
      <c r="Q1940" s="234" t="n"/>
      <c r="R1940" s="234" t="n"/>
      <c r="S1940" s="234" t="n"/>
      <c r="T1940" s="234" t="n"/>
      <c r="U1940" s="234" t="n"/>
      <c r="V1940" s="234" t="n"/>
      <c r="W1940" s="234" t="n"/>
    </row>
    <row r="1941" ht="54.95" customFormat="1" customHeight="1" s="37">
      <c r="A1941" s="232" t="n"/>
      <c r="B1941" s="232" t="n"/>
      <c r="C1941" s="232" t="n"/>
      <c r="D1941" s="233" t="n"/>
      <c r="E1941" s="232" t="n"/>
      <c r="F1941" s="233" t="n"/>
      <c r="G1941" s="233" t="n"/>
      <c r="H1941" s="233" t="n"/>
      <c r="I1941" s="232" t="n"/>
      <c r="J1941" s="233" t="n"/>
      <c r="K1941" s="232" t="n"/>
      <c r="L1941" s="232" t="n"/>
      <c r="M1941" s="232" t="n"/>
      <c r="N1941" s="233" t="n"/>
      <c r="O1941" s="232" t="n"/>
      <c r="P1941" s="233" t="n"/>
      <c r="Q1941" s="233" t="n"/>
      <c r="R1941" s="233" t="n"/>
      <c r="S1941" s="232" t="n"/>
      <c r="T1941" s="233" t="n"/>
      <c r="U1941" s="233" t="n"/>
      <c r="V1941" s="233" t="n"/>
      <c r="W1941" s="232" t="n"/>
    </row>
    <row r="1942" ht="54.95" customFormat="1" customHeight="1" s="37">
      <c r="A1942" s="232" t="n"/>
      <c r="B1942" s="232" t="n"/>
      <c r="C1942" s="232" t="n"/>
      <c r="D1942" s="233" t="n"/>
      <c r="E1942" s="232" t="n"/>
      <c r="F1942" s="233" t="n"/>
      <c r="G1942" s="233" t="n"/>
      <c r="H1942" s="233" t="n"/>
      <c r="I1942" s="232" t="n"/>
      <c r="J1942" s="233" t="n"/>
      <c r="K1942" s="232" t="n"/>
      <c r="L1942" s="232" t="n"/>
      <c r="M1942" s="232" t="n"/>
      <c r="N1942" s="233" t="n"/>
      <c r="O1942" s="232" t="n"/>
      <c r="P1942" s="233" t="n"/>
      <c r="Q1942" s="233" t="n"/>
      <c r="R1942" s="233" t="n"/>
      <c r="S1942" s="232" t="n"/>
      <c r="T1942" s="233" t="n"/>
      <c r="U1942" s="233" t="n"/>
      <c r="V1942" s="233" t="n"/>
      <c r="W1942" s="232" t="n"/>
    </row>
    <row r="1943" ht="54.95" customFormat="1" customHeight="1" s="37">
      <c r="A1943" s="232" t="n"/>
      <c r="B1943" s="232" t="n"/>
      <c r="C1943" s="232" t="n"/>
      <c r="D1943" s="233" t="n"/>
      <c r="E1943" s="232" t="n"/>
      <c r="F1943" s="233" t="n"/>
      <c r="G1943" s="233" t="n"/>
      <c r="H1943" s="233" t="n"/>
      <c r="I1943" s="232" t="n"/>
      <c r="J1943" s="233" t="n"/>
      <c r="K1943" s="232" t="n"/>
      <c r="L1943" s="232" t="n"/>
      <c r="M1943" s="232" t="n"/>
      <c r="N1943" s="233" t="n"/>
      <c r="O1943" s="232" t="n"/>
      <c r="P1943" s="233" t="n"/>
      <c r="Q1943" s="233" t="n"/>
      <c r="R1943" s="233" t="n"/>
      <c r="S1943" s="232" t="n"/>
      <c r="T1943" s="233" t="n"/>
      <c r="U1943" s="233" t="n"/>
      <c r="V1943" s="233" t="n"/>
      <c r="W1943" s="232" t="n"/>
    </row>
    <row r="1944" ht="54.95" customFormat="1" customHeight="1" s="37">
      <c r="A1944" s="232" t="n"/>
      <c r="B1944" s="232" t="n"/>
      <c r="C1944" s="232" t="n"/>
      <c r="D1944" s="233" t="n"/>
      <c r="E1944" s="232" t="n"/>
      <c r="F1944" s="233" t="n"/>
      <c r="G1944" s="233" t="n"/>
      <c r="H1944" s="233" t="n"/>
      <c r="I1944" s="232" t="n"/>
      <c r="J1944" s="233" t="n"/>
      <c r="K1944" s="232" t="n"/>
      <c r="L1944" s="232" t="n"/>
      <c r="M1944" s="232" t="n"/>
      <c r="N1944" s="233" t="n"/>
      <c r="O1944" s="232" t="n"/>
      <c r="P1944" s="233" t="n"/>
      <c r="Q1944" s="233" t="n"/>
      <c r="R1944" s="233" t="n"/>
      <c r="S1944" s="232" t="n"/>
      <c r="T1944" s="233" t="n"/>
      <c r="U1944" s="233" t="n"/>
      <c r="V1944" s="233" t="n"/>
      <c r="W1944" s="232" t="n"/>
    </row>
    <row r="1945" ht="54.95" customFormat="1" customHeight="1" s="37">
      <c r="A1945" s="232" t="n"/>
      <c r="B1945" s="232" t="n"/>
      <c r="C1945" s="232" t="n"/>
      <c r="D1945" s="233" t="n"/>
      <c r="E1945" s="232" t="n"/>
      <c r="F1945" s="233" t="n"/>
      <c r="G1945" s="233" t="n"/>
      <c r="H1945" s="233" t="n"/>
      <c r="I1945" s="232" t="n"/>
      <c r="J1945" s="233" t="n"/>
      <c r="K1945" s="232" t="n"/>
      <c r="L1945" s="232" t="n"/>
      <c r="M1945" s="232" t="n"/>
      <c r="N1945" s="233" t="n"/>
      <c r="O1945" s="232" t="n"/>
      <c r="P1945" s="233" t="n"/>
      <c r="Q1945" s="233" t="n"/>
      <c r="R1945" s="233" t="n"/>
      <c r="S1945" s="232" t="n"/>
      <c r="T1945" s="233" t="n"/>
      <c r="U1945" s="233" t="n"/>
      <c r="V1945" s="233" t="n"/>
      <c r="W1945" s="232" t="n"/>
    </row>
    <row r="1946" ht="54.95" customFormat="1" customHeight="1" s="37">
      <c r="A1946" s="232" t="n"/>
      <c r="B1946" s="232" t="n"/>
      <c r="C1946" s="232" t="n"/>
      <c r="D1946" s="233" t="n"/>
      <c r="E1946" s="232" t="n"/>
      <c r="F1946" s="233" t="n"/>
      <c r="G1946" s="233" t="n"/>
      <c r="H1946" s="233" t="n"/>
      <c r="I1946" s="232" t="n"/>
      <c r="J1946" s="233" t="n"/>
      <c r="K1946" s="232" t="n"/>
      <c r="L1946" s="232" t="n"/>
      <c r="M1946" s="232" t="n"/>
      <c r="N1946" s="233" t="n"/>
      <c r="O1946" s="232" t="n"/>
      <c r="P1946" s="233" t="n"/>
      <c r="Q1946" s="233" t="n"/>
      <c r="R1946" s="233" t="n"/>
      <c r="S1946" s="232" t="n"/>
      <c r="T1946" s="233" t="n"/>
      <c r="U1946" s="233" t="n"/>
      <c r="V1946" s="233" t="n"/>
      <c r="W1946" s="232" t="n"/>
    </row>
    <row r="1947" ht="54.95" customFormat="1" customHeight="1" s="37">
      <c r="A1947" s="232" t="n"/>
      <c r="B1947" s="232" t="n"/>
      <c r="C1947" s="232" t="n"/>
      <c r="D1947" s="233" t="n"/>
      <c r="E1947" s="232" t="n"/>
      <c r="F1947" s="233" t="n"/>
      <c r="G1947" s="233" t="n"/>
      <c r="H1947" s="233" t="n"/>
      <c r="I1947" s="232" t="n"/>
      <c r="J1947" s="233" t="n"/>
      <c r="K1947" s="232" t="n"/>
      <c r="L1947" s="232" t="n"/>
      <c r="M1947" s="232" t="n"/>
      <c r="N1947" s="233" t="n"/>
      <c r="O1947" s="232" t="n"/>
      <c r="P1947" s="233" t="n"/>
      <c r="Q1947" s="233" t="n"/>
      <c r="R1947" s="233" t="n"/>
      <c r="S1947" s="232" t="n"/>
      <c r="T1947" s="233" t="n"/>
      <c r="U1947" s="233" t="n"/>
      <c r="V1947" s="233" t="n"/>
      <c r="W1947" s="232" t="n"/>
    </row>
    <row r="1948" ht="54.95" customFormat="1" customHeight="1" s="37">
      <c r="A1948" s="234" t="n"/>
      <c r="B1948" s="234" t="n"/>
      <c r="C1948" s="234" t="n"/>
      <c r="D1948" s="234" t="n"/>
      <c r="E1948" s="234" t="n"/>
      <c r="F1948" s="234" t="n"/>
      <c r="G1948" s="234" t="n"/>
      <c r="H1948" s="234" t="n"/>
      <c r="I1948" s="234" t="n"/>
      <c r="J1948" s="234" t="n"/>
      <c r="K1948" s="234" t="n"/>
      <c r="L1948" s="234" t="n"/>
      <c r="M1948" s="232" t="n"/>
      <c r="N1948" s="233" t="n"/>
      <c r="O1948" s="232" t="n"/>
      <c r="P1948" s="234" t="n"/>
      <c r="Q1948" s="234" t="n"/>
      <c r="R1948" s="234" t="n"/>
      <c r="S1948" s="234" t="n"/>
      <c r="T1948" s="234" t="n"/>
      <c r="U1948" s="234" t="n"/>
      <c r="V1948" s="234" t="n"/>
      <c r="W1948" s="234" t="n"/>
    </row>
    <row r="1949" ht="54.95" customFormat="1" customHeight="1" s="37">
      <c r="A1949" s="232" t="n"/>
      <c r="B1949" s="232" t="n"/>
      <c r="C1949" s="232" t="n"/>
      <c r="D1949" s="233" t="n"/>
      <c r="E1949" s="232" t="n"/>
      <c r="F1949" s="233" t="n"/>
      <c r="G1949" s="233" t="n"/>
      <c r="H1949" s="233" t="n"/>
      <c r="I1949" s="232" t="n"/>
      <c r="J1949" s="233" t="n"/>
      <c r="K1949" s="232" t="n"/>
      <c r="L1949" s="232" t="n"/>
      <c r="M1949" s="232" t="n"/>
      <c r="N1949" s="233" t="n"/>
      <c r="O1949" s="232" t="n"/>
      <c r="P1949" s="233" t="n"/>
      <c r="Q1949" s="233" t="n"/>
      <c r="R1949" s="233" t="n"/>
      <c r="S1949" s="232" t="n"/>
      <c r="T1949" s="233" t="n"/>
      <c r="U1949" s="233" t="n"/>
      <c r="V1949" s="233" t="n"/>
      <c r="W1949" s="232" t="n"/>
    </row>
    <row r="1950" ht="54.95" customFormat="1" customHeight="1" s="37">
      <c r="A1950" s="234" t="n"/>
      <c r="B1950" s="234" t="n"/>
      <c r="C1950" s="234" t="n"/>
      <c r="D1950" s="234" t="n"/>
      <c r="E1950" s="234" t="n"/>
      <c r="F1950" s="234" t="n"/>
      <c r="G1950" s="234" t="n"/>
      <c r="H1950" s="234" t="n"/>
      <c r="I1950" s="234" t="n"/>
      <c r="J1950" s="234" t="n"/>
      <c r="K1950" s="234" t="n"/>
      <c r="L1950" s="234" t="n"/>
      <c r="M1950" s="232" t="n"/>
      <c r="N1950" s="233" t="n"/>
      <c r="O1950" s="232" t="n"/>
      <c r="P1950" s="234" t="n"/>
      <c r="Q1950" s="234" t="n"/>
      <c r="R1950" s="234" t="n"/>
      <c r="S1950" s="234" t="n"/>
      <c r="T1950" s="234" t="n"/>
      <c r="U1950" s="234" t="n"/>
      <c r="V1950" s="234" t="n"/>
      <c r="W1950" s="234" t="n"/>
    </row>
    <row r="1951" ht="54.95" customFormat="1" customHeight="1" s="37">
      <c r="A1951" s="232" t="n"/>
      <c r="B1951" s="232" t="n"/>
      <c r="C1951" s="232" t="n"/>
      <c r="D1951" s="233" t="n"/>
      <c r="E1951" s="232" t="n"/>
      <c r="F1951" s="233" t="n"/>
      <c r="G1951" s="233" t="n"/>
      <c r="H1951" s="233" t="n"/>
      <c r="I1951" s="232" t="n"/>
      <c r="J1951" s="233" t="n"/>
      <c r="K1951" s="232" t="n"/>
      <c r="L1951" s="232" t="n"/>
      <c r="M1951" s="232" t="n"/>
      <c r="N1951" s="233" t="n"/>
      <c r="O1951" s="232" t="n"/>
      <c r="P1951" s="233" t="n"/>
      <c r="Q1951" s="233" t="n"/>
      <c r="R1951" s="233" t="n"/>
      <c r="S1951" s="232" t="n"/>
      <c r="T1951" s="233" t="n"/>
      <c r="U1951" s="233" t="n"/>
      <c r="V1951" s="233" t="n"/>
      <c r="W1951" s="232" t="n"/>
    </row>
    <row r="1952" ht="54.95" customFormat="1" customHeight="1" s="37">
      <c r="A1952" s="232" t="n"/>
      <c r="B1952" s="232" t="n"/>
      <c r="C1952" s="232" t="n"/>
      <c r="D1952" s="233" t="n"/>
      <c r="E1952" s="232" t="n"/>
      <c r="F1952" s="233" t="n"/>
      <c r="G1952" s="233" t="n"/>
      <c r="H1952" s="233" t="n"/>
      <c r="I1952" s="232" t="n"/>
      <c r="J1952" s="233" t="n"/>
      <c r="K1952" s="232" t="n"/>
      <c r="L1952" s="232" t="n"/>
      <c r="M1952" s="232" t="n"/>
      <c r="N1952" s="233" t="n"/>
      <c r="O1952" s="232" t="n"/>
      <c r="P1952" s="233" t="n"/>
      <c r="Q1952" s="233" t="n"/>
      <c r="R1952" s="233" t="n"/>
      <c r="S1952" s="232" t="n"/>
      <c r="T1952" s="233" t="n"/>
      <c r="U1952" s="233" t="n"/>
      <c r="V1952" s="233" t="n"/>
      <c r="W1952" s="232" t="n"/>
    </row>
    <row r="1953" ht="54.95" customFormat="1" customHeight="1" s="37">
      <c r="A1953" s="232" t="n"/>
      <c r="B1953" s="232" t="n"/>
      <c r="C1953" s="232" t="n"/>
      <c r="D1953" s="233" t="n"/>
      <c r="E1953" s="232" t="n"/>
      <c r="F1953" s="233" t="n"/>
      <c r="G1953" s="233" t="n"/>
      <c r="H1953" s="233" t="n"/>
      <c r="I1953" s="232" t="n"/>
      <c r="J1953" s="233" t="n"/>
      <c r="K1953" s="232" t="n"/>
      <c r="L1953" s="232" t="n"/>
      <c r="M1953" s="232" t="n"/>
      <c r="N1953" s="233" t="n"/>
      <c r="O1953" s="232" t="n"/>
      <c r="P1953" s="233" t="n"/>
      <c r="Q1953" s="233" t="n"/>
      <c r="R1953" s="233" t="n"/>
      <c r="S1953" s="232" t="n"/>
      <c r="T1953" s="233" t="n"/>
      <c r="U1953" s="233" t="n"/>
      <c r="V1953" s="233" t="n"/>
      <c r="W1953" s="232" t="n"/>
    </row>
    <row r="1954" ht="54.95" customFormat="1" customHeight="1" s="37">
      <c r="A1954" s="232" t="n"/>
      <c r="B1954" s="232" t="n"/>
      <c r="C1954" s="232" t="n"/>
      <c r="D1954" s="233" t="n"/>
      <c r="E1954" s="232" t="n"/>
      <c r="F1954" s="233" t="n"/>
      <c r="G1954" s="233" t="n"/>
      <c r="H1954" s="233" t="n"/>
      <c r="I1954" s="232" t="n"/>
      <c r="J1954" s="233" t="n"/>
      <c r="K1954" s="232" t="n"/>
      <c r="L1954" s="232" t="n"/>
      <c r="M1954" s="232" t="n"/>
      <c r="N1954" s="233" t="n"/>
      <c r="O1954" s="232" t="n"/>
      <c r="P1954" s="233" t="n"/>
      <c r="Q1954" s="233" t="n"/>
      <c r="R1954" s="233" t="n"/>
      <c r="S1954" s="232" t="n"/>
      <c r="T1954" s="233" t="n"/>
      <c r="U1954" s="233" t="n"/>
      <c r="V1954" s="233" t="n"/>
      <c r="W1954" s="232" t="n"/>
    </row>
    <row r="1955" ht="54.95" customFormat="1" customHeight="1" s="37">
      <c r="A1955" s="232" t="n"/>
      <c r="B1955" s="232" t="n"/>
      <c r="C1955" s="232" t="n"/>
      <c r="D1955" s="233" t="n"/>
      <c r="E1955" s="232" t="n"/>
      <c r="F1955" s="233" t="n"/>
      <c r="G1955" s="233" t="n"/>
      <c r="H1955" s="233" t="n"/>
      <c r="I1955" s="232" t="n"/>
      <c r="J1955" s="233" t="n"/>
      <c r="K1955" s="232" t="n"/>
      <c r="L1955" s="232" t="n"/>
      <c r="M1955" s="232" t="n"/>
      <c r="N1955" s="233" t="n"/>
      <c r="O1955" s="232" t="n"/>
      <c r="P1955" s="233" t="n"/>
      <c r="Q1955" s="233" t="n"/>
      <c r="R1955" s="233" t="n"/>
      <c r="S1955" s="232" t="n"/>
      <c r="T1955" s="233" t="n"/>
      <c r="U1955" s="233" t="n"/>
      <c r="V1955" s="233" t="n"/>
      <c r="W1955" s="232" t="n"/>
    </row>
    <row r="1956" ht="54.95" customFormat="1" customHeight="1" s="37">
      <c r="A1956" s="232" t="n"/>
      <c r="B1956" s="232" t="n"/>
      <c r="C1956" s="232" t="n"/>
      <c r="D1956" s="233" t="n"/>
      <c r="E1956" s="232" t="n"/>
      <c r="F1956" s="233" t="n"/>
      <c r="G1956" s="233" t="n"/>
      <c r="H1956" s="233" t="n"/>
      <c r="I1956" s="232" t="n"/>
      <c r="J1956" s="233" t="n"/>
      <c r="K1956" s="232" t="n"/>
      <c r="L1956" s="232" t="n"/>
      <c r="M1956" s="232" t="n"/>
      <c r="N1956" s="233" t="n"/>
      <c r="O1956" s="232" t="n"/>
      <c r="P1956" s="233" t="n"/>
      <c r="Q1956" s="233" t="n"/>
      <c r="R1956" s="233" t="n"/>
      <c r="S1956" s="232" t="n"/>
      <c r="T1956" s="233" t="n"/>
      <c r="U1956" s="233" t="n"/>
      <c r="V1956" s="233" t="n"/>
      <c r="W1956" s="232" t="n"/>
    </row>
    <row r="1957" ht="54.95" customFormat="1" customHeight="1" s="37">
      <c r="A1957" s="232" t="n"/>
      <c r="B1957" s="232" t="n"/>
      <c r="C1957" s="232" t="n"/>
      <c r="D1957" s="233" t="n"/>
      <c r="E1957" s="232" t="n"/>
      <c r="F1957" s="233" t="n"/>
      <c r="G1957" s="233" t="n"/>
      <c r="H1957" s="233" t="n"/>
      <c r="I1957" s="232" t="n"/>
      <c r="J1957" s="233" t="n"/>
      <c r="K1957" s="232" t="n"/>
      <c r="L1957" s="232" t="n"/>
      <c r="M1957" s="232" t="n"/>
      <c r="N1957" s="233" t="n"/>
      <c r="O1957" s="232" t="n"/>
      <c r="P1957" s="233" t="n"/>
      <c r="Q1957" s="233" t="n"/>
      <c r="R1957" s="233" t="n"/>
      <c r="S1957" s="232" t="n"/>
      <c r="T1957" s="233" t="n"/>
      <c r="U1957" s="233" t="n"/>
      <c r="V1957" s="233" t="n"/>
      <c r="W1957" s="232" t="n"/>
    </row>
    <row r="1958" ht="54.95" customFormat="1" customHeight="1" s="37">
      <c r="A1958" s="232" t="n"/>
      <c r="B1958" s="232" t="n"/>
      <c r="C1958" s="232" t="n"/>
      <c r="D1958" s="233" t="n"/>
      <c r="E1958" s="232" t="n"/>
      <c r="F1958" s="233" t="n"/>
      <c r="G1958" s="233" t="n"/>
      <c r="H1958" s="233" t="n"/>
      <c r="I1958" s="232" t="n"/>
      <c r="J1958" s="233" t="n"/>
      <c r="K1958" s="232" t="n"/>
      <c r="L1958" s="232" t="n"/>
      <c r="M1958" s="232" t="n"/>
      <c r="N1958" s="233" t="n"/>
      <c r="O1958" s="232" t="n"/>
      <c r="P1958" s="233" t="n"/>
      <c r="Q1958" s="233" t="n"/>
      <c r="R1958" s="233" t="n"/>
      <c r="S1958" s="232" t="n"/>
      <c r="T1958" s="233" t="n"/>
      <c r="U1958" s="233" t="n"/>
      <c r="V1958" s="233" t="n"/>
      <c r="W1958" s="232" t="n"/>
    </row>
    <row r="1959" ht="54.95" customFormat="1" customHeight="1" s="37">
      <c r="A1959" s="232" t="n"/>
      <c r="B1959" s="232" t="n"/>
      <c r="C1959" s="232" t="n"/>
      <c r="D1959" s="233" t="n"/>
      <c r="E1959" s="232" t="n"/>
      <c r="F1959" s="233" t="n"/>
      <c r="G1959" s="233" t="n"/>
      <c r="H1959" s="233" t="n"/>
      <c r="I1959" s="232" t="n"/>
      <c r="J1959" s="233" t="n"/>
      <c r="K1959" s="232" t="n"/>
      <c r="L1959" s="232" t="n"/>
      <c r="M1959" s="232" t="n"/>
      <c r="N1959" s="233" t="n"/>
      <c r="O1959" s="232" t="n"/>
      <c r="P1959" s="233" t="n"/>
      <c r="Q1959" s="233" t="n"/>
      <c r="R1959" s="233" t="n"/>
      <c r="S1959" s="232" t="n"/>
      <c r="T1959" s="233" t="n"/>
      <c r="U1959" s="233" t="n"/>
      <c r="V1959" s="233" t="n"/>
      <c r="W1959" s="232" t="n"/>
    </row>
    <row r="1960" ht="54.95" customFormat="1" customHeight="1" s="37">
      <c r="A1960" s="232" t="n"/>
      <c r="B1960" s="232" t="n"/>
      <c r="C1960" s="232" t="n"/>
      <c r="D1960" s="233" t="n"/>
      <c r="E1960" s="232" t="n"/>
      <c r="F1960" s="233" t="n"/>
      <c r="G1960" s="233" t="n"/>
      <c r="H1960" s="233" t="n"/>
      <c r="I1960" s="232" t="n"/>
      <c r="J1960" s="233" t="n"/>
      <c r="K1960" s="232" t="n"/>
      <c r="L1960" s="232" t="n"/>
      <c r="M1960" s="232" t="n"/>
      <c r="N1960" s="233" t="n"/>
      <c r="O1960" s="232" t="n"/>
      <c r="P1960" s="233" t="n"/>
      <c r="Q1960" s="233" t="n"/>
      <c r="R1960" s="233" t="n"/>
      <c r="S1960" s="232" t="n"/>
      <c r="T1960" s="233" t="n"/>
      <c r="U1960" s="233" t="n"/>
      <c r="V1960" s="233" t="n"/>
      <c r="W1960" s="232" t="n"/>
    </row>
    <row r="1961" ht="54.95" customFormat="1" customHeight="1" s="37">
      <c r="A1961" s="232" t="n"/>
      <c r="B1961" s="232" t="n"/>
      <c r="C1961" s="232" t="n"/>
      <c r="D1961" s="233" t="n"/>
      <c r="E1961" s="232" t="n"/>
      <c r="F1961" s="233" t="n"/>
      <c r="G1961" s="233" t="n"/>
      <c r="H1961" s="233" t="n"/>
      <c r="I1961" s="232" t="n"/>
      <c r="J1961" s="233" t="n"/>
      <c r="K1961" s="232" t="n"/>
      <c r="L1961" s="232" t="n"/>
      <c r="M1961" s="232" t="n"/>
      <c r="N1961" s="233" t="n"/>
      <c r="O1961" s="232" t="n"/>
      <c r="P1961" s="233" t="n"/>
      <c r="Q1961" s="233" t="n"/>
      <c r="R1961" s="233" t="n"/>
      <c r="S1961" s="232" t="n"/>
      <c r="T1961" s="233" t="n"/>
      <c r="U1961" s="233" t="n"/>
      <c r="V1961" s="233" t="n"/>
      <c r="W1961" s="232" t="n"/>
    </row>
    <row r="1962" ht="54.95" customFormat="1" customHeight="1" s="37">
      <c r="A1962" s="232" t="n"/>
      <c r="B1962" s="232" t="n"/>
      <c r="C1962" s="232" t="n"/>
      <c r="D1962" s="233" t="n"/>
      <c r="E1962" s="232" t="n"/>
      <c r="F1962" s="233" t="n"/>
      <c r="G1962" s="233" t="n"/>
      <c r="H1962" s="233" t="n"/>
      <c r="I1962" s="232" t="n"/>
      <c r="J1962" s="233" t="n"/>
      <c r="K1962" s="232" t="n"/>
      <c r="L1962" s="232" t="n"/>
      <c r="M1962" s="232" t="n"/>
      <c r="N1962" s="233" t="n"/>
      <c r="O1962" s="232" t="n"/>
      <c r="P1962" s="233" t="n"/>
      <c r="Q1962" s="233" t="n"/>
      <c r="R1962" s="233" t="n"/>
      <c r="S1962" s="232" t="n"/>
      <c r="T1962" s="233" t="n"/>
      <c r="U1962" s="233" t="n"/>
      <c r="V1962" s="233" t="n"/>
      <c r="W1962" s="232" t="n"/>
    </row>
    <row r="1963" ht="54.95" customFormat="1" customHeight="1" s="37">
      <c r="A1963" s="232" t="n"/>
      <c r="B1963" s="232" t="n"/>
      <c r="C1963" s="232" t="n"/>
      <c r="D1963" s="233" t="n"/>
      <c r="E1963" s="232" t="n"/>
      <c r="F1963" s="233" t="n"/>
      <c r="G1963" s="233" t="n"/>
      <c r="H1963" s="233" t="n"/>
      <c r="I1963" s="232" t="n"/>
      <c r="J1963" s="233" t="n"/>
      <c r="K1963" s="232" t="n"/>
      <c r="L1963" s="232" t="n"/>
      <c r="M1963" s="232" t="n"/>
      <c r="N1963" s="233" t="n"/>
      <c r="O1963" s="232" t="n"/>
      <c r="P1963" s="233" t="n"/>
      <c r="Q1963" s="233" t="n"/>
      <c r="R1963" s="233" t="n"/>
      <c r="S1963" s="232" t="n"/>
      <c r="T1963" s="233" t="n"/>
      <c r="U1963" s="233" t="n"/>
      <c r="V1963" s="233" t="n"/>
      <c r="W1963" s="232" t="n"/>
    </row>
    <row r="1964" ht="54.95" customFormat="1" customHeight="1" s="37">
      <c r="A1964" s="232" t="n"/>
      <c r="B1964" s="232" t="n"/>
      <c r="C1964" s="232" t="n"/>
      <c r="D1964" s="233" t="n"/>
      <c r="E1964" s="232" t="n"/>
      <c r="F1964" s="233" t="n"/>
      <c r="G1964" s="233" t="n"/>
      <c r="H1964" s="233" t="n"/>
      <c r="I1964" s="232" t="n"/>
      <c r="J1964" s="233" t="n"/>
      <c r="K1964" s="232" t="n"/>
      <c r="L1964" s="232" t="n"/>
      <c r="M1964" s="232" t="n"/>
      <c r="N1964" s="233" t="n"/>
      <c r="O1964" s="232" t="n"/>
      <c r="P1964" s="233" t="n"/>
      <c r="Q1964" s="233" t="n"/>
      <c r="R1964" s="233" t="n"/>
      <c r="S1964" s="232" t="n"/>
      <c r="T1964" s="233" t="n"/>
      <c r="U1964" s="233" t="n"/>
      <c r="V1964" s="233" t="n"/>
      <c r="W1964" s="232" t="n"/>
    </row>
    <row r="1965" ht="54.95" customFormat="1" customHeight="1" s="37">
      <c r="A1965" s="234" t="n"/>
      <c r="B1965" s="234" t="n"/>
      <c r="C1965" s="234" t="n"/>
      <c r="D1965" s="234" t="n"/>
      <c r="E1965" s="234" t="n"/>
      <c r="F1965" s="234" t="n"/>
      <c r="G1965" s="234" t="n"/>
      <c r="H1965" s="234" t="n"/>
      <c r="I1965" s="234" t="n"/>
      <c r="J1965" s="234" t="n"/>
      <c r="K1965" s="234" t="n"/>
      <c r="L1965" s="234" t="n"/>
      <c r="M1965" s="232" t="n"/>
      <c r="N1965" s="233" t="n"/>
      <c r="O1965" s="232" t="n"/>
      <c r="P1965" s="234" t="n"/>
      <c r="Q1965" s="234" t="n"/>
      <c r="R1965" s="234" t="n"/>
      <c r="S1965" s="234" t="n"/>
      <c r="T1965" s="234" t="n"/>
      <c r="U1965" s="234" t="n"/>
      <c r="V1965" s="234" t="n"/>
      <c r="W1965" s="234" t="n"/>
    </row>
    <row r="1966" ht="54.95" customFormat="1" customHeight="1" s="37">
      <c r="A1966" s="234" t="n"/>
      <c r="B1966" s="234" t="n"/>
      <c r="C1966" s="234" t="n"/>
      <c r="D1966" s="234" t="n"/>
      <c r="E1966" s="234" t="n"/>
      <c r="F1966" s="234" t="n"/>
      <c r="G1966" s="234" t="n"/>
      <c r="H1966" s="234" t="n"/>
      <c r="I1966" s="234" t="n"/>
      <c r="J1966" s="234" t="n"/>
      <c r="K1966" s="234" t="n"/>
      <c r="L1966" s="234" t="n"/>
      <c r="M1966" s="232" t="n"/>
      <c r="N1966" s="233" t="n"/>
      <c r="O1966" s="232" t="n"/>
      <c r="P1966" s="234" t="n"/>
      <c r="Q1966" s="234" t="n"/>
      <c r="R1966" s="234" t="n"/>
      <c r="S1966" s="234" t="n"/>
      <c r="T1966" s="234" t="n"/>
      <c r="U1966" s="234" t="n"/>
      <c r="V1966" s="234" t="n"/>
      <c r="W1966" s="234" t="n"/>
    </row>
    <row r="1967" ht="54.95" customFormat="1" customHeight="1" s="37">
      <c r="A1967" s="234" t="n"/>
      <c r="B1967" s="234" t="n"/>
      <c r="C1967" s="234" t="n"/>
      <c r="D1967" s="234" t="n"/>
      <c r="E1967" s="234" t="n"/>
      <c r="F1967" s="234" t="n"/>
      <c r="G1967" s="234" t="n"/>
      <c r="H1967" s="234" t="n"/>
      <c r="I1967" s="234" t="n"/>
      <c r="J1967" s="234" t="n"/>
      <c r="K1967" s="234" t="n"/>
      <c r="L1967" s="234" t="n"/>
      <c r="M1967" s="232" t="n"/>
      <c r="N1967" s="233" t="n"/>
      <c r="O1967" s="232" t="n"/>
      <c r="P1967" s="234" t="n"/>
      <c r="Q1967" s="234" t="n"/>
      <c r="R1967" s="234" t="n"/>
      <c r="S1967" s="234" t="n"/>
      <c r="T1967" s="234" t="n"/>
      <c r="U1967" s="234" t="n"/>
      <c r="V1967" s="234" t="n"/>
      <c r="W1967" s="234" t="n"/>
    </row>
    <row r="1968" ht="54.95" customFormat="1" customHeight="1" s="37">
      <c r="A1968" s="232" t="n"/>
      <c r="B1968" s="232" t="n"/>
      <c r="C1968" s="232" t="n"/>
      <c r="D1968" s="233" t="n"/>
      <c r="E1968" s="232" t="n"/>
      <c r="F1968" s="233" t="n"/>
      <c r="G1968" s="233" t="n"/>
      <c r="H1968" s="233" t="n"/>
      <c r="I1968" s="232" t="n"/>
      <c r="J1968" s="233" t="n"/>
      <c r="K1968" s="232" t="n"/>
      <c r="L1968" s="232" t="n"/>
      <c r="M1968" s="232" t="n"/>
      <c r="N1968" s="233" t="n"/>
      <c r="O1968" s="232" t="n"/>
      <c r="P1968" s="233" t="n"/>
      <c r="Q1968" s="233" t="n"/>
      <c r="R1968" s="233" t="n"/>
      <c r="S1968" s="232" t="n"/>
      <c r="T1968" s="233" t="n"/>
      <c r="U1968" s="233" t="n"/>
      <c r="V1968" s="233" t="n"/>
      <c r="W1968" s="232" t="n"/>
    </row>
    <row r="1969" ht="54.95" customFormat="1" customHeight="1" s="37">
      <c r="A1969" s="232" t="n"/>
      <c r="B1969" s="232" t="n"/>
      <c r="C1969" s="232" t="n"/>
      <c r="D1969" s="233" t="n"/>
      <c r="E1969" s="232" t="n"/>
      <c r="F1969" s="233" t="n"/>
      <c r="G1969" s="233" t="n"/>
      <c r="H1969" s="233" t="n"/>
      <c r="I1969" s="232" t="n"/>
      <c r="J1969" s="233" t="n"/>
      <c r="K1969" s="232" t="n"/>
      <c r="L1969" s="232" t="n"/>
      <c r="M1969" s="232" t="n"/>
      <c r="N1969" s="233" t="n"/>
      <c r="O1969" s="232" t="n"/>
      <c r="P1969" s="233" t="n"/>
      <c r="Q1969" s="233" t="n"/>
      <c r="R1969" s="233" t="n"/>
      <c r="S1969" s="232" t="n"/>
      <c r="T1969" s="233" t="n"/>
      <c r="U1969" s="233" t="n"/>
      <c r="V1969" s="233" t="n"/>
      <c r="W1969" s="232" t="n"/>
    </row>
    <row r="1970" ht="54.95" customFormat="1" customHeight="1" s="37">
      <c r="A1970" s="232" t="n"/>
      <c r="B1970" s="232" t="n"/>
      <c r="C1970" s="232" t="n"/>
      <c r="D1970" s="233" t="n"/>
      <c r="E1970" s="232" t="n"/>
      <c r="F1970" s="233" t="n"/>
      <c r="G1970" s="233" t="n"/>
      <c r="H1970" s="233" t="n"/>
      <c r="I1970" s="232" t="n"/>
      <c r="J1970" s="233" t="n"/>
      <c r="K1970" s="232" t="n"/>
      <c r="L1970" s="232" t="n"/>
      <c r="M1970" s="232" t="n"/>
      <c r="N1970" s="233" t="n"/>
      <c r="O1970" s="232" t="n"/>
      <c r="P1970" s="233" t="n"/>
      <c r="Q1970" s="233" t="n"/>
      <c r="R1970" s="233" t="n"/>
      <c r="S1970" s="232" t="n"/>
      <c r="T1970" s="233" t="n"/>
      <c r="U1970" s="233" t="n"/>
      <c r="V1970" s="233" t="n"/>
      <c r="W1970" s="232" t="n"/>
    </row>
    <row r="1971" ht="54.95" customFormat="1" customHeight="1" s="37">
      <c r="A1971" s="232" t="n"/>
      <c r="B1971" s="232" t="n"/>
      <c r="C1971" s="232" t="n"/>
      <c r="D1971" s="233" t="n"/>
      <c r="E1971" s="232" t="n"/>
      <c r="F1971" s="233" t="n"/>
      <c r="G1971" s="233" t="n"/>
      <c r="H1971" s="233" t="n"/>
      <c r="I1971" s="232" t="n"/>
      <c r="J1971" s="233" t="n"/>
      <c r="K1971" s="232" t="n"/>
      <c r="L1971" s="232" t="n"/>
      <c r="M1971" s="232" t="n"/>
      <c r="N1971" s="233" t="n"/>
      <c r="O1971" s="232" t="n"/>
      <c r="P1971" s="233" t="n"/>
      <c r="Q1971" s="233" t="n"/>
      <c r="R1971" s="233" t="n"/>
      <c r="S1971" s="232" t="n"/>
      <c r="T1971" s="233" t="n"/>
      <c r="U1971" s="233" t="n"/>
      <c r="V1971" s="233" t="n"/>
      <c r="W1971" s="232" t="n"/>
    </row>
    <row r="1972" ht="54.95" customFormat="1" customHeight="1" s="37">
      <c r="A1972" s="232" t="n"/>
      <c r="B1972" s="232" t="n"/>
      <c r="C1972" s="232" t="n"/>
      <c r="D1972" s="233" t="n"/>
      <c r="E1972" s="232" t="n"/>
      <c r="F1972" s="233" t="n"/>
      <c r="G1972" s="233" t="n"/>
      <c r="H1972" s="233" t="n"/>
      <c r="I1972" s="232" t="n"/>
      <c r="J1972" s="233" t="n"/>
      <c r="K1972" s="232" t="n"/>
      <c r="L1972" s="232" t="n"/>
      <c r="M1972" s="232" t="n"/>
      <c r="N1972" s="233" t="n"/>
      <c r="O1972" s="232" t="n"/>
      <c r="P1972" s="233" t="n"/>
      <c r="Q1972" s="233" t="n"/>
      <c r="R1972" s="233" t="n"/>
      <c r="S1972" s="232" t="n"/>
      <c r="T1972" s="233" t="n"/>
      <c r="U1972" s="233" t="n"/>
      <c r="V1972" s="233" t="n"/>
      <c r="W1972" s="232" t="n"/>
    </row>
    <row r="1973" ht="54.95" customFormat="1" customHeight="1" s="37">
      <c r="A1973" s="232" t="n"/>
      <c r="B1973" s="232" t="n"/>
      <c r="C1973" s="232" t="n"/>
      <c r="D1973" s="233" t="n"/>
      <c r="E1973" s="232" t="n"/>
      <c r="F1973" s="233" t="n"/>
      <c r="G1973" s="233" t="n"/>
      <c r="H1973" s="233" t="n"/>
      <c r="I1973" s="232" t="n"/>
      <c r="J1973" s="233" t="n"/>
      <c r="K1973" s="232" t="n"/>
      <c r="L1973" s="232" t="n"/>
      <c r="M1973" s="232" t="n"/>
      <c r="N1973" s="233" t="n"/>
      <c r="O1973" s="232" t="n"/>
      <c r="P1973" s="233" t="n"/>
      <c r="Q1973" s="233" t="n"/>
      <c r="R1973" s="233" t="n"/>
      <c r="S1973" s="232" t="n"/>
      <c r="T1973" s="233" t="n"/>
      <c r="U1973" s="233" t="n"/>
      <c r="V1973" s="233" t="n"/>
      <c r="W1973" s="232" t="n"/>
    </row>
    <row r="1974" ht="54.95" customFormat="1" customHeight="1" s="37">
      <c r="A1974" s="232" t="n"/>
      <c r="B1974" s="232" t="n"/>
      <c r="C1974" s="232" t="n"/>
      <c r="D1974" s="233" t="n"/>
      <c r="E1974" s="232" t="n"/>
      <c r="F1974" s="233" t="n"/>
      <c r="G1974" s="233" t="n"/>
      <c r="H1974" s="233" t="n"/>
      <c r="I1974" s="232" t="n"/>
      <c r="J1974" s="233" t="n"/>
      <c r="K1974" s="232" t="n"/>
      <c r="L1974" s="232" t="n"/>
      <c r="M1974" s="232" t="n"/>
      <c r="N1974" s="233" t="n"/>
      <c r="O1974" s="232" t="n"/>
      <c r="P1974" s="233" t="n"/>
      <c r="Q1974" s="233" t="n"/>
      <c r="R1974" s="233" t="n"/>
      <c r="S1974" s="232" t="n"/>
      <c r="T1974" s="233" t="n"/>
      <c r="U1974" s="233" t="n"/>
      <c r="V1974" s="233" t="n"/>
      <c r="W1974" s="232" t="n"/>
    </row>
    <row r="1975" ht="54.95" customFormat="1" customHeight="1" s="37">
      <c r="A1975" s="232" t="n"/>
      <c r="B1975" s="232" t="n"/>
      <c r="C1975" s="232" t="n"/>
      <c r="D1975" s="233" t="n"/>
      <c r="E1975" s="232" t="n"/>
      <c r="F1975" s="233" t="n"/>
      <c r="G1975" s="233" t="n"/>
      <c r="H1975" s="233" t="n"/>
      <c r="I1975" s="232" t="n"/>
      <c r="J1975" s="233" t="n"/>
      <c r="K1975" s="232" t="n"/>
      <c r="L1975" s="232" t="n"/>
      <c r="M1975" s="232" t="n"/>
      <c r="N1975" s="233" t="n"/>
      <c r="O1975" s="232" t="n"/>
      <c r="P1975" s="233" t="n"/>
      <c r="Q1975" s="233" t="n"/>
      <c r="R1975" s="233" t="n"/>
      <c r="S1975" s="232" t="n"/>
      <c r="T1975" s="233" t="n"/>
      <c r="U1975" s="233" t="n"/>
      <c r="V1975" s="233" t="n"/>
      <c r="W1975" s="232" t="n"/>
    </row>
    <row r="1976" ht="54.95" customFormat="1" customHeight="1" s="37">
      <c r="A1976" s="232" t="n"/>
      <c r="B1976" s="232" t="n"/>
      <c r="C1976" s="232" t="n"/>
      <c r="D1976" s="233" t="n"/>
      <c r="E1976" s="232" t="n"/>
      <c r="F1976" s="233" t="n"/>
      <c r="G1976" s="233" t="n"/>
      <c r="H1976" s="233" t="n"/>
      <c r="I1976" s="232" t="n"/>
      <c r="J1976" s="233" t="n"/>
      <c r="K1976" s="232" t="n"/>
      <c r="L1976" s="232" t="n"/>
      <c r="M1976" s="232" t="n"/>
      <c r="N1976" s="233" t="n"/>
      <c r="O1976" s="232" t="n"/>
      <c r="P1976" s="233" t="n"/>
      <c r="Q1976" s="233" t="n"/>
      <c r="R1976" s="233" t="n"/>
      <c r="S1976" s="232" t="n"/>
      <c r="T1976" s="233" t="n"/>
      <c r="U1976" s="233" t="n"/>
      <c r="V1976" s="233" t="n"/>
      <c r="W1976" s="232" t="n"/>
    </row>
    <row r="1977" ht="54.95" customFormat="1" customHeight="1" s="37">
      <c r="A1977" s="232" t="n"/>
      <c r="B1977" s="232" t="n"/>
      <c r="C1977" s="232" t="n"/>
      <c r="D1977" s="233" t="n"/>
      <c r="E1977" s="232" t="n"/>
      <c r="F1977" s="233" t="n"/>
      <c r="G1977" s="233" t="n"/>
      <c r="H1977" s="233" t="n"/>
      <c r="I1977" s="232" t="n"/>
      <c r="J1977" s="233" t="n"/>
      <c r="K1977" s="232" t="n"/>
      <c r="L1977" s="232" t="n"/>
      <c r="M1977" s="232" t="n"/>
      <c r="N1977" s="233" t="n"/>
      <c r="O1977" s="232" t="n"/>
      <c r="P1977" s="233" t="n"/>
      <c r="Q1977" s="233" t="n"/>
      <c r="R1977" s="233" t="n"/>
      <c r="S1977" s="232" t="n"/>
      <c r="T1977" s="233" t="n"/>
      <c r="U1977" s="233" t="n"/>
      <c r="V1977" s="233" t="n"/>
      <c r="W1977" s="232" t="n"/>
    </row>
    <row r="1978" ht="54.95" customFormat="1" customHeight="1" s="37">
      <c r="A1978" s="232" t="n"/>
      <c r="B1978" s="232" t="n"/>
      <c r="C1978" s="232" t="n"/>
      <c r="D1978" s="233" t="n"/>
      <c r="E1978" s="232" t="n"/>
      <c r="F1978" s="233" t="n"/>
      <c r="G1978" s="233" t="n"/>
      <c r="H1978" s="233" t="n"/>
      <c r="I1978" s="232" t="n"/>
      <c r="J1978" s="233" t="n"/>
      <c r="K1978" s="232" t="n"/>
      <c r="L1978" s="232" t="n"/>
      <c r="M1978" s="232" t="n"/>
      <c r="N1978" s="233" t="n"/>
      <c r="O1978" s="232" t="n"/>
      <c r="P1978" s="233" t="n"/>
      <c r="Q1978" s="233" t="n"/>
      <c r="R1978" s="233" t="n"/>
      <c r="S1978" s="232" t="n"/>
      <c r="T1978" s="233" t="n"/>
      <c r="U1978" s="233" t="n"/>
      <c r="V1978" s="233" t="n"/>
      <c r="W1978" s="232" t="n"/>
    </row>
    <row r="1979" ht="54.95" customFormat="1" customHeight="1" s="37">
      <c r="A1979" s="234" t="n"/>
      <c r="B1979" s="234" t="n"/>
      <c r="C1979" s="234" t="n"/>
      <c r="D1979" s="234" t="n"/>
      <c r="E1979" s="234" t="n"/>
      <c r="F1979" s="234" t="n"/>
      <c r="G1979" s="234" t="n"/>
      <c r="H1979" s="234" t="n"/>
      <c r="I1979" s="234" t="n"/>
      <c r="J1979" s="234" t="n"/>
      <c r="K1979" s="234" t="n"/>
      <c r="L1979" s="234" t="n"/>
      <c r="M1979" s="232" t="n"/>
      <c r="N1979" s="233" t="n"/>
      <c r="O1979" s="232" t="n"/>
      <c r="P1979" s="234" t="n"/>
      <c r="Q1979" s="234" t="n"/>
      <c r="R1979" s="234" t="n"/>
      <c r="S1979" s="234" t="n"/>
      <c r="T1979" s="234" t="n"/>
      <c r="U1979" s="234" t="n"/>
      <c r="V1979" s="234" t="n"/>
      <c r="W1979" s="234" t="n"/>
    </row>
    <row r="1980" ht="54.95" customFormat="1" customHeight="1" s="37">
      <c r="A1980" s="232" t="n"/>
      <c r="B1980" s="232" t="n"/>
      <c r="C1980" s="232" t="n"/>
      <c r="D1980" s="233" t="n"/>
      <c r="E1980" s="232" t="n"/>
      <c r="F1980" s="233" t="n"/>
      <c r="G1980" s="233" t="n"/>
      <c r="H1980" s="233" t="n"/>
      <c r="I1980" s="232" t="n"/>
      <c r="J1980" s="233" t="n"/>
      <c r="K1980" s="232" t="n"/>
      <c r="L1980" s="232" t="n"/>
      <c r="M1980" s="232" t="n"/>
      <c r="N1980" s="233" t="n"/>
      <c r="O1980" s="232" t="n"/>
      <c r="P1980" s="233" t="n"/>
      <c r="Q1980" s="233" t="n"/>
      <c r="R1980" s="233" t="n"/>
      <c r="S1980" s="232" t="n"/>
      <c r="T1980" s="233" t="n"/>
      <c r="U1980" s="233" t="n"/>
      <c r="V1980" s="233" t="n"/>
      <c r="W1980" s="232" t="n"/>
    </row>
    <row r="1981" ht="54.95" customFormat="1" customHeight="1" s="37">
      <c r="A1981" s="232" t="n"/>
      <c r="B1981" s="232" t="n"/>
      <c r="C1981" s="232" t="n"/>
      <c r="D1981" s="233" t="n"/>
      <c r="E1981" s="232" t="n"/>
      <c r="F1981" s="233" t="n"/>
      <c r="G1981" s="233" t="n"/>
      <c r="H1981" s="233" t="n"/>
      <c r="I1981" s="232" t="n"/>
      <c r="J1981" s="233" t="n"/>
      <c r="K1981" s="232" t="n"/>
      <c r="L1981" s="232" t="n"/>
      <c r="M1981" s="232" t="n"/>
      <c r="N1981" s="233" t="n"/>
      <c r="O1981" s="232" t="n"/>
      <c r="P1981" s="233" t="n"/>
      <c r="Q1981" s="233" t="n"/>
      <c r="R1981" s="233" t="n"/>
      <c r="S1981" s="232" t="n"/>
      <c r="T1981" s="233" t="n"/>
      <c r="U1981" s="233" t="n"/>
      <c r="V1981" s="233" t="n"/>
      <c r="W1981" s="232" t="n"/>
    </row>
    <row r="1048576">
      <c r="A1048576" s="37" t="n"/>
    </row>
  </sheetData>
  <autoFilter ref="A6:W1768"/>
  <mergeCells count="21">
    <mergeCell ref="I4:I5"/>
    <mergeCell ref="S4:S5"/>
    <mergeCell ref="J4:J5"/>
    <mergeCell ref="K4:K5"/>
    <mergeCell ref="Q4:Q5"/>
    <mergeCell ref="L4:L5"/>
    <mergeCell ref="O4:O5"/>
    <mergeCell ref="M4:N4"/>
    <mergeCell ref="R4:R5"/>
    <mergeCell ref="T4:T5"/>
    <mergeCell ref="V4:V5"/>
    <mergeCell ref="U4:U5"/>
    <mergeCell ref="W4:W5"/>
    <mergeCell ref="P4:P5"/>
    <mergeCell ref="G4:H4"/>
    <mergeCell ref="E4:E5"/>
    <mergeCell ref="A4:A5"/>
    <mergeCell ref="F4:F5"/>
    <mergeCell ref="C4:C5"/>
    <mergeCell ref="B4:B5"/>
    <mergeCell ref="D4:D5"/>
  </mergeCells>
  <conditionalFormatting sqref="A1000 A1001 A1002 A1003 A1004 A1005 A1006 A1007 A1008 A1009 A1010 A1011 A1012 A1013 A1014 A1015 A1016 A1017 A1018 A1019 A1020 A1021 A1022 A1023 A1024 A1025 A1026 A1027 A1028 A1029 A1030 A1031 A1032 A1033:A1036 A1037 A1038:A1041 A1042 A1043:A1044 A1045 A1046 A1047 A1048 A1049 A1050 A1051 A1052 A1053 A1054 A1055 A1056 A1057 A1058 A1059 A1060 A1061 A1062 A1063 A1064 A1065 A1066 A1067 A1068 A1069 A1070 A1071 A1072 A1073 A1074 A1075 A1076:A1077 A1078 A1079 A1080 A1081 A1082 A1083 A1084 A1085 A1086 A1087 A1088 A1089 A1090 A1091 A1092 A1093 A1094 A1095 A1096 A1097 A1098 A1099 A1100:A1101 A1102 A1103 A1104 A1105 A1106 A1107 A1108 A1109 A1110 A1111 A1112 A1113 A1114 A1115 A1116 A1117 A1118 A1119 A1120 A1121:A1122 A1123 A1124 A1125 A1126 A1127 A1128 A1129 A1130:A1133 A1134 A1135 A1136 A1137 A1138 A1139 A1140 A1141 A1142 A1143 A1144 A1145 A1146 A1147 A1148 A1149 A1150 A1151 A1152 A1153 A1154 A1155 A1156 A1157 A1158 A1159 A1160 A1161 A1162 A1163 A1164 A1165 A1166 A1167 A1168 A1169 A1170 A1171 A1172 A1173 A1174 A1175 A1176 A1177 A1178 A1179 A1180 A1181 A1182:A1183 A1184 A1185 A1186 A1187 A1188 A1189 A118:R118 A1190 A1191 A1192 A1193 A1194 A1195 A1196 A1197 A1198 A1199 A119:T153 A1200 A1201 A1202 A1203:A1204 A1205 A1206 A1207 A1208 A1209 A1210 A1211 A1212 A1213 A1214 A1215 A1216 A1217 A1218 A1219 A1220 A1221 A1222 A1223 A1224 A1225 A1226 A1227 A1228 A1229 A1230 A1231 A1232 A1233 A1234 A1235 A1236 A1237 A1238 A1239 A1240 A1241 A1242 A1243 A1244 A1245 A1246 A1247 A1248 A1249 A1250 A1251 A1252 A1253 A1254 A1255 A1256 A1257 A1258 A1259:A1261 A1262:A1267 A1268 A1269:A1272 A1273 A1274 A1275: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A1341 A1342 A1343 A1344 A1345 A1346 A1347 A1348 A1349 A1350 A1351 A1352:A1378 A1379 A1380 A1381 A1382 A1383 A1384 A1385 A1386 A1387 A1388 A1389 A1390 A1391 A1392 A1393 A1394 A1395 A1396 A1397 A1398 A1399 A1400 A1401 A1402 A1403 A1404 A1405 A1406 A1407 A1408:A1409 A1410 A1411 A1412 A1413 A1414 A1415 A1416 A1417 A1418 A1419 A1420 A1421:A1424 A1425 A1426 A1427 A1428 A1429 A1430 A1431 A1432 A1433 A1434 A1435 A1436 A1437 A1438 A1439 A1440 A1441 A1442: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A1547 A1548 A1549 A154:B175 A1550 A1551 A1552 A1553 A1554 A1555 A1556 A1557 A1558 A1559 A1560 A1561 A1562 A1563:A1564 A1565 A1566 A1567:A1570 A1571 A1572 A1573 A1574 A1575 A1576 A1577:A1578 A1579 A1580:A1581 A1582 A1583 A1584 A1585 A1586 A1587 A1588:A1592 A1593 A1594 A1595 A1596 A1597 A1598 A1599 A1600 A1601:A1610 A1611:A1615 A1616 A1617:A1626 A1627:A1634 A1635 A1636 A1637:A1664 A1665:A1666 A1667:A1668 A1669 A1670 A1671:A1680 A1681:A1683 A1684:A1686 A1687 A1688 A1689 A1690:A1704 A1705 A1706:A1731 A1732 A1733 A1734 A1735 A1736 A1737 A1738 A1739 A1740 A1741 A1742 A1743 A1744 A1745:A1746 A1747 A1748 A1749 A1750 A1751 A1752:A1766 A1767 A1768 A176:R176 A177:T232 A1:W3 A233 A234:T234 A235:A236 A237 A238 A239 A240 A241 A242 A243 A244:A245 A246 A247:A248 A249 A250:A251 A252 A253 A254 A255 A256 A257 A258 A259 A260 A261:T267 A268:B270 A271:T280 A281:B285 A286:T286 A287 A288:T299 A300:R300 A301:T307 A308:I308 A309:W311 A312:N312 A313:T318 A319:O319 A320:T324 A325:B328 A329 A330:T349 A350:J350 A351:H351 A352:T354 A355:A356 A357:O357 A358:T367 A368 A369 A370 A371 A372 A373:A376 A377 A378 A379 A380 A381:A382 A383 A384 A385 A386 A387 A388 A389 A390:A391 A392:I393 A394 A395 A396 A397 A398:A399 A400 A401 A402 A403 A404 A405 A406 A407:O407 A408:S408 A409 A410:I411 A412:A413 A414:T415 A416 A417 A418 A419 A420 A421:N421 A422:M422 A423:N423 A424 A425:N425 A426:A430 A431 A432 A433:A434 A435:N436 A437:O437 A438 A439 A440 A441 A442 A443 A444 A445 A446 A447 A448 A449 A450 A451 A452 A453 A454 A455 A456 A457 A458 A459 A460:A461 A462 A463 A464 A465 A466 A467 A468 A469 A470 A471 A472 A473 A474 A475 A476:A478 A479 A480 A481 A482 A483 A484:O484 A485 A486 A487 A488 A489 A490 A491 A492 A493 A494 A495 A496 A497 A498 A499:A508 A509 A510:A511 A512 A513 A514 A515 A516 A517 A518 A519 A520 A521 A522 A523 A524 A525 A526 A527 A528 A529 A530 A531 A532 A533:A534 A535 A536 A537 A538 A539 A540 A541 A542 A543 A544 A545 A546 A547 A548 A549 A550 A551 A552 A553:A556 A557 A558 A559 A560 A561 A562 A563 A564 A565 A566 A567 A568 A569 A570 A571 A572 A573 A574 A575 A576 A577 A578 A579 A580 A581 A582 A583 A584 A585 A586 A587 A588 A589 A590 A591 A592 A593 A594 A595 A596 A597 A598 A599 A600 A601 A602 A603 A604 A605 A606 A607 A608 A609 A610 A611 A612 A613 A614 A615 A616 A617:A624 A625:A628 A629:A632 A633:A636 A637:A640 A641:A644 A645 A646 A647 A648 A649 A650 A651 A652 A653 A654 A655 A656 A657 A658 A659 A660 A661 A662 A663 A664 A665 A666 A667 A668 A669 A670 A671 A672 A673 A674 A675 A676 A677 A678 A679 A680 A681 A682 A683 A684 A685:A686 A687 A688 A689 A690 A691 A692 A693 A694 A695 A696 A697 A698:A699 A6:V6 A700 A701 A702 A703:A704 A705 A706:A707 A708 A709:A727 A70:S78 A728 A729 A730 A731 A732:A736 A737 A738 A739 A740 A741 A742 A743 A744 A745 A746 A747 A748 A749 A750 A751 A752 A753 A754 A755 A756 A757 A758 A759 A760 A761 A762 A763 A764 A765 A766 A767 A768 A769 A770 A771 A772 A773 A774 A775 A776 A777 A778 A779 A780 A781 A782 A783 A784 A785 A786 A787 A788 A789 A790 A791 A792 A793 A794 A795 A796 A797 A798 A799 A79:T117 A7:B69 A800 A801 A802 A803 A804 A805 A806 A807 A808 A809 A810 A811 A812 A813 A814 A815 A816 A817 A818 A819 A820 A821 A822 A823 A824 A825 A826 A827 A828 A829 A830 A831 A832 A833:A834 A835 A836 A837 A838 A839 A840 A841 A842 A843 A844 A845 A846 A847 A848 A849 A850 A851 A852 A853 A854 A855 A856 A857 A858 A859 A860 A861 A862 A863 A864 A865 A866 A867 A868 A869 A870 A871 A872 A873 A874 A875 A876 A877 A878 A879 A880 A881 A882 A883 A884 A885 A886 A887 A888 A889 A890 A891 A892 A893 A894 A895 A896 A897 A898 A899 A900 A901 A902 A903 A904 A905 A906 A907 A908 A909 A910 A911 A912 A913:A914 A915 A916 A917 A918 A919 A920 A921 A922 A923 A924 A925 A926 A927 A928 A929 A930 A931 A932 A933 A934 A935 A936 A937 A938 A939 A940 A941 A942 A943 A944 A945 A946 A947 A948 A949 A950 A951 A952 A953 A954 A955 A956 A957 A958 A959 A960 A961 A962 A963 A964 A965 A966 A967 A968 A969 A970 A971 A972 A973 A974 A975 A976 A977:A979 A980 A981 A982 A983 A984 A985 A986 A987:A992 A993 A994 A995 A996 A997 A998 A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B1195 B1196 B1197 B1198:B1199 B1200 B1201 B1202 B1203 B1204 B1205 B1206 B1207 B1208: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H1262 B1263 B1264 B1265 B1266 B1267 B1268 B1269 B1270 B1271 B1272 B1273 B1274 B1275 B1276 B1277 B1278 B1279 B1280 B1281 B1282 B1283 B1284 B1285 B1286 B1287 B1288 B1289 B1290 B1291 B1292: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B1410 B1411 B1412 B1413 B1414 B1415 B1416 B1417 B1418 B1419 B1420 B1421 B1422 B1423 B1424 B1425 B1426 B1427: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B1664 B1665 B1666 B1667 B1668 B1669 B1670 B1671 B1672: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233 B235:C260 B287 B329 B355:B356 B368 B369 B370:T370 B371 B372:T372 B373:B377 B378:H378 B379 B380 B381:B382 B383 B384 B385 B386 B387:P387 B388:T389 B390:B391 B394:T394 B395:B396 B397:H401 B402:B403 B404:T404 B405 B406 B409:C409 B412 B413 B416 B417 B418:B419 B420 B424 B426 B427:I429 B430 B431:C431 B432 B433:B434 B438:I438 B439 B440:H440 B441:B452 B453 B454:H455 B456:D457 B458 B459:C459 B460 B461 B462 B463:D464 B465 B466 B467 B468:B480 B481:G482 B483 B485 B486 B487 B488:B490 B491 B492 B493:B496 B497 B498 B499 B500 B501 B502 B503 B504 B505 B506 B507 B508 B509 B510:D511 B512 B513 B514 B515 B516:B517 B518 B519 B520:B521 B522:C522 B523:C523 B524 B525 B526 B527:B528 B529 B530:B532 B533 B534 B535:B536 B537:C537 B538 B539 B540 B541 B542 B543 B544 B545 B546 B547 B548 B549 B550 B551 B552 B553 B554 B555 B556 B557 B558 B559:B569 B570 B571 B572 B573 B574 B575 B576 B577 B578 B579 B580 B581 B582 B583 B584 B585 B586 B587 B588 B589 B590 B591 B592 B593:B596 B597 B598 B599 B600 B601 B602 B603 B604 B605:B607 B608 B609 B610 B611 B612 B613 B614 B615 B616 B617:B620 B621 B622:B624 B625:B628 B629:B632 B633:B636 B637:B640 B641:B644 B645 B646 B647 B648:I648 B649:B650 B651 B652 B653 B654:B658 B659:M659 B660:I661 B662 B663:I663 B664:B666 B667 B668 B669 B670 B671 B672:C672 B673:B674 B675 B676:E676 B677 B678 B679:B680 B681:E681 B682:B683 B684 B685 B686 B687:E687 B688 B689 B690:E690 B691 B692:B727 B728 B729:B730 B731 B732:O732 B733:F736 B737 B738 B739 B740:B741 B742 B743 B744 B745 B746 B747:B748 B749 B750 B751 B752 B753 B754 B755 B756 B757:E758 B759 B760 B761 B762:B763 B764 B765 B766:B767 B768 B769 B770 B771 B772 B773 B774 B775 B776 B777 B778 B779 B780 B781 B782 B783 B784 B785 B786 B787 B788 B789:B791 B792 B793:B795 B796:B797 B798 B799:B800 B801 B802 B803 B804 B805 B806 B807 B808 B809 B810 B811 B812 B813 B814 B815 B816 B817:B821 B822 B823 B824 B825:B836 B837 B838 B839 B840:B841 B842 B843 B844 B845 B846 B847 B848 B849 B850 B851 B852 B853 B854 B855:B858 B859:E859 B860 B861 B862 B863 B864 B865 B866 B867 B868 B869 B870 B871 B872 B873 B874 B875 B876 B877 B878 B879 B880 B881 B882 B883 B884 B885 B886 B887 B888 B889 B890 B891 B892:B893 B894 B895 B896 B897:B898 B899 B900 B901 B902 B903 B904 B905 B906 B907 B908 B909 B910 B911 B912 B913:B914 B914 B915 B916 B917 B918 B919 B920 B921:B922 B923 B924 B925 B926 B927 B928 B929 B930 B931 B932 B933 B934 B935 B936 B937 B938 B939 B940 B941 B942: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C1000 C1001 C1002 C1003 C1004 C1005 C1006 C1007 C1008 C1009 C1010 C1011 C1012 C1013 C1014 C1015 C1016 C1017 C1018 C1019 C1020 C1021 C1022 C1023 C1024 C1025 C1026 C1027 C1028 C1029 C1030 C1031 C1032 C1033 C1034 C1035 C1036 C1037 C1038 C1039 C1040 C1041 C1042 C1043 C1044 C1045 C1046 C1047 C1048 C1049 C1050 C1051 C1052 C1053 C1054 C1055 C1056 C1057 C1058 C1059 C1060 C1061 C1062 C1063 C1064 C1065 C1066 C1067 C1068 C1069 C1070 C1071 C1072 C1073 C1074 C1075 C1076 C1077:C1078 C1079 C1080 C1081 C1082 C1083 C1084 C1085 C1086 C1087 C1088 C1089 C1090 C1091 C1092 C1093 C1094 C1095 C1096 C1097 C1098 C1099 C1100 C1101 C1102 C1103 C1104 C1105 C1106 C1107 C1108 C1109 C1110 C1111 C1112 C1113 C1114 C1115 C1116 C1117 C1118 C1119 C1120 C1121 C1122 C1123 C1124 C1125 C1126 C1127 C1128 C1129 C1130 C1131 C1132 C1133 C1134 C1135 C1136 C1137 C1138 C1139 C1140 C1141 C1142 C1143 C1144 C1145 C1146 C1147 C1148 C1149 C1150 C1151 C1152 C1153 C1154 C1155 C1156 C1157 C1158 C1159 C1160 C1161 C1162 C1163 C1164 C1165 C1166 C1167 C1168 C1169 C1170 C1171 C1172 C1173 C1174 C1175 C1176 C1177 C1178 C1179 C1180 C1181 C1182 C1183 C1184 C1185 C1186 C1187 C1188 C1189 C1190 C1191 C1192 C1193 C1194:C1195 C1196:C1197 C1198:C1199 C1200:C1201 C1202:C1203 C1204 C1205 C1206 C1207 C1208:C1209 C1210 C1211 C1212 C1213 C1214 C1215 C1216 C1217 C1218 C1219 C1220 C1221 C1222 C1223 C1224 C1225 C1226 C1227 C1228 C1229 C1230 C1231 C1232 C1233 C1234 C1235 C1236 C1237 C1238 C1239 C1240 C1241 C1242 C1243 C1244 C1245 C1246 C1247 C1248 C1249 C1250 C1251 C1252 C1253 C1254 C1255 C1256 C1257 C1258 C1259 C1260 C1261 C1263:C1264 C1265 C1266 C1267:C1268 C1269 C1270 C1271 C1272 C1273 C1274 C1275 C1276: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C1504 C14:C24 C1505 C1506 C1507 C1508 C1509 C1510 C1511 C1512 C1513 C1514 C1515 C1516 C1517 C1518 C1519 C1520 C1521 C1522 C1523 C1524 C1525 C1526 C1527 C1528 C1529 C1530 C1531 C1532 C1533 C1534 C1535 C1536 C1537 C1538 C1539 C1540 C1541 C1542 C1543 C1544 C1545 C1546 C1547 C1548 C1549 C154:C175 C1550 C1551 C1552 C1553 C1554 C1555 C1556 C1557 C1558 C1559 C1560 C1561 C1562 C1563 C1564 C1565 C1566 C1567 C1568 C1569 C1570 C1571 C1572 C1573 C1574 C1575 C1576 C1577 C1578 C1579 C1580 C1581 C1582 C1583 C1584 C1585 C1586 C1587 C1588 C1589: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233:T233 C25:S38 C268:C270 C281:C285 C287:T287 C325 C326:C328 C329:T329 C355:C356 C368 C369 C371 C373:C377 C379 C380 C381:C382 C383 C384 C385 C386 C390:C391 C395:C396 C39:D65 C402:C403 C405 C406 C412 C413 C416 C417 C418:C419 C420 C424 C426 C430 C432 C433:C434 C439:H439 C441:H441 C442:C452 C453 C458 C460 C461 C462 C465 C466 C467 C468:C480 C483 C485 C486 C487 C488:C490 C491 C492 C493:C496 C497 C498 C499:C508 C509 C512 C513 C514 C515 C516:C517 C518 C519 C520:C521 C524 C525 C526 C527:C528 C529 C530:C532 C533 C534 C535:C536 C538 C539 C540 C541 C542 C543 C544 C545 C546 C547 C548 C549 C550 C551 C552 C553 C554 C555 C556 C557 C558 C559:C569 C570 C571 C572 C573 C574 C575 C576 C577 C578 C579 C580 C581 C582 C583 C584 C585 C586 C587 C588 C589 C590 C591 C592 C593:C596 C597 C598 C599 C600 C601 C602 C603 C604 C605:C607 C608 C609 C610 C611 C612 C613 C614 C615 C616 C617 C618 C619 C620 C621:C624 C625:C628 C629:C632 C633:C636 C637:C640 C641:C644 C645 C646 C647 C649:C650 C651 C652:I652 C653 C654:C658 C662 C664:C666 C667 C668 C669 C66:S69 C670 C671 C673:C674 C675 C677 C678 C679:C680 C682:C683 C684 C685:O685 C686:F686 C688 C689 C691 C692:C727 C728 C729:C730 C731 C737 C738 C739 C740:C741 C742 C743 C744 C745 C746 C747:C748 C749 C750 C751:C754 C755 C756 C759 C760:E760 C761 C762:C763 C764 C765 C766:C767 C768:E768 C769 C770 C771 C772 C773 C774 C775 C776 C777 C778 C779 C780 C781 C782 C783 C784 C785 C786 C787 C788 C789:C791 C792 C793:C795 C796:C797 C798 C799:C800 C7:W7 C801 C802 C803 C804 C805 C806 C807 C808 C809 C810 C811 C812 C813 C814 C815 C816 C817:C821 C822 C823 C824 C825:C836 C837:H838 C839 C840:C841 C842 C843 C844 C845 C846 C847 C848 C849 C850 C851 C852 C853 C854 C855:C858 C860 C861:D865 C866:E866 C867 C868:E873 C874:C876 C877 C878:E882 C883 C884 C885:E885 C886 C887 C888 C889 C890 C891 C892:C893 C894 C895 C896 C897:C898 C899 C8:D13 C900 C901 C902 C903 C904 C905:C906 C907 C908 C909 C910 C911 C912 C913 C914 C915 C916 C917 C918 C919 C920 C921:C922 C923 C924 C925 C926 C927 C928 C929 C930 C931 C932 C933 C934 C935 C936 C937 C938 C939:C941 C942 C943 C944 C945 C946 C947 C948 C949 C950 C951 C952 C953 C954 C955 C956 C957 C958 C959 C960 C961 C962 C963 C964 C965 C966 C967 C968 C969 C970 C971 C972 C973 C974 C975 C976 C977 C978 C979 C980 C981 C982 C983 C984 C985 C986 C987 C988 C989 C990 C991 C992 C993 C994 C995 C996 C997 C998 C999 D1000 D1001 D1002 D1003 D1004 D1005 D1006 D1007 D1008 D1009 D1010 D1011 D1012 D1013 D1014 D1015 D1016 D1017 D1018 D1019 D1020 D1021 D1022 D1023 D1024 D1025 D1026 D1027 D1028:D1036 D1037 D1038:D1041 D1042 D1043:D1044 D1045 D1046 D1047 D1048 D1049:D1050 D1051:D1054 D1055 D1056 D1057 D1058 D1059 D1060 D1061:D1063 D1064 D1065 D1066 D1067 D1068 D1069 D1070 D1071 D1072 D1073:D1075 D1076 D1077 D1078 D1079 D1080 D1081:D1085 D1086 D1087 D1088 D1089 D1090 D1091 D1092 D1093 D1094 D1095 D1096 D1097 D1098 D1099 D1100 D1101 D1102 D1103 D1104 D1105 D1106 D1107 D1108 D1109 D1110 D1111 D1112 D1113 D1114 D1115 D1116 D1117 D1118:D1121 D1122 D1123 D1124 D1125 D1126 D1127 D1128 D1129 D1130 D1131 D1132 D1133 D1134 D1135 D1136 D1137 D1138 D1139 D1140 D1141 D1142 D1143 D1144 D1145 D1146 D1147 D1148 D1149 D1150 D1151 D1152 D1153 D1154 D1155 D1156 D1157 D1158 D1159 D1160 D1161 D1162 D1163 D1164 D1165 D1166 D1167 D1168 D1169 D1170 D1171 D1172 D1173 D1174 D1175 D1176 D1177 D1178 D1179 D1180 D1181 D1182 D1183 D1184 D1185 D1186 D1187 D1188 D1189 D1190 D1191 D1192 D1193 D1194:D1195 D1196:D1197 D1198:D1199 D1200:D1201 D1202:D1203 D1204 D1205 D1206 D1207 D1208 D1209 D1210 D1211 D1212 D1213 D1214 D1215 D1216 D1217 D1218 D1219 D1220 D1221 D1222 D1223 D1224 D1225 D1226 D1227 D1228 D1229 D1230 D1231 D1232 D1233 D1234 D1235 D1236 D1237 D1238 D1239 D1240 D1241 D1242 D1243 D1244 D1245 D1246 D1247 D1248:F1248 D1249:F1249 D1250:F1250 D1251:F1251 D1252:E1252 D1253:E1253 D1254 D1255 D1256:E1256 D1257:E1257 D1258:E1258 D1259:E1261 D1263:E1263 D1264:E1264 D1265:E1265 D1266:E1266 D1267:E1267 D1268:E1268 D1269:F1269 D1270:F1270 D1271:F1271 D1272:F1272 D1273:F1273 D1274 D1275 D1276:F1276 D1277:D1279 D1280:E1280 D1281:E1281 D1282:E1282 D1283:E1283 D1284:E1284 D1285:E1285 D1286:E1286 D1287:E1287 D1288:E1288 D1289:E1289 D1290:E1290 D1291:E1291 D1292:E1292 D1293:E1293 D1294:E1294 D1295 D1296 D1297 D1298:E1298 D1299:E1299 D1300:E1300 D1301:E1301 D1302:E1302 D1303:E1303 D1304:E1304 D1305:E1305 D1306:E1306 D1307:E1307 D1308:E1308 D1309:E1309 D1310:E1311 D1312:E1312 D1313:E1313 D1314:E1314 D1315:E1315 D1316:E1316 D1317:E1317 D1318:E1318 D1319:E1319 D1320:E1320 D1321:E1321 D1322:E1322 D1323:E1323 D1324:E1324 D1325:E1325 D1326:E1326 D1327:E1327 D1328 D1329 D1330 D1331 D1332 D1333 D1334 D1335 D1336 D1337 D1338 D1339 D1340 D1341 D1342:E1342 D1343:E1343 D1344:E1344 D1345:E1345 D1346:E1346 D1347:E1347 D1348:E1348 D1349:E1349 D1350:E1350 D1351:E1351 D1352:E1352 D1353:E1353 D1354:E1354 D1355:E1355 D1356:E1356 D1357:E1357 D1358:E1358 D1359:E1359 D1360:E1360 D1361:E1361 D1362:E1362 D1363:E1363 D1364:E1364 D1365:E1365 D1366:E1366 D1367:E1367 D1368:E1368 D1369:E1369 D1370:E1370 D1371:E1371 D1372:E1372 D1373:E1373 D1374:E1374 D1375:E1375 D1376:E1376 D1377:E1377 D1378:E1378 D1379 D1380 D1381:E1381 D1382:E1382 D1383:E1383 D1384:E1384 D1385:E1385 D1386:E1386 D1387:E1387 D1388:E1388 D1389:E1389 D1390:E1390 D1391:E1391 D1392:E1392 D1393:E1393 D1394:E1394 D1395:E1395 D1396:E1396 D1397:E1397 D1398:E1398 D1399 D14 D1400:E1400 D1401:E1401 D1402:E1402 D1403:E1403 D1404 D1405 D1406 D1407 D1408 D1409:E1409 D1410:E1410 D1411:E1411 D1412:E1412 D1413:E1413 D1414:E1414 D1415:E1415 D1416:E1416 D1417:E1417 D1418:E1418 D1419:E1419 D1420:E1420 D1421 D1422 D1423 D1424 D1425:E1425 D1426:E1426 D1427:E1427 D1428:E1428 D1429:E1429 D1430:E1430 D1431:E1431 D1432:E1432 D1433:E1433 D1434:E1434 D1435:E1435 D1436:E1436 D1437:E1437 D1438:E1438 D1439:E1439 D1440:E1440 D1441:E1441 D1442:E1442 D1443:E1443 D1444:E1444 D1445:E1445 D1446:E1446 D1447:E1447 D1448:E1448 D1449:E1449 D1450:E1450 D1451:E1451 D1452:E1452 D1453:E1453 D1454:E1454 D1455:E1455 D1456:E1456 D1457:E1457 D1458:E1458 D1459:E1459 D1460:E1460 D1461:E1461 D1462:E1462 D1463:E1463 D1464:E1464 D1465 D1466 D1467:E1467 D1468:E1468 D1469:E1469 D1470:E1470 D1471:E1471 D1472:E1472 D1473:E1473 D1474:E1474 D1475:E1475 D1476:E1476 D1477:E1477 D1478:E1478 D1479:E1479 D1480:E1480 D1481:E1481 D1482:E1482 D1483:O1483 D1484:E1484 D1485:E1485 D1486:E1486 D1487:E1487 D1488:E1488 D1489:E1489 D1490:E1490 D1491:E1491 D1492:E1492 D1493:E1493 D1494:E1494 D1495:E1495 D1496:E1496 D1497:E1497 D1498:E1498 D1499:E1499 D1500:E1500 D1501:E1501 D1502:E1502 D1503:E1503 D1504:E1504 D1505:E1505 D1506:E1506 D1507:E1507 D1508:E1508 D1509:E1509 D1510:E1510 D1511:E1511 D1512:E1512 D1513 D1514:E1514 D1515:E1515 D1516:E1516 D1517:E1517 D1518:E1518 D1519:E1519 D1520:E1520 D1521:E1521 D1522:E1522 D1523:E1523 D1524:E1524 D1525:E1525 D1526:E1526 D1527:E1527 D1528:E1528 D1529:E1529 D1530:E1530 D1531:E1531 D1532:E1532 D1533:E1533 D1534:E1534 D1535:E1535 D1536 D1537:E1537 D1538:E1538 D1539:E1539 D1540:E1540 D1541:E1541 D1542:E1542 D1543:E1543 D1544:E1544 D1545:E1545 D1546:E1546 D1547:E1547 D1548:E1548 D1549:E1549 D154:T155 D1550:E1550 D1551:E1551 D1552:E1552 D1553:E1553 D1554:E1554 D1555:E1555 D1556:E1556 D1557:E1557 D1558:E1558 D1559:E1559 D1560:E1560 D1561:E1561 D1562:E1562 D1563:E1563 D1564:E1564 D1565:E1565 D1566:E1566 D1567:E1567 D1568:E1568 D1569:E1569 D156:S163 D1570:E1570 D1571:E1571 D1572:E1572 D1573:E1573 D1574:E1574 D1575:E1575 D1576:E1576 D1577:E1577 D1578:E1578 D1579:E1579 D1580:E1580 D1581:E1581 D1582:E1582 D1583:E1583 D1584:E1584 D1585:E1585 D1586:E1586 D1587:E1587 D1588:E1588 D1589:E1592 D1593:E1593 D1594:E1594 D1595:E1595 D1596:E1596 D1597:D1598 D1599 D15:S24 D1600 D1601:E1601 D1602:E1602 D1603:E1603 D1604:E1604 D1605:E1605 D1606:E1606 D1607 D1608 D1609:E1609 D1610:E1610 D1611:E1611 D1612:E1612 D1613:E1613 D1614 D1615:E1615 D1616:E1616 D1617:E1617 D1618:E1618 D1619:E1619 D1620:E1620 D1621:E1622 D1623:E1624 D1625:E1626 D1627:E1627 D1628:E1628 D1629:E1629 D1630:E1630 D1631:E1631 D1632:E1632 D1633:E1633 D1634:E1634 D1635:E1635 D1636:E1636 D1637:E1637 D1638:E1638 D1639:E1639 D1640:E1640 D1641:E1641 D1642:E1642 D1643:E1643 D1644:E1644 D1645:E1645 D1646:E1646 D1647:E1647 D1648:E1648 D1649:E1649 D164:T164 D1650:E1650 D1651:E1651 D1652:E1652 D1653:E1653 D1654:E1654 D1655:E1655 D1656:E1656 D1657:E1657 D1658:E1658 D1659:E1659 D165:S170 D1660 D1661:E1661 D1662:E1662 D1663:E1664 D1665:E1665 D1666:E1666 D1667:D1668 D1669:E1669 D1670:E1670 D1671:E1671 D1672:E1672 D1673:D1674 D1675:E1675 D1676:D1677 D1678:E1678 D1679:D1680 D1681:E1681 D1682:D1683 D1684:E1684 D1685:E1685 D1686:E1686 D1687:E1687 D1688:E1688 D1689:E1689 D1690:E1690 D1691:E1691 D1692 D1693:E1693 D1694:E1694 D1695:E1695 D1696:E1696 D1697:E1697 D1698:E1698 D1699:E1699 D1700:E1700 D1701:E1701 D1702:E1702 D1703:E1703 D1704:E1704 D1705:E1705 D1706:E1706 D1707:E1707 D1708:E1708 D1709:E1709 D1710 D1711:E1711 D1712:E1712 D1713:E1713 D1714:E1714 D1715:E1715 D1716:E1716 D1717:E1717 D1718:E1718 D1719:E1719 D171:T175 D1720:E1720 D1721:E1721 D1722:E1722 D1723:E1723 D1724:E1724 D1725:E1725 D1726:E1726 D1727:E1727 D1728:E1728 D1729 D1730:E1730 D1731:E1731 D1732:E1732 D1733:E1733 D1734:E1734 D1735:E1735 D1736:F1736 D1737:E1737 D1738:E1738 D1739:E1739 D1740:E1740 D1741:E1741 D1742:E1742 D1743:E1743 D1744:E1744 D1745:E1746 D1747:E1747 D1748:E1748 D1749:E1749 D1750:E1750 D1751:E1751 D1752:E1752 D1753:E1753 D1754:E1754 D1755:E1755 D1756:E1756 D1757:E1757 D1758:E1758 D1759:E1759 D1760:E1760 D1761:E1761 D1762:E1762 D1763:E1763 D1764:E1764 D1765:E1765 D1766:E1766 D1767:E1767 D1768:E1768 D235:T236 D237:S237 D238:S238 D239:S239 D240:J240 D241:J241 D242:J242 D243:S243 D244:M244 D245:S245 D246:I246 D247:H248 D249:H249 D250:H251 D252:H252 D253:H253 D254:H254 D255:H255 D256:H256 D257:H257 D258:H258 D259:H259 D260:H260 D268:T269 D270:S270 D281:T282 D283:S283 D284:T285 D325:T328 D355:S355 D356:M356 D368:R368 D369:T369 D371:M371 D373:M373 D374:M374 D375:H375 D376:M376 D377:H377 D379:T379 D380:M380 D381:G381 D382:G382 D383:E383 D384:M384 D385:R385 D386:T386 D390:T390 D391:R391 D395:R395 D396:H396 D402:M402 D403:M403 D405:R405 D406:M406 D409:T409 D412:O412 D413:R413 D416:M416 D417:M417 D418:O418 D419:T419 D420:R420 D424:M424 D426:M426 D430:N430 D431:N431 D432:N432 D433:E434 D442:H442 D443:H443 D444:H444 D445:H445 D446:H446 D447:H447 D448:H448 D449 D450:H450 D451:H451 D452:H452 D453:H453 D458 D459 D460 D461 D462 D465:M465 D466:M466 D467:M467 D468:G468 D469:G469 D470:G470 D471:G471 D472:G472 D473:G473 D474:G474 D475:G475 D476:G476 D477:G477 D478:G478 D479:G479 D480:G480 D483:G483 D485:O485 D486:M486 D487:M487 D488:M488 D489:I489 D490:M490 D491:I491 D492:G492 D493:I493 D494:I494 D495:I495 D496:I496 D497:I497 D498:I498 D499:S499 D500:E500 D501:G501 D502:E502 D503:G503 D504:D508 D509:I509 D512:M512 D513:M513 D514:M514 D515:M515 D516:I516 D517:M517 D518:M518 D519:M519 D520:I520 D521:I521 D522:I522 D523:I523 D524:H524 D525:H525 D526:S526 D527:I527 D528:I528 D529:I529 D530:I530 D531:I531 D532:I532 D533:E533 D534:E534 D535:E535 D536:E536 D537:E537 D538:I538 D539:I539 D540:I540 D541:I541 D542:I542 D543:I543 D544:I544 D545:I545 D546:H546 D547:H547 D548:H548 D549:H549 D550:H550 D551:H551 D552:H552 D553:H553 D554:E556 D557:E557 D558:E558 D559:E559 D560:E560 D561:E561 D562:E562 D563:E563 D564:E564 D565:E565 D566:E566 D567:E567 D568:E568 D569:E569 D570:E570 D571:E571 D572:E572 D573:E573 D574:E574 D575:E575 D576:E576 D577:E577 D578:E578 D579:E579 D580:E580 D581:E581 D582:E582 D583:E583 D584:E584 D585:E585 D586:E586 D587:I587 D588:E588 D589:I589 D590:I590 D591:E591 D592:E592 D593:E593 D594:D596 D597:E597 D598:M598 D599:E599 D600:E600 D601:E601 D602:E602 D603:E603 D604:I604 D605:E605 D606:E606 D607:E607 D608:E608 D609:E609 D610:E610 D611:E611 D612:E612 D613:E613 D614:E614 D615:E615 D616:E616 D617:E617 D618:D620 D621:D624 D625:D628 D629:D632 D633:D636 D637:D640 D641:D644 D645:E645 D646:E646 D647:I647 D649:I649 D650:I650 D651:I651 D653:I653 D654:S654 D655:O655 D656:S656 D657:O657 D658:S658 D662:I662 D664:I664 D665:I665 D666:I666 D667:I667 D668:E668 D669:E669 D670:E670 D671:E671 D672:I672 D673:E673 D674:E674 D675:E675 D677:E677 D678:E678 D679:E679 D680:E680 D682:E682 D683:E683 D684:E684 D688:E688 D689:E689 D691:E691 D692:I692 D693 D694 D695:I695 D696:I696 D697:I697 D698:I698 D699:I699 D700:I700 D701:I701 D702:I702 D703:I703 D704:I704 D705:I705 D706:I706 D707:I707 D708:I708 D709:H709 D710:H710 D711:H711 D712:H712 D713:H713 D714:H714 D715:H715 D716:H716 D717:H717 D718:H718 D719:I719 D720:I720 D721:I721 D722:I722 D723:I723 D724:I724 D725:I725 D726:I726 D727:I727 D728:E728 D729:E729 D730:E730 D731:E731 D737:F737 D738:F738 D739:F739 D740:E740 D741:E741 D742:F742 D743:F743 D744:F744 D745:F745 D746:F746 D747:F747 D748:F748 D749:F749 D750:F750 D751:F751 D752:F752 D753:F753 D754:F754 D755:F755 D756:E756 D759:E759 D761:E761 D762:E762 D763:E763 D764:E764 D765:E765 D766:E766 D767:E767 D769:E769 D770:E770 D771:E771 D772:E772 D773:F773 D774:F774 D775:E775 D776:E776 D777:E777 D778:E778 D779:E779 D780:E780 D781:E781 D782:E782 D783:E783 D784:E784 D785:E785 D786:E786 D787:E787 D788:E788 D789:E789 D790:E790 D791:E791 D792:E792 D793:E793 D794:E794 D795:E795 D796:E796 D797:E797 D798:E798 D799:E799 D800:E800 D801:E801 D802:E802 D803:E803 D804:E804 D805:E805 D806:E806 D807:E807 D808:E808 D809:E809 D810:E810 D811:E811 D812:E812 D813:E813 D814:E814 D815:E815 D816:E816 D817 D818:E818 D819:E819 D820:E820 D821:E821 D822:E822 D823:E823 D824:E824 D825:H825 D826:H826 D827:H827 D828:H828 D829:H829 D830:H830 D831:H831 D832:H832 D833:H833 D834:H834 D835:H835 D836:H836 D839:E839 D840:I840 D841:I841 D842:E842 D843:E843 D844:E844 D845:E845 D846:E846 D847:E847 D848:E848 D849:E849 D850:E850 D851:E851 D852:E852 D853:I853 D854:I854 D855:I855 D856:F856 D857:F857 D858:F858 D860:E860 D867:E867 D874:E874 D875:E875 D876:E876 D877:E877 D883:E883 D884:E884 D886:E886 D887:E887 D888:E888 D889:E889 D890:E890 D891:E891 D892:E892 D893:E893 D894:E894 D895:E895 D896:E896 D897:E897 D898 D899 D900 D901 D902 D903 D904 D905 D906 D907 D908 D909 D910 D911 D912 D913 D914 D915 D916 D917 D918 D919 D920 D921 D922 D923 D924 D925 D926 D927 D928 D929 D930 D931 D932 D933 D934 D935 D936 D937 D938 D939 D940 D941 D942 D943 D944 D945 D946 D947 D948 D949 D950 D951 D952 D953 D954 D955 D956 D957 D958 D959 D960 D961 D962 D963 D964 D965 D966 D967 D968 D969 D970 D971 D972 D973 D974 D975 D976 D977 D978 D979 D980 D981 D982 D983 D984:D985 D986 D987 D988 D989:D992 D993 D994 D995 D996 D997 D998 D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54 E1255 E1274 E1275 E1277:F1277 E1278:F1278 E1279:F1279 E1295 E1296 E1297 E1328 E1329 E1330:F1330 E1331:F1331 E1332:F1332 E1333:F1333 E1334:F1334 E1335:F1335 E1336:F1336 E1337:F1337 E1338:F1338 E1339:F1339 E1340:F1340 E1341:F1341 E1379 E1380 E1399 E1404 E1405 E1406 E1407 E1408 E1421 E1422 E1423 E1424 E1465 E1466 E1513 E1536 E1597 E1598 E1599 E1600 E1607 E1608 E1614 E1660 E1667 E1668 E1673 E1674 E1676 E1677 E1679 E1680 E1682 E1683 E1692 E1710 E1729 E39:E65 E449 E456 E457:H457 E458:H458 E459:H459 E460:H460 E461:H461 E462:H462 E463 E464 E504 E505:G505 E506 E507:G507 E508 E510 E511 E594 E595 E596 E618 E619 E620 E621 E622 E623 E624 E625 E626 E627 E628 E629 E630 E631 E632 E633 E634 E635 E636 E637 E638 E639 E640 E641 E642 E643 E644 E693:E694 E817 E861 E862 E863 E864 E865 E898 E899 E8:E14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E991 E992 E993 E994 E995 E996 E997 E998 E999 F1000 F1001 F1002:F1003 F1004 F1005 F1006 F1007 F1008 F1009 F1010 F1011 F1012 F1013 F1014 F1015 F1016 F1017 F1018 F1019 F1020 F1021 F1022 F1023 F1024 F1025 F1026 F1027 F1028 F1029 F1030 F1031 F1032 F1033 F1034 F1035 F1036 F1037 F1038 F1039 F1040 F1041 F1042 F1043 F1044 F1045 F1046 F1047 F1048 F1049 F1050 F1051 F1052 F1053 F1054 F1055 F1056 F1057 F1058 F1059 F1060 F1061 F1062 F1063 F1064 F1065 F1066 F1067 F1068 F1069 F1070 F1071 F1072 F1073 F1074 F1075 F1076 F1077 F1078 F1079 F1080 F1081 F1082 F1083 F1084 F1085 F1086 F1087 F1088 F1089 F1090 F1091 F1092 F1093 F1094 F1095 F1096 F1097 F1098 F1099 F1100 F1101 F1102 F1103 F1104 F1105 F1106 F1107 F1108 F1109 F1110 F1111 F1112 F1113 F1114 F1115 F1116 F1117 F1118 F1119 F1120 F1121 F1122 F1123 F1124 F1125 F1126 F1127 F1128 F1129 F1130 F1131 F1132 F1133 F1134 F1135 F1136 F1137 F1138 F1139 F1140 F1141 F1142 F1143 F1144 F1145 F1146 F1147 F1148 F1149 F1150 F1151 F1152 F1153 F1154 F1155 F1156 F1157 F1158 F1159 F1160 F1161 F1162 F1163 F1164 F1165 F1166 F1167 F1168 F1169 F1170 F1171 F1172 F1173 F1174 F1175 F1176 F1177 F1178 F1179 F1180 F1181 F1182 F1183 F1184 F1185 F1186 F1187 F1188 F1189 F1190 F1191 F1192 F1193 F1194 F1195 F1196 F1197 F1198 F1199 F1200 F1201 F1202 F1203 F1204 F1205 F1206 F1207 F1208:F1209 F1210 F1211 F1212 F1213 F1214 F1215 F1216 F1217 F1218 F1219 F1220 F1221 F1222 F1223 F1224 F1225 F1226 F1227 F1228 F1229 F1230 F1231 F1232:F1233 F1234 F1235 F1236 F1237 F1238 F1239 F1240 F1241 F1242 F1243 F1244 F1245 F1246 F1247 F1252 F1253 F1254 F1255 F1256 F1257 F1258 F1259 F1260 F1261 F1263 F1264 F1265 F1266 F1267 F1268 F1274 F1275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F1329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3:S14 F1400 F1401 F1402 F1403 F1404 F1405 F1406 F1407 F1408 F1409 F1410 F1411 F1412 F1413 F1414 F1415 F1416 F1417:F1418 F1419 F1420:F1421 F1422 F1423 F1424 F1425 F1426 F1427 F1428 F1429 F1430 F1431 F1432 F1433 F1434 F1435 F1436 F1437 F1438 F1439 F1440 F1441 F1442 F1443 F1444 F1445 F1446 F1447 F1448 F1449 F1450 F1451 F1452 F1453 F1454 F1455 F1456 F1457 F1458 F1459 F1460 F1461:F1462 F1463 F1464 F1465 F1466 F1467:F1468 F1469 F1470 F1471 F1472 F1473 F1474 F1475 F1476 F1477 F1478 F1479 F1480 F1481 F1482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F1606 F1607 F1608 F1609 F1610 F1611 F1612 F1613 F1614 F1615 F1616 F1617 F1618 F1619:F1620 F1621:H1626 F1627:F1628 F1629 F1630:F1631 F1632:F1633 F1634 F1635 F1636 F1637:F1640 F1641 F1642:F1645 F1646 F1647:F1651 F1652:F1653 F1654:F1656 F1657:F1658 F1659 F1660 F1661 F1662:F1666 F1667 F1668:F1669 F1670 F1671 F1672 F1673 F1674 F1675 F1676 F1677 F1678 F1679 F1680 F1681 F1682 F1683 F1684 F1685 F1686 F1687 F1688 F1689 F1690 F1691 F1692 F1693:F1694 F1695 F1696 F1697 F1698 F1699 F1700 F1701 F1702 F1703 F1704 F1705 F1706 F1707 F1708 F1709 F1710 F1711 F1712 F1713 F1714 F1715:H1715 F1716 F1717 F1718 F1719 F1720 F1721 F1722 F1723:F1726 F1727 F1728 F1729:F1731 F1732:F1733 F1734 F1735 F1737 F1738 F1739 F1740 F1741 F1742 F1743 F1744:F1746 F1747 F1748 F1749 F1750 F1751:F1752 F1753 F1754 F1755:F1756 F1757 F1758 F1759 F1760 F1761 F1762 F1763 F1764 F1765 F1766 F1767 F1768 F383 F39:S63 F433:F434 F449:H449 F456:H456 F463:H463 F464:H464 F500:G500 F502:G502 F504:G504 F506:G506 F508:G508 F510:H510 F511:H511 F533 F534 F535 F536 F537 F554:H554 F555:H555 F556:H556 F557:H557 F558:H558 F559:H559 F560:H560 F561:H561 F562:H562 F563:H563 F564:H564 F565:H565 F566:H566 F567:H567 F568:H568 F569:H569 F570:H570 F571:H571 F572:H572 F573:H573 F574:H574 F575:H575 F576:H576 F577:H577 F578:H578 F579:H579 F580 F581 F582 F583 F584 F585 F586 F588:H588 F591:H591 F592 F593 F594 F595 F596 F597 F599:H599 F600:H600 F601:H601 F602:H602 F603:H603 F605 F606 F607 F608:H608 F609:H609 F610 F611 F612 F613 F614 F615 F616 F617 F618 F619 F620 F621 F622 F623 F624 F625 F626 F627 F628 F629 F630 F631 F632 F633 F634 F635 F636 F637 F638 F639 F640 F641 F642 F643 F644 F645 F646:H646 F64:M64 F65:S65 F668:F671 F673:F684 F687:F691 F693:I693 F694:I694 F728:F730 F731 F740 F741 F756 F757 F758 F759 F760 F761 F762 F763 F764 F765 F766 F767 F768 F769 F770 F771 F772 F775 F776 F777 F778 F779 F780 F781 F782 F783 F784 F785 F786 F787 F788 F789 F790 F791 F792 F793 F794 F795 F796 F797 F798 F799 F800 F801 F802 F803 F804 F805 F806 F807 F808 F809 F810 F811 F812 F813 F814 F815 F816 F817 F818 F819 F820 F821 F822 F823 F824 F839 F842 F843 F844 F845 F846 F847 F848 F849 F850 F851 F852 F859 F860 F861 F862 F863 F864 F865 F866 F867 F868 F869 F870 F871 F872 F873 F874 F875 F876 F877 F878 F879 F880 F881 F882 F883 F884 F885 F886 F887 F888 F889 F890 F891 F892 F893 F894 F895 F896 F897 F898 F899 F8:T12 F900 F901 F902 F903 F904 F905 F906 F907 F908 F909 F910 F911 F912 F913 F914 F915 F916 F917 F918 F919 F920 F921 F922 F923 F924 F925 F926 F927 F928 F929 F930 F931 F932 F933 F934 F935 F936 F937 F938 F939 F940 F941 F942 F943 F944 F945 F946 F947 F948 F949 F950 F951 F952 F953 F954 F955 F956 F957 F958 F959 F960 F961 F962 F963 F964 F965 F966 F967 F968 F969 F970 F971 F972 F973 F974 F975 F976 F977 F978 F979 F980 F981 F982 F983 F984 F985 F986 F987 F988 F989 F990 F991 F992 F993 F994 F995 F996 F997 F998 F999 G1000 G1001 G1002 G1003 G1004 G1005 G1006 G1007 G1008 G1009 G1010 G1011 G1012 G1013 G1014 G1015 G1016 G1017 G1018 G1019 G1020 G1021 G1022 G1023 G1024 G1025 G1026 G1027 G1028 G1029 G1030 G1031 G1032 G1033:G1036 G1037 G1038:G1041 G1042 G1043:G1044 G1045 G1046 G1047 G1048 G1049 G1050 G1051 G1052 G1053 G1054 G1055 G1056 G1057 G1058 G1059 G1060 G1061 G1062 G1063 G1064 G1065 G1066 G1067 G1068 G1069 G1070 G1071 G1072 G1073 G1074 G1075 G1076 G1077 G1078 G1079 G1080:G1081 G1082:G1085 G1086 G1087 G1088 G1089 G1090 G1091 G1092 G1093 G1094 G1095 G1096:G1098 G1099 G1100 G1101 G1102 G1103 G1104 G1105 G1106 G1107 G1108 G1109 G1110 G1111 G1112 G1113 G1114 G1115:G1121 G1122 G1123 G1124 G1125 G1126 G1127 G1128 G1129 G1130 G1131 G1132 G1133 G1134 G1135 G1136 G1137 G1138 G1139 G1140 G1141 G1142 G1143 G1144 G1145 G1146 G1147 G1148 G1149 G1150 G1151 G1152 G1153 G1154 G1155 G1156 G1157 G1158 G1159 G1160 G1161 G1162 G1163 G1164 G1165 G1166 G1167 G1168 G1169 G1170 G1171 G1172 G1173 G1174 G1175 G1176 G1177 G1178 G1179 G1180 G1181 G1182 G1183 G1184 G1185 G1186 G1187 G1188 G1189 G1190 G1191 G1192 G1193 G1194 G1195 G1196 G1197 G1198 G1199 G1200 G1201 G1202 G1203 G1204 G1205 G1206 G1207 G1208 G1209 G1210 G1211 G1212 G1213 G1214 G1215 G1216 G1217 G1218 G1219 G1220 G1221 G1222 G1223 G1224 G1225 G1226 G1227 G1228 G1229 G1230 G1231 G1232 G1233 G1234 G1235 G1236 G1237 G1238 G1239 G1240 G1241 G1242 G1243 G1244 G1245 G1246 G1247 G1248:H1248 G1249:H1249 G1250:H1250 G1251:H1251 G1252:H1252 G1253:H1253 G1254:H1254 G1255:H1255 G1256:H1256 G1257:H1257 G1258:H1258 G1259:H1259 G1260:H1260 G1261:H1261 G1263:H1263 G1264:H1264 G1265:H1265 G1266:H1266 G1267:H1267 G1268:H1268 G1269:H1269 G1270:H1270 G1271:H1271 G1272:H1272 G1273:H1273 G1274 G1275 G1276:H1276 G1277:H1279 G1280:H1280 G1281:H1281 G1282:H1282 G1283:H1283 G1284:H1284 G1285:H1285 G1286:H1286 G1287:H1287 G1288:H1288 G1289:H1289 G1290:H1290 G1291:H1291 G1292:H1292 G1293:H1293 G1294:H1294 G1295 G1296 G1297 G1298:H1298 G1299:H1299 G1300:H1300 G1301 G1302 G1303 G1304 G1305 G1306:H1306 G1307:H1307 G1308:H1308 G1309:H1309 G1310:H1310 G1311:H1311 G1312:H1312 G1313 G1314 G1315:H1315 G1316:H1316 G1317:H1317 G1318:H1318 G1319:H1319 G1320:H1320 G1321:H1321 G1322:H1322 G1323:H1323 G1324:H1324 G1325:H1325 G1326 G1327 G1328 G1329 G1330 G1331 G1332 G1333 G1334 G1335 G1336 G1337 G1338 G1339 G1340 G1341 G1342:H1342 G1343:H1343 G1344:H1344 G1345:H1345 G1346:H1346 G1347:H1347 G1348:H1348 G1349:H1349 G1350:H1350 G1351:H1351 G1352:H1352 G1353:H1353 G1354:H1354 G1355:H1355 G1356:H1356 G1357:H1357 G1358:H1358 G1359:H1359 G1360:H1360 G1361:H1361 G1362:H1362 G1363:H1363 G1364:H1364 G1365:H1365 G1366:H1366 G1367:H1367 G1368:H1368 G1369:H1369 G1370:H1370 G1371:H1371 G1372:H1372 G1373:H1373 G1374:H1374 G1375:H1375 G1376:H1376 G1377:H1377 G1378:H1378 G1379 G1380 G1381 G1382 G1383 G1384 G1385 G1386 G1387 G1388 G1389 G1390 G1391 G1392 G1393 G1394 G1395 G1396 G1397 G1398 G1399 G1400 G1401 G1402 G1403 G1404 G1405 G1406 G1407 G1408 G1409:M1409 G1410:M1410 G1411 G1412 G1413 G1414 G1415 G1416 G1417 G1418 G1419 G1420 G1421 G1422 G1423 G1424 G1425 G1426 G1427 G1428 G1429 G1430 G1431 G1432 G1433 G1434 G1435 G1436 G1437 G1438 G1439 G1440 G1441 G1442 G1443 G1444 G1445 G1446 G1447 G1448 G1449 G1450 G1451 G1452 G1453 G1454 G1455:G1459 G1460:H1460 G1461:H1461 G1462 G1463 G1464 G1465 G1466 G1467 G1468 G1469 G1470 G1471 G1472 G1473 G1474 G1475 G1476 G1477 G1478 G1479 G1480 G1481 G1482 G1484:H1484 G1485:H1485 G1486:H1486 G1487 G1488 G1489 G1490 G1491 G1492 G1493 G1494:H1494 G1495 G1496 G1497 G1498:G1504 G1505 G1506 G1507 G1508:H1508 G1509:H1509 G1510:H1510 G1511 G1512 G1513:H1513 G1514 G1515 G1516 G1517 G1518 G1519 G1520 G1521 G1522 G1523 G1524 G1525 G1526 G1527 G1528 G1529 G1530 G1531 G1532 G1533 G1534 G1535 G1536 G1537:H1537 G1538:H1538 G1539:H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G1598 G1599 G1600 G1601:G1602 G1603 G1604 G1605 G1606 G1607 G1608 G1609:G1610 G1611 G1612 G1613 G1614 G1615 G1616 G1617 G1618 G1619 G1620 G1627 G1628 G1629 G1630 G1631 G1632 G1633 G1634 G1635 G1636 G1637 G1638 G1639 G1640 G1641 G1642 G1643 G1644 G1645 G1646 G1647 G1648 G1649 G1650 G1651 G1652 G1653 G1654 G1655 G1656 G1657 G1658 G1659 G1660 G1661 G1662 G1663:G1664 G1665 G1666 G1667 G1668 G1669 G1670 G1671 G1672:G1674 G1675:G1677 G1678:G1680 G1681:G1683 G1684 G1685 G1686 G1687 G1688 G1689 G1690 G1691:G1692 G1693 G1694 G1695 G1696 G1697 G1698 G1699 G1700 G1701 G1702 G1703:H1703 G1704:H1704 G1705:H1705 G1706 G1707 G1708 G1709:H1709 G1710 G1711 G1712 G1713 G1714 G1716 G1717 G1718 G1719 G1720 G1721 G1722 G1723 G1724 G1725 G1726 G1727 G1728 G1729 G1730 G1731 G1732 G1733 G1734 G1735 G1736:H1736 G1737 G1738 G1739 G1740 G1741 G1742 G1743 G1744 G1745:H1746 G1747 G1748 G1749 G1750 G1751 G1752 G1753 G1754 G1755 G1756 G1757 G1758:H1758 G1759:H1759 G1760:H1760 G1761:H1761 G1762:H1762 G1763:H1763 G1764:H1764 G1765:H1765 G1766:H1766 G1767 G1768 G383:H383 G433:J433 G434:T434 G533:I533 G534:H534 G535:H535 G536 G537 G580:H580 G581:H581 G582:H582 G583:H583 G584:H584 G585:H585 G586:H586 G592:H592 G593:H596 G597:H597 G605:H605 G606:H606 G607:H607 G610:H610 G611:H611 G612:H612 G613:H613 G614:H614 G615:H615 G616:H616 G617:H617 G618:H618 G619:H619 G620:H620 G621:H621 G622:H622 G623:H623 G624:H624 G625:H625 G626:H626 G627:H627 G628:H628 G629:H629 G630:H630 G631:H631 G632:H632 G633:H633 G634:H634 G635:H635 G636:H636 G637:H637 G638:H638 G639:H639 G640:H640 G641:H641 G642:H642 G643:H643 G644:H644 G645:H645 G668:I668 G669:I669 G670:I670 G671:I671 G673:I673 G674:I674 G675:M675 G676:M676 G677:O677 G678:O678 G679:I679 G680:I680 G681:O681 G682:I682 G683:H683 G684:H684 G686 G687:O687 G688:M688 G689:O689 G690:I690 G691:I691 G728:I728 G729:I729 G730:I730 G731:I731 G733:H733 G734:H734 G735:H736 G737:H737 G738:H738 G739:H739 G740:I740 G741:I741 G742:H742 G743:H743 G744:H744 G745:H745 G746:H746 G747:H747 G748:H748 G749:H749 G750:H750 G751:H751 G752:H752 G753:H753 G754:H754 G755:H755 G756:M756 G757:M757 G758:M758 G759:M759 G760:M760 G761:M761 G762:M762 G763:M763 G764:M764 G765:M765 G766:M766 G767:M767 G768:M768 G769:M769 G770:M770 G771:M771 G772:M772 G773:H773 G774:H774 G775:M775 G776:M776 G777:M777 G778:M778 G779:M779 G780:M780 G781:M781 G782:M782 G783:M783 G784 G785:M785 G786:M786 G787:M787 G788:M788 G789:M789 G790:M790 G791:M791 G792:M792 G793:M793 G794:H794 G795:M795 G796:M796 G797:M797 G798:M798 G799:I799 G800:I800 G801:I801 G802:I802 G803:I803 G804 G805 G806 G807 G808 G809 G810 G811 G812 G813 G814 G815 G816 G817 G818 G819 G820 G821 G822 G823 G824 G839 G842 G843 G844:I844 G845:I845 G846:I846 G847:I847 G848:H848 G849:H849 G850:I850 G851:I851 G852:I852 G856 G857 G858 G859:O859 G860:O860 G861:I861 G862:I862 G863:I863 G864:I864 G865:I865 G866:M866 G867:M867 G868:M868 G869:I869 G870:I870 G871:I871 G872:I872 G873:M873 G874:J874 G875:H875 G876:H876 G877:O877 G878:I878 G879:I879 G880:I880 G881:I881 G882:I882 G883:M883 G884:O884 G885:M885 G886:O886 G887:M887 G888:O888 G889:O889 G890:O890 G891:O891 G892:M892 G893:M893 G894:O894 G895:M895 G896:M896 G897:O897 G898:H898 G899:H899 G900:H900 G901:H901 G902:H902 G903:H903 G904:H904 G905:H905 G906 G907 G908 G909 G910 G911 G912 G913 G914 G915 G916 G917 G918 G919 G920 G921 G922 G923 G924 G925 G926 G927 G928 G929 G930 G931 G932 G933 G934 G935 G936 G937 G938 G939 G940 G941 G942 G943 G944 G945 G946 G947 G948 G949 G950 G951 G952 G953 G954 G955 G956 G957 G958 G959 G960 G961 G962 G963 G964 G965 G966 G967 G968 G969 G970 G971 G972 G973 G974 G975 G976 G977 G978 G979 G980 G981 G982 G983 G984 G985 G986 G987 G988 G989 G990 G991 G992 G993 G994 G995 G996 G997 G998 G999 H1000 H1001 H1002 H1003 H1004 H1005 H1006 H1007 H1008 H1009 H1010 H1011 H1012 H1013 H1014 H1015 H1016 H1017 H1018 H1019 H1020 H1021 H1022 H1023 H1024 H1025 H1026 H1027 H1028 H1029 H1030 H1031 H1032 H1033:H1036 H1037 H1038:H1041 H1042 H1043:H1044 H1045 H1046 H1047 H1048 H1049 H1050 H1051 H1052 H1053 H1054 H1055 H1056 H1057 H1058 H1059 H1060 H1061 H1062 H1063 H1064 H1065 H1066 H1067 H1068 H1069 H1070 H1071 H1072 H1073 H1074 H1075 H1076 H1077 H1078 H1079 H1080:H1081 H1082:H1085 H1086 H1087 H1088 H1089 H1090 H1091 H1092 H1093 H1094 H1095 H1096:H1098 H1099 H1100 H1101 H1102 H1103 H1104 H1105 H1106 H1107 H1108 H1109 H1110 H1111 H1112 H1113 H1114 H1115:H1121 H1122 H1123 H1124 H1125 H1126 H1127 H1128 H1129 H1130 H1131 H1132 H1133 H1134 H1135 H1136 H1137 H1138 H1139 H1140 H1141 H1142 H1143 H1144 H1145 H1146 H1147 H1148 H1149 H1150 H1151 H1152 H1153 H1154 H1155 H1156 H1157 H1158 H1159 H1160 H1161 H1162 H1163 H1164 H1165 H1166 H1167 H1168 H1169 H1170 H1171 H1172 H1173 H1174 H1175 H1176 H1177 H1178 H1179 H1180 H1181 H1182 H1183 H1184 H1185 H1186 H1187 H1188 H1189 H1190 H1191 H1192 H1193 H1194 H1195 H1196 H1197 H1198 H1199 H1200 H1201 H1202 H1203 H1204 H1205 H1206 H1207 H1208 H1209 H1210 H1211 H1212 H1213 H1214 H1215 H1216 H1217 H1218 H1219 H1220 H1221 H1222 H1223 H1224 H1225 H1226 H1227 H1228 H1229 H1230 H1231 H1232 H1233 H1234 H1235 H1236 H1237 H1238 H1239 H1240 H1241 H1242 H1243 H1244 H1245 H1246 H1247 H1274 H1275 H1295 H1296 H1297 H1301 H1302 H1303 H1304 H1305 H1313 H1314 H1326 H1327 H1328 H1329 H1330 H1331 H1332 H1333 H1334 H1335 H1336 H1337 H1338 H1339 H1340 H1341 H1379 H1380 H1381 H1382 H1383 H1384 H1385 H1386 H1387 H1388 H1389 H1390 H1391 H1392 H1393 H1394 H1395 H1396 H1397 H1398 H1399 H1400 H1401 H1402 H1403 H1404 H1405 H1406 H1407 H1408 H1411 H1412 H1413 H1414 H1415 H1416 H1417 H1418 H1419 H1420 H1421 H1422 H1423 H1424 H1425 H1426 H1427 H1428 H1429 H1430 H1431 H1432 H1433 H1434 H1435 H1436 H1437 H1438 H1439 H1440 H1441 H1442 H1443 H1444 H1445 H1446 H1447 H1448 H1449 H1450 H1451 H1452 H1453 H1454 H1455:H1459 H1462 H1463 H1464 H1465 H1466 H1467 H1468 H1469 H1470 H1471 H1472 H1473 H1474 H1475 H1476 H1477 H1478 H1479 H1480 H1481 H1482 H1487 H1488 H1489 H1490 H1491 H1492 H1493 H1495 H1496 H1497 H1498:H1504 H1505 H1506 H1507 H1511 H1512 H1514 H1515 H1516 H1517 H1518 H1519 H1520 H1521 H1522 H1523 H1524 H1525 H1526 H1527 H1528 H1529 H1530 H1531 H1532 H1533 H1534 H1535 H1536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H1598 H1599 H1600 H1601 H1602 H1603 H1604 H1605 H1606 H1607 H1608 H1609:H1610 H1611 H1612 H1613 H1614 H1615 H1616 H1617 H1618 H1619 H1620 H1627 H1628 H1629 H1630 H1631 H1632 H1633 H1634 H1635 H1636 H1637 H1638 H1639 H1640 H1641 H1642 H1643 H1644 H1645 H1646 H1647 H1648 H1649 H1650 H1651 H1652 H1653 H1654 H1655 H1656 H1657 H1658 H1659 H1660 H1661 H1662 H1663:H1664 H1665 H1666 H1667 H1668 H1669 H1670 H1671 H1672:H1674 H1675:H1677 H1678:H1680 H1681:H1683 H1684 H1685 H1686 H1687 H1688 H1689 H1690 H1691:H1692 H1693 H1694 H1695 H1696 H1697 H1698 H1699 H1700 H1701 H1702 H1706 H1707 H1708 H1710 H1711 H1712 H1713 H1714 H1716 H1717 H1718 H1719 H1720 H1721 H1722 H1723 H1724 H1725 H1726 H1727 H1728 H1729 H1730 H1731 H1732 H1733 H1734 H1735 H1737 H1738 H1739 H1740 H1741 H1742 H1743 H1744 H1747 H1748 H1749 H1750 H1751 H1752 H1753 H1754 H1755 H1756 H1757 H1767 H1768 H381 H382 H468 H469 H470 H471 H472 H473 H474 H475 H476 H477 H478 H479 H480 H481 H482 H483 H492 H500:H508 H536 H537 H686 H784 H804:I804 H805:I805 H806:I806 H807:I807 H808:I808 H809:I809 H810:I810 H811:I811 H812:I812 H813:I813 H814:I814 H815:I815 H816 H817 H818:H821 H822 H823 H824:I824 H839 H842:I842 H843 H856:H858 H906 H907 H908 H909 H910 H911 H912 H913 H914 H915 H916 H917 H918 H919 H920 H921 H922 H923 H924 H925 H926 H927 H928 H929 H930 H931 H932 H933 H934 H935 H936 H937 H938 H939 H940 H941 H942 H943 H944 H945 H946 H947 H948 H949 H950 H951 H952 H953 H954 H955 H956 H957 H958 H959 H960 H961 H962 H963 H964 H965 H966 H967 H968 H969 H970 H971 H972 H973 H974 H975 H976 H977 H978 H979 H980 H981 H982 H983 H984 H985 H986 H987 H988 H989 H990 H991 H992 H993 H994 H995 H996 H997 H998 H999 I1000 I1001 I1002 I1003 I1004 I1005 I1006 I1007 I1008 I1009 I1010 I1011 I1012 I1013 I1014 I1015 I1016 I1017 I1018 I1019 I1020 I1021 I1022 I1023 I1024 I1025 I1026 I1027 I1028 I1029 I1030 I1031 I1032 I1033 I1034 I1035 I1036 I1037 I1038 I1039 I1040 I1041 I1042 I1043 I1044 I1045 I1046 I1047 I1048 I1049 I1050 I1051:I1052 I1053:I1054 I1055 I1056 I1057 I1058 I1059 I1060 I1061 I1062 I1063 I1064 I1065 I1066 I1067 I1068 I1069 I1070 I1071 I1072 I1073 I1074 I1075 I1076 I1077 I1078 I1079 I1080 I1081 I1082 I1083 I1084 I1085 I1086 I1087 I1088 I1089 I1090 I1091 I1092 I1093 I1094 I1095 I1096 I1097 I1098 I1099 I1100 I1101 I1102 I1103 I1104 I1105 I1106 I1107 I1108 I1109 I1110 I1111 I1112 I1113 I1114 I1115 I1116 I1117 I1118 I1119 I1120 I1121 I1122 I1123:I1133 I1134 I1135 I1136 I1137 I1138 I1139 I1140 I1141 I1142 I1143 I1144 I1145 I1146 I1147 I1148 I1149 I1150 I1151 I1152 I1153 I1154 I1155 I1156 I1157 I1158 I1159 I1160 I1161 I1162 I1163 I1164 I1165 I1166 I1167 I1168 I1169 I1170 I1171 I1172 I1173 I1174 I1175 I1176 I1177 I1178 I1179 I1180 I1181 I1182 I1183 I1184 I1185 I1186 I1187 I1188 I1189 I1190 I1191 I1192 I1193 I1194:I1195 I1196:I1197 I1198:I1199 I1200:I1201 I1202:I1203 I1204 I1205 I1206 I1207 I1208 I1209 I1210 I1211 I1212 I1213 I1214 I1215 I1216 I1217 I1218 I1219 I1220 I1221 I1222 I1223 I1224 I1225 I1226 I1227 I1228 I1229 I1230 I1231 I1232 I1233 I1234 I1235 I1236 I1237 I1238 I1239 I1240 I1241 I1242 I1243 I1244 I1245 I1246 I1247 I1248:O1248 I1249:M1249 I1250:M1250 I1251:O1251 I1252:O1252 I1253:O1253 I1254:O1254 I1255:O1255 I1256 I1257 I1258 I1259 I1260 I1261 I1262 I1263 I1264 I1265 I1266 I1267 I1268 I1269:M1269 I1270:M1270 I1271 I1272:O1272 I1273:O1273 I1274 I1275 I1276:O1276 I1277 I1278:M1278 I1279:O1279 I1280:M1280 I1281:M1281 I1282:O1282 I1283:M1283 I1284:O1284 I1285 I1286:M1286 I1287:O1287 I1288:M1288 I1289:O1289 I1290:O1290 I1291:O1291 I1292:O1292 I1293 I1294 I1295 I1296 I1297 I1298:O1298 I1299:M1299 I1300:O1300 I1301 I1302:O1302 I1303 I1304:M1304 I1305:M1305 I1306:M1306 I1307:O1307 I1308:O1308 I1309:M1309 I1310:M1310 I1311 I1312:M1312 I1313:M1313 I1314:M1314 I1315:M1315 I1316:O1316 I1317:J1317 I1318:M1318 I1319 I1320:M1320 I1321:O1321 I1322:O1322 I1323:M1323 I1324 I1325 I1326:M1326 I1327:O1327 I1328 I1329:O1329 I1330:M1330 I1331 I1332 I1333 I1334 I1335 I1336 I1337 I1338 I1339 I1340 I1341 I1342:M1342 I1343 I1344 I1345 I1346 I1347 I1348 I1349 I1350 I1351 I1352 I1353 I1354 I1355 I1356 I1357 I1358 I1359 I1360 I1361 I1362 I1363 I1364 I1365 I1366 I1367 I1368 I1369 I1370 I1371 I1372 I1373 I1374 I1375 I1376 I1377 I1378 I1379 I1380 I1381 I1382 I1383:M1383 I1384:M1384 I1385:M1385 I1386:O1386 I1387:O1387 I1388:O1388 I1389:O1389 I1390:M1390 I1391:O1391 I1392:M1392 I1393:M1393 I1394:O1394 I1395 I1396 I1397 I1398 I1399 I1400:M1400 I1401:N1401 I1402:M1402 I1403:N1403 I1404 I1405 I1406 I1407 I1408 I1411 I1412 I1413 I1414 I1415 I1416 I1417 I1418:N1418 I1419 I1420 I1421 I1422 I1423 I1424 I1425 I1426 I1427 I1428 I1429 I1430 I1431 I1432 I1433 I1434 I1435 I1436 I1437 I1438 I1439 I1440:I1443 I1444:I1449 I1450 I1451 I1452 I1453 I1454 I1455 I1456 I1457 I1458 I1459 I1460:M1460 I1461 I1462 I1463 I1464 I1465 I1466 I1467 I1468 I1469 I1470 I1471 I1472 I1473 I1474 I1475 I1476 I1477 I1478 I1479 I1480 I1481 I1482 I1484 I1485:O1485 I1486 I1487 I1488 I1489 I1490 I1491 I1492 I1493 I1494 I1495 I1496 I1497 I1498 I1499 I1500 I1501 I1502 I1503 I1504 I1505 I1506 I1507 I1508 I1509 I1510 I1511 I1512 I1513 I1514 I1515 I1516 I1517 I1518 I1519 I1520 I1521 I1522 I1523 I1524 I1525 I1526 I1527 I1528 I1529 I1530 I1531 I1532 I1533 I1534 I1535 I1536 I1537 I1538 I1539 I1540 I1541 I1542 I1543 I1544 I1545 I1546 I1547 I1548 I1549 I1550 I1551 I1552 I1553 I1554 I1555 I1556 I1557 I1558 I1559 I1560 I1561 I1562 I1563 I1564 I1565 I1566 I1567 I1568 I1569 I1570 I1571 I1572 I1573 I1574 I1575 I1576 I1577 I1578 I1579 I1580 I1581 I1582:I1583 I1584 I1585 I1586 I1587 I1588 I1589 I1590 I1591 I1592 I1593 I1594 I1595 I1596 I1597 I1598 I1599 I1600 I1601 I1602 I1603 I1604 I1605 I1606 I1607 I1608 I1609:I1610 I1611 I1612 I1613 I1614 I1615 I1616 I1617 I1618 I1619 I1620 I1621 I1622 I1623 I1624 I1625 I1626 I1627 I1628 I1629 I1630 I1631 I1632 I1633 I1634 I1635 I1636 I1637 I1638 I1639 I1640 I1641 I1642 I1643 I1644 I1645 I1646 I1647 I1648 I1649 I1650 I1651 I1652 I1653 I1654 I1655 I1656 I1657 I1658 I1659 I1660 I1661 I1662 I1663 I1664 I1665 I1666 I1667 I1668 I1669 I1670 I1671 I1672:I1674 I1675:I1677 I1678:I1680 I1681:I1683 I1684 I1685 I1686 I1687:I1689 I1690 I1691 I1692 I1693 I1694 I1695 I1696 I1697 I1698 I1699 I1700 I1701 I1702 I1703 I1704 I1705 I1706 I1707 I1708 I1709 I1710 I1711 I1712 I1713 I1714 I1715 I1716 I1717 I1718 I1719 I1720 I1721 I1722 I1723 I1724 I1725 I1726 I1727 I1728 I1729 I1730 I1731 I1732 I1733 I1734 I1735 I1736 I1737 I1738 I1739 I1740 I1741 I1742 I1743 I1744 I1745 I1746 I1747 I1748 I1749 I1750 I1751 I1752 I1753 I1754 I1755 I1756 I1757 I1758 I1759 I1760 I1761 I1762 I1763 I1764 I1765 I1766 I1767 I1768 I247 I248 I248:J248 I249 I250 I250:J250 I251 I252 I253 I254 I255 I256 I257 I258 I259 I260 I351 I375 I377 I378 I381:T381 I382 I383 I396 I397 I398 I399 I400 I401 I439 I440 I441 I442 I443 I444 I445 I446 I447 I448 I449 I450 I451 I452 I453 I454 I455 I456 I457 I458 I459 I460 I461 I462 I463 I464 I468:R468 I469:M469 I470 I471 I472 I473 I474 I475 I476 I477 I478 I479 I480 I481 I482 I483 I492 I500:M500 I501 I502 I503 I504 I505:I508 I510 I511 I524 I525 I534 I535 I536 I537 I546 I547 I548 I549 I550 I551 I552 I553 I554:I556 I557 I558 I559 I560 I561 I562 I563 I564 I565 I566 I567 I568 I569 I570 I571 I572 I573 I574 I575 I576 I577 I578 I579 I580 I581 I582 I583 I584 I585 I586 I588 I591 I592 I593 I594 I595 I596 I597 I599 I600 I601 I602 I603 I605 I606 I607 I608 I609 I610 I611 I612 I613 I614 I615 I616 I617 I618 I619 I620:I624 I625:I628 I629:I632 I633:I636 I637:I640 I641:I644 I645 I646 I683 I684 I686 I709:I712 I713 I714 I715 I716 I717 I718 I733:M733 I734 I735:O735 I736 I737:O737 I738:M738 I739:O739 I742:M742 I743:M743 I744:O744 I745:O745 I746:M746 I747:O747 I748:O748 I749:O749 I750:O750 I751:O751 I752:M752 I753:M753 I754:O754 I755 I773:O773 I774:O774 I784:M784 I794 I816 I817 I818 I819 I820 I821 I822 I823 I825 I826 I827 I828 I829 I830 I831 I832 I833 I834 I835 I836 I837 I838 I839 I843 I848 I849 I856 I857 I858 I875 I876 I878 I879 I898 I899 I900 I901 I902 I903 I904 I905 I906 I907 I908 I909 I910 I911 I912 I913 I914 I915 I916 I917 I918 I919 I920 I921 I922 I923 I924 I925 I926 I927 I928 I929 I930 I931 I932 I933 I934 I935 I936 I937 I938 I939 I940 I941 I942 I943 I944 I945 I946 I947 I948 I949 I950 I951 I952 I953 I954 I955 I956 I957 I958 I959 I960 I961 I962 I963 I964 I965 I966 I967 I968 I969 I970 I971 I972 I973 I974 I975 I976 I977 I978:I979 I980 I981 I982 I983 I984 I985 I986 I987 I988 I989 I990 I991 I992 I993 I994 I995 I996 I997 I998 I999 J1000 J1001 J1002 J1003 J1004:J1006 J1007 J1008 J1009 J1010 J1011 J1012 J1013 J1014 J1015 J1016 J1017 J1018 J1019 J1020 J1021 J1022 J1023 J1024 J1025 J1026 J1027 J1028 J1029 J1030 J1031 J1032 J1033 J1034 J1035 J1036 J1037 J1038 J1039 J1040 J1041 J1042 J1043 J1044 J1045 J1046 J1047 J1048 J1049 J1050 J1051 J1052 J1053 J1054 J1055 J1056 J1057 J1058 J1059 J1060 J1061 J1062 J1063 J1064 J1065 J1066 J1067 J1068 J1069 J1070 J1071 J1072 J1073 J1074 J1075 J1076 J1077 J1078 J1079 J1080:J1081 J1082 J1083 J1084 J1085 J1086 J1087 J1088 J1089 J1090 J1091 J1092 J1093 J1094 J1095 J1096 J1097 J1098 J1099 J1100 J1101 J1102 J1103 J1104 J1105 J1106 J1107 J1108 J1109 J1110 J1111 J1112 J1113 J1114 J1115 J1116 J1117 J1118 J1119 J1120 J1121 J1122 J1123 J1124 J1125 J1126 J1127 J1128 J1129 J1130 J1131 J1132 J1133 J1134 J1135 J1136 J1137 J1138 J1139 J1140 J1141 J1142 J1143 J1144 J1145 J1146 J1147 J1148 J1149 J1150 J1151 J1152 J1153 J1154 J1155 J1156 J1157 J1158 J1159 J1160 J1161 J1162 J1163 J1164 J1165 J1166 J1167 J1168 J1169 J1170 J1171 J1172 J1173 J1174 J1175 J1176 J1177 J1178 J1179 J1180 J1181 J1182 J1183 J1184 J1185 J1186 J1187 J1188 J1189 J1190 J1191 J1192 J1193 J1194 J1195 J1196 J1197 J1198 J1199 J1200 J1201 J1202 J1203 J1204 J1205 J1206 J1207 J1208 J1209 J1210 J1211 J1212:J1213 J1214 J1215 J1216 J1217 J1218 J1219 J1220 J1221 J1222 J1223 J1224 J1225:J1226 J1227 J1228 J1229 J1230 J1231 J1232 J1233 J1234 J1235 J1236 J1237 J1238 J1239 J1240 J1241 J1242 J1243 J1244:J1245 J1246 J1247 J1256 J1257 J1258 J1259 J1260 J1261 J1262:L1262 J1263 J1264 J1265 J1266 J1267 J1268 J1271 J1274 J1275 J1277 J1285 J1293 J1294 J1295 J1296 J1297 J1301 J1303 J1311 J1319 J1324 J1325 J1328 J1331 J1332 J1333 J1334 J1335 J1336 J1337 J1338 J1339 J1340 J1341 J1343 J1344 J1345 J1346 J1347 J1348 J1349 J1350 J1351 J1352 J1353 J1354 J1355 J1356 J1357 J1358 J1359 J1360 J1361 J1362 J1363 J1364 J1365 J1366 J1367 J1368 J1369 J1370 J1371 J1372 J1373 J1374 J1375 J1376 J1377 J1378 J1379 J1380 J1381 J1382 J1395 J1396 J1397 J1398 J1399 J1404 J1405 J1406 J1407 J1408 J1411 J1412 J1413 J1414 J1415 J1416 J1417 J1419 J1420 J1421 J1422 J1423 J1424 J1425 J1426 J1427 J1428 J1429 J1430 J1431 J1432 J1433 J1434 J1435 J1436 J1437 J1438 J1439 J1440 J1441 J1442 J1443 J1444 J1445 J1446 J1447 J1448 J1449 J1450 J1451 J1452 J1453 J1454 J1455 J1456 J1457 J1458 J1459 J1461 J1462 J1463 J1464 J1465 J1466 J1467 J1468 J1469 J1470 J1471 J1472 J1473 J1474 J1475 J1476 J1477 J1478 J1479 J1480 J1481 J1482 J1484 J1486:O1486 J1487 J1488 J1489 J1490 J1491 J1492 J1493 J1494 J1495 J1496 J1497 J1498 J1499 J1500 J1501 J1502 J1503 J1504 J1505 J1506 J1507 J1508 J1509 J1510 J1511 J1512 J1513 J1514 J1515 J1516 J1517 J1518 J1519 J1520 J1521 J1522 J1523 J1524 J1525 J1526 J1527 J1528 J1529 J1530 J1531 J1532 J1533 J1534 J1535 J1536 J1537 J1538 J1539 J1540 J1541 J1542 J1543 J1544 J1545 J1546 J1547 J1548 J1549 J1550 J1551 J1552 J1553 J1554 J1555 J1556 J1557 J1558 J1559 J1560 J1561 J1562 J1563 J1564 J1565 J1566 J1567 J1568 J1569 J1570 J1571 J1572 J1573 J1574 J1575 J1576 J1577 J1578 J1579 J1580 J1581 J1582 J1583 J1584 J1585 J1586 J1587 J1588 J1589 J1590 J1591 J1592 J1593 J1594 J1595 J1596 J1597 J1598 J1599 J1600 J1601:J1602 J1603 J1604 J1605 J1606 J1607 J1608 J1609 J1610 J1611 J1612 J1613 J1614 J1615 J1616 J1617 J1618 J1619 J1620 J1621 J1622 J1623 J1624 J1625 J1626 J1627 J1628 J1629 J1630 J1631 J1632 J1633 J1634 J1635 J1636 J1637 J1638:J1639 J1640 J1641 J1642 J1643 J1644 J1645 J1646 J1647 J1648 J1649 J1650 J1651 J1652 J1653 J1654 J1655 J1656 J1657 J1658 J1659 J1660 J1661 J1662 J1663 J1664 J1665 J1666 J1667 J1668 J1669 J1670 J1671 J1672 J1673 J1674 J1675 J1676 J1677 J1678 J1679 J1680 J1681 J1682 J1683 J1684 J1685 J1686 J1687 J1688 J1689 J1690 J1691 J1692 J1693:J1694 J1695:J1696 J1697:J1698 J1699 J1700 J1701 J1702:J1703 J1704 J1705 J1706:J1709 J1710 J1711 J1712 J1713 J1714 J1715 J1716 J1717 J1718 J1719 J1720 J1721:J1723 J1724 J1725 J1726 J1727 J1728 J1729 J1730 J1731 J1732 J1733 J1734 J1735 J1736 J1737 J1738 J1739 J1740 J1741 J1742 J1743 J1744 J1745 J1746 J1747 J1748 J1749 J1750 J1751 J1752 J1753 J1754 J1755 J1756 J1757:J1758 J1759 J1760 J1761 J1762:J1763 J1764 J1765 J1766 J1767 J1768 J246 J247 J248 J249 J249:O249 J251 J252 J253 J254 J255 J256:J257 J258 J259:J260 J308 J351 J375:M375 J377 J378:P378 J382 J383:O383 J392 J393 J396:R396 J397:R397 J398 J399 J400:M400 J401 J410 J411 J427 J428 J429 J438 J439 J440:R440 J441:R441 J442:R442 J443 J444 J445 J446 J447 J448 J449 J450 J451 J452 J453 J454 J455 J456 J457 J458 J459 J460 J461 J462 J463 J464 J470:M470 J471 J472:O472 J473 J474:O474 J475:M475 J476:R476 J477:O477 J478:L478 J479:L479 J480:R480 J481:R481 J482:R482 J483 J489 J491:J496 J497 J498 J501 J502 J503 J504 J505 J506 J507 J508 J509 J510 J511 J516 J520 J521 J522 J523 J524 J525 J527 J528 J529:J530 J531 J532 J533 J534 J535 J536 J537 J538 J539 J540: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9 J600 J601 J602 J603:J604 J605 J606 J607 J608 J609 J610:J611 J612 J613 J614 J615 J616 J617 J618 J619 J620 J621 J622 J623 J624 J625 J626 J627 J628 J629 J630 J631 J632 J633 J634 J635 J636 J637 J638 J639 J640 J641 J642 J643 J644 J645 J646 J647 J648 J649 J650 J651 J652 J653 J660 J661 J662 J663 J664 J665 J666 J667 J668 J669 J670 J671 J672 J673 J674 J679:J680 J682 J683 J684 J686:O686 J690 J691 J692 J693 J694 J695 J696 J697 J698 J699 J700 J701 J702 J703 J704 J705 J706 J707 J708 J709 J710 J711 J712 J713 J714 J715 J716 J717 J718 J719 J720 J721 J722 J723 J724 J725 J726 J727 J728 J729 J730 J731 J734 J736 J740 J741 J755 J794:M794 J799 J800 J801 J802 J803 J804 J805 J806 J807 J808 J809 J810 J811 J812 J813 J814 J815 J816 J817 J818 J819 J820 J821 J822 J823 J824 J825 J826 J827 J828 J829 J830 J831 J832 J833 J834 J835 J836 J837 J838 J839 J840 J841 J842 J843 J844 J845 J846 J847 J848 J849 J850 J851 J852 J853 J854 J855 J856 J857 J858 J861 J862 J863 J864 J865 J869 J870 J871 J872 J875 J876 J878 J879 J880 J881 J882 J898 J899 J900 J901 J902 J903 J904 J905 J906 J907 J908 J909 J910 J911 J912 J913 J914 J915 J916 J917 J918 J919 J920 J921 J922 J923 J924 J925 J926 J927 J928 J929 J930 J931 J932 J933 J934:J935 J936 J937 J938 J939 J940 J941 J942 J943 J944 J945 J946 J947 J948 J949 J950 J951 J952 J953 J954 J955 J956:J957 J958 J959 J960 J961 J962 J963 J964 J965 J966 J967 J968 J969 J970 J971 J972 J973 J974 J975 J976 J977 J978 J979 J980 J981 J982 J983 J984 J985 J986 J987 J988 J989 J990 J991 J992 J993 J994 J995 J996 J997 J998 J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56:O1256 K1257:M1257 K1258:O1258 K1259:M1259 K1260:M1260 K1261:M1261 K1263:M1263 K1264:M1264 K1265 K1266 K1267 K1268 K1271:M1271 K1274 K1275 K1277:M1277 K1285:O1285 K1293:O1293 K1294:O1294 K1295 K1296 K1297 K1301:M1301 K1303:M1303 K1311 K1317 K1319:O1319 K1324:O1324 K1325:O1325 K1328 K1331:O1331 K1332:O1332 K1333:O1333 K1334:M1334 K1335:O1335 K1336:O1336 K1337 K1338:O1338 K1339:O1339 K1340:M1340 K1341:M1341 K1343:O1343 K1344:M1344 K1345:M1345 K1346:O1346 K1347:M1347 K1348:O1348 K1349:O1349 K1350:O1350 K1351:O1351 K1352:O1352 K1353:O1353 K1354:O1354 K1355:O1355 K1356:O1356 K1357:O1357 K1358:O1358 K1359:O1359 K1360:O1360 K1361:O1361 K1362:O1362 K1363:O1363 K1364:O1364 K1365:O1365 K1366:O1366 K1367:O1367 K1368:O1368 K1369:O1369 K1370:O1370 K1371:O1371 K1372:O1372 K1373:O1373 K1374:O1374 K1375:O1375 K1376:O1376 K1377:O1377 K1378:O1378 K1379 K1380 K1381:M1381 K1382:O1382 K1395:M1395 K1396:O1396 K1397:O1397 K1398:M1398 K1399 K1404 K1405 K1406 K1407 K1408 K1411:M1411 K1412:M1412 K1413:O1413 K1414:O1414 K1415:O1415 K1416:O1416 K1417:M1417 K1419:N1419 K1420:N1420 K1421:M1421 K1422:M1422 K1423:N1423 K1424:N1424 K1425:M1425 K1426:M1426 K1427:M1427 K1428:O1428 K1429:O1429 K1430:O1430 K1431:O1431 K1432:O1432 K1433:O1433 K1434:O1434 K1435:M1435 K1436:O1436 K1437:O1437 K1438:O1438 K1439:M1439 K1440:O1440 K1441 K1442 K1443 K1444:M1444 K1445:O1445 K1446:O1446 K1447:O1447 K1448:O1448 K1449:O1449 K1450 K1451 K1452:M1452 K1453:O1453 K1454:O1454 K1455:O1455 K1456:O1456 K1457:O1457 K1458:O1458 K1459:O1459 K1461:M1461 K1462:O1462 K1463:O1463 K1464:O1464 K1465 K1466 K1467:M1467 K1468:O1468 K1469:O1469 K1470:O1470 K1471:M1471 K1472:M1472 K1473:M1473 K1474:O1474 K1475 K1476:O1476 K1477:M1477 K1478:O1478 K1479:O1479 K1480:M1480 K1481:M1481 K1482:M1482 K1484:M1484 K1487:O1487 K1488:O1488 K1489:M1489 K1490:O1490 K1491:O1491 K1492:O1492 K1493:O1493 K1494:M1494 K1495:O1495 K1496:O1496 K1497:O1497 K1498:O1498 K1499 K1500:O1500 K1501:O1501 K1502:O1502 K1503:O1503 K1504:O1504 K1505:M1505 K1506:O1506 K1507:O1507 K1508:O1508 K1509:M1509 K1510:M1510 K1511:O1511 K1512:O1512 K1513 K1514:O1514 K1515 K1516:O1516 K1517:O1517 K1518:O1518 K1519 K1520 K1521 K1522 K1523 K1524 K1525:O1525 K1526:O1526 K1527:O1527 K1528:O1528 K1529:O1529 K1530 K1531:L1531 K1532 K1533 K1534 K1535 K1536 K1537:M1537 K1538:M1538 K1539:M1539 K1540:M1540 K1541:M1541 K1542:M1542 K1543:M1543 K1544:M1544 K1545:M1545 K1546:M1546 K1547:M1547 K1548 K1549:M1549 K1550:M1550 K1551:M1551 K1552:M1552 K1553:M1553 K1554:M1554 K1555:M1555 K1556:M1556 K1557:M1557 K1558:M1558 K1559:M1559 K1560:M1560 K1561:M1561 K1562:M1562 K1563:M1563 K1564:M1564 K1565:M1565 K1566:M1566 K1567:M1567 K1568:M1568 K1569:M1569 K1570:M1570 K1571:M1571 K1572:M1572 K1573:M1573 K1574:M1574 K1575:M1575 K1576:M1576 K1577:M1577 K1578:M1578 K1579:M1579 K1580:M1580 K1581:M1581 K1582:M1582 K1583:M1583 K1584:M1584 K1585:M1585 K1586:M1586 K1587:M1587 K1588:M1588 K1589:M1589 K1590:O1590 K1591:O1591 K1592:O1592 K1593 K1594:M1594 K1595 K1596 K1597 K1598 K1599 K1600 K1601 K1602 K1603:M1603 K1604 K1605 K1606 K1607:M1607 K1608:M1608 K1609 K1610 K1611:O1611 K1612:M1612 K1613 K1614 K1615:M1615 K1616:M1616 K1617 K1618 K1619 K1620 K1621:M1621 K1622:M1622 K1623 K1624:M1624 K1625 K1626:M1626 K1627:M1627 K1628 K1629:M1629 K1630 K1631 K1632 K1633 K1634 K1635 K1636:M1636 K1637 K1638:M1638 K1639 K1640 K1641 K1642 K1643 K1644:M1644 K1645 K1646 K1647 K1648 K1649 K1650 K1651 K1652 K1653:M1653 K1654 K1655 K1656 K1657 K1658 K1659:M1659 K1660 K1661 K1662 K1663 K1664 K1665 K1666 K1667 K1668 K1669 K1670:M1670 K1671 K1672:M1672 K1673:M1673 K1674:M1674 K1675:M1675 K1676:M1676 K1677:M1677 K1678:M1678 K1679:M1679 K1680:M1680 K1681:M1681 K1682:M1682 K1683:M1683 K1684 K1685:O1685 K1686 K1687:M1687 K1688:M1688 K1689:M1689 K1690:M1690 K1691 K1692 K1693:M1693 K1694 K1695:M1695 K1696 K1697 K1698 K1699 K1700 K1701 K1702 K1703:M1703 K1704:M1704 K1705:M1705 K1706:O1706 K1707 K1708:O1708 K1709:M1709 K1710 K1711 K1712 K1713:M1713 K1714 K1715:M1715 K1716:M1716 K1717 K1718 K1719 K1720 K1721:M1721 K1722:M1722 K1723:O1723 K1724 K1725 K1726 K1727 K1728 K1729 K1730 K1731 K1732 K1733 K1734 K1735 K1736:O1736 K1737:O1737 K1738 K1739 K1740:O1740 K1741:O1741 K1742 K1743 K1744:M1744 K1745 K1746:M1746 K1747 K1748:M1748 K1749:M1749 K1750:M1750 K1751:M1751 K1752:M1752 K1753:M1753 K1754:M1754 K1755:M1755 K1756:M1756 K1757:M1757 K1758:M1758 K1759:M1759 K1760:M1760 K1761:M1761 K1762:M1762 K1763:M1763 K1764:M1764 K1765:M1765 K1766:M1766 K1767:M1767 K1768:M1768 K240 K241 K242 K246:O246 K247 K248:S248 K250 K251 K252 K253 K254:O254 K255 K256 K257:O257 K258:S258 K259:S259 K260:O260 K308:T308 K350 K351 K377:M377 K382 K392:T392 K393:O393 K398:R398 K399 K401 K410:O410 K411:S411 K427:N427 K428:N428 K429:M429 K433 K438:M438 K439:M439 K443 K444:O444 K445:R445 K446:R446 K447:R447 K448:R448 K449:O449 K450:M450 K451:O451 K452:O452 K453:M453 K454 K455:R455 K456 K457:M457 K458:R458 K459:M459 K460:R460 K461:R461 K462:R462 K463 K464 K471 K473 K483 K489:M489 K491:M491 K492:M492 K493:M493 K494:M494 K495:M495 K496:M496 K497:M497 K498:M498 K501:S501 K502:S502 K503:S503 K504:S504 K505 K506 K507 K508 K509:M509 K510 K511 K516:M516 K520:M520 K521:M521 K522:M522 K523:M523 K524:M524 K525 K527:M527 K528:M528 K529:M529 K530 K531 K532:M532 K533:M533 K534:M534 K535:M535 K536:M536 K537 K538:M538 K539:M539 K540:M540 K541:M541 K542:M542 K543:M543 K544:M544 K545:M545 K546 K547 K548 K549 K550 K551 K552 K553:M553 K554 K555 K556:M556 K557:M557 K558 K559 K560 K561:M561 K562 K563 K564 K565 K566 K567 K568 K569 K570:M570 K571:M571 K572:M572 K573:M573 K574:M574 K575:M575 K576 K577 K578:M578 K579 K580 K581 K582 K583 K584:M584 K585 K586 K587:M587 K588 K589:M589 K590:M590 K591:M591 K592 K593 K594 K595 K596 K597 K599 K600 K601 K602 K603 K604:S604 K605 K606 K607 K608 K609:M609 K610 K611:M611 K612:M612 K613 K614:M614 K615 K616 K617 K618 K619 K620 K621 K622 K623 K624 K625 K626 K627 K628 K629 K630 K631 K632 K633 K634 K635 K636 K637 K638 K639 K640 K641 K642 K643 K644 K645 K646 K647:O647 K648:M648 K649:O649 K650:M650 K651:O651 K652:O652 K653:O653 K660:R660 K661:R661 K662:R662 K663:M663 K664:M664 K665:M665 K666:M666 K667:M667 K668:M668 K669:M669 K670:R670 K671:R671 K672:O672 K673:M673 K674:R674 K679:O679 K680:M680 K682:M682 K683:M683 K684:R684 K690:O690 K691:O691 K692:O692 K693:L693 K694:L694 K695:O695 K696:O696 K697:O697 K698:O698 K699:O699 K700:M700 K701:O701 K702:O702 K703:L703 K704:O704 K705:O705 K706:O706 K707:O707 K708:O708 K709 K710 K711 K712 K713 K714 K715 K716 K717 K718:O718 K719:O719 K720:O720 K721:O721 K722:O722 K723:O723 K724:O724 K725:O725 K726:O726 K727:O727 K728:O728 K729:M729 K730:M730 K731:M731 K734 K736:O736 K740:M740 K741:M741 K755:O755 K799:M799 K800:M800 K801:M801 K802:M802 K803:M803 K804:M804 K805:M805 K806:M806 K807:M807 K808:M808 K809:M809 K810:M810 K811:M811 K812:M812 K813:M813 K814:M814 K815:M815 K816:M816 K817:M817 K818:M818 K819 K820 K821 K822:M822 K823:M823 K824:M824 K825 K826 K827 K828 K829:M829 K830:O830 K831:O831 K832 K833:O833 K834 K835:O835 K836:O836 K837 K838:O838 K839:M839 K840:M840 K841:M841 K842:M842 K843:M843 K844:M844 K845:M845 K846:M846 K847:M847 K848 K849 K850:M850 K851:M851 K852:M852 K853:M853 K854:M854 K855:M855 K856 K857:M857 K858 K861:O861 K862:O862 K863:O863 K864:O864 K865:O865 K869:O869 K870:O870 K871:O871 K872:O872 K874 K875 K876 K878 K878:O878 K879 K879:O879 K880:M880 K881:M881 K882:M882 K898 K899 K900:O900 K901 K902 K903 K904 K905 K906 K907 K908 K909 K910 K911 K912 K913 K914 K915 K916 K917 K918 K919 K920:O920 K921 K922:M922 K923 K924 K925 K926:O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L1000 L1001 L1002 L1003 L1004 L1005 L1006 L1007 L1008 L1009 L1010 L1011 L1012 L1013:N1013 L1014 L1015 L1016 L1017 L1018 L1019 L1020 L1021 L1022 L1023 L1024 L1025 L1026 L1027 L1028 L1029 L1030 L1031 L1032 L1033 L1034 L1035 L1036 L1037 L1038 L1039 L1040 L1041 L1042 L1043 L1044 L1045 L1046 L1047 L1048:N1048 L1049 L1050:N1050 L1051 L1052 L1053 L1054 L1055 L1056:N1056 L1057 L1058:N1058 L1059 L1060:N1060 L1061 L1062 L1063 L1064 L1065 L1066 L1067 L1068 L1069 L1070 L1071 L1072 L1073 L1074 L1075 L1076 L1077:N1077 L1078 L1079 L1080 L1081 L1082 L1083:N1083 L1084 L1085 L1086 L1087 L1088 L1089 L1090 L1091 L1092 L1093 L1094 L1095 L1096 L1097 L1098 L1099 L1100:N1100 L1101 L1102 L1103 L1104 L1105 L1106 L1107 L1108 L1109 L1110 L1111 L1112 L1113 L1114 L1115 L1116 L1117 L1118 L1119 L1120 L1121 L1122:N1122 L1123 L1124 L1125:N1125 L1126 L1127 L1128 L1129 L1130 L1131 L1132 L1133 L1134 L1135 L1136 L1137 L1138 L1139 L1140 L1141 L1142 L1143 L1144 L1145 L1146 L1147 L1148 L1149 L1150 L1151 L1152 L1153 L1154 L1155 L1156 L1157 L1158 L1159 L1160 L1161 L1162 L1163 L1164 L1165 L1166 L1167 L1168 L1169 L1170 L1171 L1172 L1173 L1174 L1175 L1176 L1177 L1178 L1179 L1180 L1181 L1182:M1182 L1183 L1184 L1185 L1186:N1186 L1187 L1188 L1189:N1189 L1190 L1191 L1192 L1193 L1194 L1195:N1195 L1196 L1197:N1197 L1198 L1199 L1200 L1201 L1202 L1203 L1204 L1205 L1206 L1207 L1208 L1209 L1210 L1211:M1211 L1212 L1213 L1214 L1215 L1216 L1217 L1218 L1219 L1220 L1221 L1222 L1223 L1224 L1225 L1226 L1227 L1228 L1229 L1230 L1231 L1232 L1233 L1234 L1235 L1236 L1237 L1238 L1239 L1240 L1241 L1242 L1243 L1244 L1245 L1246 L1247 L1265 L1266:O1266 L1267:M1267 L1268 L1274 L1275 L1295 L1296 L1297 L1311 L1317:M1317 L1328 L1337 L1379 L1380 L1399 L1404 L1405 L1406 L1407 L1408 L1441 L1442 L1443 L1450 L1451 L1465 L1466 L1475 L1499 L1513 L1515 L1519 L1520 L1521 L1522 L1523 L1524:O1524 L1530:O1530 L1532 L1533 L1534 L1535 L1536 L1548 L1593 L1595 L1596:M1596 L1597:N1597 L1598 L1599 L1600 L1601:M1601 L1602 L1604 L1605 L1606 L1609 L1610 L1613 L1614 L1617 L1618 L1619 L1620 L1623 L1625 L1628:M1628 L1630 L1631 L1632 L1633 L1634 L1635 L1637 L1639:M1639 L1640 L1641 L1642 L1643 L1645 L1646 L1647 L1648 L1649 L1650 L1651 L1652 L1654 L1655 L1656 L1657 L1658 L1660 L1661 L1662 L1663 L1664 L1665 L1666 L1667:M1667 L1668 L1669 L1671 L1684 L1686 L1691 L1692 L1694 L1696 L1697:M1697 L1698 L1699:M1699 L1700 L1701 L1702 L1707 L1710 L1711 L1712 L1714 L1717 L1718 L1719 L1720:M1720 L1724 L1725:M1725 L1726:M1726 L1727 L1728:M1728 L1729 L1730 L1731 L1732:M1732 L1733 L1734 L1735:M1735 L1738 L1739:M1739 L1742:M1742 L1743:M1743 L1745 L1747:M1747 L240 L241 L242 L247:O247 L250:L251 L252 L253:O253 L255 L256 L350 L351 L382 L399:R399 L401:M401 L433:T433 L443 L454:R454 L456:P456 L463:P463 L464 L471 L473 L483 L505 L506 L507 L508 L510:P510 L511:P511 L525 L530 L531 L537 L546 L547 L548 L549 L550 L551 L552 L554 L555 L558 L559 L560 L562 L563 L564 L565 L566 L567 L568 L569 L576 L577 L579 L580 L581 L582 L583 L585 L586:M586 L588 L592 L593:M593 L594 L595 L596 L597 L599 L600 L601 L602 L603:M603 L605:M605 L606 L607 L608 L610 L613 L615:M615 L616 L617:M617 L618 L619 L620 L621 L622 L623 L624 L625 L626 L627 L628 L629 L630 L631 L632 L633 L634 L635 L636 L637 L638 L639 L640 L641 L642 L643 L644 L645 L646 L709 L710 L711 L712 L713 L714 L715 L716:O716 L717:O717 L734 L819 L820 L821 L825 L826 L827 L828 L832 L834 L837 L848:M848 L849 L856 L858 L874 L875 L876 L898 L899 L901 L902 L903 L904 L905 L906 L907 L908 L909 L910 L911 L912 L913:O913 L914:O914 L915 L916:O916 L917 L918 L919 L921 L923 L924:O924 L925 L927 L928 L929 L930 L931 L932:M932 L933:M933 L934 L935 L936 L937 L938 L939 L940 L941 L942:N942 L943 L944 L945 L946 L947 L948 L949 L950 L951 L952 L953 L954 L955 L956 L957 L958 L959 L960 L961 L962 L963 L964 L965 L966 L967:O967 L968:O968 L969 L970 L971 L972 L973 L974 L975 L976 L977:O977 L978 L979 L980 L981 L982 L983 L984 L985 L986 L987 L988:M988 L989:M989 L990:N990 L991 L992 L993 L994 L995 L996 L997 L998 L999 M1000 M1001 M1002 M1003 M1004 M1005 M1006 M1007 M1008 M1009 M1010 M1011 M1012 M1014 M1015 M1016 M1017 M1018 M1019 M1020 M1021 M1022 M1023 M1024 M1025 M1026 M1027 M1028 M1029 M1030 M1031 M1032 M1033 M1034 M1035 M1036 M1037 M1038 M1039 M1040 M1041 M1042 M1043 M1044 M1045 M1046 M1047 M1049 M1051 M1052 M1053 M1054 M1055 M1057 M1059 M1061 M1062 M1063 M1064 M1065 M1066 M1067 M1068 M1069 M1070 M1071 M1072 M1073 M1074 M1075 M1076 M1078 M1079 M1080 M1081 M1082 M1084 M1085 M1086 M1087 M1088 M1089 M1090 M1091 M1092 M1093 M1094 M1095 M1096 M1097 M1098 M1099 M1101 M1102 M1103 M1104 M1105 M1106 M1107 M1108 M1109 M1110 M1111 M1112 M1113 M1114 M1115 M1116 M1117 M1118 M1119 M1120 M1121 M1123 M1124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3 M1184 M1185 M1187 M1188 M1190 M1191 M1192 M1193 M1194 M1196 M1198 M1199 M1200 M1201 M1202 M1203 M1204 M1205 M1206 M1207 M1208 M1209 M1210 M1212 M1213 M1214 M1215 M1216 M1217 M1218 M1219 M1220 M1221 M1222 M1223 M1224 M1225 M1226 M1227 M1228 M1229 M1230 M1231 M1232 M1233 M1234 M1235 M1236 M1237 M1238 M1239 M1240 M1241 M1242 M1243 M1244 M1245 M1246 M1247 M1262 M1265 M1268 M1274 M1275 M1295 M1296 M1297 M1311 M1328 M1337 M1379 M1380 M1399 M1404 M1405 M1406 M1407 M1408 M1441 M1442 M1443 M1450 M1451 M1465 M1466 M1475 M1499 M1513 M1515 M1519 M1520 M1521 M1522 M1523 M1531 M1532 M1533 M1534 M1535 M1536 M1548 M1593 M1595 M1598 M1599 M1600 M1602 M1604 M1605 M1606 M1609 M1610 M1613 M1614 M1617 M1618 M1619 M1620 M1623 M1625 M1630 M1631 M1632 M1633 M1634 M1635 M1637 M1640 M1641 M1642 M1643 M1645 M1646 M1647 M1648 M1649 M1650 M1651 M1652 M1654 M1655 M1656 M1657 M1658 M1660 M1661 M1662 M1663 M1664 M1665 M1666 M1668 M1669 M1671 M1684 M1686 M1691 M1692 M1694 M1696 M1698 M1700 M1701 M1702 M1707 M1710 M1711 M1712 M1714 M1717 M1718 M1719 M1724 M1727 M1729 M1730 M1731 M1733 M1734 M1738 M1745 M240 M241 M242 M250 M251 M252 M255 M256 M350 M351 M382 M443 M464 M471 M473 M478 M479 M483 M505 M506 M507 M508 M525 M530 M531 M537 M546 M547 M548 M549 M550 M551 M552 M554 M555 M558 M559 M560 M562 M563 M564 M565 M566 M567 M568 M569 M576 M577 M579 M580 M581 M582 M583 M585 M588 M592 M594 M595 M596 M597 M599 M600 M601 M602 M606 M607 M608 M610 M613 M616 M618 M619 M620 M621 M622 M623 M624 M625 M626 M627 M628 M629 M630 M631 M632 M633 M634 M635 M636 M637 M638 M639 M640 M641 M642 M643 M644 M645 M646 M693 M694 M703 M709 M710 M711 M712 M713 M714 M715 M734 M819 M820 M821 M825 M826 M827 M828 M832 M834 M837 M849 M856 M858 M874 M875 M876 M878 M879 M898 M899 M901 M902 M903 M904 M905 M906 M907 M908 M909 M910 M911 M912 M915 M917 M918 M919 M921 M923 M925 M927 M928 M929 M930 M931 M934 M935 M936 M937 M938 M939 M940 M941 M943 M944 M945 M946 M947 M948 M949 M950 M951 M952 M953 M954 M955 M956 M957 M958 M959 M960 M961 M962 M963 M964 M965 M966 M969 M970 M971 M972 M973 M974 M975 M976 M978 M979 M980 M981 M982 M983 M984 M985 M986 M987 M991 M992 M993 M994 M995 M996 M997 M998 M999 N1000:N1003 N1004:N1006 N1007 N1008 N1009 N1010 N1011:O1011 N1012 N1014 N1015 N1016 N1017 N1018 N1019:N1020 N1021:N1022 N1023 N1024 N1025 N1026 N1027 N1028 N1029 N1030 N1031:N1032 N1033 N1034 N1035 N1036 N1037 N1038 N1039 N1040 N1041 N1042 N1043 N1044 N1045 N1046 N1047 N1049 N1051 N1052 N1053 N1054 N1055 N1057 N1059 N1061 N1062 N1063 N1064 N1065 N1066 N1067 N1068 N1069 N1070 N1071 N1072 N1073 N1074 N1075 N1076 N1078 N1079 N1080 N1081 N1082 N1084 N1085 N1086 N1087 N1088 N1089 N1090 N1091 N1092 N1093 N1094 N1095:N1098 N1099 N1101 N1102 N1103 N1104 N1105 N1106 N1107 N1108 N1109 N1110 N1111 N1112 N1113 N1114 N1115 N1116 N1117 N1118 N1119 N1120 N1121 N1123 N1124 N1126 N1127 N1128 N1129 N1130 N1131 N1132 N1133 N1134 N1135 N1136 N1137 N1138 N1139 N1140 N1141 N1142 N1143 N1144 N1145 N1146 N1147 N1148:O1148 N1149:O1149 N1150:O1150 N1151 N1152 N1153 N1154 N1155 N1156 N1157 N1158 N1159 N1160 N1161 N1162 N1163 N1164 N1165 N1166 N1167 N1168 N1169 N1170 N1171 N1172 N1173 N1174 N1175 N1176 N1177:O1177 N1178:O1178 N1179 N1180 N1181 N1182 N1183 N1184 N1185 N1187 N1188 N1190 N1191 N1192 N1193 N1194 N1196 N1198 N1199 N1200 N1201 N1202 N1203 N1204 N1205 N1206 N1207 N1208 N1209 N1210 N1211 N1212 N1213 N1214 N1215 N1216 N1217 N1218 N1219 N1220 N1221 N1222 N1223 N1224 N1225 N1226 N1227 N1228 N1229 N1230 N1231 N1232 N1233 N1234 N1235 N1236 N1237 N1238 N1239 N1240 N1241 N1242 N1243 N1244 N1245 N1246 N1247 N1249 N1250 N1257:O1257 N1259 N1260 N1261 N1262 N1263:N1264 N1265 N1267 N1268:O1268 N1269 N1270 N1271 N1274 N1275 N1277 N1278 N1280 N1281 N1283:O1283 N1286 N1288 N1295 N1296 N1297 N1299 N1301 N1303 N1304 N1305 N1306 N1309 N1310 N1311 N1312 N1313 N1314 N1315 N1317 N1318 N1320 N1323 N1326 N1328 N1330 N1334:O1334 N1337:O1337 N1340:O1340 N1341:O1341 N1342 N1344 N1345 N1347 N1379 N1380 N1381 N1383 N1384 N1385 N1390 N1392 N1393 N1395 N1398 N1399 N1400 N1402 N1404 N1405 N1406 N1407 N1408 N1409 N1410 N1411 N1412 N1417 N1421 N1422:O1422 N1425 N1426 N1427 N1435:O1435 N1439 N1441:O1441 N1442:O1442 N1443:O1443 N1444:O1444 N1450:O1450 N1451:O1451 N1452 N1460:O1460 N1461:O1461 N1465 N1466 N1467 N1471 N1472 N1473 N1475:O1475 N1477:O1477 N1480 N1481 N1482:O1482 N1484 N1489:O1489 N1494:O1494 N1499:O1499 N1505 N1509:O1509 N1510:O1510 N1513 N1515:O1515 N1519:O1519 N1520:O1520 N1521:O1521 N1522:O1522 N1523:O1523 N1531:O1531 N1532 N1533:O1533 N1534:O1534 N1535:O1535 N1536 N1537:O1537 N1538 N1539:O1539 N1540 N1541 N1542 N1543:O1543 N1544 N1545 N1546 N1547 N1548 N1549 N1550 N1551 N1552 N1553 N1554 N1555 N1556 N1557 N1558 N1559 N1560 N1561 N1562 N1563 N1564 N1565 N1566 N1567:O1567 N1568 N1569 N1570 N1571 N1572 N1573 N1574 N1575 N1576 N1577 N1578 N1579 N1580 N1581 N1582 N1583 N1584 N1585 N1586 N1587 N1588 N1589 N1593 N1594 N1595 N1596 N1598 N1599 N1600 N1601 N1602 N1603 N1604:O1604 N1605 N1606:O1606 N1607 N1608 N1609 N1610 N1612 N1613 N1614 N1615 N1616 N1617 N1618 N1619 N1620 N1621 N1622 N1623 N1624 N1625 N1626 N1627 N1628 N1629 N1630 N1631 N1632:O1632 N1633 N1634 N1635 N1636 N1637 N1638 N1639 N1640 N1641 N1642:O1642 N1643 N1644 N1645 N1646 N1647 N1648 N1649 N1650 N1651 N1652 N1653 N1654 N1655 N1656 N1657 N1658 N1659 N1660 N1661 N1662 N1663 N1664:O1664 N1665 N1666 N1667 N1668 N1669 N1670 N1671 N1672 N1673 N1674 N1675 N1676 N1677 N1678 N1679 N1680 N1681 N1682 N1683 N1684 N1686 N1687 N1688 N1689 N1690:O1690 N1691 N1692 N1693 N1694 N1695:O1695 N1696 N1697 N1698:O1698 N1699 N1700 N1701 N1702 N1703 N1704:O1704 N1705:O1705 N1707 N1709 N1710 N1711 N1712 N1713:O1713 N1714 N1715 N1716 N1717:O1717 N1718:O1718 N1719 N1720 N1721 N1722 N1724 N1725 N1726 N1727 N1728 N1729:O1729 N1730 N1731 N1732 N1733:O1733 N1734 N1735 N1738:O1738 N1739 N1742 N1743 N1744 N1745 N1746 N1747 N1748 N1749 N1750 N1751 N1752 N1753 N1754 N1755 N1756 N1757 N1758:O1758 N1759:O1759 N1760:O1760 N1761:O1761 N1762:O1762 N1763:O1763 N1764:O1764 N1765:O1765 N1766:O1766 N1767 N1768 N240:S240 N241:O241 N242:O242 N244 N250:O251 N252:O252 N255:P255 N256:O256 N350:T350 N351:T351 N356 N371 N373 N374 N375 N376 N377 N380 N382:T382 N384 N400 N401 N402 N403 N406 N416 N417 N422 N424 N426 N429 N438 N439 N443:O443 N450 N453 N457 N459 N464 N465 N466 N467 N469 N470 N471:R471 N473:R473 N475 N478:R478 N479 N483 N486 N487 N488 N489 N490 N491 N492 N493 N494 N495 N496 N497 N498 N500 N505:S505 N506:S506 N507:S507 N508:S508 N509 N512 N513 N514 N515 N516 N517 N518 N519 N520 N521 N522 N523 N524 N525 N527 N528 N529 N530 N531 N532 N533 N534 N535 N536 N537 N538 N539 N540 N541 N542 N543 N544 N545 N546 N547 N548 N549 N550 N551 N552 N553 N554 N555 N556 N557 N558 N559 N560 N561 N562 N563 N564 N565 N566 N567 N568 N569 N570 N571 N572 N573 N574 N575 N576 N577 N578 N579 N580 N581 N582 N583 N584 N585 N586 N587 N588 N589 N590 N591 N592 N593 N594 N595 N596 N597 N598 N599 N600 N601 N602 N603 N605 N606 N607 N608 N609 N610 N611 N612 N613 N614 N615 N616 N617 N618 N619 N620 N621 N622 N623 N624 N625 N626 N627 N628 N629 N630 N631 N632 N633 N634 N635 N636 N637 N638 N639 N64 N640 N641 N642 N643 N644 N645 N646 N648 N650 N659 N663 N664 N665 N666 N667 N668 N669 N673 N675 N676 N680 N682:N683 N688 N693:N694 N700 N703 N709:O709 N710:O710 N711:O711 N712 N713:O713 N714:O714 N715:O715 N729:N730 N731 N733 N734:O734 N738 N740:N741 N742 N743 N746 N752 N753 N756 N757 N758 N759 N760 N761 N762:N763 N764 N765 N766 N767 N768 N769 N770 N771 N772 N775 N776 N777 N778 N779 N780 N781 N782 N783 N784 N785 N786 N787 N788 N789 N790:N791 N792 N793 N794 N795 N796:N797 N798 N799 N800 N801 N802 N803 N804 N805 N806 N807 N808 N809 N810 N811 N812 N813 N814 N815 N816 N817 N818 N819 N820 N821 N822 N823 N824 N825:O825 N826 N827:O827 N828:O828 N829 N832:O832 N834:O834 N837 N839 N840 N841 N842 N843 N844 N845 N846 N847 N848 N849 N850 N851 N852 N853 N854 N855 N856 N857 N858 N866 N867 N868 N873 N874:O874 N875 N876 N880 N881 N882 N883 N885 N887 N892 N893 N895 N896 N898:O898 N899 N901:N902 N903 N904:O904 N905 N906 N907 N908:O908 N909:O909 N910:O910 N911:O911 N912:O912 N915 N917:O917 N918:O918 N919:O919 N921:N922 N923:O923 N925:O925 N927:O927 N928:O928 N929:O929 N930 N931:O931 N932 N933 N934:O934 N935 N936:O936 N937 N938 N939 N940 N941 N943 N944 N945 N946 N947 N948:O948 N949 N950 N951 N952 N953 N954 N955 N956:N957 N958:O958 N959:O959 N960:O960 N961:O961 N962:O962 N963:O963 N964:O964 N965:O965 N966:O966 N969:O969 N970:O970 N971:O971 N972:O972 N973:O973 N974:O974 N975:O975 N976:O976 N978:O978 N979 N980:O980 N981:O981 N982 N983 N984:O984 N985:O985 N986:O986 N987:O987 N988 N989 N991 N992 N993 N994 N995 N996:O996 N997:O997 N998:O998 N999 O1000 O1001 O1002 O1003 O1004 O1005 O1006 O1007 O1008 O1009 O1010 O1012 O1013 O1014 O1015 O1016 O1017 O1018 O1019 O1020 O1021 O1022 O1023 O1024 O1025 O1026 O1027 O1028 O1029 O1030 O1031 O1032 O1033 O1034 O1035 O1036 O1037 O1038 O1039 O1040 O1041 O1042 O1043 O1044 O1045 O1046 O1047 O1048 O1049 O1050 O1051 O1052 O1053 O1054 O1055 O1056 O1057 O1058 O1059 O1060 O1061 O1062 O1063 O1064 O1065 O1066 O1067 O1068 O1069 O1070 O1071 O1072 O1073 O1074 O1075 O1076 O1077 O1078 O1079 O1080 O1081 O1082 O1083 O1084 O1085 O1086 O1087 O1088 O1089 O1090 O1091 O1092 O1093 O1094 O1095 O1096 O1097 O1098 O1099 O1100 O1101 O1102 O1103 O1104 O1105 O1106 O1107 O1108 O1109 O1110 O1111 O1112 O1113 O1114 O1115 O1116 O1117 O1118 O1119 O1120 O1121 O1122 O1123 O1124 O1125 O1126 O1127 O1128 O1129 O1130 O1131 O1132 O1133 O1134 O1135 O1136 O1137 O1138 O1139 O1140 O1141 O1142 O1143 O1144 O1145 O1146 O1147 O1151 O1152 O1153 O1154 O1155 O1156 O1157 O1158 O1159 O1160 O1161 O1162 O1163 O1164 O1165 O1166 O1167 O1168 O1169 O1170 O1171 O1172 O1173 O1174 O1175 O1176 O1179 O1180 O1181 O1182 O1183 O1184 O1185 O1186 O1187 O1188 O1189 O1190 O1191 O1192 O1193 O1194 O1195 O1196 O1197 O1198 O1199 O1200 O1201 O1202 O1203 O1204 O1205 O1206 O1207 O1208 O1209 O1210 O1211 O1212 O1213 O1214 O1215 O1216 O1217 O1218 O1219 O1220 O1221 O1222 O1223 O1224 O1225 O1226 O1227 O1228 O1229 O1230 O1231 O1232 O1233 O1234 O1235 O1236 O1237 O1238 O1239 O1240 O1241 O1242 O1243 O1244 O1245 O1246 O1247 O1249 O1250 O1259 O1260 O1261 O1262 O1263 O1264 O1265 O1267 O1269 O1270 O1271 O1274 O1275 O1277 O1278 O1280 O1281 O1286 O1288 O1295 O1296 O1297 O1299 O1301 O1303 O1304 O1305 O1306 O1309 O1310 O1311 O1312 O1313 O1314 O1315 O1317 O1318 O1320 O1323 O1326 O1328 O1330 O1342 O1344 O1345 O1347 O1379 O1380 O1381 O1383 O1384 O1385 O1390 O1392 O1393 O1395 O1398 O1399 O1400:O1402 O1403 O1404 O1405 O1406 O1407 O1408 O1409 O1410 O1411 O1412 O1417 O1418 O1419 O1420 O1421 O1423 O1424 O1425 O1426 O1427 O1439 O1452 O1465 O1466 O1467 O1471 O1472 O1473 O1480 O1481 O1484 O1505 O1513 O1532 O1536 O1538 O1540 O1541 O1542 O1544 O1545 O1546 O1547 O1548 O1549 O1550 O1551 O1552 O1553 O1554 O1555 O1556 O1557 O1558 O1559 O1560 O1561 O1562 O1563 O1564 O1565 O1566 O1568 O1569 O1570 O1571 O1572 O1573 O1574 O1575 O1576 O1577 O1578 O1579 O1580 O1581 O1582 O1583 O1584 O1585 O1586 O1587 O1588 O1589 O1593 O1594 O1595 O1596:O1598 O1599 O1600 O1601:O1603 O1605 O1607 O1608 O1609 O1610 O1612 O1613 O1614 O1615 O1616 O1617:O1624 O1625 O1626 O1627 O1628 O1629 O1630 O1631 O1633 O1634 O1635 O1636 O1637 O1638 O1639 O1640 O1641 O1643 O1644 O1645 O1646 O1647 O1648 O1649 O1650 O1651 O1652 O1653 O1654 O1655 O1656 O1657 O1658 O1659 O1660 O1661 O1662 O1663 O1665 O1666 O1667 O1668 O1669 O1670 O1671 O1672 O1673 O1674 O1675 O1676 O1677 O1678 O1679 O1680 O1681 O1682 O1683 O1684 O1686 O1687 O1688 O1689 O1691 O1692 O1693 O1694 O1696 O1697 O1699 O1700 O1701 O1702 O1703 O1707 O1709 O1710 O1711 O1712 O1714 O1715 O1716 O1719 O1720 O1721 O1722 O1724 O1725 O1726:O1728 O1730 O1731 O1732 O1734 O1735 O1739 O1742 O1743 O1744 O1745 O1746 O1747 O1748 O1749 O1750 O1751 O1752 O1753 O1754 O1755 O1756 O1757 O1767 O1768 O244 O312 O356 O371:T371 O373:P373 O374 O375 O376 O377 O380:R380 O384:T384 O400 O401 O402 O403 O406:T406 O416 O417 O421:O426 O427 O428 O429 O430 O431 O432 O435:O436 O438 O439 O450 O453:R453 O457:R457 O459 O464 O465 O466 O467 O469 O470 O475 O479 O483 O486 O487 O488 O489 O490 O491 O492 O493 O494 O495 O496 O497 O498 O500 O509 O512 O513 O514 O515 O516 O517 O518 O519 O520 O521 O522 O523 O524 O525 O527 O528 O529 O530 O531 O532 O533 O534 O535 O536 O537 O538 O539 O540 O541 O542 O543 O544 O545 O546 O547 O548 O549 O550 O551 O552 O553 O554 O555 O556 O557 O558 O559 O560 O561 O562 O563 O564 O565 O566 O567 O568 O569 O570 O571 O572 O573 O574 O575 O576 O577 O578 O579 O580 O581 O582 O583 O584 O585 O586 O587 O588 O589 O590 O591 O592 O593 O594 O595 O596 O597 O598 O599 O600 O601 O602 O603 O605 O606 O607 O608 O609 O610 O611 O612 O613 O614 O615 O616 O617 O618 O619 O620 O621 O622 O623 O624 O625 O626 O627 O628 O629 O630 O631 O632 O633 O634 O635 O636 O637 O638 O639 O640 O641 O642 O643 O644 O645 O646 O648 O64:T64 O650 O659:R659 O663 O664:R664 O665 O666 O667 O668:R668 O669 O673 O675 O676 O680 O682 O683 O688 O693 O694 O700 O703 O712 O729 O730 O731 O733 O738 O740 O741 O742 O743 O746 O752 O753 O756 O757 O758 O759 O760 O761 O762 O763 O764 O765 O766 O767 O768 O769 O770 O771 O772 O775 O776 O777 O778 O779 O780 O781 O782 O783 O784 O785 O786 O787 O788 O789 O790 O791 O792 O793 O794 O795 O796 O797 O798 O799 O800 O801 O802 O803 O804 O805 O806 O807 O808 O809 O810 O811 O812 O813 O814 O815 O816 O817 O818 O819 O820 O821 O822 O823 O824 O826 O829 O837 O839 O840 O841 O842 O843 O844 O845 O846 O847 O848 O849 O850 O851 O852 O853 O854 O855 O856 O857 O858 O866 O867 O868 O873 O875 O876 O880 O881 O882 O883 O885 O887 O892 O893 O895 O896 O899 O901 O902 O903 O905 O906 O907 O915 O921 O922 O930 O932 O933 O935 O937 O938 O939 O940 O941 O942 O943 O944 O945 O946 O947 O949 O950 O951 O952 O953 O954 O955 O956 O957 O979 O982 O983 O988 O989 O990 O991 O992 O993 O994 O995 O999 P1000:P1003 P1004:P1006 P1007 P1008 P1009 P1010 P1011 P1012 P1013 P1014 P1015 P1016 P1017 P1018 P1019:P1020 P1021:P1022 P1023 P1024 P1025 P1026 P1027 P1028 P1029 P1030 P1031: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P1098 P1099 P1100 P1101 P1102 P1103 P1104 P1105 P1106 P1107 P1108 P1109 P1110 P1111 P1112 P1113 P1114 P1115 P1116 P1117 P1118 P1119 P1120 P1121 P1122 P1123 P1124 P1125 P1126 P1127 P1128 P1129 P1130 P1131 P1132 P1133 P1134 P1135 P1136 P1137 P1138 P1139 P1140:P1142 P1143 P1144: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P1226 P1227 P1228 P1229 P1230 P1231 P1232 P1233 P1234 P1235 P1236 P1237 P1238 P1239 P1240 P1241 P1242 P1243 P1244 P1245 P1246 P1247 P1248 P1249 P1250 P1251 P1252 P1253 P1254 P1255 P1256 P1257 P1258 P1259 P1260 P1261 P1262 P1263:P1264 P1265 P1266 P1267 P1268 P1269 P1270 P1271 P1272 P1273 P1274:P1275 P1276: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P1508 P1509 P1510 P1511 P1512:P1513 P1514 P1515 P1516: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P1633 P1634 P1635 P1636 P1637 P1638:P1639 P1640 P1641 P1642 P1643 P1644:P1645 P1646 P1647 P1648 P1649 P1650 P1651 P1652 P1653 P1654 P1655 P1656 P1657 P1658 P1659 P1660 P1661:P1663 P1664 P1665 P1666 P1667:P1669 P1670 P1671:P1674 P1675:P1677 P1678:P1680 P1681:P1683 P1684:P1685 P1686:P1689 P1690 P1691 P1692 P1693 P1694 P1695 P1696 P1697 P1698:P1699 P1700 P1701 P1702 P1703 P1704 P1705 P1706 P1707 P1708 P1709 P1710 P1711 P1712 P1713 P1714 P1715 P1716 P1717 P1718:P1719 P1720 P1721 P1722 P1723 P1724 P1725 P1726 P1727 P1728 P1729:P1731 P1732 P1733 P1734 P1735 P1736 P1737 P1738 P1739:P1740 P1741:P1742 P1743 P1744 P1745 P1746 P1747 P1748 P1749 P1750 P1751:P1752 P1753 P1754 P1755 P1756 P1757:P1758 P1759 P1760 P1761 P1762 P1763 P1764 P1765 P1766 P1767 P1768 P241 P242 P244 P246:R246 P247 P249:R249 P250 P251 P252 P253 P254 P256 P257 P260:R260 P312:XFD312 P319:R319 P356 P357:R357 P374:R374 P375 P376 P377 P383 P393 P400:R400 P401 P402 P403 P407 P410 P412 P416 P417 P418 P421:T421 P422 P423:T423 P424 P425:T426 P427:R427 P428:R428 P429:R429 P430:R430 P431:T431 P432 P435:T436 P437 P438:R438 P439:R439 P443 P444 P449 P450 P451 P452 P459 P464 P465:T465 P466:R466 P467:R467 P469 P470 P472 P474 P475 P477 P479 P483 P484 P485 P486:R486 P487 P488 P489:T489 P490 P491:R491 P492 P493:T493 P494:T494 P495 P496:T496 P497 P498:T498 P500 P509 P512 P513 P514 P515 P516 P517 P518 P519 P520 P521:T521 P522:R522 P523:R523 P524:R524 P525:R525 P527 P528 P529 P530 P531 P532 P533:T533 P534:R534 P535:R535 P536:R536 P537:R537 P538 P539 P540 P541:P542 P543 P544 P545 P546 P547 P548 P549 P550 P551 P552 P553 P554 P555 P556 P557 P558 P559 P560 P561 P562 P563 P564 P565 P566 P567 P568 P569 P570 P571 P572 P573 P574 P575 P576 P577 P578 P579 P580 P581:R581 P582 P583 P584 P585 P586 P587 P588 P589 P590 P591 P592 P593 P594 P595 P596 P597 P598 P599 P600 P601 P602 P603 P605 P606 P607 P608 P609 P610 P611 P612 P613 P614 P615 P616 P617 P618:R618 P619 P620 P621 P622 P623 P624 P625 P626 P627 P628 P629 P630 P631 P632 P633 P634 P635 P636 P637 P638 P639 P640 P641 P642 P643 P644 P645 P646 P647 P648 P649 P650 P651 P652 P653 P655 P657 P663 P665:R665 P666 P667 P669 P672:R672 P673 P675 P676 P677 P678 P679 P680 P681 P682:P683 P685 P686 P687 P688 P689 P690 P691 P692 P693:P694 P695 P696 P697 P698 P699 P700 P701 P702 P703 P704 P705 P706 P707 P708 P709 P710 P711 P712 P713 P714 P715 P716 P717 P718 P719 P720 P721 P722 P723 P724 P725 P726 P727 P728 P729:P730 P731 P732 P733 P734 P735 P736 P737 P738 P739 P740:P741 P742 P743 P744 P745 P746 P747 P748 P749 P750 P751 P752 P753 P754 P755 P756:R756 P757 P758 P759 P760 P761 P762:P763 P764:P765 P766 P767 P768 P769 P770 P771 P772 P773 P774 P775 P776 P777 P778 P779 P780 P781 P782 P783 P784 P785 P786 P787 P788 P789 P790:P791 P792 P793 P794 P795 P796:P797 P798 P799 P800 P801 P802 P803 P804 P805 P806 P807 P808 P809 P810 P811 P812 P813 P814 P815 P816 P817 P818 P819 P820 P821 P822 P823 P824 P825 P826 P827 P828 P829 P830 P831 P832 P833 P834 P835 P836 P837 P838 P839 P840: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900 P901:P902 P903 P904 P905 P906 P907 P908 P909 P910 P911 P912 P913 P914 P915 P916 P917 P918 P919 P920 P921:P922 P923 P924 P925 P926 P927 P928 P929 P930 P931 P932:P933 P934 P935 P936 P937 P938 P939 P940 P941 P942 P943 P944 P945 P946 P947 P948 P949 P950 P951 P952 P953 P954 P955 P956:P957 P958 P959 P960 P961 P962 P963 P964 P965 P966 P967 P968 P969 P970 P971 P972 P973 P974 P975 P976 P977 P978 P979 P980 P981 P982 P983 P984 P985 P986 P987 P988 P989 P990 P991 P992 P993 P994 P995 P996 P997 P998 P999 Q1000:R1000 Q1001:R1001 Q1002:R1002 Q1003:R1003 Q1004:R1004 Q1005:R1006 Q1007:R1007 Q1008:R1008 Q1009:R1009 Q1010:R1010 Q1011:R1011 Q1012:R1012 Q1013:R1013 Q1014:R1014 Q1015:R1015 Q1016:R1016 Q1017:R1017 Q1018:R1018 Q1019:R1019 Q1020:R1020 Q1021:R1021 Q1022:R1022 Q1023:R1023 Q1024:R1024 Q1025:R1025 Q1026:R1026 Q1027:R1027 Q1028:R1028 Q1029:R1029 Q1030:R1030 Q1031:R1031 Q1032:R1032 Q1033:R1033 Q1034:R1034 Q1035:R1035 Q1036:R1036 Q1037:R1037 Q1038:R1038 Q1039:R1039 Q1040:R1040 Q1041:R1041 Q1042:R1042 Q1043:R1043 Q1044:R1044 Q1045:R1045 Q1046:R1046 Q1047:R1047 Q1048:R1048 Q1049:R1049 Q1050:R1050 Q1051:R1051 Q1052:R1052 Q1053:R1053 Q1054:R1054 Q1055:R1055 Q1056:R1056 Q1057:R1057 Q1058:R1058 Q1059:R1059 Q1060:R1060 Q1061:R1061 Q1062:R1062 Q1063:R1063 Q1064:R1064 Q1065:R1065 Q1066:R1066 Q1067:R1067 Q1068:R1068 Q1069:R1069 Q1070:R1070 Q1071:R1071 Q1072:R1072 Q1073:R1073 Q1074:R1074 Q1075:R1075 Q1076:R1076 Q1077:R1077 Q1078:R1078 Q1079:R1079 Q1080:R1080 Q1081:R1081 Q1082:R1082 Q1083:R1083 Q1084:R1084 Q1085:R1085 Q1086:R1086 Q1087:R1087 Q1088:R1088 Q1089:R1089 Q1090:R1090 Q1091:R1091 Q1092:R1092 Q1093:R1093 Q1094:R1094 Q1095:R1095 Q1096:R1096 Q1097:R1097 Q1098:R1098 Q1099:R1099 Q1100:R1100 Q1101:R1101 Q1102:R1102 Q1103:R1103 Q1104:R1104 Q1105:R1105 Q1106:R1106 Q1107:R1107 Q1108:R1108 Q1109:R1109 Q1110:R1110 Q1111:R1111 Q1112:R1112 Q1113:R1113 Q1114:R1114 Q1115:R1115 Q1116:R1116 Q1117:R1117 Q1118:R1118 Q1119:R1119 Q1120:R1120 Q1121:R1121 Q1122:R1122 Q1123:R1123 Q1124:R1124 Q1125:R1125 Q1126:R1126 Q1127:R1127 Q1128:R1128 Q1129:R1129 Q1130:R1130 Q1131:R1131 Q1132:R1132 Q1133:R1133 Q1134:R1134 Q1135:R1135 Q1136:R1136 Q1137:R1137 Q1138:R1138 Q1139:R1139 Q1140:R1142 Q1143:R1143 Q1144:R1146 Q1147:R1147 Q1148:R1148 Q1149:R1149 Q1150:R1150 Q1151:R1151 Q1152:R1154 Q1155:R1155 Q1156:R1156 Q1157:R1157 Q1158:R1158 Q1159:R1159 Q1160:R1160 Q1161:R1161 Q1162:R1162 Q1163:R1163 Q1164:R1164 Q1165:R1165 Q1166:R1166 Q1167:R1167 Q1168:R1168 Q1169:R1169 Q1170:R1170 Q1171:R1171 Q1172:R1172 Q1173:R1173 Q1174:R1174 Q1175:R1175 Q1176:R1176 Q1177:R1178 Q1179:R1179 Q1180:R1180 Q1181:R1181 Q1182:R1182 Q1183:R1183 Q1184:R1184 Q1185:R1185 Q1186:R1186 Q1187:R1187 Q1188:R1188 Q1189:R1189 Q1190:R1190 Q1191:R1191 Q1192:R1192 Q1193:R1193 Q1194:R1194 Q1195:R1195 Q1196:R1196 Q1197:R1197 Q1198:R1198 Q1199:R1199 Q1200:R1200 Q1201:R1201 Q1202:R1202 Q1203:R1203 Q1204:R1204 Q1205:R1205 Q1206:R1206 Q1207:R1207 Q1208:R1208 Q1209:R1209 Q1210:R1210 Q1211:R1211 Q1212:R1212 Q1213:R1213 Q1214:R1214 Q1215:R1215 Q1216:R1216 Q1217:R1217 Q1218:R1218 Q1219:R1219 Q1220:R1220 Q1221:R1221 Q1222:R1222 Q1223:R1223 Q1224:R1224 Q1225:R1225 Q1226:R1226 Q1227:R1227 Q1228:R1228 Q1229:R1229 Q1230:R1230 Q1231:R1231 Q1232:R1232 Q1233:R1233 Q1234:R1234 Q1235:R1235 Q1236:R1236 Q1237:R1237 Q1238:R1238 Q1239:R1239 Q1240:R1240 Q1241:R1241 Q1242:R1242 Q1243:R1243 Q1244:R1244 Q1245:R1245 Q1246:R1246 Q1247:R1247 Q1248:R1248 Q1249:R1249 Q1250:R1250 Q1251:R1251 Q1252:R1252 Q1253:R1253 Q1254:R1254 Q1255:R1255 Q1256:R1256 Q1257:R1257 Q1258:R1258 Q1259:R1259 Q1260:R1260 Q1261:R1261 Q1262:R1262 Q1263:R1263 Q1264:R1264 Q1265:R1265 Q1266:R1266 Q1267:R1267 Q1268:R1268 Q1269:R1269 Q1270:R1270 Q1271:R1271 Q1272:R1272 Q1273:R1273 Q1274:R1274 Q1275:R1275 Q1276:R1276 Q1277:R1277 Q1278:R1278 Q1279:R1279 Q1280:R1280 Q1281:R1281 Q1282:R1282 Q1283:R1283 Q1284:R1284 Q1285:R1285 Q1286:R1286 Q1287:R1287 Q1288:R1288 Q1289:R1289 Q1290:R1290 Q1291:R1291 Q1292:R1292 Q1293:R1293 Q1294:R1294 Q1295:R1295 Q1296:R1296 Q1297:R1297 Q1298:R1298 Q1299:R1299 Q1300:R1300 Q1301:R1301 Q1302:R1302 Q1303:R1303 Q1304:R1304 Q1305:R1305 Q1306:R1306 Q1307:R1307 Q1308:R1308 Q1309:R1309 Q1310:R1310 Q1311:R1311 Q1312:R1312 Q1313:R1313 Q1314:R1314 Q1315:R1315 Q1316:R1316 Q1317:R1317 Q1318:R1318 Q1319:R1319 Q1320:R1320 Q1321:R1321 Q1322:R1322 Q1323:R1323 Q1324:R1324 Q1325:R1325 Q1326:R1326 Q1327:R1327 Q1328:R1328 Q1329:R1329 Q1330:R1330 Q1331:R1331 Q1332:R1332 Q1333:R1333 Q1334:R1334 Q1335:R1335 Q1336:R1336 Q1337:R1337 Q1338:R1338 Q1339:R1339 Q1340:R1340 Q1341:R1341 Q1342:R1342 Q1343:R1343 Q1344:R1344 Q1345:R1345 Q1346:R1346 Q1347:R1347 Q1348:R1348 Q1349:R1349 Q1350:R1350 Q1351:R1351 Q1352:R1352 Q1353:R1353 Q1354:R1354 Q1355:R1355 Q1356:R1356 Q1357:R1357 Q1358:R1358 Q1359:R1359 Q1360:R1360 Q1361:R1361 Q1362:R1362 Q1363:R1363 Q1364:R1364 Q1365:R1365 Q1366:R1366 Q1367:R1367 Q1368:R1368 Q1369:R1369 Q1370:R1370 Q1371:R1371 Q1372:R1372 Q1373:R1373 Q1374:R1374 Q1375:R1375 Q1376:R1376 Q1377:R1377 Q1378:R1378 Q1379:R1379 Q1380:R1380 Q1381:R1381 Q1382:R1382 Q1383:R1383 Q1384:R1384 Q1385:R1385 Q1386:R1386 Q1387:R1387 Q1388:R1388 Q1389:R1389 Q1390:R1390 Q1391:R1391 Q1392:R1392 Q1393:R1393 Q1394:R1394 Q1395:R1395 Q1396:R1396 Q1397:R1397 Q1398:R1398 Q1399:R1399 Q1400:R1400 Q1401:R1401 Q1402:R1402 Q1403:R1403 Q1404:R1404 Q1405:R1405 Q1406:R1406 Q1407:R1407 Q1408:R1408 Q1409:R1409 Q1410:R1410 Q1411:R1411 Q1412:R1412 Q1413:R1413 Q1414:R1414 Q1415:R1415 Q1416:R1416 Q1417:R1417 Q1418:R1418 Q1419:R1419 Q1420:R1420 Q1421:R1421 Q1422:R1422 Q1423:R1423 Q1424:R1424 Q1425:R1425 Q1426:R1426 Q1427:R1427 Q1428:R1428 Q1429:R1429 Q1430:R1430 Q1431:R1431 Q1432:R1432 Q1433:R1433 Q1434:R1434 Q1435:R1435 Q1436:R1436 Q1437:R1437 Q1438:R1438 Q1439:R1439 Q1440:R1440 Q1441:R1441 Q1442:R1442 Q1443:R1443 Q1444:R1444 Q1445:R1445 Q1446:R1446 Q1447:R1447 Q1448:R1448 Q1449:R1449 Q1450:R1450 Q1451:R1451 Q1452:R1452 Q1453:R1453 Q1454:R1454 Q1455:R1455 Q1456:R1456 Q1457:R1457 Q1458:R1458 Q1459:R1459 Q1460:R1460 Q1461:R1461 Q1462:R1462 Q1463:R1463 Q1464:R1464 Q1465:R1465 Q1466:R1466 Q1467:R1467 Q1468:R1468 Q1469:R1469 Q1470:R1470 Q1471:R1471 Q1472:R1472 Q1473:R1473 Q1474:R1474 Q1475:R1475 Q1476:R1476 Q1477:R1477 Q1478:R1478 Q1479:R1479 Q1480:R1480 Q1481:R1481 Q1482:R1482 Q1483:T1483 Q1484:R1484 Q1485:R1485 Q1486:R1486 Q1487:R1487 Q1488:R1488 Q1489:R1489 Q1490:R1490 Q1491:R1491 Q1492:R1492 Q1493:R1493 Q1494:R1494 Q1495:R1495 Q1496:R1496 Q1497:R1497 Q1498:R1498 Q1499:R1499 Q1500:R1500 Q1501:R1501 Q1502:R1502 Q1503:R1503 Q1504:R1504 Q1505:R1505 Q1506:R1506 Q1507:R1507 Q1508:R1508 Q1509:R1509 Q1510:R1510 Q1511:R1511 Q1512:R1512 Q1513:R1513 Q1514:R1514 Q1515:R1515 Q1516:R1516 Q1517:R1517 Q1518:R1518 Q1519:R1519 Q1520:R1520 Q1521:R1521 Q1522:R1522 Q1523:R1523 Q1524:R1524 Q1525:R1525 Q1526:R1526 Q1527:R1527 Q1528:R1528 Q1529:R1529 Q1530:R1530 Q1531:R1531 Q1532:R1532 Q1533:R1533 Q1534:R1534 Q1535:R1535 Q1536:R1536 Q1537:R1537 Q1538:R1538 Q1539:R1539 Q1540:R1540 Q1541:R1541 Q1542:R1542 Q1543:R1543 Q1544:R1544 Q1545:R1545 Q1546:R1546 Q1547:R1547 Q1548:R1548 Q1549:R1549 Q1550:R1550 Q1551:R1551 Q1552:R1552 Q1553:R1553 Q1554:R1554 Q1555:R1555 Q1556:R1556 Q1557:R1557 Q1558:R1558 Q1559:R1559 Q1560:R1560 Q1561:R1561 Q1562:R1562 Q1563:R1563 Q1564:R1564 Q1565:R1565 Q1566:R1566 Q1567:R1567 Q1568:R1568 Q1569:R1569 Q1570:R1570 Q1571:R1571 Q1572:R1572 Q1573:R1573 Q1574:R1574 Q1575:R1575 Q1576:R1576 Q1577:R1577 Q1578:R1578 Q1579:R1579 Q1580:R1580 Q1581:R1581 Q1582:R1582 Q1583:R1583 Q1584:R1584 Q1585:R1585 Q1586:R1586 Q1587:R1587 Q1588:R1588 Q1589:R1589 Q1590:R1590 Q1591:R1591 Q1592:R1592 Q1593:R1593 Q1594:R1594 Q1595:R1595 Q1596:R1596 Q1597:R1597 Q1598:R1598 Q1599:R1599 Q1600:R1600 Q1601:R1601 Q1602:R1602 Q1603:R1603 Q1604:R1604 Q1605:R1605 Q1606:R1606 Q1607:R1607 Q1608:R1608 Q1609:R1609 Q1610:R1610 Q1611:R1611 Q1612:R1612 Q1613:R1613 Q1614:R1614 Q1615:R1615 Q1616:R1616 Q1617:R1617 Q1618:R1618 Q1619:R1619 Q1620:R1620 Q1621:R1621 Q1622:R1622 Q1623:R1623 Q1624:R1624 Q1625:R1625 Q1626:R1626 Q1627:R1627 Q1628:R1628 Q1629:R1629 Q1630:R1630 Q1631:R1631 Q1632:R1632 Q1633:R1633 Q1634:R1634 Q1635:R1635 Q1636:R1636 Q1637:R1637 Q1638:R1638 Q1639:R1639 Q1640:R1640 Q1641:R1641 Q1642:R1642 Q1643:R1643 Q1644:R1644 Q1645:R1645 Q1646:R1646 Q1647:R1647 Q1648:R1648 Q1649:R1649 Q1650:R1650 Q1651:R1651 Q1652:R1652 Q1653:R1653 Q1654:R1654 Q1655:R1655 Q1656:R1656 Q1657:R1657 Q1658:R1658 Q1659:R1659 Q1660:R1660 Q1661:R1661 Q1662:R1662 Q1663:R1663 Q1664:R1664 Q1665:R1665 Q1666:R1666 Q1667:R1667 Q1668:R1668 Q1669:R1669 Q1670:R1670 Q1671:R1671 Q1672:R1672 Q1673:R1673 Q1674:R1674 Q1675:R1675 Q1676:R1676 Q1677:R1677 Q1678:R1678 Q1679:R1679 Q1680:R1680 Q1681:R1681 Q1682:R1682 Q1683:R1683 Q1684:R1684 Q1685:R1685 Q1686:R1686 Q1687:R1687 Q1688:R1688 Q1689:R1689 Q1690:R1690 Q1691:R1691 Q1692:R1692 Q1693:R1693 Q1694:R1694 Q1695:R1695 Q1696:R1696 Q1697:R1697 Q1698:R1698 Q1699:R1699 Q1700:R1700 Q1701:R1701 Q1702:R1702 Q1703:R1703 Q1704:R1704 Q1705:R1705 Q1706:R1706 Q1707:R1707 Q1708:R1708 Q1709:R1709 Q1710:R1710 Q1711:R1711 Q1712:R1712 Q1713:R1713 Q1714:R1714 Q1715:R1715 Q1716:R1716 Q1717:R1717 Q1718:R1718 Q1719:R1719 Q1720:R1720 Q1721:R1721 Q1722:R1722 Q1723:R1723 Q1724:R1724 Q1725:R1725 Q1726:R1726 Q1727:R1727 Q1728:R1728 Q1729:R1729 Q1730:R1730 Q1731:R1731 Q1732:R1732 Q1733:R1733 Q1734:R1734 Q1735:R1735 Q1736:R1736 Q1737:R1737 Q1738:R1738 Q1739:R1739 Q1740:R1740 Q1741:R1741 Q1742:R1742 Q1743:R1743 Q1744:R1744 Q1745:R1745 Q1746:R1746 Q1747:R1747 Q1748:R1748 Q1749:R1749 Q1750:R1750 Q1751:R1751 Q1752:R1752 Q1753:R1753 Q1754:R1754 Q1755:R1755 Q1756:R1756 Q1757:R1757 Q1758:R1758 Q1759:R1759 Q1760:R1760 Q1761:R1761 Q1762:R1762 Q1763:R1763 Q1764:R1764 Q1765:R1765 Q1766:R1766 Q1767:R1767 Q1768:R1768 Q241:S241 Q242:S242 Q244:S244 Q247:R247 Q250:S250 Q251:R251 Q252:R252 Q253:R253 Q254:S254 Q255:R255 Q256:R256 Q257:R257 Q356:S356 Q373:R373 Q375:R375 Q376:R376 Q377:R377 Q378:R378 Q383:R383 Q387:R387 Q393:T393 Q401:R401 Q402:R402 Q403:R403 Q407:S407 Q410:S410 Q412:T412 Q416:R416 Q417:T417 Q418:T418 Q422:T422 Q424:T424 Q432:R432 Q437:T437 Q443:R443 Q444:R444 Q449:R449 Q450:R450 Q451:R451 Q452:R452 Q456:R456 Q459:R459 Q463:R463 Q464:R464 Q469:R469 Q470:R470 Q472:R472 Q474:R474 Q475:R475 Q477:R477 Q479:R479 Q483:R483 Q484:T484 Q485:T485 Q487:T487 Q488:T488 Q490:T490 Q492:R492 Q495:T495 Q497:R497 Q500:S500 Q509:R509 Q510:R510 Q511:R511 Q512:R512 Q513:R513 Q514:R514 Q515:R515 Q516:R516 Q517:R517 Q518:R518 Q519:R519 Q520:R520 Q527:T527 Q528:R528 Q529:R529 Q530:T530 Q531:R531 Q532:T532 Q538:R538 Q539:R539 Q540:R540 Q541:R541 Q542:R542 Q543:R543 Q544:R544 Q545:R545 Q546:R546 Q547:R547 Q548:R548 Q549:R549 Q550:R550 Q551:R551 Q552:R552 Q553:R553 Q554:R554 Q555:R555 Q556:R556 Q557:R557 Q558:R558 Q559:R559 Q560:R560 Q561:R561 Q562:R562 Q563:R563 Q564:R564 Q565:R565 Q566:R566 Q567:R567 Q568:R568 Q569:R569 Q570:R570 Q571:R571 Q572:R572 Q573:R573 Q574:R574 Q575:R575 Q576:R576 Q577:R577 Q578:R578 Q579:R579 Q580:R580 Q582:R582 Q583:R583 Q584:R584 Q585:R585 Q586:R586 Q587:R587 Q588:R588 Q589:R589 Q590:R590 Q591:R591 Q592:R592 Q593:R593 Q594:R594 Q595:R595 Q596:R596 Q597:R597 Q598:R598 Q599:R599 Q600:R600 Q601:R601 Q602:R602 Q603:R603 Q605:R605 Q606:R606 Q607:R607 Q608:R608 Q609:R609 Q610:R610 Q611:R611 Q612:R612 Q613:R613 Q614:R614 Q615:R615 Q616:R616 Q617:R617 Q619:R619 Q620:R620 Q621:R621 Q622:R622 Q623:R623 Q624:R624 Q625:R625 Q626:R626 Q627:R627 Q628:R628 Q629:R629 Q630:R630 Q631:R631 Q632:R632 Q633:R633 Q634:R634 Q635:R635 Q636:R636 Q637:R637 Q638:R638 Q639:R639 Q640:R640 Q641:R641 Q642:R642 Q643:R643 Q644:R644 Q645:R645 Q646:R646 Q647:S647 Q648:S648 Q649:R649 Q650:R650 Q651:R651 Q652:R652 Q653:R653 Q655:R655 Q657:R657 Q663:R663 Q666:R666 Q667:R667 Q669:R669 Q673:R673 Q675:R675 Q676:R676 Q677:R677 Q678:R678 Q679:R679 Q680:R680 Q681:R681 Q682:R682 Q683:R683 Q685:R685 Q686:R686 Q687:R687 Q688:R688 Q689:R689 Q690:R690 Q691:R691 Q692:R692 Q693:R693 Q694:R694 Q695:R695 Q696:R696 Q697:R697 Q698:R698 Q699:R699 Q700:R700 Q701:R701 Q702:R702 Q703:R703 Q704:R704 Q705:R705 Q706:R706 Q707:R707 Q708:R708 Q709:R709 Q710:R710 Q711:R711 Q712:R712 Q713:R713 Q714:R714 Q715:R715 Q716:R716 Q717:R717 Q718:R718 Q719:R719 Q720:R720 Q721:R721 Q722:R722 Q723:R723 Q724:R724 Q725:R725 Q726:R726 Q727:R727 Q728:R728 Q729:R730 Q731:R731 Q732:R732 Q733:R733 Q734:R734 Q735:R735 Q736:R736 Q737:R737 Q738:R738 Q739:R739 Q740:R741 Q742:R742 Q743:R743 Q744:R744 Q745:R745 Q746:R746 Q747:R747 Q748:R748 Q749:R749 Q750:R750 Q751:R751 Q752:R752 Q753:R753 Q754:R754 Q755:R755 Q757:R757 Q758:R758 Q759:R759 Q760:R760 Q761:R761 Q762:R762 Q763:R763 Q764:R764 Q765:R765 Q766:R766 Q767:R767 Q768:R768 Q769:R769 Q770:R770 Q771:R771 Q772:R772 Q773:R773 Q774:R774 Q775:R775 Q776:R776 Q777:R777 Q778:R778 Q779:R779 Q780:R780 Q781:R781 Q782:R782 Q783:R783 Q784:R784 Q785:R785 Q786:R786 Q787:R787 Q788:R788 Q789:R789 Q790:R790 Q791:R791 Q792:R792 Q793:R793 Q794:R794 Q795:R795 Q796:R796 Q797:R797 Q798:R798 Q799:R799 Q800:R800 Q801:R801 Q802:R802 Q803:R803 Q804:R804 Q805:R805 Q806:R806 Q807:R807 Q808:R808 Q809:R809 Q810:R810 Q811:R811 Q812:R812 Q813:R813 Q814:R814 Q815:R815 Q816:R816 Q817:R817 Q818:R818 Q819:R819 Q820:R820 Q821:R821 Q822:R822 Q823:R823 Q824:R824 Q825:R825 Q826:R826 Q827:R827 Q828:R828 Q829:R829 Q830:R830 Q831:R831 Q832:R832 Q833:R833 Q834:R834 Q835:R835 Q836:R836 Q837:R837 Q838:R838 Q839:R839 Q840:R840 Q841:R841 Q842:R842 Q843:R843 Q844:R844 Q845:R845 Q846:R846 Q847:R847 Q848:R848 Q849:R849 Q850:R850 Q851:R851 Q852:R852 Q853:R853 Q854:R854 Q855:R855 Q856:R856 Q857:R857 Q858:R858 Q859:R859 Q860:R860 Q861:R861 Q862:R862 Q863:R863 Q864:R864 Q865:R865 Q866:R866 Q867:R867 Q868:R868 Q869:R869 Q870:R870 Q871:R871 Q872:R872 Q873:R873 Q874:R874 Q875:R875 Q876:R876 Q877:R877 Q878:R878 Q879:R879 Q880:R880 Q881:R881 Q882:R882 Q883:R883 Q884:R884 Q885:R885 Q886:R886 Q887:R887 Q888:R888 Q889:R889 Q890:R890 Q891:R891 Q892:R892 Q893:R893 Q894:R894 Q895:R895 Q896:R896 Q897:R897 Q898:R898 Q899:R899 Q900:R900 Q901:R901 Q902:R902 Q903:R903 Q904:R904 Q905:R905 Q906:R906 Q907:R907 Q908:R908 Q909:R909 Q910:R910 Q911:R911 Q912:R912 Q913:R913 Q914:R914 Q915:R915 Q916:R916 Q917:R917 Q918:R918 Q919:R919 Q920:R920 Q921:R921 Q922:R922 Q923:R923 Q924:R924 Q925:R925 Q926:R926 Q927:R927 Q928:R928 Q929:R929 Q930:R930 Q931:R931 Q932:R932 Q933:R933 Q934:R934 Q935:R935 Q936:R936 Q937:R937 Q938:R938 Q939:R939 Q940:R940 Q941:R941 Q942:R942 Q943:R943 Q944:R944 Q945:R945 Q946:R946 Q947:R947 Q948:R948 Q949:R949 Q950:R950 Q951:R951 Q952:R952 Q953:R953 Q954:R954 Q955:R955 Q956:R956 Q957:R957 Q958:R958 Q959:R959 Q960:R960 Q961:R961 Q962:R962 Q963:R963 Q964:R964 Q965:R965 Q966:R966 Q967:R967 Q968:R968 Q969:R969 Q970:R970 Q971:R971 Q972:R972 Q973:R973 Q974:R974 Q975:R975 Q976:R976 Q977:R977 Q978:R978 Q979:R979 Q980:R980 Q981:R981 Q982:R982 Q983:R983 Q984:R984 Q985:R985 Q986:R986 Q987:R987 Q988:R988 Q989:R989 Q990:R990 Q991:R991 Q992:R992 Q993:R993 Q994:R994 Q995:R995 Q996:R996 Q997:R997 Q998:R998 Q999:R999 S1000 S1001 S1002 S1003 S1004 S1005 S1006 S1007 S1008 S1009 S1010 S1011 S1012 S1013 S1014 S1015 S1016 S1017 S1018 S1019 S1020 S1021 S1022 S1023 S1024 S1025 S1026 S1027 S1028 S1029 S1030 S1031 S1032 S1033 S1034 S1035 S1036 S1037 S1038 S1039 S1040 S1041 S1042 S1043 S1044 S1045 S1046 S1047 S1048 S1049 S1050 S1051 S1052 S1053 S1054 S1055 S1056 S1057 S1058 S1059 S1060 S1061 S1062 S1063 S1064 S1065 S1066 S1067 S1068 S1069 S1070 S1071 S1072 S1073 S1074 S1075 S1076 S1077 S1078 S1079 S1080 S1081 S1082 S1083 S1084 S1085 S1086 S1087 S1088 S1089 S1090 S1091 S1092 S1093 S1094 S1095 S1096 S1097 S1098 S1099 S1100 S1101 S1102 S1103 S1104 S1105 S1106 S1107 S1108 S1109 S1110 S1111 S1112 S1113 S1114 S1115 S1116 S1117 S1118 S1119 S1120 S1121 S1122 S1123:S1133 S1134 S1135 S1136 S1137 S1138 S1139 S1140 S1141 S1142 S1143 S1144 S1145 S1146 S1147 S1148 S1149 S1150 S1151 S1152 S1153 S1154 S1155 S1156 S1157 S1158 S1159 S1160 S1161 S1162 S1163 S1164 S1165 S1166 S1167 S1168 S1169 S1170 S1171 S1172 S1173 S1174 S1175 S1176 S1177 S1178 S1179 S118 S1180 S1181 S1182 S1183 S1184 S1185 S1186 S1187 S1188 S1189 S1190 S1191 S1192 S1193 S1194 S1195 S1196 S1197 S1198 S1199 S1200 S1201 S1202 S1203 S1204 S1205 S1206 S1207 S1208 S1209 S1210 S1211 S1212 S1213 S1214 S1215 S1216 S1217 S1218 S1219 S1220 S1221 S1222 S1223 S1224 S1225 S1226 S1227 S1228 S1229 S1230 S1231 S1232 S1233 S1234 S1235 S1236 S1237 S1238 S1239 S1240 S1241 S1242 S1243 S1244 S1245 S1246 S1247 S1248 S1249 S1250 S1251 S1252 S1253 S1254 S1255 S1256 S1257 S1258 S1259 S1260 S1261 S1262:T1262 S1263 S1264 S1265 S1266 S1267 S1268 S1269 S1270 S1271 S1272 S1273 S1274 S1275 S1276 S1277 S1278 S1279 S1280 S1281 S1282 S1283 S1284 S1285 S1286 S1287 S1288 S1289 S1290 S1291 S1292 S1293 S1294 S1295 S1296 S1297 S1298 S1299 S1300 S1301 S1302 S1303 S1304 S1305 S1306 S1307 S1308 S1309 S1310 S1311 S1312 S1313 S1314 S1315 S1316 S1317 S1318 S1319 S1320 S1321 S1322 S1323 S1324 S1325 S1326 S1327 S1328 S1329 S1330 S1331 S1332 S1333 S1334 S1335 S1336 S1337 S1338 S1339 S1340 S1341 S1342 S1343 S1343:S1378 S1379 S1380 S1381 S1382 S1383 S1384 S1385 S1386 S1387 S1388 S1389 S1390 S1391 S1392 S1393 S1394 S1395 S1396 S1397 S1398 S1399 S1400 S1401 S1402 S1403 S1404 S1405 S1406 S1407 S1408 S1409 S1410 S1411 S1412 S1413 S1414 S1415 S1416 S1417 S1418 S1419 S1420 S1421 S1422 S1423 S1424 S1425 S1426 S1427 S1428 S1429 S1430 S1431 S1432 S1433 S1434 S1435 S1436 S1437 S1438 S1439 S1440 S1441 S1442 S1443 S1444 S1445 S1446 S1447 S1448 S1449 S1450 S1451 S1452 S1453 S1454 S1455 S1456 S1457 S1458 S1459 S1460 S1461 S1462 S1463 S1464 S1465 S1466 S1467 S1468 S1469 S1470 S1471 S1472 S1473 S1474 S1475 S1476 S1477 S1478 S1479 S1480 S1481 S1482 S1484 S1485 S1486 S1487 S1488 S1489 S1490 S1491 S1492 S1493 S1494 S1495 S1496 S1497 S1498 S1499 S1500 S1501 S1502 S1503 S1504 S1505 S1506 S1507 S1508 S1509 S1510 S1511 S1512 S1513 S1514 S1515 S1516 S1517 S1518 S1519 S1520 S1521 S1522 S1523 S1524 S1525 S1526 S1527 S1528 S1529 S1530 S1531 S1532 S1533 S1534 S1535 S1536 S1537 S1538 S1539 S1540 S1541 S1542 S1543 S1544 S1545 S1546 S1547 S1548 S1549 S1550 S1551 S1552 S1553 S1554 S1555 S1556 S1557 S1558 S1559 S1560 S1561 S1562 S1563 S1564 S1565 S1566 S1567 S1568 S1569 S1570 S1571 S1572 S1573 S1574 S1575 S1576 S1577 S1578 S1579 S1580 S1581 S1582 S1583 S1584 S1585 S1586 S1587 S1588 S1589 S1590 S1591 S1592 S1593 S1594 S1595 S1596 S1597 S1598 S1599 S1600 S1601 S1602 S1603 S1604 S1605 S1606 S1607 S1608 S1609 S1610 S1611 S1612 S1613 S1614 S1615 S1616 S1617 S1618 S1619:S1620 S1621 S1622 S1623 S1624 S1625 S1626 S1627 S1628 S1629 S1630 S1631 S1632 S1633 S1634 S1635 S1636 S1637 S1638 S1639 S1640 S1641 S1642 S1643 S1644 S1645 S1646 S1647 S1648 S1649 S1650 S1651 S1652 S1653 S1654 S1655 S1656 S1657 S1658 S1659 S1660 S1661 S1662 S1663 S1664 S1665 S1666 S1667 S1668 S1669 S1670 S1671 S1672 S1673 S1674 S1675 S1676 S1677 S1678 S1679 S1680 S1681 S1682 S1683 S1684 S1685 S1686 S1687 S1688 S1689 S1690 S1691 S1692 S1693 S1694 S1695 S1696 S1697 S1698 S1699 S1700 S1701 S1702 S1703 S1704 S1705 S1706 S1707 S1708 S1709 S1710 S1711 S1712 S1713 S1714 S1715 S1716 S1717 S1718 S1719 S1720 S1721 S1722 S1723 S1724 S1725 S1726 S1727 S1728 S1729 S1730 S1731 S1732 S1733 S1734 S1735 S1736 S1737 S1738 S1739 S1740 S1741 S1742 S1743 S1744 S1745 S1746 S1747 S1748 S1749 S1750 S1751 S1752 S1753 S1754 S1755 S1756 S1757 S1758 S1759 S176 S1760 S1761 S1762 S1763 S1764 S1765 S1766 S1767 S1768 S246 S247 S249 S251 S252 S253 S255 S256 S257 S260 S300 S319:T319 S357:T357 S368 S373 S374:S375 S376 S377 S378:T378 S380 S383:T383 S385 S387:T387 S391 S395:S396 S397 S398 S399 S400 S401 S402:S403 S405 S413 S416 S420 S427 S428 S429 S430 S432 S438 S439 S440 S441 S442 S443 S444 S445 S446 S447 S448 S449 S450 S451 S452 S453 S454 S455 S456 S457 S458 S459 S460 S461 S462 S463 S464 S466 S467 S468 S469 S470 S471 S472 S473 S474 S475 S476 S477 S478 S479 S480 S481 S482 S483 S486 S491 S492 S497 S509 S510 S511 S512 S513 S514 S515 S516:S517 S518 S519 S520:T520 S522 S523 S524 S525 S528:T528 S529 S531:T531 S534 S535 S536 S537 S538 S539 S540 S541 S542 S543 S544 S545 S546 S547 S548 S549 S550 S551 S552 S553 S554 S555 S556 S557 S558 S559 S560 S561 S562 S563 S564 S565 S566 S567 S568 S569 S570 S571 S572 S573 S574 S575 S576 S577 S578 S579 S580 S581 S582 S583 S584 S585 S586 S587 S588 S589 S590 S591 S592 S593 S594 S595 S596 S597 S598 S599 S600 S601 S602 S603 S605 S606 S607 S608 S609 S610 S611 S612 S613 S614 S615 S616 S617 S618 S619 S620 S621 S622 S623 S624 S625 S626 S627 S628 S629 S630 S631 S632 S633 S634 S635 S636 S637 S638 S639 S640 S641 S642 S643 S644 S645 S646 S649 S650 S651 S652 S653 S655 S657:S658 S659 S660 S661 S662 S663 S664 S665 S666 S667 S668 S669 S670 S671 S672 S673 S674 S675 S676 S677 S678 S679 S680 S681 S682 S683 S684 S685 S686 S687 S688 S689 S690 S691 S692 S693 S694 S695 S696 S697 S698 S699 S700 S701 S702 S703 S704 S705 S706 S707 S708 S709 S710 S711 S712 S713 S714 S715 S716 S717 S718 S719 S720 S721 S722 S723 S724 S725 S726 S727 S728 S729 S730 S731 S732 S733 S734 S735 S736 S737 S738 S739 S740 S741 S742 S743 S744 S745 S746 S747 S748 S749 S750 S751 S752 S753 S754 S755 S756 S757 S758 S759 S760 S761 S762 S763 S764 S765 S766 S767 S768 S769 S770 S771 S772 S773 S774 S775 S776 S777 S778 S779 S780 S781 S782 S783 S784 S785 S786 S787 S788 S789 S790 S791 S792 S793 S794 S795 S796 S797 S798 S799:S800 S801 S802 S803 S804 S805 S806 S807 S808 S809 S810 S811 S812 S813 S814 S815 S816 S817 S818 S819 S820 S821 S822 S823 S824 S825 S826 S827 S828 S829 S830 S831 S832 S833 S834 S835 S836 S837 S838 S839 S840:S841 S842 S843 S844 S845 S846 S847 S848 S849 S850 S851 S852 S853 S854 S855 S856 S857 S858 S859 S860 S861 S862 S863 S864 S865 S866 S867 S868 S869 S870 S871 S872 S873 S874 S875 S876 S877 S878 S879 S880 S881 S882 S883 S884 S885 S886 S887 S888 S889 S890 S891 S892 S893 S894 S895 S896 S897 S898 S899 S900 S901 S902 S903 S904 S905 S906 S907 S908 S909 S910 S911 S912 S913 S914 S915 S916 S917 S918 S919 S920:S925 S926 S927 S928 S929 S930 S931 S932:S933 S934 S935 S936 S937 S938 S939 S940 S941 S942 S943 S944 S945 S946 S947 S948 S949 S950 S951:S953 S954 S955 S956 S957 S958 S959 S960 S961 S962 S963 S964 S965 S966:S976 S977 S978 S979 S980 S981 S982 S983 S984 S985 S986 S987 S988 S989 S990 S991 S992 S993 S994 S995 S996 S997 S998 S999 T1000 T1001 T1002 T1003 T1004 T1005 T1006 T1007 T1008 T1009 T1010 T1011 T1012 T1013 T1014 T1015 T1016 T1017 T1018 T1019 T1020 T1021 T1022 T1023 T1024 T1025 T1026 T1027 T1028 T1029 T1030 T1031 T1032 T1033 T1034 T1035 T1036 T1037 T1038 T1039 T1040 T1041 T1042 T1043 T1044 T1045 T1046 T1047 T1048 T1049 T1050 T1051 T1052 T1053 T1054 T1055 T1056 T1057 T1058 T1059 T1060 T1061 T1062 T1063 T1064 T1065 T1066 T1067 T1068 T1069 T1070 T1071 T1072 T1073 T1074 T1075 T1076 T1077 T1078 T1079 T1080 T1081 T1082 T1083 T1084 T1085 T1086 T1087 T1088 T1089 T1090 T1091 T1092 T1093 T1094 T1095 T1096 T1097 T1098 T1099 T1100 T1101 T1102 T1103 T1104 T1105 T1106 T1107 T1108 T1109 T1110 T1111 T1112 T1113 T1114 T1115 T1116 T1117 T1118 T1119 T1120 T1121 T1122 T1123 T1124 T1125 T1126 T1127 T1128 T1129 T1130 T1131 T1132 T1133 T1134 T1135 T1136 T1137 T1138 T1139 T1140 T1141 T1142 T1143 T1144 T1145 T1146 T1147 T1148 T1149 T1150 T1151 T1152 T1153 T1154 T1155 T1156 T1157 T1158 T1159 T1160 T1161 T1162 T1163 T1164 T1165 T1166 T1167 T1168 T1169 T1170 T1171 T1172 T1173 T1174 T1175 T1176 T1177 T1178 T1179 T118 T1180 T1181 T1182 T1183 T1184 T1185 T1186 T1187 T1188 T1189 T1190 T1191 T1192 T1193 T1194 T1195 T1196 T1197 T1198 T1199 T1200 T1201 T1202 T1203 T1204 T1205 T1206 T1207 T1208 T1209 T1210 T1211 T1212 T1213 T1214 T1215 T1216 T1217 T1218 T1219 T1220 T1221 T1222 T1223 T1224 T1225 T1226 T1227 T1228 T1229 T1230 T1231 T1232 T1233 T1234 T1235 T1236 T1237 T1238 T1239 T1240 T1241 T1242 T1243 T1244 T1245 T1246 T1247 T1248 T1249 T1250 T1251 T1252 T1253 T1254 T1255 T1256 T1257 T1258 T1259 T1260 T1261 T1263 T1264 T1265 T1266 T1267 T1268 T1269 T1270 T1271 T1272 T1273 T1274 T1275 T1276 T1277:T1279 T1280 T1281 T1282 T1283 T1284 T1285 T1286 T1287 T1288 T1289 T1290 T1291 T1292 T1293 T1294 T1295 T1296 T1297 T1298 T1299 T1300 T1301 T1302 T1303 T1304 T1305 T1306 T1307 T1308 T1309 T1310 T1311 T1312 T1313 T1314 T1315 T1316 T1317 T1318 T1319 T1320 T1321 T1322 T1323 T1324 T1325 T1326 T1327:T1329 T1330 T1331 T1332 T1333 T1334 T1335 T1336 T1337 T1338 T1339 T1340 T1341 T1342 T1343 T1344 T1345 T1346 T1347 T1348 T1349 T1350 T1351 T1352 T1353 T1354 T1355 T1356 T1357 T1358 T1359 T1360 T1361 T1362 T1363 T1364 T1365 T1366 T1367 T1368 T1369 T1370 T1371 T1372 T1373 T1374 T1375 T1376 T1377 T1378 T1379 T1380 T1381 T1382 T1383 T1384 T1385 T1386 T1387 T1388 T1389 T1390 T1391 T1392 T1393 T1394 T1395 T1396 T1397 T1398 T1399 T13:T24 T1400 T1401 T1402 T1403 T1404 T1405 T1406 T1407 T1408 T1409 T1410 T1411 T1412 T1413 T1414 T1415 T1416 T1417 T1418 T1419 T1420 T1421 T1422 T1423 T1424 T1425 T1426 T1427 T1428 T1429 T1430 T1431 T1432 T1433 T1434 T1435 T1436 T1437 T1438 T1439 T1440 T1441 T1442 T1443 T1444 T1445 T1446 T1447 T1448 T1449 T1450 T1451 T1452 T1453 T1454 T1455 T1456 T1457 T1458 T1459 T1460 T1461:T1462 T1463 T1464 T1465 T1466 T1467 T1468 T1469 T1470 T1471 T1472 T1473 T1474 T1475 T1476 T1477 T1478 T1479 T1480 T1481 T1482 T1484 T1485 T1486 T1487 T1488 T1489 T1490 T1491 T1492 T1493 T1494 T1495 T1496 T1497 T1498 T1499 T1500 T1501 T1502 T1503 T1504 T1505 T1506 T1507 T1508 T1509 T1510 T1511 T1512 T1513 T1514 T1515:T1518 T1519 T1520 T1521 T1522 T1523 T1524 T1525 T1526 T1527 T1528 T1529 T1530 T1531 T1532 T1533 T1534 T1535 T1536 T1537 T1538 T1539 T1540 T1541 T1542 T1543 T1544 T1545 T1546 T1547 T1548 T1549 T1550 T1551 T1552 T1553 T1554 T1555 T1556 T1557 T1558 T1559 T156 T1560 T1561 T1562 T1563 T1564 T1565 T1566 T1567 T1568 T1569 T157 T1570 T1571 T1572 T1573 T1574 T1575 T1576 T1577 T1578 T1579 T158 T1580 T1581 T1582 T1583 T1584 T1585 T1586 T1587 T1588 T1589 T159 T1590 T1591 T1592 T1593 T1594 T1595 T1596 T1597 T1598 T1599 T160 T1600 T1601:T1602 T1603:T1604 T1605:T1606 T1607 T1608 T1609 T161 T1610 T1611 T1612 T1613 T1614 T1615 T1616:T1617 T1618:T1620 T162 T1621 T1622:T1626 T1627:T1629 T163 T1630:T1631 T1632:T1633 T1634 T1635 T1636 T1637 T1638:T1640 T1641 T1642 T1643:T1645 T1646 T1647 T1648 T1649 T1650 T1651 T1652 T1653 T1654 T1655 T1656 T1657 T1658 T1659 T165:T170 T1660 T1661 T1662 T1663 T1664 T1665:T1666 T1667 T1668:T1669 T1670 T1671 T1672 T1673 T1674 T1675 T1676 T1677 T1678 T1679 T1680 T1681 T1682 T1683 T1684 T1685 T1686 T1687 T1688 T1689 T1690 T1691 T1692 T1693:T1694 T1695 T1696 T1697 T1698 T1699 T1700 T1701 T1702 T1703 T1704 T1705 T1706 T1707 T1708 T1709 T1710 T1711 T1712 T1713:T1716 T1717 T1718 T1719 T1720 T1721 T1722 T1723:T1726 T1727 T1728 T1729:T1731 T1732:T1733 T1734 T1735 T1736 T1737 T1738 T1739 T1740 T1741 T1742 T1743 T1744 T1745:T1746 T1747 T1748 T1749 T1750 T1751 T1752 T1753 T1754 T1755 T1756 T1757 T1758 T1759 T176 T1760 T1761 T1762 T1763 T1764 T1765 T1766 T1767 T1768 T237 T238 T239 T240 T241 T242 T243 T244 T245 T246 T247 T248 T249 T250 T251 T252 T253 T254 T255:T260 T25:T37 T270 T283 T300 T355:T356 T368 T373:T377 T380 T385 T38:T63 T391 T395:T396 T397 T398 T399 T400:T401 T402 T403 T405 T407:T408 T410:T411 T413 T416 T420 T427 T428 T429 T430 T432 T438 T439 T440 T441:T452 T453 T454 T455 T456 T457 T458 T459 T460 T461 T462 T463 T464 T466 T467 T468 T469 T470 T471 T472 T473 T474 T475 T476 T477 T478 T479 T480 T481 T482 T483 T486 T491 T492 T497 T499:T508 T509 T510 T511 T512 T513 T514 T515 T516 T517 T518 T519 T522 T523 T524 T525 T526 T529 T534 T535 T536 T537 T538 T539 T540 T543 T545:T548 T549 T550 T551 T552 T553 T554 T555 T556 T557 T558:T569 T570 T571 T572 T573 T574 T575 T576 T577 T578 T579:T580 T581:T584 T585 T586 T587:T592 T593 T594 T595 T596 T597:T599 T600:T601 T602:T613 T614 T615 T616 T617 T618 T619 T620 T621 T622 T623 T624 T625 T626 T627 T628 T629 T630 T631 T632 T633 T634 T635 T636 T637:T640 T641 T642 T643 T644 T645:T653 T65 T654 T655:T657 T658:T691 T66 T67:T69 T692:T727 T70:T78 T728:T748 T749:T750 T751 T752:T754 T755:T765 T766:T767 T768:T782 T783 T784 T785:T824 T825:T836 T837:T838 T839:T846 T847 T848 T849 T850:T854 T855 T856:T858 T859:T860 T861:T865 T866:T868 T869:T872 T873:T874 T875 T876 T877:T886 T887 T888 T889 T890 T891:T895 T896 T897:T898 T899 T900 T901 T902 T903 T904 T905 T906 T907 T908 T909 T910 T911 T912 T913 T914 T915 T916 T917 T918 T919 T920 T921 T922 T923 T924 T925 T926 T927 T928 T929 T930 T931 T932 T933 T934 T935 T936 T937 T938 T939 T940 T941 T942 T943 T944 T945 T946 T947 T948 T949 T950 T951 T952 T953 T954 T955 T956 T957 T958 T959 T960 T961 T962 T963 T964 T965 T966 T967 T968 T969 T970 T971 T972 T973 T974 T975 T976 T977 T978 T979 T980 T981 T982 T983 T984 T985 T986 T987 T988 T989:T991 T992 T993 T994 T995 T996 T997 T998 T999 U1000 U1001 U1002 U1003 U1004 U1005 U1006 U1007 U1008 U1009 U1010 U1011 U1012 U1013 U1014 U1015 U1016 U1017 U1018 U1019 U1020 U1021 U1022 U1023 U1024 U1025 U1026 U1027 U1028 U1029 U1030 U1031 U1032 U1033 U1034 U1035 U1036 U1037 U1038 U1039 U103:U110 U1040 U1041 U1042 U1043 U1044 U1045 U1046 U1047 U1048 U1049 U1050 U1051 U1052 U1053 U1054 U1055 U1056 U1057 U1058 U1059 U1060 U1061 U1062 U1063 U1064 U1065 U1066 U1067 U1068 U1069 U1070 U1071 U1072 U1073 U1074 U1075 U1076 U1077 U1078 U1079 U1080 U1081 U1082 U1083 U1084 U1085 U1086 U1087 U1088 U1089 U1090 U1091 U1092 U1093 U1094 U1095 U1096:U1098 U1099 U1100 U1101 U1102 U1103 U1104 U1105 U1106 U1107 U1108 U1109 U1110 U1111 U1112 U1113 U1114 U1115 U1116 U1117 U1118 U1119 U111:U115 U1120 U1121 U1122 U1123:U1133 U1134 U1135 U1136 U1137 U1138 U1139 U1140 U1141 U1142 U1143 U1144 U1145 U1146 U1147 U1148 U1149 U1150 U1151 U1152 U1153 U1154 U1155 U1156 U1157 U1158 U1159 U1160 U1161 U1162 U1163 U1164 U1165 U1166 U1167 U1168 U1169 U116:U120 U1170 U1171 U1172 U1173 U1174 U1175 U1176 U1177 U1178 U1179 U1180 U1181 U1182 U1183 U1184 U1185 U1186 U1187 U1188 U1189 U1190 U1191 U1192 U1193 U1194 U1195 U1196 U1197 U1198 U1199 U1200 U1201 U1202 U1203 U1204 U1205 U1206 U1207 U1208 U1209 U1210 U1211 U1212:U1213 U1214 U1215 U1216 U1217 U1218 U1219 U121:U128 U1220 U1221 U1222 U1223 U1224 U1225:U1226 U1227 U1228 U1229 U1230 U1231 U1232 U1233 U1234 U1235 U1236 U1237 U1238 U1239 U1240 U1241 U1242 U1243 U1244:U1245 U1246 U1247 U1248 U1249 U1250 U1251 U1252 U1253 U1254 U1255 U1256 U1257 U1258 U1259 U1260 U1261 U1262 U1263 U1264 U1265 U1266 U1267 U1268 U1269:U1270 U1271 U1272 U1273 U1274 U1275 U1276 U1277 U1278:U1279 U1280 U1281 U1282:U1283 U1284 U1285 U1286 U1287 U1288 U1289 U1290 U1291 U1292 U1293 U1294 U1295 U1296 U1297 U1298 U1299 U129:U136 U1300 U1301 U1302 U1303 U1304 U1305 U1306 U1307 U1308 U1309 U1310 U1311 U1312 U1313 U1314 U1315 U1316 U1317 U1318 U1319 U1320 U1321 U1322 U1323 U1324 U1325 U1326 U1327 U1328 U1329 U1330 U1331 U1332 U1333 U1334 U1335 U1336 U1337 U1338 U1339 U1340 U1341 U1342 U1343 U1344 U1345 U1346 U1347 U1348 U1349 U1350 U1351 U1352 U1353 U1354 U1355 U1356 U1357 U1358 U1359 U1360 U1361 U1362 U1363 U1364 U1365 U1366 U1367 U1368 U1369 U1370 U1371 U1372 U1373 U1374 U1375 U1376 U1377 U1378 U1379 U137:U195 U1380 U1381 U1382 U1383 U1384 U1385 U1386 U1387 U1388 U1389 U1390 U1391 U1392 U1393 U1394:U1395 U1396 U1397 U1398 U1399 U1400 U1401 U1402 U1403 U1404 U1405 U1406 U1407 U1408 U1409 U1410 U1411 U1412 U1413 U1414 U1415 U1416 U1417 U1418 U1419 U1420 U1421 U1422 U1423 U1424 U1425 U1426 U1427 U1428 U1429 U1430 U1431 U1432 U1433 U1434 U1435 U1436 U1437 U1438 U1439 U1440 U1441 U1442 U1443 U1444 U1445 U1446 U1447 U1448 U1449 U1450 U1451:U1452 U1453 U1454 U1455 U1456 U1457 U1458 U1459 U1460 U1461:U1464 U1465 U1466:U1467 U1468 U1469 U1470 U1471 U1472 U1473 U1474 U1475 U1476 U1477 U1478 U1479 U1480 U1481 U1482 U1483 U1484 U1485 U1486 U1487 U1488 U1489 U1490 U1491 U1492 U1493 U1494 U1495 U1496 U1497 U1498 U1499 U1500 U1501 U1502 U1503 U1504 U1505 U1506 U1507 U1508 U1509 U1510 U1511 U1512 U1513 U1514 U1515 U1516 U1517 U1518 U1519 U1520 U1521 U1522 U1523 U1524 U1525 U1526 U1527 U1528 U1529 U1530 U1531 U1532 U1533 U1534 U1535 U1536 U1537 U1538 U1539 U1540 U1541 U1542 U1543 U1544 U1545 U1546 U1547 U1548 U1549 U1550 U1551 U1552 U1553 U1554 U1555 U1556 U1557 U1558 U1559 U1560 U1561 U1562 U1563 U1564 U1565 U1566 U1567 U1568 U1569 U1570 U1571 U1572 U1573 U1574 U1575 U1576 U1577 U1578 U1579 U1580 U1581 U1582 U1583 U1584 U1585 U1586 U1587 U1588 U1589 U1590 U1591 U1592 U1593 U1594 U1595 U1596 U1597 U1598 U1599 U1600 U1601:U1602 U1603 U1604 U1605:U1606 U1607 U1608 U1609 U1610 U1611:U1612 U1613 U1614 U1615 U1616 U1617 U1618 U1619 U1620 U1621 U1622 U1623 U1624 U1625 U1626 U1627 U1628:U1629 U1630:U1631 U1632 U1633 U1634 U1635 U1636 U1637 U1638:U1639 U1640 U1641 U1642 U1643 U1644 U1645:U1646 U1647 U1648 U1649 U1650 U1651 U1652 U1653 U1654 U1655 U1656 U1657 U1658 U1659 U1660 U1661 U1662 U1663 U1664 U1665:U1666 U1667 U1668 U1669 U1670 U1671:U1672 U1673 U1674 U1675 U1676 U1677 U1678 U1679 U1680 U1681 U1682 U1683 U1684 U1685 U1686 U1687 U1688 U1689 U1690 U1691 U1692:U1694 U1695:U1696 U1697 U1698 U1699 U1700:U1701 U1702:U1703 U1704 U1705 U1706 U1707:U1709 U1710 U1711 U1712 U1713 U1714 U1715 U1716 U1717 U1718 U1719 U1720:U1723 U1724 U1725:U1726 U1727 U1728 U1729 U1730 U1731 U1732 U1733 U1734 U1735 U1736 U1737 U1738 U1739 U1740 U1741 U1742 U1743 U1744 U1745 U1746 U1747 U1748 U1749 U1750 U1751 U1752 U1753 U1754 U1755 U1756 U1757:U1758 U1759 U1760 U1761 U1762:U1763 U1764 U1765 U1766 U1767 U1768 U196 U197:U199 U200:U307 U28 U29 U30 U308 U313:U324 U31:U35 U325:U327 U328 U329:U350 U351 U352:U424 U36:U38 U39:U44 U425 U426:U498 U45:U50 U499 U500 U501 U502 U503 U504 U505 U506 U507 U508 U509:U558 U51:U56 U559 U560 U561 U562 U563 U564 U565 U566 U567 U568 U569 U570:U691 U57:U62 U63:U68 U69 U692 U693 U694 U695 U696 U697 U698 U699 U70 U700 U701 U702 U703 U704 U705 U706 U707 U708 U709 U71 U710 U711 U712 U713 U714 U715 U716 U717 U718 U719 U720 U721 U722 U723 U724 U725 U726 U727 U728:U735 U72:U74 U736 U737:U801 U75 U76 U77 U78 U79:U89 U802 U803:U837 U838 U839:U850 U851 U852:U860 U861 U862 U863 U864 U865 U866:U869 U870 U871:U874 U875 U876 U877:U878 U879 U880 U881 U882:U883 U884 U885 U886 U887 U888 U889 U890 U891 U892 U893 U894 U895 U896 U897 U898 U899 U8:U27 U90 U900 U901 U902 U903 U904 U905 U906 U907 U908 U909 U91 U910 U911 U912 U913 U914 U915 U916 U917 U918 U919 U920 U921 U922 U923 U924 U925 U926 U927 U928 U929 U92:U97 U930 U931 U932 U933 U934:U935 U936 U937 U938 U939 U940 U941 U942 U943 U944 U945 U946 U947 U948 U949 U950 U951 U952 U953 U954 U955 U956 U957 U958 U959 U960 U961 U962 U963 U964 U965 U966 U967 U968 U969 U970 U971 U972 U973 U974 U975 U976 U977 U978 U979 U980 U981 U982 U983 U984 U985 U986 U987 U988 U989 U98:U102 U990 U991 U992 U993 U994 U995 U996 U997 U998 U999 V1008 V1009 V1010 V1011 V1012 V1013 V1014 V1015 V1016 V1017 V1018 V1019 V1020 V1021 V1022 V1023 V1024 V1025 V1026 V1027 V1028 V1029:V1036 V1037 V1038:V1041 V1042 V1043:V1044 V1045 V1046 V1047 V1048 V1049 V1050 V1051 V1052:V1054 V1055 V1056 V1057 V1058 V1059 V1060 V1061 V1062 V1063 V1064 V1065:V1066 V1067 V1068 V1069 V1070 V1071 V1072 V1073:V1076 V1077 V1078 V1079 V1080 V1081 V1082 V1083 V1084 V1085 V1086 V1087 V1088 V1089 V1090 V1091 V1092 V1093:V1094 V1095 V1096 V1097 V1098 V1099 V1100 V1101 V1102 V1103 V1104 V1105 V1106 V1107 V1108 V1109 V1110 V1111 V1112 V1113 V1114 V1115 V1116 V1117 V1118 V1119 V1120 V1121 V1122 V1122:V1133 V1124 V1125 V1126 V1127 V1128 V1129 V1130 V1131 V1132 V1133 V1134 V1135:V1138 V1139 V1140 V1141 V1142 V1143 V1144 V1145 V1146 V1147 V1148 V1149 V1150 V1151 V1152 V1153 V1154 V1155 V1156 V1157 V1158 V1159 V1160 V1161 V1162 V1163 V1164 V1165 V1166 V1167 V1168 V1169 V1170 V1171 V1172 V1173 V1174 V1175 V1176 V1177 V1178 V1179 V1180 V1181 V1182 V1183 V1184 V1185 V1186 V1187 V1188 V1189 V1190 V1191 V1192 V1193:V1203 V1204 V1205 V1206 V1207 V1208 V1209 V1210 V1211 V1212 V1213 V1214 V1215 V1216 V1217 V1218 V1219 V1220 V1221 V1222 V1223 V1224 V1225 V1226:V1228 V1229 V1230 V1231 V1232 V1233 V1234:V1235 V1236 V1237 V1238 V1239 V1240 V1241 V1242 V1243 V1244 V1245 V1246 V1247 V1248 V1249 V1250 V1251 V1252 V1253 V1254 V1255 V1256 V1257 V1258 V1259:V1261 V1262:W1262 V1263 V1264 V1265 V1266 V1267 V1268 V1269 V1270 V1271 V1272 V1273 V1274 V1275 V1276:V1279 V1280 V1281 V1282 V1283 V1284 V1285 V1286 V1287 V1288 V1289 V1290 V1291 V1292 V1293 V1294 V1295 V1296 V1297 V1298 V1299 V1300 V1301 V1302 V1303 V1304 V1305 V1306 V1307 V1308 V1309:V1311 V1312 V1313 V1314 V1315 V1316 V1317 V1318 V1319 V1320 V1321 V1322 V1323 V1324 V1325 V1326 V1327:V1329 V1330 V1331:V1341 V1342 V1343 V1344:V1378 V1379 V1380 V1381 V1382 V1383 V1384 V1385 V1386 V1387 V1388 V1389 V1390 V1391 V1392 V1393 V1394 V1395 V1396 V1397 V1398 V1399 V1400 V1401 V1402 V1403 V1404 V1405 V1406 V1407 V1408 V1409 V1410 V1411 V1412 V1413 V1414 V1415 V1416 V1417 V1418 V1419 V1420 V1421:V1424 V1425 V1426 V1427 V1428 V1429 V1430 V1431 V1432 V1433 V1434 V1435 V1436 V1437 V1438 V1439 V1440:V1449 V1450 V1451 V1452 V1453 V1454 V1455:V1459 V1460 V1461 V1462 V1463 V1464 V1465 V1466 V1467 V1468 V1469 V1470 V1471 V1472 V1473 V1474 V1475 V1476 V1477 V1478 V1479 V1480 V1481 V1482 V1483:W1483 V1484 V1485 V1486 V1487 V1488 V1489 V1490 V1491 V1492 V1493 V1494 V1495 V1496 V1497 V1498 V1499 V1500 V1501 V1502 V1503 V1504 V1505 V1506 V1507 V1508 V1509 V1510 V1511 V1512 V1513 V1514 V1515:V1518 V1519 V1520:V1530 V1531 V1532 V1533 V1534 V1535 V1536 V1537 V1538 V1539 V1540 V1541 V1542 V1543 V1544 V1545 V1546 V1547 V1548:V1549 V1550 V1551 V1552 V1553 V1554:V1556 V1557 V1558:V1566 V1567 V1568 V1569 V1570 V1571 V1572 V1573 V1574:V1584 V1585 V1586 V1587 V1588 V1589 V1590 V1591 V1592 V1593 V1594 V1595 V1596 V1597 V1598:V1600 V1601 V1602 V1603:V1604 V1605:V1606 V1607 V1608 V1609 V1610 V1611 V1612 V1613 V1614:V1615 V1616:V1617 V1618 V1619 V1620 V1621 V1622 V1623 V1624 V1625:V1626 V1627 V1628:V1629 V1630:V1631 V1632 V1633 V1634 V1635 V1636 V1637 V1638:V1640 V1641 V1642 V1643 V1644 V1645 V1646 V1647 V1648 V1649 V1650 V1651 V1652 V1653 V1654 V1655 V1656 V1657 V1658 V1659 V1660 V1661 V1662 V1663 V1664 V1665:V1666 V1667:V1669 V1670 V1671 V1672:V1674 V1675:V1677 V1678:V1680 V1681:V1683 V1684 V1685 V1686 V1687:V1689 V1690:V1691 V1692 V1693 V1694 V1695 V1696 V1697 V1698 V1699 V1700 V1701 V1702 V1703 V1704 V1705 V1706 V1707 V1708 V1709 V1710 V1711 V1712 V1713 V1714 V1715 V1716 V1717 V1718 V1719 V1720 V1721 V1722 V1723 V1724 V1725:V1726 V1727 V1728 V1729:V1731 V1732:V1733 V1734 V1735 V1736 V1737:V1738 V1739 V1740 V1741 V1742 V1743 V1744 V1745:V1746 V1747 V1748 V1749 V1750 V1751 V1752 V1753 V1754 V1755 V1756 V1757:V1758 V1759 V1760 V1761 V1762 V1763 V1764 V1765 V1766 V1767 V1768 V237:W237 V238:W238 V239:W239 V240:W240 V241:W241 V242:W242 V243:W243 V244:W245 V246:W246 V247:W248 V249:W249 V250:W251 V252:W308 V313:XFD351 V352:W352 V353:V364 V365:W367 V368 V369:W369 V370:V371 V372 V373 V374 V375 V376 V377 V378:W378 V379:V380 V381:W381 V382:W382 V383:V388 V389:W389 V390:W390 V391:W391 V392:V394 V395:W395 V396 V397 V398 V399:V401 V402:V403 V404:W404 V405:W405 V406 V407:W408 V409 V410:W411 V412:V413 V414:W415 V416:V420 V421:W423 V424:V427 V428:W428 V429:V432 V433:W434 V435:W436 V437:V438 V439:W439 V440 V441 V442:V451 V452 V453 V454 V455 V456 V457 V458 V459 V460 V461:V462 V463 V464 V465:V467 V468:W468 V469 V470 V471 V472:W472 V473 V474 V475:W475 V476:W476 V477:W477 V478:W478 V479:W479 V480:W480 V481:W481 V482:W482 V483:V485 V486:W486 V487:V498 V499:W499 V500:V501 V502 V503 V504 V505 V506 V507 V508 V509 V510 V511 V512:V513 V514:W514 V515:V521 V522:W522 V523:W523 V524:W524 V525:W525 V526:V532 V533:W533 V534:W534 V535:W535 V536 V537:V544 V545 V546 V547 V548 V549 V550 V551 V552 V553 V554 V555 V556 V557 V558:W558 V559:V569 V570 V571:V572 V573:W573 V574:V575 V576:W576 V577:V578 V579:W579 V580:W580 V581:W581 V582:V583 V584:W584 V585 V586 V587:V589 V590:W590 V591 V592 V593 V594 V595 V596 V597 V598 V599 V600 V601 V602:V612 V613:W613 V614:W614 V615 V616 V617 V618:V620 V621 V622:V644 V645:W645 V646:V661 V662:W662 V663:V666 V667:W667 V668:V671 V672:W672 V673:V677 V678:W678 V679:V680 V681:W681 V682:V683 V684:W684 V685:W685 V686:W686 V687:V691 V692 V693 V694:V696 V697:V699 V700:V701 V702 V703:V705 V706:V707 V708:V709 V70:W236 V710:V712 V713:V715 V716:V718 V719:V721 V722:V724 V725:V727 V728:V731 V732:W732 V733 V734 V735:V736 V737:V738 V739 V740 V741 V742 V743 V744:V746 V747 V748 V749 V750 V751 V752 V753 V754 V755:V757 V758:W758 V759:W759 V760:V767 V768:W768 V769:V772 V773 V774 V775 V776 V777 V778:W778 V779:V780 V781:W781 V782:W782 V783:W783 V784 V785:V792 V793:W793 V794 V795 V796:V797 V798:W798 V799:V802 V803:W803 V804 V805:W805 V806:W806 V807 V808:V809 V810:W810 V811:V812 V813:W813 V814 V815 V816 V817 V818:V821 V822 V823:W823 V824:W824 V825 V826:V836 V837 V838 V839:W839 V840:V841 V842:W842 V843:V844 V845:W845 V846 V847 V848 V849 V850 V851 V852:V858 V859:W859 V860 V861:W861 V862:W862 V863:W863 V864:W864 V865:W865 V866:V868 V869:W869 V870:W870 V871 V872 V873 V874:W874 V875 V876 V877 V878:W878 V879 V880 V881 V882 V883:V886 V887:W887 V888 V889 V890 V891:V893 V894:W894 V895:V898 V899 V8:W69 V900 V901 V902 V903 V904 V905:V911 V912 V913 V914 V915 V916 V917:V918 V919 V920:V926 V927 V928 V929:V937 V938 V939:V941 V942 V943 V944 V945 V946 V947 V948 V949 V950 V951:V963 V964 V965 V966 V967 V968 V969 V970 V971 V972 V973 V974 V975 V976 V977 V978 V979 V980 V981 V982 V983 V984 V985 V986 V987 V988:V1007 W1000 W1001 W1002 W1003 W1004 W1005:W1006 W1007 W1008 W1009 W1010 W1011 W1012 W1013 W1014 W1015 W1016 W1017 W1018 W1019 W1020 W1021 W1022 W1023 W1024 W1025 W1026 W1027 W1028 W1029 W1030 W1031 W1032 W1033 W1034 W1035 W1036 W1037 W1038 W1039 W1040 W1041 W1042 W1043 W1044 W1045 W1046 W1047 W1048 W1049 W1050 W1051 W1052 W1053 W1054 W1055 W1056 W1057 W1058 W1059 W1060 W1061 W1062 W1063 W1064 W1065 W1066 W1067 W1068 W1069 W1070 W1071 W1072 W1073 W1074 W1075 W1076 W1077 W1078 W1079 W1080 W1081 W1082:W1085 W1086 W1087 W1088 W1089 W1090 W1091 W1092 W1093 W1094 W1095 W1096 W1097 W1098 W1099 W1100 W1101 W1102 W1103 W1104 W1105 W1106 W1107 W1108 W1109 W1110 W1111 W1112 W1113 W1114:W1121 W1122 W1123 W1124 W1125 W1126 W1127 W1128 W1129 W1130 W1131 W1132 W1133 W1134 W1135 W1136 W1137 W1138 W1139 W1140:W1142 W1143 W1144 W1145 W1146 W1147 W1148 W1149 W1150 W1151 W1152:W1154 W1155 W1156 W1157 W1158 W1159 W1160 W1161 W1162 W1163 W1164 W1165 W1166 W1167 W1168 W1169 W1170 W1171 W1172 W1173 W1174 W1175 W1176 W1177 W1178 W1179 W1180 W1181 W1182 W1183 W1184 W1185 W1186 W1187 W1188 W1189 W1190 W1191 W1192 W1193 W1194 W1195 W1196 W1197 W1198 W1199 W1200 W1201 W1202 W1203 W1204 W1205 W1206 W1207 W1208 W1209 W1210 W1211 W1212 W1213 W1214 W1215 W1216 W1217 W1218 W1219 W1220 W1221 W1222 W1223 W1224 W1225 W1226 W1227 W1228 W1229 W1230 W1231 W1232 W1233 W1234 W1235 W1236 W1237 W1238 W1239 W1240 W1241 W1242 W1243 W1244 W1245 W1246 W1247 W1248 W1249 W1250 W1251 W1252 W1253 W1254 W1255 W1256 W1257 W1258 W1259 W1260:W1261 W1263 W1264 W1265 W1266 W1267 W1268 W1269 W1270 W1271 W1272 W1273 W1274 W1275 W1276 W1277 W1278 W1279 W1280 W1281 W1282 W1283 W1284 W1285 W1286 W1287 W1288 W1289 W1290 W1291 W1292 W1293 W1294 W1295 W1298 W1299 W1300 W1301 W1302 W1303 W1304 W1305 W1306 W1307 W1308:W1311 W1312 W1313 W1314 W1315 W1316 W1317 W1318 W1319 W1320 W1321 W1322 W1323 W1324 W1325 W1326 W1327 W1329 W1330 W1331 W1332 W1333 W1334 W1335 W1336 W1337 W1338 W1339 W1340 W1341 W1342 W1343 W1344 W1345 W1346 W1347 W1348 W1349 W1350 W1351 W1352 W1353 W1354 W1355 W1356 W1357 W1358 W1359 W1360 W1361 W1362 W1363 W1364 W1365 W1366 W1367 W1368 W1369 W1370 W1371 W1372 W1373 W1374 W1375 W1376 W1377 W1378 W1379 W1380 W1381 W1382 W1383 W1384 W1385 W1386 W1387 W1388 W1389 W1390 W1391 W1392 W1393 W1394 W1395 W1396 W1397 W1398 W1399 W1400 W1401 W1402 W1403 W1404 W1405 W1406 W1407 W1408 W1409 W1410 W1411 W1412 W1413 W1414 W1415 W1416 W1417 W1418 W1419 W1420 W1421 W1422:W1424 W1425 W1426 W1427 W1428 W1429 W1430 W1431 W1432 W1433 W1434 W1435 W1436 W1437 W1438 W1439 W1440 W1441 W1442 W1443 W1444 W1445 W1446 W1447 W1448 W1449 W1450 W1451 W1452 W1453 W1454 W1455 W1456 W1457 W1458 W1459 W1460 W1461 W1462 W1463 W1464 W1465 W1466 W1467 W1468 W1469 W1470 W1471 W1472 W1473 W1474 W1475 W1476 W1477 W1478 W1479 W1480 W1481 W1482 W1484 W1485 W1486 W1487 W1488 W1489 W1490 W1491 W1492 W1493 W1494 W1495 W1496 W1497 W1498 W1499 W1500 W1501 W1502 W1503 W1504 W1505 W1506 W1507 W1508 W1509 W1510 W1511 W1512 W1513 W1514 W1515 W1516 W1517 W1518 W1519 W1520 W1521 W1522 W1523 W1524 W1525 W1526 W1527 W1528 W1529 W1530 W1531 W1532 W1533 W1534 W1535 W1536 W1537 W1538 W1539 W1540 W1541 W1542 W1543 W1544 W1545 W1546 W1547 W1548 W1549 W1550 W1551 W1552 W1553 W1554 W1555 W1556 W1557 W1558 W1559 W1560 W1561 W1562 W1563 W1564 W1565 W1566 W1567 W1568 W1569 W1570 W1571 W1572 W1573 W1574 W1575 W1576 W1577 W1578 W1579 W1580 W1581 W1582 W1583 W1584 W1585 W1586 W1587 W1588 W1589 W1590 W1591 W1592 W1593 W1594 W1595 W1596 W1597 W1598 W1599 W1600 W1601 W1602 W1603 W1604 W1605 W1606 W1607 W1608 W1609 W1610 W1611 W1612 W1613 W1614 W1615 W1616 W1617 W1618 W1619 W1620 W1621 W1622 W1623 W1624 W1625 W1626 W1627 W1628 W1629 W1630 W1631 W1632 W1633 W1634 W1635 W1636 W1637 W1638 W1639 W1640 W1641 W1642 W1643 W1644 W1645 W1646 W1647 W1648 W1649 W1650 W1651 W1652 W1653 W1654 W1655 W1656 W1657 W1658 W1659 W1660 W1661 W1662 W1663 W1664 W1665 W1666 W1667:W1668 W1669 W1670 W1671 W1672 W1673 W1674 W1675 W1676 W1677 W1678 W1679 W1680 W1681 W1682 W1683 W1684 W1685 W1686 W1687 W1688 W1689 W1690 W1691 W1692 W1693 W1694 W1695 W1696 W1697 W1698 W1699 W1700 W1701 W1702 W1703 W1704 W1705 W1706 W1707 W1708 W1709 W1710 W1711 W1712 W1713 W1714 W1715 W1716 W1717 W1718 W1719 W1720 W1721 W1722 W1723 W1724 W1725 W1726 W1727 W1728 W1729 W1730 W1731 W1732 W1733 W1734 W1735 W1736 W1737 W1738 W1739 W1740 W1741 W1742 W1743 W1744 W1745 W1746 W1747 W1748 W1749 W1750 W1751 W1752 W1753 W1754 W1755 W1756 W1757 W1758 W1759 W1760 W1761 W1762 W1763 W1764 W1765 W1766 W1767 W1768 W353:W356 W357 W358:W364 W368 W370 W371 W372 W373 W374 W375 W376 W377 W379 W380 W383 W384:W385 W386 W387 W388 W392 W393 W394 W396 W397 W398 W399 W400 W401 W402 W403 W406 W409 W412:W413 W416 W417 W418 W419 W420 W424:W426 W427 W429 W430 W431 W432 W437 W438 W440 W441 W442 W443 W444 W445 W446 W447 W448 W449 W450 W451 W452 W453 W454 W455 W456 W457 W458 W459 W460 W461 W462 W463 W464 W465 W466 W467 W469 W470 W471 W473 W474 W483 W484 W485 W487 W488 W489 W490 W491 W492 W493 W494 W495 W496 W497 W498 W500 W501 W502 W503 W504 W505 W506 W507 W508 W509 W510 W511 W512 W513 W515 W516 W517 W518 W519 W520 W521 W526 W527 W528 W529 W530 W531 W532 W536 W537 W538 W539 W540 W541 W542 W543 W544 W545 W546 W547 W548 W549 W550 W551 W552 W553 W554 W555 W556 W557 W559 W560 W561 W562 W563 W564 W565 W566 W567 W568 W569 W570 W571 W572 W574 W575 W577 W578 W582 W583 W585 W586 W587 W588 W589 W591 W592 W593 W594 W595 W596 W597 W598 W599 W600 W601 W602 W603 W604 W605 W606 W607 W608 W609 W610 W611 W612 W615 W616 W617 W618:W644 W646 W647 W648 W649 W650 W651 W652 W653 W654:W661 W663:W664 W665 W666 W668 W669 W670 W671 W673 W674 W675 W676 W677 W679 W680 W682 W683 W687 W688 W689 W690 W691 W692 W693:W694 W695 W696 W697:W727 W728 W729 W730 W731 W733 W734 W735 W736 W737 W738 W739 W740:W741 W742 W743 W744 W745 W746 W747 W748 W749 W750 W751 W752 W753 W754 W755 W756 W757 W760 W761 W762 W763 W764 W765 W766 W767 W769 W770 W771 W772 W773 W774 W775 W776 W777 W779 W780 W784 W785 W786 W787 W788 W789 W790 W791 W792 W794 W795 W796 W797 W799 W800 W801 W802 W804 W807 W808 W809 W811 W812 W814 W815 W816 W817 W818 W819 W820 W821 W822 W825 W826 W827 W828 W829 W830 W831 W832 W833 W834 W835 W836 W837 W838 W840 W841 W843 W844 W846 W847 W848 W849 W850 W851 W852 W853 W854 W855 W856 W857 W858 W860 W866 W867 W868 W871 W872 W873 W875 W876 W877 W879 W880 W881 W882 W883 W884 W885 W886 W888 W889 W890 W891 W892 W893 W895 W896 W897 W898 W899 W900 W901 W902 W903 W904 W905 W906 W907 W908 W909 W910 W911 W912 W913 W914 W915 W916 W917 W918 W919 W920:W922 W923 W924 W925 W926 W927 W928 W929 W930 W931 W932 W933 W934 W935 W936 W937 W938 W939 W940 W941 W942 W943 W944 W945 W946 W947 W948 W949 W950 W951 W952 W953 W954 W955 W956 W957 W958 W959 W960 W961 W962 W963 W964 W965 W966 W967 W968 W969 W970 W971 W972 W973 W974 W975 W976 W977 W978 W979 W980 W981 W982 W983 W984 W985 W986 W987 W988 W989 W990 W991 W992 W993 W994 W995 W996 W997 W998 W999 X1032:XFD1032 X1033:XFD1262 X1263:XFD1263 X1264:XFD1264 X1265:XFD1553 X1554:XFD1554 X1555:XFD1768 X1:XFD311 X352:XFD1031">
    <cfRule type="containsText" priority="1" operator="containsText" dxfId="0" text="Pending Payment">
      <formula>NOT(ISERROR(SEARCH("Pending Payment",A1)))</formula>
    </cfRule>
  </conditionalFormatting>
  <conditionalFormatting sqref="A1029:C1036 A1037 A1038:J1041 A1042 A1043:H1044 A1045 A1046:N1047 A1048:B1048 A1049:D1054 A1055:A1069 A1070 A1071:A1138 A1139:J1142 A1143:D1151 A1152:A1154 A1155:D1155 A1156 A1157 A1158 A1159:D1159 A1160 A1161 A1162 A1163 A1164:D1164 A1165 A1166 A1167:D1167 A1168 A1169 A1170 A1171:D1171 A1172 A1173 A1174 A1175:D1175 A1176 A1177 A1178 A1179:A1254 A1255 A1256 A1257 A1258 A1259:A1261 A1262:A1267 A1268 A1269:A1272 A1273 A1274 A1275:A1279 A1280 A1281 A1282 A1283 A1284 A1285 A1286 A1287 A1288 A1289 A1290 A1291 A1292 A1293 A1294 A1295 A1296 A1297 A1298 A1299 A1300 A1301 A1302 A1303 A1304 A1305 A1306 A1307 A1308 A1309 A1310 A1311 A1312 A1313 A1314 A1315 A1316 A1317 A1318 A1319 A1320 A1321 A1322 A1323 A1324 A1325 A1326 A1327 A1328 A1329 A1330:A1341 A1342 A1343 A1344 A1345 A1346 A1347 A1348 A1349 A1350 A1351 A1352:A1378 A1379 A1380 A1381 A1382 A1383 A1384 A1385 A1386 A1387 A1388 A1389 A1390 A1391 A1392 A1393 A1394 A1395 A1396 A1397 A1398 A1399 A1400 A1401 A1402 A1403 A1404 A1405 A1406 A1407 A1408:A1409 A1410 A1411 A1412 A1413 A1414 A1415 A1416 A1417 A1418 A1419 A1420 A1421:A1424 A1425 A1426 A1427 A1428 A1429 A1430 A1431 A1432 A1433 A1434 A1435 A1436 A1437 A1438 A1439 A1440 A1441 A1442:A1443 A1444 A1445 A1446 A1447 A1448 A1449 A1450 A1451 A1452 A1453 A1454 A1455 A1456 A1457 A1458 A1459 A1460 A1461 A1462 A1463 A1464 A1465 A1466 A1467 A1468 A1469 A1470 A1471 A1472 A1473 A1474 A1475 A1476 A1477 A1478 A1479 A1480 A1481 A1482 A1483 A1484 A1485 A1486 A1487 A1488 A1489 A1490 A1491 A1492 A1493 A1494 A1495 A1496 A1497 A1498 A1499 A1500 A1501 A1502 A1503 A1504 A1505 A1506 A1507 A1508 A1509 A1510 A1511 A1512 A1513 A1514 A1515 A1516 A1517 A1518 A1519 A1520 A1521 A1522 A1523 A1524 A1525 A1526 A1527 A1528 A1529 A1530 A1531 A1532 A1533 A1534 A1535:A1547 A1548 A1549 A1550 A1551 A1552 A1553 A1554 A1555 A1556 A1557 A1558 A1559 A1560 A1561 A1562 A1563:A1564 A1565 A1566 A1567:A1570 A1571 A1572 A1573 A1574 A1575 A1576 A1577:A1578 A1579 A1580:A1581 A1582 A1583 A1584 A1585 A1586 A1587 A1588:A1592 A1593 A1594 A1595 A1596 A1597 A1598 A1599 A1600 A1601:A1610 A1611:A1615 A1616 A1617:A1626 A1627:A1634 A1635 A1636 A1637:A1664 A1665:A1666 A1667:A1668 A1669 A1670 A1671:A1680 A1681:A1683 A1684:A1686 A1687 A1688 A1689 A1690:A1704 A1705 A1706:A1731 A1732 A1733 A1734 A1735 A1736 A1737 A1738 A1739 A1740 A1741 A1742 A1743 A1744 A1745:A1746 A1747 A1748 A1749 A1750 A1751 A1752:A1766 A1767 A1768 A177:T232 A1:W3 A233:T234 A235:C260 A261:T287 A288:T299 A300:T308 A309:W311 A312:N312 A313:U324 A325:C328 A329:T329 A330:T349 A350:J350 A351:H351 A352:T354 A355:A356 A357:T367 A368:A386 A387:P387 A388:A391 A392:T393 A394:A406 A407:S407 A408:S408 A409:T413 A414:T415 A416:C420 A421:N425 A426:A434 A435:O437 A438:A480 A481:T484 A485:A523 A524:H524 A525:A616 A617:I644 A645:J645 A646:A675 A676:E676 A677:A689 A690:E690 A691:A838 A6:V6 A70:T176 A7:B69 A839:S839 A840:A957 A958:J959 A960:A1028 B1010 B1011:C1014 B1015:K1017 B1018:D1027 B1028:C1028 B1037 B1042 B1045 B1055:B1058 B1059:W1059 B1060:C1063 B1064:K1065 B1066:D1069 B1070 B1071:K1071 B1072:I1072 B1073:C1074 B1075:B1081 B1082:C1085 B1086:I1089 B1090:B1106 B1107:E1108 B1109:H1138 B1152:C1153 B1154 B1156 B1157 B1158 B1160 B1161 B1162 B1163 B1165 B1166 B1168 B1169 B1170 B1172 B1173 B1174 B1176 B1177 B1178 B1179:D1183 B1184 B1185:H1210 B1211:B1216 B1217 B1218:B1231 B1232 B1233:B1246 B1247 B1248 B1249 B1250 B1251 B1252 B1253 B1254 B1255 B1256 B1257 B1258 B1259 B1260 B1261 B1262:H1262 B1263 B1264 B1265 B1266 B1267 B1268 B1269 B1270 B1271 B1272 B1273 B1274 B1275 B1276 B1277 B1278 B1279 B1280 B1281 B1282 B1283 B1284 B1285 B1286 B1287 B1288 B1289 B1290 B1291 B1292: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B1410 B1411 B1412 B1413 B1414 B1415 B1416 B1417 B1418 B1419 B1420 B1421 B1422 B1423 B1424 B1425 B1426 B1427: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B1664 B1665 B1666 B1667 B1668 B1669 B1670 B1671 B1672: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355:B356 B368:T369 B370:T370 B371:T371 B372:T372 B373:C377 B378:T378 B379:B384 B385 B386 B388:T389 B390:C391 B394:T394 B395:T396 B397:H401 B402:N403 B404:T404 B405:T406 B426:N429 B430:C434 B438:O439 B440:S440 B441:B453 B454:I464 B465:C480 B485:T486 B487:B509 B510:I511 B512:P518 B519:O523 B525:H525 B526 B527:B534 B535:B536 B537:M545 B546:K547 B548:I551 B552:H552 B553:C556 B557 B558:C569 B570:H586 B587:B589 B590:C590 B591 B592:I592 B593:B598 B599:K601 B602:B603 B604 B605:B612 B613:I616 B646 B647 B648:P648 B649:B658 B659:R661 B662:I663 B664:B669 B670 B671 B672:I672 B673:E675 B677:E684 B685:S685 B686:P686 B687:E689 B691:B731 B732:S732 B733:F739 B740:B742 B743:C748 B749:H750 B751:B756 B757:E758 B759:N759 B760:M760 B761:B765 B766:B767 B768:E768 B769:C773 B774:P774 B775:O792 B793:C800 B801:M803 B804 B805:S805 B806:R807 B808:N816 B817:I824 B825:C836 B837:O838 B840:M843 B844:F848 B849:M849 B850:C851 B852:N854 B855:B858 B859:R865 B866:N867 B868:E873 B874:P876 B877:S877 B878:I882 B883:B884 B885:E885 B886:C895 B896:B902 B903 B904:B918 B919:K919 B920:B936 B937 B938:B940 B941 B942:B943 B944:B953 B954:I957 B960:I960 B961:K961 B962:B977 B978:J987 B988:C1009 C1010 C1037 C1042 C1045 C1048 C1055 C1056:C1058 C1070 C1075:C1078 C1079:K1079 C1080:C1081 C1090:I1090 C1091 C1092:K1092 C1093:I1099 C1100:H1103 C1104:E1106 C1154 C1156 C1157 C1158 C1160 C1161 C1162 C1163 C1165 C1166 C1168 C1169 C1170 C1172 C1173 C1174 C1176 C1177 C1178 C1184:H1184 C1211 C1212:C1246 C1247 C1248 C1249 C1250 C1251 C1252 C1253 C1254 C1255 C1256 C1257 C1258 C1259 C1260 C1261 C1263:C1264 C1265 C1266 C1267:C1268 C1269 C1270 C1271 C1272 C1273 C1274 C1275 C1276:C1279 C1280 C1281 C1282 C1283 C1284 C1285 C1286 C1287 C1288 C1289 C1290 C1291 C1292 C1293 C1294 C1295 C1296 C1297 C1298 C1299 C1300 C1301 C1302 C1303 C1304 C1305 C1306 C1307 C1308 C1309 C1310 C1311 C1312 C1313 C1314 C1315 C1316 C1317 C1318 C1319 C1320 C1321 C1322 C1323 C1324 C1325 C1326 C1327 C1328 C1329 C1330 C1331 C1332 C1333 C1334 C1335 C1336 C1337 C1338 C1339 C1340 C1341 C1342 C1343 C1344 C1345 C1346 C1347 C1348 C1349 C1350 C1351 C1352 C1353 C1354 C1355 C1356 C1357 C1358 C1359 C1360 C1361 C1362 C1363 C1364 C1365 C1366 C1367 C1368 C1369 C1370 C1371 C1372 C1373 C1374 C1375 C1376 C1377 C1378 C1379 C1380 C1381 C1382 C1383 C1384 C1385 C1386 C1387 C1388 C1389 C1390 C1391 C1392 C1393 C1394 C1395 C1396 C1397 C1398 C1399 C1400 C1401 C1402 C1403 C1404 C1405 C1406 C1407 C1408 C1409 C1410 C1411 C1412 C1413 C1414 C1415 C1416 C1417 C1418 C1419 C1420 C1421 C1422 C1423 C1424 C1425 C1426 C1427:C1428 C1429 C1430 C1431 C1432 C1433 C1434 C1435 C1436 C1437 C1438 C1439 C1440 C1441 C1442 C1443 C1444 C1445 C1446 C1447 C1448 C1449 C1450 C1451 C1452 C1453 C1454 C1455 C1456 C1457 C1458 C1459 C1460 C1461 C1462 C1463 C1464 C1465 C1466 C1467 C1468 C1469 C1470 C1471 C1472 C1473 C1474 C1475 C1476 C1477 C1478 C1479 C1480 C1481 C1482 C1483 C1484 C1485 C1486 C1487 C1488 C1489 C1490 C1491 C1492 C1493 C1494 C1495 C1496 C1497 C1498 C1499:C1504 C14:C24 C1505 C1506 C1507 C1508 C1509 C1510 C1511 C1512 C1513 C1514 C1515 C1516 C1517 C1518 C1519 C1520 C1521 C1522 C1523 C1524 C1525 C1526 C1527 C1528 C1529 C1530 C1531 C1532 C1533 C1534 C1535 C1536 C1537 C1538 C1539 C1540 C1541 C1542 C1543 C1544 C1545 C1546 C1547 C1548 C1549 C1550 C1551 C1552 C1553 C1554 C1555 C1556 C1557 C1558 C1559 C1560 C1561 C1562 C1563 C1564 C1565 C1566 C1567 C1568 C1569 C1570 C1571 C1572 C1573 C1574 C1575 C1576 C1577 C1578 C1579 C1580 C1581 C1582 C1583 C1584 C1585 C1586 C1587 C1588 C1589:C1592 C1593 C1594 C1595 C1596 C1597 C1598 C1599 C1600 C1601 C1602 C1603 C1604 C1605 C1606 C1607 C1608 C1609 C1610 C1611 C1612 C1613 C1614 C1615 C1616 C1617 C1618 C1619 C1620 C1621 C1622 C1623 C1624 C1625 C1626 C1627 C1628 C1629 C1630 C1631 C1632 C1633 C1634 C1635 C1636 C1637 C1638 C1639 C1640 C1641 C1642 C1643 C1644 C1645 C1646 C1647 C1648 C1649 C1650 C1651 C1652 C1653 C1654 C1655 C1656 C1657 C1658 C1659 C1660 C1661 C1662 C1663:C1664 C1665 C1666 C1667 C1668 C1669 C1670 C1671 C1672 C1673 C1674 C1675 C1676 C1677 C1678 C1679 C1680 C1681 C1682 C1683 C1684 C1685 C1686 C1687 C1688 C1689 C1690 C1691 C1692 C1693 C1694 C1695 C1696 C1697 C1698 C1699 C1700 C1701 C1702 C1703 C1704 C1705 C1706 C1707 C1708 C1709 C1710 C1711 C1712 C1713 C1714 C1715 C1716 C1717 C1718 C1719 C1720 C1721 C1722 C1723 C1724 C1725 C1726 C1727 C1728 C1729 C1730 C1731 C1732 C1733 C1734 C1735 C1736 C1737 C1738 C1739 C1740 C1741 C1742 C1743 C1744 C1745 C1746 C1747 C1748 C1749 C1750 C1751 C1752 C1753 C1754 C1755 C1756 C1757 C1758 C1759 C1760 C1761 C1762 C1763 C1764 C1765 C1766 C1767 C1768 C25:S38 C355:C356 C379:T386 C39:D65 C441:S441 C442:I453 C487:T498 C499:C508 C509:I509 C526:T526 C527:C536 C557 C587 C588 C589 C591 C593:J597 C598:M598 C602:K602 C603:J607 C608 C609:I612 C646:J647 C649:P653 C654:C658 C664:C670 C66:S69 C671 C691:E691 C692:C731 C740:M741 C742 C751:C754 C755:C756 C761:C764 C765 C766:C767 C7:W7 C804:M804 C855:C858 C883 C884:O884 C896 C897:C898 C899:C900 C8:D13 C901:E918 C920:R923 C924:P925 C926:O926 C927:K930 C931:J935 C936:K937 C938:I941 C942:N942 C943:I953 C962 C963:K963 C964:J977 D1028:D1036 D1037 D1042 D1045 D1048:N1048 D1055:J1058 D1060:P1060 D1061:D1063 D1070 D1073:D1075 D1076:G1077 D1078:M1078 D1080:I1085 D1091:K1091 D1152:D1154 D1156 D1157 D1158 D1160 D1161 D1162 D1163 D1165 D1166 D1168 D1169 D1170 D1172 D1173 D1174 D1176 D1177 D1178 D1211:H1230 D1231:K1231 D1232:J1239 D1240:I1246 D1247 D1248:F1248 D1249:F1249 D1250:F1250 D1251:F1251 D1252:E1252 D1253:E1253 D1254 D1255 D1256:E1256 D1257:E1257 D1258:E1258 D1259:E1261 D1263:E1263 D1264:E1264 D1265:E1265 D1266:E1266 D1267:E1267 D1268:E1268 D1269:F1269 D1270:F1270 D1271:F1271 D1272:F1272 D1273:F1273 D1274 D1275 D1276:F1276 D1277:D1279 D1280:E1280 D1281:E1281 D1282:E1282 D1283:E1283 D1284:E1284 D1285:E1285 D1286:E1286 D1287:E1287 D1288:E1288 D1289:E1289 D1290:E1290 D1291:E1291 D1292:E1292 D1293:E1293 D1294:E1294 D1295 D1296 D1297 D1298:E1298 D1299:E1299 D1300:E1300 D1301:E1301 D1302:E1302 D1303:E1303 D1304:E1304 D1305:E1305 D1306:E1306 D1307:E1307 D1308:E1308 D1309:E1309 D1310:E1311 D1312:E1312 D1313:E1313 D1314:E1314 D1315:E1315 D1316:E1316 D1317:E1317 D1318:E1318 D1319:E1319 D1320:E1320 D1321:E1321 D1322:E1322 D1323:E1323 D1324:E1324 D1325:E1325 D1326:E1326 D1327:E1327 D1328 D1329 D1330 D1331 D1332 D1333 D1334 D1335 D1336 D1337 D1338 D1339 D1340 D1341 D1342:E1342 D1343:E1343 D1344:E1344 D1345:E1345 D1346:E1346 D1347:E1347 D1348:E1348 D1349:E1349 D1350:E1350 D1351:E1351 D1352:E1352 D1353:E1353 D1354:E1354 D1355:E1355 D1356:E1356 D1357:E1357 D1358:E1358 D1359:E1359 D1360:E1360 D1361:E1361 D1362:E1362 D1363:E1363 D1364:E1364 D1365:E1365 D1366:E1366 D1367:E1367 D1368:E1368 D1369:E1369 D1370:E1370 D1371:E1371 D1372:E1372 D1373:E1373 D1374:E1374 D1375:E1375 D1376:E1376 D1377:E1377 D1378:E1378 D1379 D1380 D1381:E1381 D1382:E1382 D1383:E1383 D1384:E1384 D1385:E1385 D1386:E1386 D1387:E1387 D1388:E1388 D1389:E1389 D1390:E1390 D1391:E1391 D1392:E1392 D1393:E1393 D1394:E1394 D1395:E1395 D1396:E1396 D1397:E1397 D1398:E1398 D1399 D14 D1400:E1400 D1401:E1401 D1402:E1402 D1403:E1403 D1404 D1405 D1406 D1407 D1408 D1409:E1409 D1410:E1410 D1411:E1411 D1412:E1412 D1413:E1413 D1414:E1414 D1415:E1415 D1416:E1416 D1417:E1417 D1418:E1418 D1419:E1419 D1420:E1420 D1421 D1422 D1423 D1424 D1425:E1425 D1426:E1426 D1427:E1427 D1428:E1428 D1429:E1429 D1430:E1430 D1431:E1431 D1432:E1432 D1433:E1433 D1434:E1434 D1435:E1435 D1436:E1436 D1437:E1437 D1438:E1438 D1439:E1439 D1440:E1440 D1441:E1441 D1442:E1442 D1443:E1443 D1444:E1444 D1445:E1445 D1446:E1446 D1447:E1447 D1448:E1448 D1449:E1449 D1450:E1450 D1451:E1451 D1452:E1452 D1453:E1453 D1454:E1454 D1455:E1455 D1456:E1456 D1457:E1457 D1458:E1458 D1459:E1459 D1460:E1460 D1461:E1461 D1462:E1462 D1463:E1463 D1464:E1464 D1465 D1466 D1467:E1467 D1468:E1468 D1469:E1469 D1470:E1470 D1471:E1471 D1472:E1472 D1473:E1473 D1474:E1474 D1475:E1475 D1476:E1476 D1477:E1477 D1478:E1478 D1479:E1479 D1480:E1480 D1481:E1481 D1482:E1482 D1483:O1483 D1484:E1484 D1485:E1485 D1486:E1486 D1487:E1487 D1488:E1488 D1489:E1489 D1490:E1490 D1491:E1491 D1492:E1492 D1493:E1493 D1494:E1494 D1495:E1495 D1496:E1496 D1497:E1497 D1498:E1498 D1499:E1499 D1500:E1500 D1501:E1501 D1502:E1502 D1503:E1503 D1504:E1504 D1505:E1505 D1506:E1506 D1507:E1507 D1508:E1508 D1509:E1509 D1510:E1510 D1511:E1511 D1512:E1512 D1513 D1514:E1514 D1515:E1515 D1516:E1516 D1517:E1517 D1518:E1518 D1519:E1519 D1520:E1520 D1521:E1521 D1522:E1522 D1523:E1523 D1524:E1524 D1525:E1525 D1526:E1526 D1527:E1527 D1528:E1528 D1529:E1529 D1530:E1530 D1531:E1531 D1532:E1532 D1533:E1533 D1534:E1534 D1535:E1535 D1536 D1537:E1537 D1538:E1538 D1539:E1539 D1540:E1540 D1541:E1541 D1542:E1542 D1543:E1543 D1544:E1544 D1545:E1545 D1546:E1546 D1547:E1547 D1548:E1548 D1549:E1549 D1550:E1550 D1551:E1551 D1552:E1552 D1553:E1553 D1554:E1554 D1555:E1555 D1556:E1556 D1557:E1557 D1558:E1558 D1559:E1559 D1560:E1560 D1561:E1561 D1562:E1562 D1563:E1563 D1564:E1564 D1565:E1565 D1566:E1566 D1567:E1567 D1568:E1568 D1569:E1569 D1570:E1570 D1571:E1571 D1572:E1572 D1573:E1573 D1574:E1574 D1575:E1575 D1576:E1576 D1577:E1577 D1578:E1578 D1579:E1579 D1580:E1580 D1581:E1581 D1582:E1582 D1583:E1583 D1584:E1584 D1585:E1585 D1586:E1586 D1587:E1587 D1588:E1588 D1589:E1592 D1593:E1593 D1594:E1594 D1595:E1595 D1596:E1596 D1597:D1598 D1599 D15:S24 D1600 D1601:E1601 D1602:E1602 D1603:E1603 D1604:E1604 D1605:E1605 D1606:E1606 D1607 D1608 D1609:E1609 D1610:E1610 D1611:E1611 D1612:E1612 D1613:E1613 D1614 D1615:E1615 D1616:E1616 D1617:E1617 D1618:E1618 D1619:E1619 D1620:E1620 D1621:E1622 D1623:E1624 D1625:E1626 D1627:E1627 D1628:E1628 D1629:E1629 D1630:E1630 D1631:E1631 D1632:E1632 D1633:E1633 D1634:E1634 D1635:E1635 D1636:E1636 D1637:E1637 D1638:E1638 D1639:E1639 D1640:E1640 D1641:E1641 D1642:E1642 D1643:E1643 D1644:E1644 D1645:E1645 D1646:E1646 D1647:E1647 D1648:E1648 D1649:E1649 D1650:E1650 D1651:E1651 D1652:E1652 D1653:E1653 D1654:E1654 D1655:E1655 D1656:E1656 D1657:E1657 D1658:E1658 D1659:E1659 D1660 D1661:E1661 D1662:E1662 D1663:E1664 D1665:E1665 D1666:E1666 D1667:D1668 D1669:E1669 D1670:E1670 D1671:E1671 D1672:E1672 D1673:D1674 D1675:E1675 D1676:D1677 D1678:E1678 D1679:D1680 D1681:E1681 D1682:D1683 D1684:E1684 D1685:E1685 D1686:E1686 D1687:E1687 D1688:E1688 D1689:E1689 D1690:E1690 D1691:E1691 D1692 D1693:E1693 D1694:E1694 D1695:E1695 D1696:E1696 D1697:E1697 D1698:E1698 D1699:E1699 D1700:E1700 D1701:E1701 D1702:E1702 D1703:E1703 D1704:E1704 D1705:E1705 D1706:E1706 D1707:E1707 D1708:E1708 D1709:E1709 D1710 D1711:E1711 D1712:E1712 D1713:E1713 D1714:E1714 D1715:E1715 D1716:E1716 D1717:E1717 D1718:E1718 D1719:E1719 D1720:E1720 D1721:E1721 D1722:E1722 D1723:E1723 D1724:E1724 D1725:E1725 D1726:E1726 D1727:E1727 D1728:E1728 D1729 D1730:E1730 D1731:E1731 D1732:E1732 D1733:E1733 D1734:E1734 D1735:E1735 D1736:F1736 D1737:E1737 D1738:E1738 D1739:E1739 D1740:E1740 D1741:E1741 D1742:E1742 D1743:E1743 D1744:E1744 D1745:E1746 D1747:E1747 D1748:E1748 D1749:E1749 D1750:E1750 D1751:E1751 D1752:E1752 D1753:E1753 D1754:E1754 D1755:E1755 D1756:E1756 D1757:E1757 D1758:E1758 D1759:E1759 D1760:E1760 D1761:E1761 D1762:E1762 D1763:E1763 D1764:E1764 D1765:E1765 D1766:E1766 D1767:E1767 D1768:E1768 D235:T236 D237:S238 D239:S245 D246:I246 D247:H260 D325:T328 D355:S355 D356:S356 D373:M376 D377:I377 D390:T390 D391:T391 D416:T416 D417:T420 D430:N432 D433:T434 D465:N467 D468:T476 D477:R477 D478:M479 D480:S480 D499:S499 D500:H508 D527:N528 D529:J531 D532:M536 D553:H569 D587:I591 D608:J608 D654:S654 D655:S655 D656:S656 D657:R657 D658:S658 D664:I671 D692:I708 D709:H718 D719:I731 D742:H748 D751:H755 D756:E756 D761:M765 D766:N766 D767:S767 D769:E772 D773:P773 D793:S793 D794:M800 D825:I830 D831:J836 D850:M850 D851:I851 D855:N855 D856:J858 D883:M883 D886:E900 D962:K962 D988:J1014 E1018:J1018 E1019:I1027 E1028:K1028 E1029:N1029 E1030:L1031 E1032:K1032 E1033:J1036 E1037 E1042 E1045 E1049:N1050 E1051:I1054 E1061:I1062 E1063:J1063 E1066:J1066 E1067:I1069 E1070 E1073:I1073 E1074:H1074 E1075:G1075 E1143:E1150 E1151 E1152 E1153 E1154 E1155 E1156 E1157 E1158 E1159 E1160 E1161 E1162 E1163 E1164 E1165 E1166 E1167 E1168 E1169 E1170 E1171 E1172 E1173 E1174 E1175 E1176 E1177 E1178 E1179:J1180 E1181:H1183 E1247 E1254 E1255 E1274 E1275 E1277:F1277 E1278:F1278 E1279:F1279 E1295 E1296 E1297 E1328 E1329 E1330:F1330 E1331:F1331 E1332:F1332 E1333:F1333 E1334:F1334 E1335:F1335 E1336:F1336 E1337:F1337 E1338:F1338 E1339:F1339 E1340:F1340 E1341:F1341 E1379 E1380 E1399 E1404 E1405 E1406 E1407 E1408 E1421 E1422 E1423 E1424 E1465 E1466 E1513 E1536 E1597 E1598 E1599 E1600 E1607 E1608 E1614 E1660 E1667 E1668 E1673 E1674 E1676 E1677 E1679 E1680 E1682 E1683 E1692 E1710 E1729 E39:E65 E8:E14 F1037 F1042 F1045 F1070 F1104:H1108 F1143:J1151 F1152:G1154 F1155:J1155 F1156 F1157 F1158 F1159:J1159 F1160 F1161 F1162 F1163 F1164:L1164 F1165 F1166 F1167:J1167 F1168 F1169 F1170 F1171:J1171 F1172 F1173 F1174 F1175:J1175 F1176 F1177 F1178 F1247 F1252 F1253 F1254 F1255 F1256 F1257 F1258 F1259 F1260 F1261 F1263 F1264 F1265 F1266 F1267 F1268 F1274 F1275 F1280 F1281 F1282 F1283 F1284 F1285 F1286 F1287 F1288 F1289 F1290 F1291 F1292 F1293 F1294 F1295 F1296 F1297 F1298 F1299 F1300 F1301 F1302 F1303 F1304 F1305 F1306 F1307 F1308 F1309 F1310 F1311 F1312 F1313 F1314 F1315 F1316 F1317 F1318 F1319 F1320 F1321 F1322 F1323 F1324 F1325 F1326 F1327:F1329 F1342 F1343 F1344 F1345 F1346 F1347 F1348 F1349 F1350 F1351 F1352 F1353 F1354 F1355 F1356 F1357 F1358 F1359 F1360 F1361 F1362 F1363 F1364 F1365 F1366 F1367 F1368 F1369 F1370 F1371 F1372 F1373 F1374 F1375 F1376 F1377 F1378 F1379 F1380 F1381 F1382 F1383 F1384 F1385 F1386 F1387 F1388 F1389 F1390 F1391 F1392 F1393 F1394 F1395 F1396 F1397 F1398 F1399 F13:S14 F1400 F1401 F1402 F1403 F1404 F1405 F1406 F1407 F1408 F1409 F1410 F1411 F1412 F1413 F1414 F1415 F1416 F1417:F1418 F1419 F1420:F1421 F1422 F1423 F1424 F1425 F1426 F1427 F1428 F1429 F1430 F1431 F1432 F1433 F1434 F1435 F1436 F1437 F1438 F1439 F1440 F1441 F1442 F1443 F1444 F1445 F1446 F1447 F1448 F1449 F1450 F1451 F1452 F1453 F1454 F1455 F1456 F1457 F1458 F1459 F1460 F1461:F1462 F1463 F1464 F1465 F1466 F1467:F1468 F1469 F1470 F1471 F1472 F1473 F1474 F1475 F1476 F1477 F1478 F1479 F1480 F1481 F1482 F1484 F1485 F1486 F1487 F1488 F1489 F1490 F1491 F1492 F1493 F1494 F1495 F1496 F1497 F1498 F1499 F1500 F1501 F1502 F1503 F1504 F1505 F1506 F1507 F1508 F1509 F1510 F1511 F1512 F1513 F1514 F1515 F1516 F1517 F1518 F1519 F1520 F1521 F1522 F1523 F1524 F1525 F1526 F1527 F1528 F1529 F1530 F1531 F1532 F1533 F1534 F1535 F1536 F1537 F1538 F1539 F1540 F1541 F1542 F1543 F1544 F1545 F1546 F1547 F1548 F1549 F1550 F1551 F1552 F1553 F1554 F1555 F1556 F1557 F1558 F1559 F1560 F1561 F1562 F1563 F1564 F1565 F1566 F1567 F1568 F1569 F1570 F1571 F1572 F1573 F1574 F1575 F1576 F1577 F1578 F1579 F1580 F1581 F1582 F1583 F1584 F1585 F1586 F1587 F1588 F1589 F1590 F1591 F1592 F1593 F1594 F1595 F1596 F1597 F1598 F1599 F1600 F1601:F1606 F1607 F1608 F1609 F1610 F1611 F1612 F1613 F1614 F1615 F1616 F1617 F1618 F1619:F1620 F1621:H1626 F1627:F1628 F1629 F1630:F1631 F1632:F1633 F1634 F1635 F1636 F1637:F1640 F1641 F1642:F1645 F1646 F1647:F1651 F1652:F1653 F1654:F1656 F1657:F1658 F1659 F1660 F1661 F1662:F1666 F1667 F1668:F1669 F1670 F1671 F1672 F1673 F1674 F1675 F1676 F1677 F1678 F1679 F1680 F1681 F1682 F1683 F1684 F1685 F1686 F1687 F1688 F1689 F1690 F1691 F1692 F1693:F1694 F1695 F1696 F1697 F1698 F1699 F1700 F1701 F1702 F1703 F1704 F1705 F1706 F1707 F1708 F1709 F1710 F1711 F1712 F1713 F1714 F1715:H1715 F1716 F1717 F1718 F1719 F1720 F1721 F1722 F1723:F1726 F1727 F1728 F1729:F1731 F1732:F1733 F1734 F1735 F1737 F1738 F1739 F1740 F1741 F1742 F1743 F1744:F1746 F1747 F1748 F1749 F1750 F1751:F1752 F1753 F1754 F1755:F1756 F1757 F1758 F1759 F1760 F1761 F1762 F1763 F1764 F1765 F1766 F1767 F1768 F39:S63 F64:M64 F65:S65 F673:F684 F687:F691 F756:N758 F768:P772 F868:N868 F869:O872 F873:P873 F885:F918 F8:T12 G1037 G1042 G1045 G1070 G1156 G1157 G1158 G1160 G1161 G1162 G1163 G1165 G1166 G1168 G1169 G1170 G1172 G1173 G1174 G1176 G1177 G1178 G1247 G1248:H1248 G1249:H1249 G1250:H1250 G1251:H1251 G1252:H1252 G1253:H1253 G1254:H1254 G1255:H1255 G1256:H1256 G1257:H1257 G1258:H1258 G1259:H1259 G1260:H1260 G1261:H1261 G1263:H1263 G1264:H1264 G1265:H1265 G1266:H1266 G1267:H1267 G1268:H1268 G1269:H1269 G1270:H1270 G1271:H1271 G1272:H1272 G1273:H1273 G1274 G1275 G1276:H1276 G1277:H1279 G1280:H1280 G1281:H1281 G1282:H1282 G1283:H1283 G1284:H1284 G1285:H1285 G1286:H1286 G1287:H1287 G1288:H1288 G1289:H1289 G1290:H1290 G1291:H1291 G1292:H1292 G1293:H1293 G1294:H1294 G1295 G1296 G1297 G1298:H1298 G1299:H1299 G1300:H1300 G1301 G1302 G1303 G1304 G1305 G1306:H1306 G1307:H1307 G1308:H1308 G1309:H1309 G1310:H1310 G1311:H1311 G1312:H1312 G1313 G1314 G1315:H1315 G1316:H1316 G1317:H1317 G1318:H1318 G1319:H1319 G1320:H1320 G1321:H1321 G1322:H1322 G1323:H1323 G1324:H1324 G1325:H1325 G1326 G1327 G1328 G1329 G1330 G1331 G1332 G1333 G1334 G1335 G1336 G1337 G1338 G1339 G1340 G1341 G1342:H1342 G1343:H1343 G1344:H1344 G1345:H1345 G1346:H1346 G1347:H1347 G1348:H1348 G1349:H1349 G1350:H1350 G1351:H1351 G1352:H1352 G1353:H1353 G1354:H1354 G1355:H1355 G1356:H1356 G1357:H1357 G1358:H1358 G1359:H1359 G1360:H1360 G1361:H1361 G1362:H1362 G1363:H1363 G1364:H1364 G1365:H1365 G1366:H1366 G1367:H1367 G1368:H1368 G1369:H1369 G1370:H1370 G1371:H1371 G1372:H1372 G1373:H1373 G1374:H1374 G1375:H1375 G1376:H1376 G1377:H1377 G1378:H1378 G1379 G1380 G1381 G1382 G1383 G1384 G1385 G1386 G1387 G1388 G1389 G1390 G1391 G1392 G1393 G1394 G1395 G1396 G1397 G1398 G1399 G1400 G1401 G1402 G1403 G1404 G1405 G1406 G1407 G1408 G1409:M1409 G1410:M1410 G1411 G1412 G1413 G1414 G1415 G1416 G1417 G1418 G1419 G1420 G1421 G1422 G1423 G1424 G1425 G1426 G1427 G1428 G1429 G1430 G1431 G1432 G1433 G1434 G1435 G1436 G1437 G1438 G1439 G1440 G1441 G1442 G1443 G1444 G1445 G1446 G1447 G1448 G1449 G1450 G1451 G1452 G1453 G1454 G1455:G1459 G1460:H1460 G1461:H1461 G1462 G1463 G1464 G1465 G1466 G1467 G1468 G1469 G1470 G1471 G1472 G1473 G1474 G1475 G1476 G1477 G1478 G1479 G1480 G1481 G1482 G1484:H1484 G1485:H1485 G1486:H1486 G1487 G1488 G1489 G1490 G1491 G1492 G1493 G1494:H1494 G1495 G1496 G1497 G1498:G1504 G1505 G1506 G1507 G1508:H1508 G1509:H1509 G1510:H1510 G1511 G1512 G1513:H1513 G1514 G1515 G1516 G1517 G1518 G1519 G1520 G1521 G1522 G1523 G1524 G1525 G1526 G1527 G1528 G1529 G1530 G1531 G1532 G1533 G1534 G1535 G1536 G1537:H1537 G1538:H1538 G1539:H1539 G1540 G1541 G1542 G1543 G1544 G1545 G1546 G1547 G1548 G1549 G1550 G1551 G1552 G1553 G1554 G1555 G1556 G1557 G1558 G1559 G1560 G1561 G1562 G1563 G1564 G1565 G1566 G1567 G1568 G1569 G1570 G1571 G1572 G1573 G1574 G1575 G1576 G1577 G1578 G1579 G1580 G1581 G1582 G1583 G1584 G1585 G1586 G1587 G1588 G1589 G1590 G1591 G1592 G1593 G1594 G1595 G1596 G1597:G1598 G1599 G1600 G1601:G1602 G1603 G1604 G1605 G1606 G1607 G1608 G1609:G1610 G1611 G1612 G1613 G1614 G1615 G1616 G1617 G1618 G1619 G1620 G1627 G1628 G1629 G1630 G1631 G1632 G1633 G1634 G1635 G1636 G1637 G1638 G1639 G1640 G1641 G1642 G1643 G1644 G1645 G1646 G1647 G1648 G1649 G1650 G1651 G1652 G1653 G1654 G1655 G1656 G1657 G1658 G1659 G1660 G1661 G1662 G1663:G1664 G1665 G1666 G1667 G1668 G1669 G1670 G1671 G1672:G1674 G1675:G1677 G1678:G1680 G1681:G1683 G1684 G1685 G1686 G1687 G1688 G1689 G1690 G1691:G1692 G1693 G1694 G1695 G1696 G1697 G1698 G1699 G1700 G1701 G1702 G1703:H1703 G1704:H1704 G1705:H1705 G1706 G1707 G1708 G1709:H1709 G1710 G1711 G1712 G1713 G1714 G1716 G1717 G1718 G1719 G1720 G1721 G1722 G1723 G1724 G1725 G1726 G1727 G1728 G1729 G1730 G1731 G1732 G1733 G1734 G1735 G1736:H1736 G1737 G1738 G1739 G1740 G1741 G1742 G1743 G1744 G1745:H1746 G1747 G1748 G1749 G1750 G1751 G1752 G1753 G1754 G1755 G1756 G1757 G1758:H1758 G1759:H1759 G1760:H1760 G1761:H1761 G1762:H1762 G1763:H1763 G1764:H1764 G1765:H1765 G1766:H1766 G1767 G1768 G673:I674 G675:S678 G679:P681 G682:I684 G687:P687 G688:R691 G733:P733 G734:H739 G844:M847 G848:N848 G885:O886 G887:P900 G901:K910 G911:J918 H1037 H1042 H1045 H1070 H1075:H1076 H1077:V1077 H1152:J1153 H1154 H1156 H1157 H1158 H1160 H1161 H1162 H1163 H1165 H1166 H1168 H1169 H1170 H1172 H1173 H1174 H1176 H1177 H1178 H1247 H1274 H1275 H1295 H1296 H1297 H1301 H1302 H1303 H1304 H1305 H1313 H1314 H1326 H1327 H1328 H1329 H1330 H1331 H1332 H1333 H1334 H1335 H1336 H1337 H1338 H1339 H1340 H1341 H1379 H1380 H1381 H1382 H1383 H1384 H1385 H1386 H1387 H1388 H1389 H1390 H1391 H1392 H1393 H1394 H1395 H1396 H1397 H1398 H1399 H1400 H1401 H1402 H1403 H1404 H1405 H1406 H1407 H1408 H1411 H1412 H1413 H1414 H1415 H1416 H1417 H1418 H1419 H1420 H1421 H1422 H1423 H1424 H1425 H1426 H1427 H1428 H1429 H1430 H1431 H1432 H1433 H1434 H1435 H1436 H1437 H1438 H1439 H1440 H1441 H1442 H1443 H1444 H1445 H1446 H1447 H1448 H1449 H1450 H1451 H1452 H1453 H1454 H1455:H1459 H1462 H1463 H1464 H1465 H1466 H1467 H1468 H1469 H1470 H1471 H1472 H1473 H1474 H1475 H1476 H1477 H1478 H1479 H1480 H1481 H1482 H1487 H1488 H1489 H1490 H1491 H1492 H1493 H1495 H1496 H1497 H1498:H1504 H1505 H1506 H1507 H1511 H1512 H1514 H1515 H1516 H1517 H1518 H1519 H1520 H1521 H1522 H1523 H1524 H1525 H1526 H1527 H1528 H1529 H1530 H1531 H1532 H1533 H1534 H1535 H1536 H1540 H1541 H1542 H1543 H1544 H1545 H1546 H1547 H1548 H1549 H1550 H1551 H1552 H1553 H1554 H1555 H1556 H1557 H1558 H1559 H1560 H1561 H1562 H1563 H1564 H1565 H1566 H1567 H1568 H1569 H1570 H1571 H1572 H1573 H1574 H1575 H1576 H1577 H1578 H1579 H1580 H1581 H1582 H1583 H1584 H1585 H1586 H1587 H1588 H1589 H1590 H1591 H1592 H1593 H1594 H1595 H1596 H1597:H1598 H1599 H1600 H1601 H1602 H1603 H1604 H1605 H1606 H1607 H1608 H1609:H1610 H1611 H1612 H1613 H1614 H1615 H1616 H1617 H1618 H1619 H1620 H1627 H1628 H1629 H1630 H1631 H1632 H1633 H1634 H1635 H1636 H1637 H1638 H1639 H1640 H1641 H1642 H1643 H1644 H1645 H1646 H1647 H1648 H1649 H1650 H1651 H1652 H1653 H1654 H1655 H1656 H1657 H1658 H1659 H1660 H1661 H1662 H1663:H1664 H1665 H1666 H1667 H1668 H1669 H1670 H1671 H1672:H1674 H1675:H1677 H1678:H1680 H1681:H1683 H1684 H1685 H1686 H1687 H1688 H1689 H1690 H1691:H1692 H1693 H1694 H1695 H1696 H1697 H1698 H1699 H1700 H1701 H1702 H1706 H1707 H1708 H1710 H1711 H1712 H1713 H1714 H1716 H1717 H1718 H1719 H1720 H1721 H1722 H1723 H1724 H1725 H1726 H1727 H1728 H1729 H1730 H1731 H1732 H1733 H1734 H1735 H1737 H1738 H1739 H1740 H1741 H1742 H1743 H1744 H1747 H1748 H1749 H1750 H1751 H1752 H1753 H1754 H1755 H1756 H1757 H1767 H1768 I1037 I1042 I1043:J1043 I1044 I1045 I1070 I1074 I1075 I1076 I1100:I1138 I1154 I1156 I1157 I1158 I1160 I1161 I1162 I1163 I1165 I1166 I1168 I1169 I1170 I1172 I1173 I1174 I1176 I1177 I1178 I1181:J1185 I1186:I1230 I1247 I1248:O1248 I1249:M1249 I1250:M1250 I1251:O1251 I1252:O1252 I1253:O1253 I1254:O1254 I1255:O1255 I1256 I1257 I1258 I1259 I1260 I1261 I1262 I1263 I1264 I1265 I1266 I1267 I1268 I1269:M1269 I1270:M1270 I1271 I1272:O1272 I1273:O1273 I1274 I1275 I1276:O1276 I1277 I1278:M1278 I1279:O1279 I1280:M1280 I1281:M1281 I1282:O1282 I1283:M1283 I1284:O1284 I1285 I1286:M1286 I1287:O1287 I1288:M1288 I1289:O1289 I1290:O1290 I1291:O1291 I1292:O1292 I1293 I1294 I1295 I1296 I1297 I1298:O1298 I1299:M1299 I1300:O1300 I1301 I1302:O1302 I1303 I1304:M1304 I1305:M1305 I1306:M1306 I1307:O1307 I1308:O1308 I1309:M1309 I1310:M1310 I1311 I1312:M1312 I1313:M1313 I1314:M1314 I1315:M1315 I1316:O1316 I1317:J1317 I1318:M1318 I1319 I1320:M1320 I1321:O1321 I1322:O1322 I1323:M1323 I1324 I1325 I1326:M1326 I1327:O1327 I1328 I1329:O1329 I1330:M1330 I1331 I1332 I1333 I1334 I1335 I1336 I1337 I1338 I1339 I1340 I1341 I1342:M1342 I1343 I1344 I1345 I1346 I1347 I1348 I1349 I1350 I1351 I1352 I1353 I1354 I1355 I1356 I1357 I1358 I1359 I1360 I1361 I1362 I1363 I1364 I1365 I1366 I1367 I1368 I1369 I1370 I1371 I1372 I1373 I1374 I1375 I1376 I1377 I1378 I1379 I1380 I1381 I1382 I1383:M1383 I1384:M1384 I1385:M1385 I1386:O1386 I1387:O1387 I1388:O1388 I1389:O1389 I1390:M1390 I1391:O1391 I1392:M1392 I1393:M1393 I1394:O1394 I1395 I1396 I1397 I1398 I1399 I1400:M1400 I1401:N1401 I1402:M1402 I1403:N1403 I1404 I1405 I1406 I1407 I1408 I1411 I1412 I1413 I1414 I1415 I1416 I1417 I1418:N1418 I1419 I1420 I1421 I1422 I1423 I1424 I1425 I1426 I1427 I1428 I1429 I1430 I1431 I1432 I1433 I1434 I1435 I1436 I1437 I1438 I1439 I1440:I1443 I1444:I1449 I1450 I1451 I1452 I1453 I1454 I1455 I1456 I1457 I1458 I1459 I1460:M1460 I1461 I1462 I1463 I1464 I1465 I1466 I1467 I1468 I1469 I1470 I1471 I1472 I1473 I1474 I1475 I1476 I1477 I1478 I1479 I1480 I1481 I1482 I1484 I1485:O1485 I1486 I1487 I1488 I1489 I1490 I1491 I1492 I1493 I1494 I1495 I1496 I1497 I1498 I1499 I1500 I1501 I1502 I1503 I1504 I1505 I1506 I1507 I1508 I1509 I1510 I1511 I1512 I1513 I1514 I1515 I1516 I1517 I1518 I1519 I1520 I1521 I1522 I1523 I1524 I1525 I1526 I1527 I1528 I1529 I1530 I1531 I1532 I1533 I1534 I1535 I1536 I1537 I1538 I1539 I1540 I1541 I1542 I1543 I1544 I1545 I1546 I1547 I1548 I1549 I1550 I1551 I1552 I1553 I1554 I1555 I1556 I1557 I1558 I1559 I1560 I1561 I1562 I1563 I1564 I1565 I1566 I1567 I1568 I1569 I1570 I1571 I1572 I1573 I1574 I1575 I1576 I1577 I1578 I1579 I1580 I1581 I1582:I1583 I1584 I1585 I1586 I1587 I1588 I1589 I1590 I1591 I1592 I1593 I1594 I1595 I1596 I1597 I1598 I1599 I1600 I1601 I1602 I1603 I1604 I1605 I1606 I1607 I1608 I1609:I1610 I1611 I1612 I1613 I1614 I1615 I1616 I1617 I1618 I1619 I1620 I1621 I1622 I1623 I1624 I1625 I1626 I1627 I1628 I1629 I1630 I1631 I1632 I1633 I1634 I1635 I1636 I1637 I1638 I1639 I1640 I1641 I1642 I1643 I1644 I1645 I1646 I1647 I1648 I1649 I1650 I1651 I1652 I1653 I1654 I1655 I1656 I1657 I1658 I1659 I1660 I1661 I1662 I1663 I1664 I1665 I1666 I1667 I1668 I1669 I1670 I1671 I1672:I1674 I1675:I1677 I1678:I1680 I1681:I1683 I1684 I1685 I1686 I1687:I1689 I1690 I1691 I1692 I1693 I1694 I1695 I1696 I1697 I1698 I1699 I1700 I1701 I1702 I1703 I1704 I1705 I1706 I1707 I1708 I1709 I1710 I1711 I1712 I1713 I1714 I1715 I1716 I1717 I1718 I1719 I1720 I1721 I1722 I1723 I1724 I1725 I1726 I1727 I1728 I1729 I1730 I1731 I1732 I1733 I1734 I1735 I1736 I1737 I1738 I1739 I1740 I1741 I1742 I1743 I1744 I1745 I1746 I1747 I1748 I1749 I1750 I1751 I1752 I1753 I1754 I1755 I1756 I1757 I1758 I1759 I1760 I1761 I1762 I1763 I1764 I1765 I1766 I1767 I1768 I247:I249 I248:S248 I250:S260 I351 I397:I399 I400:N401 I500:S500 I501:I508 I524:T525 I552:I586 I709:I712 I713 I714 I715 I716 I717 I718 I734:P734 I735:R736 I737:S738 I739:R739 I742:M743 I744:R746 I747:S755 I878:I879 J1019:J1020 J1021:K1027 J1037 J1042 J1044 J1045 J1051:J1052 J1053 J1054 J1061:K1061 J1062 J1067:K1067 J1068:J1069 J1070 J1072:J1076 J1080:J1084 J1085 J1086:K1090 J1093:J1094 J1095:K1098 J1099 J1100:N1100 J1101:J1115 J1116 J1117 J1118 J1119:J1138 J1154 J1156 J1157 J1158 J1160 J1161 J1162 J1163 J1165 J1166 J1168 J1169 J1170 J1172 J1173 J1174 J1176 J1177 J1178 J1186 J1187:J1194 J1195:N1195 J1196 J1197:N1197 J1198:J1204 J1205 J1206:J1218 J1219 J1220:J1223 J1224 J1225:J1229 J1230 J1240 J1241:J1243 J1244:J1245 J1246 J1247 J1256 J1257 J1258 J1259 J1260 J1261 J1262:L1262 J1263 J1264 J1265 J1266 J1267 J1268 J1271 J1274 J1275 J1277 J1285 J1293 J1294 J1295 J1296 J1297 J1301 J1303 J1311 J1319 J1324 J1325 J1328 J1331 J1332 J1333 J1334 J1335 J1336 J1337 J1338 J1339 J1340 J1341 J1343 J1344 J1345 J1346 J1347 J1348 J1349 J1350 J1351 J1352 J1353 J1354 J1355 J1356 J1357 J1358 J1359 J1360 J1361 J1362 J1363 J1364 J1365 J1366 J1367 J1368 J1369 J1370 J1371 J1372 J1373 J1374 J1375 J1376 J1377 J1378 J1379 J1380 J1381 J1382 J1395 J1396 J1397 J1398 J1399 J1404 J1405 J1406 J1407 J1408 J1411 J1412 J1413 J1414 J1415 J1416 J1417 J1419 J1420 J1421 J1422 J1423 J1424 J1425 J1426 J1427 J1428 J1429 J1430 J1431 J1432 J1433 J1434 J1435 J1436 J1437 J1438 J1439 J1440 J1441 J1442 J1443 J1444 J1445 J1446 J1447 J1448 J1449 J1450 J1451 J1452 J1453 J1454 J1455 J1456 J1457 J1458 J1459 J1461 J1462 J1463 J1464 J1465 J1466 J1467 J1468 J1469 J1470 J1471 J1472 J1473 J1474 J1475 J1476 J1477 J1478 J1479 J1480 J1481 J1482 J1484 J1486:O1486 J1487 J1488 J1489 J1490 J1491 J1492 J1493 J1494 J1495 J1496 J1497 J1498 J1499 J1500 J1501 J1502 J1503 J1504 J1505 J1506 J1507 J1508 J1509 J1510 J1511 J1512 J1513 J1514 J1515 J1516 J1517 J1518 J1519 J1520 J1521 J1522 J1523 J1524 J1525 J1526 J1527 J1528 J1529 J1530 J1531 J1532 J1533 J1534 J1535 J1536 J1537 J1538 J1539 J1540 J1541 J1542 J1543 J1544 J1545 J1546 J1547 J1548 J1549 J1550 J1551 J1552 J1553 J1554 J1555 J1556 J1557 J1558 J1559 J1560 J1561 J1562 J1563 J1564 J1565 J1566 J1567 J1568 J1569 J1570 J1571 J1572 J1573 J1574 J1575 J1576 J1577 J1578 J1579 J1580 J1581 J1582 J1583 J1584 J1585 J1586 J1587 J1588 J1589 J1590 J1591 J1592 J1593 J1594 J1595 J1596 J1597 J1598 J1599 J1600 J1601:J1602 J1603 J1604 J1605 J1606 J1607 J1608 J1609 J1610 J1611 J1612 J1613 J1614 J1615 J1616 J1617 J1618 J1619 J1620 J1621 J1622 J1623 J1624 J1625 J1626 J1627 J1628 J1629 J1630 J1631 J1632 J1633 J1634 J1635 J1636 J1637 J1638:J1639 J1640 J1641 J1642 J1643 J1644 J1645 J1646 J1647 J1648 J1649 J1650 J1651 J1652 J1653 J1654 J1655 J1656 J1657 J1658 J1659 J1660 J1661 J1662 J1663 J1664 J1665 J1666 J1667 J1668 J1669 J1670 J1671 J1672 J1673 J1674 J1675 J1676 J1677 J1678 J1679 J1680 J1681 J1682 J1683 J1684 J1685 J1686 J1687 J1688 J1689 J1690 J1691 J1692 J1693:J1694 J1695:J1696 J1697:J1698 J1699 J1700 J1701 J1702:J1703 J1704 J1705 J1706:J1709 J1710 J1711 J1712 J1713 J1714 J1715 J1716 J1717 J1718 J1719 J1720 J1721:J1723 J1724 J1725 J1726 J1727 J1728 J1729 J1730 J1731 J1732 J1733 J1734 J1735 J1736 J1737 J1738 J1739 J1740 J1741 J1742 J1743 J1744 J1745 J1746 J1747 J1748 J1749 J1750 J1751 J1752 J1753 J1754 J1755 J1756 J1757:J1758 J1759 J1760 J1761 J1762:J1763 J1764 J1765 J1766 J1767 J1768 J246:S247 J249:S249 J351 J377 J397:S397 J398:J399 J442:R442 J443:J446 J447:S447 J448:J450 J451:P451 J452:J464 J501:J511 J548:J592 J609:J613 J614:M614 J615:J644 J662:J674 J682:P683 J684:S684 J692:J731 J817:J821 J822:N822 J823:J828 J829:P829 J830 J851 J878:R878 J879:J880 J881 J882 J938 J939:K939 J940 J941 J943:J945 J946 J947:J957 J960 K1013:N1013 K1014 K1018:K1020 K1033:K1034 K1035 K1036 K1037 K1038 K1039:L1041 K1042 K1043 K1044 K1045 K1051 K1052 K1053 K1054 K1055:K1057 K1058:N1058 K1062 K1063 K1066 K1068 K1069 K1070 K1072 K1073 K1074 K1075 K1076 K1080:K1081 K1082 K1083:P1083 K1084 K1085 K1093 K1094 K1099 K1101 K1102:K1103 K1104 K1105:K1113 K1114 K1115 K1116 K1117 K1118 K1119 K1120 K1121 K1122:N1124 K1125 K1126 K1127 K1128 K1129 K1130 K1131 K1132 K1133:K1142 K1143 K1144 K1145 K1146 K1147 K1148 K1149 K1150 K1151 K1152 K1153 K1154 K1155 K1156 K1157 K1158 K1159 K1160 K1161 K1162 K1163 K1165 K1166 K1167 K1168 K1169 K1170 K1171 K1172 K1173 K1174 K1175 K1176 K1177 K1178 K1179:M1182 K1183 K1184:K1185 K1186 K1187:N1189 K1190:K1192 K1193 K1194 K1196 K1198 K1199 K1200 K1201 K1202 K1203 K1204 K1205 K1206:K1215 K1216 K1217 K1218 K1219 K1220 K1221 K1222:K1223 K1224 K1225 K1226 K1227 K1228 K1229 K1230 K1232 K1233 K1234:K1235 K1236 K1237:K1238 K1239 K1240 K1241 K1242 K1243 K1244 K1245 K1246 K1247 K1256:O1256 K1257:M1257 K1258:O1258 K1259:M1259 K1260:M1260 K1261:M1261 K1263:M1263 K1264:M1264 K1265 K1266 K1267 K1268 K1271:M1271 K1274 K1275 K1277:M1277 K1285:O1285 K1293:O1293 K1294:O1294 K1295 K1296 K1297 K1301:M1301 K1303:M1303 K1311 K1317 K1319:O1319 K1324:O1324 K1325:O1325 K1328 K1331:O1331 K1332:O1332 K1333:O1333 K1334:M1334 K1335:O1335 K1336:O1336 K1337 K1338:O1338 K1339:O1339 K1340:M1340 K1341:M1341 K1343:O1343 K1344:M1344 K1345:M1345 K1346:O1346 K1347:M1347 K1348:O1348 K1349:O1349 K1350:O1350 K1351:O1351 K1352:O1352 K1353:O1353 K1354:O1354 K1355:O1355 K1356:O1356 K1357:O1357 K1358:O1358 K1359:O1359 K1360:O1360 K1361:O1361 K1362:O1362 K1363:O1363 K1364:O1364 K1365:O1365 K1366:O1366 K1367:O1367 K1368:O1368 K1369:O1369 K1370:O1370 K1371:O1371 K1372:O1372 K1373:O1373 K1374:O1374 K1375:O1375 K1376:O1376 K1377:O1377 K1378:O1378 K1379 K1380 K1381:M1381 K1382:O1382 K1395:M1395 K1396:O1396 K1397:O1397 K1398:M1398 K1399 K1404 K1405 K1406 K1407 K1408 K1411:M1411 K1412:M1412 K1413:O1413 K1414:O1414 K1415:O1415 K1416:O1416 K1417:M1417 K1419:N1419 K1420:N1420 K1421:M1421 K1422:M1422 K1423:N1423 K1424:N1424 K1425:M1425 K1426:M1426 K1427:M1427 K1428:O1428 K1429:O1429 K1430:O1430 K1431:O1431 K1432:O1432 K1433:O1433 K1434:O1434 K1435:M1435 K1436:O1436 K1437:O1437 K1438:O1438 K1439:M1439 K1440:O1440 K1441 K1442 K1443 K1444:M1444 K1445:O1445 K1446:O1446 K1447:O1447 K1448:O1448 K1449:O1449 K1450 K1451 K1452:M1452 K1453:O1453 K1454:O1454 K1455:O1455 K1456:O1456 K1457:O1457 K1458:O1458 K1459:O1459 K1461:M1461 K1462:O1462 K1463:O1463 K1464:O1464 K1465 K1466 K1467:M1467 K1468:O1468 K1469:O1469 K1470:O1470 K1471:M1471 K1472:M1472 K1473:M1473 K1474:O1474 K1475 K1476:O1476 K1477:M1477 K1478:O1478 K1479:O1479 K1480:M1480 K1481:M1481 K1482:M1482 K1484:M1484 K1487:O1487 K1488:O1488 K1489:M1489 K1490:O1490 K1491:O1491 K1492:O1492 K1493:O1493 K1494:M1494 K1495:O1495 K1496:O1496 K1497:O1497 K1498:O1498 K1499 K1500:O1500 K1501:O1501 K1502:O1502 K1503:O1503 K1504:O1504 K1505:M1505 K1506:O1506 K1507:O1507 K1508:O1508 K1509:M1509 K1510:M1510 K1511:O1511 K1512:O1512 K1513 K1514:O1514 K1515 K1516:O1516 K1517:O1517 K1518:O1518 K1519 K1520 K1521 K1522 K1523 K1524 K1525:O1525 K1526:O1526 K1527:O1527 K1528:O1528 K1529:O1529 K1530 K1531:L1531 K1532 K1533 K1534 K1535 K1536 K1537:M1537 K1538:M1538 K1539:M1539 K1540:M1540 K1541:M1541 K1542:M1542 K1543:M1543 K1544:M1544 K1545:M1545 K1546:M1546 K1547:M1547 K1548 K1549:M1549 K1550:M1550 K1551:M1551 K1552:M1552 K1553:M1553 K1554:M1554 K1555:M1555 K1556:M1556 K1557:M1557 K1558:M1558 K1559:M1559 K1560:M1560 K1561:M1561 K1562:M1562 K1563:M1563 K1564:M1564 K1565:M1565 K1566:M1566 K1567:M1567 K1568:M1568 K1569:M1569 K1570:M1570 K1571:M1571 K1572:M1572 K1573:M1573 K1574:M1574 K1575:M1575 K1576:M1576 K1577:M1577 K1578:M1578 K1579:M1579 K1580:M1580 K1581:M1581 K1582:M1582 K1583:M1583 K1584:M1584 K1585:M1585 K1586:M1586 K1587:M1587 K1588:M1588 K1589:M1589 K1590:O1590 K1591:O1591 K1592:O1592 K1593 K1594:M1594 K1595 K1596 K1597 K1598 K1599 K1600 K1601 K1602 K1603:M1603 K1604 K1605 K1606 K1607:M1607 K1608:M1608 K1609 K1610 K1611:O1611 K1612:M1612 K1613 K1614 K1615:M1615 K1616:M1616 K1617 K1618 K1619 K1620 K1621:M1621 K1622:M1622 K1623 K1624:M1624 K1625 K1626:M1626 K1627:M1627 K1628 K1629:M1629 K1630 K1631 K1632 K1633 K1634 K1635 K1636:M1636 K1637 K1638:M1638 K1639 K1640 K1641 K1642 K1643 K1644:M1644 K1645 K1646 K1647 K1648 K1649 K1650 K1651 K1652 K1653:M1653 K1654 K1655 K1656 K1657 K1658 K1659:M1659 K1660 K1661 K1662 K1663 K1664 K1665 K1666 K1667 K1668 K1669 K1670:M1670 K1671 K1672:M1672 K1673:M1673 K1674:M1674 K1675:M1675 K1676:M1676 K1677:M1677 K1678:M1678 K1679:M1679 K1680:M1680 K1681:M1681 K1682:M1682 K1683:M1683 K1684 K1685:O1685 K1686 K1687:M1687 K1688:M1688 K1689:M1689 K1690:M1690 K1691 K1692 K1693:M1693 K1694 K1695:M1695 K1696 K1697 K1698 K1699 K1700 K1701 K1702 K1703:M1703 K1704:M1704 K1705:M1705 K1706:O1706 K1707 K1708:O1708 K1709:M1709 K1710 K1711 K1712 K1713:M1713 K1714 K1715:M1715 K1716:M1716 K1717 K1718 K1719 K1720 K1721:M1721 K1722:M1722 K1723:O1723 K1724 K1725 K1726 K1727 K1728 K1729 K1730 K1731 K1732 K1733 K1734 K1735 K1736:O1736 K1737:O1737 K1738 K1739 K1740:O1740 K1741:O1741 K1742 K1743 K1744:M1744 K1745 K1746:M1746 K1747 K1748:M1748 K1749:M1749 K1750:M1750 K1751:M1751 K1752:M1752 K1753:M1753 K1754:M1754 K1755:M1755 K1756:M1756 K1757:M1757 K1758:M1758 K1759:M1759 K1760:M1760 K1761:M1761 K1762:M1762 K1763:M1763 K1764:M1764 K1765:M1765 K1766:M1766 K1767:M1767 K1768:M1768 K350 K351 K377:M377 K398:S398 K399:R399 K443:R445 K446:S446 K448:S448 K449:P450 K452:S452 K453:T463 K464:N464 K501:S508 K509:T510 K511:P511 K529:N529 K530:L531 K548:K552 K553:M560 K561:N584 K585:M597 K603:M603 K604:S605 K606:L608 K609:P609 K610:N612 K613:M613 K615:N616 K617:R646 K647:P647 K662:R669 K670:S674 K692:P708 K709 K710 K711 K712 K713 K714 K715 K716 K717 K718:P731 K817:M818 K819:L821 K823:S823 K824:P828 K830:R833 K834 K835:O836 K851:N851 K856:M857 K858 K879 K879:P879 K880:M882 K911:K912 K913:P916 K917:K918 K931 K932:K935 K938 K940 K941 K943 K944:K959 K960 K964:K966 K967:R968 K969 K970 K971 K972 K973 K974 K975 K976 K977:P977 K978 K979 K980:K984 K985 K986:K1012 L1014:L1028 L1032:L1036 L1037 L1038 L1042 L1043:L1044 L1045 L1051:L1055 L1056:N1057 L1061:L1069 L1070 L1071:L1076 L1079:L1082 L1084:L1099 L1101:L1121 L1125:N1125 L1126:L1147 L1148 L1149 L1150 L1151:L1155 L1156 L1157 L1158 L1159 L1160 L1161 L1162 L1163 L1165 L1166 L1167 L1168 L1169 L1170 L1171 L1172 L1173 L1174 L1175 L1176 L1177 L1178 L1183:L1185 L1186:N1186 L1190:L1194 L1196 L1198:L1210 L1211:M1211 L1212:L1235 L1236 L1237:L1246 L1247 L1265 L1266:O1266 L1267:M1267 L1268 L1274 L1275 L1295 L1296 L1297 L1311 L1317:M1317 L1328 L1337 L1379 L1380 L1399 L1404 L1405 L1406 L1407 L1408 L1441 L1442 L1443 L1450 L1451 L1465 L1466 L1475 L1499 L1513 L1515 L1519 L1520 L1521 L1522 L1523 L1524:O1524 L1530:O1530 L1532 L1533 L1534 L1535 L1536 L1548 L1593 L1595 L1596:M1596 L1597:N1597 L1598 L1599 L1600 L1601:M1601 L1602 L1604 L1605 L1606 L1609 L1610 L1613 L1614 L1617 L1618 L1619 L1620 L1623 L1625 L1628:M1628 L1630 L1631 L1632 L1633 L1634 L1635 L1637 L1639:M1639 L1640 L1641 L1642 L1643 L1645 L1646 L1647 L1648 L1649 L1650 L1651 L1652 L1654 L1655 L1656 L1657 L1658 L1660 L1661 L1662 L1663 L1664 L1665 L1666 L1667:M1667 L1668 L1669 L1671 L1684 L1686 L1691 L1692 L1694 L1696 L1697:M1697 L1698 L1699:M1699 L1700 L1701 L1702 L1707 L1710 L1711 L1712 L1714 L1717 L1718 L1719 L1720:M1720 L1724 L1725:M1725 L1726:M1726 L1727 L1728:M1728 L1729 L1730 L1731 L1732:M1732 L1733 L1734 L1735:M1735 L1738 L1739:M1739 L1742:M1742 L1743:M1743 L1745 L1747:M1747 L350 L351 L546:M552 L599:M602 L709:L715 L716:P717 L834 L858 L901:P912 L917:L919 L927:L931 L932:P933 L934:L941 L943:L966 L969:L976 L978:L987 L988:N990 L991:L1012 M1012:N1012 M1014 M1015:M1028 M1030:N1032 M1033:T1033 M1034 M1035 M1036 M1037 M1038 M1039 M1040 M1041 M1042 M1043 M1044 M1045 M1051 M1052 M1053 M1054 M1055 M1061 M1062 M1063 M1064:M1065 M1066 M1067 M1068 M1069 M1070 M1071 M1072 M1073 M1074 M1075 M1076 M1079 M1080 M1081 M1082 M1084 M1085 M1086:N1086 M1087:M1091 M1092 M1093 M1094 M1095:M1098 M1099 M1101 M1102 M1103 M1104 M1105:M1110 M1111 M1112:M1113 M1114 M1115 M1116 M1117 M1118 M1119 M1120 M1121 M1126 M1127 M1128 M1129 M1130 M1131 M1132 M1133 M1134:M1142 M1143 M1144 M1145 M1146 M1147 M1148 M1149 M1150 M1151 M1152 M1153 M1154 M1155 M1156 M1157 M1158 M1159 M1160 M1161 M1162 M1163 M1164 M1165 M1166 M1167 M1168 M1169 M1170 M1171 M1172 M1173 M1174 M1175 M1176 M1177 M1178 M1183 M1184 M1185 M1190 M1191 M1192 M1193 M1194 M1196 M1198 M1199 M1200 M1201 M1202 M1203 M1204 M1205 M1206:M1207 M1208 M1209 M1210 M1212 M1213 M1214 M1215 M1216 M1217 M1218 M1219 M1220 M1221 M1222 M1223 M1224 M1225 M1226 M1227 M1228 M1229 M1230 M1231 M1232 M1233 M1234 M1235 M1236 M1237 M1238 M1239 M1240 M1241 M1242 M1243 M1244 M1245 M1246 M1247 M1262 M1265 M1268 M1274 M1275 M1295 M1296 M1297 M1311 M1328 M1337 M1379 M1380 M1399 M1404 M1405 M1406 M1407 M1408 M1441 M1442 M1443 M1450 M1451 M1465 M1466 M1475 M1499 M1513 M1515 M1519 M1520 M1521 M1522 M1523 M1531 M1532 M1533 M1534 M1535 M1536 M1548 M1593 M1595 M1598 M1599 M1600 M1602 M1604 M1605 M1606 M1609 M1610 M1613 M1614 M1617 M1618 M1619 M1620 M1623 M1625 M1630 M1631 M1632 M1633 M1634 M1635 M1637 M1640 M1641 M1642 M1643 M1645 M1646 M1647 M1648 M1649 M1650 M1651 M1652 M1654 M1655 M1656 M1657 M1658 M1660 M1661 M1662 M1663 M1664 M1665 M1666 M1668 M1669 M1671 M1684 M1686 M1691 M1692 M1694 M1696 M1698 M1700 M1701 M1702 M1707 M1710 M1711 M1712 M1714 M1717 M1718 M1719 M1724 M1727 M1729 M1730 M1731 M1733 M1734 M1738 M1745 M350 M351 M530:N530 M531 M606:S606 M607:P608 M709 M710 M711 M712 M713 M714 M715 M819 M820:N821 M834 M858 M879 M917:P918 M919:R919 M927:O930 M931 M934:S937 M938 M939 M940 M941 M943 M944:M945 M946 M947:N947 M948:O948 M949:P957 M958:U958 M959 M960 M961:M966 M969 M970 M971 M972 M973 M974 M975 M976 M978:P978 M979 M980:P981 M982:O983 M984 M985 M986 M987 M991:N995 M996 M997 M998 M999:O1011 N1014:N1015 N1016:R1016 N1017:N1028 N1034 N1035:P1036 N1037 N1038:O1041 N1042 N1043:O1044 N1045 N1051:N1054 N1055 N1061:P1066 N1067:O1069 N1070 N1071:R1075 N1076 N1078:W1079 N1080:R1080 N1081 N1082:P1082 N1084:P1084 N1085:O1085 N1087:N1090 N1091:P1091 N1092 N1093:N1099 N1101:N1117 N1118 N1119 N1120 N1121 N1126:N1138 N1139:U1143 N1144 N1145:O1145 N1146 N1147:V1147 N1148:O1148 N1149:O1149 N1150:O1150 N1151:W1151 N1152 N1153 N1154 N1155:O1155 N1156 N1157 N1158 N1159:O1159 N1160 N1161 N1162 N1163 N1164 N1165 N1166 N1167:O1167 N1168 N1169 N1170 N1171:R1171 N1172 N1173 N1174 N1175:R1175 N1176 N1177:O1177 N1178:O1178 N1179:R1180 N1181:N1184 N1185 N1190:N1191 N1192 N1193:N1194 N1196 N1198 N1199 N1200 N1201 N1202 N1203 N1204 N1205 N1206:N1210 N1211 N1212 N1213:N1215 N1216 N1217:N1220 N1221 N1222 N1223 N1224 N1225:N1228 N1229 N1230:N1234 N1235 N1236 N1237 N1238:N1240 N1241 N1242 N1243 N1244 N1245 N1246 N1247 N1249 N1250 N1257:O1257 N1259 N1260 N1261 N1262 N1263:N1264 N1265 N1267 N1268:O1268 N1269 N1270 N1271 N1274 N1275 N1277 N1278 N1280 N1281 N1283:O1283 N1286 N1288 N1295 N1296 N1297 N1299 N1301 N1303 N1304 N1305 N1306 N1309 N1310 N1311 N1312 N1313 N1314 N1315 N1317 N1318 N1320 N1323 N1326 N1328 N1330 N1334:O1334 N1337:O1337 N1340:O1340 N1341:O1341 N1342 N1344 N1345 N1347 N1379 N1380 N1381 N1383 N1384 N1385 N1390 N1392 N1393 N1395 N1398 N1399 N1400 N1402 N1404 N1405 N1406 N1407 N1408 N1409 N1410 N1411 N1412 N1417 N1421 N1422:O1422 N1425 N1426 N1427 N1435:O1435 N1439 N1441:O1441 N1442:O1442 N1443:O1443 N1444:O1444 N1450:O1450 N1451:O1451 N1452 N1460:O1460 N1461:O1461 N1465 N1466 N1467 N1471 N1472 N1473 N1475:O1475 N1477:O1477 N1480 N1481 N1482:O1482 N1484 N1489:O1489 N1494:O1494 N1499:O1499 N1505 N1509:O1509 N1510:O1510 N1513 N1515:O1515 N1519:O1519 N1520:O1520 N1521:O1521 N1522:O1522 N1523:O1523 N1531:O1531 N1532 N1533:O1533 N1534:O1534 N1535:O1535 N1536 N1537:O1537 N1538 N1539:O1539 N1540 N1541 N1542 N1543:O1543 N1544 N1545 N1546 N1547 N1548 N1549 N1550 N1551 N1552 N1553 N1554 N1555 N1556 N1557 N1558 N1559 N1560 N1561 N1562 N1563 N1564 N1565 N1566 N1567:O1567 N1568 N1569 N1570 N1571 N1572 N1573 N1574 N1575 N1576 N1577 N1578 N1579 N1580 N1581 N1582 N1583 N1584 N1585 N1586 N1587 N1588 N1589 N1593 N1594 N1595 N1596 N1598 N1599 N1600 N1601 N1602 N1603 N1604:O1604 N1605 N1606:O1606 N1607 N1608 N1609 N1610 N1612 N1613 N1614 N1615 N1616 N1617 N1618 N1619 N1620 N1621 N1622 N1623 N1624 N1625 N1626 N1627 N1628 N1629 N1630 N1631 N1632:O1632 N1633 N1634 N1635 N1636 N1637 N1638 N1639 N1640 N1641 N1642:O1642 N1643 N1644 N1645 N1646 N1647 N1648 N1649 N1650 N1651 N1652 N1653 N1654 N1655 N1656 N1657 N1658 N1659 N1660 N1661 N1662 N1663 N1664:O1664 N1665 N1666 N1667 N1668 N1669 N1670 N1671 N1672 N1673 N1674 N1675 N1676 N1677 N1678 N1679 N1680 N1681 N1682 N1683 N1684 N1686 N1687 N1688 N1689 N1690:O1690 N1691 N1692 N1693 N1694 N1695:O1695 N1696 N1697 N1698:O1698 N1699 N1700 N1701 N1702 N1703 N1704:O1704 N1705:O1705 N1707 N1709 N1710 N1711 N1712 N1713:O1713 N1714 N1715 N1716 N1717:O1717 N1718:O1718 N1719 N1720 N1721 N1722 N1724 N1725 N1726 N1727 N1728 N1729:O1729 N1730 N1731 N1732 N1733:O1733 N1734 N1735 N1738:O1738 N1739 N1742 N1743 N1744 N1745 N1746 N1747 N1748 N1749 N1750 N1751 N1752 N1753 N1754 N1755 N1756 N1757 N1758:O1758 N1759:O1759 N1760:O1760 N1761:O1761 N1762:O1762 N1763:O1763 N1764:O1764 N1765:O1765 N1766:O1766 N1767 N1768 N350:T350 N351:T351 N373:R373 N374:N376 N377 N478:R478 N479:S479 N531:N560 N585:N603 N613:N614 N64 N709:P711 N712 N713:P715 N740:R743 N760:N765 N794:O804 N817:N819 N834:R834 N840:N847 N849:N850 N856:N858 N880 N881 N882:N883 N931:P931 N938:O941 N943:N945 N946 N959:O960 N961:S965 N966:R966 N969:O976 N979 N984:O987 N996:O998 O1012:O1015 O1017:O1032 O1034:P1034 O1037 O1042 O1045 O1046:O1058 O1070 O1076 O1081 O1086:P1090 O1092:P1094 O1095:O1115 O1116 O1117:O1138 O1144 O1146 O1152:O1153 O1154 O1156 O1157 O1158 O1160 O1161 O1162 O1163 O1164 O1165 O1166 O1168 O1169 O1170 O1172 O1173 O1174 O1176 O1181:O1246 O1247 O1249 O1250 O1259 O1260 O1261 O1262 O1263 O1264 O1265 O1267 O1269 O1270 O1271 O1274 O1275 O1277 O1278 O1280 O1281 O1286 O1288 O1295 O1296 O1297 O1299 O1301 O1303 O1304 O1305 O1306 O1309 O1310 O1311 O1312 O1313 O1314 O1315 O1317 O1318 O1320 O1323 O1326 O1328 O1330 O1342 O1344 O1345 O1347 O1379 O1380 O1381 O1383 O1384 O1385 O1390 O1392 O1393 O1395 O1398 O1399 O1400:O1402 O1403 O1404 O1405 O1406 O1407 O1408 O1409 O1410 O1411 O1412 O1417 O1418 O1419 O1420 O1421 O1423 O1424 O1425 O1426 O1427 O1439 O1452 O1465 O1466 O1467 O1471 O1472 O1473 O1480 O1481 O1484 O1505 O1513 O1532 O1536 O1538 O1540 O1541 O1542 O1544 O1545 O1546 O1547 O1548 O1549 O1550 O1551 O1552 O1553 O1554 O1555 O1556 O1557 O1558 O1559 O1560 O1561 O1562 O1563 O1564 O1565 O1566 O1568 O1569 O1570 O1571 O1572 O1573 O1574 O1575 O1576 O1577 O1578 O1579 O1580 O1581 O1582 O1583 O1584 O1585 O1586 O1587 O1588 O1589 O1593 O1594 O1595 O1596:O1598 O1599 O1600 O1601:O1603 O1605 O1607 O1608 O1609 O1610 O1612 O1613 O1614 O1615 O1616 O1617:O1624 O1625 O1626 O1627 O1628 O1629 O1630 O1631 O1633 O1634 O1635 O1636 O1637 O1638 O1639 O1640 O1641 O1643 O1644 O1645 O1646 O1647 O1648 O1649 O1650 O1651 O1652 O1653 O1654 O1655 O1656 O1657 O1658 O1659 O1660 O1661 O1662 O1663 O1665 O1666 O1667 O1668 O1669 O1670 O1671 O1672 O1673 O1674 O1675 O1676 O1677 O1678 O1679 O1680 O1681 O1682 O1683 O1684 O1686 O1687 O1688 O1689 O1691 O1692 O1693 O1694 O1696 O1697 O1699 O1700 O1701 O1702 O1703 O1707 O1709 O1710 O1711 O1712 O1714 O1715 O1716 O1719 O1720 O1721 O1722 O1724 O1725 O1726:O1728 O1730 O1731 O1732 O1734 O1735 O1739 O1742 O1743 O1744 O1745 O1746 O1747 O1748 O1749 O1750 O1751 O1752 O1753 O1754 O1755 O1756 O1757 O1767 O1768 O312 O374:O377 O400:R403 O421:T432 O464:T467 O527:O603 O610:P616 O64:T64 O712:P712 O756:S766 O808:O822 O840:O858 O866:O868 O880:O883 O942:O947 O979 O988:O995 P1017:R1027 P1028:P1032 P1037 P1038 P1039:R1040 P1041 P1042 P1043 P1044 P1045 P1046:W1046 P1047:S1048 P1049:P1051 P1052 P1053:P1054 P1055 P1056:R1058 P1067 P1068 P1069 P1070 P1076 P1081 P1085 P1095:R1100 P1101 P1102:R1117 P1118 P1119 P1120 P1121:P1124 P1125 P1126:R1126 P1127 P1128:R1129 P1130 P1131 P1132 P1133:R1133 P1134:S1138 P1144:P1146 P1148 P1149 P1150 P1152 P1153 P1154 P1155 P1156 P1157 P1158 P1159 P1160 P1161 P1162 P1163 P1164 P1165 P1166 P1167 P1168 P1169 P1170 P1172 P1173 P1174 P1176 P1177 P1178 P1181:P1182 P1183 P1184:P1191 P1192 P1193 P1194 P1195 P1196 P1197:R1197 P1198 P1199 P1200 P1201 P1202 P1203 P1204 P1205 P1206:P1209 P1210:R1210 P1211 P1212 P1213:P1216 P1217 P1218:R1219 P1220 P1221 P1222 P1223 P1224 P1225:P1228 P1229 P1230:P1232 P1233 P1234:U1234 P1235 P1236 P1237 P1238 P1239 P1240 P1241 P1242:P1243 P1244 P1245 P1246 P1247 P1248 P1249 P1250 P1251 P1252 P1253 P1254 P1255 P1256 P1257 P1258 P1259 P1260 P1261 P1262 P1263:P1264 P1265 P1266 P1267 P1268 P1269 P1270 P1271 P1272 P1273 P1274:P1275 P1276: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P1508 P1509 P1510 P1511 P1512:P1513 P1514 P1515 P1516: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P1633 P1634 P1635 P1636 P1637 P1638:P1639 P1640 P1641 P1642 P1643 P1644:P1645 P1646 P1647 P1648 P1649 P1650 P1651 P1652 P1653 P1654 P1655 P1656 P1657 P1658 P1659 P1660 P1661:P1663 P1664 P1665 P1666 P1667:P1669 P1670 P1671:P1674 P1675:P1677 P1678:P1680 P1681:P1683 P1684:P1685 P1686:P1689 P1690 P1691 P1692 P1693 P1694 P1695 P1696 P1697 P1698:P1699 P1700 P1701 P1702 P1703 P1704 P1705 P1706 P1707 P1708 P1709 P1710 P1711 P1712 P1713 P1714 P1715 P1716 P1717 P1718:P1719 P1720 P1721 P1722 P1723 P1724 P1725 P1726 P1727 P1728 P1729:P1731 P1732 P1733 P1734 P1735 P1736 P1737 P1738 P1739:P1740 P1741:P1742 P1743 P1744 P1745 P1746 P1747 P1748 P1749 P1750 P1751:P1752 P1753 P1754 P1755 P1756 P1757:P1758 P1759 P1760 P1761 P1762 P1763 P1764 P1765 P1766 P1767 P1768 P312:XFD312 P374:R376 P377 P435:T438 P439:S439 P519:P520 P521:T523 P527:T536 P537:S539 P540:P543 P544:R603 P775:P787 P788:R792 P794:P803 P804:R804 P808:P817 P818:R822 P835:R835 P836:P838 P840:S851 P852:P856 P857:R858 P866:P871 P872 P880:R880 P881 P882:P886 P926:P930 P938:R938 P939:P940 P941 P942:P945 P946 P947:P948 P959:U959 P960:S960 P969:R974 P975 P976 P979 P982:P984 P985 P986:R996 P997:S997 P998:R1015 Q1028:R1028 Q1029:U1031 Q1032:T1032 Q1034:T1036 Q1037:R1037 Q1038:R1038 Q1041:R1041 Q1042:R1042 Q1043:R1043 Q1044:R1044 Q1045:R1045 Q1049:S1054 Q1055:R1055 Q1060:W1064 Q1065:R1069 Q1070:R1070 Q1076:S1076 Q1081:R1081 Q1082:R1084 Q1085:R1085 Q1086:R1093 Q1094:R1094 Q1101:R1101 Q1118:R1118 Q1119:R1124 Q1125:R1125 Q1127:R1127 Q1130:R1130 Q1131:R1131 Q1132:R1132 Q1144:R1146 Q1148:R1148 Q1149:R1149 Q1150:R1150 Q1152:R1154 Q1155:R1155 Q1156:R1156 Q1157:R1157 Q1158:R1158 Q1159:R1159 Q1160:R1160 Q1161:R1161 Q1162:R1162 Q1163:R1163 Q1164:R1164 Q1165:R1165 Q1166:R1166 Q1167:R1167 Q1168:R1168 Q1169:R1169 Q1170:R1170 Q1172:R1172 Q1173:R1173 Q1174:R1174 Q1176:R1176 Q1177:R1178 Q1181:R1195 Q1196:R1196 Q1198:R1198 Q1199:R1202 Q1203:R1203 Q1204:R1209 Q1211:R1211 Q1212:R1216 Q1217:R1217 Q1220:S1223 Q1224:R1224 Q1225:R1232 Q1233:R1233 Q1235:R1246 Q1247:R1247 Q1248:R1248 Q1249:R1249 Q1250:R1250 Q1251:R1251 Q1252:R1252 Q1253:R1253 Q1254:R1254 Q1255:R1255 Q1256:R1256 Q1257:R1257 Q1258:R1258 Q1259:R1259 Q1260:R1260 Q1261:R1261 Q1262:R1262 Q1263:R1263 Q1264:R1264 Q1265:R1265 Q1266:R1266 Q1267:R1267 Q1268:R1268 Q1269:R1269 Q1270:R1270 Q1271:R1271 Q1272:R1272 Q1273:R1273 Q1274:R1274 Q1275:R1275 Q1276:R1276 Q1277:R1277 Q1278:R1278 Q1279:R1279 Q1280:R1280 Q1281:R1281 Q1282:R1282 Q1283:R1283 Q1284:R1284 Q1285:R1285 Q1286:R1286 Q1287:R1287 Q1288:R1288 Q1289:R1289 Q1290:R1290 Q1291:R1291 Q1292:R1292 Q1293:R1293 Q1294:R1294 Q1295:R1295 Q1296:R1296 Q1297:R1297 Q1298:R1298 Q1299:R1299 Q1300:R1300 Q1301:R1301 Q1302:R1302 Q1303:R1303 Q1304:R1304 Q1305:R1305 Q1306:R1306 Q1307:R1307 Q1308:R1308 Q1309:R1309 Q1310:R1310 Q1311:R1311 Q1312:R1312 Q1313:R1313 Q1314:R1314 Q1315:R1315 Q1316:R1316 Q1317:R1317 Q1318:R1318 Q1319:R1319 Q1320:R1320 Q1321:R1321 Q1322:R1322 Q1323:R1323 Q1324:R1324 Q1325:R1325 Q1326:R1326 Q1327:R1327 Q1328:R1328 Q1329:R1329 Q1330:R1330 Q1331:R1331 Q1332:R1332 Q1333:R1333 Q1334:R1334 Q1335:R1335 Q1336:R1336 Q1337:R1337 Q1338:R1338 Q1339:R1339 Q1340:R1340 Q1341:R1341 Q1342:R1342 Q1343:R1343 Q1344:R1344 Q1345:R1345 Q1346:R1346 Q1347:R1347 Q1348:R1348 Q1349:R1349 Q1350:R1350 Q1351:R1351 Q1352:R1352 Q1353:R1353 Q1354:R1354 Q1355:R1355 Q1356:R1356 Q1357:R1357 Q1358:R1358 Q1359:R1359 Q1360:R1360 Q1361:R1361 Q1362:R1362 Q1363:R1363 Q1364:R1364 Q1365:R1365 Q1366:R1366 Q1367:R1367 Q1368:R1368 Q1369:R1369 Q1370:R1370 Q1371:R1371 Q1372:R1372 Q1373:R1373 Q1374:R1374 Q1375:R1375 Q1376:R1376 Q1377:R1377 Q1378:R1378 Q1379:R1379 Q1380:R1380 Q1381:R1381 Q1382:R1382 Q1383:R1383 Q1384:R1384 Q1385:R1385 Q1386:R1386 Q1387:R1387 Q1388:R1388 Q1389:R1389 Q1390:R1390 Q1391:R1391 Q1392:R1392 Q1393:R1393 Q1394:R1394 Q1395:R1395 Q1396:R1396 Q1397:R1397 Q1398:R1398 Q1399:R1399 Q1400:R1400 Q1401:R1401 Q1402:R1402 Q1403:R1403 Q1404:R1404 Q1405:R1405 Q1406:R1406 Q1407:R1407 Q1408:R1408 Q1409:R1409 Q1410:R1410 Q1411:R1411 Q1412:R1412 Q1413:R1413 Q1414:R1414 Q1415:R1415 Q1416:R1416 Q1417:R1417 Q1418:R1418 Q1419:R1419 Q1420:R1420 Q1421:R1421 Q1422:R1422 Q1423:R1423 Q1424:R1424 Q1425:R1425 Q1426:R1426 Q1427:R1427 Q1428:R1428 Q1429:R1429 Q1430:R1430 Q1431:R1431 Q1432:R1432 Q1433:R1433 Q1434:R1434 Q1435:R1435 Q1436:R1436 Q1437:R1437 Q1438:R1438 Q1439:R1439 Q1440:R1440 Q1441:R1441 Q1442:R1442 Q1443:R1443 Q1444:R1444 Q1445:R1445 Q1446:R1446 Q1447:R1447 Q1448:R1448 Q1449:R1449 Q1450:R1450 Q1451:R1451 Q1452:R1452 Q1453:R1453 Q1454:R1454 Q1455:R1455 Q1456:R1456 Q1457:R1457 Q1458:R1458 Q1459:R1459 Q1460:R1460 Q1461:R1461 Q1462:R1462 Q1463:R1463 Q1464:R1464 Q1465:R1465 Q1466:R1466 Q1467:R1467 Q1468:R1468 Q1469:R1469 Q1470:R1470 Q1471:R1471 Q1472:R1472 Q1473:R1473 Q1474:R1474 Q1475:R1475 Q1476:R1476 Q1477:R1477 Q1478:R1478 Q1479:R1479 Q1480:R1480 Q1481:R1481 Q1482:R1482 Q1483:T1483 Q1484:R1484 Q1485:R1485 Q1486:R1486 Q1487:R1487 Q1488:R1488 Q1489:R1489 Q1490:R1490 Q1491:R1491 Q1492:R1492 Q1493:R1493 Q1494:R1494 Q1495:R1495 Q1496:R1496 Q1497:R1497 Q1498:R1498 Q1499:R1499 Q1500:R1500 Q1501:R1501 Q1502:R1502 Q1503:R1503 Q1504:R1504 Q1505:R1505 Q1506:R1506 Q1507:R1507 Q1508:R1508 Q1509:R1509 Q1510:R1510 Q1511:R1511 Q1512:R1512 Q1513:R1513 Q1514:R1514 Q1515:R1515 Q1516:R1516 Q1517:R1517 Q1518:R1518 Q1519:R1519 Q1520:R1520 Q1521:R1521 Q1522:R1522 Q1523:R1523 Q1524:R1524 Q1525:R1525 Q1526:R1526 Q1527:R1527 Q1528:R1528 Q1529:R1529 Q1530:R1530 Q1531:R1531 Q1532:R1532 Q1533:R1533 Q1534:R1534 Q1535:R1535 Q1536:R1536 Q1537:R1537 Q1538:R1538 Q1539:R1539 Q1540:R1540 Q1541:R1541 Q1542:R1542 Q1543:R1543 Q1544:R1544 Q1545:R1545 Q1546:R1546 Q1547:R1547 Q1548:R1548 Q1549:R1549 Q1550:R1550 Q1551:R1551 Q1552:R1552 Q1553:R1553 Q1554:R1554 Q1555:R1555 Q1556:R1556 Q1557:R1557 Q1558:R1558 Q1559:R1559 Q1560:R1560 Q1561:R1561 Q1562:R1562 Q1563:R1563 Q1564:R1564 Q1565:R1565 Q1566:R1566 Q1567:R1567 Q1568:R1568 Q1569:R1569 Q1570:R1570 Q1571:R1571 Q1572:R1572 Q1573:R1573 Q1574:R1574 Q1575:R1575 Q1576:R1576 Q1577:R1577 Q1578:R1578 Q1579:R1579 Q1580:R1580 Q1581:R1581 Q1582:R1582 Q1583:R1583 Q1584:R1584 Q1585:R1585 Q1586:R1586 Q1587:R1587 Q1588:R1588 Q1589:R1589 Q1590:R1590 Q1591:R1591 Q1592:R1592 Q1593:R1593 Q1594:R1594 Q1595:R1595 Q1596:R1596 Q1597:R1597 Q1598:R1598 Q1599:R1599 Q1600:R1600 Q1601:R1601 Q1602:R1602 Q1603:R1603 Q1604:R1604 Q1605:R1605 Q1606:R1606 Q1607:R1607 Q1608:R1608 Q1609:R1609 Q1610:R1610 Q1611:R1611 Q1612:R1612 Q1613:R1613 Q1614:R1614 Q1615:R1615 Q1616:R1616 Q1617:R1617 Q1618:R1618 Q1619:R1619 Q1620:R1620 Q1621:R1621 Q1622:R1622 Q1623:R1623 Q1624:R1624 Q1625:R1625 Q1626:R1626 Q1627:R1627 Q1628:R1628 Q1629:R1629 Q1630:R1630 Q1631:R1631 Q1632:R1632 Q1633:R1633 Q1634:R1634 Q1635:R1635 Q1636:R1636 Q1637:R1637 Q1638:R1638 Q1639:R1639 Q1640:R1640 Q1641:R1641 Q1642:R1642 Q1643:R1643 Q1644:R1644 Q1645:R1645 Q1646:R1646 Q1647:R1647 Q1648:R1648 Q1649:R1649 Q1650:R1650 Q1651:R1651 Q1652:R1652 Q1653:R1653 Q1654:R1654 Q1655:R1655 Q1656:R1656 Q1657:R1657 Q1658:R1658 Q1659:R1659 Q1660:R1660 Q1661:R1661 Q1662:R1662 Q1663:R1663 Q1664:R1664 Q1665:R1665 Q1666:R1666 Q1667:R1667 Q1668:R1668 Q1669:R1669 Q1670:R1670 Q1671:R1671 Q1672:R1672 Q1673:R1673 Q1674:R1674 Q1675:R1675 Q1676:R1676 Q1677:R1677 Q1678:R1678 Q1679:R1679 Q1680:R1680 Q1681:R1681 Q1682:R1682 Q1683:R1683 Q1684:R1684 Q1685:R1685 Q1686:R1686 Q1687:R1687 Q1688:R1688 Q1689:R1689 Q1690:R1690 Q1691:R1691 Q1692:R1692 Q1693:R1693 Q1694:R1694 Q1695:R1695 Q1696:R1696 Q1697:R1697 Q1698:R1698 Q1699:R1699 Q1700:R1700 Q1701:R1701 Q1702:R1702 Q1703:R1703 Q1704:R1704 Q1705:R1705 Q1706:R1706 Q1707:R1707 Q1708:R1708 Q1709:R1709 Q1710:R1710 Q1711:R1711 Q1712:R1712 Q1713:R1713 Q1714:R1714 Q1715:R1715 Q1716:R1716 Q1717:R1717 Q1718:R1718 Q1719:R1719 Q1720:R1720 Q1721:R1721 Q1722:R1722 Q1723:R1723 Q1724:R1724 Q1725:R1725 Q1726:R1726 Q1727:R1727 Q1728:R1728 Q1729:R1729 Q1730:R1730 Q1731:R1731 Q1732:R1732 Q1733:R1733 Q1734:R1734 Q1735:R1735 Q1736:R1736 Q1737:R1737 Q1738:R1738 Q1739:R1739 Q1740:R1740 Q1741:R1741 Q1742:R1742 Q1743:R1743 Q1744:R1744 Q1745:R1745 Q1746:R1746 Q1747:R1747 Q1748:R1748 Q1749:R1749 Q1750:R1750 Q1751:R1751 Q1752:R1752 Q1753:R1753 Q1754:R1754 Q1755:R1755 Q1756:R1756 Q1757:R1757 Q1758:R1758 Q1759:R1759 Q1760:R1760 Q1761:R1761 Q1762:R1762 Q1763:R1763 Q1764:R1764 Q1765:R1765 Q1766:R1766 Q1767:R1767 Q1768:R1768 Q377:R377 Q387:T387 Q449:S451 Q511:T520 Q540:S541 Q542:R543 Q607:R616 Q647:S653 Q679:S683 Q686:S687 Q692:R731 Q733:R734 Q768:R787 Q794:S797 Q798:R803 Q808:R815 Q816:S816 Q817:R817 Q824:S825 Q826:R829 Q836:R836 Q837:R838 Q852:S852 Q853:R856 Q866:S876 Q879:R879 Q881:R881 Q882:R918 Q924:R933 Q939:R945 Q946:R946 Q947:R953 Q954:S957 Q975:R984 Q985:R985 S1037 S1038:W1041 S1042 S1043:W1044 S1045 S1055:S1058 S1065:U1065 S1066:S1068 S1069 S1070 S1071:S1072 S1073 S1074 S1075 S1080 S1081 S1082 S1083 S1084:S1133 S1144 S1145 S1146 S1148:W1150 S1152:S1153 S1154 S1155:W1155 S1156 S1157 S1158 S1159 S1160 S1161 S1162 S1163 S1164 S1165 S1166 S1167 S1168 S1169 S1170 S1171 S1172 S1173 S1174 S1175 S1176 S1177 S1178 S1179:S1219 S1224:S1229 S1230 S1231:W1231 S1232:T1233 S1235 S1236 S1237:S1239 S1240 S1241:S1245 S1246 S1247 S1248 S1249 S1250 S1251 S1252 S1253 S1254 S1255 S1256 S1257 S1258 S1259 S1260 S1261 S1262:T1262 S1263 S1264 S1265 S1266 S1267 S1268 S1269 S1270 S1271 S1272 S1273 S1274 S1275 S1276 S1277 S1278 S1279 S1280 S1281 S1282 S1283 S1284 S1285 S1286 S1287 S1288 S1289 S1290 S1291 S1292 S1293 S1294 S1295 S1296 S1297 S1298 S1299 S1300 S1301 S1302 S1303 S1304 S1305 S1306 S1307 S1308 S1309 S1310 S1311 S1312 S1313 S1314 S1315 S1316 S1317 S1318 S1319 S1320 S1321 S1322 S1323 S1324 S1325 S1326 S1327 S1328 S1329 S1330 S1331 S1332 S1333 S1334 S1335 S1336 S1337 S1338 S1339 S1340 S1341 S1342 S1343 S1343:S1378 S1379 S1380 S1381 S1382 S1383 S1384 S1385 S1386 S1387 S1388 S1389 S1390 S1391 S1392 S1393 S1394 S1395 S1396 S1397 S1398 S1399 S1400 S1401 S1402 S1403 S1404 S1405 S1406 S1407 S1408 S1409 S1410 S1411 S1412 S1413 S1414 S1415 S1416 S1417 S1418 S1419 S1420 S1421 S1422 S1423 S1424 S1425 S1426 S1427 S1428 S1429 S1430 S1431 S1432 S1433 S1434 S1435 S1436 S1437 S1438 S1439 S1440 S1441 S1442 S1443 S1444 S1445 S1446 S1447 S1448 S1449 S1450 S1451 S1452 S1453 S1454 S1455 S1456 S1457 S1458 S1459 S1460 S1461 S1462 S1463 S1464 S1465 S1466 S1467 S1468 S1469 S1470 S1471 S1472 S1473 S1474 S1475 S1476 S1477 S1478 S1479 S1480 S1481 S1482 S1484 S1485 S1486 S1487 S1488 S1489 S1490 S1491 S1492 S1493 S1494 S1495 S1496 S1497 S1498 S1499 S1500 S1501 S1502 S1503 S1504 S1505 S1506 S1507 S1508 S1509 S1510 S1511 S1512 S1513 S1514 S1515 S1516 S1517 S1518 S1519 S1520 S1521 S1522 S1523 S1524 S1525 S1526 S1527 S1528 S1529 S1530 S1531 S1532 S1533 S1534 S1535 S1536 S1537 S1538 S1539 S1540 S1541 S1542 S1543 S1544 S1545 S1546 S1547 S1548 S1549 S1550 S1551 S1552 S1553 S1554 S1555 S1556 S1557 S1558 S1559 S1560 S1561 S1562 S1563 S1564 S1565 S1566 S1567 S1568 S1569 S1570 S1571 S1572 S1573 S1574 S1575 S1576 S1577 S1578 S1579 S1580 S1581 S1582 S1583 S1584 S1585 S1586 S1587 S1588 S1589 S1590 S1591 S1592 S1593 S1594 S1595 S1596 S1597 S1598 S1599 S1600 S1601 S1602 S1603 S1604 S1605 S1606 S1607 S1608 S1609 S1610 S1611 S1612 S1613 S1614 S1615 S1616 S1617 S1618 S1619:S1620 S1621 S1622 S1623 S1624 S1625 S1626 S1627 S1628 S1629 S1630 S1631 S1632 S1633 S1634 S1635 S1636 S1637 S1638 S1639 S1640 S1641 S1642 S1643 S1644 S1645 S1646 S1647 S1648 S1649 S1650 S1651 S1652 S1653 S1654 S1655 S1656 S1657 S1658 S1659 S1660 S1661 S1662 S1663 S1664 S1665 S1666 S1667 S1668 S1669 S1670 S1671 S1672 S1673 S1674 S1675 S1676 S1677 S1678 S1679 S1680 S1681 S1682 S1683 S1684 S1685 S1686 S1687 S1688 S1689 S1690 S1691 S1692 S1693 S1694 S1695 S1696 S1697 S1698 S1699 S1700 S1701 S1702 S1703 S1704 S1705 S1706 S1707 S1708 S1709 S1710 S1711 S1712 S1713 S1714 S1715 S1716 S1717 S1718 S1719 S1720 S1721 S1722 S1723 S1724 S1725 S1726 S1727 S1728 S1729 S1730 S1731 S1732 S1733 S1734 S1735 S1736 S1737 S1738 S1739 S1740 S1741 S1742 S1743 S1744 S1745 S1746 S1747 S1748 S1749 S1750 S1751 S1752 S1753 S1754 S1755 S1756 S1757 S1758 S1759 S1760 S1761 S1762 S1763 S1764 S1765 S1766 S1767 S1768 S373:T377 S399:S403 S442:S445 S477:T478 S542:S603 S607:S646 S657:S669 S688:S731 S733:S736 S739:S746 S768:S792 S798:S804 S806:S815 S817:S822 S826:S838 S853:S865 S878:S925 S926:U926 S927:T931 S932:S933 S938:S940 S941 S942:S953 S966:S996 S998:S1028 T1037 T1042 T1045 T1047:T1058 T1066:U1069 T1070 T1071:W1071 T1072:U1076 T1080:W1080 T1081:T1138 T1144 T1145:W1146 T1152:U1154 T1156 T1157 T1158 T1159:W1159 T1160 T1161 T1162 T1163 T1164:W1164 T1165 T1166 T1167:W1167 T1168 T1169 T1170 T1171:W1171 T1172 T1173 T1174 T1175:W1175 T1176 T1177 T1178 T1179:V1180 T1181:U1183 T1184:V1185 T1186:T1230 T1235:U1239 T1240:T1246 T1247 T1248 T1249 T1250 T1251 T1252 T1253 T1254 T1255 T1256 T1257 T1258 T1259 T1260 T1261 T1263 T1264 T1265 T1266 T1267 T1268 T1269 T1270 T1271 T1272 T1273 T1274 T1275 T1276 T1277:T1279 T1280 T1281 T1282 T1283 T1284 T1285 T1286 T1287 T1288 T1289 T1290 T1291 T1292 T1293 T1294 T1295 T1296 T1297 T1298 T1299 T1300 T1301 T1302 T1303 T1304 T1305 T1306 T1307 T1308 T1309 T1310 T1311 T1312 T1313 T1314 T1315 T1316 T1317 T1318 T1319 T1320 T1321 T1322 T1323 T1324 T1325 T1326 T1327:T1329 T1330 T1331 T1332 T1333 T1334 T1335 T1336 T1337 T1338 T1339 T1340 T1341 T1342 T1343 T1344 T1345 T1346 T1347 T1348 T1349 T1350 T1351 T1352 T1353 T1354 T1355 T1356 T1357 T1358 T1359 T1360 T1361 T1362 T1363 T1364 T1365 T1366 T1367 T1368 T1369 T1370 T1371 T1372 T1373 T1374 T1375 T1376 T1377 T1378 T1379 T1380 T1381 T1382 T1383 T1384 T1385 T1386 T1387 T1388 T1389 T1390 T1391 T1392 T1393 T1394 T1395 T1396 T1397 T1398 T1399 T13:T24 T1400 T1401 T1402 T1403 T1404 T1405 T1406 T1407 T1408 T1409 T1410 T1411 T1412 T1413 T1414 T1415 T1416 T1417 T1418 T1419 T1420 T1421 T1422 T1423 T1424 T1425 T1426 T1427 T1428 T1429 T1430 T1431 T1432 T1433 T1434 T1435 T1436 T1437 T1438 T1439 T1440 T1441 T1442 T1443 T1444 T1445 T1446 T1447 T1448 T1449 T1450 T1451 T1452 T1453 T1454 T1455 T1456 T1457 T1458 T1459 T1460 T1461:T1462 T1463 T1464 T1465 T1466 T1467 T1468 T1469 T1470 T1471 T1472 T1473 T1474 T1475 T1476 T1477 T1478 T1479 T1480 T1481 T1482 T1484 T1485 T1486 T1487 T1488 T1489 T1490 T1491 T1492 T1493 T1494 T1495 T1496 T1497 T1498 T1499 T1500 T1501 T1502 T1503 T1504 T1505 T1506 T1507 T1508 T1509 T1510 T1511 T1512 T1513 T1514 T1515:T1518 T1519 T1520 T1521 T1522 T1523 T1524 T1525 T1526 T1527 T1528 T1529 T1530 T1531 T1532 T1533 T1534 T1535 T1536 T1537 T1538 T1539 T1540 T1541 T1542 T1543 T1544 T1545 T1546 T1547 T1548 T1549 T1550 T1551 T1552 T1553 T1554 T1555 T1556 T1557 T1558 T1559 T1560 T1561 T1562 T1563 T1564 T1565 T1566 T1567 T1568 T1569 T1570 T1571 T1572 T1573 T1574 T1575 T1576 T1577 T1578 T1579 T1580 T1581 T1582 T1583 T1584 T1585 T1586 T1587 T1588 T1589 T1590 T1591 T1592 T1593 T1594 T1595 T1596 T1597 T1598 T1599 T1600 T1601:T1602 T1603:T1604 T1605:T1606 T1607 T1608 T1609 T1610 T1611 T1612 T1613 T1614 T1615 T1616:T1617 T1618:T1620 T1621 T1622:T1626 T1627:T1629 T1630:T1631 T1632:T1633 T1634 T1635 T1636 T1637 T1638:T1640 T1641 T1642 T1643:T1645 T1646 T1647 T1648 T1649 T1650 T1651 T1652 T1653 T1654 T1655 T1656 T1657 T1658 T1659 T1660 T1661 T1662 T1663 T1664 T1665:T1666 T1667 T1668:T1669 T1670 T1671 T1672 T1673 T1674 T1675 T1676 T1677 T1678 T1679 T1680 T1681 T1682 T1683 T1684 T1685 T1686 T1687 T1688 T1689 T1690 T1691 T1692 T1693:T1694 T1695 T1696 T1697 T1698 T1699 T1700 T1701 T1702 T1703 T1704 T1705 T1706 T1707 T1708 T1709 T1710 T1711 T1712 T1713:T1716 T1717 T1718 T1719 T1720 T1721 T1722 T1723:T1726 T1727 T1728 T1729:T1731 T1732:T1733 T1734 T1735 T1736 T1737 T1738 T1739 T1740 T1741 T1742 T1743 T1744 T1745:T1746 T1747 T1748 T1749 T1750 T1751 T1752 T1753 T1754 T1755 T1756 T1757 T1758 T1759 T1760 T1761 T1762 T1763 T1764 T1765 T1766 T1767 T1768 T237:T260 T25:T37 T355:T356 T38:T63 T397:T403 T407:T408 T439:T452 T479:T480 T499:T508 T537:T540 T543 T545:T918 T65 T66 T67:T69 T919:W919 T920:U925 T932:U938 T939:T957 T960:T1028 U1018:U1028 U1032:U1036 U1037 U1042 U1045 U1047 U1048 U1049 U1050 U1051:U1052 U1053 U1054:U1058 U1070 U1081 U1082 U1083 U1084 U1085 U1086:U1104 U1105:W1108 U1109:V1113 U1114:U1115 U1116 U1117 U1118:U1138 U1143:U1144 U1154 U1156 U1157 U1158 U1160 U1161 U1162 U1163 U1165 U1166 U1168 U1169 U1170 U1172 U1173 U1174 U1176 U1177 U1178 U1186 U1187:U1204 U1205 U1206:U1210 U1211 U1212:U1218 U1219 U1220:U1223 U1224 U1225:U1229 U1230 U1232 U1233 U1240 U1241:U1243 U1244:U1245 U1246 U1247 U1248 U1249 U1250 U1251 U1252 U1253 U1254 U1255 U1256 U1257 U1258 U1259 U1260 U1261 U1262 U1263 U1264 U1265 U1266 U1267 U1268 U1269:U1270 U1271 U1272 U1273 U1274 U1275 U1276 U1277 U1278:U1279 U1280 U1281 U1282:U1283 U1284 U1285 U1286 U1287 U1288 U1289 U1290 U1291 U1292 U1293 U1294 U1295 U1296 U1297 U1298 U1299 U1300 U1301 U1302 U1303 U1304 U1305 U1306 U1307 U1308 U1309 U1310 U1311 U1312 U1313 U1314 U1315 U1316 U1317 U1318 U1319 U1320 U1321 U1322 U1323 U1324 U1325 U1326 U1327 U1328 U1329 U1330 U1331 U1332 U1333 U1334 U1335 U1336 U1337 U1338 U1339 U1340 U1341 U1342 U1343 U1344 U1345 U1346 U1347 U1348 U1349 U1350 U1351 U1352 U1353 U1354 U1355 U1356 U1357 U1358 U1359 U1360 U1361 U1362 U1363 U1364 U1365 U1366 U1367 U1368 U1369 U1370 U1371 U1372 U1373 U1374 U1375 U1376 U1377 U1378 U1379 U1380 U1381 U1382 U1383 U1384 U1385 U1386 U1387 U1388 U1389 U1390 U1391 U1392 U1393 U1394:U1395 U1396 U1397 U1398 U1399 U1400 U1401 U1402 U1403 U1404 U1405 U1406 U1407 U1408 U1409 U1410 U1411 U1412 U1413 U1414 U1415 U1416 U1417 U1418 U1419 U1420 U1421 U1422 U1423 U1424 U1425 U1426 U1427 U1428 U1429 U1430 U1431 U1432 U1433 U1434 U1435 U1436 U1437 U1438 U1439 U1440 U1441 U1442 U1443 U1444 U1445 U1446 U1447 U1448 U1449 U1450 U1451:U1452 U1453 U1454 U1455 U1456 U1457 U1458 U1459 U1460 U1461:U1464 U1465 U1466:U1467 U1468 U1469 U1470 U1471 U1472 U1473 U1474 U1475 U1476 U1477 U1478 U1479 U1480 U1481 U1482 U1483 U1484 U1485 U1486 U1487 U1488 U1489 U1490 U1491 U1492 U1493 U1494 U1495 U1496 U1497 U1498 U1499 U1500 U1501 U1502 U1503 U1504 U1505 U1506 U1507 U1508 U1509 U1510 U1511 U1512 U1513 U1514 U1515 U1516 U1517 U1518 U1519 U1520 U1521 U1522 U1523 U1524 U1525 U1526 U1527 U1528 U1529 U1530 U1531 U1532 U1533 U1534 U1535 U1536 U1537 U1538 U1539 U1540 U1541 U1542 U1543 U1544 U1545 U1546 U1547 U1548 U1549 U1550 U1551 U1552 U1553 U1554 U1555 U1556 U1557 U1558 U1559 U1560 U1561 U1562 U1563 U1564 U1565 U1566 U1567 U1568 U1569 U1570 U1571 U1572 U1573 U1574 U1575 U1576 U1577 U1578 U1579 U1580 U1581 U1582 U1583 U1584 U1585 U1586 U1587 U1588 U1589 U1590 U1591 U1592 U1593 U1594 U1595 U1596 U1597 U1598 U1599 U1600 U1601:U1602 U1603 U1604 U1605:U1606 U1607 U1608 U1609 U1610 U1611:U1612 U1613 U1614 U1615 U1616 U1617 U1618 U1619 U1620 U1621 U1622 U1623 U1624 U1625 U1626 U1627 U1628:U1629 U1630:U1631 U1632 U1633 U1634 U1635 U1636 U1637 U1638:U1639 U1640 U1641 U1642 U1643 U1644 U1645:U1646 U1647 U1648 U1649 U1650 U1651 U1652 U1653 U1654 U1655 U1656 U1657 U1658 U1659 U1660 U1661 U1662 U1663 U1664 U1665:U1666 U1667 U1668 U1669 U1670 U1671:U1672 U1673 U1674 U1675 U1676 U1677 U1678 U1679 U1680 U1681 U1682 U1683 U1684 U1685 U1686 U1687 U1688 U1689 U1690 U1691 U1692:U1694 U1695:U1696 U1697 U1698 U1699 U1700:U1701 U1702:U1703 U1704 U1705 U1706 U1707:U1709 U1710 U1711 U1712 U1713 U1714 U1715 U1716 U1717 U1718 U1719 U1720:U1723 U1724 U1725:U1726 U1727 U1728 U1729 U1730 U1731 U1732 U1733 U1734 U1735 U1736 U1737 U1738 U1739 U1740 U1741 U1742 U1743 U1744 U1745 U1746 U1747 U1748 U1749 U1750 U1751 U1752 U1753 U1754 U1755 U1756 U1757:U1758 U1759 U1760 U1761 U1762:U1763 U1764 U1765 U1766 U1767 U1768 U28 U29 U30 U31:U35 U325:U350 U351 U352:U424 U36:U38 U39:U44 U425 U426:U801 U45:U50 U51:U56 U57:U62 U63:U68 U69 U70:W308 U802 U803:U850 U851 U852:U878 U879 U880 U881 U882:U918 U8:U27 U927:W928 U929:U931 U939 U940 U941 U942:U945 U946 U947:U957 U960 U961:U977 U978:W1017 V1018:W1036 V1037 V1042 V1045 V1047:V1058 V1065:W1069 V1070 V1072:W1072 V1073:V1076 V1081:V1103 V1104 V1114 V1115 V1116 V1117 V1118 V1119 V1120 V1121 V1122:V1144 V1152:V1153 V1154 V1156 V1157 V1158 V1160 V1161 V1162 V1163 V1165 V1166 V1168 V1169 V1170 V1172 V1173 V1174 V1176 V1177 V1178 V1181:V1182 V1183 V1186:V1192 V1193:V1203 V1204:V1225 V1226:V1228 V1229:W1229 V1230 V1232:W1246 V1247 V1248 V1249 V1250 V1251 V1252 V1253 V1254 V1255 V1256 V1257 V1258 V1259:V1261 V1262:W1262 V1263 V1264 V1265 V1266 V1267 V1268 V1269 V1270 V1271 V1272 V1273 V1274 V1275 V1276:V1279 V1280 V1281 V1282 V1283 V1284 V1285 V1286 V1287 V1288 V1289 V1290 V1291 V1292 V1293 V1294 V1295 V1296 V1297 V1298 V1299 V1300 V1301 V1302 V1303 V1304 V1305 V1306 V1307 V1308 V1309:V1311 V1312 V1313 V1314 V1315 V1316 V1317 V1318 V1319 V1320 V1321 V1322 V1323 V1324 V1325 V1326 V1327:V1329 V1330 V1331:V1341 V1342 V1343 V1344:V1378 V1379 V1380 V1381 V1382 V1383 V1384 V1385 V1386 V1387 V1388 V1389 V1390 V1391 V1392 V1393 V1394 V1395 V1396 V1397 V1398 V1399 V1400 V1401 V1402 V1403 V1404 V1405 V1406 V1407 V1408 V1409 V1410 V1411 V1412 V1413 V1414 V1415 V1416 V1417 V1418 V1419 V1420 V1421:V1424 V1425 V1426 V1427 V1428 V1429 V1430 V1431 V1432 V1433 V1434 V1435 V1436 V1437 V1438 V1439 V1440:V1449 V1450 V1451 V1452 V1453 V1454 V1455:V1459 V1460 V1461 V1462 V1463 V1464 V1465 V1466 V1467 V1468 V1469 V1470 V1471 V1472 V1473 V1474 V1475 V1476 V1477 V1478 V1479 V1480 V1481 V1482 V1483:W1483 V1484 V1485 V1486 V1487 V1488 V1489 V1490 V1491 V1492 V1493 V1494 V1495 V1496 V1497 V1498 V1499 V1500 V1501 V1502 V1503 V1504 V1505 V1506 V1507 V1508 V1509 V1510 V1511 V1512 V1513 V1514 V1515:V1518 V1519 V1520:V1530 V1531 V1532 V1533 V1534 V1535 V1536 V1537 V1538 V1539 V1540 V1541 V1542 V1543 V1544 V1545 V1546 V1547 V1548:V1549 V1550 V1551 V1552 V1553 V1554:V1556 V1557 V1558:V1566 V1567 V1568 V1569 V1570 V1571 V1572 V1573 V1574:V1584 V1585 V1586 V1587 V1588 V1589 V1590 V1591 V1592 V1593 V1594 V1595 V1596 V1597 V1598:V1600 V1601 V1602 V1603:V1604 V1605:V1606 V1607 V1608 V1609 V1610 V1611 V1612 V1613 V1614:V1615 V1616:V1617 V1618 V1619 V1620 V1621 V1622 V1623 V1624 V1625:V1626 V1627 V1628:V1629 V1630:V1631 V1632 V1633 V1634 V1635 V1636 V1637 V1638:V1640 V1641 V1642 V1643 V1644 V1645 V1646 V1647 V1648 V1649 V1650 V1651 V1652 V1653 V1654 V1655 V1656 V1657 V1658 V1659 V1660 V1661 V1662 V1663 V1664 V1665:V1666 V1667:V1669 V1670 V1671 V1672:V1674 V1675:V1677 V1678:V1680 V1681:V1683 V1684 V1685 V1686 V1687:V1689 V1690:V1691 V1692 V1693 V1694 V1695 V1696 V1697 V1698 V1699 V1700 V1701 V1702 V1703 V1704 V1705 V1706 V1707 V1708 V1709 V1710 V1711 V1712 V1713 V1714 V1715 V1716 V1717 V1718 V1719 V1720 V1721 V1722 V1723 V1724 V1725:V1726 V1727 V1728 V1729:V1731 V1732:V1733 V1734 V1735 V1736 V1737:V1738 V1739 V1740 V1741 V1742 V1743 V1744 V1745:V1746 V1747 V1748 V1749 V1750 V1751 V1752 V1753 V1754 V1755 V1756 V1757:V1758 V1759 V1760 V1761 V1762 V1763 V1764 V1765 V1766 V1767 V1768 V313:XFD351 V352:W375 V376:V377 V378:W918 V8:W69 V920:W926 V929:V937 V938 V939:V941 V942:W942 V943:V947 V948:W948 V949:V977 W1037 W1042 W1045 W1047:W1050 W1051 W1052 W1053 W1054 W1055:W1058 W1070 W1073:W1077 W1081 W1082:W1104 W1109:W1125 W1126 W1127:W1144 W1147 W1152:W1154 W1156 W1157 W1158 W1160 W1161 W1162 W1163 W1165 W1166 W1168 W1169 W1170 W1172 W1173 W1174 W1176 W1177 W1178 W1179:W1204 W1205 W1206:W1228 W1230 W1247 W1248 W1249 W1250 W1251 W1252 W1253 W1254 W1255 W1256 W1257 W1258 W1259 W1260:W1261 W1263 W1264 W1265 W1266 W1267 W1268 W1269 W1270 W1271 W1272 W1273 W1274 W1275 W1276 W1277 W1278 W1279 W1280 W1281 W1282 W1283 W1284 W1285 W1286 W1287 W1288 W1289 W1290 W1291 W1292 W1293 W1294 W1295 W1298 W1299 W1300 W1301 W1302 W1303 W1304 W1305 W1306 W1307 W1308:W1311 W1312 W1313 W1314 W1315 W1316 W1317 W1318 W1319 W1320 W1321 W1322 W1323 W1324 W1325 W1326 W1327 W1329 W1330 W1331 W1332 W1333 W1334 W1335 W1336 W1337 W1338 W1339 W1340 W1341 W1342 W1343 W1344 W1345 W1346 W1347 W1348 W1349 W1350 W1351 W1352 W1353 W1354 W1355 W1356 W1357 W1358 W1359 W1360 W1361 W1362 W1363 W1364 W1365 W1366 W1367 W1368 W1369 W1370 W1371 W1372 W1373 W1374 W1375 W1376 W1377 W1378 W1379 W1380 W1381 W1382 W1383 W1384 W1385 W1386 W1387 W1388 W1389 W1390 W1391 W1392 W1393 W1394 W1395 W1396 W1397 W1398 W1399 W1400 W1401 W1402 W1403 W1404 W1405 W1406 W1407 W1408 W1409 W1410 W1411 W1412 W1413 W1414 W1415 W1416 W1417 W1418 W1419 W1420 W1421 W1422:W1424 W1425 W1426 W1427 W1428 W1429 W1430 W1431 W1432 W1433 W1434 W1435 W1436 W1437 W1438 W1439 W1440 W1441 W1442 W1443 W1444 W1445 W1446 W1447 W1448 W1449 W1450 W1451 W1452 W1453 W1454 W1455 W1456 W1457 W1458 W1459 W1460 W1461 W1462 W1463 W1464 W1465 W1466 W1467 W1468 W1469 W1470 W1471 W1472 W1473 W1474 W1475 W1476 W1477 W1478 W1479 W1480 W1481 W1482 W1484 W1485 W1486 W1487 W1488 W1489 W1490 W1491 W1492 W1493 W1494 W1495 W1496 W1497 W1498 W1499 W1500 W1501 W1502 W1503 W1504 W1505 W1506 W1507 W1508 W1509 W1510 W1511 W1512 W1513 W1514 W1515 W1516 W1517 W1518 W1519 W1520 W1521 W1522 W1523 W1524 W1525 W1526 W1527 W1528 W1529 W1530 W1531 W1532 W1533 W1534 W1535 W1536 W1537 W1538 W1539 W1540 W1541 W1542 W1543 W1544 W1545 W1546 W1547 W1548 W1549 W1550 W1551 W1552 W1553 W1554 W1555 W1556 W1557 W1558 W1559 W1560 W1561 W1562 W1563 W1564 W1565 W1566 W1567 W1568 W1569 W1570 W1571 W1572 W1573 W1574 W1575 W1576 W1577 W1578 W1579 W1580 W1581 W1582 W1583 W1584 W1585 W1586 W1587 W1588 W1589 W1590 W1591 W1592 W1593 W1594 W1595 W1596 W1597 W1598 W1599 W1600 W1601 W1602 W1603 W1604 W1605 W1606 W1607 W1608 W1609 W1610 W1611 W1612 W1613 W1614 W1615 W1616 W1617 W1618 W1619 W1620 W1621 W1622 W1623 W1624 W1625 W1626 W1627 W1628 W1629 W1630 W1631 W1632 W1633 W1634 W1635 W1636 W1637 W1638 W1639 W1640 W1641 W1642 W1643 W1644 W1645 W1646 W1647 W1648 W1649 W1650 W1651 W1652 W1653 W1654 W1655 W1656 W1657 W1658 W1659 W1660 W1661 W1662 W1663 W1664 W1665 W1666 W1667:W1668 W1669 W1670 W1671 W1672 W1673 W1674 W1675 W1676 W1677 W1678 W1679 W1680 W1681 W1682 W1683 W1684 W1685 W1686 W1687 W1688 W1689 W1690 W1691 W1692 W1693 W1694 W1695 W1696 W1697 W1698 W1699 W1700 W1701 W1702 W1703 W1704 W1705 W1706 W1707 W1708 W1709 W1710 W1711 W1712 W1713 W1714 W1715 W1716 W1717 W1718 W1719 W1720 W1721 W1722 W1723 W1724 W1725 W1726 W1727 W1728 W1729 W1730 W1731 W1732 W1733 W1734 W1735 W1736 W1737 W1738 W1739 W1740 W1741 W1742 W1743 W1744 W1745 W1746 W1747 W1748 W1749 W1750 W1751 W1752 W1753 W1754 W1755 W1756 W1757 W1758 W1759 W1760 W1761 W1762 W1763 W1764 W1765 W1766 W1767 W1768 W376 W377 W929:W940 W941 W943:W945 W946 W947 W949:W971 W972 W973:W977 X1263:XFD1263 X1264:XFD1264 X1265:XFD1553 X1554:XFD1554 X1555:XFD1768 X1:XFD311 X352:XFD1262">
    <cfRule type="containsText" priority="2" operator="containsText" dxfId="1" text="Pending Payment">
      <formula>NOT(ISERROR(SEARCH("Pending Payment",A1)))</formula>
    </cfRule>
  </conditionalFormatting>
  <conditionalFormatting sqref="P4:P5">
    <cfRule type="containsText" priority="3" operator="containsText" dxfId="13172" text="Out">
      <formula>NOT(ISERROR(SEARCH("Out",P4)))</formula>
    </cfRule>
    <cfRule type="containsText" priority="4" operator="containsText" dxfId="13171" text="Pending">
      <formula>NOT(ISERROR(SEARCH("Pending",P4)))</formula>
    </cfRule>
  </conditionalFormatting>
  <conditionalFormatting sqref="P1000:P1003 P1004:P1006 P1007 P1008 P1009 P1010 P1011 P1012 P1013 P1014 P1015 P1016 P1017 P1018 P1019:P1020 P1021:P1022 P1023 P1024 P1025 P1026 P1027 P1028 P1029 P1030 P1031:P1032 P1033 P1034 P1035 P1036 P1037 P1038 P1039 P1040 P1041 P1042 P1043 P1044 P1045 P1046 P1047 P1048 P1049 P1050 P1051 P1052 P1053 P1054 P1055 P1056 P1057 P1058 P1059 P1060 P1061 P1062 P1063 P1064 P1065 P1066 P1067 P1068 P1069 P1070 P1071 P1072 P1073 P1074 P1075 P1076 P1077 P1078 P1079 P1080 P1081 P1082 P1083 P1084 P1085 P1086 P1087 P1088 P1089 P1090 P1091 P1092 P1093 P1094 P1095:P1098 P1099 P1100 P1101 P1102 P1103 P1104 P1105 P1106 P1107 P1108 P1109 P1110 P1111 P1112 P1113 P1114 P1115 P1116 P1117 P1118 P1119 P1120 P1121 P1122 P1123 P1124 P1125 P1126 P1127 P1128 P1129 P1130 P1131 P1132 P1133 P1134 P1135 P1136 P1137 P1138 P1139 P1140:P1142 P1143 P1144:P1146 P1147 P1148 P1149 P1150 P1151 P1152 P1153 P1154 P1155 P1156 P1157 P1158 P1159 P1160 P1161 P1162 P1163 P1164 P1165 P1166 P1167 P1168 P1169 P1170 P1171 P1172 P1173 P1174 P1175 P1176 P1177 P1178 P1179 P1180 P1181 P1182 P1183 P1184 P1185 P1186 P1187 P1188 P1189 P1190 P1191 P1192 P1193 P1194 P1195 P1196 P1197 P1198 P1199 P1200 P1201 P1202 P1203 P1204 P1205 P1206 P1207 P1208 P1209 P1210 P1211 P1212 P1213 P1214 P1215 P1216 P1217 P1218 P1219 P1220 P1221 P1222 P1223 P1224 P1225:P1226 P1227 P1228 P1229 P1230 P1231 P1232 P1233 P1234 P1235 P1236 P1237 P1238 P1239 P1240 P1241 P1242 P1243 P1244 P1245 P1246 P1247 P1248 P1249 P1250 P1251 P1252 P1253 P1254 P1255 P1256 P1257 P1258 P1259 P1260 P1261 P1262 P1263:P1264 P1265 P1266 P1267 P1268 P1269 P1270 P1271 P1272 P1273 P1274:P1275 P1276:P1279 P1280 P1281 P1282 P1283 P1284 P1285 P1286 P1287 P1288 P1289 P1290 P1291 P1292 P1293 P1294 P1295 P1296 P1297 P1298 P1299 P1300 P1301 P1302 P1303 P1304 P1305 P1306 P1307 P1308 P1309 P1310 P1311 P1312 P1313 P1314 P1315 P1316 P1317 P1318 P1319 P1320 P1321 P1322 P1323 P1324 P1325 P1326 P1327 P1328 P1329 P1330 P1331 P1332 P1333 P1334 P1335 P1336 P1337 P1338 P1339 P1340 P1341 P1342 P1343 P1344 P1345 P1346 P1347 P1348 P1349 P1350 P1351 P1352 P1353 P1354 P1355 P1356 P1357 P1358 P1359 P1360 P1361 P1362 P1363 P1364 P1365 P1366 P1367 P1368 P1369 P1370 P1371 P1372 P1373 P1374 P1375 P1376 P1377 P1378:P1379 P1380 P1381 P1382 P1383 P1384 P1385 P1386 P1387 P1388 P1389 P1390 P1391 P1392 P1393 P1394 P1395 P1396 P1397 P1398 P1399 P1400 P1401 P1402 P1403 P1404 P1405 P1406 P1407 P1408 P1409 P1410 P1411 P1412 P1413 P1414 P1415 P1416 P1417 P1418 P1419 P1420 P1421 P1422 P1423 P1424 P1425 P1426 P1427 P1428 P1429 P1430 P1431 P1432 P1433 P1434 P1435 P1436 P1437 P1438 P1439 P1440 P1441 P1442 P1443 P1444 P1445 P1446 P1447 P1448 P1449 P1450 P1451 P1452 P1453 P1454 P1455 P1456 P1457 P1458 P1459 P1460 P1461 P1462 P1463 P1464 P1465 P1466 P1467 P1468 P1469 P1470 P1471 P1472 P1473 P1474 P1475 P1476 P1477 P1478 P1479 P1480 P1481 P1482 P1483 P1484 P1485 P1486 P1487 P1488 P1489 P1490 P1491 P1492 P1493 P1494 P1495 P1496 P1497 P1498 P1499 P1500 P1501 P1502 P1503 P1504 P1505 P1506:P1508 P1509 P1510 P1511 P1512:P1513 P1514 P1515 P1516:P1518 P1519 P1520 P1521 P1522 P1523 P1524 P1525 P1526 P1527 P1528 P1529 P1530 P1531 P1532 P1533 P1534 P1535 P1536 P1537 P1538 P1539 P1540 P1541 P1542 P1543 P1544 P1545 P1546 P1547 P1548 P1549 P1550 P1551 P1552 P1553 P1554 P1555 P1556 P1557 P1558 P1559 P1560 P1561 P1562 P1563 P1564 P1565 P1566 P1567 P1568 P1569 P1570 P1571 P1572 P1573 P1574 P1575 P1576 P1577 P1578 P1579 P1580 P1581 P1582 P1583 P1584 P1585 P1586 P1587 P1588 P1589 P1590 P1591 P1592 P1593 P1594 P1595 P1596 P1597 P1598 P1599 P1600 P1601 P1602 P1603 P1604 P1605 P1606 P1607 P1608 P1609 P1610 P1611 P1612 P1613 P1614 P1615 P1616 P1617 P1618 P1619 P1620 P1621 P1622 P1623 P1624 P1625 P1626 P1627 P1628 P1629 P1630:P1633 P1634 P1635 P1636 P1637 P1638:P1639 P1640 P1641 P1642 P1643 P1644:P1645 P1646 P1647 P1648 P1649 P1650 P1651 P1652 P1653 P1654 P1655 P1656 P1657 P1658 P1659 P1660 P1661:P1663 P1664 P1665 P1666 P1667:P1669 P1670 P1671:P1674 P1675:P1677 P1678:P1680 P1681:P1683 P1684:P1685 P1686:P1689 P1690 P1691 P1692 P1693 P1694 P1695 P1696 P1697 P1698:P1699 P1700 P1701 P1702 P1703 P1704 P1705 P1706 P1707 P1708 P1709 P1710 P1711 P1712 P1713 P1714 P1715 P1716 P1717 P1718:P1719 P1720 P1721 P1722 P1723 P1724 P1725 P1726 P1727 P1728 P1729:P1731 P1732 P1733 P1734 P1735 P1736 P1737 P1738 P1739:P1740 P1741:P1742 P1743 P1744 P1745 P1746 P1747 P1748 P1749 P1750 P1751:P1752 P1753 P1754 P1755 P1756 P1757:P1758 P1759 P1760 P1761 P1762 P1763 P1764 P1765 P1766 P1767 P1768 P187 P196:P199 P200 P201 P202:P203 P204 P206 P207 P208 P218 P222 P223 P236 P237 P238 P239 P240 P241 P242 P243 P244 P245 P246 P247 P248 P249 P250 P251 P252 P253 P254 P255 P256 P257 P258 P259 P260 P261:P311 P291 P291:P296 P292 P292:P293 P293 P294 P295 P295:P296 P296 P312 P313:P318 P319 P320:P350 P327 P330 P330:P331 P330:P338 P331 P332 P333 P335 P336 P337 P338 P347 P351 P352:P355 P355 P356 P357 P358:P359 P360 P361:P367 P368:P369 P370 P371 P372 P373 P374 P375 P376 P377 P378 P379 P380 P381 P382 P383 P384:P385 P386 P387 P388 P389 P390 P391 P392 P393 P394 P395 P396 P397 P398 P399 P400 P401 P402 P403 P404 P405 P406 P407 P408 P409 P410 P411 P412 P413:P415 P416 P417 P418 P419 P420 P421 P422 P423 P424 P425:P426 P427 P428 P429 P430 P431 P432 P433:P434 P435: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P503 P504 P505 P506 P507 P508 P509 P50:P51 P510 P511 P512 P513 P514 P515 P516 P517 P518 P519 P520 P521 P522 P523 P524 P525 P526 P527 P528 P529 P52:P53 P530 P531 P532 P533 P534 P535 P536 P537 P538 P539 P540 P541:P542 P543 P544 P545 P546 P547 P548 P549 P54:P65 P550 P551 P552 P553 P554 P555 P556 P557 P558 P559 P560 P561 P562 P563 P564 P565 P566 P567 P568 P569 P570 P571 P572 P573 P574 P575 P576 P577 P578 P579 P580 P581 P582 P583 P584 P585 P586 P587 P588 P589 P590 P591 P592 P593 P594 P595 P596 P597 P598 P599 P600 P601 P602 P603 P604 P605 P606 P607 P608 P609 P610 P611 P612 P613 P614 P615 P616 P617 P618 P619 P620 P621 P622 P623 P624 P625 P626 P627 P628 P629 P630 P631 P632 P633 P634 P635 P636 P637 P638 P639 P640 P641 P642 P643 P644 P645 P646 P647 P648 P649 P650 P651 P652 P653 P654 P655 P656 P657 P658 P659 P660 P661 P662 P663 P664 P665 P666 P667 P668 P669 P66:P69 P670 P671 P672 P673 P674:P675 P676 P677 P678 P679 P680 P681 P682:P683 P684 P685 P686 P687 P688 P689 P690 P691 P692 P693:P694 P695 P696 P697 P698 P699 P7 P700 P701 P702 P703 P704 P705 P706 P707 P708 P709 P70:P236 P710 P711 P712 P713 P714 P715 P716 P717 P718 P719 P720 P721 P722 P723 P724 P725 P726 P727 P728 P729:P730 P731 P732 P733 P734 P735 P736 P737 P738 P739 P740:P741 P742 P743 P744 P745 P746 P747 P748 P749 P750 P751 P752 P753 P754 P755 P756 P757 P758 P759 P760 P761 P762:P763 P764:P765 P766 P767 P768 P769 P770 P771 P772 P773 P774 P775 P776 P777 P778 P779 P780 P781 P782 P783 P784 P785 P786 P787 P788 P789 P790:P791 P792 P793 P794 P795 P796:P797 P798 P799 P800 P801 P802 P803 P804 P805 P806 P807 P808 P809 P810 P811 P812 P813 P814 P815 P816 P817 P818 P819 P820 P821 P822 P823 P824 P825 P826 P827 P828 P829 P830 P831 P832 P833 P834 P835 P836 P837 P838 P839 P840:P841 P842 P843 P844 P845 P846 P847 P848 P849 P850 P851 P852 P853 P854 P855 P856 P857 P858 P859 P860 P861 P862 P863 P864 P865 P866 P867 P868 P869 P870 P871 P872 P873 P874 P875 P876 P877 P878 P879 P880 P881 P882 P883 P884 P885 P886 P887 P888 P889 P890 P891 P892 P893 P894 P895 P896 P897 P898 P899 P8:P49 P900 P901:P902 P903 P904 P905 P906 P907 P908 P909 P910 P911 P912 P913 P914 P915 P916 P917 P918 P919 P920 P921:P922 P923 P924 P925 P926 P927 P928 P929 P930 P931 P932:P933 P934 P935 P936 P937 P938 P939 P940 P941 P942 P943 P944 P945 P946 P947 P948 P949 P950 P951 P952 P953 P954 P955 P956:P957 P958 P959 P960 P961 P962 P963 P964 P965 P966 P967 P968 P969 P970 P971 P972 P973 P974 P975 P976 P977 P978 P979 P980 P981 P982 P983 P984 P985 P986 P987 P988 P989 P990 P991 P992 P993 P994 P995 P996 P997 P998 P999">
    <cfRule type="cellIs" priority="55" operator="equal" dxfId="8953">
      <formula>"""Delay"""</formula>
    </cfRule>
    <cfRule type="cellIs" priority="54" operator="equal" dxfId="8953">
      <formula>"Delay"</formula>
    </cfRule>
  </conditionalFormatting>
  <conditionalFormatting sqref="P237:P238 P239:P260 P261:P311 P312:P319 P320:P350 P351 P352:P355 P356:P407 P408:P421 P422:P1768 P70:P236 P7:P69">
    <cfRule type="containsText" priority="7" operator="containsText" dxfId="0" text="Pending - Payment">
      <formula>NOT(ISERROR(SEARCH("Pending - Payment",P7)))</formula>
    </cfRule>
  </conditionalFormatting>
  <conditionalFormatting sqref="D1630:E1630">
    <cfRule type="duplicateValues" priority="7877" dxfId="8953"/>
  </conditionalFormatting>
  <conditionalFormatting sqref="D1641:E1641">
    <cfRule type="duplicateValues" priority="7605" dxfId="8953"/>
  </conditionalFormatting>
  <conditionalFormatting sqref="D1647:E1647">
    <cfRule type="duplicateValues" priority="7376" dxfId="8953"/>
  </conditionalFormatting>
  <conditionalFormatting sqref="D1652:E1652">
    <cfRule type="duplicateValues" priority="7282" dxfId="8953"/>
  </conditionalFormatting>
  <conditionalFormatting sqref="D1701:E1701">
    <cfRule type="duplicateValues" priority="4769" dxfId="8953"/>
  </conditionalFormatting>
  <pageMargins left="0.44" right="0.47" top="0.75" bottom="0.78" header="0.3" footer="0.3"/>
  <pageSetup orientation="portrait" paperSize="9" scale="18"/>
  <drawing xmlns:r="http://schemas.openxmlformats.org/officeDocument/2006/relationships" r:id="rId1"/>
</worksheet>
</file>

<file path=xl/worksheets/sheet2.xml><?xml version="1.0" encoding="utf-8"?>
<worksheet xmlns="http://schemas.openxmlformats.org/spreadsheetml/2006/main">
  <sheetPr codeName="Sheet2">
    <tabColor theme="8" tint="0.5999938962981048"/>
    <outlinePr summaryBelow="1" summaryRight="1"/>
    <pageSetUpPr/>
  </sheetPr>
  <dimension ref="A1:J22"/>
  <sheetViews>
    <sheetView showGridLines="0" showZeros="0" view="pageBreakPreview" topLeftCell="B1" zoomScale="70" zoomScaleNormal="85" zoomScaleSheetLayoutView="70" workbookViewId="0">
      <selection activeCell="N38" sqref="N38"/>
    </sheetView>
  </sheetViews>
  <sheetFormatPr baseColWidth="8" defaultColWidth="9" defaultRowHeight="15.75"/>
  <cols>
    <col hidden="1" width="2.42578125" customWidth="1" style="1" min="1" max="1"/>
    <col width="3.42578125" customWidth="1" style="1" min="2" max="2"/>
    <col width="23.5703125" customWidth="1" style="1" min="3" max="5"/>
    <col width="26.42578125" customWidth="1" style="1" min="6" max="6"/>
    <col width="23.5703125" customWidth="1" style="1" min="7" max="7"/>
    <col width="13.28515625" customWidth="1" style="2" min="8" max="8"/>
    <col width="14.85546875" bestFit="1" customWidth="1" style="1" min="9" max="9"/>
    <col width="22.140625" customWidth="1" style="1" min="10" max="10"/>
    <col width="9" customWidth="1" style="1" min="11" max="11"/>
    <col width="9" customWidth="1" style="1" min="12" max="16384"/>
  </cols>
  <sheetData>
    <row r="1" ht="39.95" customHeight="1">
      <c r="A1" s="3" t="n"/>
      <c r="C1" s="4" t="n"/>
      <c r="D1" s="5" t="n"/>
      <c r="E1" s="46" t="inlineStr">
        <is>
          <t>BÁO CÁO TÌNH TRẠNG DOANH THU</t>
        </is>
      </c>
      <c r="F1" s="5" t="n"/>
      <c r="G1" s="5" t="n"/>
    </row>
    <row r="2" ht="15" customHeight="1">
      <c r="A2" s="6" t="n"/>
      <c r="C2" s="7" t="n"/>
      <c r="D2" s="5" t="n"/>
      <c r="E2" s="43" t="inlineStr">
        <is>
          <t>STATUS OF TURNOVER REPORT</t>
        </is>
      </c>
      <c r="F2" s="5" t="n"/>
      <c r="G2" s="5" t="n"/>
    </row>
    <row r="3" ht="20.1" customHeight="1">
      <c r="A3" s="6" t="n"/>
      <c r="B3" s="7" t="n"/>
      <c r="C3" s="7" t="n"/>
      <c r="D3" s="25" t="n"/>
      <c r="E3" s="24">
        <f>YEAR(TODAY())</f>
        <v/>
      </c>
      <c r="F3" s="23" t="n"/>
      <c r="G3" s="5" t="n"/>
    </row>
    <row r="4" ht="20.1" customHeight="1">
      <c r="A4" s="8" t="n"/>
      <c r="C4" s="9" t="inlineStr">
        <is>
          <t>Reviewed date:</t>
        </is>
      </c>
      <c r="D4" s="305">
        <f>TODAY()</f>
        <v/>
      </c>
      <c r="E4" s="306" t="n"/>
      <c r="F4" s="10" t="n"/>
      <c r="G4" s="26" t="inlineStr">
        <is>
          <t>VND</t>
        </is>
      </c>
      <c r="H4" s="27" t="inlineStr">
        <is>
          <t>Ratio (%)</t>
        </is>
      </c>
    </row>
    <row r="5" ht="39.95" customHeight="1">
      <c r="A5" s="11" t="n"/>
      <c r="B5" s="307" t="inlineStr">
        <is>
          <t>A. Tổng giá trị còn lại các dự án đã ký hợp đồng đang thực hiện chưa thanh toán
    Value of ongoing projects</t>
        </is>
      </c>
      <c r="C5" s="308" t="n"/>
      <c r="D5" s="308" t="n"/>
      <c r="E5" s="308" t="n"/>
      <c r="F5" s="284" t="n"/>
      <c r="G5" s="17">
        <f>SUMIF(DATA!$P:$P,"Ongoing",DATA!$I:$I)</f>
        <v/>
      </c>
      <c r="H5" s="309" t="n"/>
    </row>
    <row r="6" ht="39.95" customHeight="1">
      <c r="A6" s="11" t="inlineStr">
        <is>
          <t>Sent</t>
        </is>
      </c>
      <c r="B6" s="310" t="inlineStr">
        <is>
          <t>B. Tổng giá trị đã thực hiện xong, đợi thanh toán
    Value of waiting for payment projects</t>
        </is>
      </c>
      <c r="C6" s="311" t="n"/>
      <c r="D6" s="311" t="n"/>
      <c r="E6" s="311" t="n"/>
      <c r="F6" s="271" t="n"/>
      <c r="G6" s="18">
        <f>SUM(G7:G10)</f>
        <v/>
      </c>
      <c r="H6" s="309">
        <f>G6/G13</f>
        <v/>
      </c>
    </row>
    <row r="7" ht="39.95" customHeight="1">
      <c r="A7" s="11" t="n"/>
      <c r="B7" s="45" t="n"/>
      <c r="C7" s="312" t="inlineStr">
        <is>
          <t>Giá trị đợi thanh toán đã quá thời hạn (các dự án đã gửi hồ sơ thanh toán cho KH)
Waiting for payment out time (submitted the document payment to clients )</t>
        </is>
      </c>
      <c r="D7" s="308" t="n"/>
      <c r="E7" s="308" t="n"/>
      <c r="F7" s="284" t="n"/>
      <c r="G7" s="18">
        <f>SUMIF(DATA!$P:$P,"Waiting for payment out time",DATA!$O:$O)</f>
        <v/>
      </c>
      <c r="H7" s="309">
        <f>G7/G13</f>
        <v/>
      </c>
    </row>
    <row r="8" ht="39.95" customHeight="1">
      <c r="A8" s="11" t="n"/>
      <c r="B8" s="45" t="n"/>
      <c r="C8" s="312" t="inlineStr">
        <is>
          <t>Giá trị đợi thanh toán trong thời hạn (các dự án đã gửi hồ sơ thanh toán cho KH)
Waiting for payment in time (submitted the document payment to clients )</t>
        </is>
      </c>
      <c r="D8" s="308" t="n"/>
      <c r="E8" s="308" t="n"/>
      <c r="F8" s="284" t="n"/>
      <c r="G8" s="18">
        <f>SUMIF(DATA!$P:$P,"Waiting for payment in time",DATA!$O:$O)</f>
        <v/>
      </c>
      <c r="H8" s="309">
        <f>G8/G13</f>
        <v/>
      </c>
    </row>
    <row r="9" ht="79.5" customHeight="1">
      <c r="A9" s="12" t="n"/>
      <c r="B9" s="45" t="n"/>
      <c r="C9" s="312" t="inlineStr">
        <is>
          <t>Giá trị đợi thanh toán (các dự án đã xong, đã gửi bản nháp hóa đơn/ Hồ sơ nghiệm thu cho KH &amp; đang chờ KH xác nhận để gửi hồ sơ thanh toán chính thức)
Pending Payment (work done &amp; sent the draft invoice/ Work completion for checking &amp; waiting client's confirmation)</t>
        </is>
      </c>
      <c r="D9" s="308" t="n"/>
      <c r="E9" s="308" t="n"/>
      <c r="F9" s="284" t="n"/>
      <c r="G9" s="18">
        <f>SUMIF(DATA!$P:$P,"Pending Payment",DATA!$I:$I)</f>
        <v/>
      </c>
      <c r="H9" s="309">
        <f>G9/G13</f>
        <v/>
      </c>
    </row>
    <row r="10" ht="39.95" customHeight="1">
      <c r="A10" s="12" t="n"/>
      <c r="B10" s="45" t="n"/>
      <c r="C10" s="312" t="inlineStr">
        <is>
          <t>Giá trị thanh toán thiếu (khoản "còn phải thu": Bảo hành, Xử lý bồi thường, KH giữ lại,...)
Total remaining debt (Warranty, Compensation amount,...)</t>
        </is>
      </c>
      <c r="D10" s="308" t="n"/>
      <c r="E10" s="308" t="n"/>
      <c r="F10" s="284" t="n"/>
      <c r="G10" s="18">
        <f>SUMIF(DATA!$P:$P,"Remaining",DATA!$I:$I)</f>
        <v/>
      </c>
      <c r="H10" s="309">
        <f>G10/G13</f>
        <v/>
      </c>
      <c r="J10" s="74" t="n"/>
    </row>
    <row r="11" ht="39.95" customHeight="1">
      <c r="A11" s="11" t="n"/>
      <c r="B11" s="313" t="inlineStr">
        <is>
          <t>C. Tổng giá trị dự án triển khai chậm hoặc hoàn tất hồ sơ chậm
    Delay amount</t>
        </is>
      </c>
      <c r="C11" s="308" t="n"/>
      <c r="D11" s="308" t="n"/>
      <c r="E11" s="308" t="n"/>
      <c r="F11" s="284" t="n"/>
      <c r="G11" s="44">
        <f>SUMIF(DATA!$P:$P,"Delay",DATA!$I:$I)</f>
        <v/>
      </c>
      <c r="H11" s="309">
        <f>G11/G13</f>
        <v/>
      </c>
      <c r="J11" s="314" t="n"/>
    </row>
    <row r="12" ht="39.95" customHeight="1">
      <c r="A12" s="11" t="inlineStr">
        <is>
          <t>Y</t>
        </is>
      </c>
      <c r="B12" s="313" t="inlineStr">
        <is>
          <t xml:space="preserve">D. Tổng giá trị các dự án KH phạt vi phạm
    Penalty amount in year </t>
        </is>
      </c>
      <c r="C12" s="308" t="n"/>
      <c r="D12" s="308" t="n"/>
      <c r="E12" s="308" t="n"/>
      <c r="F12" s="284" t="n"/>
      <c r="G12" s="44">
        <f>SUMIFS(DATA!L:L,DATA!J:J,"&gt;="&amp;DATE(Status!E3,1,1),DATA!J:J,"&lt;="&amp;DATE(Status!E3,12,31))</f>
        <v/>
      </c>
      <c r="H12" s="309">
        <f>G12/G13</f>
        <v/>
      </c>
      <c r="J12" s="315" t="n"/>
    </row>
    <row r="13" ht="39.95" customHeight="1">
      <c r="A13" s="11" t="inlineStr">
        <is>
          <t>Y</t>
        </is>
      </c>
      <c r="B13" s="316" t="inlineStr">
        <is>
          <t>E. Giá trị đã thu các dự án trong năm
    Revenue of done job in year</t>
        </is>
      </c>
      <c r="C13" s="308" t="n"/>
      <c r="D13" s="308" t="n"/>
      <c r="E13" s="308" t="n"/>
      <c r="F13" s="284" t="n"/>
      <c r="G13" s="19">
        <f>SUMIFS(DATA!M:M,DATA!N:N,"&gt;="&amp;DATE(Status!E3,1,1),DATA!N:N,"&lt;="&amp;DATE(Status!E3,12,31))</f>
        <v/>
      </c>
      <c r="H13" s="317">
        <f>G13/G13</f>
        <v/>
      </c>
    </row>
    <row r="14" ht="39.95" customHeight="1">
      <c r="A14" s="13" t="n"/>
      <c r="B14" s="14" t="n"/>
      <c r="C14" s="14" t="n"/>
      <c r="D14" s="14" t="n"/>
      <c r="E14" s="15" t="n"/>
      <c r="F14" s="15" t="n"/>
      <c r="G14" s="318">
        <f>PlanActual!P1009</f>
        <v/>
      </c>
      <c r="H14" s="50" t="n"/>
    </row>
    <row r="15">
      <c r="G15" s="155">
        <f>G13-G14</f>
        <v/>
      </c>
      <c r="H15" s="51" t="inlineStr">
        <is>
          <t>Diff</t>
        </is>
      </c>
    </row>
    <row r="17">
      <c r="G17" s="314" t="n"/>
    </row>
    <row r="20">
      <c r="G20" s="314" t="n"/>
    </row>
    <row r="21">
      <c r="G21" s="314" t="n"/>
    </row>
    <row r="22">
      <c r="G22" s="315" t="n"/>
    </row>
  </sheetData>
  <mergeCells count="9">
    <mergeCell ref="B13:F13"/>
    <mergeCell ref="B12:F12"/>
    <mergeCell ref="B5:F5"/>
    <mergeCell ref="B6:F6"/>
    <mergeCell ref="C8:F8"/>
    <mergeCell ref="C9:F9"/>
    <mergeCell ref="B11:F11"/>
    <mergeCell ref="C10:F10"/>
    <mergeCell ref="C7:F7"/>
  </mergeCells>
  <printOptions horizontalCentered="1"/>
  <pageMargins left="0.5" right="0.3" top="0.5" bottom="0.5" header="0.3" footer="0.3"/>
  <pageSetup orientation="portrait" paperSize="9" scale="75"/>
</worksheet>
</file>

<file path=xl/worksheets/sheet3.xml><?xml version="1.0" encoding="utf-8"?>
<worksheet xmlns="http://schemas.openxmlformats.org/spreadsheetml/2006/main">
  <sheetPr codeName="Sheet3">
    <tabColor theme="8" tint="0.5999938962981048"/>
    <outlinePr summaryBelow="1" summaryRight="1"/>
    <pageSetUpPr/>
  </sheetPr>
  <dimension ref="A1:Q1084"/>
  <sheetViews>
    <sheetView showGridLines="0" view="pageBreakPreview" topLeftCell="A4" zoomScale="55" zoomScaleNormal="40" zoomScaleSheetLayoutView="55" workbookViewId="0">
      <selection activeCell="N1051" sqref="N1051"/>
    </sheetView>
  </sheetViews>
  <sheetFormatPr baseColWidth="8" defaultRowHeight="15" outlineLevelRow="1"/>
  <cols>
    <col width="4.85546875" customWidth="1" min="1" max="1"/>
    <col width="16.28515625" customWidth="1" style="31" min="2" max="2"/>
    <col width="21.28515625" customWidth="1" min="3" max="16"/>
    <col width="8.42578125" customWidth="1" style="279" min="17" max="17"/>
  </cols>
  <sheetData>
    <row r="1" ht="34.9" customHeight="1">
      <c r="A1" s="20" t="n"/>
      <c r="B1" s="30" t="n"/>
      <c r="C1" s="20" t="n"/>
      <c r="D1" s="20" t="n"/>
      <c r="E1" s="28" t="n"/>
      <c r="F1" s="28" t="n"/>
      <c r="G1" s="20" t="n"/>
      <c r="H1" s="20" t="n"/>
      <c r="I1" s="40" t="inlineStr">
        <is>
          <t>KẾ HOẠCH &amp; THỰC TẾ DOANH THU TRONG NĂM</t>
        </is>
      </c>
      <c r="J1" s="28" t="n"/>
      <c r="K1" s="28" t="n"/>
      <c r="L1" s="28" t="n"/>
      <c r="M1" s="28" t="n"/>
      <c r="N1" s="28" t="n"/>
      <c r="O1" s="29" t="n"/>
      <c r="P1" s="53" t="inlineStr">
        <is>
          <t>Prepared by Nguyễn Thị Thu Hằng</t>
        </is>
      </c>
    </row>
    <row r="2" ht="22.9" customHeight="1">
      <c r="A2" s="20" t="n"/>
      <c r="B2" s="30" t="n"/>
      <c r="C2" s="20" t="n"/>
      <c r="D2" s="20" t="n"/>
      <c r="E2" s="28" t="n"/>
      <c r="F2" s="28" t="n"/>
      <c r="G2" s="20" t="n"/>
      <c r="H2" s="41" t="inlineStr">
        <is>
          <t>YEAR:</t>
        </is>
      </c>
      <c r="I2" s="42">
        <f>YEAR(TODAY())</f>
        <v/>
      </c>
      <c r="J2" s="28" t="n"/>
      <c r="K2" s="28" t="n"/>
      <c r="L2" s="28" t="n"/>
      <c r="M2" s="28" t="n"/>
      <c r="N2" s="28" t="n"/>
      <c r="O2" s="29" t="inlineStr">
        <is>
          <t>Date:</t>
        </is>
      </c>
      <c r="P2" s="319">
        <f>TODAY()</f>
        <v/>
      </c>
    </row>
    <row r="3">
      <c r="A3" s="20" t="n"/>
      <c r="B3" s="30" t="n"/>
      <c r="C3" s="20" t="n"/>
      <c r="D3" s="20" t="n"/>
      <c r="E3" s="20" t="n"/>
      <c r="F3" s="20" t="n"/>
      <c r="G3" s="20" t="n"/>
      <c r="H3" s="28" t="n"/>
      <c r="I3" s="28" t="n"/>
      <c r="J3" s="28" t="n"/>
      <c r="K3" s="320" t="n"/>
      <c r="L3" s="28" t="n"/>
      <c r="M3" s="28" t="n"/>
      <c r="N3" s="28" t="n"/>
      <c r="O3" s="28" t="n"/>
      <c r="P3" s="28" t="n"/>
    </row>
    <row r="4" ht="25.15" customHeight="1">
      <c r="A4" s="109" t="inlineStr">
        <is>
          <t>No</t>
        </is>
      </c>
      <c r="B4" s="110" t="inlineStr">
        <is>
          <t>Tên Khách hàng
Client Name</t>
        </is>
      </c>
      <c r="C4" s="111" t="n"/>
      <c r="D4" s="112" t="n">
        <v>1</v>
      </c>
      <c r="E4" s="112" t="n">
        <v>2</v>
      </c>
      <c r="F4" s="112" t="n">
        <v>3</v>
      </c>
      <c r="G4" s="112" t="n">
        <v>4</v>
      </c>
      <c r="H4" s="112" t="n">
        <v>5</v>
      </c>
      <c r="I4" s="112" t="n">
        <v>6</v>
      </c>
      <c r="J4" s="112" t="n">
        <v>7</v>
      </c>
      <c r="K4" s="112" t="n">
        <v>8</v>
      </c>
      <c r="L4" s="112" t="n">
        <v>9</v>
      </c>
      <c r="M4" s="112" t="n">
        <v>10</v>
      </c>
      <c r="N4" s="112" t="n">
        <v>11</v>
      </c>
      <c r="O4" s="112" t="n">
        <v>12</v>
      </c>
      <c r="P4" s="112" t="inlineStr">
        <is>
          <t>Total</t>
        </is>
      </c>
      <c r="Q4" s="113" t="inlineStr">
        <is>
          <t>Ratio</t>
        </is>
      </c>
    </row>
    <row r="5" hidden="1" ht="15" customHeight="1">
      <c r="A5" s="114" t="inlineStr">
        <is>
          <t>Trung gian tính ngày cuối của tháng</t>
        </is>
      </c>
      <c r="B5" s="115" t="n"/>
      <c r="C5" s="116" t="n"/>
      <c r="D5" s="117" t="n">
        <v>31</v>
      </c>
      <c r="E5" s="117">
        <f>DAY(EOMONTH(DATE(I2,E4,1),0))</f>
        <v/>
      </c>
      <c r="F5" s="117" t="n">
        <v>31</v>
      </c>
      <c r="G5" s="117" t="n">
        <v>30</v>
      </c>
      <c r="H5" s="117" t="n">
        <v>31</v>
      </c>
      <c r="I5" s="117" t="n">
        <v>30</v>
      </c>
      <c r="J5" s="117" t="n">
        <v>31</v>
      </c>
      <c r="K5" s="117" t="n">
        <v>31</v>
      </c>
      <c r="L5" s="117" t="n">
        <v>30</v>
      </c>
      <c r="M5" s="117" t="n">
        <v>31</v>
      </c>
      <c r="N5" s="117" t="n">
        <v>30</v>
      </c>
      <c r="O5" s="117" t="n">
        <v>31</v>
      </c>
      <c r="P5" s="117" t="n"/>
      <c r="Q5" s="118" t="n"/>
    </row>
    <row r="6" hidden="1" outlineLevel="1" ht="17.45" customHeight="1">
      <c r="A6" s="269" t="n">
        <v>1</v>
      </c>
      <c r="B6" s="267" t="inlineStr">
        <is>
          <t>VNPT IDC - NAM THANG LONG(Inactive)</t>
        </is>
      </c>
      <c r="C6" s="119" t="inlineStr">
        <is>
          <t>Kế hoạch</t>
        </is>
      </c>
      <c r="D6" s="321">
        <f>SUMIFS(DATA!$I:$I,DATA!$C:$C,$B6,DATA!$J:$J,"&gt;="&amp;DATE($I$2,D$4,1),DATA!$J:$J,"&lt;="&amp;DATE($I$2,D$4,D$5))</f>
        <v/>
      </c>
      <c r="E6" s="321">
        <f>SUMIFS(DATA!$I:$I,DATA!$C:$C,$B6,DATA!$J:$J,"&gt;="&amp;DATE($I$2,E$4,1),DATA!$J:$J,"&lt;="&amp;DATE($I$2,E$4,E$5))</f>
        <v/>
      </c>
      <c r="F6" s="321">
        <f>SUMIFS(DATA!$I:$I,DATA!$C:$C,$B6,DATA!$J:$J,"&gt;="&amp;DATE($I$2,F$4,1),DATA!$J:$J,"&lt;="&amp;DATE($I$2,F$4,F$5))</f>
        <v/>
      </c>
      <c r="G6" s="321">
        <f>SUMIFS(DATA!$I:$I,DATA!$C:$C,$B6,DATA!$J:$J,"&gt;="&amp;DATE($I$2,G$4,1),DATA!$J:$J,"&lt;="&amp;DATE($I$2,G$4,G$5))</f>
        <v/>
      </c>
      <c r="H6" s="321">
        <f>SUMIFS(DATA!$I:$I,DATA!$C:$C,$B6,DATA!$J:$J,"&gt;="&amp;DATE($I$2,H$4,1),DATA!$J:$J,"&lt;="&amp;DATE($I$2,H$4,H$5))</f>
        <v/>
      </c>
      <c r="I6" s="321">
        <f>SUMIFS(DATA!$I:$I,DATA!$C:$C,$B6,DATA!$J:$J,"&gt;="&amp;DATE($I$2,I$4,1),DATA!$J:$J,"&lt;="&amp;DATE($I$2,I$4,I$5))</f>
        <v/>
      </c>
      <c r="J6" s="321">
        <f>SUMIFS(DATA!$I:$I,DATA!$C:$C,$B6,DATA!$J:$J,"&gt;="&amp;DATE($I$2,J$4,1),DATA!$J:$J,"&lt;="&amp;DATE($I$2,J$4,J$5))</f>
        <v/>
      </c>
      <c r="K6" s="321">
        <f>SUMIFS(DATA!$I:$I,DATA!$C:$C,$B6,DATA!$J:$J,"&gt;="&amp;DATE($I$2,K$4,1),DATA!$J:$J,"&lt;="&amp;DATE($I$2,K$4,K$5))</f>
        <v/>
      </c>
      <c r="L6" s="321">
        <f>SUMIFS(DATA!$I:$I,DATA!$C:$C,$B6,DATA!$J:$J,"&gt;="&amp;DATE($I$2,L$4,1),DATA!$J:$J,"&lt;="&amp;DATE($I$2,L$4,L$5))</f>
        <v/>
      </c>
      <c r="M6" s="321">
        <f>SUMIFS(DATA!$I:$I,DATA!$C:$C,$B6,DATA!$J:$J,"&gt;="&amp;DATE($I$2,M$4,1),DATA!$J:$J,"&lt;="&amp;DATE($I$2,M$4,M$5))</f>
        <v/>
      </c>
      <c r="N6" s="321">
        <f>SUMIFS(DATA!$I:$I,DATA!$C:$C,$B6,DATA!$J:$J,"&gt;="&amp;DATE($I$2,N$4,1),DATA!$J:$J,"&lt;="&amp;DATE($I$2,N$4,N$5))</f>
        <v/>
      </c>
      <c r="O6" s="321">
        <f>SUMIFS(DATA!$I:$I,DATA!$C:$C,$B6,DATA!$J:$J,"&gt;="&amp;DATE($I$2,O$4,1),DATA!$J:$J,"&lt;="&amp;DATE($I$2,O$4,O$5))</f>
        <v/>
      </c>
      <c r="P6" s="322">
        <f>SUM(D6:O6)</f>
        <v/>
      </c>
      <c r="Q6" s="118" t="n"/>
    </row>
    <row r="7" hidden="1" outlineLevel="1" ht="17.45" customHeight="1">
      <c r="A7" s="266" t="n"/>
      <c r="B7" s="268" t="n"/>
      <c r="C7" s="119" t="inlineStr">
        <is>
          <t>Thực tế</t>
        </is>
      </c>
      <c r="D7" s="321">
        <f>SUMIFS(DATA!$M:$M,DATA!$C:$C,$B6,DATA!$N:$N,"&gt;="&amp;DATE($I$2,D$4,1),DATA!$N:$N,"&lt;="&amp;DATE($I$2,D$4,D$5))</f>
        <v/>
      </c>
      <c r="E7" s="321">
        <f>SUMIFS(DATA!$M:$M,DATA!$C:$C,$B6,DATA!$N:$N,"&gt;="&amp;DATE($I$2,E$4,1),DATA!$N:$N,"&lt;="&amp;DATE($I$2,E$4,E$5))</f>
        <v/>
      </c>
      <c r="F7" s="321">
        <f>SUMIFS(DATA!$M:$M,DATA!$C:$C,$B6,DATA!$N:$N,"&gt;="&amp;DATE($I$2,F$4,1),DATA!$N:$N,"&lt;="&amp;DATE($I$2,F$4,F$5))</f>
        <v/>
      </c>
      <c r="G7" s="321">
        <f>SUMIFS(DATA!$M:$M,DATA!$C:$C,$B6,DATA!$N:$N,"&gt;="&amp;DATE($I$2,G$4,1),DATA!$N:$N,"&lt;="&amp;DATE($I$2,G$4,G$5))</f>
        <v/>
      </c>
      <c r="H7" s="321">
        <f>SUMIFS(DATA!$M:$M,DATA!$C:$C,$B6,DATA!$N:$N,"&gt;="&amp;DATE($I$2,H$4,1),DATA!$N:$N,"&lt;="&amp;DATE($I$2,H$4,H$5))</f>
        <v/>
      </c>
      <c r="I7" s="321">
        <f>SUMIFS(DATA!$M:$M,DATA!$C:$C,$B6,DATA!$N:$N,"&gt;="&amp;DATE($I$2,I$4,1),DATA!$N:$N,"&lt;="&amp;DATE($I$2,I$4,I$5))</f>
        <v/>
      </c>
      <c r="J7" s="321">
        <f>SUMIFS(DATA!$M:$M,DATA!$C:$C,$B6,DATA!$N:$N,"&gt;="&amp;DATE($I$2,J$4,1),DATA!$N:$N,"&lt;="&amp;DATE($I$2,J$4,J$5))</f>
        <v/>
      </c>
      <c r="K7" s="321">
        <f>SUMIFS(DATA!$M:$M,DATA!$C:$C,$B6,DATA!$N:$N,"&gt;="&amp;DATE($I$2,K$4,1),DATA!$N:$N,"&lt;="&amp;DATE($I$2,K$4,K$5))</f>
        <v/>
      </c>
      <c r="L7" s="321">
        <f>SUMIFS(DATA!$M:$M,DATA!$C:$C,$B6,DATA!$N:$N,"&gt;="&amp;DATE($I$2,L$4,1),DATA!$N:$N,"&lt;="&amp;DATE($I$2,L$4,L$5))</f>
        <v/>
      </c>
      <c r="M7" s="321">
        <f>SUMIFS(DATA!$M:$M,DATA!$C:$C,$B6,DATA!$N:$N,"&gt;="&amp;DATE($I$2,M$4,1),DATA!$N:$N,"&lt;="&amp;DATE($I$2,M$4,M$5))</f>
        <v/>
      </c>
      <c r="N7" s="321">
        <f>SUMIFS(DATA!$M:$M,DATA!$C:$C,$B6,DATA!$N:$N,"&gt;="&amp;DATE($I$2,N$4,1),DATA!$N:$N,"&lt;="&amp;DATE($I$2,N$4,N$5))</f>
        <v/>
      </c>
      <c r="O7" s="321">
        <f>SUMIFS(DATA!$M:$M,DATA!$C:$C,$B6,DATA!$N:$N,"&gt;="&amp;DATE($I$2,O$4,1),DATA!$N:$N,"&lt;="&amp;DATE($I$2,O$4,O$5))</f>
        <v/>
      </c>
      <c r="P7" s="322">
        <f>SUM(D7:O7)</f>
        <v/>
      </c>
      <c r="Q7" s="118" t="n"/>
    </row>
    <row r="8" hidden="1" outlineLevel="1" ht="17.45" customHeight="1">
      <c r="A8" s="269" t="n">
        <v>2</v>
      </c>
      <c r="B8" s="267" t="inlineStr">
        <is>
          <t>EMBASSY OF AUSTRALIA</t>
        </is>
      </c>
      <c r="C8" s="119" t="inlineStr">
        <is>
          <t>Kế hoạch</t>
        </is>
      </c>
      <c r="D8" s="321">
        <f>SUMIFS(DATA!$I:$I,DATA!$C:$C,$B8,DATA!$J:$J,"&gt;="&amp;DATE($I$2,D$4,1),DATA!$J:$J,"&lt;="&amp;DATE($I$2,D$4,D$5))</f>
        <v/>
      </c>
      <c r="E8" s="321">
        <f>SUMIFS(DATA!$I:$I,DATA!$C:$C,$B8,DATA!$J:$J,"&gt;="&amp;DATE($I$2,E$4,1),DATA!$J:$J,"&lt;="&amp;DATE($I$2,E$4,E$5))</f>
        <v/>
      </c>
      <c r="F8" s="321">
        <f>SUMIFS(DATA!$I:$I,DATA!$C:$C,$B8,DATA!$J:$J,"&gt;="&amp;DATE($I$2,F$4,1),DATA!$J:$J,"&lt;="&amp;DATE($I$2,F$4,F$5))</f>
        <v/>
      </c>
      <c r="G8" s="321">
        <f>SUMIFS(DATA!$I:$I,DATA!$C:$C,$B8,DATA!$J:$J,"&gt;="&amp;DATE($I$2,G$4,1),DATA!$J:$J,"&lt;="&amp;DATE($I$2,G$4,G$5))</f>
        <v/>
      </c>
      <c r="H8" s="321">
        <f>SUMIFS(DATA!$I:$I,DATA!$C:$C,$B8,DATA!$J:$J,"&gt;="&amp;DATE($I$2,H$4,1),DATA!$J:$J,"&lt;="&amp;DATE($I$2,H$4,H$5))</f>
        <v/>
      </c>
      <c r="I8" s="321">
        <f>SUMIFS(DATA!$I:$I,DATA!$C:$C,$B8,DATA!$J:$J,"&gt;="&amp;DATE($I$2,I$4,1),DATA!$J:$J,"&lt;="&amp;DATE($I$2,I$4,I$5))</f>
        <v/>
      </c>
      <c r="J8" s="321">
        <f>SUMIFS(DATA!$I:$I,DATA!$C:$C,$B8,DATA!$J:$J,"&gt;="&amp;DATE($I$2,J$4,1),DATA!$J:$J,"&lt;="&amp;DATE($I$2,J$4,J$5))</f>
        <v/>
      </c>
      <c r="K8" s="321">
        <f>SUMIFS(DATA!$I:$I,DATA!$C:$C,$B8,DATA!$J:$J,"&gt;="&amp;DATE($I$2,K$4,1),DATA!$J:$J,"&lt;="&amp;DATE($I$2,K$4,K$5))</f>
        <v/>
      </c>
      <c r="L8" s="321">
        <f>SUMIFS(DATA!$I:$I,DATA!$C:$C,$B8,DATA!$J:$J,"&gt;="&amp;DATE($I$2,L$4,1),DATA!$J:$J,"&lt;="&amp;DATE($I$2,L$4,L$5))</f>
        <v/>
      </c>
      <c r="M8" s="321">
        <f>SUMIFS(DATA!$I:$I,DATA!$C:$C,$B8,DATA!$J:$J,"&gt;="&amp;DATE($I$2,M$4,1),DATA!$J:$J,"&lt;="&amp;DATE($I$2,M$4,M$5))</f>
        <v/>
      </c>
      <c r="N8" s="321">
        <f>SUMIFS(DATA!$I:$I,DATA!$C:$C,$B8,DATA!$J:$J,"&gt;="&amp;DATE($I$2,N$4,1),DATA!$J:$J,"&lt;="&amp;DATE($I$2,N$4,N$5))</f>
        <v/>
      </c>
      <c r="O8" s="321">
        <f>SUMIFS(DATA!$I:$I,DATA!$C:$C,$B8,DATA!$J:$J,"&gt;="&amp;DATE($I$2,O$4,1),DATA!$J:$J,"&lt;="&amp;DATE($I$2,O$4,O$5))</f>
        <v/>
      </c>
      <c r="P8" s="322">
        <f>SUM(D8:O8)</f>
        <v/>
      </c>
      <c r="Q8" s="118" t="n"/>
    </row>
    <row r="9" hidden="1" outlineLevel="1" ht="17.45" customHeight="1">
      <c r="A9" s="266" t="n"/>
      <c r="B9" s="268" t="n"/>
      <c r="C9" s="119" t="inlineStr">
        <is>
          <t>Thực tế</t>
        </is>
      </c>
      <c r="D9" s="321">
        <f>SUMIFS(DATA!$M:$M,DATA!$C:$C,$B8,DATA!$N:$N,"&gt;="&amp;DATE($I$2,D$4,1),DATA!$N:$N,"&lt;="&amp;DATE($I$2,D$4,D$5))</f>
        <v/>
      </c>
      <c r="E9" s="321">
        <f>SUMIFS(DATA!$M:$M,DATA!$C:$C,$B8,DATA!$N:$N,"&gt;="&amp;DATE($I$2,E$4,1),DATA!$N:$N,"&lt;="&amp;DATE($I$2,E$4,E$5))</f>
        <v/>
      </c>
      <c r="F9" s="321">
        <f>SUMIFS(DATA!$M:$M,DATA!$C:$C,$B8,DATA!$N:$N,"&gt;="&amp;DATE($I$2,F$4,1),DATA!$N:$N,"&lt;="&amp;DATE($I$2,F$4,F$5))</f>
        <v/>
      </c>
      <c r="G9" s="321">
        <f>SUMIFS(DATA!$M:$M,DATA!$C:$C,$B8,DATA!$N:$N,"&gt;="&amp;DATE($I$2,G$4,1),DATA!$N:$N,"&lt;="&amp;DATE($I$2,G$4,G$5))</f>
        <v/>
      </c>
      <c r="H9" s="321">
        <f>SUMIFS(DATA!$M:$M,DATA!$C:$C,$B8,DATA!$N:$N,"&gt;="&amp;DATE($I$2,H$4,1),DATA!$N:$N,"&lt;="&amp;DATE($I$2,H$4,H$5))</f>
        <v/>
      </c>
      <c r="I9" s="321">
        <f>SUMIFS(DATA!$M:$M,DATA!$C:$C,$B8,DATA!$N:$N,"&gt;="&amp;DATE($I$2,I$4,1),DATA!$N:$N,"&lt;="&amp;DATE($I$2,I$4,I$5))</f>
        <v/>
      </c>
      <c r="J9" s="321">
        <f>SUMIFS(DATA!$M:$M,DATA!$C:$C,$B8,DATA!$N:$N,"&gt;="&amp;DATE($I$2,J$4,1),DATA!$N:$N,"&lt;="&amp;DATE($I$2,J$4,J$5))</f>
        <v/>
      </c>
      <c r="K9" s="321">
        <f>SUMIFS(DATA!$M:$M,DATA!$C:$C,$B8,DATA!$N:$N,"&gt;="&amp;DATE($I$2,K$4,1),DATA!$N:$N,"&lt;="&amp;DATE($I$2,K$4,K$5))</f>
        <v/>
      </c>
      <c r="L9" s="321">
        <f>SUMIFS(DATA!$M:$M,DATA!$C:$C,$B8,DATA!$N:$N,"&gt;="&amp;DATE($I$2,L$4,1),DATA!$N:$N,"&lt;="&amp;DATE($I$2,L$4,L$5))</f>
        <v/>
      </c>
      <c r="M9" s="321">
        <f>SUMIFS(DATA!$M:$M,DATA!$C:$C,$B8,DATA!$N:$N,"&gt;="&amp;DATE($I$2,M$4,1),DATA!$N:$N,"&lt;="&amp;DATE($I$2,M$4,M$5))</f>
        <v/>
      </c>
      <c r="N9" s="321">
        <f>SUMIFS(DATA!$M:$M,DATA!$C:$C,$B8,DATA!$N:$N,"&gt;="&amp;DATE($I$2,N$4,1),DATA!$N:$N,"&lt;="&amp;DATE($I$2,N$4,N$5))</f>
        <v/>
      </c>
      <c r="O9" s="321">
        <f>SUMIFS(DATA!$M:$M,DATA!$C:$C,$B8,DATA!$N:$N,"&gt;="&amp;DATE($I$2,O$4,1),DATA!$N:$N,"&lt;="&amp;DATE($I$2,O$4,O$5))</f>
        <v/>
      </c>
      <c r="P9" s="322">
        <f>SUM(D9:O9)</f>
        <v/>
      </c>
      <c r="Q9" s="118" t="n"/>
    </row>
    <row r="10" hidden="1" outlineLevel="1" ht="15" customHeight="1">
      <c r="A10" s="269" t="n">
        <v>3</v>
      </c>
      <c r="B10" s="267" t="inlineStr">
        <is>
          <t>YAMAHA MOTOR VIETNAM</t>
        </is>
      </c>
      <c r="C10" s="119" t="inlineStr">
        <is>
          <t>Kế hoạch</t>
        </is>
      </c>
      <c r="D10" s="321">
        <f>SUMIFS(DATA!$I:$I,DATA!$C:$C,$B10,DATA!$J:$J,"&gt;="&amp;DATE($I$2,D$4,1),DATA!$J:$J,"&lt;="&amp;DATE($I$2,D$4,D$5))</f>
        <v/>
      </c>
      <c r="E10" s="321">
        <f>SUMIFS(DATA!$I:$I,DATA!$C:$C,$B10,DATA!$J:$J,"&gt;="&amp;DATE($I$2,E$4,1),DATA!$J:$J,"&lt;="&amp;DATE($I$2,E$4,E$5))</f>
        <v/>
      </c>
      <c r="F10" s="321">
        <f>SUMIFS(DATA!$I:$I,DATA!$C:$C,$B10,DATA!$J:$J,"&gt;="&amp;DATE($I$2,F$4,1),DATA!$J:$J,"&lt;="&amp;DATE($I$2,F$4,F$5))</f>
        <v/>
      </c>
      <c r="G10" s="321">
        <f>SUMIFS(DATA!$I:$I,DATA!$C:$C,$B10,DATA!$J:$J,"&gt;="&amp;DATE($I$2,G$4,1),DATA!$J:$J,"&lt;="&amp;DATE($I$2,G$4,G$5))</f>
        <v/>
      </c>
      <c r="H10" s="321">
        <f>SUMIFS(DATA!$I:$I,DATA!$C:$C,$B10,DATA!$J:$J,"&gt;="&amp;DATE($I$2,H$4,1),DATA!$J:$J,"&lt;="&amp;DATE($I$2,H$4,H$5))</f>
        <v/>
      </c>
      <c r="I10" s="321">
        <f>SUMIFS(DATA!$I:$I,DATA!$C:$C,$B10,DATA!$J:$J,"&gt;="&amp;DATE($I$2,I$4,1),DATA!$J:$J,"&lt;="&amp;DATE($I$2,I$4,I$5))</f>
        <v/>
      </c>
      <c r="J10" s="321">
        <f>SUMIFS(DATA!$I:$I,DATA!$C:$C,$B10,DATA!$J:$J,"&gt;="&amp;DATE($I$2,J$4,1),DATA!$J:$J,"&lt;="&amp;DATE($I$2,J$4,J$5))</f>
        <v/>
      </c>
      <c r="K10" s="321">
        <f>SUMIFS(DATA!$I:$I,DATA!$C:$C,$B10,DATA!$J:$J,"&gt;="&amp;DATE($I$2,K$4,1),DATA!$J:$J,"&lt;="&amp;DATE($I$2,K$4,K$5))</f>
        <v/>
      </c>
      <c r="L10" s="321">
        <f>SUMIFS(DATA!$I:$I,DATA!$C:$C,$B10,DATA!$J:$J,"&gt;="&amp;DATE($I$2,L$4,1),DATA!$J:$J,"&lt;="&amp;DATE($I$2,L$4,L$5))</f>
        <v/>
      </c>
      <c r="M10" s="321">
        <f>SUMIFS(DATA!$I:$I,DATA!$C:$C,$B10,DATA!$J:$J,"&gt;="&amp;DATE($I$2,M$4,1),DATA!$J:$J,"&lt;="&amp;DATE($I$2,M$4,M$5))</f>
        <v/>
      </c>
      <c r="N10" s="321">
        <f>SUMIFS(DATA!$I:$I,DATA!$C:$C,$B10,DATA!$J:$J,"&gt;="&amp;DATE($I$2,N$4,1),DATA!$J:$J,"&lt;="&amp;DATE($I$2,N$4,N$5))</f>
        <v/>
      </c>
      <c r="O10" s="321">
        <f>SUMIFS(DATA!$I:$I,DATA!$C:$C,$B10,DATA!$J:$J,"&gt;="&amp;DATE($I$2,O$4,1),DATA!$J:$J,"&lt;="&amp;DATE($I$2,O$4,O$5))</f>
        <v/>
      </c>
      <c r="P10" s="322">
        <f>SUM(D10:O10)</f>
        <v/>
      </c>
      <c r="Q10" s="118" t="n"/>
    </row>
    <row r="11" hidden="1" outlineLevel="1" ht="17.45" customHeight="1">
      <c r="A11" s="266" t="n"/>
      <c r="B11" s="268" t="n"/>
      <c r="C11" s="119" t="inlineStr">
        <is>
          <t>Thực tế</t>
        </is>
      </c>
      <c r="D11" s="321">
        <f>SUMIFS(DATA!$M:$M,DATA!$C:$C,$B10,DATA!$N:$N,"&gt;="&amp;DATE($I$2,D$4,1),DATA!$N:$N,"&lt;="&amp;DATE($I$2,D$4,D$5))</f>
        <v/>
      </c>
      <c r="E11" s="321">
        <f>SUMIFS(DATA!$M:$M,DATA!$C:$C,$B10,DATA!$N:$N,"&gt;="&amp;DATE($I$2,E$4,1),DATA!$N:$N,"&lt;="&amp;DATE($I$2,E$4,E$5))</f>
        <v/>
      </c>
      <c r="F11" s="321">
        <f>SUMIFS(DATA!$M:$M,DATA!$C:$C,$B10,DATA!$N:$N,"&gt;="&amp;DATE($I$2,F$4,1),DATA!$N:$N,"&lt;="&amp;DATE($I$2,F$4,F$5))</f>
        <v/>
      </c>
      <c r="G11" s="321">
        <f>SUMIFS(DATA!$M:$M,DATA!$C:$C,$B10,DATA!$N:$N,"&gt;="&amp;DATE($I$2,G$4,1),DATA!$N:$N,"&lt;="&amp;DATE($I$2,G$4,G$5))</f>
        <v/>
      </c>
      <c r="H11" s="321">
        <f>SUMIFS(DATA!$M:$M,DATA!$C:$C,$B10,DATA!$N:$N,"&gt;="&amp;DATE($I$2,H$4,1),DATA!$N:$N,"&lt;="&amp;DATE($I$2,H$4,H$5))</f>
        <v/>
      </c>
      <c r="I11" s="321">
        <f>SUMIFS(DATA!$M:$M,DATA!$C:$C,$B10,DATA!$N:$N,"&gt;="&amp;DATE($I$2,I$4,1),DATA!$N:$N,"&lt;="&amp;DATE($I$2,I$4,I$5))</f>
        <v/>
      </c>
      <c r="J11" s="321">
        <f>SUMIFS(DATA!$M:$M,DATA!$C:$C,$B10,DATA!$N:$N,"&gt;="&amp;DATE($I$2,J$4,1),DATA!$N:$N,"&lt;="&amp;DATE($I$2,J$4,J$5))</f>
        <v/>
      </c>
      <c r="K11" s="321">
        <f>SUMIFS(DATA!$M:$M,DATA!$C:$C,$B10,DATA!$N:$N,"&gt;="&amp;DATE($I$2,K$4,1),DATA!$N:$N,"&lt;="&amp;DATE($I$2,K$4,K$5))</f>
        <v/>
      </c>
      <c r="L11" s="321">
        <f>SUMIFS(DATA!$M:$M,DATA!$C:$C,$B10,DATA!$N:$N,"&gt;="&amp;DATE($I$2,L$4,1),DATA!$N:$N,"&lt;="&amp;DATE($I$2,L$4,L$5))</f>
        <v/>
      </c>
      <c r="M11" s="321">
        <f>SUMIFS(DATA!$M:$M,DATA!$C:$C,$B10,DATA!$N:$N,"&gt;="&amp;DATE($I$2,M$4,1),DATA!$N:$N,"&lt;="&amp;DATE($I$2,M$4,M$5))</f>
        <v/>
      </c>
      <c r="N11" s="321">
        <f>SUMIFS(DATA!$M:$M,DATA!$C:$C,$B10,DATA!$N:$N,"&gt;="&amp;DATE($I$2,N$4,1),DATA!$N:$N,"&lt;="&amp;DATE($I$2,N$4,N$5))</f>
        <v/>
      </c>
      <c r="O11" s="321">
        <f>SUMIFS(DATA!$M:$M,DATA!$C:$C,$B10,DATA!$N:$N,"&gt;="&amp;DATE($I$2,O$4,1),DATA!$N:$N,"&lt;="&amp;DATE($I$2,O$4,O$5))</f>
        <v/>
      </c>
      <c r="P11" s="322">
        <f>SUM(D11:O11)</f>
        <v/>
      </c>
      <c r="Q11" s="118" t="n"/>
    </row>
    <row r="12" hidden="1" outlineLevel="1" ht="17.45" customHeight="1">
      <c r="A12" s="269" t="n">
        <v>4</v>
      </c>
      <c r="B12" s="267" t="inlineStr">
        <is>
          <t>CÔNG TY TNHH THÁP LÁNG HẠ</t>
        </is>
      </c>
      <c r="C12" s="119" t="inlineStr">
        <is>
          <t>Kế hoạch</t>
        </is>
      </c>
      <c r="D12" s="321">
        <f>SUMIFS(DATA!$I:$I,DATA!$C:$C,$B12,DATA!$J:$J,"&gt;="&amp;DATE($I$2,D$4,1),DATA!$J:$J,"&lt;="&amp;DATE($I$2,D$4,D$5))</f>
        <v/>
      </c>
      <c r="E12" s="321">
        <f>SUMIFS(DATA!$I:$I,DATA!$C:$C,$B12,DATA!$J:$J,"&gt;="&amp;DATE($I$2,E$4,1),DATA!$J:$J,"&lt;="&amp;DATE($I$2,E$4,E$5))</f>
        <v/>
      </c>
      <c r="F12" s="321">
        <f>SUMIFS(DATA!$I:$I,DATA!$C:$C,$B12,DATA!$J:$J,"&gt;="&amp;DATE($I$2,F$4,1),DATA!$J:$J,"&lt;="&amp;DATE($I$2,F$4,F$5))</f>
        <v/>
      </c>
      <c r="G12" s="321">
        <f>SUMIFS(DATA!$I:$I,DATA!$C:$C,$B12,DATA!$J:$J,"&gt;="&amp;DATE($I$2,G$4,1),DATA!$J:$J,"&lt;="&amp;DATE($I$2,G$4,G$5))</f>
        <v/>
      </c>
      <c r="H12" s="321">
        <f>SUMIFS(DATA!$I:$I,DATA!$C:$C,$B12,DATA!$J:$J,"&gt;="&amp;DATE($I$2,H$4,1),DATA!$J:$J,"&lt;="&amp;DATE($I$2,H$4,H$5))</f>
        <v/>
      </c>
      <c r="I12" s="321">
        <f>SUMIFS(DATA!$I:$I,DATA!$C:$C,$B12,DATA!$J:$J,"&gt;="&amp;DATE($I$2,I$4,1),DATA!$J:$J,"&lt;="&amp;DATE($I$2,I$4,I$5))</f>
        <v/>
      </c>
      <c r="J12" s="321">
        <f>SUMIFS(DATA!$I:$I,DATA!$C:$C,$B12,DATA!$J:$J,"&gt;="&amp;DATE($I$2,J$4,1),DATA!$J:$J,"&lt;="&amp;DATE($I$2,J$4,J$5))</f>
        <v/>
      </c>
      <c r="K12" s="321">
        <f>SUMIFS(DATA!$I:$I,DATA!$C:$C,$B12,DATA!$J:$J,"&gt;="&amp;DATE($I$2,K$4,1),DATA!$J:$J,"&lt;="&amp;DATE($I$2,K$4,K$5))</f>
        <v/>
      </c>
      <c r="L12" s="321">
        <f>SUMIFS(DATA!$I:$I,DATA!$C:$C,$B12,DATA!$J:$J,"&gt;="&amp;DATE($I$2,L$4,1),DATA!$J:$J,"&lt;="&amp;DATE($I$2,L$4,L$5))</f>
        <v/>
      </c>
      <c r="M12" s="321">
        <f>SUMIFS(DATA!$I:$I,DATA!$C:$C,$B12,DATA!$J:$J,"&gt;="&amp;DATE($I$2,M$4,1),DATA!$J:$J,"&lt;="&amp;DATE($I$2,M$4,M$5))</f>
        <v/>
      </c>
      <c r="N12" s="321">
        <f>SUMIFS(DATA!$I:$I,DATA!$C:$C,$B12,DATA!$J:$J,"&gt;="&amp;DATE($I$2,N$4,1),DATA!$J:$J,"&lt;="&amp;DATE($I$2,N$4,N$5))</f>
        <v/>
      </c>
      <c r="O12" s="321">
        <f>SUMIFS(DATA!$I:$I,DATA!$C:$C,$B12,DATA!$J:$J,"&gt;="&amp;DATE($I$2,O$4,1),DATA!$J:$J,"&lt;="&amp;DATE($I$2,O$4,O$5))</f>
        <v/>
      </c>
      <c r="P12" s="322">
        <f>SUM(D12:O12)</f>
        <v/>
      </c>
      <c r="Q12" s="118" t="n"/>
    </row>
    <row r="13" hidden="1" outlineLevel="1" ht="17.45" customHeight="1">
      <c r="A13" s="266" t="n"/>
      <c r="B13" s="268" t="n"/>
      <c r="C13" s="119" t="inlineStr">
        <is>
          <t>Thực tế</t>
        </is>
      </c>
      <c r="D13" s="321">
        <f>SUMIFS(DATA!$M:$M,DATA!$C:$C,$B12,DATA!$N:$N,"&gt;="&amp;DATE($I$2,D$4,1),DATA!$N:$N,"&lt;="&amp;DATE($I$2,D$4,D$5))</f>
        <v/>
      </c>
      <c r="E13" s="321">
        <f>SUMIFS(DATA!$M:$M,DATA!$C:$C,$B12,DATA!$N:$N,"&gt;="&amp;DATE($I$2,E$4,1),DATA!$N:$N,"&lt;="&amp;DATE($I$2,E$4,E$5))</f>
        <v/>
      </c>
      <c r="F13" s="321">
        <f>SUMIFS(DATA!$M:$M,DATA!$C:$C,$B12,DATA!$N:$N,"&gt;="&amp;DATE($I$2,F$4,1),DATA!$N:$N,"&lt;="&amp;DATE($I$2,F$4,F$5))</f>
        <v/>
      </c>
      <c r="G13" s="321">
        <f>SUMIFS(DATA!$M:$M,DATA!$C:$C,$B12,DATA!$N:$N,"&gt;="&amp;DATE($I$2,G$4,1),DATA!$N:$N,"&lt;="&amp;DATE($I$2,G$4,G$5))</f>
        <v/>
      </c>
      <c r="H13" s="321">
        <f>SUMIFS(DATA!$M:$M,DATA!$C:$C,$B12,DATA!$N:$N,"&gt;="&amp;DATE($I$2,H$4,1),DATA!$N:$N,"&lt;="&amp;DATE($I$2,H$4,H$5))</f>
        <v/>
      </c>
      <c r="I13" s="321">
        <f>SUMIFS(DATA!$M:$M,DATA!$C:$C,$B12,DATA!$N:$N,"&gt;="&amp;DATE($I$2,I$4,1),DATA!$N:$N,"&lt;="&amp;DATE($I$2,I$4,I$5))</f>
        <v/>
      </c>
      <c r="J13" s="321">
        <f>SUMIFS(DATA!$M:$M,DATA!$C:$C,$B12,DATA!$N:$N,"&gt;="&amp;DATE($I$2,J$4,1),DATA!$N:$N,"&lt;="&amp;DATE($I$2,J$4,J$5))</f>
        <v/>
      </c>
      <c r="K13" s="321">
        <f>SUMIFS(DATA!$M:$M,DATA!$C:$C,$B12,DATA!$N:$N,"&gt;="&amp;DATE($I$2,K$4,1),DATA!$N:$N,"&lt;="&amp;DATE($I$2,K$4,K$5))</f>
        <v/>
      </c>
      <c r="L13" s="321">
        <f>SUMIFS(DATA!$M:$M,DATA!$C:$C,$B12,DATA!$N:$N,"&gt;="&amp;DATE($I$2,L$4,1),DATA!$N:$N,"&lt;="&amp;DATE($I$2,L$4,L$5))</f>
        <v/>
      </c>
      <c r="M13" s="321">
        <f>SUMIFS(DATA!$M:$M,DATA!$C:$C,$B12,DATA!$N:$N,"&gt;="&amp;DATE($I$2,M$4,1),DATA!$N:$N,"&lt;="&amp;DATE($I$2,M$4,M$5))</f>
        <v/>
      </c>
      <c r="N13" s="321">
        <f>SUMIFS(DATA!$M:$M,DATA!$C:$C,$B12,DATA!$N:$N,"&gt;="&amp;DATE($I$2,N$4,1),DATA!$N:$N,"&lt;="&amp;DATE($I$2,N$4,N$5))</f>
        <v/>
      </c>
      <c r="O13" s="321">
        <f>SUMIFS(DATA!$M:$M,DATA!$C:$C,$B12,DATA!$N:$N,"&gt;="&amp;DATE($I$2,O$4,1),DATA!$N:$N,"&lt;="&amp;DATE($I$2,O$4,O$5))</f>
        <v/>
      </c>
      <c r="P13" s="322">
        <f>SUM(D13:O13)</f>
        <v/>
      </c>
      <c r="Q13" s="118" t="n"/>
    </row>
    <row r="14" hidden="1" outlineLevel="1" ht="17.45" customHeight="1">
      <c r="A14" s="269" t="n">
        <v>5</v>
      </c>
      <c r="B14" s="267" t="inlineStr">
        <is>
          <t>TRUNG TÂM HẠ TẦNG IDC - CÔNG TY CÔNG NGHỆ THÔNG TIN VNPT (VNPT-IT)</t>
        </is>
      </c>
      <c r="C14" s="119" t="inlineStr">
        <is>
          <t>Kế hoạch</t>
        </is>
      </c>
      <c r="D14" s="321">
        <f>SUMIFS(DATA!$I:$I,DATA!$C:$C,$B14,DATA!$J:$J,"&gt;="&amp;DATE($I$2,D$4,1),DATA!$J:$J,"&lt;="&amp;DATE($I$2,D$4,D$5))</f>
        <v/>
      </c>
      <c r="E14" s="321">
        <f>SUMIFS(DATA!$I:$I,DATA!$C:$C,$B14,DATA!$J:$J,"&gt;="&amp;DATE($I$2,E$4,1),DATA!$J:$J,"&lt;="&amp;DATE($I$2,E$4,E$5))</f>
        <v/>
      </c>
      <c r="F14" s="321">
        <f>SUMIFS(DATA!$I:$I,DATA!$C:$C,$B14,DATA!$J:$J,"&gt;="&amp;DATE($I$2,F$4,1),DATA!$J:$J,"&lt;="&amp;DATE($I$2,F$4,F$5))</f>
        <v/>
      </c>
      <c r="G14" s="321">
        <f>SUMIFS(DATA!$I:$I,DATA!$C:$C,$B14,DATA!$J:$J,"&gt;="&amp;DATE($I$2,G$4,1),DATA!$J:$J,"&lt;="&amp;DATE($I$2,G$4,G$5))</f>
        <v/>
      </c>
      <c r="H14" s="321">
        <f>SUMIFS(DATA!$I:$I,DATA!$C:$C,$B14,DATA!$J:$J,"&gt;="&amp;DATE($I$2,H$4,1),DATA!$J:$J,"&lt;="&amp;DATE($I$2,H$4,H$5))</f>
        <v/>
      </c>
      <c r="I14" s="321">
        <f>SUMIFS(DATA!$I:$I,DATA!$C:$C,$B14,DATA!$J:$J,"&gt;="&amp;DATE($I$2,I$4,1),DATA!$J:$J,"&lt;="&amp;DATE($I$2,I$4,I$5))</f>
        <v/>
      </c>
      <c r="J14" s="321">
        <f>SUMIFS(DATA!$I:$I,DATA!$C:$C,$B14,DATA!$J:$J,"&gt;="&amp;DATE($I$2,J$4,1),DATA!$J:$J,"&lt;="&amp;DATE($I$2,J$4,J$5))</f>
        <v/>
      </c>
      <c r="K14" s="321">
        <f>SUMIFS(DATA!$I:$I,DATA!$C:$C,$B14,DATA!$J:$J,"&gt;="&amp;DATE($I$2,K$4,1),DATA!$J:$J,"&lt;="&amp;DATE($I$2,K$4,K$5))</f>
        <v/>
      </c>
      <c r="L14" s="321">
        <f>SUMIFS(DATA!$I:$I,DATA!$C:$C,$B14,DATA!$J:$J,"&gt;="&amp;DATE($I$2,L$4,1),DATA!$J:$J,"&lt;="&amp;DATE($I$2,L$4,L$5))</f>
        <v/>
      </c>
      <c r="M14" s="321">
        <f>SUMIFS(DATA!$I:$I,DATA!$C:$C,$B14,DATA!$J:$J,"&gt;="&amp;DATE($I$2,M$4,1),DATA!$J:$J,"&lt;="&amp;DATE($I$2,M$4,M$5))</f>
        <v/>
      </c>
      <c r="N14" s="321">
        <f>SUMIFS(DATA!$I:$I,DATA!$C:$C,$B14,DATA!$J:$J,"&gt;="&amp;DATE($I$2,N$4,1),DATA!$J:$J,"&lt;="&amp;DATE($I$2,N$4,N$5))</f>
        <v/>
      </c>
      <c r="O14" s="321">
        <f>SUMIFS(DATA!$I:$I,DATA!$C:$C,$B14,DATA!$J:$J,"&gt;="&amp;DATE($I$2,O$4,1),DATA!$J:$J,"&lt;="&amp;DATE($I$2,O$4,O$5))</f>
        <v/>
      </c>
      <c r="P14" s="322">
        <f>SUM(D14:O14)</f>
        <v/>
      </c>
      <c r="Q14" s="118" t="n"/>
    </row>
    <row r="15" hidden="1" outlineLevel="1" ht="17.45" customHeight="1">
      <c r="A15" s="266" t="n"/>
      <c r="B15" s="268" t="n"/>
      <c r="C15" s="119" t="inlineStr">
        <is>
          <t>Thực tế</t>
        </is>
      </c>
      <c r="D15" s="321">
        <f>SUMIFS(DATA!$M:$M,DATA!$C:$C,$B14,DATA!$N:$N,"&gt;="&amp;DATE($I$2,D$4,1),DATA!$N:$N,"&lt;="&amp;DATE($I$2,D$4,D$5))</f>
        <v/>
      </c>
      <c r="E15" s="321">
        <f>SUMIFS(DATA!$M:$M,DATA!$C:$C,$B14,DATA!$N:$N,"&gt;="&amp;DATE($I$2,E$4,1),DATA!$N:$N,"&lt;="&amp;DATE($I$2,E$4,E$5))</f>
        <v/>
      </c>
      <c r="F15" s="321">
        <f>SUMIFS(DATA!$M:$M,DATA!$C:$C,$B14,DATA!$N:$N,"&gt;="&amp;DATE($I$2,F$4,1),DATA!$N:$N,"&lt;="&amp;DATE($I$2,F$4,F$5))</f>
        <v/>
      </c>
      <c r="G15" s="321">
        <f>SUMIFS(DATA!$M:$M,DATA!$C:$C,$B14,DATA!$N:$N,"&gt;="&amp;DATE($I$2,G$4,1),DATA!$N:$N,"&lt;="&amp;DATE($I$2,G$4,G$5))</f>
        <v/>
      </c>
      <c r="H15" s="321">
        <f>SUMIFS(DATA!$M:$M,DATA!$C:$C,$B14,DATA!$N:$N,"&gt;="&amp;DATE($I$2,H$4,1),DATA!$N:$N,"&lt;="&amp;DATE($I$2,H$4,H$5))</f>
        <v/>
      </c>
      <c r="I15" s="321">
        <f>SUMIFS(DATA!$M:$M,DATA!$C:$C,$B14,DATA!$N:$N,"&gt;="&amp;DATE($I$2,I$4,1),DATA!$N:$N,"&lt;="&amp;DATE($I$2,I$4,I$5))</f>
        <v/>
      </c>
      <c r="J15" s="321">
        <f>SUMIFS(DATA!$M:$M,DATA!$C:$C,$B14,DATA!$N:$N,"&gt;="&amp;DATE($I$2,J$4,1),DATA!$N:$N,"&lt;="&amp;DATE($I$2,J$4,J$5))</f>
        <v/>
      </c>
      <c r="K15" s="321">
        <f>SUMIFS(DATA!$M:$M,DATA!$C:$C,$B14,DATA!$N:$N,"&gt;="&amp;DATE($I$2,K$4,1),DATA!$N:$N,"&lt;="&amp;DATE($I$2,K$4,K$5))</f>
        <v/>
      </c>
      <c r="L15" s="321">
        <f>SUMIFS(DATA!$M:$M,DATA!$C:$C,$B14,DATA!$N:$N,"&gt;="&amp;DATE($I$2,L$4,1),DATA!$N:$N,"&lt;="&amp;DATE($I$2,L$4,L$5))</f>
        <v/>
      </c>
      <c r="M15" s="321">
        <f>SUMIFS(DATA!$M:$M,DATA!$C:$C,$B14,DATA!$N:$N,"&gt;="&amp;DATE($I$2,M$4,1),DATA!$N:$N,"&lt;="&amp;DATE($I$2,M$4,M$5))</f>
        <v/>
      </c>
      <c r="N15" s="321">
        <f>SUMIFS(DATA!$M:$M,DATA!$C:$C,$B14,DATA!$N:$N,"&gt;="&amp;DATE($I$2,N$4,1),DATA!$N:$N,"&lt;="&amp;DATE($I$2,N$4,N$5))</f>
        <v/>
      </c>
      <c r="O15" s="321">
        <f>SUMIFS(DATA!$M:$M,DATA!$C:$C,$B14,DATA!$N:$N,"&gt;="&amp;DATE($I$2,O$4,1),DATA!$N:$N,"&lt;="&amp;DATE($I$2,O$4,O$5))</f>
        <v/>
      </c>
      <c r="P15" s="322">
        <f>SUM(D15:O15)</f>
        <v/>
      </c>
      <c r="Q15" s="118" t="n"/>
    </row>
    <row r="16" hidden="1" outlineLevel="1" ht="17.45" customHeight="1">
      <c r="A16" s="269" t="n">
        <v>6</v>
      </c>
      <c r="B16" s="267" t="inlineStr">
        <is>
          <t>CRYSTAL MARTIN VIETNAM</t>
        </is>
      </c>
      <c r="C16" s="119" t="inlineStr">
        <is>
          <t>Kế hoạch</t>
        </is>
      </c>
      <c r="D16" s="321">
        <f>SUMIFS(DATA!$I:$I,DATA!$C:$C,$B16,DATA!$J:$J,"&gt;="&amp;DATE($I$2,D$4,1),DATA!$J:$J,"&lt;="&amp;DATE($I$2,D$4,D$5))</f>
        <v/>
      </c>
      <c r="E16" s="321">
        <f>SUMIFS(DATA!$I:$I,DATA!$C:$C,$B16,DATA!$J:$J,"&gt;="&amp;DATE($I$2,E$4,1),DATA!$J:$J,"&lt;="&amp;DATE($I$2,E$4,E$5))</f>
        <v/>
      </c>
      <c r="F16" s="321">
        <f>SUMIFS(DATA!$I:$I,DATA!$C:$C,$B16,DATA!$J:$J,"&gt;="&amp;DATE($I$2,F$4,1),DATA!$J:$J,"&lt;="&amp;DATE($I$2,F$4,F$5))</f>
        <v/>
      </c>
      <c r="G16" s="321">
        <f>SUMIFS(DATA!$I:$I,DATA!$C:$C,$B16,DATA!$J:$J,"&gt;="&amp;DATE($I$2,G$4,1),DATA!$J:$J,"&lt;="&amp;DATE($I$2,G$4,G$5))</f>
        <v/>
      </c>
      <c r="H16" s="321">
        <f>SUMIFS(DATA!$I:$I,DATA!$C:$C,$B16,DATA!$J:$J,"&gt;="&amp;DATE($I$2,H$4,1),DATA!$J:$J,"&lt;="&amp;DATE($I$2,H$4,H$5))</f>
        <v/>
      </c>
      <c r="I16" s="321">
        <f>SUMIFS(DATA!$I:$I,DATA!$C:$C,$B16,DATA!$J:$J,"&gt;="&amp;DATE($I$2,I$4,1),DATA!$J:$J,"&lt;="&amp;DATE($I$2,I$4,I$5))</f>
        <v/>
      </c>
      <c r="J16" s="321">
        <f>SUMIFS(DATA!$I:$I,DATA!$C:$C,$B16,DATA!$J:$J,"&gt;="&amp;DATE($I$2,J$4,1),DATA!$J:$J,"&lt;="&amp;DATE($I$2,J$4,J$5))</f>
        <v/>
      </c>
      <c r="K16" s="321">
        <f>SUMIFS(DATA!$I:$I,DATA!$C:$C,$B16,DATA!$J:$J,"&gt;="&amp;DATE($I$2,K$4,1),DATA!$J:$J,"&lt;="&amp;DATE($I$2,K$4,K$5))</f>
        <v/>
      </c>
      <c r="L16" s="321">
        <f>SUMIFS(DATA!$I:$I,DATA!$C:$C,$B16,DATA!$J:$J,"&gt;="&amp;DATE($I$2,L$4,1),DATA!$J:$J,"&lt;="&amp;DATE($I$2,L$4,L$5))</f>
        <v/>
      </c>
      <c r="M16" s="321">
        <f>SUMIFS(DATA!$I:$I,DATA!$C:$C,$B16,DATA!$J:$J,"&gt;="&amp;DATE($I$2,M$4,1),DATA!$J:$J,"&lt;="&amp;DATE($I$2,M$4,M$5))</f>
        <v/>
      </c>
      <c r="N16" s="321">
        <f>SUMIFS(DATA!$I:$I,DATA!$C:$C,$B16,DATA!$J:$J,"&gt;="&amp;DATE($I$2,N$4,1),DATA!$J:$J,"&lt;="&amp;DATE($I$2,N$4,N$5))</f>
        <v/>
      </c>
      <c r="O16" s="321">
        <f>SUMIFS(DATA!$I:$I,DATA!$C:$C,$B16,DATA!$J:$J,"&gt;="&amp;DATE($I$2,O$4,1),DATA!$J:$J,"&lt;="&amp;DATE($I$2,O$4,O$5))</f>
        <v/>
      </c>
      <c r="P16" s="322">
        <f>SUM(D16:O16)</f>
        <v/>
      </c>
      <c r="Q16" s="118" t="n"/>
    </row>
    <row r="17" hidden="1" outlineLevel="1" ht="17.45" customHeight="1">
      <c r="A17" s="266" t="n"/>
      <c r="B17" s="268" t="n"/>
      <c r="C17" s="119" t="inlineStr">
        <is>
          <t>Thực tế</t>
        </is>
      </c>
      <c r="D17" s="321">
        <f>SUMIFS(DATA!$M:$M,DATA!$C:$C,$B16,DATA!$N:$N,"&gt;="&amp;DATE($I$2,D$4,1),DATA!$N:$N,"&lt;="&amp;DATE($I$2,D$4,D$5))</f>
        <v/>
      </c>
      <c r="E17" s="321">
        <f>SUMIFS(DATA!$M:$M,DATA!$C:$C,$B16,DATA!$N:$N,"&gt;="&amp;DATE($I$2,E$4,1),DATA!$N:$N,"&lt;="&amp;DATE($I$2,E$4,E$5))</f>
        <v/>
      </c>
      <c r="F17" s="321">
        <f>SUMIFS(DATA!$M:$M,DATA!$C:$C,$B16,DATA!$N:$N,"&gt;="&amp;DATE($I$2,F$4,1),DATA!$N:$N,"&lt;="&amp;DATE($I$2,F$4,F$5))</f>
        <v/>
      </c>
      <c r="G17" s="321">
        <f>SUMIFS(DATA!$M:$M,DATA!$C:$C,$B16,DATA!$N:$N,"&gt;="&amp;DATE($I$2,G$4,1),DATA!$N:$N,"&lt;="&amp;DATE($I$2,G$4,G$5))</f>
        <v/>
      </c>
      <c r="H17" s="321">
        <f>SUMIFS(DATA!$M:$M,DATA!$C:$C,$B16,DATA!$N:$N,"&gt;="&amp;DATE($I$2,H$4,1),DATA!$N:$N,"&lt;="&amp;DATE($I$2,H$4,H$5))</f>
        <v/>
      </c>
      <c r="I17" s="321">
        <f>SUMIFS(DATA!$M:$M,DATA!$C:$C,$B16,DATA!$N:$N,"&gt;="&amp;DATE($I$2,I$4,1),DATA!$N:$N,"&lt;="&amp;DATE($I$2,I$4,I$5))</f>
        <v/>
      </c>
      <c r="J17" s="321">
        <f>SUMIFS(DATA!$M:$M,DATA!$C:$C,$B16,DATA!$N:$N,"&gt;="&amp;DATE($I$2,J$4,1),DATA!$N:$N,"&lt;="&amp;DATE($I$2,J$4,J$5))</f>
        <v/>
      </c>
      <c r="K17" s="321">
        <f>SUMIFS(DATA!$M:$M,DATA!$C:$C,$B16,DATA!$N:$N,"&gt;="&amp;DATE($I$2,K$4,1),DATA!$N:$N,"&lt;="&amp;DATE($I$2,K$4,K$5))</f>
        <v/>
      </c>
      <c r="L17" s="321">
        <f>SUMIFS(DATA!$M:$M,DATA!$C:$C,$B16,DATA!$N:$N,"&gt;="&amp;DATE($I$2,L$4,1),DATA!$N:$N,"&lt;="&amp;DATE($I$2,L$4,L$5))</f>
        <v/>
      </c>
      <c r="M17" s="321">
        <f>SUMIFS(DATA!$M:$M,DATA!$C:$C,$B16,DATA!$N:$N,"&gt;="&amp;DATE($I$2,M$4,1),DATA!$N:$N,"&lt;="&amp;DATE($I$2,M$4,M$5))</f>
        <v/>
      </c>
      <c r="N17" s="321">
        <f>SUMIFS(DATA!$M:$M,DATA!$C:$C,$B16,DATA!$N:$N,"&gt;="&amp;DATE($I$2,N$4,1),DATA!$N:$N,"&lt;="&amp;DATE($I$2,N$4,N$5))</f>
        <v/>
      </c>
      <c r="O17" s="321">
        <f>SUMIFS(DATA!$M:$M,DATA!$C:$C,$B16,DATA!$N:$N,"&gt;="&amp;DATE($I$2,O$4,1),DATA!$N:$N,"&lt;="&amp;DATE($I$2,O$4,O$5))</f>
        <v/>
      </c>
      <c r="P17" s="322">
        <f>SUM(D17:O17)</f>
        <v/>
      </c>
      <c r="Q17" s="118" t="n"/>
    </row>
    <row r="18" hidden="1" outlineLevel="1" ht="17.45" customHeight="1">
      <c r="A18" s="269" t="n">
        <v>7</v>
      </c>
      <c r="B18" s="267" t="inlineStr">
        <is>
          <t>RMIT UNIVERSITY</t>
        </is>
      </c>
      <c r="C18" s="119" t="inlineStr">
        <is>
          <t>Kế hoạch</t>
        </is>
      </c>
      <c r="D18" s="321">
        <f>SUMIFS(DATA!$I:$I,DATA!$C:$C,$B18,DATA!$J:$J,"&gt;="&amp;DATE($I$2,D$4,1),DATA!$J:$J,"&lt;="&amp;DATE($I$2,D$4,D$5))</f>
        <v/>
      </c>
      <c r="E18" s="321">
        <f>SUMIFS(DATA!$I:$I,DATA!$C:$C,$B18,DATA!$J:$J,"&gt;="&amp;DATE($I$2,E$4,1),DATA!$J:$J,"&lt;="&amp;DATE($I$2,E$4,E$5))</f>
        <v/>
      </c>
      <c r="F18" s="321">
        <f>SUMIFS(DATA!$I:$I,DATA!$C:$C,$B18,DATA!$J:$J,"&gt;="&amp;DATE($I$2,F$4,1),DATA!$J:$J,"&lt;="&amp;DATE($I$2,F$4,F$5))</f>
        <v/>
      </c>
      <c r="G18" s="321">
        <f>SUMIFS(DATA!$I:$I,DATA!$C:$C,$B18,DATA!$J:$J,"&gt;="&amp;DATE($I$2,G$4,1),DATA!$J:$J,"&lt;="&amp;DATE($I$2,G$4,G$5))</f>
        <v/>
      </c>
      <c r="H18" s="321">
        <f>SUMIFS(DATA!$I:$I,DATA!$C:$C,$B18,DATA!$J:$J,"&gt;="&amp;DATE($I$2,H$4,1),DATA!$J:$J,"&lt;="&amp;DATE($I$2,H$4,H$5))</f>
        <v/>
      </c>
      <c r="I18" s="321">
        <f>SUMIFS(DATA!$I:$I,DATA!$C:$C,$B18,DATA!$J:$J,"&gt;="&amp;DATE($I$2,I$4,1),DATA!$J:$J,"&lt;="&amp;DATE($I$2,I$4,I$5))</f>
        <v/>
      </c>
      <c r="J18" s="321">
        <f>SUMIFS(DATA!$I:$I,DATA!$C:$C,$B18,DATA!$J:$J,"&gt;="&amp;DATE($I$2,J$4,1),DATA!$J:$J,"&lt;="&amp;DATE($I$2,J$4,J$5))</f>
        <v/>
      </c>
      <c r="K18" s="321">
        <f>SUMIFS(DATA!$I:$I,DATA!$C:$C,$B18,DATA!$J:$J,"&gt;="&amp;DATE($I$2,K$4,1),DATA!$J:$J,"&lt;="&amp;DATE($I$2,K$4,K$5))</f>
        <v/>
      </c>
      <c r="L18" s="321">
        <f>SUMIFS(DATA!$I:$I,DATA!$C:$C,$B18,DATA!$J:$J,"&gt;="&amp;DATE($I$2,L$4,1),DATA!$J:$J,"&lt;="&amp;DATE($I$2,L$4,L$5))</f>
        <v/>
      </c>
      <c r="M18" s="321">
        <f>SUMIFS(DATA!$I:$I,DATA!$C:$C,$B18,DATA!$J:$J,"&gt;="&amp;DATE($I$2,M$4,1),DATA!$J:$J,"&lt;="&amp;DATE($I$2,M$4,M$5))</f>
        <v/>
      </c>
      <c r="N18" s="321">
        <f>SUMIFS(DATA!$I:$I,DATA!$C:$C,$B18,DATA!$J:$J,"&gt;="&amp;DATE($I$2,N$4,1),DATA!$J:$J,"&lt;="&amp;DATE($I$2,N$4,N$5))</f>
        <v/>
      </c>
      <c r="O18" s="321">
        <f>SUMIFS(DATA!$I:$I,DATA!$C:$C,$B18,DATA!$J:$J,"&gt;="&amp;DATE($I$2,O$4,1),DATA!$J:$J,"&lt;="&amp;DATE($I$2,O$4,O$5))</f>
        <v/>
      </c>
      <c r="P18" s="322">
        <f>SUM(D18:O18)</f>
        <v/>
      </c>
      <c r="Q18" s="118" t="n"/>
    </row>
    <row r="19" hidden="1" outlineLevel="1" ht="17.45" customHeight="1">
      <c r="A19" s="266" t="n"/>
      <c r="B19" s="268" t="n"/>
      <c r="C19" s="119" t="inlineStr">
        <is>
          <t>Thực tế</t>
        </is>
      </c>
      <c r="D19" s="321">
        <f>SUMIFS(DATA!$M:$M,DATA!$C:$C,$B18,DATA!$N:$N,"&gt;="&amp;DATE($I$2,D$4,1),DATA!$N:$N,"&lt;="&amp;DATE($I$2,D$4,D$5))</f>
        <v/>
      </c>
      <c r="E19" s="321">
        <f>SUMIFS(DATA!$M:$M,DATA!$C:$C,$B18,DATA!$N:$N,"&gt;="&amp;DATE($I$2,E$4,1),DATA!$N:$N,"&lt;="&amp;DATE($I$2,E$4,E$5))</f>
        <v/>
      </c>
      <c r="F19" s="321">
        <f>SUMIFS(DATA!$M:$M,DATA!$C:$C,$B18,DATA!$N:$N,"&gt;="&amp;DATE($I$2,F$4,1),DATA!$N:$N,"&lt;="&amp;DATE($I$2,F$4,F$5))</f>
        <v/>
      </c>
      <c r="G19" s="321">
        <f>SUMIFS(DATA!$M:$M,DATA!$C:$C,$B18,DATA!$N:$N,"&gt;="&amp;DATE($I$2,G$4,1),DATA!$N:$N,"&lt;="&amp;DATE($I$2,G$4,G$5))</f>
        <v/>
      </c>
      <c r="H19" s="321">
        <f>SUMIFS(DATA!$M:$M,DATA!$C:$C,$B18,DATA!$N:$N,"&gt;="&amp;DATE($I$2,H$4,1),DATA!$N:$N,"&lt;="&amp;DATE($I$2,H$4,H$5))</f>
        <v/>
      </c>
      <c r="I19" s="321">
        <f>SUMIFS(DATA!$M:$M,DATA!$C:$C,$B18,DATA!$N:$N,"&gt;="&amp;DATE($I$2,I$4,1),DATA!$N:$N,"&lt;="&amp;DATE($I$2,I$4,I$5))</f>
        <v/>
      </c>
      <c r="J19" s="321">
        <f>SUMIFS(DATA!$M:$M,DATA!$C:$C,$B18,DATA!$N:$N,"&gt;="&amp;DATE($I$2,J$4,1),DATA!$N:$N,"&lt;="&amp;DATE($I$2,J$4,J$5))</f>
        <v/>
      </c>
      <c r="K19" s="321">
        <f>SUMIFS(DATA!$M:$M,DATA!$C:$C,$B18,DATA!$N:$N,"&gt;="&amp;DATE($I$2,K$4,1),DATA!$N:$N,"&lt;="&amp;DATE($I$2,K$4,K$5))</f>
        <v/>
      </c>
      <c r="L19" s="321">
        <f>SUMIFS(DATA!$M:$M,DATA!$C:$C,$B18,DATA!$N:$N,"&gt;="&amp;DATE($I$2,L$4,1),DATA!$N:$N,"&lt;="&amp;DATE($I$2,L$4,L$5))</f>
        <v/>
      </c>
      <c r="M19" s="321">
        <f>SUMIFS(DATA!$M:$M,DATA!$C:$C,$B18,DATA!$N:$N,"&gt;="&amp;DATE($I$2,M$4,1),DATA!$N:$N,"&lt;="&amp;DATE($I$2,M$4,M$5))</f>
        <v/>
      </c>
      <c r="N19" s="321">
        <f>SUMIFS(DATA!$M:$M,DATA!$C:$C,$B18,DATA!$N:$N,"&gt;="&amp;DATE($I$2,N$4,1),DATA!$N:$N,"&lt;="&amp;DATE($I$2,N$4,N$5))</f>
        <v/>
      </c>
      <c r="O19" s="321">
        <f>SUMIFS(DATA!$M:$M,DATA!$C:$C,$B18,DATA!$N:$N,"&gt;="&amp;DATE($I$2,O$4,1),DATA!$N:$N,"&lt;="&amp;DATE($I$2,O$4,O$5))</f>
        <v/>
      </c>
      <c r="P19" s="322">
        <f>SUM(D19:O19)</f>
        <v/>
      </c>
      <c r="Q19" s="118" t="n"/>
    </row>
    <row r="20" hidden="1" outlineLevel="1" ht="17.45" customHeight="1">
      <c r="A20" s="269" t="n">
        <v>8</v>
      </c>
      <c r="B20" s="267" t="inlineStr">
        <is>
          <t>GOLDEN PALACE MỄ TRÌ</t>
        </is>
      </c>
      <c r="C20" s="119" t="inlineStr">
        <is>
          <t>Kế hoạch</t>
        </is>
      </c>
      <c r="D20" s="321">
        <f>SUMIFS(DATA!$I:$I,DATA!$C:$C,$B20,DATA!$J:$J,"&gt;="&amp;DATE($I$2,D$4,1),DATA!$J:$J,"&lt;="&amp;DATE($I$2,D$4,D$5))</f>
        <v/>
      </c>
      <c r="E20" s="321">
        <f>SUMIFS(DATA!$I:$I,DATA!$C:$C,$B20,DATA!$J:$J,"&gt;="&amp;DATE($I$2,E$4,1),DATA!$J:$J,"&lt;="&amp;DATE($I$2,E$4,E$5))</f>
        <v/>
      </c>
      <c r="F20" s="321">
        <f>SUMIFS(DATA!$I:$I,DATA!$C:$C,$B20,DATA!$J:$J,"&gt;="&amp;DATE($I$2,F$4,1),DATA!$J:$J,"&lt;="&amp;DATE($I$2,F$4,F$5))</f>
        <v/>
      </c>
      <c r="G20" s="321">
        <f>SUMIFS(DATA!$I:$I,DATA!$C:$C,$B20,DATA!$J:$J,"&gt;="&amp;DATE($I$2,G$4,1),DATA!$J:$J,"&lt;="&amp;DATE($I$2,G$4,G$5))</f>
        <v/>
      </c>
      <c r="H20" s="321">
        <f>SUMIFS(DATA!$I:$I,DATA!$C:$C,$B20,DATA!$J:$J,"&gt;="&amp;DATE($I$2,H$4,1),DATA!$J:$J,"&lt;="&amp;DATE($I$2,H$4,H$5))</f>
        <v/>
      </c>
      <c r="I20" s="321">
        <f>SUMIFS(DATA!$I:$I,DATA!$C:$C,$B20,DATA!$J:$J,"&gt;="&amp;DATE($I$2,I$4,1),DATA!$J:$J,"&lt;="&amp;DATE($I$2,I$4,I$5))</f>
        <v/>
      </c>
      <c r="J20" s="321">
        <f>SUMIFS(DATA!$I:$I,DATA!$C:$C,$B20,DATA!$J:$J,"&gt;="&amp;DATE($I$2,J$4,1),DATA!$J:$J,"&lt;="&amp;DATE($I$2,J$4,J$5))</f>
        <v/>
      </c>
      <c r="K20" s="321">
        <f>SUMIFS(DATA!$I:$I,DATA!$C:$C,$B20,DATA!$J:$J,"&gt;="&amp;DATE($I$2,K$4,1),DATA!$J:$J,"&lt;="&amp;DATE($I$2,K$4,K$5))</f>
        <v/>
      </c>
      <c r="L20" s="321">
        <f>SUMIFS(DATA!$I:$I,DATA!$C:$C,$B20,DATA!$J:$J,"&gt;="&amp;DATE($I$2,L$4,1),DATA!$J:$J,"&lt;="&amp;DATE($I$2,L$4,L$5))</f>
        <v/>
      </c>
      <c r="M20" s="321">
        <f>SUMIFS(DATA!$I:$I,DATA!$C:$C,$B20,DATA!$J:$J,"&gt;="&amp;DATE($I$2,M$4,1),DATA!$J:$J,"&lt;="&amp;DATE($I$2,M$4,M$5))</f>
        <v/>
      </c>
      <c r="N20" s="321">
        <f>SUMIFS(DATA!$I:$I,DATA!$C:$C,$B20,DATA!$J:$J,"&gt;="&amp;DATE($I$2,N$4,1),DATA!$J:$J,"&lt;="&amp;DATE($I$2,N$4,N$5))</f>
        <v/>
      </c>
      <c r="O20" s="321">
        <f>SUMIFS(DATA!$I:$I,DATA!$C:$C,$B20,DATA!$J:$J,"&gt;="&amp;DATE($I$2,O$4,1),DATA!$J:$J,"&lt;="&amp;DATE($I$2,O$4,O$5))</f>
        <v/>
      </c>
      <c r="P20" s="322">
        <f>SUM(D20:O20)</f>
        <v/>
      </c>
      <c r="Q20" s="118" t="n"/>
    </row>
    <row r="21" hidden="1" outlineLevel="1" ht="17.45" customHeight="1">
      <c r="A21" s="266" t="n"/>
      <c r="B21" s="268" t="n"/>
      <c r="C21" s="119" t="inlineStr">
        <is>
          <t>Thực tế</t>
        </is>
      </c>
      <c r="D21" s="321">
        <f>SUMIFS(DATA!$M:$M,DATA!$C:$C,$B20,DATA!$N:$N,"&gt;="&amp;DATE($I$2,D$4,1),DATA!$N:$N,"&lt;="&amp;DATE($I$2,D$4,D$5))</f>
        <v/>
      </c>
      <c r="E21" s="321">
        <f>SUMIFS(DATA!$M:$M,DATA!$C:$C,$B20,DATA!$N:$N,"&gt;="&amp;DATE($I$2,E$4,1),DATA!$N:$N,"&lt;="&amp;DATE($I$2,E$4,E$5))</f>
        <v/>
      </c>
      <c r="F21" s="321">
        <f>SUMIFS(DATA!$M:$M,DATA!$C:$C,$B20,DATA!$N:$N,"&gt;="&amp;DATE($I$2,F$4,1),DATA!$N:$N,"&lt;="&amp;DATE($I$2,F$4,F$5))</f>
        <v/>
      </c>
      <c r="G21" s="321">
        <f>SUMIFS(DATA!$M:$M,DATA!$C:$C,$B20,DATA!$N:$N,"&gt;="&amp;DATE($I$2,G$4,1),DATA!$N:$N,"&lt;="&amp;DATE($I$2,G$4,G$5))</f>
        <v/>
      </c>
      <c r="H21" s="321">
        <f>SUMIFS(DATA!$M:$M,DATA!$C:$C,$B20,DATA!$N:$N,"&gt;="&amp;DATE($I$2,H$4,1),DATA!$N:$N,"&lt;="&amp;DATE($I$2,H$4,H$5))</f>
        <v/>
      </c>
      <c r="I21" s="321">
        <f>SUMIFS(DATA!$M:$M,DATA!$C:$C,$B20,DATA!$N:$N,"&gt;="&amp;DATE($I$2,I$4,1),DATA!$N:$N,"&lt;="&amp;DATE($I$2,I$4,I$5))</f>
        <v/>
      </c>
      <c r="J21" s="321">
        <f>SUMIFS(DATA!$M:$M,DATA!$C:$C,$B20,DATA!$N:$N,"&gt;="&amp;DATE($I$2,J$4,1),DATA!$N:$N,"&lt;="&amp;DATE($I$2,J$4,J$5))</f>
        <v/>
      </c>
      <c r="K21" s="321">
        <f>SUMIFS(DATA!$M:$M,DATA!$C:$C,$B20,DATA!$N:$N,"&gt;="&amp;DATE($I$2,K$4,1),DATA!$N:$N,"&lt;="&amp;DATE($I$2,K$4,K$5))</f>
        <v/>
      </c>
      <c r="L21" s="321">
        <f>SUMIFS(DATA!$M:$M,DATA!$C:$C,$B20,DATA!$N:$N,"&gt;="&amp;DATE($I$2,L$4,1),DATA!$N:$N,"&lt;="&amp;DATE($I$2,L$4,L$5))</f>
        <v/>
      </c>
      <c r="M21" s="321">
        <f>SUMIFS(DATA!$M:$M,DATA!$C:$C,$B20,DATA!$N:$N,"&gt;="&amp;DATE($I$2,M$4,1),DATA!$N:$N,"&lt;="&amp;DATE($I$2,M$4,M$5))</f>
        <v/>
      </c>
      <c r="N21" s="321">
        <f>SUMIFS(DATA!$M:$M,DATA!$C:$C,$B20,DATA!$N:$N,"&gt;="&amp;DATE($I$2,N$4,1),DATA!$N:$N,"&lt;="&amp;DATE($I$2,N$4,N$5))</f>
        <v/>
      </c>
      <c r="O21" s="321">
        <f>SUMIFS(DATA!$M:$M,DATA!$C:$C,$B20,DATA!$N:$N,"&gt;="&amp;DATE($I$2,O$4,1),DATA!$N:$N,"&lt;="&amp;DATE($I$2,O$4,O$5))</f>
        <v/>
      </c>
      <c r="P21" s="322">
        <f>SUM(D21:O21)</f>
        <v/>
      </c>
      <c r="Q21" s="118" t="n"/>
    </row>
    <row r="22" hidden="1" outlineLevel="1" ht="17.45" customHeight="1">
      <c r="A22" s="269" t="n">
        <v>9</v>
      </c>
      <c r="B22" s="267" t="inlineStr">
        <is>
          <t>U.S. PEACE CORPS</t>
        </is>
      </c>
      <c r="C22" s="119" t="inlineStr">
        <is>
          <t>Kế hoạch</t>
        </is>
      </c>
      <c r="D22" s="321">
        <f>SUMIFS(DATA!$I:$I,DATA!$C:$C,$B22,DATA!$J:$J,"&gt;="&amp;DATE($I$2,D$4,1),DATA!$J:$J,"&lt;="&amp;DATE($I$2,D$4,D$5))</f>
        <v/>
      </c>
      <c r="E22" s="321">
        <f>SUMIFS(DATA!$I:$I,DATA!$C:$C,$B22,DATA!$J:$J,"&gt;="&amp;DATE($I$2,E$4,1),DATA!$J:$J,"&lt;="&amp;DATE($I$2,E$4,E$5))</f>
        <v/>
      </c>
      <c r="F22" s="321">
        <f>SUMIFS(DATA!$I:$I,DATA!$C:$C,$B22,DATA!$J:$J,"&gt;="&amp;DATE($I$2,F$4,1),DATA!$J:$J,"&lt;="&amp;DATE($I$2,F$4,F$5))</f>
        <v/>
      </c>
      <c r="G22" s="321">
        <f>SUMIFS(DATA!$I:$I,DATA!$C:$C,$B22,DATA!$J:$J,"&gt;="&amp;DATE($I$2,G$4,1),DATA!$J:$J,"&lt;="&amp;DATE($I$2,G$4,G$5))</f>
        <v/>
      </c>
      <c r="H22" s="321">
        <f>SUMIFS(DATA!$I:$I,DATA!$C:$C,$B22,DATA!$J:$J,"&gt;="&amp;DATE($I$2,H$4,1),DATA!$J:$J,"&lt;="&amp;DATE($I$2,H$4,H$5))</f>
        <v/>
      </c>
      <c r="I22" s="321">
        <f>SUMIFS(DATA!$I:$I,DATA!$C:$C,$B22,DATA!$J:$J,"&gt;="&amp;DATE($I$2,I$4,1),DATA!$J:$J,"&lt;="&amp;DATE($I$2,I$4,I$5))</f>
        <v/>
      </c>
      <c r="J22" s="321">
        <f>SUMIFS(DATA!$I:$I,DATA!$C:$C,$B22,DATA!$J:$J,"&gt;="&amp;DATE($I$2,J$4,1),DATA!$J:$J,"&lt;="&amp;DATE($I$2,J$4,J$5))</f>
        <v/>
      </c>
      <c r="K22" s="321">
        <f>SUMIFS(DATA!$I:$I,DATA!$C:$C,$B22,DATA!$J:$J,"&gt;="&amp;DATE($I$2,K$4,1),DATA!$J:$J,"&lt;="&amp;DATE($I$2,K$4,K$5))</f>
        <v/>
      </c>
      <c r="L22" s="321">
        <f>SUMIFS(DATA!$I:$I,DATA!$C:$C,$B22,DATA!$J:$J,"&gt;="&amp;DATE($I$2,L$4,1),DATA!$J:$J,"&lt;="&amp;DATE($I$2,L$4,L$5))</f>
        <v/>
      </c>
      <c r="M22" s="321">
        <f>SUMIFS(DATA!$I:$I,DATA!$C:$C,$B22,DATA!$J:$J,"&gt;="&amp;DATE($I$2,M$4,1),DATA!$J:$J,"&lt;="&amp;DATE($I$2,M$4,M$5))</f>
        <v/>
      </c>
      <c r="N22" s="321">
        <f>SUMIFS(DATA!$I:$I,DATA!$C:$C,$B22,DATA!$J:$J,"&gt;="&amp;DATE($I$2,N$4,1),DATA!$J:$J,"&lt;="&amp;DATE($I$2,N$4,N$5))</f>
        <v/>
      </c>
      <c r="O22" s="321">
        <f>SUMIFS(DATA!$I:$I,DATA!$C:$C,$B22,DATA!$J:$J,"&gt;="&amp;DATE($I$2,O$4,1),DATA!$J:$J,"&lt;="&amp;DATE($I$2,O$4,O$5))</f>
        <v/>
      </c>
      <c r="P22" s="322">
        <f>SUM(D22:O22)</f>
        <v/>
      </c>
      <c r="Q22" s="118" t="n"/>
    </row>
    <row r="23" hidden="1" outlineLevel="1" ht="17.45" customHeight="1">
      <c r="A23" s="266" t="n"/>
      <c r="B23" s="268" t="n"/>
      <c r="C23" s="119" t="inlineStr">
        <is>
          <t>Thực tế</t>
        </is>
      </c>
      <c r="D23" s="321">
        <f>SUMIFS(DATA!$M:$M,DATA!$C:$C,$B22,DATA!$N:$N,"&gt;="&amp;DATE($I$2,D$4,1),DATA!$N:$N,"&lt;="&amp;DATE($I$2,D$4,D$5))</f>
        <v/>
      </c>
      <c r="E23" s="321">
        <f>SUMIFS(DATA!$M:$M,DATA!$C:$C,$B22,DATA!$N:$N,"&gt;="&amp;DATE($I$2,E$4,1),DATA!$N:$N,"&lt;="&amp;DATE($I$2,E$4,E$5))</f>
        <v/>
      </c>
      <c r="F23" s="321">
        <f>SUMIFS(DATA!$M:$M,DATA!$C:$C,$B22,DATA!$N:$N,"&gt;="&amp;DATE($I$2,F$4,1),DATA!$N:$N,"&lt;="&amp;DATE($I$2,F$4,F$5))</f>
        <v/>
      </c>
      <c r="G23" s="321">
        <f>SUMIFS(DATA!$M:$M,DATA!$C:$C,$B22,DATA!$N:$N,"&gt;="&amp;DATE($I$2,G$4,1),DATA!$N:$N,"&lt;="&amp;DATE($I$2,G$4,G$5))</f>
        <v/>
      </c>
      <c r="H23" s="321">
        <f>SUMIFS(DATA!$M:$M,DATA!$C:$C,$B22,DATA!$N:$N,"&gt;="&amp;DATE($I$2,H$4,1),DATA!$N:$N,"&lt;="&amp;DATE($I$2,H$4,H$5))</f>
        <v/>
      </c>
      <c r="I23" s="321">
        <f>SUMIFS(DATA!$M:$M,DATA!$C:$C,$B22,DATA!$N:$N,"&gt;="&amp;DATE($I$2,I$4,1),DATA!$N:$N,"&lt;="&amp;DATE($I$2,I$4,I$5))</f>
        <v/>
      </c>
      <c r="J23" s="321">
        <f>SUMIFS(DATA!$M:$M,DATA!$C:$C,$B22,DATA!$N:$N,"&gt;="&amp;DATE($I$2,J$4,1),DATA!$N:$N,"&lt;="&amp;DATE($I$2,J$4,J$5))</f>
        <v/>
      </c>
      <c r="K23" s="321">
        <f>SUMIFS(DATA!$M:$M,DATA!$C:$C,$B22,DATA!$N:$N,"&gt;="&amp;DATE($I$2,K$4,1),DATA!$N:$N,"&lt;="&amp;DATE($I$2,K$4,K$5))</f>
        <v/>
      </c>
      <c r="L23" s="321">
        <f>SUMIFS(DATA!$M:$M,DATA!$C:$C,$B22,DATA!$N:$N,"&gt;="&amp;DATE($I$2,L$4,1),DATA!$N:$N,"&lt;="&amp;DATE($I$2,L$4,L$5))</f>
        <v/>
      </c>
      <c r="M23" s="321">
        <f>SUMIFS(DATA!$M:$M,DATA!$C:$C,$B22,DATA!$N:$N,"&gt;="&amp;DATE($I$2,M$4,1),DATA!$N:$N,"&lt;="&amp;DATE($I$2,M$4,M$5))</f>
        <v/>
      </c>
      <c r="N23" s="321">
        <f>SUMIFS(DATA!$M:$M,DATA!$C:$C,$B22,DATA!$N:$N,"&gt;="&amp;DATE($I$2,N$4,1),DATA!$N:$N,"&lt;="&amp;DATE($I$2,N$4,N$5))</f>
        <v/>
      </c>
      <c r="O23" s="321">
        <f>SUMIFS(DATA!$M:$M,DATA!$C:$C,$B22,DATA!$N:$N,"&gt;="&amp;DATE($I$2,O$4,1),DATA!$N:$N,"&lt;="&amp;DATE($I$2,O$4,O$5))</f>
        <v/>
      </c>
      <c r="P23" s="322">
        <f>SUM(D23:O23)</f>
        <v/>
      </c>
      <c r="Q23" s="118" t="n"/>
    </row>
    <row r="24" hidden="1" outlineLevel="1" ht="17.45" customHeight="1">
      <c r="A24" s="269" t="n">
        <v>10</v>
      </c>
      <c r="B24" s="267" t="inlineStr">
        <is>
          <t>DETECH TOWER II</t>
        </is>
      </c>
      <c r="C24" s="119" t="inlineStr">
        <is>
          <t>Kế hoạch</t>
        </is>
      </c>
      <c r="D24" s="321">
        <f>SUMIFS(DATA!$I:$I,DATA!$C:$C,$B24,DATA!$J:$J,"&gt;="&amp;DATE($I$2,D$4,1),DATA!$J:$J,"&lt;="&amp;DATE($I$2,D$4,D$5))</f>
        <v/>
      </c>
      <c r="E24" s="321">
        <f>SUMIFS(DATA!$I:$I,DATA!$C:$C,$B24,DATA!$J:$J,"&gt;="&amp;DATE($I$2,E$4,1),DATA!$J:$J,"&lt;="&amp;DATE($I$2,E$4,E$5))</f>
        <v/>
      </c>
      <c r="F24" s="321">
        <f>SUMIFS(DATA!$I:$I,DATA!$C:$C,$B24,DATA!$J:$J,"&gt;="&amp;DATE($I$2,F$4,1),DATA!$J:$J,"&lt;="&amp;DATE($I$2,F$4,F$5))</f>
        <v/>
      </c>
      <c r="G24" s="321">
        <f>SUMIFS(DATA!$I:$I,DATA!$C:$C,$B24,DATA!$J:$J,"&gt;="&amp;DATE($I$2,G$4,1),DATA!$J:$J,"&lt;="&amp;DATE($I$2,G$4,G$5))</f>
        <v/>
      </c>
      <c r="H24" s="321">
        <f>SUMIFS(DATA!$I:$I,DATA!$C:$C,$B24,DATA!$J:$J,"&gt;="&amp;DATE($I$2,H$4,1),DATA!$J:$J,"&lt;="&amp;DATE($I$2,H$4,H$5))</f>
        <v/>
      </c>
      <c r="I24" s="321">
        <f>SUMIFS(DATA!$I:$I,DATA!$C:$C,$B24,DATA!$J:$J,"&gt;="&amp;DATE($I$2,I$4,1),DATA!$J:$J,"&lt;="&amp;DATE($I$2,I$4,I$5))</f>
        <v/>
      </c>
      <c r="J24" s="321">
        <f>SUMIFS(DATA!$I:$I,DATA!$C:$C,$B24,DATA!$J:$J,"&gt;="&amp;DATE($I$2,J$4,1),DATA!$J:$J,"&lt;="&amp;DATE($I$2,J$4,J$5))</f>
        <v/>
      </c>
      <c r="K24" s="321">
        <f>SUMIFS(DATA!$I:$I,DATA!$C:$C,$B24,DATA!$J:$J,"&gt;="&amp;DATE($I$2,K$4,1),DATA!$J:$J,"&lt;="&amp;DATE($I$2,K$4,K$5))</f>
        <v/>
      </c>
      <c r="L24" s="321">
        <f>SUMIFS(DATA!$I:$I,DATA!$C:$C,$B24,DATA!$J:$J,"&gt;="&amp;DATE($I$2,L$4,1),DATA!$J:$J,"&lt;="&amp;DATE($I$2,L$4,L$5))</f>
        <v/>
      </c>
      <c r="M24" s="321">
        <f>SUMIFS(DATA!$I:$I,DATA!$C:$C,$B24,DATA!$J:$J,"&gt;="&amp;DATE($I$2,M$4,1),DATA!$J:$J,"&lt;="&amp;DATE($I$2,M$4,M$5))</f>
        <v/>
      </c>
      <c r="N24" s="321">
        <f>SUMIFS(DATA!$I:$I,DATA!$C:$C,$B24,DATA!$J:$J,"&gt;="&amp;DATE($I$2,N$4,1),DATA!$J:$J,"&lt;="&amp;DATE($I$2,N$4,N$5))</f>
        <v/>
      </c>
      <c r="O24" s="321">
        <f>SUMIFS(DATA!$I:$I,DATA!$C:$C,$B24,DATA!$J:$J,"&gt;="&amp;DATE($I$2,O$4,1),DATA!$J:$J,"&lt;="&amp;DATE($I$2,O$4,O$5))</f>
        <v/>
      </c>
      <c r="P24" s="322">
        <f>SUM(D24:O24)</f>
        <v/>
      </c>
      <c r="Q24" s="118" t="n"/>
    </row>
    <row r="25" hidden="1" outlineLevel="1" ht="17.45" customHeight="1">
      <c r="A25" s="266" t="n"/>
      <c r="B25" s="268" t="n"/>
      <c r="C25" s="119" t="inlineStr">
        <is>
          <t>Thực tế</t>
        </is>
      </c>
      <c r="D25" s="321">
        <f>SUMIFS(DATA!$M:$M,DATA!$C:$C,$B24,DATA!$N:$N,"&gt;="&amp;DATE($I$2,D$4,1),DATA!$N:$N,"&lt;="&amp;DATE($I$2,D$4,D$5))</f>
        <v/>
      </c>
      <c r="E25" s="321">
        <f>SUMIFS(DATA!$M:$M,DATA!$C:$C,$B24,DATA!$N:$N,"&gt;="&amp;DATE($I$2,E$4,1),DATA!$N:$N,"&lt;="&amp;DATE($I$2,E$4,E$5))</f>
        <v/>
      </c>
      <c r="F25" s="321">
        <f>SUMIFS(DATA!$M:$M,DATA!$C:$C,$B24,DATA!$N:$N,"&gt;="&amp;DATE($I$2,F$4,1),DATA!$N:$N,"&lt;="&amp;DATE($I$2,F$4,F$5))</f>
        <v/>
      </c>
      <c r="G25" s="321">
        <f>SUMIFS(DATA!$M:$M,DATA!$C:$C,$B24,DATA!$N:$N,"&gt;="&amp;DATE($I$2,G$4,1),DATA!$N:$N,"&lt;="&amp;DATE($I$2,G$4,G$5))</f>
        <v/>
      </c>
      <c r="H25" s="321">
        <f>SUMIFS(DATA!$M:$M,DATA!$C:$C,$B24,DATA!$N:$N,"&gt;="&amp;DATE($I$2,H$4,1),DATA!$N:$N,"&lt;="&amp;DATE($I$2,H$4,H$5))</f>
        <v/>
      </c>
      <c r="I25" s="321">
        <f>SUMIFS(DATA!$M:$M,DATA!$C:$C,$B24,DATA!$N:$N,"&gt;="&amp;DATE($I$2,I$4,1),DATA!$N:$N,"&lt;="&amp;DATE($I$2,I$4,I$5))</f>
        <v/>
      </c>
      <c r="J25" s="321">
        <f>SUMIFS(DATA!$M:$M,DATA!$C:$C,$B24,DATA!$N:$N,"&gt;="&amp;DATE($I$2,J$4,1),DATA!$N:$N,"&lt;="&amp;DATE($I$2,J$4,J$5))</f>
        <v/>
      </c>
      <c r="K25" s="321">
        <f>SUMIFS(DATA!$M:$M,DATA!$C:$C,$B24,DATA!$N:$N,"&gt;="&amp;DATE($I$2,K$4,1),DATA!$N:$N,"&lt;="&amp;DATE($I$2,K$4,K$5))</f>
        <v/>
      </c>
      <c r="L25" s="321">
        <f>SUMIFS(DATA!$M:$M,DATA!$C:$C,$B24,DATA!$N:$N,"&gt;="&amp;DATE($I$2,L$4,1),DATA!$N:$N,"&lt;="&amp;DATE($I$2,L$4,L$5))</f>
        <v/>
      </c>
      <c r="M25" s="321">
        <f>SUMIFS(DATA!$M:$M,DATA!$C:$C,$B24,DATA!$N:$N,"&gt;="&amp;DATE($I$2,M$4,1),DATA!$N:$N,"&lt;="&amp;DATE($I$2,M$4,M$5))</f>
        <v/>
      </c>
      <c r="N25" s="321">
        <f>SUMIFS(DATA!$M:$M,DATA!$C:$C,$B24,DATA!$N:$N,"&gt;="&amp;DATE($I$2,N$4,1),DATA!$N:$N,"&lt;="&amp;DATE($I$2,N$4,N$5))</f>
        <v/>
      </c>
      <c r="O25" s="321">
        <f>SUMIFS(DATA!$M:$M,DATA!$C:$C,$B24,DATA!$N:$N,"&gt;="&amp;DATE($I$2,O$4,1),DATA!$N:$N,"&lt;="&amp;DATE($I$2,O$4,O$5))</f>
        <v/>
      </c>
      <c r="P25" s="322">
        <f>SUM(D25:O25)</f>
        <v/>
      </c>
      <c r="Q25" s="118" t="n"/>
    </row>
    <row r="26" hidden="1" outlineLevel="1" ht="17.45" customHeight="1">
      <c r="A26" s="269" t="n">
        <v>11</v>
      </c>
      <c r="B26" s="267" t="inlineStr">
        <is>
          <t xml:space="preserve">WIDIA SHINKI VIETNAM </t>
        </is>
      </c>
      <c r="C26" s="119" t="inlineStr">
        <is>
          <t>Kế hoạch</t>
        </is>
      </c>
      <c r="D26" s="321">
        <f>SUMIFS(DATA!$I:$I,DATA!$C:$C,$B26,DATA!$J:$J,"&gt;="&amp;DATE($I$2,D$4,1),DATA!$J:$J,"&lt;="&amp;DATE($I$2,D$4,D$5))</f>
        <v/>
      </c>
      <c r="E26" s="321">
        <f>SUMIFS(DATA!$I:$I,DATA!$C:$C,$B26,DATA!$J:$J,"&gt;="&amp;DATE($I$2,E$4,1),DATA!$J:$J,"&lt;="&amp;DATE($I$2,E$4,E$5))</f>
        <v/>
      </c>
      <c r="F26" s="321">
        <f>SUMIFS(DATA!$I:$I,DATA!$C:$C,$B26,DATA!$J:$J,"&gt;="&amp;DATE($I$2,F$4,1),DATA!$J:$J,"&lt;="&amp;DATE($I$2,F$4,F$5))</f>
        <v/>
      </c>
      <c r="G26" s="321">
        <f>SUMIFS(DATA!$I:$I,DATA!$C:$C,$B26,DATA!$J:$J,"&gt;="&amp;DATE($I$2,G$4,1),DATA!$J:$J,"&lt;="&amp;DATE($I$2,G$4,G$5))</f>
        <v/>
      </c>
      <c r="H26" s="321">
        <f>SUMIFS(DATA!$I:$I,DATA!$C:$C,$B26,DATA!$J:$J,"&gt;="&amp;DATE($I$2,H$4,1),DATA!$J:$J,"&lt;="&amp;DATE($I$2,H$4,H$5))</f>
        <v/>
      </c>
      <c r="I26" s="321">
        <f>SUMIFS(DATA!$I:$I,DATA!$C:$C,$B26,DATA!$J:$J,"&gt;="&amp;DATE($I$2,I$4,1),DATA!$J:$J,"&lt;="&amp;DATE($I$2,I$4,I$5))</f>
        <v/>
      </c>
      <c r="J26" s="321">
        <f>SUMIFS(DATA!$I:$I,DATA!$C:$C,$B26,DATA!$J:$J,"&gt;="&amp;DATE($I$2,J$4,1),DATA!$J:$J,"&lt;="&amp;DATE($I$2,J$4,J$5))</f>
        <v/>
      </c>
      <c r="K26" s="321">
        <f>SUMIFS(DATA!$I:$I,DATA!$C:$C,$B26,DATA!$J:$J,"&gt;="&amp;DATE($I$2,K$4,1),DATA!$J:$J,"&lt;="&amp;DATE($I$2,K$4,K$5))</f>
        <v/>
      </c>
      <c r="L26" s="321">
        <f>SUMIFS(DATA!$I:$I,DATA!$C:$C,$B26,DATA!$J:$J,"&gt;="&amp;DATE($I$2,L$4,1),DATA!$J:$J,"&lt;="&amp;DATE($I$2,L$4,L$5))</f>
        <v/>
      </c>
      <c r="M26" s="321">
        <f>SUMIFS(DATA!$I:$I,DATA!$C:$C,$B26,DATA!$J:$J,"&gt;="&amp;DATE($I$2,M$4,1),DATA!$J:$J,"&lt;="&amp;DATE($I$2,M$4,M$5))</f>
        <v/>
      </c>
      <c r="N26" s="321">
        <f>SUMIFS(DATA!$I:$I,DATA!$C:$C,$B26,DATA!$J:$J,"&gt;="&amp;DATE($I$2,N$4,1),DATA!$J:$J,"&lt;="&amp;DATE($I$2,N$4,N$5))</f>
        <v/>
      </c>
      <c r="O26" s="321">
        <f>SUMIFS(DATA!$I:$I,DATA!$C:$C,$B26,DATA!$J:$J,"&gt;="&amp;DATE($I$2,O$4,1),DATA!$J:$J,"&lt;="&amp;DATE($I$2,O$4,O$5))</f>
        <v/>
      </c>
      <c r="P26" s="322">
        <f>SUM(D26:O26)</f>
        <v/>
      </c>
      <c r="Q26" s="118" t="n"/>
    </row>
    <row r="27" hidden="1" outlineLevel="1" ht="17.45" customHeight="1">
      <c r="A27" s="266" t="n"/>
      <c r="B27" s="268" t="n"/>
      <c r="C27" s="119" t="inlineStr">
        <is>
          <t>Thực tế</t>
        </is>
      </c>
      <c r="D27" s="321">
        <f>SUMIFS(DATA!$M:$M,DATA!$C:$C,$B26,DATA!$N:$N,"&gt;="&amp;DATE($I$2,D$4,1),DATA!$N:$N,"&lt;="&amp;DATE($I$2,D$4,D$5))</f>
        <v/>
      </c>
      <c r="E27" s="321">
        <f>SUMIFS(DATA!$M:$M,DATA!$C:$C,$B26,DATA!$N:$N,"&gt;="&amp;DATE($I$2,E$4,1),DATA!$N:$N,"&lt;="&amp;DATE($I$2,E$4,E$5))</f>
        <v/>
      </c>
      <c r="F27" s="321">
        <f>SUMIFS(DATA!$M:$M,DATA!$C:$C,$B26,DATA!$N:$N,"&gt;="&amp;DATE($I$2,F$4,1),DATA!$N:$N,"&lt;="&amp;DATE($I$2,F$4,F$5))</f>
        <v/>
      </c>
      <c r="G27" s="321">
        <f>SUMIFS(DATA!$M:$M,DATA!$C:$C,$B26,DATA!$N:$N,"&gt;="&amp;DATE($I$2,G$4,1),DATA!$N:$N,"&lt;="&amp;DATE($I$2,G$4,G$5))</f>
        <v/>
      </c>
      <c r="H27" s="321">
        <f>SUMIFS(DATA!$M:$M,DATA!$C:$C,$B26,DATA!$N:$N,"&gt;="&amp;DATE($I$2,H$4,1),DATA!$N:$N,"&lt;="&amp;DATE($I$2,H$4,H$5))</f>
        <v/>
      </c>
      <c r="I27" s="321">
        <f>SUMIFS(DATA!$M:$M,DATA!$C:$C,$B26,DATA!$N:$N,"&gt;="&amp;DATE($I$2,I$4,1),DATA!$N:$N,"&lt;="&amp;DATE($I$2,I$4,I$5))</f>
        <v/>
      </c>
      <c r="J27" s="321">
        <f>SUMIFS(DATA!$M:$M,DATA!$C:$C,$B26,DATA!$N:$N,"&gt;="&amp;DATE($I$2,J$4,1),DATA!$N:$N,"&lt;="&amp;DATE($I$2,J$4,J$5))</f>
        <v/>
      </c>
      <c r="K27" s="321">
        <f>SUMIFS(DATA!$M:$M,DATA!$C:$C,$B26,DATA!$N:$N,"&gt;="&amp;DATE($I$2,K$4,1),DATA!$N:$N,"&lt;="&amp;DATE($I$2,K$4,K$5))</f>
        <v/>
      </c>
      <c r="L27" s="321">
        <f>SUMIFS(DATA!$M:$M,DATA!$C:$C,$B26,DATA!$N:$N,"&gt;="&amp;DATE($I$2,L$4,1),DATA!$N:$N,"&lt;="&amp;DATE($I$2,L$4,L$5))</f>
        <v/>
      </c>
      <c r="M27" s="321">
        <f>SUMIFS(DATA!$M:$M,DATA!$C:$C,$B26,DATA!$N:$N,"&gt;="&amp;DATE($I$2,M$4,1),DATA!$N:$N,"&lt;="&amp;DATE($I$2,M$4,M$5))</f>
        <v/>
      </c>
      <c r="N27" s="321">
        <f>SUMIFS(DATA!$M:$M,DATA!$C:$C,$B26,DATA!$N:$N,"&gt;="&amp;DATE($I$2,N$4,1),DATA!$N:$N,"&lt;="&amp;DATE($I$2,N$4,N$5))</f>
        <v/>
      </c>
      <c r="O27" s="321">
        <f>SUMIFS(DATA!$M:$M,DATA!$C:$C,$B26,DATA!$N:$N,"&gt;="&amp;DATE($I$2,O$4,1),DATA!$N:$N,"&lt;="&amp;DATE($I$2,O$4,O$5))</f>
        <v/>
      </c>
      <c r="P27" s="322">
        <f>SUM(D27:O27)</f>
        <v/>
      </c>
      <c r="Q27" s="118" t="n"/>
    </row>
    <row r="28" hidden="1" outlineLevel="1" ht="17.45" customHeight="1">
      <c r="A28" s="269" t="n">
        <v>12</v>
      </c>
      <c r="B28" s="267" t="inlineStr">
        <is>
          <t>GENTHERM VIETNAM CO., LTD</t>
        </is>
      </c>
      <c r="C28" s="119" t="inlineStr">
        <is>
          <t>Kế hoạch</t>
        </is>
      </c>
      <c r="D28" s="321">
        <f>SUMIFS(DATA!$I:$I,DATA!$C:$C,$B28,DATA!$J:$J,"&gt;="&amp;DATE($I$2,D$4,1),DATA!$J:$J,"&lt;="&amp;DATE($I$2,D$4,D$5))</f>
        <v/>
      </c>
      <c r="E28" s="321">
        <f>SUMIFS(DATA!$I:$I,DATA!$C:$C,$B28,DATA!$J:$J,"&gt;="&amp;DATE($I$2,E$4,1),DATA!$J:$J,"&lt;="&amp;DATE($I$2,E$4,E$5))</f>
        <v/>
      </c>
      <c r="F28" s="321">
        <f>SUMIFS(DATA!$I:$I,DATA!$C:$C,$B28,DATA!$J:$J,"&gt;="&amp;DATE($I$2,F$4,1),DATA!$J:$J,"&lt;="&amp;DATE($I$2,F$4,F$5))</f>
        <v/>
      </c>
      <c r="G28" s="321">
        <f>SUMIFS(DATA!$I:$I,DATA!$C:$C,$B28,DATA!$J:$J,"&gt;="&amp;DATE($I$2,G$4,1),DATA!$J:$J,"&lt;="&amp;DATE($I$2,G$4,G$5))</f>
        <v/>
      </c>
      <c r="H28" s="321">
        <f>SUMIFS(DATA!$I:$I,DATA!$C:$C,$B28,DATA!$J:$J,"&gt;="&amp;DATE($I$2,H$4,1),DATA!$J:$J,"&lt;="&amp;DATE($I$2,H$4,H$5))</f>
        <v/>
      </c>
      <c r="I28" s="321">
        <f>SUMIFS(DATA!$I:$I,DATA!$C:$C,$B28,DATA!$J:$J,"&gt;="&amp;DATE($I$2,I$4,1),DATA!$J:$J,"&lt;="&amp;DATE($I$2,I$4,I$5))</f>
        <v/>
      </c>
      <c r="J28" s="321">
        <f>SUMIFS(DATA!$I:$I,DATA!$C:$C,$B28,DATA!$J:$J,"&gt;="&amp;DATE($I$2,J$4,1),DATA!$J:$J,"&lt;="&amp;DATE($I$2,J$4,J$5))</f>
        <v/>
      </c>
      <c r="K28" s="321">
        <f>SUMIFS(DATA!$I:$I,DATA!$C:$C,$B28,DATA!$J:$J,"&gt;="&amp;DATE($I$2,K$4,1),DATA!$J:$J,"&lt;="&amp;DATE($I$2,K$4,K$5))</f>
        <v/>
      </c>
      <c r="L28" s="321">
        <f>SUMIFS(DATA!$I:$I,DATA!$C:$C,$B28,DATA!$J:$J,"&gt;="&amp;DATE($I$2,L$4,1),DATA!$J:$J,"&lt;="&amp;DATE($I$2,L$4,L$5))</f>
        <v/>
      </c>
      <c r="M28" s="321">
        <f>SUMIFS(DATA!$I:$I,DATA!$C:$C,$B28,DATA!$J:$J,"&gt;="&amp;DATE($I$2,M$4,1),DATA!$J:$J,"&lt;="&amp;DATE($I$2,M$4,M$5))</f>
        <v/>
      </c>
      <c r="N28" s="321">
        <f>SUMIFS(DATA!$I:$I,DATA!$C:$C,$B28,DATA!$J:$J,"&gt;="&amp;DATE($I$2,N$4,1),DATA!$J:$J,"&lt;="&amp;DATE($I$2,N$4,N$5))</f>
        <v/>
      </c>
      <c r="O28" s="321">
        <f>SUMIFS(DATA!$I:$I,DATA!$C:$C,$B28,DATA!$J:$J,"&gt;="&amp;DATE($I$2,O$4,1),DATA!$J:$J,"&lt;="&amp;DATE($I$2,O$4,O$5))</f>
        <v/>
      </c>
      <c r="P28" s="322">
        <f>SUM(D28:O28)</f>
        <v/>
      </c>
      <c r="Q28" s="118" t="n"/>
    </row>
    <row r="29" hidden="1" outlineLevel="1" ht="17.45" customHeight="1">
      <c r="A29" s="266" t="n"/>
      <c r="B29" s="268" t="n"/>
      <c r="C29" s="119" t="inlineStr">
        <is>
          <t>Thực tế</t>
        </is>
      </c>
      <c r="D29" s="321">
        <f>SUMIFS(DATA!$M:$M,DATA!$C:$C,$B28,DATA!$N:$N,"&gt;="&amp;DATE($I$2,D$4,1),DATA!$N:$N,"&lt;="&amp;DATE($I$2,D$4,D$5))</f>
        <v/>
      </c>
      <c r="E29" s="321">
        <f>SUMIFS(DATA!$M:$M,DATA!$C:$C,$B28,DATA!$N:$N,"&gt;="&amp;DATE($I$2,E$4,1),DATA!$N:$N,"&lt;="&amp;DATE($I$2,E$4,E$5))</f>
        <v/>
      </c>
      <c r="F29" s="321">
        <f>SUMIFS(DATA!$M:$M,DATA!$C:$C,$B28,DATA!$N:$N,"&gt;="&amp;DATE($I$2,F$4,1),DATA!$N:$N,"&lt;="&amp;DATE($I$2,F$4,F$5))</f>
        <v/>
      </c>
      <c r="G29" s="321">
        <f>SUMIFS(DATA!$M:$M,DATA!$C:$C,$B28,DATA!$N:$N,"&gt;="&amp;DATE($I$2,G$4,1),DATA!$N:$N,"&lt;="&amp;DATE($I$2,G$4,G$5))</f>
        <v/>
      </c>
      <c r="H29" s="321">
        <f>SUMIFS(DATA!$M:$M,DATA!$C:$C,$B28,DATA!$N:$N,"&gt;="&amp;DATE($I$2,H$4,1),DATA!$N:$N,"&lt;="&amp;DATE($I$2,H$4,H$5))</f>
        <v/>
      </c>
      <c r="I29" s="321">
        <f>SUMIFS(DATA!$M:$M,DATA!$C:$C,$B28,DATA!$N:$N,"&gt;="&amp;DATE($I$2,I$4,1),DATA!$N:$N,"&lt;="&amp;DATE($I$2,I$4,I$5))</f>
        <v/>
      </c>
      <c r="J29" s="321">
        <f>SUMIFS(DATA!$M:$M,DATA!$C:$C,$B28,DATA!$N:$N,"&gt;="&amp;DATE($I$2,J$4,1),DATA!$N:$N,"&lt;="&amp;DATE($I$2,J$4,J$5))</f>
        <v/>
      </c>
      <c r="K29" s="321">
        <f>SUMIFS(DATA!$M:$M,DATA!$C:$C,$B28,DATA!$N:$N,"&gt;="&amp;DATE($I$2,K$4,1),DATA!$N:$N,"&lt;="&amp;DATE($I$2,K$4,K$5))</f>
        <v/>
      </c>
      <c r="L29" s="321">
        <f>SUMIFS(DATA!$M:$M,DATA!$C:$C,$B28,DATA!$N:$N,"&gt;="&amp;DATE($I$2,L$4,1),DATA!$N:$N,"&lt;="&amp;DATE($I$2,L$4,L$5))</f>
        <v/>
      </c>
      <c r="M29" s="321">
        <f>SUMIFS(DATA!$M:$M,DATA!$C:$C,$B28,DATA!$N:$N,"&gt;="&amp;DATE($I$2,M$4,1),DATA!$N:$N,"&lt;="&amp;DATE($I$2,M$4,M$5))</f>
        <v/>
      </c>
      <c r="N29" s="321">
        <f>SUMIFS(DATA!$M:$M,DATA!$C:$C,$B28,DATA!$N:$N,"&gt;="&amp;DATE($I$2,N$4,1),DATA!$N:$N,"&lt;="&amp;DATE($I$2,N$4,N$5))</f>
        <v/>
      </c>
      <c r="O29" s="321">
        <f>SUMIFS(DATA!$M:$M,DATA!$C:$C,$B28,DATA!$N:$N,"&gt;="&amp;DATE($I$2,O$4,1),DATA!$N:$N,"&lt;="&amp;DATE($I$2,O$4,O$5))</f>
        <v/>
      </c>
      <c r="P29" s="322">
        <f>SUM(D29:O29)</f>
        <v/>
      </c>
      <c r="Q29" s="118" t="n"/>
    </row>
    <row r="30" hidden="1" outlineLevel="1" ht="17.45" customHeight="1">
      <c r="A30" s="269" t="n">
        <v>13</v>
      </c>
      <c r="B30" s="267" t="inlineStr">
        <is>
          <t>FALCON VIETNAM</t>
        </is>
      </c>
      <c r="C30" s="119" t="inlineStr">
        <is>
          <t>Kế hoạch</t>
        </is>
      </c>
      <c r="D30" s="321">
        <f>SUMIFS(DATA!$I:$I,DATA!$C:$C,$B30,DATA!$J:$J,"&gt;="&amp;DATE($I$2,D$4,1),DATA!$J:$J,"&lt;="&amp;DATE($I$2,D$4,D$5))</f>
        <v/>
      </c>
      <c r="E30" s="321">
        <f>SUMIFS(DATA!$I:$I,DATA!$C:$C,$B30,DATA!$J:$J,"&gt;="&amp;DATE($I$2,E$4,1),DATA!$J:$J,"&lt;="&amp;DATE($I$2,E$4,E$5))</f>
        <v/>
      </c>
      <c r="F30" s="321">
        <f>SUMIFS(DATA!$I:$I,DATA!$C:$C,$B30,DATA!$J:$J,"&gt;="&amp;DATE($I$2,F$4,1),DATA!$J:$J,"&lt;="&amp;DATE($I$2,F$4,F$5))</f>
        <v/>
      </c>
      <c r="G30" s="321">
        <f>SUMIFS(DATA!$I:$I,DATA!$C:$C,$B30,DATA!$J:$J,"&gt;="&amp;DATE($I$2,G$4,1),DATA!$J:$J,"&lt;="&amp;DATE($I$2,G$4,G$5))</f>
        <v/>
      </c>
      <c r="H30" s="321">
        <f>SUMIFS(DATA!$I:$I,DATA!$C:$C,$B30,DATA!$J:$J,"&gt;="&amp;DATE($I$2,H$4,1),DATA!$J:$J,"&lt;="&amp;DATE($I$2,H$4,H$5))</f>
        <v/>
      </c>
      <c r="I30" s="321">
        <f>SUMIFS(DATA!$I:$I,DATA!$C:$C,$B30,DATA!$J:$J,"&gt;="&amp;DATE($I$2,I$4,1),DATA!$J:$J,"&lt;="&amp;DATE($I$2,I$4,I$5))</f>
        <v/>
      </c>
      <c r="J30" s="321">
        <f>SUMIFS(DATA!$I:$I,DATA!$C:$C,$B30,DATA!$J:$J,"&gt;="&amp;DATE($I$2,J$4,1),DATA!$J:$J,"&lt;="&amp;DATE($I$2,J$4,J$5))</f>
        <v/>
      </c>
      <c r="K30" s="321">
        <f>SUMIFS(DATA!$I:$I,DATA!$C:$C,$B30,DATA!$J:$J,"&gt;="&amp;DATE($I$2,K$4,1),DATA!$J:$J,"&lt;="&amp;DATE($I$2,K$4,K$5))</f>
        <v/>
      </c>
      <c r="L30" s="321">
        <f>SUMIFS(DATA!$I:$I,DATA!$C:$C,$B30,DATA!$J:$J,"&gt;="&amp;DATE($I$2,L$4,1),DATA!$J:$J,"&lt;="&amp;DATE($I$2,L$4,L$5))</f>
        <v/>
      </c>
      <c r="M30" s="321">
        <f>SUMIFS(DATA!$I:$I,DATA!$C:$C,$B30,DATA!$J:$J,"&gt;="&amp;DATE($I$2,M$4,1),DATA!$J:$J,"&lt;="&amp;DATE($I$2,M$4,M$5))</f>
        <v/>
      </c>
      <c r="N30" s="321">
        <f>SUMIFS(DATA!$I:$I,DATA!$C:$C,$B30,DATA!$J:$J,"&gt;="&amp;DATE($I$2,N$4,1),DATA!$J:$J,"&lt;="&amp;DATE($I$2,N$4,N$5))</f>
        <v/>
      </c>
      <c r="O30" s="321">
        <f>SUMIFS(DATA!$I:$I,DATA!$C:$C,$B30,DATA!$J:$J,"&gt;="&amp;DATE($I$2,O$4,1),DATA!$J:$J,"&lt;="&amp;DATE($I$2,O$4,O$5))</f>
        <v/>
      </c>
      <c r="P30" s="322">
        <f>SUM(D30:O30)</f>
        <v/>
      </c>
      <c r="Q30" s="118" t="n"/>
    </row>
    <row r="31" hidden="1" outlineLevel="1" ht="17.45" customHeight="1">
      <c r="A31" s="266" t="n"/>
      <c r="B31" s="268" t="n"/>
      <c r="C31" s="119" t="inlineStr">
        <is>
          <t>Thực tế</t>
        </is>
      </c>
      <c r="D31" s="321">
        <f>SUMIFS(DATA!$M:$M,DATA!$C:$C,$B30,DATA!$N:$N,"&gt;="&amp;DATE($I$2,D$4,1),DATA!$N:$N,"&lt;="&amp;DATE($I$2,D$4,D$5))</f>
        <v/>
      </c>
      <c r="E31" s="321">
        <f>SUMIFS(DATA!$M:$M,DATA!$C:$C,$B30,DATA!$N:$N,"&gt;="&amp;DATE($I$2,E$4,1),DATA!$N:$N,"&lt;="&amp;DATE($I$2,E$4,E$5))</f>
        <v/>
      </c>
      <c r="F31" s="321">
        <f>SUMIFS(DATA!$M:$M,DATA!$C:$C,$B30,DATA!$N:$N,"&gt;="&amp;DATE($I$2,F$4,1),DATA!$N:$N,"&lt;="&amp;DATE($I$2,F$4,F$5))</f>
        <v/>
      </c>
      <c r="G31" s="321">
        <f>SUMIFS(DATA!$M:$M,DATA!$C:$C,$B30,DATA!$N:$N,"&gt;="&amp;DATE($I$2,G$4,1),DATA!$N:$N,"&lt;="&amp;DATE($I$2,G$4,G$5))</f>
        <v/>
      </c>
      <c r="H31" s="321">
        <f>SUMIFS(DATA!$M:$M,DATA!$C:$C,$B30,DATA!$N:$N,"&gt;="&amp;DATE($I$2,H$4,1),DATA!$N:$N,"&lt;="&amp;DATE($I$2,H$4,H$5))</f>
        <v/>
      </c>
      <c r="I31" s="321">
        <f>SUMIFS(DATA!$M:$M,DATA!$C:$C,$B30,DATA!$N:$N,"&gt;="&amp;DATE($I$2,I$4,1),DATA!$N:$N,"&lt;="&amp;DATE($I$2,I$4,I$5))</f>
        <v/>
      </c>
      <c r="J31" s="321">
        <f>SUMIFS(DATA!$M:$M,DATA!$C:$C,$B30,DATA!$N:$N,"&gt;="&amp;DATE($I$2,J$4,1),DATA!$N:$N,"&lt;="&amp;DATE($I$2,J$4,J$5))</f>
        <v/>
      </c>
      <c r="K31" s="321">
        <f>SUMIFS(DATA!$M:$M,DATA!$C:$C,$B30,DATA!$N:$N,"&gt;="&amp;DATE($I$2,K$4,1),DATA!$N:$N,"&lt;="&amp;DATE($I$2,K$4,K$5))</f>
        <v/>
      </c>
      <c r="L31" s="321">
        <f>SUMIFS(DATA!$M:$M,DATA!$C:$C,$B30,DATA!$N:$N,"&gt;="&amp;DATE($I$2,L$4,1),DATA!$N:$N,"&lt;="&amp;DATE($I$2,L$4,L$5))</f>
        <v/>
      </c>
      <c r="M31" s="321">
        <f>SUMIFS(DATA!$M:$M,DATA!$C:$C,$B30,DATA!$N:$N,"&gt;="&amp;DATE($I$2,M$4,1),DATA!$N:$N,"&lt;="&amp;DATE($I$2,M$4,M$5))</f>
        <v/>
      </c>
      <c r="N31" s="321">
        <f>SUMIFS(DATA!$M:$M,DATA!$C:$C,$B30,DATA!$N:$N,"&gt;="&amp;DATE($I$2,N$4,1),DATA!$N:$N,"&lt;="&amp;DATE($I$2,N$4,N$5))</f>
        <v/>
      </c>
      <c r="O31" s="321">
        <f>SUMIFS(DATA!$M:$M,DATA!$C:$C,$B30,DATA!$N:$N,"&gt;="&amp;DATE($I$2,O$4,1),DATA!$N:$N,"&lt;="&amp;DATE($I$2,O$4,O$5))</f>
        <v/>
      </c>
      <c r="P31" s="322">
        <f>SUM(D31:O31)</f>
        <v/>
      </c>
      <c r="Q31" s="118" t="n"/>
    </row>
    <row r="32" hidden="1" outlineLevel="1" ht="17.45" customHeight="1">
      <c r="A32" s="269" t="n">
        <v>14</v>
      </c>
      <c r="B32" s="267" t="inlineStr">
        <is>
          <t>HORISON TOWER</t>
        </is>
      </c>
      <c r="C32" s="119" t="inlineStr">
        <is>
          <t>Kế hoạch</t>
        </is>
      </c>
      <c r="D32" s="321">
        <f>SUMIFS(DATA!$I:$I,DATA!$C:$C,$B32,DATA!$J:$J,"&gt;="&amp;DATE($I$2,D$4,1),DATA!$J:$J,"&lt;="&amp;DATE($I$2,D$4,D$5))</f>
        <v/>
      </c>
      <c r="E32" s="321">
        <f>SUMIFS(DATA!$I:$I,DATA!$C:$C,$B32,DATA!$J:$J,"&gt;="&amp;DATE($I$2,E$4,1),DATA!$J:$J,"&lt;="&amp;DATE($I$2,E$4,E$5))</f>
        <v/>
      </c>
      <c r="F32" s="321">
        <f>SUMIFS(DATA!$I:$I,DATA!$C:$C,$B32,DATA!$J:$J,"&gt;="&amp;DATE($I$2,F$4,1),DATA!$J:$J,"&lt;="&amp;DATE($I$2,F$4,F$5))</f>
        <v/>
      </c>
      <c r="G32" s="321">
        <f>SUMIFS(DATA!$I:$I,DATA!$C:$C,$B32,DATA!$J:$J,"&gt;="&amp;DATE($I$2,G$4,1),DATA!$J:$J,"&lt;="&amp;DATE($I$2,G$4,G$5))</f>
        <v/>
      </c>
      <c r="H32" s="321">
        <f>SUMIFS(DATA!$I:$I,DATA!$C:$C,$B32,DATA!$J:$J,"&gt;="&amp;DATE($I$2,H$4,1),DATA!$J:$J,"&lt;="&amp;DATE($I$2,H$4,H$5))</f>
        <v/>
      </c>
      <c r="I32" s="321">
        <f>SUMIFS(DATA!$I:$I,DATA!$C:$C,$B32,DATA!$J:$J,"&gt;="&amp;DATE($I$2,I$4,1),DATA!$J:$J,"&lt;="&amp;DATE($I$2,I$4,I$5))</f>
        <v/>
      </c>
      <c r="J32" s="321">
        <f>SUMIFS(DATA!$I:$I,DATA!$C:$C,$B32,DATA!$J:$J,"&gt;="&amp;DATE($I$2,J$4,1),DATA!$J:$J,"&lt;="&amp;DATE($I$2,J$4,J$5))</f>
        <v/>
      </c>
      <c r="K32" s="321">
        <f>SUMIFS(DATA!$I:$I,DATA!$C:$C,$B32,DATA!$J:$J,"&gt;="&amp;DATE($I$2,K$4,1),DATA!$J:$J,"&lt;="&amp;DATE($I$2,K$4,K$5))</f>
        <v/>
      </c>
      <c r="L32" s="321">
        <f>SUMIFS(DATA!$I:$I,DATA!$C:$C,$B32,DATA!$J:$J,"&gt;="&amp;DATE($I$2,L$4,1),DATA!$J:$J,"&lt;="&amp;DATE($I$2,L$4,L$5))</f>
        <v/>
      </c>
      <c r="M32" s="321">
        <f>SUMIFS(DATA!$I:$I,DATA!$C:$C,$B32,DATA!$J:$J,"&gt;="&amp;DATE($I$2,M$4,1),DATA!$J:$J,"&lt;="&amp;DATE($I$2,M$4,M$5))</f>
        <v/>
      </c>
      <c r="N32" s="321">
        <f>SUMIFS(DATA!$I:$I,DATA!$C:$C,$B32,DATA!$J:$J,"&gt;="&amp;DATE($I$2,N$4,1),DATA!$J:$J,"&lt;="&amp;DATE($I$2,N$4,N$5))</f>
        <v/>
      </c>
      <c r="O32" s="321">
        <f>SUMIFS(DATA!$I:$I,DATA!$C:$C,$B32,DATA!$J:$J,"&gt;="&amp;DATE($I$2,O$4,1),DATA!$J:$J,"&lt;="&amp;DATE($I$2,O$4,O$5))</f>
        <v/>
      </c>
      <c r="P32" s="322">
        <f>SUM(D32:O32)</f>
        <v/>
      </c>
      <c r="Q32" s="118" t="n"/>
    </row>
    <row r="33" hidden="1" outlineLevel="1" ht="17.45" customHeight="1">
      <c r="A33" s="266" t="n"/>
      <c r="B33" s="268" t="n"/>
      <c r="C33" s="119" t="inlineStr">
        <is>
          <t>Thực tế</t>
        </is>
      </c>
      <c r="D33" s="321">
        <f>SUMIFS(DATA!$M:$M,DATA!$C:$C,$B32,DATA!$N:$N,"&gt;="&amp;DATE($I$2,D$4,1),DATA!$N:$N,"&lt;="&amp;DATE($I$2,D$4,D$5))</f>
        <v/>
      </c>
      <c r="E33" s="321">
        <f>SUMIFS(DATA!$M:$M,DATA!$C:$C,$B32,DATA!$N:$N,"&gt;="&amp;DATE($I$2,E$4,1),DATA!$N:$N,"&lt;="&amp;DATE($I$2,E$4,E$5))</f>
        <v/>
      </c>
      <c r="F33" s="321">
        <f>SUMIFS(DATA!$M:$M,DATA!$C:$C,$B32,DATA!$N:$N,"&gt;="&amp;DATE($I$2,F$4,1),DATA!$N:$N,"&lt;="&amp;DATE($I$2,F$4,F$5))</f>
        <v/>
      </c>
      <c r="G33" s="321">
        <f>SUMIFS(DATA!$M:$M,DATA!$C:$C,$B32,DATA!$N:$N,"&gt;="&amp;DATE($I$2,G$4,1),DATA!$N:$N,"&lt;="&amp;DATE($I$2,G$4,G$5))</f>
        <v/>
      </c>
      <c r="H33" s="321">
        <f>SUMIFS(DATA!$M:$M,DATA!$C:$C,$B32,DATA!$N:$N,"&gt;="&amp;DATE($I$2,H$4,1),DATA!$N:$N,"&lt;="&amp;DATE($I$2,H$4,H$5))</f>
        <v/>
      </c>
      <c r="I33" s="321">
        <f>SUMIFS(DATA!$M:$M,DATA!$C:$C,$B32,DATA!$N:$N,"&gt;="&amp;DATE($I$2,I$4,1),DATA!$N:$N,"&lt;="&amp;DATE($I$2,I$4,I$5))</f>
        <v/>
      </c>
      <c r="J33" s="321">
        <f>SUMIFS(DATA!$M:$M,DATA!$C:$C,$B32,DATA!$N:$N,"&gt;="&amp;DATE($I$2,J$4,1),DATA!$N:$N,"&lt;="&amp;DATE($I$2,J$4,J$5))</f>
        <v/>
      </c>
      <c r="K33" s="321">
        <f>SUMIFS(DATA!$M:$M,DATA!$C:$C,$B32,DATA!$N:$N,"&gt;="&amp;DATE($I$2,K$4,1),DATA!$N:$N,"&lt;="&amp;DATE($I$2,K$4,K$5))</f>
        <v/>
      </c>
      <c r="L33" s="321">
        <f>SUMIFS(DATA!$M:$M,DATA!$C:$C,$B32,DATA!$N:$N,"&gt;="&amp;DATE($I$2,L$4,1),DATA!$N:$N,"&lt;="&amp;DATE($I$2,L$4,L$5))</f>
        <v/>
      </c>
      <c r="M33" s="321">
        <f>SUMIFS(DATA!$M:$M,DATA!$C:$C,$B32,DATA!$N:$N,"&gt;="&amp;DATE($I$2,M$4,1),DATA!$N:$N,"&lt;="&amp;DATE($I$2,M$4,M$5))</f>
        <v/>
      </c>
      <c r="N33" s="321">
        <f>SUMIFS(DATA!$M:$M,DATA!$C:$C,$B32,DATA!$N:$N,"&gt;="&amp;DATE($I$2,N$4,1),DATA!$N:$N,"&lt;="&amp;DATE($I$2,N$4,N$5))</f>
        <v/>
      </c>
      <c r="O33" s="321">
        <f>SUMIFS(DATA!$M:$M,DATA!$C:$C,$B32,DATA!$N:$N,"&gt;="&amp;DATE($I$2,O$4,1),DATA!$N:$N,"&lt;="&amp;DATE($I$2,O$4,O$5))</f>
        <v/>
      </c>
      <c r="P33" s="322">
        <f>SUM(D33:O33)</f>
        <v/>
      </c>
      <c r="Q33" s="118" t="n"/>
    </row>
    <row r="34" hidden="1" outlineLevel="1" ht="17.45" customHeight="1">
      <c r="A34" s="269" t="n">
        <v>15</v>
      </c>
      <c r="B34" s="267" t="inlineStr">
        <is>
          <t>EMBASSY OF FRANCE</t>
        </is>
      </c>
      <c r="C34" s="119" t="inlineStr">
        <is>
          <t>Kế hoạch</t>
        </is>
      </c>
      <c r="D34" s="321">
        <f>SUMIFS(DATA!$I:$I,DATA!$C:$C,$B34,DATA!$J:$J,"&gt;="&amp;DATE($I$2,D$4,1),DATA!$J:$J,"&lt;="&amp;DATE($I$2,D$4,D$5))</f>
        <v/>
      </c>
      <c r="E34" s="321">
        <f>SUMIFS(DATA!$I:$I,DATA!$C:$C,$B34,DATA!$J:$J,"&gt;="&amp;DATE($I$2,E$4,1),DATA!$J:$J,"&lt;="&amp;DATE($I$2,E$4,E$5))</f>
        <v/>
      </c>
      <c r="F34" s="321">
        <f>SUMIFS(DATA!$I:$I,DATA!$C:$C,$B34,DATA!$J:$J,"&gt;="&amp;DATE($I$2,F$4,1),DATA!$J:$J,"&lt;="&amp;DATE($I$2,F$4,F$5))</f>
        <v/>
      </c>
      <c r="G34" s="321">
        <f>SUMIFS(DATA!$I:$I,DATA!$C:$C,$B34,DATA!$J:$J,"&gt;="&amp;DATE($I$2,G$4,1),DATA!$J:$J,"&lt;="&amp;DATE($I$2,G$4,G$5))</f>
        <v/>
      </c>
      <c r="H34" s="321">
        <f>SUMIFS(DATA!$I:$I,DATA!$C:$C,$B34,DATA!$J:$J,"&gt;="&amp;DATE($I$2,H$4,1),DATA!$J:$J,"&lt;="&amp;DATE($I$2,H$4,H$5))</f>
        <v/>
      </c>
      <c r="I34" s="321">
        <f>SUMIFS(DATA!$I:$I,DATA!$C:$C,$B34,DATA!$J:$J,"&gt;="&amp;DATE($I$2,I$4,1),DATA!$J:$J,"&lt;="&amp;DATE($I$2,I$4,I$5))</f>
        <v/>
      </c>
      <c r="J34" s="321">
        <f>SUMIFS(DATA!$I:$I,DATA!$C:$C,$B34,DATA!$J:$J,"&gt;="&amp;DATE($I$2,J$4,1),DATA!$J:$J,"&lt;="&amp;DATE($I$2,J$4,J$5))</f>
        <v/>
      </c>
      <c r="K34" s="321">
        <f>SUMIFS(DATA!$I:$I,DATA!$C:$C,$B34,DATA!$J:$J,"&gt;="&amp;DATE($I$2,K$4,1),DATA!$J:$J,"&lt;="&amp;DATE($I$2,K$4,K$5))</f>
        <v/>
      </c>
      <c r="L34" s="321">
        <f>SUMIFS(DATA!$I:$I,DATA!$C:$C,$B34,DATA!$J:$J,"&gt;="&amp;DATE($I$2,L$4,1),DATA!$J:$J,"&lt;="&amp;DATE($I$2,L$4,L$5))</f>
        <v/>
      </c>
      <c r="M34" s="321">
        <f>SUMIFS(DATA!$I:$I,DATA!$C:$C,$B34,DATA!$J:$J,"&gt;="&amp;DATE($I$2,M$4,1),DATA!$J:$J,"&lt;="&amp;DATE($I$2,M$4,M$5))</f>
        <v/>
      </c>
      <c r="N34" s="321">
        <f>SUMIFS(DATA!$I:$I,DATA!$C:$C,$B34,DATA!$J:$J,"&gt;="&amp;DATE($I$2,N$4,1),DATA!$J:$J,"&lt;="&amp;DATE($I$2,N$4,N$5))</f>
        <v/>
      </c>
      <c r="O34" s="321">
        <f>SUMIFS(DATA!$I:$I,DATA!$C:$C,$B34,DATA!$J:$J,"&gt;="&amp;DATE($I$2,O$4,1),DATA!$J:$J,"&lt;="&amp;DATE($I$2,O$4,O$5))</f>
        <v/>
      </c>
      <c r="P34" s="322">
        <f>SUM(D34:O34)</f>
        <v/>
      </c>
      <c r="Q34" s="118" t="n"/>
    </row>
    <row r="35" hidden="1" outlineLevel="1" ht="17.45" customHeight="1">
      <c r="A35" s="266" t="n"/>
      <c r="B35" s="268" t="n"/>
      <c r="C35" s="119" t="inlineStr">
        <is>
          <t>Thực tế</t>
        </is>
      </c>
      <c r="D35" s="321">
        <f>SUMIFS(DATA!$M:$M,DATA!$C:$C,$B34,DATA!$N:$N,"&gt;="&amp;DATE($I$2,D$4,1),DATA!$N:$N,"&lt;="&amp;DATE($I$2,D$4,D$5))</f>
        <v/>
      </c>
      <c r="E35" s="321">
        <f>SUMIFS(DATA!$M:$M,DATA!$C:$C,$B34,DATA!$N:$N,"&gt;="&amp;DATE($I$2,E$4,1),DATA!$N:$N,"&lt;="&amp;DATE($I$2,E$4,E$5))</f>
        <v/>
      </c>
      <c r="F35" s="321">
        <f>SUMIFS(DATA!$M:$M,DATA!$C:$C,$B34,DATA!$N:$N,"&gt;="&amp;DATE($I$2,F$4,1),DATA!$N:$N,"&lt;="&amp;DATE($I$2,F$4,F$5))</f>
        <v/>
      </c>
      <c r="G35" s="321">
        <f>SUMIFS(DATA!$M:$M,DATA!$C:$C,$B34,DATA!$N:$N,"&gt;="&amp;DATE($I$2,G$4,1),DATA!$N:$N,"&lt;="&amp;DATE($I$2,G$4,G$5))</f>
        <v/>
      </c>
      <c r="H35" s="321">
        <f>SUMIFS(DATA!$M:$M,DATA!$C:$C,$B34,DATA!$N:$N,"&gt;="&amp;DATE($I$2,H$4,1),DATA!$N:$N,"&lt;="&amp;DATE($I$2,H$4,H$5))</f>
        <v/>
      </c>
      <c r="I35" s="321">
        <f>SUMIFS(DATA!$M:$M,DATA!$C:$C,$B34,DATA!$N:$N,"&gt;="&amp;DATE($I$2,I$4,1),DATA!$N:$N,"&lt;="&amp;DATE($I$2,I$4,I$5))</f>
        <v/>
      </c>
      <c r="J35" s="321">
        <f>SUMIFS(DATA!$M:$M,DATA!$C:$C,$B34,DATA!$N:$N,"&gt;="&amp;DATE($I$2,J$4,1),DATA!$N:$N,"&lt;="&amp;DATE($I$2,J$4,J$5))</f>
        <v/>
      </c>
      <c r="K35" s="321">
        <f>SUMIFS(DATA!$M:$M,DATA!$C:$C,$B34,DATA!$N:$N,"&gt;="&amp;DATE($I$2,K$4,1),DATA!$N:$N,"&lt;="&amp;DATE($I$2,K$4,K$5))</f>
        <v/>
      </c>
      <c r="L35" s="321">
        <f>SUMIFS(DATA!$M:$M,DATA!$C:$C,$B34,DATA!$N:$N,"&gt;="&amp;DATE($I$2,L$4,1),DATA!$N:$N,"&lt;="&amp;DATE($I$2,L$4,L$5))</f>
        <v/>
      </c>
      <c r="M35" s="321">
        <f>SUMIFS(DATA!$M:$M,DATA!$C:$C,$B34,DATA!$N:$N,"&gt;="&amp;DATE($I$2,M$4,1),DATA!$N:$N,"&lt;="&amp;DATE($I$2,M$4,M$5))</f>
        <v/>
      </c>
      <c r="N35" s="321">
        <f>SUMIFS(DATA!$M:$M,DATA!$C:$C,$B34,DATA!$N:$N,"&gt;="&amp;DATE($I$2,N$4,1),DATA!$N:$N,"&lt;="&amp;DATE($I$2,N$4,N$5))</f>
        <v/>
      </c>
      <c r="O35" s="321">
        <f>SUMIFS(DATA!$M:$M,DATA!$C:$C,$B34,DATA!$N:$N,"&gt;="&amp;DATE($I$2,O$4,1),DATA!$N:$N,"&lt;="&amp;DATE($I$2,O$4,O$5))</f>
        <v/>
      </c>
      <c r="P35" s="322">
        <f>SUM(D35:O35)</f>
        <v/>
      </c>
      <c r="Q35" s="118" t="n"/>
    </row>
    <row r="36" hidden="1" outlineLevel="1" ht="17.45" customHeight="1">
      <c r="A36" s="269" t="n">
        <v>16</v>
      </c>
      <c r="B36" s="267" t="inlineStr">
        <is>
          <t>PHC COMPLEX</t>
        </is>
      </c>
      <c r="C36" s="119" t="inlineStr">
        <is>
          <t>Kế hoạch</t>
        </is>
      </c>
      <c r="D36" s="321">
        <f>SUMIFS(DATA!$I:$I,DATA!$C:$C,$B36,DATA!$J:$J,"&gt;="&amp;DATE($I$2,D$4,1),DATA!$J:$J,"&lt;="&amp;DATE($I$2,D$4,D$5))</f>
        <v/>
      </c>
      <c r="E36" s="321">
        <f>SUMIFS(DATA!$I:$I,DATA!$C:$C,$B36,DATA!$J:$J,"&gt;="&amp;DATE($I$2,E$4,1),DATA!$J:$J,"&lt;="&amp;DATE($I$2,E$4,E$5))</f>
        <v/>
      </c>
      <c r="F36" s="321">
        <f>SUMIFS(DATA!$I:$I,DATA!$C:$C,$B36,DATA!$J:$J,"&gt;="&amp;DATE($I$2,F$4,1),DATA!$J:$J,"&lt;="&amp;DATE($I$2,F$4,F$5))</f>
        <v/>
      </c>
      <c r="G36" s="321">
        <f>SUMIFS(DATA!$I:$I,DATA!$C:$C,$B36,DATA!$J:$J,"&gt;="&amp;DATE($I$2,G$4,1),DATA!$J:$J,"&lt;="&amp;DATE($I$2,G$4,G$5))</f>
        <v/>
      </c>
      <c r="H36" s="321">
        <f>SUMIFS(DATA!$I:$I,DATA!$C:$C,$B36,DATA!$J:$J,"&gt;="&amp;DATE($I$2,H$4,1),DATA!$J:$J,"&lt;="&amp;DATE($I$2,H$4,H$5))</f>
        <v/>
      </c>
      <c r="I36" s="321">
        <f>SUMIFS(DATA!$I:$I,DATA!$C:$C,$B36,DATA!$J:$J,"&gt;="&amp;DATE($I$2,I$4,1),DATA!$J:$J,"&lt;="&amp;DATE($I$2,I$4,I$5))</f>
        <v/>
      </c>
      <c r="J36" s="321">
        <f>SUMIFS(DATA!$I:$I,DATA!$C:$C,$B36,DATA!$J:$J,"&gt;="&amp;DATE($I$2,J$4,1),DATA!$J:$J,"&lt;="&amp;DATE($I$2,J$4,J$5))</f>
        <v/>
      </c>
      <c r="K36" s="321">
        <f>SUMIFS(DATA!$I:$I,DATA!$C:$C,$B36,DATA!$J:$J,"&gt;="&amp;DATE($I$2,K$4,1),DATA!$J:$J,"&lt;="&amp;DATE($I$2,K$4,K$5))</f>
        <v/>
      </c>
      <c r="L36" s="321">
        <f>SUMIFS(DATA!$I:$I,DATA!$C:$C,$B36,DATA!$J:$J,"&gt;="&amp;DATE($I$2,L$4,1),DATA!$J:$J,"&lt;="&amp;DATE($I$2,L$4,L$5))</f>
        <v/>
      </c>
      <c r="M36" s="321">
        <f>SUMIFS(DATA!$I:$I,DATA!$C:$C,$B36,DATA!$J:$J,"&gt;="&amp;DATE($I$2,M$4,1),DATA!$J:$J,"&lt;="&amp;DATE($I$2,M$4,M$5))</f>
        <v/>
      </c>
      <c r="N36" s="321">
        <f>SUMIFS(DATA!$I:$I,DATA!$C:$C,$B36,DATA!$J:$J,"&gt;="&amp;DATE($I$2,N$4,1),DATA!$J:$J,"&lt;="&amp;DATE($I$2,N$4,N$5))</f>
        <v/>
      </c>
      <c r="O36" s="321">
        <f>SUMIFS(DATA!$I:$I,DATA!$C:$C,$B36,DATA!$J:$J,"&gt;="&amp;DATE($I$2,O$4,1),DATA!$J:$J,"&lt;="&amp;DATE($I$2,O$4,O$5))</f>
        <v/>
      </c>
      <c r="P36" s="322">
        <f>SUM(D36:O36)</f>
        <v/>
      </c>
      <c r="Q36" s="118" t="n"/>
    </row>
    <row r="37" hidden="1" outlineLevel="1" ht="17.45" customHeight="1">
      <c r="A37" s="266" t="n"/>
      <c r="B37" s="268" t="n"/>
      <c r="C37" s="119" t="inlineStr">
        <is>
          <t>Thực tế</t>
        </is>
      </c>
      <c r="D37" s="321">
        <f>SUMIFS(DATA!$M:$M,DATA!$C:$C,$B36,DATA!$N:$N,"&gt;="&amp;DATE($I$2,D$4,1),DATA!$N:$N,"&lt;="&amp;DATE($I$2,D$4,D$5))</f>
        <v/>
      </c>
      <c r="E37" s="321">
        <f>SUMIFS(DATA!$M:$M,DATA!$C:$C,$B36,DATA!$N:$N,"&gt;="&amp;DATE($I$2,E$4,1),DATA!$N:$N,"&lt;="&amp;DATE($I$2,E$4,E$5))</f>
        <v/>
      </c>
      <c r="F37" s="321">
        <f>SUMIFS(DATA!$M:$M,DATA!$C:$C,$B36,DATA!$N:$N,"&gt;="&amp;DATE($I$2,F$4,1),DATA!$N:$N,"&lt;="&amp;DATE($I$2,F$4,F$5))</f>
        <v/>
      </c>
      <c r="G37" s="321">
        <f>SUMIFS(DATA!$M:$M,DATA!$C:$C,$B36,DATA!$N:$N,"&gt;="&amp;DATE($I$2,G$4,1),DATA!$N:$N,"&lt;="&amp;DATE($I$2,G$4,G$5))</f>
        <v/>
      </c>
      <c r="H37" s="321">
        <f>SUMIFS(DATA!$M:$M,DATA!$C:$C,$B36,DATA!$N:$N,"&gt;="&amp;DATE($I$2,H$4,1),DATA!$N:$N,"&lt;="&amp;DATE($I$2,H$4,H$5))</f>
        <v/>
      </c>
      <c r="I37" s="321">
        <f>SUMIFS(DATA!$M:$M,DATA!$C:$C,$B36,DATA!$N:$N,"&gt;="&amp;DATE($I$2,I$4,1),DATA!$N:$N,"&lt;="&amp;DATE($I$2,I$4,I$5))</f>
        <v/>
      </c>
      <c r="J37" s="321">
        <f>SUMIFS(DATA!$M:$M,DATA!$C:$C,$B36,DATA!$N:$N,"&gt;="&amp;DATE($I$2,J$4,1),DATA!$N:$N,"&lt;="&amp;DATE($I$2,J$4,J$5))</f>
        <v/>
      </c>
      <c r="K37" s="321">
        <f>SUMIFS(DATA!$M:$M,DATA!$C:$C,$B36,DATA!$N:$N,"&gt;="&amp;DATE($I$2,K$4,1),DATA!$N:$N,"&lt;="&amp;DATE($I$2,K$4,K$5))</f>
        <v/>
      </c>
      <c r="L37" s="321">
        <f>SUMIFS(DATA!$M:$M,DATA!$C:$C,$B36,DATA!$N:$N,"&gt;="&amp;DATE($I$2,L$4,1),DATA!$N:$N,"&lt;="&amp;DATE($I$2,L$4,L$5))</f>
        <v/>
      </c>
      <c r="M37" s="321">
        <f>SUMIFS(DATA!$M:$M,DATA!$C:$C,$B36,DATA!$N:$N,"&gt;="&amp;DATE($I$2,M$4,1),DATA!$N:$N,"&lt;="&amp;DATE($I$2,M$4,M$5))</f>
        <v/>
      </c>
      <c r="N37" s="321">
        <f>SUMIFS(DATA!$M:$M,DATA!$C:$C,$B36,DATA!$N:$N,"&gt;="&amp;DATE($I$2,N$4,1),DATA!$N:$N,"&lt;="&amp;DATE($I$2,N$4,N$5))</f>
        <v/>
      </c>
      <c r="O37" s="321">
        <f>SUMIFS(DATA!$M:$M,DATA!$C:$C,$B36,DATA!$N:$N,"&gt;="&amp;DATE($I$2,O$4,1),DATA!$N:$N,"&lt;="&amp;DATE($I$2,O$4,O$5))</f>
        <v/>
      </c>
      <c r="P37" s="322">
        <f>SUM(D37:O37)</f>
        <v/>
      </c>
      <c r="Q37" s="118" t="n"/>
    </row>
    <row r="38" hidden="1" outlineLevel="1" ht="17.45" customHeight="1">
      <c r="A38" s="269" t="n">
        <v>17</v>
      </c>
      <c r="B38" s="267" t="inlineStr">
        <is>
          <t>FSOFT - DUY TÂN</t>
        </is>
      </c>
      <c r="C38" s="119" t="inlineStr">
        <is>
          <t>Kế hoạch</t>
        </is>
      </c>
      <c r="D38" s="321">
        <f>SUMIFS(DATA!$I:$I,DATA!$C:$C,$B38,DATA!$J:$J,"&gt;="&amp;DATE($I$2,D$4,1),DATA!$J:$J,"&lt;="&amp;DATE($I$2,D$4,D$5))</f>
        <v/>
      </c>
      <c r="E38" s="321">
        <f>SUMIFS(DATA!$I:$I,DATA!$C:$C,$B38,DATA!$J:$J,"&gt;="&amp;DATE($I$2,E$4,1),DATA!$J:$J,"&lt;="&amp;DATE($I$2,E$4,E$5))</f>
        <v/>
      </c>
      <c r="F38" s="321">
        <f>SUMIFS(DATA!$I:$I,DATA!$C:$C,$B38,DATA!$J:$J,"&gt;="&amp;DATE($I$2,F$4,1),DATA!$J:$J,"&lt;="&amp;DATE($I$2,F$4,F$5))</f>
        <v/>
      </c>
      <c r="G38" s="321">
        <f>SUMIFS(DATA!$I:$I,DATA!$C:$C,$B38,DATA!$J:$J,"&gt;="&amp;DATE($I$2,G$4,1),DATA!$J:$J,"&lt;="&amp;DATE($I$2,G$4,G$5))</f>
        <v/>
      </c>
      <c r="H38" s="321">
        <f>SUMIFS(DATA!$I:$I,DATA!$C:$C,$B38,DATA!$J:$J,"&gt;="&amp;DATE($I$2,H$4,1),DATA!$J:$J,"&lt;="&amp;DATE($I$2,H$4,H$5))</f>
        <v/>
      </c>
      <c r="I38" s="321">
        <f>SUMIFS(DATA!$I:$I,DATA!$C:$C,$B38,DATA!$J:$J,"&gt;="&amp;DATE($I$2,I$4,1),DATA!$J:$J,"&lt;="&amp;DATE($I$2,I$4,I$5))</f>
        <v/>
      </c>
      <c r="J38" s="321">
        <f>SUMIFS(DATA!$I:$I,DATA!$C:$C,$B38,DATA!$J:$J,"&gt;="&amp;DATE($I$2,J$4,1),DATA!$J:$J,"&lt;="&amp;DATE($I$2,J$4,J$5))</f>
        <v/>
      </c>
      <c r="K38" s="321">
        <f>SUMIFS(DATA!$I:$I,DATA!$C:$C,$B38,DATA!$J:$J,"&gt;="&amp;DATE($I$2,K$4,1),DATA!$J:$J,"&lt;="&amp;DATE($I$2,K$4,K$5))</f>
        <v/>
      </c>
      <c r="L38" s="321">
        <f>SUMIFS(DATA!$I:$I,DATA!$C:$C,$B38,DATA!$J:$J,"&gt;="&amp;DATE($I$2,L$4,1),DATA!$J:$J,"&lt;="&amp;DATE($I$2,L$4,L$5))</f>
        <v/>
      </c>
      <c r="M38" s="321">
        <f>SUMIFS(DATA!$I:$I,DATA!$C:$C,$B38,DATA!$J:$J,"&gt;="&amp;DATE($I$2,M$4,1),DATA!$J:$J,"&lt;="&amp;DATE($I$2,M$4,M$5))</f>
        <v/>
      </c>
      <c r="N38" s="321">
        <f>SUMIFS(DATA!$I:$I,DATA!$C:$C,$B38,DATA!$J:$J,"&gt;="&amp;DATE($I$2,N$4,1),DATA!$J:$J,"&lt;="&amp;DATE($I$2,N$4,N$5))</f>
        <v/>
      </c>
      <c r="O38" s="321">
        <f>SUMIFS(DATA!$I:$I,DATA!$C:$C,$B38,DATA!$J:$J,"&gt;="&amp;DATE($I$2,O$4,1),DATA!$J:$J,"&lt;="&amp;DATE($I$2,O$4,O$5))</f>
        <v/>
      </c>
      <c r="P38" s="322">
        <f>SUM(D38:O38)</f>
        <v/>
      </c>
      <c r="Q38" s="118" t="n"/>
    </row>
    <row r="39" hidden="1" outlineLevel="1" ht="17.45" customHeight="1">
      <c r="A39" s="266" t="n"/>
      <c r="B39" s="268" t="n"/>
      <c r="C39" s="119" t="inlineStr">
        <is>
          <t>Thực tế</t>
        </is>
      </c>
      <c r="D39" s="321">
        <f>SUMIFS(DATA!$M:$M,DATA!$C:$C,$B38,DATA!$N:$N,"&gt;="&amp;DATE($I$2,D$4,1),DATA!$N:$N,"&lt;="&amp;DATE($I$2,D$4,D$5))</f>
        <v/>
      </c>
      <c r="E39" s="321">
        <f>SUMIFS(DATA!$M:$M,DATA!$C:$C,$B38,DATA!$N:$N,"&gt;="&amp;DATE($I$2,E$4,1),DATA!$N:$N,"&lt;="&amp;DATE($I$2,E$4,E$5))</f>
        <v/>
      </c>
      <c r="F39" s="321">
        <f>SUMIFS(DATA!$M:$M,DATA!$C:$C,$B38,DATA!$N:$N,"&gt;="&amp;DATE($I$2,F$4,1),DATA!$N:$N,"&lt;="&amp;DATE($I$2,F$4,F$5))</f>
        <v/>
      </c>
      <c r="G39" s="321">
        <f>SUMIFS(DATA!$M:$M,DATA!$C:$C,$B38,DATA!$N:$N,"&gt;="&amp;DATE($I$2,G$4,1),DATA!$N:$N,"&lt;="&amp;DATE($I$2,G$4,G$5))</f>
        <v/>
      </c>
      <c r="H39" s="321">
        <f>SUMIFS(DATA!$M:$M,DATA!$C:$C,$B38,DATA!$N:$N,"&gt;="&amp;DATE($I$2,H$4,1),DATA!$N:$N,"&lt;="&amp;DATE($I$2,H$4,H$5))</f>
        <v/>
      </c>
      <c r="I39" s="321">
        <f>SUMIFS(DATA!$M:$M,DATA!$C:$C,$B38,DATA!$N:$N,"&gt;="&amp;DATE($I$2,I$4,1),DATA!$N:$N,"&lt;="&amp;DATE($I$2,I$4,I$5))</f>
        <v/>
      </c>
      <c r="J39" s="321">
        <f>SUMIFS(DATA!$M:$M,DATA!$C:$C,$B38,DATA!$N:$N,"&gt;="&amp;DATE($I$2,J$4,1),DATA!$N:$N,"&lt;="&amp;DATE($I$2,J$4,J$5))</f>
        <v/>
      </c>
      <c r="K39" s="321">
        <f>SUMIFS(DATA!$M:$M,DATA!$C:$C,$B38,DATA!$N:$N,"&gt;="&amp;DATE($I$2,K$4,1),DATA!$N:$N,"&lt;="&amp;DATE($I$2,K$4,K$5))</f>
        <v/>
      </c>
      <c r="L39" s="321">
        <f>SUMIFS(DATA!$M:$M,DATA!$C:$C,$B38,DATA!$N:$N,"&gt;="&amp;DATE($I$2,L$4,1),DATA!$N:$N,"&lt;="&amp;DATE($I$2,L$4,L$5))</f>
        <v/>
      </c>
      <c r="M39" s="321">
        <f>SUMIFS(DATA!$M:$M,DATA!$C:$C,$B38,DATA!$N:$N,"&gt;="&amp;DATE($I$2,M$4,1),DATA!$N:$N,"&lt;="&amp;DATE($I$2,M$4,M$5))</f>
        <v/>
      </c>
      <c r="N39" s="321">
        <f>SUMIFS(DATA!$M:$M,DATA!$C:$C,$B38,DATA!$N:$N,"&gt;="&amp;DATE($I$2,N$4,1),DATA!$N:$N,"&lt;="&amp;DATE($I$2,N$4,N$5))</f>
        <v/>
      </c>
      <c r="O39" s="321">
        <f>SUMIFS(DATA!$M:$M,DATA!$C:$C,$B38,DATA!$N:$N,"&gt;="&amp;DATE($I$2,O$4,1),DATA!$N:$N,"&lt;="&amp;DATE($I$2,O$4,O$5))</f>
        <v/>
      </c>
      <c r="P39" s="322">
        <f>SUM(D39:O39)</f>
        <v/>
      </c>
      <c r="Q39" s="118" t="n"/>
    </row>
    <row r="40" hidden="1" outlineLevel="1" ht="21" customHeight="1">
      <c r="A40" s="269" t="n">
        <v>18</v>
      </c>
      <c r="B40" s="267" t="inlineStr">
        <is>
          <t>US EMBASSY HANOI</t>
        </is>
      </c>
      <c r="C40" s="119" t="inlineStr">
        <is>
          <t>Kế hoạch</t>
        </is>
      </c>
      <c r="D40" s="321">
        <f>SUMIFS(DATA!$I:$I,DATA!$C:$C,$B40,DATA!$J:$J,"&gt;="&amp;DATE($I$2,D$4,1),DATA!$J:$J,"&lt;="&amp;DATE($I$2,D$4,D$5))</f>
        <v/>
      </c>
      <c r="E40" s="321">
        <f>SUMIFS(DATA!$I:$I,DATA!$C:$C,$B40,DATA!$J:$J,"&gt;="&amp;DATE($I$2,E$4,1),DATA!$J:$J,"&lt;="&amp;DATE($I$2,E$4,E$5))</f>
        <v/>
      </c>
      <c r="F40" s="321">
        <f>SUMIFS(DATA!$I:$I,DATA!$C:$C,$B40,DATA!$J:$J,"&gt;="&amp;DATE($I$2,F$4,1),DATA!$J:$J,"&lt;="&amp;DATE($I$2,F$4,F$5))</f>
        <v/>
      </c>
      <c r="G40" s="321">
        <f>SUMIFS(DATA!$I:$I,DATA!$C:$C,$B40,DATA!$J:$J,"&gt;="&amp;DATE($I$2,G$4,1),DATA!$J:$J,"&lt;="&amp;DATE($I$2,G$4,G$5))</f>
        <v/>
      </c>
      <c r="H40" s="321">
        <f>SUMIFS(DATA!$I:$I,DATA!$C:$C,$B40,DATA!$J:$J,"&gt;="&amp;DATE($I$2,H$4,1),DATA!$J:$J,"&lt;="&amp;DATE($I$2,H$4,H$5))</f>
        <v/>
      </c>
      <c r="I40" s="321">
        <f>SUMIFS(DATA!$I:$I,DATA!$C:$C,$B40,DATA!$J:$J,"&gt;="&amp;DATE($I$2,I$4,1),DATA!$J:$J,"&lt;="&amp;DATE($I$2,I$4,I$5))</f>
        <v/>
      </c>
      <c r="J40" s="321">
        <f>SUMIFS(DATA!$I:$I,DATA!$C:$C,$B40,DATA!$J:$J,"&gt;="&amp;DATE($I$2,J$4,1),DATA!$J:$J,"&lt;="&amp;DATE($I$2,J$4,J$5))</f>
        <v/>
      </c>
      <c r="K40" s="321">
        <f>SUMIFS(DATA!$I:$I,DATA!$C:$C,$B40,DATA!$J:$J,"&gt;="&amp;DATE($I$2,K$4,1),DATA!$J:$J,"&lt;="&amp;DATE($I$2,K$4,K$5))</f>
        <v/>
      </c>
      <c r="L40" s="321">
        <f>SUMIFS(DATA!$I:$I,DATA!$C:$C,$B40,DATA!$J:$J,"&gt;="&amp;DATE($I$2,L$4,1),DATA!$J:$J,"&lt;="&amp;DATE($I$2,L$4,L$5))</f>
        <v/>
      </c>
      <c r="M40" s="321">
        <f>SUMIFS(DATA!$I:$I,DATA!$C:$C,$B40,DATA!$J:$J,"&gt;="&amp;DATE($I$2,M$4,1),DATA!$J:$J,"&lt;="&amp;DATE($I$2,M$4,M$5))</f>
        <v/>
      </c>
      <c r="N40" s="321">
        <f>SUMIFS(DATA!$I:$I,DATA!$C:$C,$B40,DATA!$J:$J,"&gt;="&amp;DATE($I$2,N$4,1),DATA!$J:$J,"&lt;="&amp;DATE($I$2,N$4,N$5))</f>
        <v/>
      </c>
      <c r="O40" s="321">
        <f>SUMIFS(DATA!$I:$I,DATA!$C:$C,$B40,DATA!$J:$J,"&gt;="&amp;DATE($I$2,O$4,1),DATA!$J:$J,"&lt;="&amp;DATE($I$2,O$4,O$5))</f>
        <v/>
      </c>
      <c r="P40" s="322">
        <f>SUM(D40:O40)</f>
        <v/>
      </c>
      <c r="Q40" s="118" t="n"/>
    </row>
    <row r="41" hidden="1" outlineLevel="1" ht="21" customHeight="1">
      <c r="A41" s="266" t="n"/>
      <c r="B41" s="268" t="n"/>
      <c r="C41" s="119" t="inlineStr">
        <is>
          <t>Thực tế</t>
        </is>
      </c>
      <c r="D41" s="321">
        <f>SUMIFS(DATA!$M:$M,DATA!$C:$C,$B40,DATA!$N:$N,"&gt;="&amp;DATE($I$2,D$4,1),DATA!$N:$N,"&lt;="&amp;DATE($I$2,D$4,D$5))</f>
        <v/>
      </c>
      <c r="E41" s="321">
        <f>SUMIFS(DATA!$M:$M,DATA!$C:$C,$B40,DATA!$N:$N,"&gt;="&amp;DATE($I$2,E$4,1),DATA!$N:$N,"&lt;="&amp;DATE($I$2,E$4,E$5))</f>
        <v/>
      </c>
      <c r="F41" s="321">
        <f>SUMIFS(DATA!$M:$M,DATA!$C:$C,$B40,DATA!$N:$N,"&gt;="&amp;DATE($I$2,F$4,1),DATA!$N:$N,"&lt;="&amp;DATE($I$2,F$4,F$5))</f>
        <v/>
      </c>
      <c r="G41" s="321">
        <f>SUMIFS(DATA!$M:$M,DATA!$C:$C,$B40,DATA!$N:$N,"&gt;="&amp;DATE($I$2,G$4,1),DATA!$N:$N,"&lt;="&amp;DATE($I$2,G$4,G$5))</f>
        <v/>
      </c>
      <c r="H41" s="321">
        <f>SUMIFS(DATA!$M:$M,DATA!$C:$C,$B40,DATA!$N:$N,"&gt;="&amp;DATE($I$2,H$4,1),DATA!$N:$N,"&lt;="&amp;DATE($I$2,H$4,H$5))</f>
        <v/>
      </c>
      <c r="I41" s="321">
        <f>SUMIFS(DATA!$M:$M,DATA!$C:$C,$B40,DATA!$N:$N,"&gt;="&amp;DATE($I$2,I$4,1),DATA!$N:$N,"&lt;="&amp;DATE($I$2,I$4,I$5))</f>
        <v/>
      </c>
      <c r="J41" s="321">
        <f>SUMIFS(DATA!$M:$M,DATA!$C:$C,$B40,DATA!$N:$N,"&gt;="&amp;DATE($I$2,J$4,1),DATA!$N:$N,"&lt;="&amp;DATE($I$2,J$4,J$5))</f>
        <v/>
      </c>
      <c r="K41" s="321">
        <f>SUMIFS(DATA!$M:$M,DATA!$C:$C,$B40,DATA!$N:$N,"&gt;="&amp;DATE($I$2,K$4,1),DATA!$N:$N,"&lt;="&amp;DATE($I$2,K$4,K$5))</f>
        <v/>
      </c>
      <c r="L41" s="321">
        <f>SUMIFS(DATA!$M:$M,DATA!$C:$C,$B40,DATA!$N:$N,"&gt;="&amp;DATE($I$2,L$4,1),DATA!$N:$N,"&lt;="&amp;DATE($I$2,L$4,L$5))</f>
        <v/>
      </c>
      <c r="M41" s="321">
        <f>SUMIFS(DATA!$M:$M,DATA!$C:$C,$B40,DATA!$N:$N,"&gt;="&amp;DATE($I$2,M$4,1),DATA!$N:$N,"&lt;="&amp;DATE($I$2,M$4,M$5))</f>
        <v/>
      </c>
      <c r="N41" s="321">
        <f>SUMIFS(DATA!$M:$M,DATA!$C:$C,$B40,DATA!$N:$N,"&gt;="&amp;DATE($I$2,N$4,1),DATA!$N:$N,"&lt;="&amp;DATE($I$2,N$4,N$5))</f>
        <v/>
      </c>
      <c r="O41" s="321">
        <f>SUMIFS(DATA!$M:$M,DATA!$C:$C,$B40,DATA!$N:$N,"&gt;="&amp;DATE($I$2,O$4,1),DATA!$N:$N,"&lt;="&amp;DATE($I$2,O$4,O$5))</f>
        <v/>
      </c>
      <c r="P41" s="322">
        <f>SUM(D41:O41)</f>
        <v/>
      </c>
      <c r="Q41" s="118" t="n"/>
    </row>
    <row r="42" hidden="1" outlineLevel="1" ht="17.45" customHeight="1">
      <c r="A42" s="269" t="n">
        <v>19</v>
      </c>
      <c r="B42" s="267" t="inlineStr">
        <is>
          <t>FIVE STAR GARDEN</t>
        </is>
      </c>
      <c r="C42" s="119" t="inlineStr">
        <is>
          <t>Kế hoạch</t>
        </is>
      </c>
      <c r="D42" s="321">
        <f>SUMIFS(DATA!$I:$I,DATA!$C:$C,$B42,DATA!$J:$J,"&gt;="&amp;DATE($I$2,D$4,1),DATA!$J:$J,"&lt;="&amp;DATE($I$2,D$4,D$5))</f>
        <v/>
      </c>
      <c r="E42" s="321">
        <f>SUMIFS(DATA!$I:$I,DATA!$C:$C,$B42,DATA!$J:$J,"&gt;="&amp;DATE($I$2,E$4,1),DATA!$J:$J,"&lt;="&amp;DATE($I$2,E$4,E$5))</f>
        <v/>
      </c>
      <c r="F42" s="321">
        <f>SUMIFS(DATA!$I:$I,DATA!$C:$C,$B42,DATA!$J:$J,"&gt;="&amp;DATE($I$2,F$4,1),DATA!$J:$J,"&lt;="&amp;DATE($I$2,F$4,F$5))</f>
        <v/>
      </c>
      <c r="G42" s="321">
        <f>SUMIFS(DATA!$I:$I,DATA!$C:$C,$B42,DATA!$J:$J,"&gt;="&amp;DATE($I$2,G$4,1),DATA!$J:$J,"&lt;="&amp;DATE($I$2,G$4,G$5))</f>
        <v/>
      </c>
      <c r="H42" s="321">
        <f>SUMIFS(DATA!$I:$I,DATA!$C:$C,$B42,DATA!$J:$J,"&gt;="&amp;DATE($I$2,H$4,1),DATA!$J:$J,"&lt;="&amp;DATE($I$2,H$4,H$5))</f>
        <v/>
      </c>
      <c r="I42" s="321">
        <f>SUMIFS(DATA!$I:$I,DATA!$C:$C,$B42,DATA!$J:$J,"&gt;="&amp;DATE($I$2,I$4,1),DATA!$J:$J,"&lt;="&amp;DATE($I$2,I$4,I$5))</f>
        <v/>
      </c>
      <c r="J42" s="321">
        <f>SUMIFS(DATA!$I:$I,DATA!$C:$C,$B42,DATA!$J:$J,"&gt;="&amp;DATE($I$2,J$4,1),DATA!$J:$J,"&lt;="&amp;DATE($I$2,J$4,J$5))</f>
        <v/>
      </c>
      <c r="K42" s="321">
        <f>SUMIFS(DATA!$I:$I,DATA!$C:$C,$B42,DATA!$J:$J,"&gt;="&amp;DATE($I$2,K$4,1),DATA!$J:$J,"&lt;="&amp;DATE($I$2,K$4,K$5))</f>
        <v/>
      </c>
      <c r="L42" s="321">
        <f>SUMIFS(DATA!$I:$I,DATA!$C:$C,$B42,DATA!$J:$J,"&gt;="&amp;DATE($I$2,L$4,1),DATA!$J:$J,"&lt;="&amp;DATE($I$2,L$4,L$5))</f>
        <v/>
      </c>
      <c r="M42" s="321">
        <f>SUMIFS(DATA!$I:$I,DATA!$C:$C,$B42,DATA!$J:$J,"&gt;="&amp;DATE($I$2,M$4,1),DATA!$J:$J,"&lt;="&amp;DATE($I$2,M$4,M$5))</f>
        <v/>
      </c>
      <c r="N42" s="321">
        <f>SUMIFS(DATA!$I:$I,DATA!$C:$C,$B42,DATA!$J:$J,"&gt;="&amp;DATE($I$2,N$4,1),DATA!$J:$J,"&lt;="&amp;DATE($I$2,N$4,N$5))</f>
        <v/>
      </c>
      <c r="O42" s="321">
        <f>SUMIFS(DATA!$I:$I,DATA!$C:$C,$B42,DATA!$J:$J,"&gt;="&amp;DATE($I$2,O$4,1),DATA!$J:$J,"&lt;="&amp;DATE($I$2,O$4,O$5))</f>
        <v/>
      </c>
      <c r="P42" s="322">
        <f>SUM(D42:O42)</f>
        <v/>
      </c>
      <c r="Q42" s="118" t="n"/>
    </row>
    <row r="43" hidden="1" outlineLevel="1" ht="17.45" customHeight="1">
      <c r="A43" s="266" t="n"/>
      <c r="B43" s="268" t="n"/>
      <c r="C43" s="119" t="inlineStr">
        <is>
          <t>Thực tế</t>
        </is>
      </c>
      <c r="D43" s="321">
        <f>SUMIFS(DATA!$M:$M,DATA!$C:$C,$B42,DATA!$N:$N,"&gt;="&amp;DATE($I$2,D$4,1),DATA!$N:$N,"&lt;="&amp;DATE($I$2,D$4,D$5))</f>
        <v/>
      </c>
      <c r="E43" s="321">
        <f>SUMIFS(DATA!$M:$M,DATA!$C:$C,$B42,DATA!$N:$N,"&gt;="&amp;DATE($I$2,E$4,1),DATA!$N:$N,"&lt;="&amp;DATE($I$2,E$4,E$5))</f>
        <v/>
      </c>
      <c r="F43" s="321">
        <f>SUMIFS(DATA!$M:$M,DATA!$C:$C,$B42,DATA!$N:$N,"&gt;="&amp;DATE($I$2,F$4,1),DATA!$N:$N,"&lt;="&amp;DATE($I$2,F$4,F$5))</f>
        <v/>
      </c>
      <c r="G43" s="321">
        <f>SUMIFS(DATA!$M:$M,DATA!$C:$C,$B42,DATA!$N:$N,"&gt;="&amp;DATE($I$2,G$4,1),DATA!$N:$N,"&lt;="&amp;DATE($I$2,G$4,G$5))</f>
        <v/>
      </c>
      <c r="H43" s="321">
        <f>SUMIFS(DATA!$M:$M,DATA!$C:$C,$B42,DATA!$N:$N,"&gt;="&amp;DATE($I$2,H$4,1),DATA!$N:$N,"&lt;="&amp;DATE($I$2,H$4,H$5))</f>
        <v/>
      </c>
      <c r="I43" s="321">
        <f>SUMIFS(DATA!$M:$M,DATA!$C:$C,$B42,DATA!$N:$N,"&gt;="&amp;DATE($I$2,I$4,1),DATA!$N:$N,"&lt;="&amp;DATE($I$2,I$4,I$5))</f>
        <v/>
      </c>
      <c r="J43" s="321">
        <f>SUMIFS(DATA!$M:$M,DATA!$C:$C,$B42,DATA!$N:$N,"&gt;="&amp;DATE($I$2,J$4,1),DATA!$N:$N,"&lt;="&amp;DATE($I$2,J$4,J$5))</f>
        <v/>
      </c>
      <c r="K43" s="321">
        <f>SUMIFS(DATA!$M:$M,DATA!$C:$C,$B42,DATA!$N:$N,"&gt;="&amp;DATE($I$2,K$4,1),DATA!$N:$N,"&lt;="&amp;DATE($I$2,K$4,K$5))</f>
        <v/>
      </c>
      <c r="L43" s="321">
        <f>SUMIFS(DATA!$M:$M,DATA!$C:$C,$B42,DATA!$N:$N,"&gt;="&amp;DATE($I$2,L$4,1),DATA!$N:$N,"&lt;="&amp;DATE($I$2,L$4,L$5))</f>
        <v/>
      </c>
      <c r="M43" s="321">
        <f>SUMIFS(DATA!$M:$M,DATA!$C:$C,$B42,DATA!$N:$N,"&gt;="&amp;DATE($I$2,M$4,1),DATA!$N:$N,"&lt;="&amp;DATE($I$2,M$4,M$5))</f>
        <v/>
      </c>
      <c r="N43" s="321">
        <f>SUMIFS(DATA!$M:$M,DATA!$C:$C,$B42,DATA!$N:$N,"&gt;="&amp;DATE($I$2,N$4,1),DATA!$N:$N,"&lt;="&amp;DATE($I$2,N$4,N$5))</f>
        <v/>
      </c>
      <c r="O43" s="321">
        <f>SUMIFS(DATA!$M:$M,DATA!$C:$C,$B42,DATA!$N:$N,"&gt;="&amp;DATE($I$2,O$4,1),DATA!$N:$N,"&lt;="&amp;DATE($I$2,O$4,O$5))</f>
        <v/>
      </c>
      <c r="P43" s="322">
        <f>SUM(D43:O43)</f>
        <v/>
      </c>
      <c r="Q43" s="118" t="n"/>
    </row>
    <row r="44" hidden="1" outlineLevel="1" ht="17.45" customHeight="1">
      <c r="A44" s="269" t="n">
        <v>20</v>
      </c>
      <c r="B44" s="267" t="inlineStr">
        <is>
          <t>EMBASSY OF CANADA</t>
        </is>
      </c>
      <c r="C44" s="119" t="inlineStr">
        <is>
          <t>Kế hoạch</t>
        </is>
      </c>
      <c r="D44" s="321">
        <f>SUMIFS(DATA!$I:$I,DATA!$C:$C,$B44,DATA!$J:$J,"&gt;="&amp;DATE($I$2,D$4,1),DATA!$J:$J,"&lt;="&amp;DATE($I$2,D$4,D$5))</f>
        <v/>
      </c>
      <c r="E44" s="321">
        <f>SUMIFS(DATA!$I:$I,DATA!$C:$C,$B44,DATA!$J:$J,"&gt;="&amp;DATE($I$2,E$4,1),DATA!$J:$J,"&lt;="&amp;DATE($I$2,E$4,E$5))</f>
        <v/>
      </c>
      <c r="F44" s="321">
        <f>SUMIFS(DATA!$I:$I,DATA!$C:$C,$B44,DATA!$J:$J,"&gt;="&amp;DATE($I$2,F$4,1),DATA!$J:$J,"&lt;="&amp;DATE($I$2,F$4,F$5))</f>
        <v/>
      </c>
      <c r="G44" s="321">
        <f>SUMIFS(DATA!$I:$I,DATA!$C:$C,$B44,DATA!$J:$J,"&gt;="&amp;DATE($I$2,G$4,1),DATA!$J:$J,"&lt;="&amp;DATE($I$2,G$4,G$5))</f>
        <v/>
      </c>
      <c r="H44" s="321">
        <f>SUMIFS(DATA!$I:$I,DATA!$C:$C,$B44,DATA!$J:$J,"&gt;="&amp;DATE($I$2,H$4,1),DATA!$J:$J,"&lt;="&amp;DATE($I$2,H$4,H$5))</f>
        <v/>
      </c>
      <c r="I44" s="321">
        <f>SUMIFS(DATA!$I:$I,DATA!$C:$C,$B44,DATA!$J:$J,"&gt;="&amp;DATE($I$2,I$4,1),DATA!$J:$J,"&lt;="&amp;DATE($I$2,I$4,I$5))</f>
        <v/>
      </c>
      <c r="J44" s="321">
        <f>SUMIFS(DATA!$I:$I,DATA!$C:$C,$B44,DATA!$J:$J,"&gt;="&amp;DATE($I$2,J$4,1),DATA!$J:$J,"&lt;="&amp;DATE($I$2,J$4,J$5))</f>
        <v/>
      </c>
      <c r="K44" s="321">
        <f>SUMIFS(DATA!$I:$I,DATA!$C:$C,$B44,DATA!$J:$J,"&gt;="&amp;DATE($I$2,K$4,1),DATA!$J:$J,"&lt;="&amp;DATE($I$2,K$4,K$5))</f>
        <v/>
      </c>
      <c r="L44" s="321">
        <f>SUMIFS(DATA!$I:$I,DATA!$C:$C,$B44,DATA!$J:$J,"&gt;="&amp;DATE($I$2,L$4,1),DATA!$J:$J,"&lt;="&amp;DATE($I$2,L$4,L$5))</f>
        <v/>
      </c>
      <c r="M44" s="321">
        <f>SUMIFS(DATA!$I:$I,DATA!$C:$C,$B44,DATA!$J:$J,"&gt;="&amp;DATE($I$2,M$4,1),DATA!$J:$J,"&lt;="&amp;DATE($I$2,M$4,M$5))</f>
        <v/>
      </c>
      <c r="N44" s="321">
        <f>SUMIFS(DATA!$I:$I,DATA!$C:$C,$B44,DATA!$J:$J,"&gt;="&amp;DATE($I$2,N$4,1),DATA!$J:$J,"&lt;="&amp;DATE($I$2,N$4,N$5))</f>
        <v/>
      </c>
      <c r="O44" s="321">
        <f>SUMIFS(DATA!$I:$I,DATA!$C:$C,$B44,DATA!$J:$J,"&gt;="&amp;DATE($I$2,O$4,1),DATA!$J:$J,"&lt;="&amp;DATE($I$2,O$4,O$5))</f>
        <v/>
      </c>
      <c r="P44" s="322">
        <f>SUM(D44:O44)</f>
        <v/>
      </c>
      <c r="Q44" s="118" t="n"/>
    </row>
    <row r="45" hidden="1" outlineLevel="1" ht="17.45" customHeight="1">
      <c r="A45" s="266" t="n"/>
      <c r="B45" s="268" t="n"/>
      <c r="C45" s="119" t="inlineStr">
        <is>
          <t>Thực tế</t>
        </is>
      </c>
      <c r="D45" s="321">
        <f>SUMIFS(DATA!$M:$M,DATA!$C:$C,$B44,DATA!$N:$N,"&gt;="&amp;DATE($I$2,D$4,1),DATA!$N:$N,"&lt;="&amp;DATE($I$2,D$4,D$5))</f>
        <v/>
      </c>
      <c r="E45" s="321">
        <f>SUMIFS(DATA!$M:$M,DATA!$C:$C,$B44,DATA!$N:$N,"&gt;="&amp;DATE($I$2,E$4,1),DATA!$N:$N,"&lt;="&amp;DATE($I$2,E$4,E$5))</f>
        <v/>
      </c>
      <c r="F45" s="321">
        <f>SUMIFS(DATA!$M:$M,DATA!$C:$C,$B44,DATA!$N:$N,"&gt;="&amp;DATE($I$2,F$4,1),DATA!$N:$N,"&lt;="&amp;DATE($I$2,F$4,F$5))</f>
        <v/>
      </c>
      <c r="G45" s="321">
        <f>SUMIFS(DATA!$M:$M,DATA!$C:$C,$B44,DATA!$N:$N,"&gt;="&amp;DATE($I$2,G$4,1),DATA!$N:$N,"&lt;="&amp;DATE($I$2,G$4,G$5))</f>
        <v/>
      </c>
      <c r="H45" s="321">
        <f>SUMIFS(DATA!$M:$M,DATA!$C:$C,$B44,DATA!$N:$N,"&gt;="&amp;DATE($I$2,H$4,1),DATA!$N:$N,"&lt;="&amp;DATE($I$2,H$4,H$5))</f>
        <v/>
      </c>
      <c r="I45" s="321">
        <f>SUMIFS(DATA!$M:$M,DATA!$C:$C,$B44,DATA!$N:$N,"&gt;="&amp;DATE($I$2,I$4,1),DATA!$N:$N,"&lt;="&amp;DATE($I$2,I$4,I$5))</f>
        <v/>
      </c>
      <c r="J45" s="321">
        <f>SUMIFS(DATA!$M:$M,DATA!$C:$C,$B44,DATA!$N:$N,"&gt;="&amp;DATE($I$2,J$4,1),DATA!$N:$N,"&lt;="&amp;DATE($I$2,J$4,J$5))</f>
        <v/>
      </c>
      <c r="K45" s="321">
        <f>SUMIFS(DATA!$M:$M,DATA!$C:$C,$B44,DATA!$N:$N,"&gt;="&amp;DATE($I$2,K$4,1),DATA!$N:$N,"&lt;="&amp;DATE($I$2,K$4,K$5))</f>
        <v/>
      </c>
      <c r="L45" s="321">
        <f>SUMIFS(DATA!$M:$M,DATA!$C:$C,$B44,DATA!$N:$N,"&gt;="&amp;DATE($I$2,L$4,1),DATA!$N:$N,"&lt;="&amp;DATE($I$2,L$4,L$5))</f>
        <v/>
      </c>
      <c r="M45" s="321">
        <f>SUMIFS(DATA!$M:$M,DATA!$C:$C,$B44,DATA!$N:$N,"&gt;="&amp;DATE($I$2,M$4,1),DATA!$N:$N,"&lt;="&amp;DATE($I$2,M$4,M$5))</f>
        <v/>
      </c>
      <c r="N45" s="321">
        <f>SUMIFS(DATA!$M:$M,DATA!$C:$C,$B44,DATA!$N:$N,"&gt;="&amp;DATE($I$2,N$4,1),DATA!$N:$N,"&lt;="&amp;DATE($I$2,N$4,N$5))</f>
        <v/>
      </c>
      <c r="O45" s="321">
        <f>SUMIFS(DATA!$M:$M,DATA!$C:$C,$B44,DATA!$N:$N,"&gt;="&amp;DATE($I$2,O$4,1),DATA!$N:$N,"&lt;="&amp;DATE($I$2,O$4,O$5))</f>
        <v/>
      </c>
      <c r="P45" s="322">
        <f>SUM(D45:O45)</f>
        <v/>
      </c>
      <c r="Q45" s="118" t="n"/>
    </row>
    <row r="46" hidden="1" outlineLevel="1" ht="17.45" customHeight="1">
      <c r="A46" s="269" t="n">
        <v>21</v>
      </c>
      <c r="B46" s="267" t="inlineStr">
        <is>
          <t>TOYOTA MOTOR VIETNAM</t>
        </is>
      </c>
      <c r="C46" s="119" t="inlineStr">
        <is>
          <t>Kế hoạch</t>
        </is>
      </c>
      <c r="D46" s="321">
        <f>SUMIFS(DATA!$I:$I,DATA!$C:$C,$B46,DATA!$J:$J,"&gt;="&amp;DATE($I$2,D$4,1),DATA!$J:$J,"&lt;="&amp;DATE($I$2,D$4,D$5))</f>
        <v/>
      </c>
      <c r="E46" s="321">
        <f>SUMIFS(DATA!$I:$I,DATA!$C:$C,$B46,DATA!$J:$J,"&gt;="&amp;DATE($I$2,E$4,1),DATA!$J:$J,"&lt;="&amp;DATE($I$2,E$4,E$5))</f>
        <v/>
      </c>
      <c r="F46" s="321">
        <f>SUMIFS(DATA!$I:$I,DATA!$C:$C,$B46,DATA!$J:$J,"&gt;="&amp;DATE($I$2,F$4,1),DATA!$J:$J,"&lt;="&amp;DATE($I$2,F$4,F$5))</f>
        <v/>
      </c>
      <c r="G46" s="321">
        <f>SUMIFS(DATA!$I:$I,DATA!$C:$C,$B46,DATA!$J:$J,"&gt;="&amp;DATE($I$2,G$4,1),DATA!$J:$J,"&lt;="&amp;DATE($I$2,G$4,G$5))</f>
        <v/>
      </c>
      <c r="H46" s="321">
        <f>SUMIFS(DATA!$I:$I,DATA!$C:$C,$B46,DATA!$J:$J,"&gt;="&amp;DATE($I$2,H$4,1),DATA!$J:$J,"&lt;="&amp;DATE($I$2,H$4,H$5))</f>
        <v/>
      </c>
      <c r="I46" s="321">
        <f>SUMIFS(DATA!$I:$I,DATA!$C:$C,$B46,DATA!$J:$J,"&gt;="&amp;DATE($I$2,I$4,1),DATA!$J:$J,"&lt;="&amp;DATE($I$2,I$4,I$5))</f>
        <v/>
      </c>
      <c r="J46" s="321">
        <f>SUMIFS(DATA!$I:$I,DATA!$C:$C,$B46,DATA!$J:$J,"&gt;="&amp;DATE($I$2,J$4,1),DATA!$J:$J,"&lt;="&amp;DATE($I$2,J$4,J$5))</f>
        <v/>
      </c>
      <c r="K46" s="321">
        <f>SUMIFS(DATA!$I:$I,DATA!$C:$C,$B46,DATA!$J:$J,"&gt;="&amp;DATE($I$2,K$4,1),DATA!$J:$J,"&lt;="&amp;DATE($I$2,K$4,K$5))</f>
        <v/>
      </c>
      <c r="L46" s="321">
        <f>SUMIFS(DATA!$I:$I,DATA!$C:$C,$B46,DATA!$J:$J,"&gt;="&amp;DATE($I$2,L$4,1),DATA!$J:$J,"&lt;="&amp;DATE($I$2,L$4,L$5))</f>
        <v/>
      </c>
      <c r="M46" s="321">
        <f>SUMIFS(DATA!$I:$I,DATA!$C:$C,$B46,DATA!$J:$J,"&gt;="&amp;DATE($I$2,M$4,1),DATA!$J:$J,"&lt;="&amp;DATE($I$2,M$4,M$5))</f>
        <v/>
      </c>
      <c r="N46" s="321">
        <f>SUMIFS(DATA!$I:$I,DATA!$C:$C,$B46,DATA!$J:$J,"&gt;="&amp;DATE($I$2,N$4,1),DATA!$J:$J,"&lt;="&amp;DATE($I$2,N$4,N$5))</f>
        <v/>
      </c>
      <c r="O46" s="321">
        <f>SUMIFS(DATA!$I:$I,DATA!$C:$C,$B46,DATA!$J:$J,"&gt;="&amp;DATE($I$2,O$4,1),DATA!$J:$J,"&lt;="&amp;DATE($I$2,O$4,O$5))</f>
        <v/>
      </c>
      <c r="P46" s="322">
        <f>SUM(D46:O46)</f>
        <v/>
      </c>
      <c r="Q46" s="118" t="n"/>
    </row>
    <row r="47" hidden="1" outlineLevel="1" ht="17.45" customHeight="1">
      <c r="A47" s="266" t="n"/>
      <c r="B47" s="268" t="n"/>
      <c r="C47" s="119" t="inlineStr">
        <is>
          <t>Thực tế</t>
        </is>
      </c>
      <c r="D47" s="321">
        <f>SUMIFS(DATA!$M:$M,DATA!$C:$C,$B46,DATA!$N:$N,"&gt;="&amp;DATE($I$2,D$4,1),DATA!$N:$N,"&lt;="&amp;DATE($I$2,D$4,D$5))</f>
        <v/>
      </c>
      <c r="E47" s="321">
        <f>SUMIFS(DATA!$M:$M,DATA!$C:$C,$B46,DATA!$N:$N,"&gt;="&amp;DATE($I$2,E$4,1),DATA!$N:$N,"&lt;="&amp;DATE($I$2,E$4,E$5))</f>
        <v/>
      </c>
      <c r="F47" s="321">
        <f>SUMIFS(DATA!$M:$M,DATA!$C:$C,$B46,DATA!$N:$N,"&gt;="&amp;DATE($I$2,F$4,1),DATA!$N:$N,"&lt;="&amp;DATE($I$2,F$4,F$5))</f>
        <v/>
      </c>
      <c r="G47" s="321">
        <f>SUMIFS(DATA!$M:$M,DATA!$C:$C,$B46,DATA!$N:$N,"&gt;="&amp;DATE($I$2,G$4,1),DATA!$N:$N,"&lt;="&amp;DATE($I$2,G$4,G$5))</f>
        <v/>
      </c>
      <c r="H47" s="321">
        <f>SUMIFS(DATA!$M:$M,DATA!$C:$C,$B46,DATA!$N:$N,"&gt;="&amp;DATE($I$2,H$4,1),DATA!$N:$N,"&lt;="&amp;DATE($I$2,H$4,H$5))</f>
        <v/>
      </c>
      <c r="I47" s="321">
        <f>SUMIFS(DATA!$M:$M,DATA!$C:$C,$B46,DATA!$N:$N,"&gt;="&amp;DATE($I$2,I$4,1),DATA!$N:$N,"&lt;="&amp;DATE($I$2,I$4,I$5))</f>
        <v/>
      </c>
      <c r="J47" s="321">
        <f>SUMIFS(DATA!$M:$M,DATA!$C:$C,$B46,DATA!$N:$N,"&gt;="&amp;DATE($I$2,J$4,1),DATA!$N:$N,"&lt;="&amp;DATE($I$2,J$4,J$5))</f>
        <v/>
      </c>
      <c r="K47" s="321">
        <f>SUMIFS(DATA!$M:$M,DATA!$C:$C,$B46,DATA!$N:$N,"&gt;="&amp;DATE($I$2,K$4,1),DATA!$N:$N,"&lt;="&amp;DATE($I$2,K$4,K$5))</f>
        <v/>
      </c>
      <c r="L47" s="321">
        <f>SUMIFS(DATA!$M:$M,DATA!$C:$C,$B46,DATA!$N:$N,"&gt;="&amp;DATE($I$2,L$4,1),DATA!$N:$N,"&lt;="&amp;DATE($I$2,L$4,L$5))</f>
        <v/>
      </c>
      <c r="M47" s="321">
        <f>SUMIFS(DATA!$M:$M,DATA!$C:$C,$B46,DATA!$N:$N,"&gt;="&amp;DATE($I$2,M$4,1),DATA!$N:$N,"&lt;="&amp;DATE($I$2,M$4,M$5))</f>
        <v/>
      </c>
      <c r="N47" s="321">
        <f>SUMIFS(DATA!$M:$M,DATA!$C:$C,$B46,DATA!$N:$N,"&gt;="&amp;DATE($I$2,N$4,1),DATA!$N:$N,"&lt;="&amp;DATE($I$2,N$4,N$5))</f>
        <v/>
      </c>
      <c r="O47" s="321">
        <f>SUMIFS(DATA!$M:$M,DATA!$C:$C,$B46,DATA!$N:$N,"&gt;="&amp;DATE($I$2,O$4,1),DATA!$N:$N,"&lt;="&amp;DATE($I$2,O$4,O$5))</f>
        <v/>
      </c>
      <c r="P47" s="322">
        <f>SUM(D47:O47)</f>
        <v/>
      </c>
      <c r="Q47" s="118" t="n"/>
    </row>
    <row r="48" hidden="1" outlineLevel="1" ht="17.45" customHeight="1">
      <c r="A48" s="269" t="n">
        <v>22</v>
      </c>
      <c r="B48" s="267" t="inlineStr">
        <is>
          <t>DUY HUNG CO.,LTD</t>
        </is>
      </c>
      <c r="C48" s="119" t="inlineStr">
        <is>
          <t>Kế hoạch</t>
        </is>
      </c>
      <c r="D48" s="321">
        <f>SUMIFS(DATA!$I:$I,DATA!$C:$C,$B48,DATA!$J:$J,"&gt;="&amp;DATE($I$2,D$4,1),DATA!$J:$J,"&lt;="&amp;DATE($I$2,D$4,D$5))</f>
        <v/>
      </c>
      <c r="E48" s="321">
        <f>SUMIFS(DATA!$I:$I,DATA!$C:$C,$B48,DATA!$J:$J,"&gt;="&amp;DATE($I$2,E$4,1),DATA!$J:$J,"&lt;="&amp;DATE($I$2,E$4,E$5))</f>
        <v/>
      </c>
      <c r="F48" s="321">
        <f>SUMIFS(DATA!$I:$I,DATA!$C:$C,$B48,DATA!$J:$J,"&gt;="&amp;DATE($I$2,F$4,1),DATA!$J:$J,"&lt;="&amp;DATE($I$2,F$4,F$5))</f>
        <v/>
      </c>
      <c r="G48" s="321">
        <f>SUMIFS(DATA!$I:$I,DATA!$C:$C,$B48,DATA!$J:$J,"&gt;="&amp;DATE($I$2,G$4,1),DATA!$J:$J,"&lt;="&amp;DATE($I$2,G$4,G$5))</f>
        <v/>
      </c>
      <c r="H48" s="321">
        <f>SUMIFS(DATA!$I:$I,DATA!$C:$C,$B48,DATA!$J:$J,"&gt;="&amp;DATE($I$2,H$4,1),DATA!$J:$J,"&lt;="&amp;DATE($I$2,H$4,H$5))</f>
        <v/>
      </c>
      <c r="I48" s="321">
        <f>SUMIFS(DATA!$I:$I,DATA!$C:$C,$B48,DATA!$J:$J,"&gt;="&amp;DATE($I$2,I$4,1),DATA!$J:$J,"&lt;="&amp;DATE($I$2,I$4,I$5))</f>
        <v/>
      </c>
      <c r="J48" s="321">
        <f>SUMIFS(DATA!$I:$I,DATA!$C:$C,$B48,DATA!$J:$J,"&gt;="&amp;DATE($I$2,J$4,1),DATA!$J:$J,"&lt;="&amp;DATE($I$2,J$4,J$5))</f>
        <v/>
      </c>
      <c r="K48" s="321">
        <f>SUMIFS(DATA!$I:$I,DATA!$C:$C,$B48,DATA!$J:$J,"&gt;="&amp;DATE($I$2,K$4,1),DATA!$J:$J,"&lt;="&amp;DATE($I$2,K$4,K$5))</f>
        <v/>
      </c>
      <c r="L48" s="321">
        <f>SUMIFS(DATA!$I:$I,DATA!$C:$C,$B48,DATA!$J:$J,"&gt;="&amp;DATE($I$2,L$4,1),DATA!$J:$J,"&lt;="&amp;DATE($I$2,L$4,L$5))</f>
        <v/>
      </c>
      <c r="M48" s="321">
        <f>SUMIFS(DATA!$I:$I,DATA!$C:$C,$B48,DATA!$J:$J,"&gt;="&amp;DATE($I$2,M$4,1),DATA!$J:$J,"&lt;="&amp;DATE($I$2,M$4,M$5))</f>
        <v/>
      </c>
      <c r="N48" s="321">
        <f>SUMIFS(DATA!$I:$I,DATA!$C:$C,$B48,DATA!$J:$J,"&gt;="&amp;DATE($I$2,N$4,1),DATA!$J:$J,"&lt;="&amp;DATE($I$2,N$4,N$5))</f>
        <v/>
      </c>
      <c r="O48" s="321">
        <f>SUMIFS(DATA!$I:$I,DATA!$C:$C,$B48,DATA!$J:$J,"&gt;="&amp;DATE($I$2,O$4,1),DATA!$J:$J,"&lt;="&amp;DATE($I$2,O$4,O$5))</f>
        <v/>
      </c>
      <c r="P48" s="322">
        <f>SUM(D48:O48)</f>
        <v/>
      </c>
      <c r="Q48" s="118" t="n"/>
    </row>
    <row r="49" hidden="1" outlineLevel="1" ht="17.45" customHeight="1">
      <c r="A49" s="266" t="n"/>
      <c r="B49" s="268" t="n"/>
      <c r="C49" s="119" t="inlineStr">
        <is>
          <t>Thực tế</t>
        </is>
      </c>
      <c r="D49" s="321">
        <f>SUMIFS(DATA!$M:$M,DATA!$C:$C,$B48,DATA!$N:$N,"&gt;="&amp;DATE($I$2,D$4,1),DATA!$N:$N,"&lt;="&amp;DATE($I$2,D$4,D$5))</f>
        <v/>
      </c>
      <c r="E49" s="321">
        <f>SUMIFS(DATA!$M:$M,DATA!$C:$C,$B48,DATA!$N:$N,"&gt;="&amp;DATE($I$2,E$4,1),DATA!$N:$N,"&lt;="&amp;DATE($I$2,E$4,E$5))</f>
        <v/>
      </c>
      <c r="F49" s="321">
        <f>SUMIFS(DATA!$M:$M,DATA!$C:$C,$B48,DATA!$N:$N,"&gt;="&amp;DATE($I$2,F$4,1),DATA!$N:$N,"&lt;="&amp;DATE($I$2,F$4,F$5))</f>
        <v/>
      </c>
      <c r="G49" s="321">
        <f>SUMIFS(DATA!$M:$M,DATA!$C:$C,$B48,DATA!$N:$N,"&gt;="&amp;DATE($I$2,G$4,1),DATA!$N:$N,"&lt;="&amp;DATE($I$2,G$4,G$5))</f>
        <v/>
      </c>
      <c r="H49" s="321">
        <f>SUMIFS(DATA!$M:$M,DATA!$C:$C,$B48,DATA!$N:$N,"&gt;="&amp;DATE($I$2,H$4,1),DATA!$N:$N,"&lt;="&amp;DATE($I$2,H$4,H$5))</f>
        <v/>
      </c>
      <c r="I49" s="321">
        <f>SUMIFS(DATA!$M:$M,DATA!$C:$C,$B48,DATA!$N:$N,"&gt;="&amp;DATE($I$2,I$4,1),DATA!$N:$N,"&lt;="&amp;DATE($I$2,I$4,I$5))</f>
        <v/>
      </c>
      <c r="J49" s="321">
        <f>SUMIFS(DATA!$M:$M,DATA!$C:$C,$B48,DATA!$N:$N,"&gt;="&amp;DATE($I$2,J$4,1),DATA!$N:$N,"&lt;="&amp;DATE($I$2,J$4,J$5))</f>
        <v/>
      </c>
      <c r="K49" s="321">
        <f>SUMIFS(DATA!$M:$M,DATA!$C:$C,$B48,DATA!$N:$N,"&gt;="&amp;DATE($I$2,K$4,1),DATA!$N:$N,"&lt;="&amp;DATE($I$2,K$4,K$5))</f>
        <v/>
      </c>
      <c r="L49" s="321">
        <f>SUMIFS(DATA!$M:$M,DATA!$C:$C,$B48,DATA!$N:$N,"&gt;="&amp;DATE($I$2,L$4,1),DATA!$N:$N,"&lt;="&amp;DATE($I$2,L$4,L$5))</f>
        <v/>
      </c>
      <c r="M49" s="321">
        <f>SUMIFS(DATA!$M:$M,DATA!$C:$C,$B48,DATA!$N:$N,"&gt;="&amp;DATE($I$2,M$4,1),DATA!$N:$N,"&lt;="&amp;DATE($I$2,M$4,M$5))</f>
        <v/>
      </c>
      <c r="N49" s="321">
        <f>SUMIFS(DATA!$M:$M,DATA!$C:$C,$B48,DATA!$N:$N,"&gt;="&amp;DATE($I$2,N$4,1),DATA!$N:$N,"&lt;="&amp;DATE($I$2,N$4,N$5))</f>
        <v/>
      </c>
      <c r="O49" s="321">
        <f>SUMIFS(DATA!$M:$M,DATA!$C:$C,$B48,DATA!$N:$N,"&gt;="&amp;DATE($I$2,O$4,1),DATA!$N:$N,"&lt;="&amp;DATE($I$2,O$4,O$5))</f>
        <v/>
      </c>
      <c r="P49" s="322">
        <f>SUM(D49:O49)</f>
        <v/>
      </c>
      <c r="Q49" s="118" t="n"/>
    </row>
    <row r="50" hidden="1" outlineLevel="1" ht="17.45" customHeight="1">
      <c r="A50" s="269" t="n">
        <v>23</v>
      </c>
      <c r="B50" s="267" t="inlineStr">
        <is>
          <t>ĐIỆN LỰC BẮC GIANG</t>
        </is>
      </c>
      <c r="C50" s="119" t="inlineStr">
        <is>
          <t>Kế hoạch</t>
        </is>
      </c>
      <c r="D50" s="321">
        <f>SUMIFS(DATA!$I:$I,DATA!$C:$C,$B50,DATA!$J:$J,"&gt;="&amp;DATE($I$2,D$4,1),DATA!$J:$J,"&lt;="&amp;DATE($I$2,D$4,D$5))</f>
        <v/>
      </c>
      <c r="E50" s="321">
        <f>SUMIFS(DATA!$I:$I,DATA!$C:$C,$B50,DATA!$J:$J,"&gt;="&amp;DATE($I$2,E$4,1),DATA!$J:$J,"&lt;="&amp;DATE($I$2,E$4,E$5))</f>
        <v/>
      </c>
      <c r="F50" s="321">
        <f>SUMIFS(DATA!$I:$I,DATA!$C:$C,$B50,DATA!$J:$J,"&gt;="&amp;DATE($I$2,F$4,1),DATA!$J:$J,"&lt;="&amp;DATE($I$2,F$4,F$5))</f>
        <v/>
      </c>
      <c r="G50" s="321">
        <f>SUMIFS(DATA!$I:$I,DATA!$C:$C,$B50,DATA!$J:$J,"&gt;="&amp;DATE($I$2,G$4,1),DATA!$J:$J,"&lt;="&amp;DATE($I$2,G$4,G$5))</f>
        <v/>
      </c>
      <c r="H50" s="321">
        <f>SUMIFS(DATA!$I:$I,DATA!$C:$C,$B50,DATA!$J:$J,"&gt;="&amp;DATE($I$2,H$4,1),DATA!$J:$J,"&lt;="&amp;DATE($I$2,H$4,H$5))</f>
        <v/>
      </c>
      <c r="I50" s="321">
        <f>SUMIFS(DATA!$I:$I,DATA!$C:$C,$B50,DATA!$J:$J,"&gt;="&amp;DATE($I$2,I$4,1),DATA!$J:$J,"&lt;="&amp;DATE($I$2,I$4,I$5))</f>
        <v/>
      </c>
      <c r="J50" s="321">
        <f>SUMIFS(DATA!$I:$I,DATA!$C:$C,$B50,DATA!$J:$J,"&gt;="&amp;DATE($I$2,J$4,1),DATA!$J:$J,"&lt;="&amp;DATE($I$2,J$4,J$5))</f>
        <v/>
      </c>
      <c r="K50" s="321">
        <f>SUMIFS(DATA!$I:$I,DATA!$C:$C,$B50,DATA!$J:$J,"&gt;="&amp;DATE($I$2,K$4,1),DATA!$J:$J,"&lt;="&amp;DATE($I$2,K$4,K$5))</f>
        <v/>
      </c>
      <c r="L50" s="321">
        <f>SUMIFS(DATA!$I:$I,DATA!$C:$C,$B50,DATA!$J:$J,"&gt;="&amp;DATE($I$2,L$4,1),DATA!$J:$J,"&lt;="&amp;DATE($I$2,L$4,L$5))</f>
        <v/>
      </c>
      <c r="M50" s="321">
        <f>SUMIFS(DATA!$I:$I,DATA!$C:$C,$B50,DATA!$J:$J,"&gt;="&amp;DATE($I$2,M$4,1),DATA!$J:$J,"&lt;="&amp;DATE($I$2,M$4,M$5))</f>
        <v/>
      </c>
      <c r="N50" s="321">
        <f>SUMIFS(DATA!$I:$I,DATA!$C:$C,$B50,DATA!$J:$J,"&gt;="&amp;DATE($I$2,N$4,1),DATA!$J:$J,"&lt;="&amp;DATE($I$2,N$4,N$5))</f>
        <v/>
      </c>
      <c r="O50" s="321">
        <f>SUMIFS(DATA!$I:$I,DATA!$C:$C,$B50,DATA!$J:$J,"&gt;="&amp;DATE($I$2,O$4,1),DATA!$J:$J,"&lt;="&amp;DATE($I$2,O$4,O$5))</f>
        <v/>
      </c>
      <c r="P50" s="322">
        <f>SUM(D50:O50)</f>
        <v/>
      </c>
      <c r="Q50" s="118" t="n"/>
    </row>
    <row r="51" hidden="1" outlineLevel="1" ht="17.45" customHeight="1">
      <c r="A51" s="266" t="n"/>
      <c r="B51" s="268" t="n"/>
      <c r="C51" s="119" t="inlineStr">
        <is>
          <t>Thực tế</t>
        </is>
      </c>
      <c r="D51" s="321">
        <f>SUMIFS(DATA!$M:$M,DATA!$C:$C,$B50,DATA!$N:$N,"&gt;="&amp;DATE($I$2,D$4,1),DATA!$N:$N,"&lt;="&amp;DATE($I$2,D$4,D$5))</f>
        <v/>
      </c>
      <c r="E51" s="321">
        <f>SUMIFS(DATA!$M:$M,DATA!$C:$C,$B50,DATA!$N:$N,"&gt;="&amp;DATE($I$2,E$4,1),DATA!$N:$N,"&lt;="&amp;DATE($I$2,E$4,E$5))</f>
        <v/>
      </c>
      <c r="F51" s="321">
        <f>SUMIFS(DATA!$M:$M,DATA!$C:$C,$B50,DATA!$N:$N,"&gt;="&amp;DATE($I$2,F$4,1),DATA!$N:$N,"&lt;="&amp;DATE($I$2,F$4,F$5))</f>
        <v/>
      </c>
      <c r="G51" s="321">
        <f>SUMIFS(DATA!$M:$M,DATA!$C:$C,$B50,DATA!$N:$N,"&gt;="&amp;DATE($I$2,G$4,1),DATA!$N:$N,"&lt;="&amp;DATE($I$2,G$4,G$5))</f>
        <v/>
      </c>
      <c r="H51" s="321">
        <f>SUMIFS(DATA!$M:$M,DATA!$C:$C,$B50,DATA!$N:$N,"&gt;="&amp;DATE($I$2,H$4,1),DATA!$N:$N,"&lt;="&amp;DATE($I$2,H$4,H$5))</f>
        <v/>
      </c>
      <c r="I51" s="321">
        <f>SUMIFS(DATA!$M:$M,DATA!$C:$C,$B50,DATA!$N:$N,"&gt;="&amp;DATE($I$2,I$4,1),DATA!$N:$N,"&lt;="&amp;DATE($I$2,I$4,I$5))</f>
        <v/>
      </c>
      <c r="J51" s="321">
        <f>SUMIFS(DATA!$M:$M,DATA!$C:$C,$B50,DATA!$N:$N,"&gt;="&amp;DATE($I$2,J$4,1),DATA!$N:$N,"&lt;="&amp;DATE($I$2,J$4,J$5))</f>
        <v/>
      </c>
      <c r="K51" s="321">
        <f>SUMIFS(DATA!$M:$M,DATA!$C:$C,$B50,DATA!$N:$N,"&gt;="&amp;DATE($I$2,K$4,1),DATA!$N:$N,"&lt;="&amp;DATE($I$2,K$4,K$5))</f>
        <v/>
      </c>
      <c r="L51" s="321">
        <f>SUMIFS(DATA!$M:$M,DATA!$C:$C,$B50,DATA!$N:$N,"&gt;="&amp;DATE($I$2,L$4,1),DATA!$N:$N,"&lt;="&amp;DATE($I$2,L$4,L$5))</f>
        <v/>
      </c>
      <c r="M51" s="321">
        <f>SUMIFS(DATA!$M:$M,DATA!$C:$C,$B50,DATA!$N:$N,"&gt;="&amp;DATE($I$2,M$4,1),DATA!$N:$N,"&lt;="&amp;DATE($I$2,M$4,M$5))</f>
        <v/>
      </c>
      <c r="N51" s="321">
        <f>SUMIFS(DATA!$M:$M,DATA!$C:$C,$B50,DATA!$N:$N,"&gt;="&amp;DATE($I$2,N$4,1),DATA!$N:$N,"&lt;="&amp;DATE($I$2,N$4,N$5))</f>
        <v/>
      </c>
      <c r="O51" s="321">
        <f>SUMIFS(DATA!$M:$M,DATA!$C:$C,$B50,DATA!$N:$N,"&gt;="&amp;DATE($I$2,O$4,1),DATA!$N:$N,"&lt;="&amp;DATE($I$2,O$4,O$5))</f>
        <v/>
      </c>
      <c r="P51" s="322">
        <f>SUM(D51:O51)</f>
        <v/>
      </c>
      <c r="Q51" s="118" t="n"/>
    </row>
    <row r="52" hidden="1" outlineLevel="1" ht="17.45" customHeight="1">
      <c r="A52" s="269" t="n">
        <v>24</v>
      </c>
      <c r="B52" s="267" t="inlineStr">
        <is>
          <t>TOYOTA BOSHOKU HANOI CO., LTD</t>
        </is>
      </c>
      <c r="C52" s="119" t="inlineStr">
        <is>
          <t>Kế hoạch</t>
        </is>
      </c>
      <c r="D52" s="321">
        <f>SUMIFS(DATA!$I:$I,DATA!$C:$C,$B52,DATA!$J:$J,"&gt;="&amp;DATE($I$2,D$4,1),DATA!$J:$J,"&lt;="&amp;DATE($I$2,D$4,D$5))</f>
        <v/>
      </c>
      <c r="E52" s="321">
        <f>SUMIFS(DATA!$I:$I,DATA!$C:$C,$B52,DATA!$J:$J,"&gt;="&amp;DATE($I$2,E$4,1),DATA!$J:$J,"&lt;="&amp;DATE($I$2,E$4,E$5))</f>
        <v/>
      </c>
      <c r="F52" s="321">
        <f>SUMIFS(DATA!$I:$I,DATA!$C:$C,$B52,DATA!$J:$J,"&gt;="&amp;DATE($I$2,F$4,1),DATA!$J:$J,"&lt;="&amp;DATE($I$2,F$4,F$5))</f>
        <v/>
      </c>
      <c r="G52" s="321">
        <f>SUMIFS(DATA!$I:$I,DATA!$C:$C,$B52,DATA!$J:$J,"&gt;="&amp;DATE($I$2,G$4,1),DATA!$J:$J,"&lt;="&amp;DATE($I$2,G$4,G$5))</f>
        <v/>
      </c>
      <c r="H52" s="321">
        <f>SUMIFS(DATA!$I:$I,DATA!$C:$C,$B52,DATA!$J:$J,"&gt;="&amp;DATE($I$2,H$4,1),DATA!$J:$J,"&lt;="&amp;DATE($I$2,H$4,H$5))</f>
        <v/>
      </c>
      <c r="I52" s="321">
        <f>SUMIFS(DATA!$I:$I,DATA!$C:$C,$B52,DATA!$J:$J,"&gt;="&amp;DATE($I$2,I$4,1),DATA!$J:$J,"&lt;="&amp;DATE($I$2,I$4,I$5))</f>
        <v/>
      </c>
      <c r="J52" s="321">
        <f>SUMIFS(DATA!$I:$I,DATA!$C:$C,$B52,DATA!$J:$J,"&gt;="&amp;DATE($I$2,J$4,1),DATA!$J:$J,"&lt;="&amp;DATE($I$2,J$4,J$5))</f>
        <v/>
      </c>
      <c r="K52" s="321">
        <f>SUMIFS(DATA!$I:$I,DATA!$C:$C,$B52,DATA!$J:$J,"&gt;="&amp;DATE($I$2,K$4,1),DATA!$J:$J,"&lt;="&amp;DATE($I$2,K$4,K$5))</f>
        <v/>
      </c>
      <c r="L52" s="321">
        <f>SUMIFS(DATA!$I:$I,DATA!$C:$C,$B52,DATA!$J:$J,"&gt;="&amp;DATE($I$2,L$4,1),DATA!$J:$J,"&lt;="&amp;DATE($I$2,L$4,L$5))</f>
        <v/>
      </c>
      <c r="M52" s="321">
        <f>SUMIFS(DATA!$I:$I,DATA!$C:$C,$B52,DATA!$J:$J,"&gt;="&amp;DATE($I$2,M$4,1),DATA!$J:$J,"&lt;="&amp;DATE($I$2,M$4,M$5))</f>
        <v/>
      </c>
      <c r="N52" s="321">
        <f>SUMIFS(DATA!$I:$I,DATA!$C:$C,$B52,DATA!$J:$J,"&gt;="&amp;DATE($I$2,N$4,1),DATA!$J:$J,"&lt;="&amp;DATE($I$2,N$4,N$5))</f>
        <v/>
      </c>
      <c r="O52" s="321">
        <f>SUMIFS(DATA!$I:$I,DATA!$C:$C,$B52,DATA!$J:$J,"&gt;="&amp;DATE($I$2,O$4,1),DATA!$J:$J,"&lt;="&amp;DATE($I$2,O$4,O$5))</f>
        <v/>
      </c>
      <c r="P52" s="322">
        <f>SUM(D52:O52)</f>
        <v/>
      </c>
      <c r="Q52" s="118" t="n"/>
    </row>
    <row r="53" hidden="1" outlineLevel="1" ht="17.45" customHeight="1">
      <c r="A53" s="266" t="n"/>
      <c r="B53" s="268" t="n"/>
      <c r="C53" s="119" t="inlineStr">
        <is>
          <t>Thực tế</t>
        </is>
      </c>
      <c r="D53" s="321">
        <f>SUMIFS(DATA!$M:$M,DATA!$C:$C,$B52,DATA!$N:$N,"&gt;="&amp;DATE($I$2,D$4,1),DATA!$N:$N,"&lt;="&amp;DATE($I$2,D$4,D$5))</f>
        <v/>
      </c>
      <c r="E53" s="321">
        <f>SUMIFS(DATA!$M:$M,DATA!$C:$C,$B52,DATA!$N:$N,"&gt;="&amp;DATE($I$2,E$4,1),DATA!$N:$N,"&lt;="&amp;DATE($I$2,E$4,E$5))</f>
        <v/>
      </c>
      <c r="F53" s="321">
        <f>SUMIFS(DATA!$M:$M,DATA!$C:$C,$B52,DATA!$N:$N,"&gt;="&amp;DATE($I$2,F$4,1),DATA!$N:$N,"&lt;="&amp;DATE($I$2,F$4,F$5))</f>
        <v/>
      </c>
      <c r="G53" s="321">
        <f>SUMIFS(DATA!$M:$M,DATA!$C:$C,$B52,DATA!$N:$N,"&gt;="&amp;DATE($I$2,G$4,1),DATA!$N:$N,"&lt;="&amp;DATE($I$2,G$4,G$5))</f>
        <v/>
      </c>
      <c r="H53" s="321">
        <f>SUMIFS(DATA!$M:$M,DATA!$C:$C,$B52,DATA!$N:$N,"&gt;="&amp;DATE($I$2,H$4,1),DATA!$N:$N,"&lt;="&amp;DATE($I$2,H$4,H$5))</f>
        <v/>
      </c>
      <c r="I53" s="321">
        <f>SUMIFS(DATA!$M:$M,DATA!$C:$C,$B52,DATA!$N:$N,"&gt;="&amp;DATE($I$2,I$4,1),DATA!$N:$N,"&lt;="&amp;DATE($I$2,I$4,I$5))</f>
        <v/>
      </c>
      <c r="J53" s="321">
        <f>SUMIFS(DATA!$M:$M,DATA!$C:$C,$B52,DATA!$N:$N,"&gt;="&amp;DATE($I$2,J$4,1),DATA!$N:$N,"&lt;="&amp;DATE($I$2,J$4,J$5))</f>
        <v/>
      </c>
      <c r="K53" s="321">
        <f>SUMIFS(DATA!$M:$M,DATA!$C:$C,$B52,DATA!$N:$N,"&gt;="&amp;DATE($I$2,K$4,1),DATA!$N:$N,"&lt;="&amp;DATE($I$2,K$4,K$5))</f>
        <v/>
      </c>
      <c r="L53" s="321">
        <f>SUMIFS(DATA!$M:$M,DATA!$C:$C,$B52,DATA!$N:$N,"&gt;="&amp;DATE($I$2,L$4,1),DATA!$N:$N,"&lt;="&amp;DATE($I$2,L$4,L$5))</f>
        <v/>
      </c>
      <c r="M53" s="321">
        <f>SUMIFS(DATA!$M:$M,DATA!$C:$C,$B52,DATA!$N:$N,"&gt;="&amp;DATE($I$2,M$4,1),DATA!$N:$N,"&lt;="&amp;DATE($I$2,M$4,M$5))</f>
        <v/>
      </c>
      <c r="N53" s="321">
        <f>SUMIFS(DATA!$M:$M,DATA!$C:$C,$B52,DATA!$N:$N,"&gt;="&amp;DATE($I$2,N$4,1),DATA!$N:$N,"&lt;="&amp;DATE($I$2,N$4,N$5))</f>
        <v/>
      </c>
      <c r="O53" s="321">
        <f>SUMIFS(DATA!$M:$M,DATA!$C:$C,$B52,DATA!$N:$N,"&gt;="&amp;DATE($I$2,O$4,1),DATA!$N:$N,"&lt;="&amp;DATE($I$2,O$4,O$5))</f>
        <v/>
      </c>
      <c r="P53" s="322">
        <f>SUM(D53:O53)</f>
        <v/>
      </c>
      <c r="Q53" s="118" t="n"/>
    </row>
    <row r="54" hidden="1" outlineLevel="1" ht="17.45" customHeight="1">
      <c r="A54" s="269" t="n">
        <v>25</v>
      </c>
      <c r="B54" s="267" t="inlineStr">
        <is>
          <t>TOYOTA BOSHOKU HANOI CO., LTD(Inactive)</t>
        </is>
      </c>
      <c r="C54" s="119" t="inlineStr">
        <is>
          <t>Kế hoạch</t>
        </is>
      </c>
      <c r="D54" s="321">
        <f>SUMIFS(DATA!$I:$I,DATA!$C:$C,$B54,DATA!$J:$J,"&gt;="&amp;DATE($I$2,D$4,1),DATA!$J:$J,"&lt;="&amp;DATE($I$2,D$4,D$5))</f>
        <v/>
      </c>
      <c r="E54" s="321">
        <f>SUMIFS(DATA!$I:$I,DATA!$C:$C,$B54,DATA!$J:$J,"&gt;="&amp;DATE($I$2,E$4,1),DATA!$J:$J,"&lt;="&amp;DATE($I$2,E$4,E$5))</f>
        <v/>
      </c>
      <c r="F54" s="321">
        <f>SUMIFS(DATA!$I:$I,DATA!$C:$C,$B54,DATA!$J:$J,"&gt;="&amp;DATE($I$2,F$4,1),DATA!$J:$J,"&lt;="&amp;DATE($I$2,F$4,F$5))</f>
        <v/>
      </c>
      <c r="G54" s="321">
        <f>SUMIFS(DATA!$I:$I,DATA!$C:$C,$B54,DATA!$J:$J,"&gt;="&amp;DATE($I$2,G$4,1),DATA!$J:$J,"&lt;="&amp;DATE($I$2,G$4,G$5))</f>
        <v/>
      </c>
      <c r="H54" s="321">
        <f>SUMIFS(DATA!$I:$I,DATA!$C:$C,$B54,DATA!$J:$J,"&gt;="&amp;DATE($I$2,H$4,1),DATA!$J:$J,"&lt;="&amp;DATE($I$2,H$4,H$5))</f>
        <v/>
      </c>
      <c r="I54" s="321">
        <f>SUMIFS(DATA!$I:$I,DATA!$C:$C,$B54,DATA!$J:$J,"&gt;="&amp;DATE($I$2,I$4,1),DATA!$J:$J,"&lt;="&amp;DATE($I$2,I$4,I$5))</f>
        <v/>
      </c>
      <c r="J54" s="321">
        <f>SUMIFS(DATA!$I:$I,DATA!$C:$C,$B54,DATA!$J:$J,"&gt;="&amp;DATE($I$2,J$4,1),DATA!$J:$J,"&lt;="&amp;DATE($I$2,J$4,J$5))</f>
        <v/>
      </c>
      <c r="K54" s="321">
        <f>SUMIFS(DATA!$I:$I,DATA!$C:$C,$B54,DATA!$J:$J,"&gt;="&amp;DATE($I$2,K$4,1),DATA!$J:$J,"&lt;="&amp;DATE($I$2,K$4,K$5))</f>
        <v/>
      </c>
      <c r="L54" s="321">
        <f>SUMIFS(DATA!$I:$I,DATA!$C:$C,$B54,DATA!$J:$J,"&gt;="&amp;DATE($I$2,L$4,1),DATA!$J:$J,"&lt;="&amp;DATE($I$2,L$4,L$5))</f>
        <v/>
      </c>
      <c r="M54" s="321">
        <f>SUMIFS(DATA!$I:$I,DATA!$C:$C,$B54,DATA!$J:$J,"&gt;="&amp;DATE($I$2,M$4,1),DATA!$J:$J,"&lt;="&amp;DATE($I$2,M$4,M$5))</f>
        <v/>
      </c>
      <c r="N54" s="321">
        <f>SUMIFS(DATA!$I:$I,DATA!$C:$C,$B54,DATA!$J:$J,"&gt;="&amp;DATE($I$2,N$4,1),DATA!$J:$J,"&lt;="&amp;DATE($I$2,N$4,N$5))</f>
        <v/>
      </c>
      <c r="O54" s="321">
        <f>SUMIFS(DATA!$I:$I,DATA!$C:$C,$B54,DATA!$J:$J,"&gt;="&amp;DATE($I$2,O$4,1),DATA!$J:$J,"&lt;="&amp;DATE($I$2,O$4,O$5))</f>
        <v/>
      </c>
      <c r="P54" s="322">
        <f>SUM(D54:O54)</f>
        <v/>
      </c>
      <c r="Q54" s="118" t="n"/>
    </row>
    <row r="55" hidden="1" outlineLevel="1" ht="17.45" customHeight="1">
      <c r="A55" s="266" t="n"/>
      <c r="B55" s="268" t="n"/>
      <c r="C55" s="119" t="inlineStr">
        <is>
          <t>Thực tế</t>
        </is>
      </c>
      <c r="D55" s="321">
        <f>SUMIFS(DATA!$M:$M,DATA!$C:$C,$B54,DATA!$N:$N,"&gt;="&amp;DATE($I$2,D$4,1),DATA!$N:$N,"&lt;="&amp;DATE($I$2,D$4,D$5))</f>
        <v/>
      </c>
      <c r="E55" s="321">
        <f>SUMIFS(DATA!$M:$M,DATA!$C:$C,$B54,DATA!$N:$N,"&gt;="&amp;DATE($I$2,E$4,1),DATA!$N:$N,"&lt;="&amp;DATE($I$2,E$4,E$5))</f>
        <v/>
      </c>
      <c r="F55" s="321">
        <f>SUMIFS(DATA!$M:$M,DATA!$C:$C,$B54,DATA!$N:$N,"&gt;="&amp;DATE($I$2,F$4,1),DATA!$N:$N,"&lt;="&amp;DATE($I$2,F$4,F$5))</f>
        <v/>
      </c>
      <c r="G55" s="321">
        <f>SUMIFS(DATA!$M:$M,DATA!$C:$C,$B54,DATA!$N:$N,"&gt;="&amp;DATE($I$2,G$4,1),DATA!$N:$N,"&lt;="&amp;DATE($I$2,G$4,G$5))</f>
        <v/>
      </c>
      <c r="H55" s="321">
        <f>SUMIFS(DATA!$M:$M,DATA!$C:$C,$B54,DATA!$N:$N,"&gt;="&amp;DATE($I$2,H$4,1),DATA!$N:$N,"&lt;="&amp;DATE($I$2,H$4,H$5))</f>
        <v/>
      </c>
      <c r="I55" s="321">
        <f>SUMIFS(DATA!$M:$M,DATA!$C:$C,$B54,DATA!$N:$N,"&gt;="&amp;DATE($I$2,I$4,1),DATA!$N:$N,"&lt;="&amp;DATE($I$2,I$4,I$5))</f>
        <v/>
      </c>
      <c r="J55" s="321">
        <f>SUMIFS(DATA!$M:$M,DATA!$C:$C,$B54,DATA!$N:$N,"&gt;="&amp;DATE($I$2,J$4,1),DATA!$N:$N,"&lt;="&amp;DATE($I$2,J$4,J$5))</f>
        <v/>
      </c>
      <c r="K55" s="321">
        <f>SUMIFS(DATA!$M:$M,DATA!$C:$C,$B54,DATA!$N:$N,"&gt;="&amp;DATE($I$2,K$4,1),DATA!$N:$N,"&lt;="&amp;DATE($I$2,K$4,K$5))</f>
        <v/>
      </c>
      <c r="L55" s="321">
        <f>SUMIFS(DATA!$M:$M,DATA!$C:$C,$B54,DATA!$N:$N,"&gt;="&amp;DATE($I$2,L$4,1),DATA!$N:$N,"&lt;="&amp;DATE($I$2,L$4,L$5))</f>
        <v/>
      </c>
      <c r="M55" s="321">
        <f>SUMIFS(DATA!$M:$M,DATA!$C:$C,$B54,DATA!$N:$N,"&gt;="&amp;DATE($I$2,M$4,1),DATA!$N:$N,"&lt;="&amp;DATE($I$2,M$4,M$5))</f>
        <v/>
      </c>
      <c r="N55" s="321">
        <f>SUMIFS(DATA!$M:$M,DATA!$C:$C,$B54,DATA!$N:$N,"&gt;="&amp;DATE($I$2,N$4,1),DATA!$N:$N,"&lt;="&amp;DATE($I$2,N$4,N$5))</f>
        <v/>
      </c>
      <c r="O55" s="321">
        <f>SUMIFS(DATA!$M:$M,DATA!$C:$C,$B54,DATA!$N:$N,"&gt;="&amp;DATE($I$2,O$4,1),DATA!$N:$N,"&lt;="&amp;DATE($I$2,O$4,O$5))</f>
        <v/>
      </c>
      <c r="P55" s="322">
        <f>SUM(D55:O55)</f>
        <v/>
      </c>
      <c r="Q55" s="118" t="n"/>
    </row>
    <row r="56" hidden="1" outlineLevel="1" ht="17.45" customHeight="1">
      <c r="A56" s="269" t="n">
        <v>26</v>
      </c>
      <c r="B56" s="267" t="inlineStr">
        <is>
          <t>DETECH TOWER</t>
        </is>
      </c>
      <c r="C56" s="119" t="inlineStr">
        <is>
          <t>Kế hoạch</t>
        </is>
      </c>
      <c r="D56" s="321">
        <f>SUMIFS(DATA!$I:$I,DATA!$C:$C,$B56,DATA!$J:$J,"&gt;="&amp;DATE($I$2,D$4,1),DATA!$J:$J,"&lt;="&amp;DATE($I$2,D$4,D$5))</f>
        <v/>
      </c>
      <c r="E56" s="321">
        <f>SUMIFS(DATA!$I:$I,DATA!$C:$C,$B56,DATA!$J:$J,"&gt;="&amp;DATE($I$2,E$4,1),DATA!$J:$J,"&lt;="&amp;DATE($I$2,E$4,E$5))</f>
        <v/>
      </c>
      <c r="F56" s="321">
        <f>SUMIFS(DATA!$I:$I,DATA!$C:$C,$B56,DATA!$J:$J,"&gt;="&amp;DATE($I$2,F$4,1),DATA!$J:$J,"&lt;="&amp;DATE($I$2,F$4,F$5))</f>
        <v/>
      </c>
      <c r="G56" s="321">
        <f>SUMIFS(DATA!$I:$I,DATA!$C:$C,$B56,DATA!$J:$J,"&gt;="&amp;DATE($I$2,G$4,1),DATA!$J:$J,"&lt;="&amp;DATE($I$2,G$4,G$5))</f>
        <v/>
      </c>
      <c r="H56" s="321">
        <f>SUMIFS(DATA!$I:$I,DATA!$C:$C,$B56,DATA!$J:$J,"&gt;="&amp;DATE($I$2,H$4,1),DATA!$J:$J,"&lt;="&amp;DATE($I$2,H$4,H$5))</f>
        <v/>
      </c>
      <c r="I56" s="321">
        <f>SUMIFS(DATA!$I:$I,DATA!$C:$C,$B56,DATA!$J:$J,"&gt;="&amp;DATE($I$2,I$4,1),DATA!$J:$J,"&lt;="&amp;DATE($I$2,I$4,I$5))</f>
        <v/>
      </c>
      <c r="J56" s="321">
        <f>SUMIFS(DATA!$I:$I,DATA!$C:$C,$B56,DATA!$J:$J,"&gt;="&amp;DATE($I$2,J$4,1),DATA!$J:$J,"&lt;="&amp;DATE($I$2,J$4,J$5))</f>
        <v/>
      </c>
      <c r="K56" s="321">
        <f>SUMIFS(DATA!$I:$I,DATA!$C:$C,$B56,DATA!$J:$J,"&gt;="&amp;DATE($I$2,K$4,1),DATA!$J:$J,"&lt;="&amp;DATE($I$2,K$4,K$5))</f>
        <v/>
      </c>
      <c r="L56" s="321">
        <f>SUMIFS(DATA!$I:$I,DATA!$C:$C,$B56,DATA!$J:$J,"&gt;="&amp;DATE($I$2,L$4,1),DATA!$J:$J,"&lt;="&amp;DATE($I$2,L$4,L$5))</f>
        <v/>
      </c>
      <c r="M56" s="321">
        <f>SUMIFS(DATA!$I:$I,DATA!$C:$C,$B56,DATA!$J:$J,"&gt;="&amp;DATE($I$2,M$4,1),DATA!$J:$J,"&lt;="&amp;DATE($I$2,M$4,M$5))</f>
        <v/>
      </c>
      <c r="N56" s="321">
        <f>SUMIFS(DATA!$I:$I,DATA!$C:$C,$B56,DATA!$J:$J,"&gt;="&amp;DATE($I$2,N$4,1),DATA!$J:$J,"&lt;="&amp;DATE($I$2,N$4,N$5))</f>
        <v/>
      </c>
      <c r="O56" s="321">
        <f>SUMIFS(DATA!$I:$I,DATA!$C:$C,$B56,DATA!$J:$J,"&gt;="&amp;DATE($I$2,O$4,1),DATA!$J:$J,"&lt;="&amp;DATE($I$2,O$4,O$5))</f>
        <v/>
      </c>
      <c r="P56" s="322">
        <f>SUM(D56:O56)</f>
        <v/>
      </c>
      <c r="Q56" s="118" t="n"/>
    </row>
    <row r="57" hidden="1" outlineLevel="1" ht="17.45" customHeight="1">
      <c r="A57" s="266" t="n"/>
      <c r="B57" s="268" t="n"/>
      <c r="C57" s="119" t="inlineStr">
        <is>
          <t>Thực tế</t>
        </is>
      </c>
      <c r="D57" s="321">
        <f>SUMIFS(DATA!$M:$M,DATA!$C:$C,$B56,DATA!$N:$N,"&gt;="&amp;DATE($I$2,D$4,1),DATA!$N:$N,"&lt;="&amp;DATE($I$2,D$4,D$5))</f>
        <v/>
      </c>
      <c r="E57" s="321">
        <f>SUMIFS(DATA!$M:$M,DATA!$C:$C,$B56,DATA!$N:$N,"&gt;="&amp;DATE($I$2,E$4,1),DATA!$N:$N,"&lt;="&amp;DATE($I$2,E$4,E$5))</f>
        <v/>
      </c>
      <c r="F57" s="321">
        <f>SUMIFS(DATA!$M:$M,DATA!$C:$C,$B56,DATA!$N:$N,"&gt;="&amp;DATE($I$2,F$4,1),DATA!$N:$N,"&lt;="&amp;DATE($I$2,F$4,F$5))</f>
        <v/>
      </c>
      <c r="G57" s="321">
        <f>SUMIFS(DATA!$M:$M,DATA!$C:$C,$B56,DATA!$N:$N,"&gt;="&amp;DATE($I$2,G$4,1),DATA!$N:$N,"&lt;="&amp;DATE($I$2,G$4,G$5))</f>
        <v/>
      </c>
      <c r="H57" s="321">
        <f>SUMIFS(DATA!$M:$M,DATA!$C:$C,$B56,DATA!$N:$N,"&gt;="&amp;DATE($I$2,H$4,1),DATA!$N:$N,"&lt;="&amp;DATE($I$2,H$4,H$5))</f>
        <v/>
      </c>
      <c r="I57" s="321">
        <f>SUMIFS(DATA!$M:$M,DATA!$C:$C,$B56,DATA!$N:$N,"&gt;="&amp;DATE($I$2,I$4,1),DATA!$N:$N,"&lt;="&amp;DATE($I$2,I$4,I$5))</f>
        <v/>
      </c>
      <c r="J57" s="321">
        <f>SUMIFS(DATA!$M:$M,DATA!$C:$C,$B56,DATA!$N:$N,"&gt;="&amp;DATE($I$2,J$4,1),DATA!$N:$N,"&lt;="&amp;DATE($I$2,J$4,J$5))</f>
        <v/>
      </c>
      <c r="K57" s="321">
        <f>SUMIFS(DATA!$M:$M,DATA!$C:$C,$B56,DATA!$N:$N,"&gt;="&amp;DATE($I$2,K$4,1),DATA!$N:$N,"&lt;="&amp;DATE($I$2,K$4,K$5))</f>
        <v/>
      </c>
      <c r="L57" s="321">
        <f>SUMIFS(DATA!$M:$M,DATA!$C:$C,$B56,DATA!$N:$N,"&gt;="&amp;DATE($I$2,L$4,1),DATA!$N:$N,"&lt;="&amp;DATE($I$2,L$4,L$5))</f>
        <v/>
      </c>
      <c r="M57" s="321">
        <f>SUMIFS(DATA!$M:$M,DATA!$C:$C,$B56,DATA!$N:$N,"&gt;="&amp;DATE($I$2,M$4,1),DATA!$N:$N,"&lt;="&amp;DATE($I$2,M$4,M$5))</f>
        <v/>
      </c>
      <c r="N57" s="321">
        <f>SUMIFS(DATA!$M:$M,DATA!$C:$C,$B56,DATA!$N:$N,"&gt;="&amp;DATE($I$2,N$4,1),DATA!$N:$N,"&lt;="&amp;DATE($I$2,N$4,N$5))</f>
        <v/>
      </c>
      <c r="O57" s="321">
        <f>SUMIFS(DATA!$M:$M,DATA!$C:$C,$B56,DATA!$N:$N,"&gt;="&amp;DATE($I$2,O$4,1),DATA!$N:$N,"&lt;="&amp;DATE($I$2,O$4,O$5))</f>
        <v/>
      </c>
      <c r="P57" s="322">
        <f>SUM(D57:O57)</f>
        <v/>
      </c>
      <c r="Q57" s="118" t="n"/>
    </row>
    <row r="58" hidden="1" outlineLevel="1" ht="17.45" customHeight="1">
      <c r="A58" s="269" t="n">
        <v>27</v>
      </c>
      <c r="B58" s="267" t="inlineStr">
        <is>
          <t>THĂNG LONG INVEST</t>
        </is>
      </c>
      <c r="C58" s="119" t="inlineStr">
        <is>
          <t>Kế hoạch</t>
        </is>
      </c>
      <c r="D58" s="321">
        <f>SUMIFS(DATA!$I:$I,DATA!$C:$C,$B58,DATA!$J:$J,"&gt;="&amp;DATE($I$2,D$4,1),DATA!$J:$J,"&lt;="&amp;DATE($I$2,D$4,D$5))</f>
        <v/>
      </c>
      <c r="E58" s="321">
        <f>SUMIFS(DATA!$I:$I,DATA!$C:$C,$B58,DATA!$J:$J,"&gt;="&amp;DATE($I$2,E$4,1),DATA!$J:$J,"&lt;="&amp;DATE($I$2,E$4,E$5))</f>
        <v/>
      </c>
      <c r="F58" s="321">
        <f>SUMIFS(DATA!$I:$I,DATA!$C:$C,$B58,DATA!$J:$J,"&gt;="&amp;DATE($I$2,F$4,1),DATA!$J:$J,"&lt;="&amp;DATE($I$2,F$4,F$5))</f>
        <v/>
      </c>
      <c r="G58" s="321">
        <f>SUMIFS(DATA!$I:$I,DATA!$C:$C,$B58,DATA!$J:$J,"&gt;="&amp;DATE($I$2,G$4,1),DATA!$J:$J,"&lt;="&amp;DATE($I$2,G$4,G$5))</f>
        <v/>
      </c>
      <c r="H58" s="321">
        <f>SUMIFS(DATA!$I:$I,DATA!$C:$C,$B58,DATA!$J:$J,"&gt;="&amp;DATE($I$2,H$4,1),DATA!$J:$J,"&lt;="&amp;DATE($I$2,H$4,H$5))</f>
        <v/>
      </c>
      <c r="I58" s="321">
        <f>SUMIFS(DATA!$I:$I,DATA!$C:$C,$B58,DATA!$J:$J,"&gt;="&amp;DATE($I$2,I$4,1),DATA!$J:$J,"&lt;="&amp;DATE($I$2,I$4,I$5))</f>
        <v/>
      </c>
      <c r="J58" s="321">
        <f>SUMIFS(DATA!$I:$I,DATA!$C:$C,$B58,DATA!$J:$J,"&gt;="&amp;DATE($I$2,J$4,1),DATA!$J:$J,"&lt;="&amp;DATE($I$2,J$4,J$5))</f>
        <v/>
      </c>
      <c r="K58" s="321">
        <f>SUMIFS(DATA!$I:$I,DATA!$C:$C,$B58,DATA!$J:$J,"&gt;="&amp;DATE($I$2,K$4,1),DATA!$J:$J,"&lt;="&amp;DATE($I$2,K$4,K$5))</f>
        <v/>
      </c>
      <c r="L58" s="321">
        <f>SUMIFS(DATA!$I:$I,DATA!$C:$C,$B58,DATA!$J:$J,"&gt;="&amp;DATE($I$2,L$4,1),DATA!$J:$J,"&lt;="&amp;DATE($I$2,L$4,L$5))</f>
        <v/>
      </c>
      <c r="M58" s="321">
        <f>SUMIFS(DATA!$I:$I,DATA!$C:$C,$B58,DATA!$J:$J,"&gt;="&amp;DATE($I$2,M$4,1),DATA!$J:$J,"&lt;="&amp;DATE($I$2,M$4,M$5))</f>
        <v/>
      </c>
      <c r="N58" s="321">
        <f>SUMIFS(DATA!$I:$I,DATA!$C:$C,$B58,DATA!$J:$J,"&gt;="&amp;DATE($I$2,N$4,1),DATA!$J:$J,"&lt;="&amp;DATE($I$2,N$4,N$5))</f>
        <v/>
      </c>
      <c r="O58" s="321">
        <f>SUMIFS(DATA!$I:$I,DATA!$C:$C,$B58,DATA!$J:$J,"&gt;="&amp;DATE($I$2,O$4,1),DATA!$J:$J,"&lt;="&amp;DATE($I$2,O$4,O$5))</f>
        <v/>
      </c>
      <c r="P58" s="322">
        <f>SUM(D58:O58)</f>
        <v/>
      </c>
      <c r="Q58" s="118" t="n"/>
    </row>
    <row r="59" hidden="1" outlineLevel="1" ht="17.45" customHeight="1">
      <c r="A59" s="266" t="n"/>
      <c r="B59" s="268" t="n"/>
      <c r="C59" s="119" t="inlineStr">
        <is>
          <t>Thực tế</t>
        </is>
      </c>
      <c r="D59" s="321">
        <f>SUMIFS(DATA!$M:$M,DATA!$C:$C,$B58,DATA!$N:$N,"&gt;="&amp;DATE($I$2,D$4,1),DATA!$N:$N,"&lt;="&amp;DATE($I$2,D$4,D$5))</f>
        <v/>
      </c>
      <c r="E59" s="321">
        <f>SUMIFS(DATA!$M:$M,DATA!$C:$C,$B58,DATA!$N:$N,"&gt;="&amp;DATE($I$2,E$4,1),DATA!$N:$N,"&lt;="&amp;DATE($I$2,E$4,E$5))</f>
        <v/>
      </c>
      <c r="F59" s="321">
        <f>SUMIFS(DATA!$M:$M,DATA!$C:$C,$B58,DATA!$N:$N,"&gt;="&amp;DATE($I$2,F$4,1),DATA!$N:$N,"&lt;="&amp;DATE($I$2,F$4,F$5))</f>
        <v/>
      </c>
      <c r="G59" s="321">
        <f>SUMIFS(DATA!$M:$M,DATA!$C:$C,$B58,DATA!$N:$N,"&gt;="&amp;DATE($I$2,G$4,1),DATA!$N:$N,"&lt;="&amp;DATE($I$2,G$4,G$5))</f>
        <v/>
      </c>
      <c r="H59" s="321">
        <f>SUMIFS(DATA!$M:$M,DATA!$C:$C,$B58,DATA!$N:$N,"&gt;="&amp;DATE($I$2,H$4,1),DATA!$N:$N,"&lt;="&amp;DATE($I$2,H$4,H$5))</f>
        <v/>
      </c>
      <c r="I59" s="321">
        <f>SUMIFS(DATA!$M:$M,DATA!$C:$C,$B58,DATA!$N:$N,"&gt;="&amp;DATE($I$2,I$4,1),DATA!$N:$N,"&lt;="&amp;DATE($I$2,I$4,I$5))</f>
        <v/>
      </c>
      <c r="J59" s="321">
        <f>SUMIFS(DATA!$M:$M,DATA!$C:$C,$B58,DATA!$N:$N,"&gt;="&amp;DATE($I$2,J$4,1),DATA!$N:$N,"&lt;="&amp;DATE($I$2,J$4,J$5))</f>
        <v/>
      </c>
      <c r="K59" s="321">
        <f>SUMIFS(DATA!$M:$M,DATA!$C:$C,$B58,DATA!$N:$N,"&gt;="&amp;DATE($I$2,K$4,1),DATA!$N:$N,"&lt;="&amp;DATE($I$2,K$4,K$5))</f>
        <v/>
      </c>
      <c r="L59" s="321">
        <f>SUMIFS(DATA!$M:$M,DATA!$C:$C,$B58,DATA!$N:$N,"&gt;="&amp;DATE($I$2,L$4,1),DATA!$N:$N,"&lt;="&amp;DATE($I$2,L$4,L$5))</f>
        <v/>
      </c>
      <c r="M59" s="321">
        <f>SUMIFS(DATA!$M:$M,DATA!$C:$C,$B58,DATA!$N:$N,"&gt;="&amp;DATE($I$2,M$4,1),DATA!$N:$N,"&lt;="&amp;DATE($I$2,M$4,M$5))</f>
        <v/>
      </c>
      <c r="N59" s="321">
        <f>SUMIFS(DATA!$M:$M,DATA!$C:$C,$B58,DATA!$N:$N,"&gt;="&amp;DATE($I$2,N$4,1),DATA!$N:$N,"&lt;="&amp;DATE($I$2,N$4,N$5))</f>
        <v/>
      </c>
      <c r="O59" s="321">
        <f>SUMIFS(DATA!$M:$M,DATA!$C:$C,$B58,DATA!$N:$N,"&gt;="&amp;DATE($I$2,O$4,1),DATA!$N:$N,"&lt;="&amp;DATE($I$2,O$4,O$5))</f>
        <v/>
      </c>
      <c r="P59" s="322">
        <f>SUM(D59:O59)</f>
        <v/>
      </c>
      <c r="Q59" s="118" t="n"/>
    </row>
    <row r="60" hidden="1" outlineLevel="1" ht="17.45" customHeight="1">
      <c r="A60" s="269" t="n">
        <v>28</v>
      </c>
      <c r="B60" s="267" t="inlineStr">
        <is>
          <t>BAN QUẢN TRỊ KHU CĂN HỘ INDOCHINA PLAZA HÀ NỘI_(Lưu trữ)</t>
        </is>
      </c>
      <c r="C60" s="119" t="inlineStr">
        <is>
          <t>Kế hoạch</t>
        </is>
      </c>
      <c r="D60" s="321">
        <f>SUMIFS(DATA!$I:$I,DATA!$C:$C,$B60,DATA!$J:$J,"&gt;="&amp;DATE($I$2,D$4,1),DATA!$J:$J,"&lt;="&amp;DATE($I$2,D$4,D$5))</f>
        <v/>
      </c>
      <c r="E60" s="321">
        <f>SUMIFS(DATA!$I:$I,DATA!$C:$C,$B60,DATA!$J:$J,"&gt;="&amp;DATE($I$2,E$4,1),DATA!$J:$J,"&lt;="&amp;DATE($I$2,E$4,E$5))</f>
        <v/>
      </c>
      <c r="F60" s="321">
        <f>SUMIFS(DATA!$I:$I,DATA!$C:$C,$B60,DATA!$J:$J,"&gt;="&amp;DATE($I$2,F$4,1),DATA!$J:$J,"&lt;="&amp;DATE($I$2,F$4,F$5))</f>
        <v/>
      </c>
      <c r="G60" s="321">
        <f>SUMIFS(DATA!$I:$I,DATA!$C:$C,$B60,DATA!$J:$J,"&gt;="&amp;DATE($I$2,G$4,1),DATA!$J:$J,"&lt;="&amp;DATE($I$2,G$4,G$5))</f>
        <v/>
      </c>
      <c r="H60" s="321">
        <f>SUMIFS(DATA!$I:$I,DATA!$C:$C,$B60,DATA!$J:$J,"&gt;="&amp;DATE($I$2,H$4,1),DATA!$J:$J,"&lt;="&amp;DATE($I$2,H$4,H$5))</f>
        <v/>
      </c>
      <c r="I60" s="321">
        <f>SUMIFS(DATA!$I:$I,DATA!$C:$C,$B60,DATA!$J:$J,"&gt;="&amp;DATE($I$2,I$4,1),DATA!$J:$J,"&lt;="&amp;DATE($I$2,I$4,I$5))</f>
        <v/>
      </c>
      <c r="J60" s="321">
        <f>SUMIFS(DATA!$I:$I,DATA!$C:$C,$B60,DATA!$J:$J,"&gt;="&amp;DATE($I$2,J$4,1),DATA!$J:$J,"&lt;="&amp;DATE($I$2,J$4,J$5))</f>
        <v/>
      </c>
      <c r="K60" s="321">
        <f>SUMIFS(DATA!$I:$I,DATA!$C:$C,$B60,DATA!$J:$J,"&gt;="&amp;DATE($I$2,K$4,1),DATA!$J:$J,"&lt;="&amp;DATE($I$2,K$4,K$5))</f>
        <v/>
      </c>
      <c r="L60" s="321">
        <f>SUMIFS(DATA!$I:$I,DATA!$C:$C,$B60,DATA!$J:$J,"&gt;="&amp;DATE($I$2,L$4,1),DATA!$J:$J,"&lt;="&amp;DATE($I$2,L$4,L$5))</f>
        <v/>
      </c>
      <c r="M60" s="321">
        <f>SUMIFS(DATA!$I:$I,DATA!$C:$C,$B60,DATA!$J:$J,"&gt;="&amp;DATE($I$2,M$4,1),DATA!$J:$J,"&lt;="&amp;DATE($I$2,M$4,M$5))</f>
        <v/>
      </c>
      <c r="N60" s="321">
        <f>SUMIFS(DATA!$I:$I,DATA!$C:$C,$B60,DATA!$J:$J,"&gt;="&amp;DATE($I$2,N$4,1),DATA!$J:$J,"&lt;="&amp;DATE($I$2,N$4,N$5))</f>
        <v/>
      </c>
      <c r="O60" s="321">
        <f>SUMIFS(DATA!$I:$I,DATA!$C:$C,$B60,DATA!$J:$J,"&gt;="&amp;DATE($I$2,O$4,1),DATA!$J:$J,"&lt;="&amp;DATE($I$2,O$4,O$5))</f>
        <v/>
      </c>
      <c r="P60" s="322">
        <f>SUM(D60:O60)</f>
        <v/>
      </c>
      <c r="Q60" s="118" t="n"/>
    </row>
    <row r="61" hidden="1" outlineLevel="1" ht="17.45" customHeight="1">
      <c r="A61" s="266" t="n"/>
      <c r="B61" s="268" t="n"/>
      <c r="C61" s="119" t="inlineStr">
        <is>
          <t>Thực tế</t>
        </is>
      </c>
      <c r="D61" s="321">
        <f>SUMIFS(DATA!$M:$M,DATA!$C:$C,$B60,DATA!$N:$N,"&gt;="&amp;DATE($I$2,D$4,1),DATA!$N:$N,"&lt;="&amp;DATE($I$2,D$4,D$5))</f>
        <v/>
      </c>
      <c r="E61" s="321">
        <f>SUMIFS(DATA!$M:$M,DATA!$C:$C,$B60,DATA!$N:$N,"&gt;="&amp;DATE($I$2,E$4,1),DATA!$N:$N,"&lt;="&amp;DATE($I$2,E$4,E$5))</f>
        <v/>
      </c>
      <c r="F61" s="321">
        <f>SUMIFS(DATA!$M:$M,DATA!$C:$C,$B60,DATA!$N:$N,"&gt;="&amp;DATE($I$2,F$4,1),DATA!$N:$N,"&lt;="&amp;DATE($I$2,F$4,F$5))</f>
        <v/>
      </c>
      <c r="G61" s="321">
        <f>SUMIFS(DATA!$M:$M,DATA!$C:$C,$B60,DATA!$N:$N,"&gt;="&amp;DATE($I$2,G$4,1),DATA!$N:$N,"&lt;="&amp;DATE($I$2,G$4,G$5))</f>
        <v/>
      </c>
      <c r="H61" s="321">
        <f>SUMIFS(DATA!$M:$M,DATA!$C:$C,$B60,DATA!$N:$N,"&gt;="&amp;DATE($I$2,H$4,1),DATA!$N:$N,"&lt;="&amp;DATE($I$2,H$4,H$5))</f>
        <v/>
      </c>
      <c r="I61" s="321">
        <f>SUMIFS(DATA!$M:$M,DATA!$C:$C,$B60,DATA!$N:$N,"&gt;="&amp;DATE($I$2,I$4,1),DATA!$N:$N,"&lt;="&amp;DATE($I$2,I$4,I$5))</f>
        <v/>
      </c>
      <c r="J61" s="321">
        <f>SUMIFS(DATA!$M:$M,DATA!$C:$C,$B60,DATA!$N:$N,"&gt;="&amp;DATE($I$2,J$4,1),DATA!$N:$N,"&lt;="&amp;DATE($I$2,J$4,J$5))</f>
        <v/>
      </c>
      <c r="K61" s="321">
        <f>SUMIFS(DATA!$M:$M,DATA!$C:$C,$B60,DATA!$N:$N,"&gt;="&amp;DATE($I$2,K$4,1),DATA!$N:$N,"&lt;="&amp;DATE($I$2,K$4,K$5))</f>
        <v/>
      </c>
      <c r="L61" s="321">
        <f>SUMIFS(DATA!$M:$M,DATA!$C:$C,$B60,DATA!$N:$N,"&gt;="&amp;DATE($I$2,L$4,1),DATA!$N:$N,"&lt;="&amp;DATE($I$2,L$4,L$5))</f>
        <v/>
      </c>
      <c r="M61" s="321">
        <f>SUMIFS(DATA!$M:$M,DATA!$C:$C,$B60,DATA!$N:$N,"&gt;="&amp;DATE($I$2,M$4,1),DATA!$N:$N,"&lt;="&amp;DATE($I$2,M$4,M$5))</f>
        <v/>
      </c>
      <c r="N61" s="321">
        <f>SUMIFS(DATA!$M:$M,DATA!$C:$C,$B60,DATA!$N:$N,"&gt;="&amp;DATE($I$2,N$4,1),DATA!$N:$N,"&lt;="&amp;DATE($I$2,N$4,N$5))</f>
        <v/>
      </c>
      <c r="O61" s="321">
        <f>SUMIFS(DATA!$M:$M,DATA!$C:$C,$B60,DATA!$N:$N,"&gt;="&amp;DATE($I$2,O$4,1),DATA!$N:$N,"&lt;="&amp;DATE($I$2,O$4,O$5))</f>
        <v/>
      </c>
      <c r="P61" s="322">
        <f>SUM(D61:O61)</f>
        <v/>
      </c>
      <c r="Q61" s="118" t="n"/>
    </row>
    <row r="62" hidden="1" outlineLevel="1" ht="17.45" customHeight="1">
      <c r="A62" s="269" t="n">
        <v>29</v>
      </c>
      <c r="B62" s="267" t="inlineStr">
        <is>
          <t>BIG C MÊ LINH</t>
        </is>
      </c>
      <c r="C62" s="119" t="inlineStr">
        <is>
          <t>Kế hoạch</t>
        </is>
      </c>
      <c r="D62" s="321">
        <f>SUMIFS(DATA!$I:$I,DATA!$C:$C,$B62,DATA!$J:$J,"&gt;="&amp;DATE($I$2,D$4,1),DATA!$J:$J,"&lt;="&amp;DATE($I$2,D$4,D$5))</f>
        <v/>
      </c>
      <c r="E62" s="321">
        <f>SUMIFS(DATA!$I:$I,DATA!$C:$C,$B62,DATA!$J:$J,"&gt;="&amp;DATE($I$2,E$4,1),DATA!$J:$J,"&lt;="&amp;DATE($I$2,E$4,E$5))</f>
        <v/>
      </c>
      <c r="F62" s="321">
        <f>SUMIFS(DATA!$I:$I,DATA!$C:$C,$B62,DATA!$J:$J,"&gt;="&amp;DATE($I$2,F$4,1),DATA!$J:$J,"&lt;="&amp;DATE($I$2,F$4,F$5))</f>
        <v/>
      </c>
      <c r="G62" s="321">
        <f>SUMIFS(DATA!$I:$I,DATA!$C:$C,$B62,DATA!$J:$J,"&gt;="&amp;DATE($I$2,G$4,1),DATA!$J:$J,"&lt;="&amp;DATE($I$2,G$4,G$5))</f>
        <v/>
      </c>
      <c r="H62" s="321">
        <f>SUMIFS(DATA!$I:$I,DATA!$C:$C,$B62,DATA!$J:$J,"&gt;="&amp;DATE($I$2,H$4,1),DATA!$J:$J,"&lt;="&amp;DATE($I$2,H$4,H$5))</f>
        <v/>
      </c>
      <c r="I62" s="321">
        <f>SUMIFS(DATA!$I:$I,DATA!$C:$C,$B62,DATA!$J:$J,"&gt;="&amp;DATE($I$2,I$4,1),DATA!$J:$J,"&lt;="&amp;DATE($I$2,I$4,I$5))</f>
        <v/>
      </c>
      <c r="J62" s="321">
        <f>SUMIFS(DATA!$I:$I,DATA!$C:$C,$B62,DATA!$J:$J,"&gt;="&amp;DATE($I$2,J$4,1),DATA!$J:$J,"&lt;="&amp;DATE($I$2,J$4,J$5))</f>
        <v/>
      </c>
      <c r="K62" s="321">
        <f>SUMIFS(DATA!$I:$I,DATA!$C:$C,$B62,DATA!$J:$J,"&gt;="&amp;DATE($I$2,K$4,1),DATA!$J:$J,"&lt;="&amp;DATE($I$2,K$4,K$5))</f>
        <v/>
      </c>
      <c r="L62" s="321">
        <f>SUMIFS(DATA!$I:$I,DATA!$C:$C,$B62,DATA!$J:$J,"&gt;="&amp;DATE($I$2,L$4,1),DATA!$J:$J,"&lt;="&amp;DATE($I$2,L$4,L$5))</f>
        <v/>
      </c>
      <c r="M62" s="321">
        <f>SUMIFS(DATA!$I:$I,DATA!$C:$C,$B62,DATA!$J:$J,"&gt;="&amp;DATE($I$2,M$4,1),DATA!$J:$J,"&lt;="&amp;DATE($I$2,M$4,M$5))</f>
        <v/>
      </c>
      <c r="N62" s="321">
        <f>SUMIFS(DATA!$I:$I,DATA!$C:$C,$B62,DATA!$J:$J,"&gt;="&amp;DATE($I$2,N$4,1),DATA!$J:$J,"&lt;="&amp;DATE($I$2,N$4,N$5))</f>
        <v/>
      </c>
      <c r="O62" s="321">
        <f>SUMIFS(DATA!$I:$I,DATA!$C:$C,$B62,DATA!$J:$J,"&gt;="&amp;DATE($I$2,O$4,1),DATA!$J:$J,"&lt;="&amp;DATE($I$2,O$4,O$5))</f>
        <v/>
      </c>
      <c r="P62" s="322">
        <f>SUM(D62:O62)</f>
        <v/>
      </c>
      <c r="Q62" s="118" t="n"/>
    </row>
    <row r="63" hidden="1" outlineLevel="1" ht="17.45" customHeight="1">
      <c r="A63" s="266" t="n"/>
      <c r="B63" s="268" t="n"/>
      <c r="C63" s="119" t="inlineStr">
        <is>
          <t>Thực tế</t>
        </is>
      </c>
      <c r="D63" s="321">
        <f>SUMIFS(DATA!$M:$M,DATA!$C:$C,$B62,DATA!$N:$N,"&gt;="&amp;DATE($I$2,D$4,1),DATA!$N:$N,"&lt;="&amp;DATE($I$2,D$4,D$5))</f>
        <v/>
      </c>
      <c r="E63" s="321">
        <f>SUMIFS(DATA!$M:$M,DATA!$C:$C,$B62,DATA!$N:$N,"&gt;="&amp;DATE($I$2,E$4,1),DATA!$N:$N,"&lt;="&amp;DATE($I$2,E$4,E$5))</f>
        <v/>
      </c>
      <c r="F63" s="321">
        <f>SUMIFS(DATA!$M:$M,DATA!$C:$C,$B62,DATA!$N:$N,"&gt;="&amp;DATE($I$2,F$4,1),DATA!$N:$N,"&lt;="&amp;DATE($I$2,F$4,F$5))</f>
        <v/>
      </c>
      <c r="G63" s="321">
        <f>SUMIFS(DATA!$M:$M,DATA!$C:$C,$B62,DATA!$N:$N,"&gt;="&amp;DATE($I$2,G$4,1),DATA!$N:$N,"&lt;="&amp;DATE($I$2,G$4,G$5))</f>
        <v/>
      </c>
      <c r="H63" s="321">
        <f>SUMIFS(DATA!$M:$M,DATA!$C:$C,$B62,DATA!$N:$N,"&gt;="&amp;DATE($I$2,H$4,1),DATA!$N:$N,"&lt;="&amp;DATE($I$2,H$4,H$5))</f>
        <v/>
      </c>
      <c r="I63" s="321">
        <f>SUMIFS(DATA!$M:$M,DATA!$C:$C,$B62,DATA!$N:$N,"&gt;="&amp;DATE($I$2,I$4,1),DATA!$N:$N,"&lt;="&amp;DATE($I$2,I$4,I$5))</f>
        <v/>
      </c>
      <c r="J63" s="321">
        <f>SUMIFS(DATA!$M:$M,DATA!$C:$C,$B62,DATA!$N:$N,"&gt;="&amp;DATE($I$2,J$4,1),DATA!$N:$N,"&lt;="&amp;DATE($I$2,J$4,J$5))</f>
        <v/>
      </c>
      <c r="K63" s="321">
        <f>SUMIFS(DATA!$M:$M,DATA!$C:$C,$B62,DATA!$N:$N,"&gt;="&amp;DATE($I$2,K$4,1),DATA!$N:$N,"&lt;="&amp;DATE($I$2,K$4,K$5))</f>
        <v/>
      </c>
      <c r="L63" s="321">
        <f>SUMIFS(DATA!$M:$M,DATA!$C:$C,$B62,DATA!$N:$N,"&gt;="&amp;DATE($I$2,L$4,1),DATA!$N:$N,"&lt;="&amp;DATE($I$2,L$4,L$5))</f>
        <v/>
      </c>
      <c r="M63" s="321">
        <f>SUMIFS(DATA!$M:$M,DATA!$C:$C,$B62,DATA!$N:$N,"&gt;="&amp;DATE($I$2,M$4,1),DATA!$N:$N,"&lt;="&amp;DATE($I$2,M$4,M$5))</f>
        <v/>
      </c>
      <c r="N63" s="321">
        <f>SUMIFS(DATA!$M:$M,DATA!$C:$C,$B62,DATA!$N:$N,"&gt;="&amp;DATE($I$2,N$4,1),DATA!$N:$N,"&lt;="&amp;DATE($I$2,N$4,N$5))</f>
        <v/>
      </c>
      <c r="O63" s="321">
        <f>SUMIFS(DATA!$M:$M,DATA!$C:$C,$B62,DATA!$N:$N,"&gt;="&amp;DATE($I$2,O$4,1),DATA!$N:$N,"&lt;="&amp;DATE($I$2,O$4,O$5))</f>
        <v/>
      </c>
      <c r="P63" s="322">
        <f>SUM(D63:O63)</f>
        <v/>
      </c>
      <c r="Q63" s="118" t="n"/>
    </row>
    <row r="64" hidden="1" outlineLevel="1" ht="17.45" customHeight="1">
      <c r="A64" s="269" t="n">
        <v>30</v>
      </c>
      <c r="B64" s="267" t="inlineStr">
        <is>
          <t>DETECH TOWER_(Lưu trữ)</t>
        </is>
      </c>
      <c r="C64" s="119" t="inlineStr">
        <is>
          <t>Kế hoạch</t>
        </is>
      </c>
      <c r="D64" s="321">
        <f>SUMIFS(DATA!$I:$I,DATA!$C:$C,$B64,DATA!$J:$J,"&gt;="&amp;DATE($I$2,D$4,1),DATA!$J:$J,"&lt;="&amp;DATE($I$2,D$4,D$5))</f>
        <v/>
      </c>
      <c r="E64" s="321">
        <f>SUMIFS(DATA!$I:$I,DATA!$C:$C,$B64,DATA!$J:$J,"&gt;="&amp;DATE($I$2,E$4,1),DATA!$J:$J,"&lt;="&amp;DATE($I$2,E$4,E$5))</f>
        <v/>
      </c>
      <c r="F64" s="321">
        <f>SUMIFS(DATA!$I:$I,DATA!$C:$C,$B64,DATA!$J:$J,"&gt;="&amp;DATE($I$2,F$4,1),DATA!$J:$J,"&lt;="&amp;DATE($I$2,F$4,F$5))</f>
        <v/>
      </c>
      <c r="G64" s="321">
        <f>SUMIFS(DATA!$I:$I,DATA!$C:$C,$B64,DATA!$J:$J,"&gt;="&amp;DATE($I$2,G$4,1),DATA!$J:$J,"&lt;="&amp;DATE($I$2,G$4,G$5))</f>
        <v/>
      </c>
      <c r="H64" s="321">
        <f>SUMIFS(DATA!$I:$I,DATA!$C:$C,$B64,DATA!$J:$J,"&gt;="&amp;DATE($I$2,H$4,1),DATA!$J:$J,"&lt;="&amp;DATE($I$2,H$4,H$5))</f>
        <v/>
      </c>
      <c r="I64" s="321">
        <f>SUMIFS(DATA!$I:$I,DATA!$C:$C,$B64,DATA!$J:$J,"&gt;="&amp;DATE($I$2,I$4,1),DATA!$J:$J,"&lt;="&amp;DATE($I$2,I$4,I$5))</f>
        <v/>
      </c>
      <c r="J64" s="321">
        <f>SUMIFS(DATA!$I:$I,DATA!$C:$C,$B64,DATA!$J:$J,"&gt;="&amp;DATE($I$2,J$4,1),DATA!$J:$J,"&lt;="&amp;DATE($I$2,J$4,J$5))</f>
        <v/>
      </c>
      <c r="K64" s="321">
        <f>SUMIFS(DATA!$I:$I,DATA!$C:$C,$B64,DATA!$J:$J,"&gt;="&amp;DATE($I$2,K$4,1),DATA!$J:$J,"&lt;="&amp;DATE($I$2,K$4,K$5))</f>
        <v/>
      </c>
      <c r="L64" s="321">
        <f>SUMIFS(DATA!$I:$I,DATA!$C:$C,$B64,DATA!$J:$J,"&gt;="&amp;DATE($I$2,L$4,1),DATA!$J:$J,"&lt;="&amp;DATE($I$2,L$4,L$5))</f>
        <v/>
      </c>
      <c r="M64" s="321">
        <f>SUMIFS(DATA!$I:$I,DATA!$C:$C,$B64,DATA!$J:$J,"&gt;="&amp;DATE($I$2,M$4,1),DATA!$J:$J,"&lt;="&amp;DATE($I$2,M$4,M$5))</f>
        <v/>
      </c>
      <c r="N64" s="321">
        <f>SUMIFS(DATA!$I:$I,DATA!$C:$C,$B64,DATA!$J:$J,"&gt;="&amp;DATE($I$2,N$4,1),DATA!$J:$J,"&lt;="&amp;DATE($I$2,N$4,N$5))</f>
        <v/>
      </c>
      <c r="O64" s="321">
        <f>SUMIFS(DATA!$I:$I,DATA!$C:$C,$B64,DATA!$J:$J,"&gt;="&amp;DATE($I$2,O$4,1),DATA!$J:$J,"&lt;="&amp;DATE($I$2,O$4,O$5))</f>
        <v/>
      </c>
      <c r="P64" s="322">
        <f>SUM(D64:O64)</f>
        <v/>
      </c>
      <c r="Q64" s="118" t="n"/>
    </row>
    <row r="65" hidden="1" outlineLevel="1" ht="17.45" customHeight="1">
      <c r="A65" s="266" t="n"/>
      <c r="B65" s="268" t="n"/>
      <c r="C65" s="119" t="inlineStr">
        <is>
          <t>Thực tế</t>
        </is>
      </c>
      <c r="D65" s="321">
        <f>SUMIFS(DATA!$M:$M,DATA!$C:$C,$B64,DATA!$N:$N,"&gt;="&amp;DATE($I$2,D$4,1),DATA!$N:$N,"&lt;="&amp;DATE($I$2,D$4,D$5))</f>
        <v/>
      </c>
      <c r="E65" s="321">
        <f>SUMIFS(DATA!$M:$M,DATA!$C:$C,$B64,DATA!$N:$N,"&gt;="&amp;DATE($I$2,E$4,1),DATA!$N:$N,"&lt;="&amp;DATE($I$2,E$4,E$5))</f>
        <v/>
      </c>
      <c r="F65" s="321">
        <f>SUMIFS(DATA!$M:$M,DATA!$C:$C,$B64,DATA!$N:$N,"&gt;="&amp;DATE($I$2,F$4,1),DATA!$N:$N,"&lt;="&amp;DATE($I$2,F$4,F$5))</f>
        <v/>
      </c>
      <c r="G65" s="321">
        <f>SUMIFS(DATA!$M:$M,DATA!$C:$C,$B64,DATA!$N:$N,"&gt;="&amp;DATE($I$2,G$4,1),DATA!$N:$N,"&lt;="&amp;DATE($I$2,G$4,G$5))</f>
        <v/>
      </c>
      <c r="H65" s="321">
        <f>SUMIFS(DATA!$M:$M,DATA!$C:$C,$B64,DATA!$N:$N,"&gt;="&amp;DATE($I$2,H$4,1),DATA!$N:$N,"&lt;="&amp;DATE($I$2,H$4,H$5))</f>
        <v/>
      </c>
      <c r="I65" s="321">
        <f>SUMIFS(DATA!$M:$M,DATA!$C:$C,$B64,DATA!$N:$N,"&gt;="&amp;DATE($I$2,I$4,1),DATA!$N:$N,"&lt;="&amp;DATE($I$2,I$4,I$5))</f>
        <v/>
      </c>
      <c r="J65" s="321">
        <f>SUMIFS(DATA!$M:$M,DATA!$C:$C,$B64,DATA!$N:$N,"&gt;="&amp;DATE($I$2,J$4,1),DATA!$N:$N,"&lt;="&amp;DATE($I$2,J$4,J$5))</f>
        <v/>
      </c>
      <c r="K65" s="321">
        <f>SUMIFS(DATA!$M:$M,DATA!$C:$C,$B64,DATA!$N:$N,"&gt;="&amp;DATE($I$2,K$4,1),DATA!$N:$N,"&lt;="&amp;DATE($I$2,K$4,K$5))</f>
        <v/>
      </c>
      <c r="L65" s="321">
        <f>SUMIFS(DATA!$M:$M,DATA!$C:$C,$B64,DATA!$N:$N,"&gt;="&amp;DATE($I$2,L$4,1),DATA!$N:$N,"&lt;="&amp;DATE($I$2,L$4,L$5))</f>
        <v/>
      </c>
      <c r="M65" s="321">
        <f>SUMIFS(DATA!$M:$M,DATA!$C:$C,$B64,DATA!$N:$N,"&gt;="&amp;DATE($I$2,M$4,1),DATA!$N:$N,"&lt;="&amp;DATE($I$2,M$4,M$5))</f>
        <v/>
      </c>
      <c r="N65" s="321">
        <f>SUMIFS(DATA!$M:$M,DATA!$C:$C,$B64,DATA!$N:$N,"&gt;="&amp;DATE($I$2,N$4,1),DATA!$N:$N,"&lt;="&amp;DATE($I$2,N$4,N$5))</f>
        <v/>
      </c>
      <c r="O65" s="321">
        <f>SUMIFS(DATA!$M:$M,DATA!$C:$C,$B64,DATA!$N:$N,"&gt;="&amp;DATE($I$2,O$4,1),DATA!$N:$N,"&lt;="&amp;DATE($I$2,O$4,O$5))</f>
        <v/>
      </c>
      <c r="P65" s="322">
        <f>SUM(D65:O65)</f>
        <v/>
      </c>
      <c r="Q65" s="118" t="n"/>
    </row>
    <row r="66" hidden="1" outlineLevel="1" ht="15" customHeight="1">
      <c r="A66" s="269" t="n">
        <v>31</v>
      </c>
      <c r="B66" s="267" t="inlineStr">
        <is>
          <t>BỘ TƯ LỆNH PHÁO BINH_(Lưu Trữ)</t>
        </is>
      </c>
      <c r="C66" s="119" t="inlineStr">
        <is>
          <t>Kế hoạch</t>
        </is>
      </c>
      <c r="D66" s="321">
        <f>SUMIFS(DATA!$I:$I,DATA!$C:$C,$B66,DATA!$J:$J,"&gt;="&amp;DATE($I$2,D$4,1),DATA!$J:$J,"&lt;="&amp;DATE($I$2,D$4,D$5))</f>
        <v/>
      </c>
      <c r="E66" s="321">
        <f>SUMIFS(DATA!$I:$I,DATA!$C:$C,$B66,DATA!$J:$J,"&gt;="&amp;DATE($I$2,E$4,1),DATA!$J:$J,"&lt;="&amp;DATE($I$2,E$4,E$5))</f>
        <v/>
      </c>
      <c r="F66" s="321">
        <f>SUMIFS(DATA!$I:$I,DATA!$C:$C,$B66,DATA!$J:$J,"&gt;="&amp;DATE($I$2,F$4,1),DATA!$J:$J,"&lt;="&amp;DATE($I$2,F$4,F$5))</f>
        <v/>
      </c>
      <c r="G66" s="321">
        <f>SUMIFS(DATA!$I:$I,DATA!$C:$C,$B66,DATA!$J:$J,"&gt;="&amp;DATE($I$2,G$4,1),DATA!$J:$J,"&lt;="&amp;DATE($I$2,G$4,G$5))</f>
        <v/>
      </c>
      <c r="H66" s="321">
        <f>SUMIFS(DATA!$I:$I,DATA!$C:$C,$B66,DATA!$J:$J,"&gt;="&amp;DATE($I$2,H$4,1),DATA!$J:$J,"&lt;="&amp;DATE($I$2,H$4,H$5))</f>
        <v/>
      </c>
      <c r="I66" s="321">
        <f>SUMIFS(DATA!$I:$I,DATA!$C:$C,$B66,DATA!$J:$J,"&gt;="&amp;DATE($I$2,I$4,1),DATA!$J:$J,"&lt;="&amp;DATE($I$2,I$4,I$5))</f>
        <v/>
      </c>
      <c r="J66" s="321">
        <f>SUMIFS(DATA!$I:$I,DATA!$C:$C,$B66,DATA!$J:$J,"&gt;="&amp;DATE($I$2,J$4,1),DATA!$J:$J,"&lt;="&amp;DATE($I$2,J$4,J$5))</f>
        <v/>
      </c>
      <c r="K66" s="321">
        <f>SUMIFS(DATA!$I:$I,DATA!$C:$C,$B66,DATA!$J:$J,"&gt;="&amp;DATE($I$2,K$4,1),DATA!$J:$J,"&lt;="&amp;DATE($I$2,K$4,K$5))</f>
        <v/>
      </c>
      <c r="L66" s="321">
        <f>SUMIFS(DATA!$I:$I,DATA!$C:$C,$B66,DATA!$J:$J,"&gt;="&amp;DATE($I$2,L$4,1),DATA!$J:$J,"&lt;="&amp;DATE($I$2,L$4,L$5))</f>
        <v/>
      </c>
      <c r="M66" s="321">
        <f>SUMIFS(DATA!$I:$I,DATA!$C:$C,$B66,DATA!$J:$J,"&gt;="&amp;DATE($I$2,M$4,1),DATA!$J:$J,"&lt;="&amp;DATE($I$2,M$4,M$5))</f>
        <v/>
      </c>
      <c r="N66" s="321">
        <f>SUMIFS(DATA!$I:$I,DATA!$C:$C,$B66,DATA!$J:$J,"&gt;="&amp;DATE($I$2,N$4,1),DATA!$J:$J,"&lt;="&amp;DATE($I$2,N$4,N$5))</f>
        <v/>
      </c>
      <c r="O66" s="321">
        <f>SUMIFS(DATA!$I:$I,DATA!$C:$C,$B66,DATA!$J:$J,"&gt;="&amp;DATE($I$2,O$4,1),DATA!$J:$J,"&lt;="&amp;DATE($I$2,O$4,O$5))</f>
        <v/>
      </c>
      <c r="P66" s="322">
        <f>SUM(D66:O66)</f>
        <v/>
      </c>
      <c r="Q66" s="118" t="n"/>
    </row>
    <row r="67" hidden="1" outlineLevel="1" ht="17.45" customHeight="1">
      <c r="A67" s="266" t="n"/>
      <c r="B67" s="268" t="n"/>
      <c r="C67" s="119" t="inlineStr">
        <is>
          <t>Thực tế</t>
        </is>
      </c>
      <c r="D67" s="321">
        <f>SUMIFS(DATA!$M:$M,DATA!$C:$C,$B66,DATA!$N:$N,"&gt;="&amp;DATE($I$2,D$4,1),DATA!$N:$N,"&lt;="&amp;DATE($I$2,D$4,D$5))</f>
        <v/>
      </c>
      <c r="E67" s="321">
        <f>SUMIFS(DATA!$M:$M,DATA!$C:$C,$B66,DATA!$N:$N,"&gt;="&amp;DATE($I$2,E$4,1),DATA!$N:$N,"&lt;="&amp;DATE($I$2,E$4,E$5))</f>
        <v/>
      </c>
      <c r="F67" s="321">
        <f>SUMIFS(DATA!$M:$M,DATA!$C:$C,$B66,DATA!$N:$N,"&gt;="&amp;DATE($I$2,F$4,1),DATA!$N:$N,"&lt;="&amp;DATE($I$2,F$4,F$5))</f>
        <v/>
      </c>
      <c r="G67" s="321">
        <f>SUMIFS(DATA!$M:$M,DATA!$C:$C,$B66,DATA!$N:$N,"&gt;="&amp;DATE($I$2,G$4,1),DATA!$N:$N,"&lt;="&amp;DATE($I$2,G$4,G$5))</f>
        <v/>
      </c>
      <c r="H67" s="321">
        <f>SUMIFS(DATA!$M:$M,DATA!$C:$C,$B66,DATA!$N:$N,"&gt;="&amp;DATE($I$2,H$4,1),DATA!$N:$N,"&lt;="&amp;DATE($I$2,H$4,H$5))</f>
        <v/>
      </c>
      <c r="I67" s="321">
        <f>SUMIFS(DATA!$M:$M,DATA!$C:$C,$B66,DATA!$N:$N,"&gt;="&amp;DATE($I$2,I$4,1),DATA!$N:$N,"&lt;="&amp;DATE($I$2,I$4,I$5))</f>
        <v/>
      </c>
      <c r="J67" s="321">
        <f>SUMIFS(DATA!$M:$M,DATA!$C:$C,$B66,DATA!$N:$N,"&gt;="&amp;DATE($I$2,J$4,1),DATA!$N:$N,"&lt;="&amp;DATE($I$2,J$4,J$5))</f>
        <v/>
      </c>
      <c r="K67" s="321">
        <f>SUMIFS(DATA!$M:$M,DATA!$C:$C,$B66,DATA!$N:$N,"&gt;="&amp;DATE($I$2,K$4,1),DATA!$N:$N,"&lt;="&amp;DATE($I$2,K$4,K$5))</f>
        <v/>
      </c>
      <c r="L67" s="321">
        <f>SUMIFS(DATA!$M:$M,DATA!$C:$C,$B66,DATA!$N:$N,"&gt;="&amp;DATE($I$2,L$4,1),DATA!$N:$N,"&lt;="&amp;DATE($I$2,L$4,L$5))</f>
        <v/>
      </c>
      <c r="M67" s="321">
        <f>SUMIFS(DATA!$M:$M,DATA!$C:$C,$B66,DATA!$N:$N,"&gt;="&amp;DATE($I$2,M$4,1),DATA!$N:$N,"&lt;="&amp;DATE($I$2,M$4,M$5))</f>
        <v/>
      </c>
      <c r="N67" s="321">
        <f>SUMIFS(DATA!$M:$M,DATA!$C:$C,$B66,DATA!$N:$N,"&gt;="&amp;DATE($I$2,N$4,1),DATA!$N:$N,"&lt;="&amp;DATE($I$2,N$4,N$5))</f>
        <v/>
      </c>
      <c r="O67" s="321">
        <f>SUMIFS(DATA!$M:$M,DATA!$C:$C,$B66,DATA!$N:$N,"&gt;="&amp;DATE($I$2,O$4,1),DATA!$N:$N,"&lt;="&amp;DATE($I$2,O$4,O$5))</f>
        <v/>
      </c>
      <c r="P67" s="322">
        <f>SUM(D67:O67)</f>
        <v/>
      </c>
      <c r="Q67" s="118" t="n"/>
    </row>
    <row r="68" hidden="1" outlineLevel="1" ht="15" customHeight="1">
      <c r="A68" s="269" t="n">
        <v>32</v>
      </c>
      <c r="B68" s="267" t="inlineStr">
        <is>
          <t>HC GOLDEN CITY</t>
        </is>
      </c>
      <c r="C68" s="119" t="inlineStr">
        <is>
          <t>Kế hoạch</t>
        </is>
      </c>
      <c r="D68" s="321">
        <f>SUMIFS(DATA!$I:$I,DATA!$C:$C,$B68,DATA!$J:$J,"&gt;="&amp;DATE($I$2,D$4,1),DATA!$J:$J,"&lt;="&amp;DATE($I$2,D$4,D$5))</f>
        <v/>
      </c>
      <c r="E68" s="321">
        <f>SUMIFS(DATA!$I:$I,DATA!$C:$C,$B68,DATA!$J:$J,"&gt;="&amp;DATE($I$2,E$4,1),DATA!$J:$J,"&lt;="&amp;DATE($I$2,E$4,E$5))</f>
        <v/>
      </c>
      <c r="F68" s="321">
        <f>SUMIFS(DATA!$I:$I,DATA!$C:$C,$B68,DATA!$J:$J,"&gt;="&amp;DATE($I$2,F$4,1),DATA!$J:$J,"&lt;="&amp;DATE($I$2,F$4,F$5))</f>
        <v/>
      </c>
      <c r="G68" s="321">
        <f>SUMIFS(DATA!$I:$I,DATA!$C:$C,$B68,DATA!$J:$J,"&gt;="&amp;DATE($I$2,G$4,1),DATA!$J:$J,"&lt;="&amp;DATE($I$2,G$4,G$5))</f>
        <v/>
      </c>
      <c r="H68" s="321">
        <f>SUMIFS(DATA!$I:$I,DATA!$C:$C,$B68,DATA!$J:$J,"&gt;="&amp;DATE($I$2,H$4,1),DATA!$J:$J,"&lt;="&amp;DATE($I$2,H$4,H$5))</f>
        <v/>
      </c>
      <c r="I68" s="321">
        <f>SUMIFS(DATA!$I:$I,DATA!$C:$C,$B68,DATA!$J:$J,"&gt;="&amp;DATE($I$2,I$4,1),DATA!$J:$J,"&lt;="&amp;DATE($I$2,I$4,I$5))</f>
        <v/>
      </c>
      <c r="J68" s="321">
        <f>SUMIFS(DATA!$I:$I,DATA!$C:$C,$B68,DATA!$J:$J,"&gt;="&amp;DATE($I$2,J$4,1),DATA!$J:$J,"&lt;="&amp;DATE($I$2,J$4,J$5))</f>
        <v/>
      </c>
      <c r="K68" s="321">
        <f>SUMIFS(DATA!$I:$I,DATA!$C:$C,$B68,DATA!$J:$J,"&gt;="&amp;DATE($I$2,K$4,1),DATA!$J:$J,"&lt;="&amp;DATE($I$2,K$4,K$5))</f>
        <v/>
      </c>
      <c r="L68" s="321">
        <f>SUMIFS(DATA!$I:$I,DATA!$C:$C,$B68,DATA!$J:$J,"&gt;="&amp;DATE($I$2,L$4,1),DATA!$J:$J,"&lt;="&amp;DATE($I$2,L$4,L$5))</f>
        <v/>
      </c>
      <c r="M68" s="321">
        <f>SUMIFS(DATA!$I:$I,DATA!$C:$C,$B68,DATA!$J:$J,"&gt;="&amp;DATE($I$2,M$4,1),DATA!$J:$J,"&lt;="&amp;DATE($I$2,M$4,M$5))</f>
        <v/>
      </c>
      <c r="N68" s="321">
        <f>SUMIFS(DATA!$I:$I,DATA!$C:$C,$B68,DATA!$J:$J,"&gt;="&amp;DATE($I$2,N$4,1),DATA!$J:$J,"&lt;="&amp;DATE($I$2,N$4,N$5))</f>
        <v/>
      </c>
      <c r="O68" s="321">
        <f>SUMIFS(DATA!$I:$I,DATA!$C:$C,$B68,DATA!$J:$J,"&gt;="&amp;DATE($I$2,O$4,1),DATA!$J:$J,"&lt;="&amp;DATE($I$2,O$4,O$5))</f>
        <v/>
      </c>
      <c r="P68" s="322">
        <f>SUM(D68:O68)</f>
        <v/>
      </c>
      <c r="Q68" s="118" t="n"/>
    </row>
    <row r="69" hidden="1" outlineLevel="1" ht="15" customHeight="1">
      <c r="A69" s="266" t="n"/>
      <c r="B69" s="268" t="n"/>
      <c r="C69" s="119" t="inlineStr">
        <is>
          <t>Thực tế</t>
        </is>
      </c>
      <c r="D69" s="321">
        <f>SUMIFS(DATA!$M:$M,DATA!$C:$C,$B68,DATA!$N:$N,"&gt;="&amp;DATE($I$2,D$4,1),DATA!$N:$N,"&lt;="&amp;DATE($I$2,D$4,D$5))</f>
        <v/>
      </c>
      <c r="E69" s="321">
        <f>SUMIFS(DATA!$M:$M,DATA!$C:$C,$B68,DATA!$N:$N,"&gt;="&amp;DATE($I$2,E$4,1),DATA!$N:$N,"&lt;="&amp;DATE($I$2,E$4,E$5))</f>
        <v/>
      </c>
      <c r="F69" s="321">
        <f>SUMIFS(DATA!$M:$M,DATA!$C:$C,$B68,DATA!$N:$N,"&gt;="&amp;DATE($I$2,F$4,1),DATA!$N:$N,"&lt;="&amp;DATE($I$2,F$4,F$5))</f>
        <v/>
      </c>
      <c r="G69" s="321">
        <f>SUMIFS(DATA!$M:$M,DATA!$C:$C,$B68,DATA!$N:$N,"&gt;="&amp;DATE($I$2,G$4,1),DATA!$N:$N,"&lt;="&amp;DATE($I$2,G$4,G$5))</f>
        <v/>
      </c>
      <c r="H69" s="321">
        <f>SUMIFS(DATA!$M:$M,DATA!$C:$C,$B68,DATA!$N:$N,"&gt;="&amp;DATE($I$2,H$4,1),DATA!$N:$N,"&lt;="&amp;DATE($I$2,H$4,H$5))</f>
        <v/>
      </c>
      <c r="I69" s="321">
        <f>SUMIFS(DATA!$M:$M,DATA!$C:$C,$B68,DATA!$N:$N,"&gt;="&amp;DATE($I$2,I$4,1),DATA!$N:$N,"&lt;="&amp;DATE($I$2,I$4,I$5))</f>
        <v/>
      </c>
      <c r="J69" s="321">
        <f>SUMIFS(DATA!$M:$M,DATA!$C:$C,$B68,DATA!$N:$N,"&gt;="&amp;DATE($I$2,J$4,1),DATA!$N:$N,"&lt;="&amp;DATE($I$2,J$4,J$5))</f>
        <v/>
      </c>
      <c r="K69" s="321">
        <f>SUMIFS(DATA!$M:$M,DATA!$C:$C,$B68,DATA!$N:$N,"&gt;="&amp;DATE($I$2,K$4,1),DATA!$N:$N,"&lt;="&amp;DATE($I$2,K$4,K$5))</f>
        <v/>
      </c>
      <c r="L69" s="321">
        <f>SUMIFS(DATA!$M:$M,DATA!$C:$C,$B68,DATA!$N:$N,"&gt;="&amp;DATE($I$2,L$4,1),DATA!$N:$N,"&lt;="&amp;DATE($I$2,L$4,L$5))</f>
        <v/>
      </c>
      <c r="M69" s="321">
        <f>SUMIFS(DATA!$M:$M,DATA!$C:$C,$B68,DATA!$N:$N,"&gt;="&amp;DATE($I$2,M$4,1),DATA!$N:$N,"&lt;="&amp;DATE($I$2,M$4,M$5))</f>
        <v/>
      </c>
      <c r="N69" s="321">
        <f>SUMIFS(DATA!$M:$M,DATA!$C:$C,$B68,DATA!$N:$N,"&gt;="&amp;DATE($I$2,N$4,1),DATA!$N:$N,"&lt;="&amp;DATE($I$2,N$4,N$5))</f>
        <v/>
      </c>
      <c r="O69" s="321">
        <f>SUMIFS(DATA!$M:$M,DATA!$C:$C,$B68,DATA!$N:$N,"&gt;="&amp;DATE($I$2,O$4,1),DATA!$N:$N,"&lt;="&amp;DATE($I$2,O$4,O$5))</f>
        <v/>
      </c>
      <c r="P69" s="322">
        <f>SUM(D69:O69)</f>
        <v/>
      </c>
      <c r="Q69" s="118" t="n"/>
    </row>
    <row r="70" hidden="1" outlineLevel="1" ht="15" customHeight="1">
      <c r="A70" s="269" t="n">
        <v>33</v>
      </c>
      <c r="B70" s="265" t="inlineStr">
        <is>
          <t>WORLD BANK</t>
        </is>
      </c>
      <c r="C70" s="119" t="inlineStr">
        <is>
          <t>Kế hoạch</t>
        </is>
      </c>
      <c r="D70" s="321">
        <f>SUMIFS(DATA!$I:$I,DATA!$C:$C,$B70,DATA!$J:$J,"&gt;="&amp;DATE($I$2,D$4,1),DATA!$J:$J,"&lt;="&amp;DATE($I$2,D$4,D$5))</f>
        <v/>
      </c>
      <c r="E70" s="321">
        <f>SUMIFS(DATA!$I:$I,DATA!$C:$C,$B70,DATA!$J:$J,"&gt;="&amp;DATE($I$2,E$4,1),DATA!$J:$J,"&lt;="&amp;DATE($I$2,E$4,E$5))</f>
        <v/>
      </c>
      <c r="F70" s="321">
        <f>SUMIFS(DATA!$I:$I,DATA!$C:$C,$B70,DATA!$J:$J,"&gt;="&amp;DATE($I$2,F$4,1),DATA!$J:$J,"&lt;="&amp;DATE($I$2,F$4,F$5))</f>
        <v/>
      </c>
      <c r="G70" s="321">
        <f>SUMIFS(DATA!$I:$I,DATA!$C:$C,$B70,DATA!$J:$J,"&gt;="&amp;DATE($I$2,G$4,1),DATA!$J:$J,"&lt;="&amp;DATE($I$2,G$4,G$5))</f>
        <v/>
      </c>
      <c r="H70" s="321">
        <f>SUMIFS(DATA!$I:$I,DATA!$C:$C,$B70,DATA!$J:$J,"&gt;="&amp;DATE($I$2,H$4,1),DATA!$J:$J,"&lt;="&amp;DATE($I$2,H$4,H$5))</f>
        <v/>
      </c>
      <c r="I70" s="321">
        <f>SUMIFS(DATA!$I:$I,DATA!$C:$C,$B70,DATA!$J:$J,"&gt;="&amp;DATE($I$2,I$4,1),DATA!$J:$J,"&lt;="&amp;DATE($I$2,I$4,I$5))</f>
        <v/>
      </c>
      <c r="J70" s="321">
        <f>SUMIFS(DATA!$I:$I,DATA!$C:$C,$B70,DATA!$J:$J,"&gt;="&amp;DATE($I$2,J$4,1),DATA!$J:$J,"&lt;="&amp;DATE($I$2,J$4,J$5))</f>
        <v/>
      </c>
      <c r="K70" s="321">
        <f>SUMIFS(DATA!$I:$I,DATA!$C:$C,$B70,DATA!$J:$J,"&gt;="&amp;DATE($I$2,K$4,1),DATA!$J:$J,"&lt;="&amp;DATE($I$2,K$4,K$5))</f>
        <v/>
      </c>
      <c r="L70" s="321">
        <f>SUMIFS(DATA!$I:$I,DATA!$C:$C,$B70,DATA!$J:$J,"&gt;="&amp;DATE($I$2,L$4,1),DATA!$J:$J,"&lt;="&amp;DATE($I$2,L$4,L$5))</f>
        <v/>
      </c>
      <c r="M70" s="321">
        <f>SUMIFS(DATA!$I:$I,DATA!$C:$C,$B70,DATA!$J:$J,"&gt;="&amp;DATE($I$2,M$4,1),DATA!$J:$J,"&lt;="&amp;DATE($I$2,M$4,M$5))</f>
        <v/>
      </c>
      <c r="N70" s="321">
        <f>SUMIFS(DATA!$I:$I,DATA!$C:$C,$B70,DATA!$J:$J,"&gt;="&amp;DATE($I$2,N$4,1),DATA!$J:$J,"&lt;="&amp;DATE($I$2,N$4,N$5))</f>
        <v/>
      </c>
      <c r="O70" s="321">
        <f>SUMIFS(DATA!$I:$I,DATA!$C:$C,$B70,DATA!$J:$J,"&gt;="&amp;DATE($I$2,O$4,1),DATA!$J:$J,"&lt;="&amp;DATE($I$2,O$4,O$5))</f>
        <v/>
      </c>
      <c r="P70" s="322">
        <f>SUM(D70:O70)</f>
        <v/>
      </c>
      <c r="Q70" s="118" t="n"/>
    </row>
    <row r="71" hidden="1" outlineLevel="1" ht="15" customHeight="1">
      <c r="A71" s="266" t="n"/>
      <c r="B71" s="266" t="n"/>
      <c r="C71" s="119" t="inlineStr">
        <is>
          <t>Thực tế</t>
        </is>
      </c>
      <c r="D71" s="321">
        <f>SUMIFS(DATA!$M:$M,DATA!$C:$C,$B70,DATA!$N:$N,"&gt;="&amp;DATE($I$2,D$4,1),DATA!$N:$N,"&lt;="&amp;DATE($I$2,D$4,D$5))</f>
        <v/>
      </c>
      <c r="E71" s="321">
        <f>SUMIFS(DATA!$M:$M,DATA!$C:$C,$B70,DATA!$N:$N,"&gt;="&amp;DATE($I$2,E$4,1),DATA!$N:$N,"&lt;="&amp;DATE($I$2,E$4,E$5))</f>
        <v/>
      </c>
      <c r="F71" s="321">
        <f>SUMIFS(DATA!$M:$M,DATA!$C:$C,$B70,DATA!$N:$N,"&gt;="&amp;DATE($I$2,F$4,1),DATA!$N:$N,"&lt;="&amp;DATE($I$2,F$4,F$5))</f>
        <v/>
      </c>
      <c r="G71" s="321">
        <f>SUMIFS(DATA!$M:$M,DATA!$C:$C,$B70,DATA!$N:$N,"&gt;="&amp;DATE($I$2,G$4,1),DATA!$N:$N,"&lt;="&amp;DATE($I$2,G$4,G$5))</f>
        <v/>
      </c>
      <c r="H71" s="321">
        <f>SUMIFS(DATA!$M:$M,DATA!$C:$C,$B70,DATA!$N:$N,"&gt;="&amp;DATE($I$2,H$4,1),DATA!$N:$N,"&lt;="&amp;DATE($I$2,H$4,H$5))</f>
        <v/>
      </c>
      <c r="I71" s="321">
        <f>SUMIFS(DATA!$M:$M,DATA!$C:$C,$B70,DATA!$N:$N,"&gt;="&amp;DATE($I$2,I$4,1),DATA!$N:$N,"&lt;="&amp;DATE($I$2,I$4,I$5))</f>
        <v/>
      </c>
      <c r="J71" s="321">
        <f>SUMIFS(DATA!$M:$M,DATA!$C:$C,$B70,DATA!$N:$N,"&gt;="&amp;DATE($I$2,J$4,1),DATA!$N:$N,"&lt;="&amp;DATE($I$2,J$4,J$5))</f>
        <v/>
      </c>
      <c r="K71" s="321">
        <f>SUMIFS(DATA!$M:$M,DATA!$C:$C,$B70,DATA!$N:$N,"&gt;="&amp;DATE($I$2,K$4,1),DATA!$N:$N,"&lt;="&amp;DATE($I$2,K$4,K$5))</f>
        <v/>
      </c>
      <c r="L71" s="321">
        <f>SUMIFS(DATA!$M:$M,DATA!$C:$C,$B70,DATA!$N:$N,"&gt;="&amp;DATE($I$2,L$4,1),DATA!$N:$N,"&lt;="&amp;DATE($I$2,L$4,L$5))</f>
        <v/>
      </c>
      <c r="M71" s="321">
        <f>SUMIFS(DATA!$M:$M,DATA!$C:$C,$B70,DATA!$N:$N,"&gt;="&amp;DATE($I$2,M$4,1),DATA!$N:$N,"&lt;="&amp;DATE($I$2,M$4,M$5))</f>
        <v/>
      </c>
      <c r="N71" s="321">
        <f>SUMIFS(DATA!$M:$M,DATA!$C:$C,$B70,DATA!$N:$N,"&gt;="&amp;DATE($I$2,N$4,1),DATA!$N:$N,"&lt;="&amp;DATE($I$2,N$4,N$5))</f>
        <v/>
      </c>
      <c r="O71" s="321">
        <f>SUMIFS(DATA!$M:$M,DATA!$C:$C,$B70,DATA!$N:$N,"&gt;="&amp;DATE($I$2,O$4,1),DATA!$N:$N,"&lt;="&amp;DATE($I$2,O$4,O$5))</f>
        <v/>
      </c>
      <c r="P71" s="322">
        <f>SUM(D71:O71)</f>
        <v/>
      </c>
      <c r="Q71" s="118" t="n"/>
    </row>
    <row r="72" hidden="1" outlineLevel="1" ht="15" customHeight="1">
      <c r="A72" s="269" t="n">
        <v>34</v>
      </c>
      <c r="B72" s="265" t="inlineStr">
        <is>
          <t>US PEACE CORPS(Inactive)</t>
        </is>
      </c>
      <c r="C72" s="119" t="inlineStr">
        <is>
          <t>Kế hoạch</t>
        </is>
      </c>
      <c r="D72" s="321">
        <f>SUMIFS(DATA!$I:$I,DATA!$C:$C,$B72,DATA!$J:$J,"&gt;="&amp;DATE($I$2,D$4,1),DATA!$J:$J,"&lt;="&amp;DATE($I$2,D$4,D$5))</f>
        <v/>
      </c>
      <c r="E72" s="321">
        <f>SUMIFS(DATA!$I:$I,DATA!$C:$C,$B72,DATA!$J:$J,"&gt;="&amp;DATE($I$2,E$4,1),DATA!$J:$J,"&lt;="&amp;DATE($I$2,E$4,E$5))</f>
        <v/>
      </c>
      <c r="F72" s="321">
        <f>SUMIFS(DATA!$I:$I,DATA!$C:$C,$B72,DATA!$J:$J,"&gt;="&amp;DATE($I$2,F$4,1),DATA!$J:$J,"&lt;="&amp;DATE($I$2,F$4,F$5))</f>
        <v/>
      </c>
      <c r="G72" s="321">
        <f>SUMIFS(DATA!$I:$I,DATA!$C:$C,$B72,DATA!$J:$J,"&gt;="&amp;DATE($I$2,G$4,1),DATA!$J:$J,"&lt;="&amp;DATE($I$2,G$4,G$5))</f>
        <v/>
      </c>
      <c r="H72" s="321">
        <f>SUMIFS(DATA!$I:$I,DATA!$C:$C,$B72,DATA!$J:$J,"&gt;="&amp;DATE($I$2,H$4,1),DATA!$J:$J,"&lt;="&amp;DATE($I$2,H$4,H$5))</f>
        <v/>
      </c>
      <c r="I72" s="321">
        <f>SUMIFS(DATA!$I:$I,DATA!$C:$C,$B72,DATA!$J:$J,"&gt;="&amp;DATE($I$2,I$4,1),DATA!$J:$J,"&lt;="&amp;DATE($I$2,I$4,I$5))</f>
        <v/>
      </c>
      <c r="J72" s="321">
        <f>SUMIFS(DATA!$I:$I,DATA!$C:$C,$B72,DATA!$J:$J,"&gt;="&amp;DATE($I$2,J$4,1),DATA!$J:$J,"&lt;="&amp;DATE($I$2,J$4,J$5))</f>
        <v/>
      </c>
      <c r="K72" s="321">
        <f>SUMIFS(DATA!$I:$I,DATA!$C:$C,$B72,DATA!$J:$J,"&gt;="&amp;DATE($I$2,K$4,1),DATA!$J:$J,"&lt;="&amp;DATE($I$2,K$4,K$5))</f>
        <v/>
      </c>
      <c r="L72" s="321">
        <f>SUMIFS(DATA!$I:$I,DATA!$C:$C,$B72,DATA!$J:$J,"&gt;="&amp;DATE($I$2,L$4,1),DATA!$J:$J,"&lt;="&amp;DATE($I$2,L$4,L$5))</f>
        <v/>
      </c>
      <c r="M72" s="321">
        <f>SUMIFS(DATA!$I:$I,DATA!$C:$C,$B72,DATA!$J:$J,"&gt;="&amp;DATE($I$2,M$4,1),DATA!$J:$J,"&lt;="&amp;DATE($I$2,M$4,M$5))</f>
        <v/>
      </c>
      <c r="N72" s="321">
        <f>SUMIFS(DATA!$I:$I,DATA!$C:$C,$B72,DATA!$J:$J,"&gt;="&amp;DATE($I$2,N$4,1),DATA!$J:$J,"&lt;="&amp;DATE($I$2,N$4,N$5))</f>
        <v/>
      </c>
      <c r="O72" s="321">
        <f>SUMIFS(DATA!$I:$I,DATA!$C:$C,$B72,DATA!$J:$J,"&gt;="&amp;DATE($I$2,O$4,1),DATA!$J:$J,"&lt;="&amp;DATE($I$2,O$4,O$5))</f>
        <v/>
      </c>
      <c r="P72" s="322">
        <f>SUM(D72:O72)</f>
        <v/>
      </c>
      <c r="Q72" s="118" t="n"/>
    </row>
    <row r="73" hidden="1" outlineLevel="1" ht="15" customHeight="1">
      <c r="A73" s="266" t="n"/>
      <c r="B73" s="266" t="n"/>
      <c r="C73" s="119" t="inlineStr">
        <is>
          <t>Thực tế</t>
        </is>
      </c>
      <c r="D73" s="321">
        <f>SUMIFS(DATA!$M:$M,DATA!$C:$C,$B72,DATA!$N:$N,"&gt;="&amp;DATE($I$2,D$4,1),DATA!$N:$N,"&lt;="&amp;DATE($I$2,D$4,D$5))</f>
        <v/>
      </c>
      <c r="E73" s="321">
        <f>SUMIFS(DATA!$M:$M,DATA!$C:$C,$B72,DATA!$N:$N,"&gt;="&amp;DATE($I$2,E$4,1),DATA!$N:$N,"&lt;="&amp;DATE($I$2,E$4,E$5))</f>
        <v/>
      </c>
      <c r="F73" s="321">
        <f>SUMIFS(DATA!$M:$M,DATA!$C:$C,$B72,DATA!$N:$N,"&gt;="&amp;DATE($I$2,F$4,1),DATA!$N:$N,"&lt;="&amp;DATE($I$2,F$4,F$5))</f>
        <v/>
      </c>
      <c r="G73" s="321">
        <f>SUMIFS(DATA!$M:$M,DATA!$C:$C,$B72,DATA!$N:$N,"&gt;="&amp;DATE($I$2,G$4,1),DATA!$N:$N,"&lt;="&amp;DATE($I$2,G$4,G$5))</f>
        <v/>
      </c>
      <c r="H73" s="321">
        <f>SUMIFS(DATA!$M:$M,DATA!$C:$C,$B72,DATA!$N:$N,"&gt;="&amp;DATE($I$2,H$4,1),DATA!$N:$N,"&lt;="&amp;DATE($I$2,H$4,H$5))</f>
        <v/>
      </c>
      <c r="I73" s="321">
        <f>SUMIFS(DATA!$M:$M,DATA!$C:$C,$B72,DATA!$N:$N,"&gt;="&amp;DATE($I$2,I$4,1),DATA!$N:$N,"&lt;="&amp;DATE($I$2,I$4,I$5))</f>
        <v/>
      </c>
      <c r="J73" s="321">
        <f>SUMIFS(DATA!$M:$M,DATA!$C:$C,$B72,DATA!$N:$N,"&gt;="&amp;DATE($I$2,J$4,1),DATA!$N:$N,"&lt;="&amp;DATE($I$2,J$4,J$5))</f>
        <v/>
      </c>
      <c r="K73" s="321">
        <f>SUMIFS(DATA!$M:$M,DATA!$C:$C,$B72,DATA!$N:$N,"&gt;="&amp;DATE($I$2,K$4,1),DATA!$N:$N,"&lt;="&amp;DATE($I$2,K$4,K$5))</f>
        <v/>
      </c>
      <c r="L73" s="321">
        <f>SUMIFS(DATA!$M:$M,DATA!$C:$C,$B72,DATA!$N:$N,"&gt;="&amp;DATE($I$2,L$4,1),DATA!$N:$N,"&lt;="&amp;DATE($I$2,L$4,L$5))</f>
        <v/>
      </c>
      <c r="M73" s="321">
        <f>SUMIFS(DATA!$M:$M,DATA!$C:$C,$B72,DATA!$N:$N,"&gt;="&amp;DATE($I$2,M$4,1),DATA!$N:$N,"&lt;="&amp;DATE($I$2,M$4,M$5))</f>
        <v/>
      </c>
      <c r="N73" s="321">
        <f>SUMIFS(DATA!$M:$M,DATA!$C:$C,$B72,DATA!$N:$N,"&gt;="&amp;DATE($I$2,N$4,1),DATA!$N:$N,"&lt;="&amp;DATE($I$2,N$4,N$5))</f>
        <v/>
      </c>
      <c r="O73" s="321">
        <f>SUMIFS(DATA!$M:$M,DATA!$C:$C,$B72,DATA!$N:$N,"&gt;="&amp;DATE($I$2,O$4,1),DATA!$N:$N,"&lt;="&amp;DATE($I$2,O$4,O$5))</f>
        <v/>
      </c>
      <c r="P73" s="322">
        <f>SUM(D73:O73)</f>
        <v/>
      </c>
      <c r="Q73" s="118" t="n"/>
    </row>
    <row r="74" hidden="1" outlineLevel="1" ht="15" customHeight="1">
      <c r="A74" s="269" t="n">
        <v>35</v>
      </c>
      <c r="B74" s="265" t="inlineStr">
        <is>
          <t>TH BẮC GIANG</t>
        </is>
      </c>
      <c r="C74" s="119" t="inlineStr">
        <is>
          <t>Kế hoạch</t>
        </is>
      </c>
      <c r="D74" s="321">
        <f>SUMIFS(DATA!$I:$I,DATA!$C:$C,$B74,DATA!$J:$J,"&gt;="&amp;DATE($I$2,D$4,1),DATA!$J:$J,"&lt;="&amp;DATE($I$2,D$4,D$5))</f>
        <v/>
      </c>
      <c r="E74" s="321">
        <f>SUMIFS(DATA!$I:$I,DATA!$C:$C,$B74,DATA!$J:$J,"&gt;="&amp;DATE($I$2,E$4,1),DATA!$J:$J,"&lt;="&amp;DATE($I$2,E$4,E$5))</f>
        <v/>
      </c>
      <c r="F74" s="321">
        <f>SUMIFS(DATA!$I:$I,DATA!$C:$C,$B74,DATA!$J:$J,"&gt;="&amp;DATE($I$2,F$4,1),DATA!$J:$J,"&lt;="&amp;DATE($I$2,F$4,F$5))</f>
        <v/>
      </c>
      <c r="G74" s="321">
        <f>SUMIFS(DATA!$I:$I,DATA!$C:$C,$B74,DATA!$J:$J,"&gt;="&amp;DATE($I$2,G$4,1),DATA!$J:$J,"&lt;="&amp;DATE($I$2,G$4,G$5))</f>
        <v/>
      </c>
      <c r="H74" s="321">
        <f>SUMIFS(DATA!$I:$I,DATA!$C:$C,$B74,DATA!$J:$J,"&gt;="&amp;DATE($I$2,H$4,1),DATA!$J:$J,"&lt;="&amp;DATE($I$2,H$4,H$5))</f>
        <v/>
      </c>
      <c r="I74" s="321">
        <f>SUMIFS(DATA!$I:$I,DATA!$C:$C,$B74,DATA!$J:$J,"&gt;="&amp;DATE($I$2,I$4,1),DATA!$J:$J,"&lt;="&amp;DATE($I$2,I$4,I$5))</f>
        <v/>
      </c>
      <c r="J74" s="321">
        <f>SUMIFS(DATA!$I:$I,DATA!$C:$C,$B74,DATA!$J:$J,"&gt;="&amp;DATE($I$2,J$4,1),DATA!$J:$J,"&lt;="&amp;DATE($I$2,J$4,J$5))</f>
        <v/>
      </c>
      <c r="K74" s="321">
        <f>SUMIFS(DATA!$I:$I,DATA!$C:$C,$B74,DATA!$J:$J,"&gt;="&amp;DATE($I$2,K$4,1),DATA!$J:$J,"&lt;="&amp;DATE($I$2,K$4,K$5))</f>
        <v/>
      </c>
      <c r="L74" s="321">
        <f>SUMIFS(DATA!$I:$I,DATA!$C:$C,$B74,DATA!$J:$J,"&gt;="&amp;DATE($I$2,L$4,1),DATA!$J:$J,"&lt;="&amp;DATE($I$2,L$4,L$5))</f>
        <v/>
      </c>
      <c r="M74" s="321">
        <f>SUMIFS(DATA!$I:$I,DATA!$C:$C,$B74,DATA!$J:$J,"&gt;="&amp;DATE($I$2,M$4,1),DATA!$J:$J,"&lt;="&amp;DATE($I$2,M$4,M$5))</f>
        <v/>
      </c>
      <c r="N74" s="321">
        <f>SUMIFS(DATA!$I:$I,DATA!$C:$C,$B74,DATA!$J:$J,"&gt;="&amp;DATE($I$2,N$4,1),DATA!$J:$J,"&lt;="&amp;DATE($I$2,N$4,N$5))</f>
        <v/>
      </c>
      <c r="O74" s="321">
        <f>SUMIFS(DATA!$I:$I,DATA!$C:$C,$B74,DATA!$J:$J,"&gt;="&amp;DATE($I$2,O$4,1),DATA!$J:$J,"&lt;="&amp;DATE($I$2,O$4,O$5))</f>
        <v/>
      </c>
      <c r="P74" s="322">
        <f>SUM(D74:O74)</f>
        <v/>
      </c>
      <c r="Q74" s="118" t="n"/>
    </row>
    <row r="75" hidden="1" outlineLevel="1" ht="15" customHeight="1">
      <c r="A75" s="266" t="n"/>
      <c r="B75" s="266" t="n"/>
      <c r="C75" s="119" t="inlineStr">
        <is>
          <t>Thực tế</t>
        </is>
      </c>
      <c r="D75" s="321">
        <f>SUMIFS(DATA!$M:$M,DATA!$C:$C,$B74,DATA!$N:$N,"&gt;="&amp;DATE($I$2,D$4,1),DATA!$N:$N,"&lt;="&amp;DATE($I$2,D$4,D$5))</f>
        <v/>
      </c>
      <c r="E75" s="321">
        <f>SUMIFS(DATA!$M:$M,DATA!$C:$C,$B74,DATA!$N:$N,"&gt;="&amp;DATE($I$2,E$4,1),DATA!$N:$N,"&lt;="&amp;DATE($I$2,E$4,E$5))</f>
        <v/>
      </c>
      <c r="F75" s="321">
        <f>SUMIFS(DATA!$M:$M,DATA!$C:$C,$B74,DATA!$N:$N,"&gt;="&amp;DATE($I$2,F$4,1),DATA!$N:$N,"&lt;="&amp;DATE($I$2,F$4,F$5))</f>
        <v/>
      </c>
      <c r="G75" s="321">
        <f>SUMIFS(DATA!$M:$M,DATA!$C:$C,$B74,DATA!$N:$N,"&gt;="&amp;DATE($I$2,G$4,1),DATA!$N:$N,"&lt;="&amp;DATE($I$2,G$4,G$5))</f>
        <v/>
      </c>
      <c r="H75" s="321">
        <f>SUMIFS(DATA!$M:$M,DATA!$C:$C,$B74,DATA!$N:$N,"&gt;="&amp;DATE($I$2,H$4,1),DATA!$N:$N,"&lt;="&amp;DATE($I$2,H$4,H$5))</f>
        <v/>
      </c>
      <c r="I75" s="321">
        <f>SUMIFS(DATA!$M:$M,DATA!$C:$C,$B74,DATA!$N:$N,"&gt;="&amp;DATE($I$2,I$4,1),DATA!$N:$N,"&lt;="&amp;DATE($I$2,I$4,I$5))</f>
        <v/>
      </c>
      <c r="J75" s="321">
        <f>SUMIFS(DATA!$M:$M,DATA!$C:$C,$B74,DATA!$N:$N,"&gt;="&amp;DATE($I$2,J$4,1),DATA!$N:$N,"&lt;="&amp;DATE($I$2,J$4,J$5))</f>
        <v/>
      </c>
      <c r="K75" s="321">
        <f>SUMIFS(DATA!$M:$M,DATA!$C:$C,$B74,DATA!$N:$N,"&gt;="&amp;DATE($I$2,K$4,1),DATA!$N:$N,"&lt;="&amp;DATE($I$2,K$4,K$5))</f>
        <v/>
      </c>
      <c r="L75" s="321">
        <f>SUMIFS(DATA!$M:$M,DATA!$C:$C,$B74,DATA!$N:$N,"&gt;="&amp;DATE($I$2,L$4,1),DATA!$N:$N,"&lt;="&amp;DATE($I$2,L$4,L$5))</f>
        <v/>
      </c>
      <c r="M75" s="321">
        <f>SUMIFS(DATA!$M:$M,DATA!$C:$C,$B74,DATA!$N:$N,"&gt;="&amp;DATE($I$2,M$4,1),DATA!$N:$N,"&lt;="&amp;DATE($I$2,M$4,M$5))</f>
        <v/>
      </c>
      <c r="N75" s="321">
        <f>SUMIFS(DATA!$M:$M,DATA!$C:$C,$B74,DATA!$N:$N,"&gt;="&amp;DATE($I$2,N$4,1),DATA!$N:$N,"&lt;="&amp;DATE($I$2,N$4,N$5))</f>
        <v/>
      </c>
      <c r="O75" s="321">
        <f>SUMIFS(DATA!$M:$M,DATA!$C:$C,$B74,DATA!$N:$N,"&gt;="&amp;DATE($I$2,O$4,1),DATA!$N:$N,"&lt;="&amp;DATE($I$2,O$4,O$5))</f>
        <v/>
      </c>
      <c r="P75" s="322">
        <f>SUM(D75:O75)</f>
        <v/>
      </c>
      <c r="Q75" s="118" t="n"/>
    </row>
    <row r="76" hidden="1" outlineLevel="1" ht="15" customHeight="1">
      <c r="A76" s="269" t="n">
        <v>36</v>
      </c>
      <c r="B76" s="265" t="inlineStr">
        <is>
          <t>KENNAMETAL VIETNAM</t>
        </is>
      </c>
      <c r="C76" s="119" t="inlineStr">
        <is>
          <t>Kế hoạch</t>
        </is>
      </c>
      <c r="D76" s="321">
        <f>SUMIFS(DATA!$I:$I,DATA!$C:$C,$B76,DATA!$J:$J,"&gt;="&amp;DATE($I$2,D$4,1),DATA!$J:$J,"&lt;="&amp;DATE($I$2,D$4,D$5))</f>
        <v/>
      </c>
      <c r="E76" s="321">
        <f>SUMIFS(DATA!$I:$I,DATA!$C:$C,$B76,DATA!$J:$J,"&gt;="&amp;DATE($I$2,E$4,1),DATA!$J:$J,"&lt;="&amp;DATE($I$2,E$4,E$5))</f>
        <v/>
      </c>
      <c r="F76" s="321">
        <f>SUMIFS(DATA!$I:$I,DATA!$C:$C,$B76,DATA!$J:$J,"&gt;="&amp;DATE($I$2,F$4,1),DATA!$J:$J,"&lt;="&amp;DATE($I$2,F$4,F$5))</f>
        <v/>
      </c>
      <c r="G76" s="321">
        <f>SUMIFS(DATA!$I:$I,DATA!$C:$C,$B76,DATA!$J:$J,"&gt;="&amp;DATE($I$2,G$4,1),DATA!$J:$J,"&lt;="&amp;DATE($I$2,G$4,G$5))</f>
        <v/>
      </c>
      <c r="H76" s="321">
        <f>SUMIFS(DATA!$I:$I,DATA!$C:$C,$B76,DATA!$J:$J,"&gt;="&amp;DATE($I$2,H$4,1),DATA!$J:$J,"&lt;="&amp;DATE($I$2,H$4,H$5))</f>
        <v/>
      </c>
      <c r="I76" s="321">
        <f>SUMIFS(DATA!$I:$I,DATA!$C:$C,$B76,DATA!$J:$J,"&gt;="&amp;DATE($I$2,I$4,1),DATA!$J:$J,"&lt;="&amp;DATE($I$2,I$4,I$5))</f>
        <v/>
      </c>
      <c r="J76" s="321">
        <f>SUMIFS(DATA!$I:$I,DATA!$C:$C,$B76,DATA!$J:$J,"&gt;="&amp;DATE($I$2,J$4,1),DATA!$J:$J,"&lt;="&amp;DATE($I$2,J$4,J$5))</f>
        <v/>
      </c>
      <c r="K76" s="321">
        <f>SUMIFS(DATA!$I:$I,DATA!$C:$C,$B76,DATA!$J:$J,"&gt;="&amp;DATE($I$2,K$4,1),DATA!$J:$J,"&lt;="&amp;DATE($I$2,K$4,K$5))</f>
        <v/>
      </c>
      <c r="L76" s="321">
        <f>SUMIFS(DATA!$I:$I,DATA!$C:$C,$B76,DATA!$J:$J,"&gt;="&amp;DATE($I$2,L$4,1),DATA!$J:$J,"&lt;="&amp;DATE($I$2,L$4,L$5))</f>
        <v/>
      </c>
      <c r="M76" s="321">
        <f>SUMIFS(DATA!$I:$I,DATA!$C:$C,$B76,DATA!$J:$J,"&gt;="&amp;DATE($I$2,M$4,1),DATA!$J:$J,"&lt;="&amp;DATE($I$2,M$4,M$5))</f>
        <v/>
      </c>
      <c r="N76" s="321">
        <f>SUMIFS(DATA!$I:$I,DATA!$C:$C,$B76,DATA!$J:$J,"&gt;="&amp;DATE($I$2,N$4,1),DATA!$J:$J,"&lt;="&amp;DATE($I$2,N$4,N$5))</f>
        <v/>
      </c>
      <c r="O76" s="321">
        <f>SUMIFS(DATA!$I:$I,DATA!$C:$C,$B76,DATA!$J:$J,"&gt;="&amp;DATE($I$2,O$4,1),DATA!$J:$J,"&lt;="&amp;DATE($I$2,O$4,O$5))</f>
        <v/>
      </c>
      <c r="P76" s="322">
        <f>SUM(D76:O76)</f>
        <v/>
      </c>
      <c r="Q76" s="118" t="n"/>
    </row>
    <row r="77" hidden="1" outlineLevel="1" ht="15" customHeight="1">
      <c r="A77" s="266" t="n"/>
      <c r="B77" s="266" t="n"/>
      <c r="C77" s="119" t="inlineStr">
        <is>
          <t>Thực tế</t>
        </is>
      </c>
      <c r="D77" s="321">
        <f>SUMIFS(DATA!$M:$M,DATA!$C:$C,$B76,DATA!$N:$N,"&gt;="&amp;DATE($I$2,D$4,1),DATA!$N:$N,"&lt;="&amp;DATE($I$2,D$4,D$5))</f>
        <v/>
      </c>
      <c r="E77" s="321">
        <f>SUMIFS(DATA!$M:$M,DATA!$C:$C,$B76,DATA!$N:$N,"&gt;="&amp;DATE($I$2,E$4,1),DATA!$N:$N,"&lt;="&amp;DATE($I$2,E$4,E$5))</f>
        <v/>
      </c>
      <c r="F77" s="321">
        <f>SUMIFS(DATA!$M:$M,DATA!$C:$C,$B76,DATA!$N:$N,"&gt;="&amp;DATE($I$2,F$4,1),DATA!$N:$N,"&lt;="&amp;DATE($I$2,F$4,F$5))</f>
        <v/>
      </c>
      <c r="G77" s="321">
        <f>SUMIFS(DATA!$M:$M,DATA!$C:$C,$B76,DATA!$N:$N,"&gt;="&amp;DATE($I$2,G$4,1),DATA!$N:$N,"&lt;="&amp;DATE($I$2,G$4,G$5))</f>
        <v/>
      </c>
      <c r="H77" s="321">
        <f>SUMIFS(DATA!$M:$M,DATA!$C:$C,$B76,DATA!$N:$N,"&gt;="&amp;DATE($I$2,H$4,1),DATA!$N:$N,"&lt;="&amp;DATE($I$2,H$4,H$5))</f>
        <v/>
      </c>
      <c r="I77" s="321">
        <f>SUMIFS(DATA!$M:$M,DATA!$C:$C,$B76,DATA!$N:$N,"&gt;="&amp;DATE($I$2,I$4,1),DATA!$N:$N,"&lt;="&amp;DATE($I$2,I$4,I$5))</f>
        <v/>
      </c>
      <c r="J77" s="321">
        <f>SUMIFS(DATA!$M:$M,DATA!$C:$C,$B76,DATA!$N:$N,"&gt;="&amp;DATE($I$2,J$4,1),DATA!$N:$N,"&lt;="&amp;DATE($I$2,J$4,J$5))</f>
        <v/>
      </c>
      <c r="K77" s="321">
        <f>SUMIFS(DATA!$M:$M,DATA!$C:$C,$B76,DATA!$N:$N,"&gt;="&amp;DATE($I$2,K$4,1),DATA!$N:$N,"&lt;="&amp;DATE($I$2,K$4,K$5))</f>
        <v/>
      </c>
      <c r="L77" s="321">
        <f>SUMIFS(DATA!$M:$M,DATA!$C:$C,$B76,DATA!$N:$N,"&gt;="&amp;DATE($I$2,L$4,1),DATA!$N:$N,"&lt;="&amp;DATE($I$2,L$4,L$5))</f>
        <v/>
      </c>
      <c r="M77" s="321">
        <f>SUMIFS(DATA!$M:$M,DATA!$C:$C,$B76,DATA!$N:$N,"&gt;="&amp;DATE($I$2,M$4,1),DATA!$N:$N,"&lt;="&amp;DATE($I$2,M$4,M$5))</f>
        <v/>
      </c>
      <c r="N77" s="321">
        <f>SUMIFS(DATA!$M:$M,DATA!$C:$C,$B76,DATA!$N:$N,"&gt;="&amp;DATE($I$2,N$4,1),DATA!$N:$N,"&lt;="&amp;DATE($I$2,N$4,N$5))</f>
        <v/>
      </c>
      <c r="O77" s="321">
        <f>SUMIFS(DATA!$M:$M,DATA!$C:$C,$B76,DATA!$N:$N,"&gt;="&amp;DATE($I$2,O$4,1),DATA!$N:$N,"&lt;="&amp;DATE($I$2,O$4,O$5))</f>
        <v/>
      </c>
      <c r="P77" s="322">
        <f>SUM(D77:O77)</f>
        <v/>
      </c>
      <c r="Q77" s="118" t="n"/>
    </row>
    <row r="78" hidden="1" outlineLevel="1" ht="15" customHeight="1">
      <c r="A78" s="269" t="n">
        <v>37</v>
      </c>
      <c r="B78" s="265" t="inlineStr">
        <is>
          <t>TAL VIETNAM</t>
        </is>
      </c>
      <c r="C78" s="119" t="inlineStr">
        <is>
          <t>Kế hoạch</t>
        </is>
      </c>
      <c r="D78" s="321">
        <f>SUMIFS(DATA!$I:$I,DATA!$C:$C,$B78,DATA!$J:$J,"&gt;="&amp;DATE($I$2,D$4,1),DATA!$J:$J,"&lt;="&amp;DATE($I$2,D$4,D$5))</f>
        <v/>
      </c>
      <c r="E78" s="321">
        <f>SUMIFS(DATA!$I:$I,DATA!$C:$C,$B78,DATA!$J:$J,"&gt;="&amp;DATE($I$2,E$4,1),DATA!$J:$J,"&lt;="&amp;DATE($I$2,E$4,E$5))</f>
        <v/>
      </c>
      <c r="F78" s="321">
        <f>SUMIFS(DATA!$I:$I,DATA!$C:$C,$B78,DATA!$J:$J,"&gt;="&amp;DATE($I$2,F$4,1),DATA!$J:$J,"&lt;="&amp;DATE($I$2,F$4,F$5))</f>
        <v/>
      </c>
      <c r="G78" s="321">
        <f>SUMIFS(DATA!$I:$I,DATA!$C:$C,$B78,DATA!$J:$J,"&gt;="&amp;DATE($I$2,G$4,1),DATA!$J:$J,"&lt;="&amp;DATE($I$2,G$4,G$5))</f>
        <v/>
      </c>
      <c r="H78" s="321">
        <f>SUMIFS(DATA!$I:$I,DATA!$C:$C,$B78,DATA!$J:$J,"&gt;="&amp;DATE($I$2,H$4,1),DATA!$J:$J,"&lt;="&amp;DATE($I$2,H$4,H$5))</f>
        <v/>
      </c>
      <c r="I78" s="321">
        <f>SUMIFS(DATA!$I:$I,DATA!$C:$C,$B78,DATA!$J:$J,"&gt;="&amp;DATE($I$2,I$4,1),DATA!$J:$J,"&lt;="&amp;DATE($I$2,I$4,I$5))</f>
        <v/>
      </c>
      <c r="J78" s="321">
        <f>SUMIFS(DATA!$I:$I,DATA!$C:$C,$B78,DATA!$J:$J,"&gt;="&amp;DATE($I$2,J$4,1),DATA!$J:$J,"&lt;="&amp;DATE($I$2,J$4,J$5))</f>
        <v/>
      </c>
      <c r="K78" s="321">
        <f>SUMIFS(DATA!$I:$I,DATA!$C:$C,$B78,DATA!$J:$J,"&gt;="&amp;DATE($I$2,K$4,1),DATA!$J:$J,"&lt;="&amp;DATE($I$2,K$4,K$5))</f>
        <v/>
      </c>
      <c r="L78" s="321">
        <f>SUMIFS(DATA!$I:$I,DATA!$C:$C,$B78,DATA!$J:$J,"&gt;="&amp;DATE($I$2,L$4,1),DATA!$J:$J,"&lt;="&amp;DATE($I$2,L$4,L$5))</f>
        <v/>
      </c>
      <c r="M78" s="321">
        <f>SUMIFS(DATA!$I:$I,DATA!$C:$C,$B78,DATA!$J:$J,"&gt;="&amp;DATE($I$2,M$4,1),DATA!$J:$J,"&lt;="&amp;DATE($I$2,M$4,M$5))</f>
        <v/>
      </c>
      <c r="N78" s="321">
        <f>SUMIFS(DATA!$I:$I,DATA!$C:$C,$B78,DATA!$J:$J,"&gt;="&amp;DATE($I$2,N$4,1),DATA!$J:$J,"&lt;="&amp;DATE($I$2,N$4,N$5))</f>
        <v/>
      </c>
      <c r="O78" s="321">
        <f>SUMIFS(DATA!$I:$I,DATA!$C:$C,$B78,DATA!$J:$J,"&gt;="&amp;DATE($I$2,O$4,1),DATA!$J:$J,"&lt;="&amp;DATE($I$2,O$4,O$5))</f>
        <v/>
      </c>
      <c r="P78" s="322">
        <f>SUM(D78:O78)</f>
        <v/>
      </c>
      <c r="Q78" s="118" t="n"/>
    </row>
    <row r="79" hidden="1" outlineLevel="1" ht="15" customHeight="1">
      <c r="A79" s="266" t="n"/>
      <c r="B79" s="266" t="n"/>
      <c r="C79" s="119" t="inlineStr">
        <is>
          <t>Thực tế</t>
        </is>
      </c>
      <c r="D79" s="321">
        <f>SUMIFS(DATA!$M:$M,DATA!$C:$C,$B78,DATA!$N:$N,"&gt;="&amp;DATE($I$2,D$4,1),DATA!$N:$N,"&lt;="&amp;DATE($I$2,D$4,D$5))</f>
        <v/>
      </c>
      <c r="E79" s="321">
        <f>SUMIFS(DATA!$M:$M,DATA!$C:$C,$B78,DATA!$N:$N,"&gt;="&amp;DATE($I$2,E$4,1),DATA!$N:$N,"&lt;="&amp;DATE($I$2,E$4,E$5))</f>
        <v/>
      </c>
      <c r="F79" s="321">
        <f>SUMIFS(DATA!$M:$M,DATA!$C:$C,$B78,DATA!$N:$N,"&gt;="&amp;DATE($I$2,F$4,1),DATA!$N:$N,"&lt;="&amp;DATE($I$2,F$4,F$5))</f>
        <v/>
      </c>
      <c r="G79" s="321">
        <f>SUMIFS(DATA!$M:$M,DATA!$C:$C,$B78,DATA!$N:$N,"&gt;="&amp;DATE($I$2,G$4,1),DATA!$N:$N,"&lt;="&amp;DATE($I$2,G$4,G$5))</f>
        <v/>
      </c>
      <c r="H79" s="321">
        <f>SUMIFS(DATA!$M:$M,DATA!$C:$C,$B78,DATA!$N:$N,"&gt;="&amp;DATE($I$2,H$4,1),DATA!$N:$N,"&lt;="&amp;DATE($I$2,H$4,H$5))</f>
        <v/>
      </c>
      <c r="I79" s="321">
        <f>SUMIFS(DATA!$M:$M,DATA!$C:$C,$B78,DATA!$N:$N,"&gt;="&amp;DATE($I$2,I$4,1),DATA!$N:$N,"&lt;="&amp;DATE($I$2,I$4,I$5))</f>
        <v/>
      </c>
      <c r="J79" s="321">
        <f>SUMIFS(DATA!$M:$M,DATA!$C:$C,$B78,DATA!$N:$N,"&gt;="&amp;DATE($I$2,J$4,1),DATA!$N:$N,"&lt;="&amp;DATE($I$2,J$4,J$5))</f>
        <v/>
      </c>
      <c r="K79" s="321">
        <f>SUMIFS(DATA!$M:$M,DATA!$C:$C,$B78,DATA!$N:$N,"&gt;="&amp;DATE($I$2,K$4,1),DATA!$N:$N,"&lt;="&amp;DATE($I$2,K$4,K$5))</f>
        <v/>
      </c>
      <c r="L79" s="321">
        <f>SUMIFS(DATA!$M:$M,DATA!$C:$C,$B78,DATA!$N:$N,"&gt;="&amp;DATE($I$2,L$4,1),DATA!$N:$N,"&lt;="&amp;DATE($I$2,L$4,L$5))</f>
        <v/>
      </c>
      <c r="M79" s="321">
        <f>SUMIFS(DATA!$M:$M,DATA!$C:$C,$B78,DATA!$N:$N,"&gt;="&amp;DATE($I$2,M$4,1),DATA!$N:$N,"&lt;="&amp;DATE($I$2,M$4,M$5))</f>
        <v/>
      </c>
      <c r="N79" s="321">
        <f>SUMIFS(DATA!$M:$M,DATA!$C:$C,$B78,DATA!$N:$N,"&gt;="&amp;DATE($I$2,N$4,1),DATA!$N:$N,"&lt;="&amp;DATE($I$2,N$4,N$5))</f>
        <v/>
      </c>
      <c r="O79" s="321">
        <f>SUMIFS(DATA!$M:$M,DATA!$C:$C,$B78,DATA!$N:$N,"&gt;="&amp;DATE($I$2,O$4,1),DATA!$N:$N,"&lt;="&amp;DATE($I$2,O$4,O$5))</f>
        <v/>
      </c>
      <c r="P79" s="322">
        <f>SUM(D79:O79)</f>
        <v/>
      </c>
      <c r="Q79" s="118" t="n"/>
    </row>
    <row r="80" hidden="1" outlineLevel="1" ht="15" customHeight="1">
      <c r="A80" s="269" t="n">
        <v>38</v>
      </c>
      <c r="B80" s="265" t="inlineStr">
        <is>
          <t>GELEXIMCO SOUTHERN STAR</t>
        </is>
      </c>
      <c r="C80" s="119" t="inlineStr">
        <is>
          <t>Kế hoạch</t>
        </is>
      </c>
      <c r="D80" s="321">
        <f>SUMIFS(DATA!$I:$I,DATA!$C:$C,$B80,DATA!$J:$J,"&gt;="&amp;DATE($I$2,D$4,1),DATA!$J:$J,"&lt;="&amp;DATE($I$2,D$4,D$5))</f>
        <v/>
      </c>
      <c r="E80" s="321">
        <f>SUMIFS(DATA!$I:$I,DATA!$C:$C,$B80,DATA!$J:$J,"&gt;="&amp;DATE($I$2,E$4,1),DATA!$J:$J,"&lt;="&amp;DATE($I$2,E$4,E$5))</f>
        <v/>
      </c>
      <c r="F80" s="321">
        <f>SUMIFS(DATA!$I:$I,DATA!$C:$C,$B80,DATA!$J:$J,"&gt;="&amp;DATE($I$2,F$4,1),DATA!$J:$J,"&lt;="&amp;DATE($I$2,F$4,F$5))</f>
        <v/>
      </c>
      <c r="G80" s="321">
        <f>SUMIFS(DATA!$I:$I,DATA!$C:$C,$B80,DATA!$J:$J,"&gt;="&amp;DATE($I$2,G$4,1),DATA!$J:$J,"&lt;="&amp;DATE($I$2,G$4,G$5))</f>
        <v/>
      </c>
      <c r="H80" s="321">
        <f>SUMIFS(DATA!$I:$I,DATA!$C:$C,$B80,DATA!$J:$J,"&gt;="&amp;DATE($I$2,H$4,1),DATA!$J:$J,"&lt;="&amp;DATE($I$2,H$4,H$5))</f>
        <v/>
      </c>
      <c r="I80" s="321">
        <f>SUMIFS(DATA!$I:$I,DATA!$C:$C,$B80,DATA!$J:$J,"&gt;="&amp;DATE($I$2,I$4,1),DATA!$J:$J,"&lt;="&amp;DATE($I$2,I$4,I$5))</f>
        <v/>
      </c>
      <c r="J80" s="321">
        <f>SUMIFS(DATA!$I:$I,DATA!$C:$C,$B80,DATA!$J:$J,"&gt;="&amp;DATE($I$2,J$4,1),DATA!$J:$J,"&lt;="&amp;DATE($I$2,J$4,J$5))</f>
        <v/>
      </c>
      <c r="K80" s="321">
        <f>SUMIFS(DATA!$I:$I,DATA!$C:$C,$B80,DATA!$J:$J,"&gt;="&amp;DATE($I$2,K$4,1),DATA!$J:$J,"&lt;="&amp;DATE($I$2,K$4,K$5))</f>
        <v/>
      </c>
      <c r="L80" s="321">
        <f>SUMIFS(DATA!$I:$I,DATA!$C:$C,$B80,DATA!$J:$J,"&gt;="&amp;DATE($I$2,L$4,1),DATA!$J:$J,"&lt;="&amp;DATE($I$2,L$4,L$5))</f>
        <v/>
      </c>
      <c r="M80" s="321">
        <f>SUMIFS(DATA!$I:$I,DATA!$C:$C,$B80,DATA!$J:$J,"&gt;="&amp;DATE($I$2,M$4,1),DATA!$J:$J,"&lt;="&amp;DATE($I$2,M$4,M$5))</f>
        <v/>
      </c>
      <c r="N80" s="321">
        <f>SUMIFS(DATA!$I:$I,DATA!$C:$C,$B80,DATA!$J:$J,"&gt;="&amp;DATE($I$2,N$4,1),DATA!$J:$J,"&lt;="&amp;DATE($I$2,N$4,N$5))</f>
        <v/>
      </c>
      <c r="O80" s="321">
        <f>SUMIFS(DATA!$I:$I,DATA!$C:$C,$B80,DATA!$J:$J,"&gt;="&amp;DATE($I$2,O$4,1),DATA!$J:$J,"&lt;="&amp;DATE($I$2,O$4,O$5))</f>
        <v/>
      </c>
      <c r="P80" s="322">
        <f>SUM(D80:O80)</f>
        <v/>
      </c>
      <c r="Q80" s="118" t="n"/>
    </row>
    <row r="81" hidden="1" outlineLevel="1" ht="15" customHeight="1">
      <c r="A81" s="266" t="n"/>
      <c r="B81" s="266" t="n"/>
      <c r="C81" s="119" t="inlineStr">
        <is>
          <t>Thực tế</t>
        </is>
      </c>
      <c r="D81" s="321">
        <f>SUMIFS(DATA!$M:$M,DATA!$C:$C,$B80,DATA!$N:$N,"&gt;="&amp;DATE($I$2,D$4,1),DATA!$N:$N,"&lt;="&amp;DATE($I$2,D$4,D$5))</f>
        <v/>
      </c>
      <c r="E81" s="321">
        <f>SUMIFS(DATA!$M:$M,DATA!$C:$C,$B80,DATA!$N:$N,"&gt;="&amp;DATE($I$2,E$4,1),DATA!$N:$N,"&lt;="&amp;DATE($I$2,E$4,E$5))</f>
        <v/>
      </c>
      <c r="F81" s="321">
        <f>SUMIFS(DATA!$M:$M,DATA!$C:$C,$B80,DATA!$N:$N,"&gt;="&amp;DATE($I$2,F$4,1),DATA!$N:$N,"&lt;="&amp;DATE($I$2,F$4,F$5))</f>
        <v/>
      </c>
      <c r="G81" s="321">
        <f>SUMIFS(DATA!$M:$M,DATA!$C:$C,$B80,DATA!$N:$N,"&gt;="&amp;DATE($I$2,G$4,1),DATA!$N:$N,"&lt;="&amp;DATE($I$2,G$4,G$5))</f>
        <v/>
      </c>
      <c r="H81" s="321">
        <f>SUMIFS(DATA!$M:$M,DATA!$C:$C,$B80,DATA!$N:$N,"&gt;="&amp;DATE($I$2,H$4,1),DATA!$N:$N,"&lt;="&amp;DATE($I$2,H$4,H$5))</f>
        <v/>
      </c>
      <c r="I81" s="321">
        <f>SUMIFS(DATA!$M:$M,DATA!$C:$C,$B80,DATA!$N:$N,"&gt;="&amp;DATE($I$2,I$4,1),DATA!$N:$N,"&lt;="&amp;DATE($I$2,I$4,I$5))</f>
        <v/>
      </c>
      <c r="J81" s="321">
        <f>SUMIFS(DATA!$M:$M,DATA!$C:$C,$B80,DATA!$N:$N,"&gt;="&amp;DATE($I$2,J$4,1),DATA!$N:$N,"&lt;="&amp;DATE($I$2,J$4,J$5))</f>
        <v/>
      </c>
      <c r="K81" s="321">
        <f>SUMIFS(DATA!$M:$M,DATA!$C:$C,$B80,DATA!$N:$N,"&gt;="&amp;DATE($I$2,K$4,1),DATA!$N:$N,"&lt;="&amp;DATE($I$2,K$4,K$5))</f>
        <v/>
      </c>
      <c r="L81" s="321">
        <f>SUMIFS(DATA!$M:$M,DATA!$C:$C,$B80,DATA!$N:$N,"&gt;="&amp;DATE($I$2,L$4,1),DATA!$N:$N,"&lt;="&amp;DATE($I$2,L$4,L$5))</f>
        <v/>
      </c>
      <c r="M81" s="321">
        <f>SUMIFS(DATA!$M:$M,DATA!$C:$C,$B80,DATA!$N:$N,"&gt;="&amp;DATE($I$2,M$4,1),DATA!$N:$N,"&lt;="&amp;DATE($I$2,M$4,M$5))</f>
        <v/>
      </c>
      <c r="N81" s="321">
        <f>SUMIFS(DATA!$M:$M,DATA!$C:$C,$B80,DATA!$N:$N,"&gt;="&amp;DATE($I$2,N$4,1),DATA!$N:$N,"&lt;="&amp;DATE($I$2,N$4,N$5))</f>
        <v/>
      </c>
      <c r="O81" s="321">
        <f>SUMIFS(DATA!$M:$M,DATA!$C:$C,$B80,DATA!$N:$N,"&gt;="&amp;DATE($I$2,O$4,1),DATA!$N:$N,"&lt;="&amp;DATE($I$2,O$4,O$5))</f>
        <v/>
      </c>
      <c r="P81" s="322">
        <f>SUM(D81:O81)</f>
        <v/>
      </c>
      <c r="Q81" s="118" t="n"/>
    </row>
    <row r="82" hidden="1" outlineLevel="1" ht="15" customHeight="1">
      <c r="A82" s="269" t="n">
        <v>39</v>
      </c>
      <c r="B82" s="265" t="inlineStr">
        <is>
          <t>CÔNG TY CỔ PHẦN ỨNG DỤNG CÔNG NGHỆ &amp; CNC VIỆT NAM</t>
        </is>
      </c>
      <c r="C82" s="119" t="inlineStr">
        <is>
          <t>Kế hoạch</t>
        </is>
      </c>
      <c r="D82" s="321">
        <f>SUMIFS(DATA!$I:$I,DATA!$C:$C,$B82,DATA!$J:$J,"&gt;="&amp;DATE($I$2,D$4,1),DATA!$J:$J,"&lt;="&amp;DATE($I$2,D$4,D$5))</f>
        <v/>
      </c>
      <c r="E82" s="321">
        <f>SUMIFS(DATA!$I:$I,DATA!$C:$C,$B82,DATA!$J:$J,"&gt;="&amp;DATE($I$2,E$4,1),DATA!$J:$J,"&lt;="&amp;DATE($I$2,E$4,E$5))</f>
        <v/>
      </c>
      <c r="F82" s="321">
        <f>SUMIFS(DATA!$I:$I,DATA!$C:$C,$B82,DATA!$J:$J,"&gt;="&amp;DATE($I$2,F$4,1),DATA!$J:$J,"&lt;="&amp;DATE($I$2,F$4,F$5))</f>
        <v/>
      </c>
      <c r="G82" s="321">
        <f>SUMIFS(DATA!$I:$I,DATA!$C:$C,$B82,DATA!$J:$J,"&gt;="&amp;DATE($I$2,G$4,1),DATA!$J:$J,"&lt;="&amp;DATE($I$2,G$4,G$5))</f>
        <v/>
      </c>
      <c r="H82" s="321">
        <f>SUMIFS(DATA!$I:$I,DATA!$C:$C,$B82,DATA!$J:$J,"&gt;="&amp;DATE($I$2,H$4,1),DATA!$J:$J,"&lt;="&amp;DATE($I$2,H$4,H$5))</f>
        <v/>
      </c>
      <c r="I82" s="321">
        <f>SUMIFS(DATA!$I:$I,DATA!$C:$C,$B82,DATA!$J:$J,"&gt;="&amp;DATE($I$2,I$4,1),DATA!$J:$J,"&lt;="&amp;DATE($I$2,I$4,I$5))</f>
        <v/>
      </c>
      <c r="J82" s="321">
        <f>SUMIFS(DATA!$I:$I,DATA!$C:$C,$B82,DATA!$J:$J,"&gt;="&amp;DATE($I$2,J$4,1),DATA!$J:$J,"&lt;="&amp;DATE($I$2,J$4,J$5))</f>
        <v/>
      </c>
      <c r="K82" s="321">
        <f>SUMIFS(DATA!$I:$I,DATA!$C:$C,$B82,DATA!$J:$J,"&gt;="&amp;DATE($I$2,K$4,1),DATA!$J:$J,"&lt;="&amp;DATE($I$2,K$4,K$5))</f>
        <v/>
      </c>
      <c r="L82" s="321">
        <f>SUMIFS(DATA!$I:$I,DATA!$C:$C,$B82,DATA!$J:$J,"&gt;="&amp;DATE($I$2,L$4,1),DATA!$J:$J,"&lt;="&amp;DATE($I$2,L$4,L$5))</f>
        <v/>
      </c>
      <c r="M82" s="321">
        <f>SUMIFS(DATA!$I:$I,DATA!$C:$C,$B82,DATA!$J:$J,"&gt;="&amp;DATE($I$2,M$4,1),DATA!$J:$J,"&lt;="&amp;DATE($I$2,M$4,M$5))</f>
        <v/>
      </c>
      <c r="N82" s="321">
        <f>SUMIFS(DATA!$I:$I,DATA!$C:$C,$B82,DATA!$J:$J,"&gt;="&amp;DATE($I$2,N$4,1),DATA!$J:$J,"&lt;="&amp;DATE($I$2,N$4,N$5))</f>
        <v/>
      </c>
      <c r="O82" s="321">
        <f>SUMIFS(DATA!$I:$I,DATA!$C:$C,$B82,DATA!$J:$J,"&gt;="&amp;DATE($I$2,O$4,1),DATA!$J:$J,"&lt;="&amp;DATE($I$2,O$4,O$5))</f>
        <v/>
      </c>
      <c r="P82" s="322">
        <f>SUM(D82:O82)</f>
        <v/>
      </c>
      <c r="Q82" s="118" t="n"/>
    </row>
    <row r="83" hidden="1" outlineLevel="1" ht="15" customHeight="1">
      <c r="A83" s="266" t="n"/>
      <c r="B83" s="266" t="n"/>
      <c r="C83" s="119" t="inlineStr">
        <is>
          <t>Thực tế</t>
        </is>
      </c>
      <c r="D83" s="321">
        <f>SUMIFS(DATA!$M:$M,DATA!$C:$C,$B82,DATA!$N:$N,"&gt;="&amp;DATE($I$2,D$4,1),DATA!$N:$N,"&lt;="&amp;DATE($I$2,D$4,D$5))</f>
        <v/>
      </c>
      <c r="E83" s="321">
        <f>SUMIFS(DATA!$M:$M,DATA!$C:$C,$B82,DATA!$N:$N,"&gt;="&amp;DATE($I$2,E$4,1),DATA!$N:$N,"&lt;="&amp;DATE($I$2,E$4,E$5))</f>
        <v/>
      </c>
      <c r="F83" s="321">
        <f>SUMIFS(DATA!$M:$M,DATA!$C:$C,$B82,DATA!$N:$N,"&gt;="&amp;DATE($I$2,F$4,1),DATA!$N:$N,"&lt;="&amp;DATE($I$2,F$4,F$5))</f>
        <v/>
      </c>
      <c r="G83" s="321">
        <f>SUMIFS(DATA!$M:$M,DATA!$C:$C,$B82,DATA!$N:$N,"&gt;="&amp;DATE($I$2,G$4,1),DATA!$N:$N,"&lt;="&amp;DATE($I$2,G$4,G$5))</f>
        <v/>
      </c>
      <c r="H83" s="321">
        <f>SUMIFS(DATA!$M:$M,DATA!$C:$C,$B82,DATA!$N:$N,"&gt;="&amp;DATE($I$2,H$4,1),DATA!$N:$N,"&lt;="&amp;DATE($I$2,H$4,H$5))</f>
        <v/>
      </c>
      <c r="I83" s="321">
        <f>SUMIFS(DATA!$M:$M,DATA!$C:$C,$B82,DATA!$N:$N,"&gt;="&amp;DATE($I$2,I$4,1),DATA!$N:$N,"&lt;="&amp;DATE($I$2,I$4,I$5))</f>
        <v/>
      </c>
      <c r="J83" s="321">
        <f>SUMIFS(DATA!$M:$M,DATA!$C:$C,$B82,DATA!$N:$N,"&gt;="&amp;DATE($I$2,J$4,1),DATA!$N:$N,"&lt;="&amp;DATE($I$2,J$4,J$5))</f>
        <v/>
      </c>
      <c r="K83" s="321">
        <f>SUMIFS(DATA!$M:$M,DATA!$C:$C,$B82,DATA!$N:$N,"&gt;="&amp;DATE($I$2,K$4,1),DATA!$N:$N,"&lt;="&amp;DATE($I$2,K$4,K$5))</f>
        <v/>
      </c>
      <c r="L83" s="321">
        <f>SUMIFS(DATA!$M:$M,DATA!$C:$C,$B82,DATA!$N:$N,"&gt;="&amp;DATE($I$2,L$4,1),DATA!$N:$N,"&lt;="&amp;DATE($I$2,L$4,L$5))</f>
        <v/>
      </c>
      <c r="M83" s="321">
        <f>SUMIFS(DATA!$M:$M,DATA!$C:$C,$B82,DATA!$N:$N,"&gt;="&amp;DATE($I$2,M$4,1),DATA!$N:$N,"&lt;="&amp;DATE($I$2,M$4,M$5))</f>
        <v/>
      </c>
      <c r="N83" s="321">
        <f>SUMIFS(DATA!$M:$M,DATA!$C:$C,$B82,DATA!$N:$N,"&gt;="&amp;DATE($I$2,N$4,1),DATA!$N:$N,"&lt;="&amp;DATE($I$2,N$4,N$5))</f>
        <v/>
      </c>
      <c r="O83" s="321">
        <f>SUMIFS(DATA!$M:$M,DATA!$C:$C,$B82,DATA!$N:$N,"&gt;="&amp;DATE($I$2,O$4,1),DATA!$N:$N,"&lt;="&amp;DATE($I$2,O$4,O$5))</f>
        <v/>
      </c>
      <c r="P83" s="322">
        <f>SUM(D83:O83)</f>
        <v/>
      </c>
      <c r="Q83" s="118" t="n"/>
    </row>
    <row r="84" hidden="1" outlineLevel="1" ht="15" customHeight="1">
      <c r="A84" s="269" t="n">
        <v>40</v>
      </c>
      <c r="B84" s="265" t="inlineStr">
        <is>
          <t>AIR WATER SAFETY SERVICE INC.</t>
        </is>
      </c>
      <c r="C84" s="119" t="inlineStr">
        <is>
          <t>Kế hoạch</t>
        </is>
      </c>
      <c r="D84" s="321">
        <f>SUMIFS(DATA!$I:$I,DATA!$C:$C,$B84,DATA!$J:$J,"&gt;="&amp;DATE($I$2,D$4,1),DATA!$J:$J,"&lt;="&amp;DATE($I$2,D$4,D$5))</f>
        <v/>
      </c>
      <c r="E84" s="321">
        <f>SUMIFS(DATA!$I:$I,DATA!$C:$C,$B84,DATA!$J:$J,"&gt;="&amp;DATE($I$2,E$4,1),DATA!$J:$J,"&lt;="&amp;DATE($I$2,E$4,E$5))</f>
        <v/>
      </c>
      <c r="F84" s="321">
        <f>SUMIFS(DATA!$I:$I,DATA!$C:$C,$B84,DATA!$J:$J,"&gt;="&amp;DATE($I$2,F$4,1),DATA!$J:$J,"&lt;="&amp;DATE($I$2,F$4,F$5))</f>
        <v/>
      </c>
      <c r="G84" s="321">
        <f>SUMIFS(DATA!$I:$I,DATA!$C:$C,$B84,DATA!$J:$J,"&gt;="&amp;DATE($I$2,G$4,1),DATA!$J:$J,"&lt;="&amp;DATE($I$2,G$4,G$5))</f>
        <v/>
      </c>
      <c r="H84" s="321">
        <f>SUMIFS(DATA!$I:$I,DATA!$C:$C,$B84,DATA!$J:$J,"&gt;="&amp;DATE($I$2,H$4,1),DATA!$J:$J,"&lt;="&amp;DATE($I$2,H$4,H$5))</f>
        <v/>
      </c>
      <c r="I84" s="321">
        <f>SUMIFS(DATA!$I:$I,DATA!$C:$C,$B84,DATA!$J:$J,"&gt;="&amp;DATE($I$2,I$4,1),DATA!$J:$J,"&lt;="&amp;DATE($I$2,I$4,I$5))</f>
        <v/>
      </c>
      <c r="J84" s="321">
        <f>SUMIFS(DATA!$I:$I,DATA!$C:$C,$B84,DATA!$J:$J,"&gt;="&amp;DATE($I$2,J$4,1),DATA!$J:$J,"&lt;="&amp;DATE($I$2,J$4,J$5))</f>
        <v/>
      </c>
      <c r="K84" s="321">
        <f>SUMIFS(DATA!$I:$I,DATA!$C:$C,$B84,DATA!$J:$J,"&gt;="&amp;DATE($I$2,K$4,1),DATA!$J:$J,"&lt;="&amp;DATE($I$2,K$4,K$5))</f>
        <v/>
      </c>
      <c r="L84" s="321">
        <f>SUMIFS(DATA!$I:$I,DATA!$C:$C,$B84,DATA!$J:$J,"&gt;="&amp;DATE($I$2,L$4,1),DATA!$J:$J,"&lt;="&amp;DATE($I$2,L$4,L$5))</f>
        <v/>
      </c>
      <c r="M84" s="321">
        <f>SUMIFS(DATA!$I:$I,DATA!$C:$C,$B84,DATA!$J:$J,"&gt;="&amp;DATE($I$2,M$4,1),DATA!$J:$J,"&lt;="&amp;DATE($I$2,M$4,M$5))</f>
        <v/>
      </c>
      <c r="N84" s="321">
        <f>SUMIFS(DATA!$I:$I,DATA!$C:$C,$B84,DATA!$J:$J,"&gt;="&amp;DATE($I$2,N$4,1),DATA!$J:$J,"&lt;="&amp;DATE($I$2,N$4,N$5))</f>
        <v/>
      </c>
      <c r="O84" s="321">
        <f>SUMIFS(DATA!$I:$I,DATA!$C:$C,$B84,DATA!$J:$J,"&gt;="&amp;DATE($I$2,O$4,1),DATA!$J:$J,"&lt;="&amp;DATE($I$2,O$4,O$5))</f>
        <v/>
      </c>
      <c r="P84" s="322">
        <f>SUM(D84:O84)</f>
        <v/>
      </c>
      <c r="Q84" s="118" t="n"/>
    </row>
    <row r="85" hidden="1" outlineLevel="1" ht="15" customHeight="1">
      <c r="A85" s="266" t="n"/>
      <c r="B85" s="266" t="n"/>
      <c r="C85" s="119" t="inlineStr">
        <is>
          <t>Thực tế</t>
        </is>
      </c>
      <c r="D85" s="321">
        <f>SUMIFS(DATA!$M:$M,DATA!$C:$C,$B84,DATA!$N:$N,"&gt;="&amp;DATE($I$2,D$4,1),DATA!$N:$N,"&lt;="&amp;DATE($I$2,D$4,D$5))</f>
        <v/>
      </c>
      <c r="E85" s="321">
        <f>SUMIFS(DATA!$M:$M,DATA!$C:$C,$B84,DATA!$N:$N,"&gt;="&amp;DATE($I$2,E$4,1),DATA!$N:$N,"&lt;="&amp;DATE($I$2,E$4,E$5))</f>
        <v/>
      </c>
      <c r="F85" s="321">
        <f>SUMIFS(DATA!$M:$M,DATA!$C:$C,$B84,DATA!$N:$N,"&gt;="&amp;DATE($I$2,F$4,1),DATA!$N:$N,"&lt;="&amp;DATE($I$2,F$4,F$5))</f>
        <v/>
      </c>
      <c r="G85" s="321">
        <f>SUMIFS(DATA!$M:$M,DATA!$C:$C,$B84,DATA!$N:$N,"&gt;="&amp;DATE($I$2,G$4,1),DATA!$N:$N,"&lt;="&amp;DATE($I$2,G$4,G$5))</f>
        <v/>
      </c>
      <c r="H85" s="321">
        <f>SUMIFS(DATA!$M:$M,DATA!$C:$C,$B84,DATA!$N:$N,"&gt;="&amp;DATE($I$2,H$4,1),DATA!$N:$N,"&lt;="&amp;DATE($I$2,H$4,H$5))</f>
        <v/>
      </c>
      <c r="I85" s="321">
        <f>SUMIFS(DATA!$M:$M,DATA!$C:$C,$B84,DATA!$N:$N,"&gt;="&amp;DATE($I$2,I$4,1),DATA!$N:$N,"&lt;="&amp;DATE($I$2,I$4,I$5))</f>
        <v/>
      </c>
      <c r="J85" s="321">
        <f>SUMIFS(DATA!$M:$M,DATA!$C:$C,$B84,DATA!$N:$N,"&gt;="&amp;DATE($I$2,J$4,1),DATA!$N:$N,"&lt;="&amp;DATE($I$2,J$4,J$5))</f>
        <v/>
      </c>
      <c r="K85" s="321">
        <f>SUMIFS(DATA!$M:$M,DATA!$C:$C,$B84,DATA!$N:$N,"&gt;="&amp;DATE($I$2,K$4,1),DATA!$N:$N,"&lt;="&amp;DATE($I$2,K$4,K$5))</f>
        <v/>
      </c>
      <c r="L85" s="321">
        <f>SUMIFS(DATA!$M:$M,DATA!$C:$C,$B84,DATA!$N:$N,"&gt;="&amp;DATE($I$2,L$4,1),DATA!$N:$N,"&lt;="&amp;DATE($I$2,L$4,L$5))</f>
        <v/>
      </c>
      <c r="M85" s="321">
        <f>SUMIFS(DATA!$M:$M,DATA!$C:$C,$B84,DATA!$N:$N,"&gt;="&amp;DATE($I$2,M$4,1),DATA!$N:$N,"&lt;="&amp;DATE($I$2,M$4,M$5))</f>
        <v/>
      </c>
      <c r="N85" s="321">
        <f>SUMIFS(DATA!$M:$M,DATA!$C:$C,$B84,DATA!$N:$N,"&gt;="&amp;DATE($I$2,N$4,1),DATA!$N:$N,"&lt;="&amp;DATE($I$2,N$4,N$5))</f>
        <v/>
      </c>
      <c r="O85" s="321">
        <f>SUMIFS(DATA!$M:$M,DATA!$C:$C,$B84,DATA!$N:$N,"&gt;="&amp;DATE($I$2,O$4,1),DATA!$N:$N,"&lt;="&amp;DATE($I$2,O$4,O$5))</f>
        <v/>
      </c>
      <c r="P85" s="322">
        <f>SUM(D85:O85)</f>
        <v/>
      </c>
      <c r="Q85" s="118" t="n"/>
    </row>
    <row r="86" hidden="1" outlineLevel="1" ht="15" customHeight="1">
      <c r="A86" s="269" t="n">
        <v>41</v>
      </c>
      <c r="B86" s="265" t="inlineStr">
        <is>
          <t>SANTOMAS VIETNAM JSC</t>
        </is>
      </c>
      <c r="C86" s="119" t="inlineStr">
        <is>
          <t>Kế hoạch</t>
        </is>
      </c>
      <c r="D86" s="321">
        <f>SUMIFS(DATA!$I:$I,DATA!$C:$C,$B86,DATA!$J:$J,"&gt;="&amp;DATE($I$2,D$4,1),DATA!$J:$J,"&lt;="&amp;DATE($I$2,D$4,D$5))</f>
        <v/>
      </c>
      <c r="E86" s="321">
        <f>SUMIFS(DATA!$I:$I,DATA!$C:$C,$B86,DATA!$J:$J,"&gt;="&amp;DATE($I$2,E$4,1),DATA!$J:$J,"&lt;="&amp;DATE($I$2,E$4,E$5))</f>
        <v/>
      </c>
      <c r="F86" s="321">
        <f>SUMIFS(DATA!$I:$I,DATA!$C:$C,$B86,DATA!$J:$J,"&gt;="&amp;DATE($I$2,F$4,1),DATA!$J:$J,"&lt;="&amp;DATE($I$2,F$4,F$5))</f>
        <v/>
      </c>
      <c r="G86" s="321">
        <f>SUMIFS(DATA!$I:$I,DATA!$C:$C,$B86,DATA!$J:$J,"&gt;="&amp;DATE($I$2,G$4,1),DATA!$J:$J,"&lt;="&amp;DATE($I$2,G$4,G$5))</f>
        <v/>
      </c>
      <c r="H86" s="321">
        <f>SUMIFS(DATA!$I:$I,DATA!$C:$C,$B86,DATA!$J:$J,"&gt;="&amp;DATE($I$2,H$4,1),DATA!$J:$J,"&lt;="&amp;DATE($I$2,H$4,H$5))</f>
        <v/>
      </c>
      <c r="I86" s="321">
        <f>SUMIFS(DATA!$I:$I,DATA!$C:$C,$B86,DATA!$J:$J,"&gt;="&amp;DATE($I$2,I$4,1),DATA!$J:$J,"&lt;="&amp;DATE($I$2,I$4,I$5))</f>
        <v/>
      </c>
      <c r="J86" s="321">
        <f>SUMIFS(DATA!$I:$I,DATA!$C:$C,$B86,DATA!$J:$J,"&gt;="&amp;DATE($I$2,J$4,1),DATA!$J:$J,"&lt;="&amp;DATE($I$2,J$4,J$5))</f>
        <v/>
      </c>
      <c r="K86" s="321">
        <f>SUMIFS(DATA!$I:$I,DATA!$C:$C,$B86,DATA!$J:$J,"&gt;="&amp;DATE($I$2,K$4,1),DATA!$J:$J,"&lt;="&amp;DATE($I$2,K$4,K$5))</f>
        <v/>
      </c>
      <c r="L86" s="321">
        <f>SUMIFS(DATA!$I:$I,DATA!$C:$C,$B86,DATA!$J:$J,"&gt;="&amp;DATE($I$2,L$4,1),DATA!$J:$J,"&lt;="&amp;DATE($I$2,L$4,L$5))</f>
        <v/>
      </c>
      <c r="M86" s="321">
        <f>SUMIFS(DATA!$I:$I,DATA!$C:$C,$B86,DATA!$J:$J,"&gt;="&amp;DATE($I$2,M$4,1),DATA!$J:$J,"&lt;="&amp;DATE($I$2,M$4,M$5))</f>
        <v/>
      </c>
      <c r="N86" s="321">
        <f>SUMIFS(DATA!$I:$I,DATA!$C:$C,$B86,DATA!$J:$J,"&gt;="&amp;DATE($I$2,N$4,1),DATA!$J:$J,"&lt;="&amp;DATE($I$2,N$4,N$5))</f>
        <v/>
      </c>
      <c r="O86" s="321">
        <f>SUMIFS(DATA!$I:$I,DATA!$C:$C,$B86,DATA!$J:$J,"&gt;="&amp;DATE($I$2,O$4,1),DATA!$J:$J,"&lt;="&amp;DATE($I$2,O$4,O$5))</f>
        <v/>
      </c>
      <c r="P86" s="322">
        <f>SUM(D86:O86)</f>
        <v/>
      </c>
      <c r="Q86" s="118" t="n"/>
    </row>
    <row r="87" hidden="1" outlineLevel="1" ht="15" customHeight="1">
      <c r="A87" s="266" t="n"/>
      <c r="B87" s="266" t="n"/>
      <c r="C87" s="119" t="inlineStr">
        <is>
          <t>Thực tế</t>
        </is>
      </c>
      <c r="D87" s="321">
        <f>SUMIFS(DATA!$M:$M,DATA!$C:$C,$B86,DATA!$N:$N,"&gt;="&amp;DATE($I$2,D$4,1),DATA!$N:$N,"&lt;="&amp;DATE($I$2,D$4,D$5))</f>
        <v/>
      </c>
      <c r="E87" s="321">
        <f>SUMIFS(DATA!$M:$M,DATA!$C:$C,$B86,DATA!$N:$N,"&gt;="&amp;DATE($I$2,E$4,1),DATA!$N:$N,"&lt;="&amp;DATE($I$2,E$4,E$5))</f>
        <v/>
      </c>
      <c r="F87" s="321">
        <f>SUMIFS(DATA!$M:$M,DATA!$C:$C,$B86,DATA!$N:$N,"&gt;="&amp;DATE($I$2,F$4,1),DATA!$N:$N,"&lt;="&amp;DATE($I$2,F$4,F$5))</f>
        <v/>
      </c>
      <c r="G87" s="321">
        <f>SUMIFS(DATA!$M:$M,DATA!$C:$C,$B86,DATA!$N:$N,"&gt;="&amp;DATE($I$2,G$4,1),DATA!$N:$N,"&lt;="&amp;DATE($I$2,G$4,G$5))</f>
        <v/>
      </c>
      <c r="H87" s="321">
        <f>SUMIFS(DATA!$M:$M,DATA!$C:$C,$B86,DATA!$N:$N,"&gt;="&amp;DATE($I$2,H$4,1),DATA!$N:$N,"&lt;="&amp;DATE($I$2,H$4,H$5))</f>
        <v/>
      </c>
      <c r="I87" s="321">
        <f>SUMIFS(DATA!$M:$M,DATA!$C:$C,$B86,DATA!$N:$N,"&gt;="&amp;DATE($I$2,I$4,1),DATA!$N:$N,"&lt;="&amp;DATE($I$2,I$4,I$5))</f>
        <v/>
      </c>
      <c r="J87" s="321">
        <f>SUMIFS(DATA!$M:$M,DATA!$C:$C,$B86,DATA!$N:$N,"&gt;="&amp;DATE($I$2,J$4,1),DATA!$N:$N,"&lt;="&amp;DATE($I$2,J$4,J$5))</f>
        <v/>
      </c>
      <c r="K87" s="321">
        <f>SUMIFS(DATA!$M:$M,DATA!$C:$C,$B86,DATA!$N:$N,"&gt;="&amp;DATE($I$2,K$4,1),DATA!$N:$N,"&lt;="&amp;DATE($I$2,K$4,K$5))</f>
        <v/>
      </c>
      <c r="L87" s="321">
        <f>SUMIFS(DATA!$M:$M,DATA!$C:$C,$B86,DATA!$N:$N,"&gt;="&amp;DATE($I$2,L$4,1),DATA!$N:$N,"&lt;="&amp;DATE($I$2,L$4,L$5))</f>
        <v/>
      </c>
      <c r="M87" s="321">
        <f>SUMIFS(DATA!$M:$M,DATA!$C:$C,$B86,DATA!$N:$N,"&gt;="&amp;DATE($I$2,M$4,1),DATA!$N:$N,"&lt;="&amp;DATE($I$2,M$4,M$5))</f>
        <v/>
      </c>
      <c r="N87" s="321">
        <f>SUMIFS(DATA!$M:$M,DATA!$C:$C,$B86,DATA!$N:$N,"&gt;="&amp;DATE($I$2,N$4,1),DATA!$N:$N,"&lt;="&amp;DATE($I$2,N$4,N$5))</f>
        <v/>
      </c>
      <c r="O87" s="321">
        <f>SUMIFS(DATA!$M:$M,DATA!$C:$C,$B86,DATA!$N:$N,"&gt;="&amp;DATE($I$2,O$4,1),DATA!$N:$N,"&lt;="&amp;DATE($I$2,O$4,O$5))</f>
        <v/>
      </c>
      <c r="P87" s="322">
        <f>SUM(D87:O87)</f>
        <v/>
      </c>
      <c r="Q87" s="118" t="n"/>
    </row>
    <row r="88" hidden="1" outlineLevel="1" ht="15" customHeight="1">
      <c r="A88" s="269" t="n">
        <v>42</v>
      </c>
      <c r="B88" s="265" t="inlineStr">
        <is>
          <t>MACAU GAMING CLUB</t>
        </is>
      </c>
      <c r="C88" s="119" t="inlineStr">
        <is>
          <t>Kế hoạch</t>
        </is>
      </c>
      <c r="D88" s="321">
        <f>SUMIFS(DATA!$I:$I,DATA!$C:$C,$B88,DATA!$J:$J,"&gt;="&amp;DATE($I$2,D$4,1),DATA!$J:$J,"&lt;="&amp;DATE($I$2,D$4,D$5))</f>
        <v/>
      </c>
      <c r="E88" s="321">
        <f>SUMIFS(DATA!$I:$I,DATA!$C:$C,$B88,DATA!$J:$J,"&gt;="&amp;DATE($I$2,E$4,1),DATA!$J:$J,"&lt;="&amp;DATE($I$2,E$4,E$5))</f>
        <v/>
      </c>
      <c r="F88" s="321">
        <f>SUMIFS(DATA!$I:$I,DATA!$C:$C,$B88,DATA!$J:$J,"&gt;="&amp;DATE($I$2,F$4,1),DATA!$J:$J,"&lt;="&amp;DATE($I$2,F$4,F$5))</f>
        <v/>
      </c>
      <c r="G88" s="321">
        <f>SUMIFS(DATA!$I:$I,DATA!$C:$C,$B88,DATA!$J:$J,"&gt;="&amp;DATE($I$2,G$4,1),DATA!$J:$J,"&lt;="&amp;DATE($I$2,G$4,G$5))</f>
        <v/>
      </c>
      <c r="H88" s="321">
        <f>SUMIFS(DATA!$I:$I,DATA!$C:$C,$B88,DATA!$J:$J,"&gt;="&amp;DATE($I$2,H$4,1),DATA!$J:$J,"&lt;="&amp;DATE($I$2,H$4,H$5))</f>
        <v/>
      </c>
      <c r="I88" s="321">
        <f>SUMIFS(DATA!$I:$I,DATA!$C:$C,$B88,DATA!$J:$J,"&gt;="&amp;DATE($I$2,I$4,1),DATA!$J:$J,"&lt;="&amp;DATE($I$2,I$4,I$5))</f>
        <v/>
      </c>
      <c r="J88" s="321">
        <f>SUMIFS(DATA!$I:$I,DATA!$C:$C,$B88,DATA!$J:$J,"&gt;="&amp;DATE($I$2,J$4,1),DATA!$J:$J,"&lt;="&amp;DATE($I$2,J$4,J$5))</f>
        <v/>
      </c>
      <c r="K88" s="321">
        <f>SUMIFS(DATA!$I:$I,DATA!$C:$C,$B88,DATA!$J:$J,"&gt;="&amp;DATE($I$2,K$4,1),DATA!$J:$J,"&lt;="&amp;DATE($I$2,K$4,K$5))</f>
        <v/>
      </c>
      <c r="L88" s="321">
        <f>SUMIFS(DATA!$I:$I,DATA!$C:$C,$B88,DATA!$J:$J,"&gt;="&amp;DATE($I$2,L$4,1),DATA!$J:$J,"&lt;="&amp;DATE($I$2,L$4,L$5))</f>
        <v/>
      </c>
      <c r="M88" s="321">
        <f>SUMIFS(DATA!$I:$I,DATA!$C:$C,$B88,DATA!$J:$J,"&gt;="&amp;DATE($I$2,M$4,1),DATA!$J:$J,"&lt;="&amp;DATE($I$2,M$4,M$5))</f>
        <v/>
      </c>
      <c r="N88" s="321">
        <f>SUMIFS(DATA!$I:$I,DATA!$C:$C,$B88,DATA!$J:$J,"&gt;="&amp;DATE($I$2,N$4,1),DATA!$J:$J,"&lt;="&amp;DATE($I$2,N$4,N$5))</f>
        <v/>
      </c>
      <c r="O88" s="321">
        <f>SUMIFS(DATA!$I:$I,DATA!$C:$C,$B88,DATA!$J:$J,"&gt;="&amp;DATE($I$2,O$4,1),DATA!$J:$J,"&lt;="&amp;DATE($I$2,O$4,O$5))</f>
        <v/>
      </c>
      <c r="P88" s="322">
        <f>SUM(D88:O88)</f>
        <v/>
      </c>
      <c r="Q88" s="118" t="n"/>
    </row>
    <row r="89" hidden="1" outlineLevel="1" ht="15" customHeight="1">
      <c r="A89" s="266" t="n"/>
      <c r="B89" s="266" t="n"/>
      <c r="C89" s="119" t="inlineStr">
        <is>
          <t>Thực tế</t>
        </is>
      </c>
      <c r="D89" s="321">
        <f>SUMIFS(DATA!$M:$M,DATA!$C:$C,$B88,DATA!$N:$N,"&gt;="&amp;DATE($I$2,D$4,1),DATA!$N:$N,"&lt;="&amp;DATE($I$2,D$4,D$5))</f>
        <v/>
      </c>
      <c r="E89" s="321">
        <f>SUMIFS(DATA!$M:$M,DATA!$C:$C,$B88,DATA!$N:$N,"&gt;="&amp;DATE($I$2,E$4,1),DATA!$N:$N,"&lt;="&amp;DATE($I$2,E$4,E$5))</f>
        <v/>
      </c>
      <c r="F89" s="321">
        <f>SUMIFS(DATA!$M:$M,DATA!$C:$C,$B88,DATA!$N:$N,"&gt;="&amp;DATE($I$2,F$4,1),DATA!$N:$N,"&lt;="&amp;DATE($I$2,F$4,F$5))</f>
        <v/>
      </c>
      <c r="G89" s="321">
        <f>SUMIFS(DATA!$M:$M,DATA!$C:$C,$B88,DATA!$N:$N,"&gt;="&amp;DATE($I$2,G$4,1),DATA!$N:$N,"&lt;="&amp;DATE($I$2,G$4,G$5))</f>
        <v/>
      </c>
      <c r="H89" s="321">
        <f>SUMIFS(DATA!$M:$M,DATA!$C:$C,$B88,DATA!$N:$N,"&gt;="&amp;DATE($I$2,H$4,1),DATA!$N:$N,"&lt;="&amp;DATE($I$2,H$4,H$5))</f>
        <v/>
      </c>
      <c r="I89" s="321">
        <f>SUMIFS(DATA!$M:$M,DATA!$C:$C,$B88,DATA!$N:$N,"&gt;="&amp;DATE($I$2,I$4,1),DATA!$N:$N,"&lt;="&amp;DATE($I$2,I$4,I$5))</f>
        <v/>
      </c>
      <c r="J89" s="321">
        <f>SUMIFS(DATA!$M:$M,DATA!$C:$C,$B88,DATA!$N:$N,"&gt;="&amp;DATE($I$2,J$4,1),DATA!$N:$N,"&lt;="&amp;DATE($I$2,J$4,J$5))</f>
        <v/>
      </c>
      <c r="K89" s="321">
        <f>SUMIFS(DATA!$M:$M,DATA!$C:$C,$B88,DATA!$N:$N,"&gt;="&amp;DATE($I$2,K$4,1),DATA!$N:$N,"&lt;="&amp;DATE($I$2,K$4,K$5))</f>
        <v/>
      </c>
      <c r="L89" s="321">
        <f>SUMIFS(DATA!$M:$M,DATA!$C:$C,$B88,DATA!$N:$N,"&gt;="&amp;DATE($I$2,L$4,1),DATA!$N:$N,"&lt;="&amp;DATE($I$2,L$4,L$5))</f>
        <v/>
      </c>
      <c r="M89" s="321">
        <f>SUMIFS(DATA!$M:$M,DATA!$C:$C,$B88,DATA!$N:$N,"&gt;="&amp;DATE($I$2,M$4,1),DATA!$N:$N,"&lt;="&amp;DATE($I$2,M$4,M$5))</f>
        <v/>
      </c>
      <c r="N89" s="321">
        <f>SUMIFS(DATA!$M:$M,DATA!$C:$C,$B88,DATA!$N:$N,"&gt;="&amp;DATE($I$2,N$4,1),DATA!$N:$N,"&lt;="&amp;DATE($I$2,N$4,N$5))</f>
        <v/>
      </c>
      <c r="O89" s="321">
        <f>SUMIFS(DATA!$M:$M,DATA!$C:$C,$B88,DATA!$N:$N,"&gt;="&amp;DATE($I$2,O$4,1),DATA!$N:$N,"&lt;="&amp;DATE($I$2,O$4,O$5))</f>
        <v/>
      </c>
      <c r="P89" s="322">
        <f>SUM(D89:O89)</f>
        <v/>
      </c>
      <c r="Q89" s="118" t="n"/>
    </row>
    <row r="90" hidden="1" outlineLevel="1" ht="15" customHeight="1">
      <c r="A90" s="269" t="n">
        <v>43</v>
      </c>
      <c r="B90" s="265" t="inlineStr">
        <is>
          <t>TRUNG TÂM PHÁT THANH - TRUYỀN HÌNH QUÂN ĐỘI</t>
        </is>
      </c>
      <c r="C90" s="119" t="inlineStr">
        <is>
          <t>Kế hoạch</t>
        </is>
      </c>
      <c r="D90" s="321">
        <f>SUMIFS(DATA!$I:$I,DATA!$C:$C,$B90,DATA!$J:$J,"&gt;="&amp;DATE($I$2,D$4,1),DATA!$J:$J,"&lt;="&amp;DATE($I$2,D$4,D$5))</f>
        <v/>
      </c>
      <c r="E90" s="321">
        <f>SUMIFS(DATA!$I:$I,DATA!$C:$C,$B90,DATA!$J:$J,"&gt;="&amp;DATE($I$2,E$4,1),DATA!$J:$J,"&lt;="&amp;DATE($I$2,E$4,E$5))</f>
        <v/>
      </c>
      <c r="F90" s="321">
        <f>SUMIFS(DATA!$I:$I,DATA!$C:$C,$B90,DATA!$J:$J,"&gt;="&amp;DATE($I$2,F$4,1),DATA!$J:$J,"&lt;="&amp;DATE($I$2,F$4,F$5))</f>
        <v/>
      </c>
      <c r="G90" s="321">
        <f>SUMIFS(DATA!$I:$I,DATA!$C:$C,$B90,DATA!$J:$J,"&gt;="&amp;DATE($I$2,G$4,1),DATA!$J:$J,"&lt;="&amp;DATE($I$2,G$4,G$5))</f>
        <v/>
      </c>
      <c r="H90" s="321">
        <f>SUMIFS(DATA!$I:$I,DATA!$C:$C,$B90,DATA!$J:$J,"&gt;="&amp;DATE($I$2,H$4,1),DATA!$J:$J,"&lt;="&amp;DATE($I$2,H$4,H$5))</f>
        <v/>
      </c>
      <c r="I90" s="321">
        <f>SUMIFS(DATA!$I:$I,DATA!$C:$C,$B90,DATA!$J:$J,"&gt;="&amp;DATE($I$2,I$4,1),DATA!$J:$J,"&lt;="&amp;DATE($I$2,I$4,I$5))</f>
        <v/>
      </c>
      <c r="J90" s="321">
        <f>SUMIFS(DATA!$I:$I,DATA!$C:$C,$B90,DATA!$J:$J,"&gt;="&amp;DATE($I$2,J$4,1),DATA!$J:$J,"&lt;="&amp;DATE($I$2,J$4,J$5))</f>
        <v/>
      </c>
      <c r="K90" s="321">
        <f>SUMIFS(DATA!$I:$I,DATA!$C:$C,$B90,DATA!$J:$J,"&gt;="&amp;DATE($I$2,K$4,1),DATA!$J:$J,"&lt;="&amp;DATE($I$2,K$4,K$5))</f>
        <v/>
      </c>
      <c r="L90" s="321">
        <f>SUMIFS(DATA!$I:$I,DATA!$C:$C,$B90,DATA!$J:$J,"&gt;="&amp;DATE($I$2,L$4,1),DATA!$J:$J,"&lt;="&amp;DATE($I$2,L$4,L$5))</f>
        <v/>
      </c>
      <c r="M90" s="321">
        <f>SUMIFS(DATA!$I:$I,DATA!$C:$C,$B90,DATA!$J:$J,"&gt;="&amp;DATE($I$2,M$4,1),DATA!$J:$J,"&lt;="&amp;DATE($I$2,M$4,M$5))</f>
        <v/>
      </c>
      <c r="N90" s="321">
        <f>SUMIFS(DATA!$I:$I,DATA!$C:$C,$B90,DATA!$J:$J,"&gt;="&amp;DATE($I$2,N$4,1),DATA!$J:$J,"&lt;="&amp;DATE($I$2,N$4,N$5))</f>
        <v/>
      </c>
      <c r="O90" s="321">
        <f>SUMIFS(DATA!$I:$I,DATA!$C:$C,$B90,DATA!$J:$J,"&gt;="&amp;DATE($I$2,O$4,1),DATA!$J:$J,"&lt;="&amp;DATE($I$2,O$4,O$5))</f>
        <v/>
      </c>
      <c r="P90" s="322">
        <f>SUM(D90:O90)</f>
        <v/>
      </c>
      <c r="Q90" s="118" t="n"/>
    </row>
    <row r="91" hidden="1" outlineLevel="1" ht="15" customHeight="1">
      <c r="A91" s="266" t="n"/>
      <c r="B91" s="266" t="n"/>
      <c r="C91" s="119" t="inlineStr">
        <is>
          <t>Thực tế</t>
        </is>
      </c>
      <c r="D91" s="321">
        <f>SUMIFS(DATA!$M:$M,DATA!$C:$C,$B90,DATA!$N:$N,"&gt;="&amp;DATE($I$2,D$4,1),DATA!$N:$N,"&lt;="&amp;DATE($I$2,D$4,D$5))</f>
        <v/>
      </c>
      <c r="E91" s="321">
        <f>SUMIFS(DATA!$M:$M,DATA!$C:$C,$B90,DATA!$N:$N,"&gt;="&amp;DATE($I$2,E$4,1),DATA!$N:$N,"&lt;="&amp;DATE($I$2,E$4,E$5))</f>
        <v/>
      </c>
      <c r="F91" s="321">
        <f>SUMIFS(DATA!$M:$M,DATA!$C:$C,$B90,DATA!$N:$N,"&gt;="&amp;DATE($I$2,F$4,1),DATA!$N:$N,"&lt;="&amp;DATE($I$2,F$4,F$5))</f>
        <v/>
      </c>
      <c r="G91" s="321">
        <f>SUMIFS(DATA!$M:$M,DATA!$C:$C,$B90,DATA!$N:$N,"&gt;="&amp;DATE($I$2,G$4,1),DATA!$N:$N,"&lt;="&amp;DATE($I$2,G$4,G$5))</f>
        <v/>
      </c>
      <c r="H91" s="321">
        <f>SUMIFS(DATA!$M:$M,DATA!$C:$C,$B90,DATA!$N:$N,"&gt;="&amp;DATE($I$2,H$4,1),DATA!$N:$N,"&lt;="&amp;DATE($I$2,H$4,H$5))</f>
        <v/>
      </c>
      <c r="I91" s="321">
        <f>SUMIFS(DATA!$M:$M,DATA!$C:$C,$B90,DATA!$N:$N,"&gt;="&amp;DATE($I$2,I$4,1),DATA!$N:$N,"&lt;="&amp;DATE($I$2,I$4,I$5))</f>
        <v/>
      </c>
      <c r="J91" s="321">
        <f>SUMIFS(DATA!$M:$M,DATA!$C:$C,$B90,DATA!$N:$N,"&gt;="&amp;DATE($I$2,J$4,1),DATA!$N:$N,"&lt;="&amp;DATE($I$2,J$4,J$5))</f>
        <v/>
      </c>
      <c r="K91" s="321">
        <f>SUMIFS(DATA!$M:$M,DATA!$C:$C,$B90,DATA!$N:$N,"&gt;="&amp;DATE($I$2,K$4,1),DATA!$N:$N,"&lt;="&amp;DATE($I$2,K$4,K$5))</f>
        <v/>
      </c>
      <c r="L91" s="321">
        <f>SUMIFS(DATA!$M:$M,DATA!$C:$C,$B90,DATA!$N:$N,"&gt;="&amp;DATE($I$2,L$4,1),DATA!$N:$N,"&lt;="&amp;DATE($I$2,L$4,L$5))</f>
        <v/>
      </c>
      <c r="M91" s="321">
        <f>SUMIFS(DATA!$M:$M,DATA!$C:$C,$B90,DATA!$N:$N,"&gt;="&amp;DATE($I$2,M$4,1),DATA!$N:$N,"&lt;="&amp;DATE($I$2,M$4,M$5))</f>
        <v/>
      </c>
      <c r="N91" s="321">
        <f>SUMIFS(DATA!$M:$M,DATA!$C:$C,$B90,DATA!$N:$N,"&gt;="&amp;DATE($I$2,N$4,1),DATA!$N:$N,"&lt;="&amp;DATE($I$2,N$4,N$5))</f>
        <v/>
      </c>
      <c r="O91" s="321">
        <f>SUMIFS(DATA!$M:$M,DATA!$C:$C,$B90,DATA!$N:$N,"&gt;="&amp;DATE($I$2,O$4,1),DATA!$N:$N,"&lt;="&amp;DATE($I$2,O$4,O$5))</f>
        <v/>
      </c>
      <c r="P91" s="322">
        <f>SUM(D91:O91)</f>
        <v/>
      </c>
      <c r="Q91" s="118" t="n"/>
    </row>
    <row r="92" hidden="1" outlineLevel="1" ht="15" customHeight="1">
      <c r="A92" s="269" t="n">
        <v>44</v>
      </c>
      <c r="B92" s="265" t="inlineStr">
        <is>
          <t>THE GARDEN (BITEXCO)</t>
        </is>
      </c>
      <c r="C92" s="119" t="inlineStr">
        <is>
          <t>Kế hoạch</t>
        </is>
      </c>
      <c r="D92" s="321">
        <f>SUMIFS(DATA!$I:$I,DATA!$C:$C,$B92,DATA!$J:$J,"&gt;="&amp;DATE($I$2,D$4,1),DATA!$J:$J,"&lt;="&amp;DATE($I$2,D$4,D$5))</f>
        <v/>
      </c>
      <c r="E92" s="321">
        <f>SUMIFS(DATA!$I:$I,DATA!$C:$C,$B92,DATA!$J:$J,"&gt;="&amp;DATE($I$2,E$4,1),DATA!$J:$J,"&lt;="&amp;DATE($I$2,E$4,E$5))</f>
        <v/>
      </c>
      <c r="F92" s="321">
        <f>SUMIFS(DATA!$I:$I,DATA!$C:$C,$B92,DATA!$J:$J,"&gt;="&amp;DATE($I$2,F$4,1),DATA!$J:$J,"&lt;="&amp;DATE($I$2,F$4,F$5))</f>
        <v/>
      </c>
      <c r="G92" s="321">
        <f>SUMIFS(DATA!$I:$I,DATA!$C:$C,$B92,DATA!$J:$J,"&gt;="&amp;DATE($I$2,G$4,1),DATA!$J:$J,"&lt;="&amp;DATE($I$2,G$4,G$5))</f>
        <v/>
      </c>
      <c r="H92" s="321">
        <f>SUMIFS(DATA!$I:$I,DATA!$C:$C,$B92,DATA!$J:$J,"&gt;="&amp;DATE($I$2,H$4,1),DATA!$J:$J,"&lt;="&amp;DATE($I$2,H$4,H$5))</f>
        <v/>
      </c>
      <c r="I92" s="321">
        <f>SUMIFS(DATA!$I:$I,DATA!$C:$C,$B92,DATA!$J:$J,"&gt;="&amp;DATE($I$2,I$4,1),DATA!$J:$J,"&lt;="&amp;DATE($I$2,I$4,I$5))</f>
        <v/>
      </c>
      <c r="J92" s="321">
        <f>SUMIFS(DATA!$I:$I,DATA!$C:$C,$B92,DATA!$J:$J,"&gt;="&amp;DATE($I$2,J$4,1),DATA!$J:$J,"&lt;="&amp;DATE($I$2,J$4,J$5))</f>
        <v/>
      </c>
      <c r="K92" s="321">
        <f>SUMIFS(DATA!$I:$I,DATA!$C:$C,$B92,DATA!$J:$J,"&gt;="&amp;DATE($I$2,K$4,1),DATA!$J:$J,"&lt;="&amp;DATE($I$2,K$4,K$5))</f>
        <v/>
      </c>
      <c r="L92" s="321">
        <f>SUMIFS(DATA!$I:$I,DATA!$C:$C,$B92,DATA!$J:$J,"&gt;="&amp;DATE($I$2,L$4,1),DATA!$J:$J,"&lt;="&amp;DATE($I$2,L$4,L$5))</f>
        <v/>
      </c>
      <c r="M92" s="321">
        <f>SUMIFS(DATA!$I:$I,DATA!$C:$C,$B92,DATA!$J:$J,"&gt;="&amp;DATE($I$2,M$4,1),DATA!$J:$J,"&lt;="&amp;DATE($I$2,M$4,M$5))</f>
        <v/>
      </c>
      <c r="N92" s="321">
        <f>SUMIFS(DATA!$I:$I,DATA!$C:$C,$B92,DATA!$J:$J,"&gt;="&amp;DATE($I$2,N$4,1),DATA!$J:$J,"&lt;="&amp;DATE($I$2,N$4,N$5))</f>
        <v/>
      </c>
      <c r="O92" s="321">
        <f>SUMIFS(DATA!$I:$I,DATA!$C:$C,$B92,DATA!$J:$J,"&gt;="&amp;DATE($I$2,O$4,1),DATA!$J:$J,"&lt;="&amp;DATE($I$2,O$4,O$5))</f>
        <v/>
      </c>
      <c r="P92" s="322">
        <f>SUM(D92:O92)</f>
        <v/>
      </c>
      <c r="Q92" s="118" t="n"/>
    </row>
    <row r="93" hidden="1" outlineLevel="1" ht="15" customHeight="1">
      <c r="A93" s="266" t="n"/>
      <c r="B93" s="266" t="n"/>
      <c r="C93" s="119" t="inlineStr">
        <is>
          <t>Thực tế</t>
        </is>
      </c>
      <c r="D93" s="321">
        <f>SUMIFS(DATA!$M:$M,DATA!$C:$C,$B92,DATA!$N:$N,"&gt;="&amp;DATE($I$2,D$4,1),DATA!$N:$N,"&lt;="&amp;DATE($I$2,D$4,D$5))</f>
        <v/>
      </c>
      <c r="E93" s="321">
        <f>SUMIFS(DATA!$M:$M,DATA!$C:$C,$B92,DATA!$N:$N,"&gt;="&amp;DATE($I$2,E$4,1),DATA!$N:$N,"&lt;="&amp;DATE($I$2,E$4,E$5))</f>
        <v/>
      </c>
      <c r="F93" s="321">
        <f>SUMIFS(DATA!$M:$M,DATA!$C:$C,$B92,DATA!$N:$N,"&gt;="&amp;DATE($I$2,F$4,1),DATA!$N:$N,"&lt;="&amp;DATE($I$2,F$4,F$5))</f>
        <v/>
      </c>
      <c r="G93" s="321">
        <f>SUMIFS(DATA!$M:$M,DATA!$C:$C,$B92,DATA!$N:$N,"&gt;="&amp;DATE($I$2,G$4,1),DATA!$N:$N,"&lt;="&amp;DATE($I$2,G$4,G$5))</f>
        <v/>
      </c>
      <c r="H93" s="321">
        <f>SUMIFS(DATA!$M:$M,DATA!$C:$C,$B92,DATA!$N:$N,"&gt;="&amp;DATE($I$2,H$4,1),DATA!$N:$N,"&lt;="&amp;DATE($I$2,H$4,H$5))</f>
        <v/>
      </c>
      <c r="I93" s="321">
        <f>SUMIFS(DATA!$M:$M,DATA!$C:$C,$B92,DATA!$N:$N,"&gt;="&amp;DATE($I$2,I$4,1),DATA!$N:$N,"&lt;="&amp;DATE($I$2,I$4,I$5))</f>
        <v/>
      </c>
      <c r="J93" s="321">
        <f>SUMIFS(DATA!$M:$M,DATA!$C:$C,$B92,DATA!$N:$N,"&gt;="&amp;DATE($I$2,J$4,1),DATA!$N:$N,"&lt;="&amp;DATE($I$2,J$4,J$5))</f>
        <v/>
      </c>
      <c r="K93" s="321">
        <f>SUMIFS(DATA!$M:$M,DATA!$C:$C,$B92,DATA!$N:$N,"&gt;="&amp;DATE($I$2,K$4,1),DATA!$N:$N,"&lt;="&amp;DATE($I$2,K$4,K$5))</f>
        <v/>
      </c>
      <c r="L93" s="321">
        <f>SUMIFS(DATA!$M:$M,DATA!$C:$C,$B92,DATA!$N:$N,"&gt;="&amp;DATE($I$2,L$4,1),DATA!$N:$N,"&lt;="&amp;DATE($I$2,L$4,L$5))</f>
        <v/>
      </c>
      <c r="M93" s="321">
        <f>SUMIFS(DATA!$M:$M,DATA!$C:$C,$B92,DATA!$N:$N,"&gt;="&amp;DATE($I$2,M$4,1),DATA!$N:$N,"&lt;="&amp;DATE($I$2,M$4,M$5))</f>
        <v/>
      </c>
      <c r="N93" s="321">
        <f>SUMIFS(DATA!$M:$M,DATA!$C:$C,$B92,DATA!$N:$N,"&gt;="&amp;DATE($I$2,N$4,1),DATA!$N:$N,"&lt;="&amp;DATE($I$2,N$4,N$5))</f>
        <v/>
      </c>
      <c r="O93" s="321">
        <f>SUMIFS(DATA!$M:$M,DATA!$C:$C,$B92,DATA!$N:$N,"&gt;="&amp;DATE($I$2,O$4,1),DATA!$N:$N,"&lt;="&amp;DATE($I$2,O$4,O$5))</f>
        <v/>
      </c>
      <c r="P93" s="322">
        <f>SUM(D93:O93)</f>
        <v/>
      </c>
      <c r="Q93" s="118" t="n"/>
    </row>
    <row r="94" hidden="1" outlineLevel="1" ht="15" customHeight="1">
      <c r="A94" s="269" t="n">
        <v>45</v>
      </c>
      <c r="B94" s="265" t="inlineStr">
        <is>
          <t>US PEACE CORPS</t>
        </is>
      </c>
      <c r="C94" s="119" t="inlineStr">
        <is>
          <t>Kế hoạch</t>
        </is>
      </c>
      <c r="D94" s="321">
        <f>SUMIFS(DATA!$I:$I,DATA!$C:$C,$B94,DATA!$J:$J,"&gt;="&amp;DATE($I$2,D$4,1),DATA!$J:$J,"&lt;="&amp;DATE($I$2,D$4,D$5))</f>
        <v/>
      </c>
      <c r="E94" s="321">
        <f>SUMIFS(DATA!$I:$I,DATA!$C:$C,$B94,DATA!$J:$J,"&gt;="&amp;DATE($I$2,E$4,1),DATA!$J:$J,"&lt;="&amp;DATE($I$2,E$4,E$5))</f>
        <v/>
      </c>
      <c r="F94" s="321">
        <f>SUMIFS(DATA!$I:$I,DATA!$C:$C,$B94,DATA!$J:$J,"&gt;="&amp;DATE($I$2,F$4,1),DATA!$J:$J,"&lt;="&amp;DATE($I$2,F$4,F$5))</f>
        <v/>
      </c>
      <c r="G94" s="321">
        <f>SUMIFS(DATA!$I:$I,DATA!$C:$C,$B94,DATA!$J:$J,"&gt;="&amp;DATE($I$2,G$4,1),DATA!$J:$J,"&lt;="&amp;DATE($I$2,G$4,G$5))</f>
        <v/>
      </c>
      <c r="H94" s="321">
        <f>SUMIFS(DATA!$I:$I,DATA!$C:$C,$B94,DATA!$J:$J,"&gt;="&amp;DATE($I$2,H$4,1),DATA!$J:$J,"&lt;="&amp;DATE($I$2,H$4,H$5))</f>
        <v/>
      </c>
      <c r="I94" s="321">
        <f>SUMIFS(DATA!$I:$I,DATA!$C:$C,$B94,DATA!$J:$J,"&gt;="&amp;DATE($I$2,I$4,1),DATA!$J:$J,"&lt;="&amp;DATE($I$2,I$4,I$5))</f>
        <v/>
      </c>
      <c r="J94" s="321">
        <f>SUMIFS(DATA!$I:$I,DATA!$C:$C,$B94,DATA!$J:$J,"&gt;="&amp;DATE($I$2,J$4,1),DATA!$J:$J,"&lt;="&amp;DATE($I$2,J$4,J$5))</f>
        <v/>
      </c>
      <c r="K94" s="321">
        <f>SUMIFS(DATA!$I:$I,DATA!$C:$C,$B94,DATA!$J:$J,"&gt;="&amp;DATE($I$2,K$4,1),DATA!$J:$J,"&lt;="&amp;DATE($I$2,K$4,K$5))</f>
        <v/>
      </c>
      <c r="L94" s="321">
        <f>SUMIFS(DATA!$I:$I,DATA!$C:$C,$B94,DATA!$J:$J,"&gt;="&amp;DATE($I$2,L$4,1),DATA!$J:$J,"&lt;="&amp;DATE($I$2,L$4,L$5))</f>
        <v/>
      </c>
      <c r="M94" s="321">
        <f>SUMIFS(DATA!$I:$I,DATA!$C:$C,$B94,DATA!$J:$J,"&gt;="&amp;DATE($I$2,M$4,1),DATA!$J:$J,"&lt;="&amp;DATE($I$2,M$4,M$5))</f>
        <v/>
      </c>
      <c r="N94" s="321">
        <f>SUMIFS(DATA!$I:$I,DATA!$C:$C,$B94,DATA!$J:$J,"&gt;="&amp;DATE($I$2,N$4,1),DATA!$J:$J,"&lt;="&amp;DATE($I$2,N$4,N$5))</f>
        <v/>
      </c>
      <c r="O94" s="321">
        <f>SUMIFS(DATA!$I:$I,DATA!$C:$C,$B94,DATA!$J:$J,"&gt;="&amp;DATE($I$2,O$4,1),DATA!$J:$J,"&lt;="&amp;DATE($I$2,O$4,O$5))</f>
        <v/>
      </c>
      <c r="P94" s="322">
        <f>SUM(D94:O94)</f>
        <v/>
      </c>
      <c r="Q94" s="118" t="n"/>
    </row>
    <row r="95" hidden="1" outlineLevel="1" ht="15" customHeight="1">
      <c r="A95" s="266" t="n"/>
      <c r="B95" s="266" t="n"/>
      <c r="C95" s="119" t="inlineStr">
        <is>
          <t>Thực tế</t>
        </is>
      </c>
      <c r="D95" s="321">
        <f>SUMIFS(DATA!$M:$M,DATA!$C:$C,$B94,DATA!$N:$N,"&gt;="&amp;DATE($I$2,D$4,1),DATA!$N:$N,"&lt;="&amp;DATE($I$2,D$4,D$5))</f>
        <v/>
      </c>
      <c r="E95" s="321">
        <f>SUMIFS(DATA!$M:$M,DATA!$C:$C,$B94,DATA!$N:$N,"&gt;="&amp;DATE($I$2,E$4,1),DATA!$N:$N,"&lt;="&amp;DATE($I$2,E$4,E$5))</f>
        <v/>
      </c>
      <c r="F95" s="321">
        <f>SUMIFS(DATA!$M:$M,DATA!$C:$C,$B94,DATA!$N:$N,"&gt;="&amp;DATE($I$2,F$4,1),DATA!$N:$N,"&lt;="&amp;DATE($I$2,F$4,F$5))</f>
        <v/>
      </c>
      <c r="G95" s="321">
        <f>SUMIFS(DATA!$M:$M,DATA!$C:$C,$B94,DATA!$N:$N,"&gt;="&amp;DATE($I$2,G$4,1),DATA!$N:$N,"&lt;="&amp;DATE($I$2,G$4,G$5))</f>
        <v/>
      </c>
      <c r="H95" s="321">
        <f>SUMIFS(DATA!$M:$M,DATA!$C:$C,$B94,DATA!$N:$N,"&gt;="&amp;DATE($I$2,H$4,1),DATA!$N:$N,"&lt;="&amp;DATE($I$2,H$4,H$5))</f>
        <v/>
      </c>
      <c r="I95" s="321">
        <f>SUMIFS(DATA!$M:$M,DATA!$C:$C,$B94,DATA!$N:$N,"&gt;="&amp;DATE($I$2,I$4,1),DATA!$N:$N,"&lt;="&amp;DATE($I$2,I$4,I$5))</f>
        <v/>
      </c>
      <c r="J95" s="321">
        <f>SUMIFS(DATA!$M:$M,DATA!$C:$C,$B94,DATA!$N:$N,"&gt;="&amp;DATE($I$2,J$4,1),DATA!$N:$N,"&lt;="&amp;DATE($I$2,J$4,J$5))</f>
        <v/>
      </c>
      <c r="K95" s="321">
        <f>SUMIFS(DATA!$M:$M,DATA!$C:$C,$B94,DATA!$N:$N,"&gt;="&amp;DATE($I$2,K$4,1),DATA!$N:$N,"&lt;="&amp;DATE($I$2,K$4,K$5))</f>
        <v/>
      </c>
      <c r="L95" s="321">
        <f>SUMIFS(DATA!$M:$M,DATA!$C:$C,$B94,DATA!$N:$N,"&gt;="&amp;DATE($I$2,L$4,1),DATA!$N:$N,"&lt;="&amp;DATE($I$2,L$4,L$5))</f>
        <v/>
      </c>
      <c r="M95" s="321">
        <f>SUMIFS(DATA!$M:$M,DATA!$C:$C,$B94,DATA!$N:$N,"&gt;="&amp;DATE($I$2,M$4,1),DATA!$N:$N,"&lt;="&amp;DATE($I$2,M$4,M$5))</f>
        <v/>
      </c>
      <c r="N95" s="321">
        <f>SUMIFS(DATA!$M:$M,DATA!$C:$C,$B94,DATA!$N:$N,"&gt;="&amp;DATE($I$2,N$4,1),DATA!$N:$N,"&lt;="&amp;DATE($I$2,N$4,N$5))</f>
        <v/>
      </c>
      <c r="O95" s="321">
        <f>SUMIFS(DATA!$M:$M,DATA!$C:$C,$B94,DATA!$N:$N,"&gt;="&amp;DATE($I$2,O$4,1),DATA!$N:$N,"&lt;="&amp;DATE($I$2,O$4,O$5))</f>
        <v/>
      </c>
      <c r="P95" s="322">
        <f>SUM(D95:O95)</f>
        <v/>
      </c>
      <c r="Q95" s="118" t="n"/>
    </row>
    <row r="96" hidden="1" outlineLevel="1" ht="15" customHeight="1">
      <c r="A96" s="269" t="n">
        <v>46</v>
      </c>
      <c r="B96" s="265" t="inlineStr">
        <is>
          <t>CÔNG TY TNHH MỘT THÀNH VIÊN ĐẦU TƯ VÀ XÂY LẮP ACC</t>
        </is>
      </c>
      <c r="C96" s="119" t="inlineStr">
        <is>
          <t>Kế hoạch</t>
        </is>
      </c>
      <c r="D96" s="321">
        <f>SUMIFS(DATA!$I:$I,DATA!$C:$C,$B96,DATA!$J:$J,"&gt;="&amp;DATE($I$2,D$4,1),DATA!$J:$J,"&lt;="&amp;DATE($I$2,D$4,D$5))</f>
        <v/>
      </c>
      <c r="E96" s="321">
        <f>SUMIFS(DATA!$I:$I,DATA!$C:$C,$B96,DATA!$J:$J,"&gt;="&amp;DATE($I$2,E$4,1),DATA!$J:$J,"&lt;="&amp;DATE($I$2,E$4,E$5))</f>
        <v/>
      </c>
      <c r="F96" s="321">
        <f>SUMIFS(DATA!$I:$I,DATA!$C:$C,$B96,DATA!$J:$J,"&gt;="&amp;DATE($I$2,F$4,1),DATA!$J:$J,"&lt;="&amp;DATE($I$2,F$4,F$5))</f>
        <v/>
      </c>
      <c r="G96" s="321">
        <f>SUMIFS(DATA!$I:$I,DATA!$C:$C,$B96,DATA!$J:$J,"&gt;="&amp;DATE($I$2,G$4,1),DATA!$J:$J,"&lt;="&amp;DATE($I$2,G$4,G$5))</f>
        <v/>
      </c>
      <c r="H96" s="321">
        <f>SUMIFS(DATA!$I:$I,DATA!$C:$C,$B96,DATA!$J:$J,"&gt;="&amp;DATE($I$2,H$4,1),DATA!$J:$J,"&lt;="&amp;DATE($I$2,H$4,H$5))</f>
        <v/>
      </c>
      <c r="I96" s="321">
        <f>SUMIFS(DATA!$I:$I,DATA!$C:$C,$B96,DATA!$J:$J,"&gt;="&amp;DATE($I$2,I$4,1),DATA!$J:$J,"&lt;="&amp;DATE($I$2,I$4,I$5))</f>
        <v/>
      </c>
      <c r="J96" s="321">
        <f>SUMIFS(DATA!$I:$I,DATA!$C:$C,$B96,DATA!$J:$J,"&gt;="&amp;DATE($I$2,J$4,1),DATA!$J:$J,"&lt;="&amp;DATE($I$2,J$4,J$5))</f>
        <v/>
      </c>
      <c r="K96" s="321">
        <f>SUMIFS(DATA!$I:$I,DATA!$C:$C,$B96,DATA!$J:$J,"&gt;="&amp;DATE($I$2,K$4,1),DATA!$J:$J,"&lt;="&amp;DATE($I$2,K$4,K$5))</f>
        <v/>
      </c>
      <c r="L96" s="321">
        <f>SUMIFS(DATA!$I:$I,DATA!$C:$C,$B96,DATA!$J:$J,"&gt;="&amp;DATE($I$2,L$4,1),DATA!$J:$J,"&lt;="&amp;DATE($I$2,L$4,L$5))</f>
        <v/>
      </c>
      <c r="M96" s="321">
        <f>SUMIFS(DATA!$I:$I,DATA!$C:$C,$B96,DATA!$J:$J,"&gt;="&amp;DATE($I$2,M$4,1),DATA!$J:$J,"&lt;="&amp;DATE($I$2,M$4,M$5))</f>
        <v/>
      </c>
      <c r="N96" s="321">
        <f>SUMIFS(DATA!$I:$I,DATA!$C:$C,$B96,DATA!$J:$J,"&gt;="&amp;DATE($I$2,N$4,1),DATA!$J:$J,"&lt;="&amp;DATE($I$2,N$4,N$5))</f>
        <v/>
      </c>
      <c r="O96" s="321">
        <f>SUMIFS(DATA!$I:$I,DATA!$C:$C,$B96,DATA!$J:$J,"&gt;="&amp;DATE($I$2,O$4,1),DATA!$J:$J,"&lt;="&amp;DATE($I$2,O$4,O$5))</f>
        <v/>
      </c>
      <c r="P96" s="322">
        <f>SUM(D96:O96)</f>
        <v/>
      </c>
      <c r="Q96" s="118" t="n"/>
    </row>
    <row r="97" hidden="1" outlineLevel="1" ht="15" customHeight="1">
      <c r="A97" s="266" t="n"/>
      <c r="B97" s="266" t="n"/>
      <c r="C97" s="119" t="inlineStr">
        <is>
          <t>Thực tế</t>
        </is>
      </c>
      <c r="D97" s="321">
        <f>SUMIFS(DATA!$M:$M,DATA!$C:$C,$B96,DATA!$N:$N,"&gt;="&amp;DATE($I$2,D$4,1),DATA!$N:$N,"&lt;="&amp;DATE($I$2,D$4,D$5))</f>
        <v/>
      </c>
      <c r="E97" s="321">
        <f>SUMIFS(DATA!$M:$M,DATA!$C:$C,$B96,DATA!$N:$N,"&gt;="&amp;DATE($I$2,E$4,1),DATA!$N:$N,"&lt;="&amp;DATE($I$2,E$4,E$5))</f>
        <v/>
      </c>
      <c r="F97" s="321">
        <f>SUMIFS(DATA!$M:$M,DATA!$C:$C,$B96,DATA!$N:$N,"&gt;="&amp;DATE($I$2,F$4,1),DATA!$N:$N,"&lt;="&amp;DATE($I$2,F$4,F$5))</f>
        <v/>
      </c>
      <c r="G97" s="321">
        <f>SUMIFS(DATA!$M:$M,DATA!$C:$C,$B96,DATA!$N:$N,"&gt;="&amp;DATE($I$2,G$4,1),DATA!$N:$N,"&lt;="&amp;DATE($I$2,G$4,G$5))</f>
        <v/>
      </c>
      <c r="H97" s="321">
        <f>SUMIFS(DATA!$M:$M,DATA!$C:$C,$B96,DATA!$N:$N,"&gt;="&amp;DATE($I$2,H$4,1),DATA!$N:$N,"&lt;="&amp;DATE($I$2,H$4,H$5))</f>
        <v/>
      </c>
      <c r="I97" s="321">
        <f>SUMIFS(DATA!$M:$M,DATA!$C:$C,$B96,DATA!$N:$N,"&gt;="&amp;DATE($I$2,I$4,1),DATA!$N:$N,"&lt;="&amp;DATE($I$2,I$4,I$5))</f>
        <v/>
      </c>
      <c r="J97" s="321">
        <f>SUMIFS(DATA!$M:$M,DATA!$C:$C,$B96,DATA!$N:$N,"&gt;="&amp;DATE($I$2,J$4,1),DATA!$N:$N,"&lt;="&amp;DATE($I$2,J$4,J$5))</f>
        <v/>
      </c>
      <c r="K97" s="321">
        <f>SUMIFS(DATA!$M:$M,DATA!$C:$C,$B96,DATA!$N:$N,"&gt;="&amp;DATE($I$2,K$4,1),DATA!$N:$N,"&lt;="&amp;DATE($I$2,K$4,K$5))</f>
        <v/>
      </c>
      <c r="L97" s="321">
        <f>SUMIFS(DATA!$M:$M,DATA!$C:$C,$B96,DATA!$N:$N,"&gt;="&amp;DATE($I$2,L$4,1),DATA!$N:$N,"&lt;="&amp;DATE($I$2,L$4,L$5))</f>
        <v/>
      </c>
      <c r="M97" s="321">
        <f>SUMIFS(DATA!$M:$M,DATA!$C:$C,$B96,DATA!$N:$N,"&gt;="&amp;DATE($I$2,M$4,1),DATA!$N:$N,"&lt;="&amp;DATE($I$2,M$4,M$5))</f>
        <v/>
      </c>
      <c r="N97" s="321">
        <f>SUMIFS(DATA!$M:$M,DATA!$C:$C,$B96,DATA!$N:$N,"&gt;="&amp;DATE($I$2,N$4,1),DATA!$N:$N,"&lt;="&amp;DATE($I$2,N$4,N$5))</f>
        <v/>
      </c>
      <c r="O97" s="321">
        <f>SUMIFS(DATA!$M:$M,DATA!$C:$C,$B96,DATA!$N:$N,"&gt;="&amp;DATE($I$2,O$4,1),DATA!$N:$N,"&lt;="&amp;DATE($I$2,O$4,O$5))</f>
        <v/>
      </c>
      <c r="P97" s="322">
        <f>SUM(D97:O97)</f>
        <v/>
      </c>
      <c r="Q97" s="118" t="n"/>
    </row>
    <row r="98" hidden="1" outlineLevel="1" ht="15" customHeight="1">
      <c r="A98" s="269" t="n">
        <v>47</v>
      </c>
      <c r="B98" s="265" t="inlineStr">
        <is>
          <t>YAMAHA MOTOR VIETNAM(Inactive)</t>
        </is>
      </c>
      <c r="C98" s="119" t="inlineStr">
        <is>
          <t>Kế hoạch</t>
        </is>
      </c>
      <c r="D98" s="321">
        <f>SUMIFS(DATA!$I:$I,DATA!$C:$C,$B98,DATA!$J:$J,"&gt;="&amp;DATE($I$2,D$4,1),DATA!$J:$J,"&lt;="&amp;DATE($I$2,D$4,D$5))</f>
        <v/>
      </c>
      <c r="E98" s="321">
        <f>SUMIFS(DATA!$I:$I,DATA!$C:$C,$B98,DATA!$J:$J,"&gt;="&amp;DATE($I$2,E$4,1),DATA!$J:$J,"&lt;="&amp;DATE($I$2,E$4,E$5))</f>
        <v/>
      </c>
      <c r="F98" s="321">
        <f>SUMIFS(DATA!$I:$I,DATA!$C:$C,$B98,DATA!$J:$J,"&gt;="&amp;DATE($I$2,F$4,1),DATA!$J:$J,"&lt;="&amp;DATE($I$2,F$4,F$5))</f>
        <v/>
      </c>
      <c r="G98" s="321">
        <f>SUMIFS(DATA!$I:$I,DATA!$C:$C,$B98,DATA!$J:$J,"&gt;="&amp;DATE($I$2,G$4,1),DATA!$J:$J,"&lt;="&amp;DATE($I$2,G$4,G$5))</f>
        <v/>
      </c>
      <c r="H98" s="321">
        <f>SUMIFS(DATA!$I:$I,DATA!$C:$C,$B98,DATA!$J:$J,"&gt;="&amp;DATE($I$2,H$4,1),DATA!$J:$J,"&lt;="&amp;DATE($I$2,H$4,H$5))</f>
        <v/>
      </c>
      <c r="I98" s="321">
        <f>SUMIFS(DATA!$I:$I,DATA!$C:$C,$B98,DATA!$J:$J,"&gt;="&amp;DATE($I$2,I$4,1),DATA!$J:$J,"&lt;="&amp;DATE($I$2,I$4,I$5))</f>
        <v/>
      </c>
      <c r="J98" s="321">
        <f>SUMIFS(DATA!$I:$I,DATA!$C:$C,$B98,DATA!$J:$J,"&gt;="&amp;DATE($I$2,J$4,1),DATA!$J:$J,"&lt;="&amp;DATE($I$2,J$4,J$5))</f>
        <v/>
      </c>
      <c r="K98" s="321">
        <f>SUMIFS(DATA!$I:$I,DATA!$C:$C,$B98,DATA!$J:$J,"&gt;="&amp;DATE($I$2,K$4,1),DATA!$J:$J,"&lt;="&amp;DATE($I$2,K$4,K$5))</f>
        <v/>
      </c>
      <c r="L98" s="321">
        <f>SUMIFS(DATA!$I:$I,DATA!$C:$C,$B98,DATA!$J:$J,"&gt;="&amp;DATE($I$2,L$4,1),DATA!$J:$J,"&lt;="&amp;DATE($I$2,L$4,L$5))</f>
        <v/>
      </c>
      <c r="M98" s="321">
        <f>SUMIFS(DATA!$I:$I,DATA!$C:$C,$B98,DATA!$J:$J,"&gt;="&amp;DATE($I$2,M$4,1),DATA!$J:$J,"&lt;="&amp;DATE($I$2,M$4,M$5))</f>
        <v/>
      </c>
      <c r="N98" s="321">
        <f>SUMIFS(DATA!$I:$I,DATA!$C:$C,$B98,DATA!$J:$J,"&gt;="&amp;DATE($I$2,N$4,1),DATA!$J:$J,"&lt;="&amp;DATE($I$2,N$4,N$5))</f>
        <v/>
      </c>
      <c r="O98" s="321">
        <f>SUMIFS(DATA!$I:$I,DATA!$C:$C,$B98,DATA!$J:$J,"&gt;="&amp;DATE($I$2,O$4,1),DATA!$J:$J,"&lt;="&amp;DATE($I$2,O$4,O$5))</f>
        <v/>
      </c>
      <c r="P98" s="322">
        <f>SUM(D98:O98)</f>
        <v/>
      </c>
      <c r="Q98" s="118" t="n"/>
    </row>
    <row r="99" hidden="1" outlineLevel="1" ht="15" customHeight="1">
      <c r="A99" s="266" t="n"/>
      <c r="B99" s="266" t="n"/>
      <c r="C99" s="119" t="inlineStr">
        <is>
          <t>Thực tế</t>
        </is>
      </c>
      <c r="D99" s="321">
        <f>SUMIFS(DATA!$M:$M,DATA!$C:$C,$B98,DATA!$N:$N,"&gt;="&amp;DATE($I$2,D$4,1),DATA!$N:$N,"&lt;="&amp;DATE($I$2,D$4,D$5))</f>
        <v/>
      </c>
      <c r="E99" s="321">
        <f>SUMIFS(DATA!$M:$M,DATA!$C:$C,$B98,DATA!$N:$N,"&gt;="&amp;DATE($I$2,E$4,1),DATA!$N:$N,"&lt;="&amp;DATE($I$2,E$4,E$5))</f>
        <v/>
      </c>
      <c r="F99" s="321">
        <f>SUMIFS(DATA!$M:$M,DATA!$C:$C,$B98,DATA!$N:$N,"&gt;="&amp;DATE($I$2,F$4,1),DATA!$N:$N,"&lt;="&amp;DATE($I$2,F$4,F$5))</f>
        <v/>
      </c>
      <c r="G99" s="321">
        <f>SUMIFS(DATA!$M:$M,DATA!$C:$C,$B98,DATA!$N:$N,"&gt;="&amp;DATE($I$2,G$4,1),DATA!$N:$N,"&lt;="&amp;DATE($I$2,G$4,G$5))</f>
        <v/>
      </c>
      <c r="H99" s="321">
        <f>SUMIFS(DATA!$M:$M,DATA!$C:$C,$B98,DATA!$N:$N,"&gt;="&amp;DATE($I$2,H$4,1),DATA!$N:$N,"&lt;="&amp;DATE($I$2,H$4,H$5))</f>
        <v/>
      </c>
      <c r="I99" s="321">
        <f>SUMIFS(DATA!$M:$M,DATA!$C:$C,$B98,DATA!$N:$N,"&gt;="&amp;DATE($I$2,I$4,1),DATA!$N:$N,"&lt;="&amp;DATE($I$2,I$4,I$5))</f>
        <v/>
      </c>
      <c r="J99" s="321">
        <f>SUMIFS(DATA!$M:$M,DATA!$C:$C,$B98,DATA!$N:$N,"&gt;="&amp;DATE($I$2,J$4,1),DATA!$N:$N,"&lt;="&amp;DATE($I$2,J$4,J$5))</f>
        <v/>
      </c>
      <c r="K99" s="321">
        <f>SUMIFS(DATA!$M:$M,DATA!$C:$C,$B98,DATA!$N:$N,"&gt;="&amp;DATE($I$2,K$4,1),DATA!$N:$N,"&lt;="&amp;DATE($I$2,K$4,K$5))</f>
        <v/>
      </c>
      <c r="L99" s="321">
        <f>SUMIFS(DATA!$M:$M,DATA!$C:$C,$B98,DATA!$N:$N,"&gt;="&amp;DATE($I$2,L$4,1),DATA!$N:$N,"&lt;="&amp;DATE($I$2,L$4,L$5))</f>
        <v/>
      </c>
      <c r="M99" s="321">
        <f>SUMIFS(DATA!$M:$M,DATA!$C:$C,$B98,DATA!$N:$N,"&gt;="&amp;DATE($I$2,M$4,1),DATA!$N:$N,"&lt;="&amp;DATE($I$2,M$4,M$5))</f>
        <v/>
      </c>
      <c r="N99" s="321">
        <f>SUMIFS(DATA!$M:$M,DATA!$C:$C,$B98,DATA!$N:$N,"&gt;="&amp;DATE($I$2,N$4,1),DATA!$N:$N,"&lt;="&amp;DATE($I$2,N$4,N$5))</f>
        <v/>
      </c>
      <c r="O99" s="321">
        <f>SUMIFS(DATA!$M:$M,DATA!$C:$C,$B98,DATA!$N:$N,"&gt;="&amp;DATE($I$2,O$4,1),DATA!$N:$N,"&lt;="&amp;DATE($I$2,O$4,O$5))</f>
        <v/>
      </c>
      <c r="P99" s="322">
        <f>SUM(D99:O99)</f>
        <v/>
      </c>
      <c r="Q99" s="118" t="n"/>
    </row>
    <row r="100" hidden="1" outlineLevel="1" ht="15" customHeight="1">
      <c r="A100" s="269" t="n">
        <v>48</v>
      </c>
      <c r="B100" s="265" t="inlineStr">
        <is>
          <t>US EMBASSY HANOI(Inactive_01)</t>
        </is>
      </c>
      <c r="C100" s="119" t="inlineStr">
        <is>
          <t>Kế hoạch</t>
        </is>
      </c>
      <c r="D100" s="321">
        <f>SUMIFS(DATA!$I:$I,DATA!$C:$C,$B100,DATA!$J:$J,"&gt;="&amp;DATE($I$2,D$4,1),DATA!$J:$J,"&lt;="&amp;DATE($I$2,D$4,D$5))</f>
        <v/>
      </c>
      <c r="E100" s="321">
        <f>SUMIFS(DATA!$I:$I,DATA!$C:$C,$B100,DATA!$J:$J,"&gt;="&amp;DATE($I$2,E$4,1),DATA!$J:$J,"&lt;="&amp;DATE($I$2,E$4,E$5))</f>
        <v/>
      </c>
      <c r="F100" s="321">
        <f>SUMIFS(DATA!$I:$I,DATA!$C:$C,$B100,DATA!$J:$J,"&gt;="&amp;DATE($I$2,F$4,1),DATA!$J:$J,"&lt;="&amp;DATE($I$2,F$4,F$5))</f>
        <v/>
      </c>
      <c r="G100" s="321">
        <f>SUMIFS(DATA!$I:$I,DATA!$C:$C,$B100,DATA!$J:$J,"&gt;="&amp;DATE($I$2,G$4,1),DATA!$J:$J,"&lt;="&amp;DATE($I$2,G$4,G$5))</f>
        <v/>
      </c>
      <c r="H100" s="321">
        <f>SUMIFS(DATA!$I:$I,DATA!$C:$C,$B100,DATA!$J:$J,"&gt;="&amp;DATE($I$2,H$4,1),DATA!$J:$J,"&lt;="&amp;DATE($I$2,H$4,H$5))</f>
        <v/>
      </c>
      <c r="I100" s="321">
        <f>SUMIFS(DATA!$I:$I,DATA!$C:$C,$B100,DATA!$J:$J,"&gt;="&amp;DATE($I$2,I$4,1),DATA!$J:$J,"&lt;="&amp;DATE($I$2,I$4,I$5))</f>
        <v/>
      </c>
      <c r="J100" s="321">
        <f>SUMIFS(DATA!$I:$I,DATA!$C:$C,$B100,DATA!$J:$J,"&gt;="&amp;DATE($I$2,J$4,1),DATA!$J:$J,"&lt;="&amp;DATE($I$2,J$4,J$5))</f>
        <v/>
      </c>
      <c r="K100" s="321">
        <f>SUMIFS(DATA!$I:$I,DATA!$C:$C,$B100,DATA!$J:$J,"&gt;="&amp;DATE($I$2,K$4,1),DATA!$J:$J,"&lt;="&amp;DATE($I$2,K$4,K$5))</f>
        <v/>
      </c>
      <c r="L100" s="321">
        <f>SUMIFS(DATA!$I:$I,DATA!$C:$C,$B100,DATA!$J:$J,"&gt;="&amp;DATE($I$2,L$4,1),DATA!$J:$J,"&lt;="&amp;DATE($I$2,L$4,L$5))</f>
        <v/>
      </c>
      <c r="M100" s="321">
        <f>SUMIFS(DATA!$I:$I,DATA!$C:$C,$B100,DATA!$J:$J,"&gt;="&amp;DATE($I$2,M$4,1),DATA!$J:$J,"&lt;="&amp;DATE($I$2,M$4,M$5))</f>
        <v/>
      </c>
      <c r="N100" s="321">
        <f>SUMIFS(DATA!$I:$I,DATA!$C:$C,$B100,DATA!$J:$J,"&gt;="&amp;DATE($I$2,N$4,1),DATA!$J:$J,"&lt;="&amp;DATE($I$2,N$4,N$5))</f>
        <v/>
      </c>
      <c r="O100" s="321">
        <f>SUMIFS(DATA!$I:$I,DATA!$C:$C,$B100,DATA!$J:$J,"&gt;="&amp;DATE($I$2,O$4,1),DATA!$J:$J,"&lt;="&amp;DATE($I$2,O$4,O$5))</f>
        <v/>
      </c>
      <c r="P100" s="322">
        <f>SUM(D100:O100)</f>
        <v/>
      </c>
      <c r="Q100" s="118" t="n"/>
    </row>
    <row r="101" hidden="1" outlineLevel="1" ht="15" customHeight="1">
      <c r="A101" s="266" t="n"/>
      <c r="B101" s="266" t="n"/>
      <c r="C101" s="119" t="inlineStr">
        <is>
          <t>Thực tế</t>
        </is>
      </c>
      <c r="D101" s="321">
        <f>SUMIFS(DATA!$M:$M,DATA!$C:$C,$B100,DATA!$N:$N,"&gt;="&amp;DATE($I$2,D$4,1),DATA!$N:$N,"&lt;="&amp;DATE($I$2,D$4,D$5))</f>
        <v/>
      </c>
      <c r="E101" s="321">
        <f>SUMIFS(DATA!$M:$M,DATA!$C:$C,$B100,DATA!$N:$N,"&gt;="&amp;DATE($I$2,E$4,1),DATA!$N:$N,"&lt;="&amp;DATE($I$2,E$4,E$5))</f>
        <v/>
      </c>
      <c r="F101" s="321">
        <f>SUMIFS(DATA!$M:$M,DATA!$C:$C,$B100,DATA!$N:$N,"&gt;="&amp;DATE($I$2,F$4,1),DATA!$N:$N,"&lt;="&amp;DATE($I$2,F$4,F$5))</f>
        <v/>
      </c>
      <c r="G101" s="321">
        <f>SUMIFS(DATA!$M:$M,DATA!$C:$C,$B100,DATA!$N:$N,"&gt;="&amp;DATE($I$2,G$4,1),DATA!$N:$N,"&lt;="&amp;DATE($I$2,G$4,G$5))</f>
        <v/>
      </c>
      <c r="H101" s="321">
        <f>SUMIFS(DATA!$M:$M,DATA!$C:$C,$B100,DATA!$N:$N,"&gt;="&amp;DATE($I$2,H$4,1),DATA!$N:$N,"&lt;="&amp;DATE($I$2,H$4,H$5))</f>
        <v/>
      </c>
      <c r="I101" s="321">
        <f>SUMIFS(DATA!$M:$M,DATA!$C:$C,$B100,DATA!$N:$N,"&gt;="&amp;DATE($I$2,I$4,1),DATA!$N:$N,"&lt;="&amp;DATE($I$2,I$4,I$5))</f>
        <v/>
      </c>
      <c r="J101" s="321">
        <f>SUMIFS(DATA!$M:$M,DATA!$C:$C,$B100,DATA!$N:$N,"&gt;="&amp;DATE($I$2,J$4,1),DATA!$N:$N,"&lt;="&amp;DATE($I$2,J$4,J$5))</f>
        <v/>
      </c>
      <c r="K101" s="321">
        <f>SUMIFS(DATA!$M:$M,DATA!$C:$C,$B100,DATA!$N:$N,"&gt;="&amp;DATE($I$2,K$4,1),DATA!$N:$N,"&lt;="&amp;DATE($I$2,K$4,K$5))</f>
        <v/>
      </c>
      <c r="L101" s="321">
        <f>SUMIFS(DATA!$M:$M,DATA!$C:$C,$B100,DATA!$N:$N,"&gt;="&amp;DATE($I$2,L$4,1),DATA!$N:$N,"&lt;="&amp;DATE($I$2,L$4,L$5))</f>
        <v/>
      </c>
      <c r="M101" s="321">
        <f>SUMIFS(DATA!$M:$M,DATA!$C:$C,$B100,DATA!$N:$N,"&gt;="&amp;DATE($I$2,M$4,1),DATA!$N:$N,"&lt;="&amp;DATE($I$2,M$4,M$5))</f>
        <v/>
      </c>
      <c r="N101" s="321">
        <f>SUMIFS(DATA!$M:$M,DATA!$C:$C,$B100,DATA!$N:$N,"&gt;="&amp;DATE($I$2,N$4,1),DATA!$N:$N,"&lt;="&amp;DATE($I$2,N$4,N$5))</f>
        <v/>
      </c>
      <c r="O101" s="321">
        <f>SUMIFS(DATA!$M:$M,DATA!$C:$C,$B100,DATA!$N:$N,"&gt;="&amp;DATE($I$2,O$4,1),DATA!$N:$N,"&lt;="&amp;DATE($I$2,O$4,O$5))</f>
        <v/>
      </c>
      <c r="P101" s="322">
        <f>SUM(D101:O101)</f>
        <v/>
      </c>
      <c r="Q101" s="118" t="n"/>
    </row>
    <row r="102" hidden="1" outlineLevel="1" ht="15" customHeight="1">
      <c r="A102" s="269" t="n">
        <v>49</v>
      </c>
      <c r="B102" s="265" t="inlineStr">
        <is>
          <t>US EMBASSY HANOI(Inactive)</t>
        </is>
      </c>
      <c r="C102" s="119" t="inlineStr">
        <is>
          <t>Kế hoạch</t>
        </is>
      </c>
      <c r="D102" s="321">
        <f>SUMIFS(DATA!$I:$I,DATA!$C:$C,$B102,DATA!$J:$J,"&gt;="&amp;DATE($I$2,D$4,1),DATA!$J:$J,"&lt;="&amp;DATE($I$2,D$4,D$5))</f>
        <v/>
      </c>
      <c r="E102" s="321">
        <f>SUMIFS(DATA!$I:$I,DATA!$C:$C,$B102,DATA!$J:$J,"&gt;="&amp;DATE($I$2,E$4,1),DATA!$J:$J,"&lt;="&amp;DATE($I$2,E$4,E$5))</f>
        <v/>
      </c>
      <c r="F102" s="321">
        <f>SUMIFS(DATA!$I:$I,DATA!$C:$C,$B102,DATA!$J:$J,"&gt;="&amp;DATE($I$2,F$4,1),DATA!$J:$J,"&lt;="&amp;DATE($I$2,F$4,F$5))</f>
        <v/>
      </c>
      <c r="G102" s="321">
        <f>SUMIFS(DATA!$I:$I,DATA!$C:$C,$B102,DATA!$J:$J,"&gt;="&amp;DATE($I$2,G$4,1),DATA!$J:$J,"&lt;="&amp;DATE($I$2,G$4,G$5))</f>
        <v/>
      </c>
      <c r="H102" s="321">
        <f>SUMIFS(DATA!$I:$I,DATA!$C:$C,$B102,DATA!$J:$J,"&gt;="&amp;DATE($I$2,H$4,1),DATA!$J:$J,"&lt;="&amp;DATE($I$2,H$4,H$5))</f>
        <v/>
      </c>
      <c r="I102" s="321">
        <f>SUMIFS(DATA!$I:$I,DATA!$C:$C,$B102,DATA!$J:$J,"&gt;="&amp;DATE($I$2,I$4,1),DATA!$J:$J,"&lt;="&amp;DATE($I$2,I$4,I$5))</f>
        <v/>
      </c>
      <c r="J102" s="321">
        <f>SUMIFS(DATA!$I:$I,DATA!$C:$C,$B102,DATA!$J:$J,"&gt;="&amp;DATE($I$2,J$4,1),DATA!$J:$J,"&lt;="&amp;DATE($I$2,J$4,J$5))</f>
        <v/>
      </c>
      <c r="K102" s="321">
        <f>SUMIFS(DATA!$I:$I,DATA!$C:$C,$B102,DATA!$J:$J,"&gt;="&amp;DATE($I$2,K$4,1),DATA!$J:$J,"&lt;="&amp;DATE($I$2,K$4,K$5))</f>
        <v/>
      </c>
      <c r="L102" s="321">
        <f>SUMIFS(DATA!$I:$I,DATA!$C:$C,$B102,DATA!$J:$J,"&gt;="&amp;DATE($I$2,L$4,1),DATA!$J:$J,"&lt;="&amp;DATE($I$2,L$4,L$5))</f>
        <v/>
      </c>
      <c r="M102" s="321">
        <f>SUMIFS(DATA!$I:$I,DATA!$C:$C,$B102,DATA!$J:$J,"&gt;="&amp;DATE($I$2,M$4,1),DATA!$J:$J,"&lt;="&amp;DATE($I$2,M$4,M$5))</f>
        <v/>
      </c>
      <c r="N102" s="321">
        <f>SUMIFS(DATA!$I:$I,DATA!$C:$C,$B102,DATA!$J:$J,"&gt;="&amp;DATE($I$2,N$4,1),DATA!$J:$J,"&lt;="&amp;DATE($I$2,N$4,N$5))</f>
        <v/>
      </c>
      <c r="O102" s="321">
        <f>SUMIFS(DATA!$I:$I,DATA!$C:$C,$B102,DATA!$J:$J,"&gt;="&amp;DATE($I$2,O$4,1),DATA!$J:$J,"&lt;="&amp;DATE($I$2,O$4,O$5))</f>
        <v/>
      </c>
      <c r="P102" s="322">
        <f>SUM(D102:O102)</f>
        <v/>
      </c>
      <c r="Q102" s="118" t="n"/>
    </row>
    <row r="103" hidden="1" outlineLevel="1" ht="15" customHeight="1">
      <c r="A103" s="266" t="n"/>
      <c r="B103" s="266" t="n"/>
      <c r="C103" s="119" t="inlineStr">
        <is>
          <t>Thực tế</t>
        </is>
      </c>
      <c r="D103" s="321">
        <f>SUMIFS(DATA!$M:$M,DATA!$C:$C,$B102,DATA!$N:$N,"&gt;="&amp;DATE($I$2,D$4,1),DATA!$N:$N,"&lt;="&amp;DATE($I$2,D$4,D$5))</f>
        <v/>
      </c>
      <c r="E103" s="321">
        <f>SUMIFS(DATA!$M:$M,DATA!$C:$C,$B102,DATA!$N:$N,"&gt;="&amp;DATE($I$2,E$4,1),DATA!$N:$N,"&lt;="&amp;DATE($I$2,E$4,E$5))</f>
        <v/>
      </c>
      <c r="F103" s="321">
        <f>SUMIFS(DATA!$M:$M,DATA!$C:$C,$B102,DATA!$N:$N,"&gt;="&amp;DATE($I$2,F$4,1),DATA!$N:$N,"&lt;="&amp;DATE($I$2,F$4,F$5))</f>
        <v/>
      </c>
      <c r="G103" s="321">
        <f>SUMIFS(DATA!$M:$M,DATA!$C:$C,$B102,DATA!$N:$N,"&gt;="&amp;DATE($I$2,G$4,1),DATA!$N:$N,"&lt;="&amp;DATE($I$2,G$4,G$5))</f>
        <v/>
      </c>
      <c r="H103" s="321">
        <f>SUMIFS(DATA!$M:$M,DATA!$C:$C,$B102,DATA!$N:$N,"&gt;="&amp;DATE($I$2,H$4,1),DATA!$N:$N,"&lt;="&amp;DATE($I$2,H$4,H$5))</f>
        <v/>
      </c>
      <c r="I103" s="321">
        <f>SUMIFS(DATA!$M:$M,DATA!$C:$C,$B102,DATA!$N:$N,"&gt;="&amp;DATE($I$2,I$4,1),DATA!$N:$N,"&lt;="&amp;DATE($I$2,I$4,I$5))</f>
        <v/>
      </c>
      <c r="J103" s="321">
        <f>SUMIFS(DATA!$M:$M,DATA!$C:$C,$B102,DATA!$N:$N,"&gt;="&amp;DATE($I$2,J$4,1),DATA!$N:$N,"&lt;="&amp;DATE($I$2,J$4,J$5))</f>
        <v/>
      </c>
      <c r="K103" s="321">
        <f>SUMIFS(DATA!$M:$M,DATA!$C:$C,$B102,DATA!$N:$N,"&gt;="&amp;DATE($I$2,K$4,1),DATA!$N:$N,"&lt;="&amp;DATE($I$2,K$4,K$5))</f>
        <v/>
      </c>
      <c r="L103" s="321">
        <f>SUMIFS(DATA!$M:$M,DATA!$C:$C,$B102,DATA!$N:$N,"&gt;="&amp;DATE($I$2,L$4,1),DATA!$N:$N,"&lt;="&amp;DATE($I$2,L$4,L$5))</f>
        <v/>
      </c>
      <c r="M103" s="321">
        <f>SUMIFS(DATA!$M:$M,DATA!$C:$C,$B102,DATA!$N:$N,"&gt;="&amp;DATE($I$2,M$4,1),DATA!$N:$N,"&lt;="&amp;DATE($I$2,M$4,M$5))</f>
        <v/>
      </c>
      <c r="N103" s="321">
        <f>SUMIFS(DATA!$M:$M,DATA!$C:$C,$B102,DATA!$N:$N,"&gt;="&amp;DATE($I$2,N$4,1),DATA!$N:$N,"&lt;="&amp;DATE($I$2,N$4,N$5))</f>
        <v/>
      </c>
      <c r="O103" s="321">
        <f>SUMIFS(DATA!$M:$M,DATA!$C:$C,$B102,DATA!$N:$N,"&gt;="&amp;DATE($I$2,O$4,1),DATA!$N:$N,"&lt;="&amp;DATE($I$2,O$4,O$5))</f>
        <v/>
      </c>
      <c r="P103" s="322">
        <f>SUM(D103:O103)</f>
        <v/>
      </c>
      <c r="Q103" s="118" t="n"/>
    </row>
    <row r="104" hidden="1" outlineLevel="1" ht="15" customHeight="1">
      <c r="A104" s="269" t="n">
        <v>50</v>
      </c>
      <c r="B104" s="265" t="inlineStr">
        <is>
          <t>UNITED NATIONS DEVELOPMENT PROGRAMME</t>
        </is>
      </c>
      <c r="C104" s="119" t="inlineStr">
        <is>
          <t>Kế hoạch</t>
        </is>
      </c>
      <c r="D104" s="321">
        <f>SUMIFS(DATA!$I:$I,DATA!$C:$C,$B104,DATA!$J:$J,"&gt;="&amp;DATE($I$2,D$4,1),DATA!$J:$J,"&lt;="&amp;DATE($I$2,D$4,D$5))</f>
        <v/>
      </c>
      <c r="E104" s="321">
        <f>SUMIFS(DATA!$I:$I,DATA!$C:$C,$B104,DATA!$J:$J,"&gt;="&amp;DATE($I$2,E$4,1),DATA!$J:$J,"&lt;="&amp;DATE($I$2,E$4,E$5))</f>
        <v/>
      </c>
      <c r="F104" s="321">
        <f>SUMIFS(DATA!$I:$I,DATA!$C:$C,$B104,DATA!$J:$J,"&gt;="&amp;DATE($I$2,F$4,1),DATA!$J:$J,"&lt;="&amp;DATE($I$2,F$4,F$5))</f>
        <v/>
      </c>
      <c r="G104" s="321">
        <f>SUMIFS(DATA!$I:$I,DATA!$C:$C,$B104,DATA!$J:$J,"&gt;="&amp;DATE($I$2,G$4,1),DATA!$J:$J,"&lt;="&amp;DATE($I$2,G$4,G$5))</f>
        <v/>
      </c>
      <c r="H104" s="321">
        <f>SUMIFS(DATA!$I:$I,DATA!$C:$C,$B104,DATA!$J:$J,"&gt;="&amp;DATE($I$2,H$4,1),DATA!$J:$J,"&lt;="&amp;DATE($I$2,H$4,H$5))</f>
        <v/>
      </c>
      <c r="I104" s="321">
        <f>SUMIFS(DATA!$I:$I,DATA!$C:$C,$B104,DATA!$J:$J,"&gt;="&amp;DATE($I$2,I$4,1),DATA!$J:$J,"&lt;="&amp;DATE($I$2,I$4,I$5))</f>
        <v/>
      </c>
      <c r="J104" s="321">
        <f>SUMIFS(DATA!$I:$I,DATA!$C:$C,$B104,DATA!$J:$J,"&gt;="&amp;DATE($I$2,J$4,1),DATA!$J:$J,"&lt;="&amp;DATE($I$2,J$4,J$5))</f>
        <v/>
      </c>
      <c r="K104" s="321">
        <f>SUMIFS(DATA!$I:$I,DATA!$C:$C,$B104,DATA!$J:$J,"&gt;="&amp;DATE($I$2,K$4,1),DATA!$J:$J,"&lt;="&amp;DATE($I$2,K$4,K$5))</f>
        <v/>
      </c>
      <c r="L104" s="321">
        <f>SUMIFS(DATA!$I:$I,DATA!$C:$C,$B104,DATA!$J:$J,"&gt;="&amp;DATE($I$2,L$4,1),DATA!$J:$J,"&lt;="&amp;DATE($I$2,L$4,L$5))</f>
        <v/>
      </c>
      <c r="M104" s="321">
        <f>SUMIFS(DATA!$I:$I,DATA!$C:$C,$B104,DATA!$J:$J,"&gt;="&amp;DATE($I$2,M$4,1),DATA!$J:$J,"&lt;="&amp;DATE($I$2,M$4,M$5))</f>
        <v/>
      </c>
      <c r="N104" s="321">
        <f>SUMIFS(DATA!$I:$I,DATA!$C:$C,$B104,DATA!$J:$J,"&gt;="&amp;DATE($I$2,N$4,1),DATA!$J:$J,"&lt;="&amp;DATE($I$2,N$4,N$5))</f>
        <v/>
      </c>
      <c r="O104" s="321">
        <f>SUMIFS(DATA!$I:$I,DATA!$C:$C,$B104,DATA!$J:$J,"&gt;="&amp;DATE($I$2,O$4,1),DATA!$J:$J,"&lt;="&amp;DATE($I$2,O$4,O$5))</f>
        <v/>
      </c>
      <c r="P104" s="322">
        <f>SUM(D104:O104)</f>
        <v/>
      </c>
      <c r="Q104" s="118" t="n"/>
    </row>
    <row r="105" hidden="1" outlineLevel="1" ht="15" customHeight="1">
      <c r="A105" s="266" t="n"/>
      <c r="B105" s="266" t="n"/>
      <c r="C105" s="119" t="inlineStr">
        <is>
          <t>Thực tế</t>
        </is>
      </c>
      <c r="D105" s="321">
        <f>SUMIFS(DATA!$M:$M,DATA!$C:$C,$B104,DATA!$N:$N,"&gt;="&amp;DATE($I$2,D$4,1),DATA!$N:$N,"&lt;="&amp;DATE($I$2,D$4,D$5))</f>
        <v/>
      </c>
      <c r="E105" s="321">
        <f>SUMIFS(DATA!$M:$M,DATA!$C:$C,$B104,DATA!$N:$N,"&gt;="&amp;DATE($I$2,E$4,1),DATA!$N:$N,"&lt;="&amp;DATE($I$2,E$4,E$5))</f>
        <v/>
      </c>
      <c r="F105" s="321">
        <f>SUMIFS(DATA!$M:$M,DATA!$C:$C,$B104,DATA!$N:$N,"&gt;="&amp;DATE($I$2,F$4,1),DATA!$N:$N,"&lt;="&amp;DATE($I$2,F$4,F$5))</f>
        <v/>
      </c>
      <c r="G105" s="321">
        <f>SUMIFS(DATA!$M:$M,DATA!$C:$C,$B104,DATA!$N:$N,"&gt;="&amp;DATE($I$2,G$4,1),DATA!$N:$N,"&lt;="&amp;DATE($I$2,G$4,G$5))</f>
        <v/>
      </c>
      <c r="H105" s="321">
        <f>SUMIFS(DATA!$M:$M,DATA!$C:$C,$B104,DATA!$N:$N,"&gt;="&amp;DATE($I$2,H$4,1),DATA!$N:$N,"&lt;="&amp;DATE($I$2,H$4,H$5))</f>
        <v/>
      </c>
      <c r="I105" s="321">
        <f>SUMIFS(DATA!$M:$M,DATA!$C:$C,$B104,DATA!$N:$N,"&gt;="&amp;DATE($I$2,I$4,1),DATA!$N:$N,"&lt;="&amp;DATE($I$2,I$4,I$5))</f>
        <v/>
      </c>
      <c r="J105" s="321">
        <f>SUMIFS(DATA!$M:$M,DATA!$C:$C,$B104,DATA!$N:$N,"&gt;="&amp;DATE($I$2,J$4,1),DATA!$N:$N,"&lt;="&amp;DATE($I$2,J$4,J$5))</f>
        <v/>
      </c>
      <c r="K105" s="321">
        <f>SUMIFS(DATA!$M:$M,DATA!$C:$C,$B104,DATA!$N:$N,"&gt;="&amp;DATE($I$2,K$4,1),DATA!$N:$N,"&lt;="&amp;DATE($I$2,K$4,K$5))</f>
        <v/>
      </c>
      <c r="L105" s="321">
        <f>SUMIFS(DATA!$M:$M,DATA!$C:$C,$B104,DATA!$N:$N,"&gt;="&amp;DATE($I$2,L$4,1),DATA!$N:$N,"&lt;="&amp;DATE($I$2,L$4,L$5))</f>
        <v/>
      </c>
      <c r="M105" s="321">
        <f>SUMIFS(DATA!$M:$M,DATA!$C:$C,$B104,DATA!$N:$N,"&gt;="&amp;DATE($I$2,M$4,1),DATA!$N:$N,"&lt;="&amp;DATE($I$2,M$4,M$5))</f>
        <v/>
      </c>
      <c r="N105" s="321">
        <f>SUMIFS(DATA!$M:$M,DATA!$C:$C,$B104,DATA!$N:$N,"&gt;="&amp;DATE($I$2,N$4,1),DATA!$N:$N,"&lt;="&amp;DATE($I$2,N$4,N$5))</f>
        <v/>
      </c>
      <c r="O105" s="321">
        <f>SUMIFS(DATA!$M:$M,DATA!$C:$C,$B104,DATA!$N:$N,"&gt;="&amp;DATE($I$2,O$4,1),DATA!$N:$N,"&lt;="&amp;DATE($I$2,O$4,O$5))</f>
        <v/>
      </c>
      <c r="P105" s="322">
        <f>SUM(D105:O105)</f>
        <v/>
      </c>
      <c r="Q105" s="118" t="n"/>
    </row>
    <row r="106" hidden="1" outlineLevel="1" ht="15" customHeight="1">
      <c r="A106" s="269" t="n">
        <v>51</v>
      </c>
      <c r="B106" s="265" t="inlineStr">
        <is>
          <t>EMBASSY OF AUSTRALIA-66LTK(Inactive)</t>
        </is>
      </c>
      <c r="C106" s="119" t="inlineStr">
        <is>
          <t>Kế hoạch</t>
        </is>
      </c>
      <c r="D106" s="321">
        <f>SUMIFS(DATA!$I:$I,DATA!$C:$C,$B106,DATA!$J:$J,"&gt;="&amp;DATE($I$2,D$4,1),DATA!$J:$J,"&lt;="&amp;DATE($I$2,D$4,D$5))</f>
        <v/>
      </c>
      <c r="E106" s="321">
        <f>SUMIFS(DATA!$I:$I,DATA!$C:$C,$B106,DATA!$J:$J,"&gt;="&amp;DATE($I$2,E$4,1),DATA!$J:$J,"&lt;="&amp;DATE($I$2,E$4,E$5))</f>
        <v/>
      </c>
      <c r="F106" s="321">
        <f>SUMIFS(DATA!$I:$I,DATA!$C:$C,$B106,DATA!$J:$J,"&gt;="&amp;DATE($I$2,F$4,1),DATA!$J:$J,"&lt;="&amp;DATE($I$2,F$4,F$5))</f>
        <v/>
      </c>
      <c r="G106" s="321">
        <f>SUMIFS(DATA!$I:$I,DATA!$C:$C,$B106,DATA!$J:$J,"&gt;="&amp;DATE($I$2,G$4,1),DATA!$J:$J,"&lt;="&amp;DATE($I$2,G$4,G$5))</f>
        <v/>
      </c>
      <c r="H106" s="321">
        <f>SUMIFS(DATA!$I:$I,DATA!$C:$C,$B106,DATA!$J:$J,"&gt;="&amp;DATE($I$2,H$4,1),DATA!$J:$J,"&lt;="&amp;DATE($I$2,H$4,H$5))</f>
        <v/>
      </c>
      <c r="I106" s="321">
        <f>SUMIFS(DATA!$I:$I,DATA!$C:$C,$B106,DATA!$J:$J,"&gt;="&amp;DATE($I$2,I$4,1),DATA!$J:$J,"&lt;="&amp;DATE($I$2,I$4,I$5))</f>
        <v/>
      </c>
      <c r="J106" s="321">
        <f>SUMIFS(DATA!$I:$I,DATA!$C:$C,$B106,DATA!$J:$J,"&gt;="&amp;DATE($I$2,J$4,1),DATA!$J:$J,"&lt;="&amp;DATE($I$2,J$4,J$5))</f>
        <v/>
      </c>
      <c r="K106" s="321">
        <f>SUMIFS(DATA!$I:$I,DATA!$C:$C,$B106,DATA!$J:$J,"&gt;="&amp;DATE($I$2,K$4,1),DATA!$J:$J,"&lt;="&amp;DATE($I$2,K$4,K$5))</f>
        <v/>
      </c>
      <c r="L106" s="321">
        <f>SUMIFS(DATA!$I:$I,DATA!$C:$C,$B106,DATA!$J:$J,"&gt;="&amp;DATE($I$2,L$4,1),DATA!$J:$J,"&lt;="&amp;DATE($I$2,L$4,L$5))</f>
        <v/>
      </c>
      <c r="M106" s="321">
        <f>SUMIFS(DATA!$I:$I,DATA!$C:$C,$B106,DATA!$J:$J,"&gt;="&amp;DATE($I$2,M$4,1),DATA!$J:$J,"&lt;="&amp;DATE($I$2,M$4,M$5))</f>
        <v/>
      </c>
      <c r="N106" s="321">
        <f>SUMIFS(DATA!$I:$I,DATA!$C:$C,$B106,DATA!$J:$J,"&gt;="&amp;DATE($I$2,N$4,1),DATA!$J:$J,"&lt;="&amp;DATE($I$2,N$4,N$5))</f>
        <v/>
      </c>
      <c r="O106" s="321">
        <f>SUMIFS(DATA!$I:$I,DATA!$C:$C,$B106,DATA!$J:$J,"&gt;="&amp;DATE($I$2,O$4,1),DATA!$J:$J,"&lt;="&amp;DATE($I$2,O$4,O$5))</f>
        <v/>
      </c>
      <c r="P106" s="322">
        <f>SUM(D106:O106)</f>
        <v/>
      </c>
      <c r="Q106" s="118" t="n"/>
    </row>
    <row r="107" hidden="1" outlineLevel="1" ht="15" customHeight="1">
      <c r="A107" s="266" t="n"/>
      <c r="B107" s="266" t="n"/>
      <c r="C107" s="119" t="inlineStr">
        <is>
          <t>Thực tế</t>
        </is>
      </c>
      <c r="D107" s="321">
        <f>SUMIFS(DATA!$M:$M,DATA!$C:$C,$B106,DATA!$N:$N,"&gt;="&amp;DATE($I$2,D$4,1),DATA!$N:$N,"&lt;="&amp;DATE($I$2,D$4,D$5))</f>
        <v/>
      </c>
      <c r="E107" s="321">
        <f>SUMIFS(DATA!$M:$M,DATA!$C:$C,$B106,DATA!$N:$N,"&gt;="&amp;DATE($I$2,E$4,1),DATA!$N:$N,"&lt;="&amp;DATE($I$2,E$4,E$5))</f>
        <v/>
      </c>
      <c r="F107" s="321">
        <f>SUMIFS(DATA!$M:$M,DATA!$C:$C,$B106,DATA!$N:$N,"&gt;="&amp;DATE($I$2,F$4,1),DATA!$N:$N,"&lt;="&amp;DATE($I$2,F$4,F$5))</f>
        <v/>
      </c>
      <c r="G107" s="321">
        <f>SUMIFS(DATA!$M:$M,DATA!$C:$C,$B106,DATA!$N:$N,"&gt;="&amp;DATE($I$2,G$4,1),DATA!$N:$N,"&lt;="&amp;DATE($I$2,G$4,G$5))</f>
        <v/>
      </c>
      <c r="H107" s="321">
        <f>SUMIFS(DATA!$M:$M,DATA!$C:$C,$B106,DATA!$N:$N,"&gt;="&amp;DATE($I$2,H$4,1),DATA!$N:$N,"&lt;="&amp;DATE($I$2,H$4,H$5))</f>
        <v/>
      </c>
      <c r="I107" s="321">
        <f>SUMIFS(DATA!$M:$M,DATA!$C:$C,$B106,DATA!$N:$N,"&gt;="&amp;DATE($I$2,I$4,1),DATA!$N:$N,"&lt;="&amp;DATE($I$2,I$4,I$5))</f>
        <v/>
      </c>
      <c r="J107" s="321">
        <f>SUMIFS(DATA!$M:$M,DATA!$C:$C,$B106,DATA!$N:$N,"&gt;="&amp;DATE($I$2,J$4,1),DATA!$N:$N,"&lt;="&amp;DATE($I$2,J$4,J$5))</f>
        <v/>
      </c>
      <c r="K107" s="321">
        <f>SUMIFS(DATA!$M:$M,DATA!$C:$C,$B106,DATA!$N:$N,"&gt;="&amp;DATE($I$2,K$4,1),DATA!$N:$N,"&lt;="&amp;DATE($I$2,K$4,K$5))</f>
        <v/>
      </c>
      <c r="L107" s="321">
        <f>SUMIFS(DATA!$M:$M,DATA!$C:$C,$B106,DATA!$N:$N,"&gt;="&amp;DATE($I$2,L$4,1),DATA!$N:$N,"&lt;="&amp;DATE($I$2,L$4,L$5))</f>
        <v/>
      </c>
      <c r="M107" s="321">
        <f>SUMIFS(DATA!$M:$M,DATA!$C:$C,$B106,DATA!$N:$N,"&gt;="&amp;DATE($I$2,M$4,1),DATA!$N:$N,"&lt;="&amp;DATE($I$2,M$4,M$5))</f>
        <v/>
      </c>
      <c r="N107" s="321">
        <f>SUMIFS(DATA!$M:$M,DATA!$C:$C,$B106,DATA!$N:$N,"&gt;="&amp;DATE($I$2,N$4,1),DATA!$N:$N,"&lt;="&amp;DATE($I$2,N$4,N$5))</f>
        <v/>
      </c>
      <c r="O107" s="321">
        <f>SUMIFS(DATA!$M:$M,DATA!$C:$C,$B106,DATA!$N:$N,"&gt;="&amp;DATE($I$2,O$4,1),DATA!$N:$N,"&lt;="&amp;DATE($I$2,O$4,O$5))</f>
        <v/>
      </c>
      <c r="P107" s="322">
        <f>SUM(D107:O107)</f>
        <v/>
      </c>
      <c r="Q107" s="118" t="n"/>
    </row>
    <row r="108" hidden="1" outlineLevel="1" ht="15" customHeight="1">
      <c r="A108" s="269" t="n">
        <v>52</v>
      </c>
      <c r="B108" s="265" t="inlineStr">
        <is>
          <t>MHI AEROSPACE VIETNAM_(LT)</t>
        </is>
      </c>
      <c r="C108" s="119" t="inlineStr">
        <is>
          <t>Kế hoạch</t>
        </is>
      </c>
      <c r="D108" s="321">
        <f>SUMIFS(DATA!$I:$I,DATA!$C:$C,$B108,DATA!$J:$J,"&gt;="&amp;DATE($I$2,D$4,1),DATA!$J:$J,"&lt;="&amp;DATE($I$2,D$4,D$5))</f>
        <v/>
      </c>
      <c r="E108" s="321">
        <f>SUMIFS(DATA!$I:$I,DATA!$C:$C,$B108,DATA!$J:$J,"&gt;="&amp;DATE($I$2,E$4,1),DATA!$J:$J,"&lt;="&amp;DATE($I$2,E$4,E$5))</f>
        <v/>
      </c>
      <c r="F108" s="321">
        <f>SUMIFS(DATA!$I:$I,DATA!$C:$C,$B108,DATA!$J:$J,"&gt;="&amp;DATE($I$2,F$4,1),DATA!$J:$J,"&lt;="&amp;DATE($I$2,F$4,F$5))</f>
        <v/>
      </c>
      <c r="G108" s="321">
        <f>SUMIFS(DATA!$I:$I,DATA!$C:$C,$B108,DATA!$J:$J,"&gt;="&amp;DATE($I$2,G$4,1),DATA!$J:$J,"&lt;="&amp;DATE($I$2,G$4,G$5))</f>
        <v/>
      </c>
      <c r="H108" s="321">
        <f>SUMIFS(DATA!$I:$I,DATA!$C:$C,$B108,DATA!$J:$J,"&gt;="&amp;DATE($I$2,H$4,1),DATA!$J:$J,"&lt;="&amp;DATE($I$2,H$4,H$5))</f>
        <v/>
      </c>
      <c r="I108" s="321">
        <f>SUMIFS(DATA!$I:$I,DATA!$C:$C,$B108,DATA!$J:$J,"&gt;="&amp;DATE($I$2,I$4,1),DATA!$J:$J,"&lt;="&amp;DATE($I$2,I$4,I$5))</f>
        <v/>
      </c>
      <c r="J108" s="321">
        <f>SUMIFS(DATA!$I:$I,DATA!$C:$C,$B108,DATA!$J:$J,"&gt;="&amp;DATE($I$2,J$4,1),DATA!$J:$J,"&lt;="&amp;DATE($I$2,J$4,J$5))</f>
        <v/>
      </c>
      <c r="K108" s="321">
        <f>SUMIFS(DATA!$I:$I,DATA!$C:$C,$B108,DATA!$J:$J,"&gt;="&amp;DATE($I$2,K$4,1),DATA!$J:$J,"&lt;="&amp;DATE($I$2,K$4,K$5))</f>
        <v/>
      </c>
      <c r="L108" s="321">
        <f>SUMIFS(DATA!$I:$I,DATA!$C:$C,$B108,DATA!$J:$J,"&gt;="&amp;DATE($I$2,L$4,1),DATA!$J:$J,"&lt;="&amp;DATE($I$2,L$4,L$5))</f>
        <v/>
      </c>
      <c r="M108" s="321">
        <f>SUMIFS(DATA!$I:$I,DATA!$C:$C,$B108,DATA!$J:$J,"&gt;="&amp;DATE($I$2,M$4,1),DATA!$J:$J,"&lt;="&amp;DATE($I$2,M$4,M$5))</f>
        <v/>
      </c>
      <c r="N108" s="321">
        <f>SUMIFS(DATA!$I:$I,DATA!$C:$C,$B108,DATA!$J:$J,"&gt;="&amp;DATE($I$2,N$4,1),DATA!$J:$J,"&lt;="&amp;DATE($I$2,N$4,N$5))</f>
        <v/>
      </c>
      <c r="O108" s="321">
        <f>SUMIFS(DATA!$I:$I,DATA!$C:$C,$B108,DATA!$J:$J,"&gt;="&amp;DATE($I$2,O$4,1),DATA!$J:$J,"&lt;="&amp;DATE($I$2,O$4,O$5))</f>
        <v/>
      </c>
      <c r="P108" s="322">
        <f>SUM(D108:O108)</f>
        <v/>
      </c>
      <c r="Q108" s="118" t="n"/>
    </row>
    <row r="109" hidden="1" outlineLevel="1" ht="15" customHeight="1">
      <c r="A109" s="266" t="n"/>
      <c r="B109" s="266" t="n"/>
      <c r="C109" s="119" t="inlineStr">
        <is>
          <t>Thực tế</t>
        </is>
      </c>
      <c r="D109" s="321">
        <f>SUMIFS(DATA!$M:$M,DATA!$C:$C,$B108,DATA!$N:$N,"&gt;="&amp;DATE($I$2,D$4,1),DATA!$N:$N,"&lt;="&amp;DATE($I$2,D$4,D$5))</f>
        <v/>
      </c>
      <c r="E109" s="321">
        <f>SUMIFS(DATA!$M:$M,DATA!$C:$C,$B108,DATA!$N:$N,"&gt;="&amp;DATE($I$2,E$4,1),DATA!$N:$N,"&lt;="&amp;DATE($I$2,E$4,E$5))</f>
        <v/>
      </c>
      <c r="F109" s="321">
        <f>SUMIFS(DATA!$M:$M,DATA!$C:$C,$B108,DATA!$N:$N,"&gt;="&amp;DATE($I$2,F$4,1),DATA!$N:$N,"&lt;="&amp;DATE($I$2,F$4,F$5))</f>
        <v/>
      </c>
      <c r="G109" s="321">
        <f>SUMIFS(DATA!$M:$M,DATA!$C:$C,$B108,DATA!$N:$N,"&gt;="&amp;DATE($I$2,G$4,1),DATA!$N:$N,"&lt;="&amp;DATE($I$2,G$4,G$5))</f>
        <v/>
      </c>
      <c r="H109" s="321">
        <f>SUMIFS(DATA!$M:$M,DATA!$C:$C,$B108,DATA!$N:$N,"&gt;="&amp;DATE($I$2,H$4,1),DATA!$N:$N,"&lt;="&amp;DATE($I$2,H$4,H$5))</f>
        <v/>
      </c>
      <c r="I109" s="321">
        <f>SUMIFS(DATA!$M:$M,DATA!$C:$C,$B108,DATA!$N:$N,"&gt;="&amp;DATE($I$2,I$4,1),DATA!$N:$N,"&lt;="&amp;DATE($I$2,I$4,I$5))</f>
        <v/>
      </c>
      <c r="J109" s="321">
        <f>SUMIFS(DATA!$M:$M,DATA!$C:$C,$B108,DATA!$N:$N,"&gt;="&amp;DATE($I$2,J$4,1),DATA!$N:$N,"&lt;="&amp;DATE($I$2,J$4,J$5))</f>
        <v/>
      </c>
      <c r="K109" s="321">
        <f>SUMIFS(DATA!$M:$M,DATA!$C:$C,$B108,DATA!$N:$N,"&gt;="&amp;DATE($I$2,K$4,1),DATA!$N:$N,"&lt;="&amp;DATE($I$2,K$4,K$5))</f>
        <v/>
      </c>
      <c r="L109" s="321">
        <f>SUMIFS(DATA!$M:$M,DATA!$C:$C,$B108,DATA!$N:$N,"&gt;="&amp;DATE($I$2,L$4,1),DATA!$N:$N,"&lt;="&amp;DATE($I$2,L$4,L$5))</f>
        <v/>
      </c>
      <c r="M109" s="321">
        <f>SUMIFS(DATA!$M:$M,DATA!$C:$C,$B108,DATA!$N:$N,"&gt;="&amp;DATE($I$2,M$4,1),DATA!$N:$N,"&lt;="&amp;DATE($I$2,M$4,M$5))</f>
        <v/>
      </c>
      <c r="N109" s="321">
        <f>SUMIFS(DATA!$M:$M,DATA!$C:$C,$B108,DATA!$N:$N,"&gt;="&amp;DATE($I$2,N$4,1),DATA!$N:$N,"&lt;="&amp;DATE($I$2,N$4,N$5))</f>
        <v/>
      </c>
      <c r="O109" s="321">
        <f>SUMIFS(DATA!$M:$M,DATA!$C:$C,$B108,DATA!$N:$N,"&gt;="&amp;DATE($I$2,O$4,1),DATA!$N:$N,"&lt;="&amp;DATE($I$2,O$4,O$5))</f>
        <v/>
      </c>
      <c r="P109" s="322">
        <f>SUM(D109:O109)</f>
        <v/>
      </c>
      <c r="Q109" s="118" t="n"/>
    </row>
    <row r="110" hidden="1" outlineLevel="1" ht="15" customHeight="1">
      <c r="A110" s="269" t="n">
        <v>53</v>
      </c>
      <c r="B110" s="265" t="inlineStr">
        <is>
          <t>SG MOTORS VIETNAM</t>
        </is>
      </c>
      <c r="C110" s="119" t="inlineStr">
        <is>
          <t>Kế hoạch</t>
        </is>
      </c>
      <c r="D110" s="321">
        <f>SUMIFS(DATA!$I:$I,DATA!$C:$C,$B110,DATA!$J:$J,"&gt;="&amp;DATE($I$2,D$4,1),DATA!$J:$J,"&lt;="&amp;DATE($I$2,D$4,D$5))</f>
        <v/>
      </c>
      <c r="E110" s="321">
        <f>SUMIFS(DATA!$I:$I,DATA!$C:$C,$B110,DATA!$J:$J,"&gt;="&amp;DATE($I$2,E$4,1),DATA!$J:$J,"&lt;="&amp;DATE($I$2,E$4,E$5))</f>
        <v/>
      </c>
      <c r="F110" s="321">
        <f>SUMIFS(DATA!$I:$I,DATA!$C:$C,$B110,DATA!$J:$J,"&gt;="&amp;DATE($I$2,F$4,1),DATA!$J:$J,"&lt;="&amp;DATE($I$2,F$4,F$5))</f>
        <v/>
      </c>
      <c r="G110" s="321">
        <f>SUMIFS(DATA!$I:$I,DATA!$C:$C,$B110,DATA!$J:$J,"&gt;="&amp;DATE($I$2,G$4,1),DATA!$J:$J,"&lt;="&amp;DATE($I$2,G$4,G$5))</f>
        <v/>
      </c>
      <c r="H110" s="321">
        <f>SUMIFS(DATA!$I:$I,DATA!$C:$C,$B110,DATA!$J:$J,"&gt;="&amp;DATE($I$2,H$4,1),DATA!$J:$J,"&lt;="&amp;DATE($I$2,H$4,H$5))</f>
        <v/>
      </c>
      <c r="I110" s="321">
        <f>SUMIFS(DATA!$I:$I,DATA!$C:$C,$B110,DATA!$J:$J,"&gt;="&amp;DATE($I$2,I$4,1),DATA!$J:$J,"&lt;="&amp;DATE($I$2,I$4,I$5))</f>
        <v/>
      </c>
      <c r="J110" s="321">
        <f>SUMIFS(DATA!$I:$I,DATA!$C:$C,$B110,DATA!$J:$J,"&gt;="&amp;DATE($I$2,J$4,1),DATA!$J:$J,"&lt;="&amp;DATE($I$2,J$4,J$5))</f>
        <v/>
      </c>
      <c r="K110" s="321">
        <f>SUMIFS(DATA!$I:$I,DATA!$C:$C,$B110,DATA!$J:$J,"&gt;="&amp;DATE($I$2,K$4,1),DATA!$J:$J,"&lt;="&amp;DATE($I$2,K$4,K$5))</f>
        <v/>
      </c>
      <c r="L110" s="321">
        <f>SUMIFS(DATA!$I:$I,DATA!$C:$C,$B110,DATA!$J:$J,"&gt;="&amp;DATE($I$2,L$4,1),DATA!$J:$J,"&lt;="&amp;DATE($I$2,L$4,L$5))</f>
        <v/>
      </c>
      <c r="M110" s="321">
        <f>SUMIFS(DATA!$I:$I,DATA!$C:$C,$B110,DATA!$J:$J,"&gt;="&amp;DATE($I$2,M$4,1),DATA!$J:$J,"&lt;="&amp;DATE($I$2,M$4,M$5))</f>
        <v/>
      </c>
      <c r="N110" s="321">
        <f>SUMIFS(DATA!$I:$I,DATA!$C:$C,$B110,DATA!$J:$J,"&gt;="&amp;DATE($I$2,N$4,1),DATA!$J:$J,"&lt;="&amp;DATE($I$2,N$4,N$5))</f>
        <v/>
      </c>
      <c r="O110" s="321">
        <f>SUMIFS(DATA!$I:$I,DATA!$C:$C,$B110,DATA!$J:$J,"&gt;="&amp;DATE($I$2,O$4,1),DATA!$J:$J,"&lt;="&amp;DATE($I$2,O$4,O$5))</f>
        <v/>
      </c>
      <c r="P110" s="322">
        <f>SUM(D110:O110)</f>
        <v/>
      </c>
      <c r="Q110" s="118" t="n"/>
    </row>
    <row r="111" hidden="1" outlineLevel="1" ht="15" customHeight="1">
      <c r="A111" s="266" t="n"/>
      <c r="B111" s="266" t="n"/>
      <c r="C111" s="119" t="inlineStr">
        <is>
          <t>Thực tế</t>
        </is>
      </c>
      <c r="D111" s="321">
        <f>SUMIFS(DATA!$M:$M,DATA!$C:$C,$B110,DATA!$N:$N,"&gt;="&amp;DATE($I$2,D$4,1),DATA!$N:$N,"&lt;="&amp;DATE($I$2,D$4,D$5))</f>
        <v/>
      </c>
      <c r="E111" s="321">
        <f>SUMIFS(DATA!$M:$M,DATA!$C:$C,$B110,DATA!$N:$N,"&gt;="&amp;DATE($I$2,E$4,1),DATA!$N:$N,"&lt;="&amp;DATE($I$2,E$4,E$5))</f>
        <v/>
      </c>
      <c r="F111" s="321">
        <f>SUMIFS(DATA!$M:$M,DATA!$C:$C,$B110,DATA!$N:$N,"&gt;="&amp;DATE($I$2,F$4,1),DATA!$N:$N,"&lt;="&amp;DATE($I$2,F$4,F$5))</f>
        <v/>
      </c>
      <c r="G111" s="321">
        <f>SUMIFS(DATA!$M:$M,DATA!$C:$C,$B110,DATA!$N:$N,"&gt;="&amp;DATE($I$2,G$4,1),DATA!$N:$N,"&lt;="&amp;DATE($I$2,G$4,G$5))</f>
        <v/>
      </c>
      <c r="H111" s="321">
        <f>SUMIFS(DATA!$M:$M,DATA!$C:$C,$B110,DATA!$N:$N,"&gt;="&amp;DATE($I$2,H$4,1),DATA!$N:$N,"&lt;="&amp;DATE($I$2,H$4,H$5))</f>
        <v/>
      </c>
      <c r="I111" s="321">
        <f>SUMIFS(DATA!$M:$M,DATA!$C:$C,$B110,DATA!$N:$N,"&gt;="&amp;DATE($I$2,I$4,1),DATA!$N:$N,"&lt;="&amp;DATE($I$2,I$4,I$5))</f>
        <v/>
      </c>
      <c r="J111" s="321">
        <f>SUMIFS(DATA!$M:$M,DATA!$C:$C,$B110,DATA!$N:$N,"&gt;="&amp;DATE($I$2,J$4,1),DATA!$N:$N,"&lt;="&amp;DATE($I$2,J$4,J$5))</f>
        <v/>
      </c>
      <c r="K111" s="321">
        <f>SUMIFS(DATA!$M:$M,DATA!$C:$C,$B110,DATA!$N:$N,"&gt;="&amp;DATE($I$2,K$4,1),DATA!$N:$N,"&lt;="&amp;DATE($I$2,K$4,K$5))</f>
        <v/>
      </c>
      <c r="L111" s="321">
        <f>SUMIFS(DATA!$M:$M,DATA!$C:$C,$B110,DATA!$N:$N,"&gt;="&amp;DATE($I$2,L$4,1),DATA!$N:$N,"&lt;="&amp;DATE($I$2,L$4,L$5))</f>
        <v/>
      </c>
      <c r="M111" s="321">
        <f>SUMIFS(DATA!$M:$M,DATA!$C:$C,$B110,DATA!$N:$N,"&gt;="&amp;DATE($I$2,M$4,1),DATA!$N:$N,"&lt;="&amp;DATE($I$2,M$4,M$5))</f>
        <v/>
      </c>
      <c r="N111" s="321">
        <f>SUMIFS(DATA!$M:$M,DATA!$C:$C,$B110,DATA!$N:$N,"&gt;="&amp;DATE($I$2,N$4,1),DATA!$N:$N,"&lt;="&amp;DATE($I$2,N$4,N$5))</f>
        <v/>
      </c>
      <c r="O111" s="321">
        <f>SUMIFS(DATA!$M:$M,DATA!$C:$C,$B110,DATA!$N:$N,"&gt;="&amp;DATE($I$2,O$4,1),DATA!$N:$N,"&lt;="&amp;DATE($I$2,O$4,O$5))</f>
        <v/>
      </c>
      <c r="P111" s="322">
        <f>SUM(D111:O111)</f>
        <v/>
      </c>
      <c r="Q111" s="118" t="n"/>
    </row>
    <row r="112" hidden="1" outlineLevel="1" ht="15" customHeight="1">
      <c r="A112" s="269" t="n">
        <v>54</v>
      </c>
      <c r="B112" s="265" t="inlineStr">
        <is>
          <t>BOYDENS ENGINEERING VIETNAM</t>
        </is>
      </c>
      <c r="C112" s="119" t="inlineStr">
        <is>
          <t>Kế hoạch</t>
        </is>
      </c>
      <c r="D112" s="321">
        <f>SUMIFS(DATA!$I:$I,DATA!$C:$C,$B112,DATA!$J:$J,"&gt;="&amp;DATE($I$2,D$4,1),DATA!$J:$J,"&lt;="&amp;DATE($I$2,D$4,D$5))</f>
        <v/>
      </c>
      <c r="E112" s="321">
        <f>SUMIFS(DATA!$I:$I,DATA!$C:$C,$B112,DATA!$J:$J,"&gt;="&amp;DATE($I$2,E$4,1),DATA!$J:$J,"&lt;="&amp;DATE($I$2,E$4,E$5))</f>
        <v/>
      </c>
      <c r="F112" s="321">
        <f>SUMIFS(DATA!$I:$I,DATA!$C:$C,$B112,DATA!$J:$J,"&gt;="&amp;DATE($I$2,F$4,1),DATA!$J:$J,"&lt;="&amp;DATE($I$2,F$4,F$5))</f>
        <v/>
      </c>
      <c r="G112" s="321">
        <f>SUMIFS(DATA!$I:$I,DATA!$C:$C,$B112,DATA!$J:$J,"&gt;="&amp;DATE($I$2,G$4,1),DATA!$J:$J,"&lt;="&amp;DATE($I$2,G$4,G$5))</f>
        <v/>
      </c>
      <c r="H112" s="321">
        <f>SUMIFS(DATA!$I:$I,DATA!$C:$C,$B112,DATA!$J:$J,"&gt;="&amp;DATE($I$2,H$4,1),DATA!$J:$J,"&lt;="&amp;DATE($I$2,H$4,H$5))</f>
        <v/>
      </c>
      <c r="I112" s="321">
        <f>SUMIFS(DATA!$I:$I,DATA!$C:$C,$B112,DATA!$J:$J,"&gt;="&amp;DATE($I$2,I$4,1),DATA!$J:$J,"&lt;="&amp;DATE($I$2,I$4,I$5))</f>
        <v/>
      </c>
      <c r="J112" s="321">
        <f>SUMIFS(DATA!$I:$I,DATA!$C:$C,$B112,DATA!$J:$J,"&gt;="&amp;DATE($I$2,J$4,1),DATA!$J:$J,"&lt;="&amp;DATE($I$2,J$4,J$5))</f>
        <v/>
      </c>
      <c r="K112" s="321">
        <f>SUMIFS(DATA!$I:$I,DATA!$C:$C,$B112,DATA!$J:$J,"&gt;="&amp;DATE($I$2,K$4,1),DATA!$J:$J,"&lt;="&amp;DATE($I$2,K$4,K$5))</f>
        <v/>
      </c>
      <c r="L112" s="321">
        <f>SUMIFS(DATA!$I:$I,DATA!$C:$C,$B112,DATA!$J:$J,"&gt;="&amp;DATE($I$2,L$4,1),DATA!$J:$J,"&lt;="&amp;DATE($I$2,L$4,L$5))</f>
        <v/>
      </c>
      <c r="M112" s="321">
        <f>SUMIFS(DATA!$I:$I,DATA!$C:$C,$B112,DATA!$J:$J,"&gt;="&amp;DATE($I$2,M$4,1),DATA!$J:$J,"&lt;="&amp;DATE($I$2,M$4,M$5))</f>
        <v/>
      </c>
      <c r="N112" s="321">
        <f>SUMIFS(DATA!$I:$I,DATA!$C:$C,$B112,DATA!$J:$J,"&gt;="&amp;DATE($I$2,N$4,1),DATA!$J:$J,"&lt;="&amp;DATE($I$2,N$4,N$5))</f>
        <v/>
      </c>
      <c r="O112" s="321">
        <f>SUMIFS(DATA!$I:$I,DATA!$C:$C,$B112,DATA!$J:$J,"&gt;="&amp;DATE($I$2,O$4,1),DATA!$J:$J,"&lt;="&amp;DATE($I$2,O$4,O$5))</f>
        <v/>
      </c>
      <c r="P112" s="322">
        <f>SUM(D112:O112)</f>
        <v/>
      </c>
      <c r="Q112" s="118" t="n"/>
    </row>
    <row r="113" hidden="1" outlineLevel="1" ht="15" customHeight="1">
      <c r="A113" s="266" t="n"/>
      <c r="B113" s="266" t="n"/>
      <c r="C113" s="119" t="inlineStr">
        <is>
          <t>Thực tế</t>
        </is>
      </c>
      <c r="D113" s="321">
        <f>SUMIFS(DATA!$M:$M,DATA!$C:$C,$B112,DATA!$N:$N,"&gt;="&amp;DATE($I$2,D$4,1),DATA!$N:$N,"&lt;="&amp;DATE($I$2,D$4,D$5))</f>
        <v/>
      </c>
      <c r="E113" s="321">
        <f>SUMIFS(DATA!$M:$M,DATA!$C:$C,$B112,DATA!$N:$N,"&gt;="&amp;DATE($I$2,E$4,1),DATA!$N:$N,"&lt;="&amp;DATE($I$2,E$4,E$5))</f>
        <v/>
      </c>
      <c r="F113" s="321">
        <f>SUMIFS(DATA!$M:$M,DATA!$C:$C,$B112,DATA!$N:$N,"&gt;="&amp;DATE($I$2,F$4,1),DATA!$N:$N,"&lt;="&amp;DATE($I$2,F$4,F$5))</f>
        <v/>
      </c>
      <c r="G113" s="321">
        <f>SUMIFS(DATA!$M:$M,DATA!$C:$C,$B112,DATA!$N:$N,"&gt;="&amp;DATE($I$2,G$4,1),DATA!$N:$N,"&lt;="&amp;DATE($I$2,G$4,G$5))</f>
        <v/>
      </c>
      <c r="H113" s="321">
        <f>SUMIFS(DATA!$M:$M,DATA!$C:$C,$B112,DATA!$N:$N,"&gt;="&amp;DATE($I$2,H$4,1),DATA!$N:$N,"&lt;="&amp;DATE($I$2,H$4,H$5))</f>
        <v/>
      </c>
      <c r="I113" s="321">
        <f>SUMIFS(DATA!$M:$M,DATA!$C:$C,$B112,DATA!$N:$N,"&gt;="&amp;DATE($I$2,I$4,1),DATA!$N:$N,"&lt;="&amp;DATE($I$2,I$4,I$5))</f>
        <v/>
      </c>
      <c r="J113" s="321">
        <f>SUMIFS(DATA!$M:$M,DATA!$C:$C,$B112,DATA!$N:$N,"&gt;="&amp;DATE($I$2,J$4,1),DATA!$N:$N,"&lt;="&amp;DATE($I$2,J$4,J$5))</f>
        <v/>
      </c>
      <c r="K113" s="321">
        <f>SUMIFS(DATA!$M:$M,DATA!$C:$C,$B112,DATA!$N:$N,"&gt;="&amp;DATE($I$2,K$4,1),DATA!$N:$N,"&lt;="&amp;DATE($I$2,K$4,K$5))</f>
        <v/>
      </c>
      <c r="L113" s="321">
        <f>SUMIFS(DATA!$M:$M,DATA!$C:$C,$B112,DATA!$N:$N,"&gt;="&amp;DATE($I$2,L$4,1),DATA!$N:$N,"&lt;="&amp;DATE($I$2,L$4,L$5))</f>
        <v/>
      </c>
      <c r="M113" s="321">
        <f>SUMIFS(DATA!$M:$M,DATA!$C:$C,$B112,DATA!$N:$N,"&gt;="&amp;DATE($I$2,M$4,1),DATA!$N:$N,"&lt;="&amp;DATE($I$2,M$4,M$5))</f>
        <v/>
      </c>
      <c r="N113" s="321">
        <f>SUMIFS(DATA!$M:$M,DATA!$C:$C,$B112,DATA!$N:$N,"&gt;="&amp;DATE($I$2,N$4,1),DATA!$N:$N,"&lt;="&amp;DATE($I$2,N$4,N$5))</f>
        <v/>
      </c>
      <c r="O113" s="321">
        <f>SUMIFS(DATA!$M:$M,DATA!$C:$C,$B112,DATA!$N:$N,"&gt;="&amp;DATE($I$2,O$4,1),DATA!$N:$N,"&lt;="&amp;DATE($I$2,O$4,O$5))</f>
        <v/>
      </c>
      <c r="P113" s="322">
        <f>SUM(D113:O113)</f>
        <v/>
      </c>
      <c r="Q113" s="118" t="n"/>
    </row>
    <row r="114" hidden="1" outlineLevel="1" ht="15" customHeight="1">
      <c r="A114" s="269" t="n">
        <v>55</v>
      </c>
      <c r="B114" s="265" t="inlineStr">
        <is>
          <t>EMBASSY OF FRANCE_(Lưu trữ)</t>
        </is>
      </c>
      <c r="C114" s="119" t="inlineStr">
        <is>
          <t>Kế hoạch</t>
        </is>
      </c>
      <c r="D114" s="321">
        <f>SUMIFS(DATA!$I:$I,DATA!$C:$C,$B114,DATA!$J:$J,"&gt;="&amp;DATE($I$2,D$4,1),DATA!$J:$J,"&lt;="&amp;DATE($I$2,D$4,D$5))</f>
        <v/>
      </c>
      <c r="E114" s="321">
        <f>SUMIFS(DATA!$I:$I,DATA!$C:$C,$B114,DATA!$J:$J,"&gt;="&amp;DATE($I$2,E$4,1),DATA!$J:$J,"&lt;="&amp;DATE($I$2,E$4,E$5))</f>
        <v/>
      </c>
      <c r="F114" s="321">
        <f>SUMIFS(DATA!$I:$I,DATA!$C:$C,$B114,DATA!$J:$J,"&gt;="&amp;DATE($I$2,F$4,1),DATA!$J:$J,"&lt;="&amp;DATE($I$2,F$4,F$5))</f>
        <v/>
      </c>
      <c r="G114" s="321">
        <f>SUMIFS(DATA!$I:$I,DATA!$C:$C,$B114,DATA!$J:$J,"&gt;="&amp;DATE($I$2,G$4,1),DATA!$J:$J,"&lt;="&amp;DATE($I$2,G$4,G$5))</f>
        <v/>
      </c>
      <c r="H114" s="321">
        <f>SUMIFS(DATA!$I:$I,DATA!$C:$C,$B114,DATA!$J:$J,"&gt;="&amp;DATE($I$2,H$4,1),DATA!$J:$J,"&lt;="&amp;DATE($I$2,H$4,H$5))</f>
        <v/>
      </c>
      <c r="I114" s="321">
        <f>SUMIFS(DATA!$I:$I,DATA!$C:$C,$B114,DATA!$J:$J,"&gt;="&amp;DATE($I$2,I$4,1),DATA!$J:$J,"&lt;="&amp;DATE($I$2,I$4,I$5))</f>
        <v/>
      </c>
      <c r="J114" s="321">
        <f>SUMIFS(DATA!$I:$I,DATA!$C:$C,$B114,DATA!$J:$J,"&gt;="&amp;DATE($I$2,J$4,1),DATA!$J:$J,"&lt;="&amp;DATE($I$2,J$4,J$5))</f>
        <v/>
      </c>
      <c r="K114" s="321">
        <f>SUMIFS(DATA!$I:$I,DATA!$C:$C,$B114,DATA!$J:$J,"&gt;="&amp;DATE($I$2,K$4,1),DATA!$J:$J,"&lt;="&amp;DATE($I$2,K$4,K$5))</f>
        <v/>
      </c>
      <c r="L114" s="321">
        <f>SUMIFS(DATA!$I:$I,DATA!$C:$C,$B114,DATA!$J:$J,"&gt;="&amp;DATE($I$2,L$4,1),DATA!$J:$J,"&lt;="&amp;DATE($I$2,L$4,L$5))</f>
        <v/>
      </c>
      <c r="M114" s="321">
        <f>SUMIFS(DATA!$I:$I,DATA!$C:$C,$B114,DATA!$J:$J,"&gt;="&amp;DATE($I$2,M$4,1),DATA!$J:$J,"&lt;="&amp;DATE($I$2,M$4,M$5))</f>
        <v/>
      </c>
      <c r="N114" s="321">
        <f>SUMIFS(DATA!$I:$I,DATA!$C:$C,$B114,DATA!$J:$J,"&gt;="&amp;DATE($I$2,N$4,1),DATA!$J:$J,"&lt;="&amp;DATE($I$2,N$4,N$5))</f>
        <v/>
      </c>
      <c r="O114" s="321">
        <f>SUMIFS(DATA!$I:$I,DATA!$C:$C,$B114,DATA!$J:$J,"&gt;="&amp;DATE($I$2,O$4,1),DATA!$J:$J,"&lt;="&amp;DATE($I$2,O$4,O$5))</f>
        <v/>
      </c>
      <c r="P114" s="322">
        <f>SUM(D114:O114)</f>
        <v/>
      </c>
      <c r="Q114" s="118" t="n"/>
    </row>
    <row r="115" hidden="1" outlineLevel="1" ht="15" customHeight="1">
      <c r="A115" s="266" t="n"/>
      <c r="B115" s="266" t="n"/>
      <c r="C115" s="119" t="inlineStr">
        <is>
          <t>Thực tế</t>
        </is>
      </c>
      <c r="D115" s="321">
        <f>SUMIFS(DATA!$M:$M,DATA!$C:$C,$B114,DATA!$N:$N,"&gt;="&amp;DATE($I$2,D$4,1),DATA!$N:$N,"&lt;="&amp;DATE($I$2,D$4,D$5))</f>
        <v/>
      </c>
      <c r="E115" s="321">
        <f>SUMIFS(DATA!$M:$M,DATA!$C:$C,$B114,DATA!$N:$N,"&gt;="&amp;DATE($I$2,E$4,1),DATA!$N:$N,"&lt;="&amp;DATE($I$2,E$4,E$5))</f>
        <v/>
      </c>
      <c r="F115" s="321">
        <f>SUMIFS(DATA!$M:$M,DATA!$C:$C,$B114,DATA!$N:$N,"&gt;="&amp;DATE($I$2,F$4,1),DATA!$N:$N,"&lt;="&amp;DATE($I$2,F$4,F$5))</f>
        <v/>
      </c>
      <c r="G115" s="321">
        <f>SUMIFS(DATA!$M:$M,DATA!$C:$C,$B114,DATA!$N:$N,"&gt;="&amp;DATE($I$2,G$4,1),DATA!$N:$N,"&lt;="&amp;DATE($I$2,G$4,G$5))</f>
        <v/>
      </c>
      <c r="H115" s="321">
        <f>SUMIFS(DATA!$M:$M,DATA!$C:$C,$B114,DATA!$N:$N,"&gt;="&amp;DATE($I$2,H$4,1),DATA!$N:$N,"&lt;="&amp;DATE($I$2,H$4,H$5))</f>
        <v/>
      </c>
      <c r="I115" s="321">
        <f>SUMIFS(DATA!$M:$M,DATA!$C:$C,$B114,DATA!$N:$N,"&gt;="&amp;DATE($I$2,I$4,1),DATA!$N:$N,"&lt;="&amp;DATE($I$2,I$4,I$5))</f>
        <v/>
      </c>
      <c r="J115" s="321">
        <f>SUMIFS(DATA!$M:$M,DATA!$C:$C,$B114,DATA!$N:$N,"&gt;="&amp;DATE($I$2,J$4,1),DATA!$N:$N,"&lt;="&amp;DATE($I$2,J$4,J$5))</f>
        <v/>
      </c>
      <c r="K115" s="321">
        <f>SUMIFS(DATA!$M:$M,DATA!$C:$C,$B114,DATA!$N:$N,"&gt;="&amp;DATE($I$2,K$4,1),DATA!$N:$N,"&lt;="&amp;DATE($I$2,K$4,K$5))</f>
        <v/>
      </c>
      <c r="L115" s="321">
        <f>SUMIFS(DATA!$M:$M,DATA!$C:$C,$B114,DATA!$N:$N,"&gt;="&amp;DATE($I$2,L$4,1),DATA!$N:$N,"&lt;="&amp;DATE($I$2,L$4,L$5))</f>
        <v/>
      </c>
      <c r="M115" s="321">
        <f>SUMIFS(DATA!$M:$M,DATA!$C:$C,$B114,DATA!$N:$N,"&gt;="&amp;DATE($I$2,M$4,1),DATA!$N:$N,"&lt;="&amp;DATE($I$2,M$4,M$5))</f>
        <v/>
      </c>
      <c r="N115" s="321">
        <f>SUMIFS(DATA!$M:$M,DATA!$C:$C,$B114,DATA!$N:$N,"&gt;="&amp;DATE($I$2,N$4,1),DATA!$N:$N,"&lt;="&amp;DATE($I$2,N$4,N$5))</f>
        <v/>
      </c>
      <c r="O115" s="321">
        <f>SUMIFS(DATA!$M:$M,DATA!$C:$C,$B114,DATA!$N:$N,"&gt;="&amp;DATE($I$2,O$4,1),DATA!$N:$N,"&lt;="&amp;DATE($I$2,O$4,O$5))</f>
        <v/>
      </c>
      <c r="P115" s="322">
        <f>SUM(D115:O115)</f>
        <v/>
      </c>
      <c r="Q115" s="118" t="n"/>
    </row>
    <row r="116" hidden="1" outlineLevel="1" ht="15" customHeight="1">
      <c r="A116" s="269" t="n">
        <v>56</v>
      </c>
      <c r="B116" s="265" t="inlineStr">
        <is>
          <t>LAURELTON DIAMONDS VIETNAM(Inactive)</t>
        </is>
      </c>
      <c r="C116" s="119" t="inlineStr">
        <is>
          <t>Kế hoạch</t>
        </is>
      </c>
      <c r="D116" s="321">
        <f>SUMIFS(DATA!$I:$I,DATA!$C:$C,$B116,DATA!$J:$J,"&gt;="&amp;DATE($I$2,D$4,1),DATA!$J:$J,"&lt;="&amp;DATE($I$2,D$4,D$5))</f>
        <v/>
      </c>
      <c r="E116" s="321">
        <f>SUMIFS(DATA!$I:$I,DATA!$C:$C,$B116,DATA!$J:$J,"&gt;="&amp;DATE($I$2,E$4,1),DATA!$J:$J,"&lt;="&amp;DATE($I$2,E$4,E$5))</f>
        <v/>
      </c>
      <c r="F116" s="321">
        <f>SUMIFS(DATA!$I:$I,DATA!$C:$C,$B116,DATA!$J:$J,"&gt;="&amp;DATE($I$2,F$4,1),DATA!$J:$J,"&lt;="&amp;DATE($I$2,F$4,F$5))</f>
        <v/>
      </c>
      <c r="G116" s="321">
        <f>SUMIFS(DATA!$I:$I,DATA!$C:$C,$B116,DATA!$J:$J,"&gt;="&amp;DATE($I$2,G$4,1),DATA!$J:$J,"&lt;="&amp;DATE($I$2,G$4,G$5))</f>
        <v/>
      </c>
      <c r="H116" s="321">
        <f>SUMIFS(DATA!$I:$I,DATA!$C:$C,$B116,DATA!$J:$J,"&gt;="&amp;DATE($I$2,H$4,1),DATA!$J:$J,"&lt;="&amp;DATE($I$2,H$4,H$5))</f>
        <v/>
      </c>
      <c r="I116" s="321">
        <f>SUMIFS(DATA!$I:$I,DATA!$C:$C,$B116,DATA!$J:$J,"&gt;="&amp;DATE($I$2,I$4,1),DATA!$J:$J,"&lt;="&amp;DATE($I$2,I$4,I$5))</f>
        <v/>
      </c>
      <c r="J116" s="321">
        <f>SUMIFS(DATA!$I:$I,DATA!$C:$C,$B116,DATA!$J:$J,"&gt;="&amp;DATE($I$2,J$4,1),DATA!$J:$J,"&lt;="&amp;DATE($I$2,J$4,J$5))</f>
        <v/>
      </c>
      <c r="K116" s="321">
        <f>SUMIFS(DATA!$I:$I,DATA!$C:$C,$B116,DATA!$J:$J,"&gt;="&amp;DATE($I$2,K$4,1),DATA!$J:$J,"&lt;="&amp;DATE($I$2,K$4,K$5))</f>
        <v/>
      </c>
      <c r="L116" s="321">
        <f>SUMIFS(DATA!$I:$I,DATA!$C:$C,$B116,DATA!$J:$J,"&gt;="&amp;DATE($I$2,L$4,1),DATA!$J:$J,"&lt;="&amp;DATE($I$2,L$4,L$5))</f>
        <v/>
      </c>
      <c r="M116" s="321">
        <f>SUMIFS(DATA!$I:$I,DATA!$C:$C,$B116,DATA!$J:$J,"&gt;="&amp;DATE($I$2,M$4,1),DATA!$J:$J,"&lt;="&amp;DATE($I$2,M$4,M$5))</f>
        <v/>
      </c>
      <c r="N116" s="321">
        <f>SUMIFS(DATA!$I:$I,DATA!$C:$C,$B116,DATA!$J:$J,"&gt;="&amp;DATE($I$2,N$4,1),DATA!$J:$J,"&lt;="&amp;DATE($I$2,N$4,N$5))</f>
        <v/>
      </c>
      <c r="O116" s="321">
        <f>SUMIFS(DATA!$I:$I,DATA!$C:$C,$B116,DATA!$J:$J,"&gt;="&amp;DATE($I$2,O$4,1),DATA!$J:$J,"&lt;="&amp;DATE($I$2,O$4,O$5))</f>
        <v/>
      </c>
      <c r="P116" s="322">
        <f>SUM(D116:O116)</f>
        <v/>
      </c>
      <c r="Q116" s="118" t="n"/>
    </row>
    <row r="117" hidden="1" outlineLevel="1" ht="15" customHeight="1">
      <c r="A117" s="266" t="n"/>
      <c r="B117" s="266" t="n"/>
      <c r="C117" s="119" t="inlineStr">
        <is>
          <t>Thực tế</t>
        </is>
      </c>
      <c r="D117" s="321">
        <f>SUMIFS(DATA!$M:$M,DATA!$C:$C,$B116,DATA!$N:$N,"&gt;="&amp;DATE($I$2,D$4,1),DATA!$N:$N,"&lt;="&amp;DATE($I$2,D$4,D$5))</f>
        <v/>
      </c>
      <c r="E117" s="321">
        <f>SUMIFS(DATA!$M:$M,DATA!$C:$C,$B116,DATA!$N:$N,"&gt;="&amp;DATE($I$2,E$4,1),DATA!$N:$N,"&lt;="&amp;DATE($I$2,E$4,E$5))</f>
        <v/>
      </c>
      <c r="F117" s="321">
        <f>SUMIFS(DATA!$M:$M,DATA!$C:$C,$B116,DATA!$N:$N,"&gt;="&amp;DATE($I$2,F$4,1),DATA!$N:$N,"&lt;="&amp;DATE($I$2,F$4,F$5))</f>
        <v/>
      </c>
      <c r="G117" s="321">
        <f>SUMIFS(DATA!$M:$M,DATA!$C:$C,$B116,DATA!$N:$N,"&gt;="&amp;DATE($I$2,G$4,1),DATA!$N:$N,"&lt;="&amp;DATE($I$2,G$4,G$5))</f>
        <v/>
      </c>
      <c r="H117" s="321">
        <f>SUMIFS(DATA!$M:$M,DATA!$C:$C,$B116,DATA!$N:$N,"&gt;="&amp;DATE($I$2,H$4,1),DATA!$N:$N,"&lt;="&amp;DATE($I$2,H$4,H$5))</f>
        <v/>
      </c>
      <c r="I117" s="321">
        <f>SUMIFS(DATA!$M:$M,DATA!$C:$C,$B116,DATA!$N:$N,"&gt;="&amp;DATE($I$2,I$4,1),DATA!$N:$N,"&lt;="&amp;DATE($I$2,I$4,I$5))</f>
        <v/>
      </c>
      <c r="J117" s="321">
        <f>SUMIFS(DATA!$M:$M,DATA!$C:$C,$B116,DATA!$N:$N,"&gt;="&amp;DATE($I$2,J$4,1),DATA!$N:$N,"&lt;="&amp;DATE($I$2,J$4,J$5))</f>
        <v/>
      </c>
      <c r="K117" s="321">
        <f>SUMIFS(DATA!$M:$M,DATA!$C:$C,$B116,DATA!$N:$N,"&gt;="&amp;DATE($I$2,K$4,1),DATA!$N:$N,"&lt;="&amp;DATE($I$2,K$4,K$5))</f>
        <v/>
      </c>
      <c r="L117" s="321">
        <f>SUMIFS(DATA!$M:$M,DATA!$C:$C,$B116,DATA!$N:$N,"&gt;="&amp;DATE($I$2,L$4,1),DATA!$N:$N,"&lt;="&amp;DATE($I$2,L$4,L$5))</f>
        <v/>
      </c>
      <c r="M117" s="321">
        <f>SUMIFS(DATA!$M:$M,DATA!$C:$C,$B116,DATA!$N:$N,"&gt;="&amp;DATE($I$2,M$4,1),DATA!$N:$N,"&lt;="&amp;DATE($I$2,M$4,M$5))</f>
        <v/>
      </c>
      <c r="N117" s="321">
        <f>SUMIFS(DATA!$M:$M,DATA!$C:$C,$B116,DATA!$N:$N,"&gt;="&amp;DATE($I$2,N$4,1),DATA!$N:$N,"&lt;="&amp;DATE($I$2,N$4,N$5))</f>
        <v/>
      </c>
      <c r="O117" s="321">
        <f>SUMIFS(DATA!$M:$M,DATA!$C:$C,$B116,DATA!$N:$N,"&gt;="&amp;DATE($I$2,O$4,1),DATA!$N:$N,"&lt;="&amp;DATE($I$2,O$4,O$5))</f>
        <v/>
      </c>
      <c r="P117" s="322">
        <f>SUM(D117:O117)</f>
        <v/>
      </c>
      <c r="Q117" s="118" t="n"/>
    </row>
    <row r="118" hidden="1" outlineLevel="1" ht="15" customHeight="1">
      <c r="A118" s="269" t="n">
        <v>57</v>
      </c>
      <c r="B118" s="265" t="inlineStr">
        <is>
          <t>CHUNG CƯ 282 LĨNH NAM(Inactive)</t>
        </is>
      </c>
      <c r="C118" s="119" t="inlineStr">
        <is>
          <t>Kế hoạch</t>
        </is>
      </c>
      <c r="D118" s="321">
        <f>SUMIFS(DATA!$I:$I,DATA!$C:$C,$B118,DATA!$J:$J,"&gt;="&amp;DATE($I$2,D$4,1),DATA!$J:$J,"&lt;="&amp;DATE($I$2,D$4,D$5))</f>
        <v/>
      </c>
      <c r="E118" s="321">
        <f>SUMIFS(DATA!$I:$I,DATA!$C:$C,$B118,DATA!$J:$J,"&gt;="&amp;DATE($I$2,E$4,1),DATA!$J:$J,"&lt;="&amp;DATE($I$2,E$4,E$5))</f>
        <v/>
      </c>
      <c r="F118" s="321">
        <f>SUMIFS(DATA!$I:$I,DATA!$C:$C,$B118,DATA!$J:$J,"&gt;="&amp;DATE($I$2,F$4,1),DATA!$J:$J,"&lt;="&amp;DATE($I$2,F$4,F$5))</f>
        <v/>
      </c>
      <c r="G118" s="321">
        <f>SUMIFS(DATA!$I:$I,DATA!$C:$C,$B118,DATA!$J:$J,"&gt;="&amp;DATE($I$2,G$4,1),DATA!$J:$J,"&lt;="&amp;DATE($I$2,G$4,G$5))</f>
        <v/>
      </c>
      <c r="H118" s="321">
        <f>SUMIFS(DATA!$I:$I,DATA!$C:$C,$B118,DATA!$J:$J,"&gt;="&amp;DATE($I$2,H$4,1),DATA!$J:$J,"&lt;="&amp;DATE($I$2,H$4,H$5))</f>
        <v/>
      </c>
      <c r="I118" s="321">
        <f>SUMIFS(DATA!$I:$I,DATA!$C:$C,$B118,DATA!$J:$J,"&gt;="&amp;DATE($I$2,I$4,1),DATA!$J:$J,"&lt;="&amp;DATE($I$2,I$4,I$5))</f>
        <v/>
      </c>
      <c r="J118" s="321">
        <f>SUMIFS(DATA!$I:$I,DATA!$C:$C,$B118,DATA!$J:$J,"&gt;="&amp;DATE($I$2,J$4,1),DATA!$J:$J,"&lt;="&amp;DATE($I$2,J$4,J$5))</f>
        <v/>
      </c>
      <c r="K118" s="321">
        <f>SUMIFS(DATA!$I:$I,DATA!$C:$C,$B118,DATA!$J:$J,"&gt;="&amp;DATE($I$2,K$4,1),DATA!$J:$J,"&lt;="&amp;DATE($I$2,K$4,K$5))</f>
        <v/>
      </c>
      <c r="L118" s="321">
        <f>SUMIFS(DATA!$I:$I,DATA!$C:$C,$B118,DATA!$J:$J,"&gt;="&amp;DATE($I$2,L$4,1),DATA!$J:$J,"&lt;="&amp;DATE($I$2,L$4,L$5))</f>
        <v/>
      </c>
      <c r="M118" s="321">
        <f>SUMIFS(DATA!$I:$I,DATA!$C:$C,$B118,DATA!$J:$J,"&gt;="&amp;DATE($I$2,M$4,1),DATA!$J:$J,"&lt;="&amp;DATE($I$2,M$4,M$5))</f>
        <v/>
      </c>
      <c r="N118" s="321">
        <f>SUMIFS(DATA!$I:$I,DATA!$C:$C,$B118,DATA!$J:$J,"&gt;="&amp;DATE($I$2,N$4,1),DATA!$J:$J,"&lt;="&amp;DATE($I$2,N$4,N$5))</f>
        <v/>
      </c>
      <c r="O118" s="321">
        <f>SUMIFS(DATA!$I:$I,DATA!$C:$C,$B118,DATA!$J:$J,"&gt;="&amp;DATE($I$2,O$4,1),DATA!$J:$J,"&lt;="&amp;DATE($I$2,O$4,O$5))</f>
        <v/>
      </c>
      <c r="P118" s="322">
        <f>SUM(D118:O118)</f>
        <v/>
      </c>
      <c r="Q118" s="118" t="n"/>
    </row>
    <row r="119" hidden="1" outlineLevel="1" ht="15" customHeight="1">
      <c r="A119" s="266" t="n"/>
      <c r="B119" s="266" t="n"/>
      <c r="C119" s="119" t="inlineStr">
        <is>
          <t>Thực tế</t>
        </is>
      </c>
      <c r="D119" s="321">
        <f>SUMIFS(DATA!$M:$M,DATA!$C:$C,$B118,DATA!$N:$N,"&gt;="&amp;DATE($I$2,D$4,1),DATA!$N:$N,"&lt;="&amp;DATE($I$2,D$4,D$5))</f>
        <v/>
      </c>
      <c r="E119" s="321">
        <f>SUMIFS(DATA!$M:$M,DATA!$C:$C,$B118,DATA!$N:$N,"&gt;="&amp;DATE($I$2,E$4,1),DATA!$N:$N,"&lt;="&amp;DATE($I$2,E$4,E$5))</f>
        <v/>
      </c>
      <c r="F119" s="321">
        <f>SUMIFS(DATA!$M:$M,DATA!$C:$C,$B118,DATA!$N:$N,"&gt;="&amp;DATE($I$2,F$4,1),DATA!$N:$N,"&lt;="&amp;DATE($I$2,F$4,F$5))</f>
        <v/>
      </c>
      <c r="G119" s="321">
        <f>SUMIFS(DATA!$M:$M,DATA!$C:$C,$B118,DATA!$N:$N,"&gt;="&amp;DATE($I$2,G$4,1),DATA!$N:$N,"&lt;="&amp;DATE($I$2,G$4,G$5))</f>
        <v/>
      </c>
      <c r="H119" s="321">
        <f>SUMIFS(DATA!$M:$M,DATA!$C:$C,$B118,DATA!$N:$N,"&gt;="&amp;DATE($I$2,H$4,1),DATA!$N:$N,"&lt;="&amp;DATE($I$2,H$4,H$5))</f>
        <v/>
      </c>
      <c r="I119" s="321">
        <f>SUMIFS(DATA!$M:$M,DATA!$C:$C,$B118,DATA!$N:$N,"&gt;="&amp;DATE($I$2,I$4,1),DATA!$N:$N,"&lt;="&amp;DATE($I$2,I$4,I$5))</f>
        <v/>
      </c>
      <c r="J119" s="321">
        <f>SUMIFS(DATA!$M:$M,DATA!$C:$C,$B118,DATA!$N:$N,"&gt;="&amp;DATE($I$2,J$4,1),DATA!$N:$N,"&lt;="&amp;DATE($I$2,J$4,J$5))</f>
        <v/>
      </c>
      <c r="K119" s="321">
        <f>SUMIFS(DATA!$M:$M,DATA!$C:$C,$B118,DATA!$N:$N,"&gt;="&amp;DATE($I$2,K$4,1),DATA!$N:$N,"&lt;="&amp;DATE($I$2,K$4,K$5))</f>
        <v/>
      </c>
      <c r="L119" s="321">
        <f>SUMIFS(DATA!$M:$M,DATA!$C:$C,$B118,DATA!$N:$N,"&gt;="&amp;DATE($I$2,L$4,1),DATA!$N:$N,"&lt;="&amp;DATE($I$2,L$4,L$5))</f>
        <v/>
      </c>
      <c r="M119" s="321">
        <f>SUMIFS(DATA!$M:$M,DATA!$C:$C,$B118,DATA!$N:$N,"&gt;="&amp;DATE($I$2,M$4,1),DATA!$N:$N,"&lt;="&amp;DATE($I$2,M$4,M$5))</f>
        <v/>
      </c>
      <c r="N119" s="321">
        <f>SUMIFS(DATA!$M:$M,DATA!$C:$C,$B118,DATA!$N:$N,"&gt;="&amp;DATE($I$2,N$4,1),DATA!$N:$N,"&lt;="&amp;DATE($I$2,N$4,N$5))</f>
        <v/>
      </c>
      <c r="O119" s="321">
        <f>SUMIFS(DATA!$M:$M,DATA!$C:$C,$B118,DATA!$N:$N,"&gt;="&amp;DATE($I$2,O$4,1),DATA!$N:$N,"&lt;="&amp;DATE($I$2,O$4,O$5))</f>
        <v/>
      </c>
      <c r="P119" s="322">
        <f>SUM(D119:O119)</f>
        <v/>
      </c>
      <c r="Q119" s="118" t="n"/>
    </row>
    <row r="120" hidden="1" outlineLevel="1" ht="15" customHeight="1">
      <c r="A120" s="269" t="n">
        <v>58</v>
      </c>
      <c r="B120" s="265" t="inlineStr">
        <is>
          <t>FSOFT - FVILLE 1</t>
        </is>
      </c>
      <c r="C120" s="119" t="inlineStr">
        <is>
          <t>Kế hoạch</t>
        </is>
      </c>
      <c r="D120" s="321">
        <f>SUMIFS(DATA!$I:$I,DATA!$C:$C,$B120,DATA!$J:$J,"&gt;="&amp;DATE($I$2,D$4,1),DATA!$J:$J,"&lt;="&amp;DATE($I$2,D$4,D$5))</f>
        <v/>
      </c>
      <c r="E120" s="321">
        <f>SUMIFS(DATA!$I:$I,DATA!$C:$C,$B120,DATA!$J:$J,"&gt;="&amp;DATE($I$2,E$4,1),DATA!$J:$J,"&lt;="&amp;DATE($I$2,E$4,E$5))</f>
        <v/>
      </c>
      <c r="F120" s="321">
        <f>SUMIFS(DATA!$I:$I,DATA!$C:$C,$B120,DATA!$J:$J,"&gt;="&amp;DATE($I$2,F$4,1),DATA!$J:$J,"&lt;="&amp;DATE($I$2,F$4,F$5))</f>
        <v/>
      </c>
      <c r="G120" s="321">
        <f>SUMIFS(DATA!$I:$I,DATA!$C:$C,$B120,DATA!$J:$J,"&gt;="&amp;DATE($I$2,G$4,1),DATA!$J:$J,"&lt;="&amp;DATE($I$2,G$4,G$5))</f>
        <v/>
      </c>
      <c r="H120" s="321">
        <f>SUMIFS(DATA!$I:$I,DATA!$C:$C,$B120,DATA!$J:$J,"&gt;="&amp;DATE($I$2,H$4,1),DATA!$J:$J,"&lt;="&amp;DATE($I$2,H$4,H$5))</f>
        <v/>
      </c>
      <c r="I120" s="321">
        <f>SUMIFS(DATA!$I:$I,DATA!$C:$C,$B120,DATA!$J:$J,"&gt;="&amp;DATE($I$2,I$4,1),DATA!$J:$J,"&lt;="&amp;DATE($I$2,I$4,I$5))</f>
        <v/>
      </c>
      <c r="J120" s="321">
        <f>SUMIFS(DATA!$I:$I,DATA!$C:$C,$B120,DATA!$J:$J,"&gt;="&amp;DATE($I$2,J$4,1),DATA!$J:$J,"&lt;="&amp;DATE($I$2,J$4,J$5))</f>
        <v/>
      </c>
      <c r="K120" s="321">
        <f>SUMIFS(DATA!$I:$I,DATA!$C:$C,$B120,DATA!$J:$J,"&gt;="&amp;DATE($I$2,K$4,1),DATA!$J:$J,"&lt;="&amp;DATE($I$2,K$4,K$5))</f>
        <v/>
      </c>
      <c r="L120" s="321">
        <f>SUMIFS(DATA!$I:$I,DATA!$C:$C,$B120,DATA!$J:$J,"&gt;="&amp;DATE($I$2,L$4,1),DATA!$J:$J,"&lt;="&amp;DATE($I$2,L$4,L$5))</f>
        <v/>
      </c>
      <c r="M120" s="321">
        <f>SUMIFS(DATA!$I:$I,DATA!$C:$C,$B120,DATA!$J:$J,"&gt;="&amp;DATE($I$2,M$4,1),DATA!$J:$J,"&lt;="&amp;DATE($I$2,M$4,M$5))</f>
        <v/>
      </c>
      <c r="N120" s="321">
        <f>SUMIFS(DATA!$I:$I,DATA!$C:$C,$B120,DATA!$J:$J,"&gt;="&amp;DATE($I$2,N$4,1),DATA!$J:$J,"&lt;="&amp;DATE($I$2,N$4,N$5))</f>
        <v/>
      </c>
      <c r="O120" s="321">
        <f>SUMIFS(DATA!$I:$I,DATA!$C:$C,$B120,DATA!$J:$J,"&gt;="&amp;DATE($I$2,O$4,1),DATA!$J:$J,"&lt;="&amp;DATE($I$2,O$4,O$5))</f>
        <v/>
      </c>
      <c r="P120" s="322">
        <f>SUM(D120:O120)</f>
        <v/>
      </c>
      <c r="Q120" s="118" t="n"/>
    </row>
    <row r="121" hidden="1" outlineLevel="1" ht="15" customHeight="1">
      <c r="A121" s="266" t="n"/>
      <c r="B121" s="266" t="n"/>
      <c r="C121" s="119" t="inlineStr">
        <is>
          <t>Thực tế</t>
        </is>
      </c>
      <c r="D121" s="321">
        <f>SUMIFS(DATA!$M:$M,DATA!$C:$C,$B120,DATA!$N:$N,"&gt;="&amp;DATE($I$2,D$4,1),DATA!$N:$N,"&lt;="&amp;DATE($I$2,D$4,D$5))</f>
        <v/>
      </c>
      <c r="E121" s="321">
        <f>SUMIFS(DATA!$M:$M,DATA!$C:$C,$B120,DATA!$N:$N,"&gt;="&amp;DATE($I$2,E$4,1),DATA!$N:$N,"&lt;="&amp;DATE($I$2,E$4,E$5))</f>
        <v/>
      </c>
      <c r="F121" s="321">
        <f>SUMIFS(DATA!$M:$M,DATA!$C:$C,$B120,DATA!$N:$N,"&gt;="&amp;DATE($I$2,F$4,1),DATA!$N:$N,"&lt;="&amp;DATE($I$2,F$4,F$5))</f>
        <v/>
      </c>
      <c r="G121" s="321">
        <f>SUMIFS(DATA!$M:$M,DATA!$C:$C,$B120,DATA!$N:$N,"&gt;="&amp;DATE($I$2,G$4,1),DATA!$N:$N,"&lt;="&amp;DATE($I$2,G$4,G$5))</f>
        <v/>
      </c>
      <c r="H121" s="321">
        <f>SUMIFS(DATA!$M:$M,DATA!$C:$C,$B120,DATA!$N:$N,"&gt;="&amp;DATE($I$2,H$4,1),DATA!$N:$N,"&lt;="&amp;DATE($I$2,H$4,H$5))</f>
        <v/>
      </c>
      <c r="I121" s="321">
        <f>SUMIFS(DATA!$M:$M,DATA!$C:$C,$B120,DATA!$N:$N,"&gt;="&amp;DATE($I$2,I$4,1),DATA!$N:$N,"&lt;="&amp;DATE($I$2,I$4,I$5))</f>
        <v/>
      </c>
      <c r="J121" s="321">
        <f>SUMIFS(DATA!$M:$M,DATA!$C:$C,$B120,DATA!$N:$N,"&gt;="&amp;DATE($I$2,J$4,1),DATA!$N:$N,"&lt;="&amp;DATE($I$2,J$4,J$5))</f>
        <v/>
      </c>
      <c r="K121" s="321">
        <f>SUMIFS(DATA!$M:$M,DATA!$C:$C,$B120,DATA!$N:$N,"&gt;="&amp;DATE($I$2,K$4,1),DATA!$N:$N,"&lt;="&amp;DATE($I$2,K$4,K$5))</f>
        <v/>
      </c>
      <c r="L121" s="321">
        <f>SUMIFS(DATA!$M:$M,DATA!$C:$C,$B120,DATA!$N:$N,"&gt;="&amp;DATE($I$2,L$4,1),DATA!$N:$N,"&lt;="&amp;DATE($I$2,L$4,L$5))</f>
        <v/>
      </c>
      <c r="M121" s="321">
        <f>SUMIFS(DATA!$M:$M,DATA!$C:$C,$B120,DATA!$N:$N,"&gt;="&amp;DATE($I$2,M$4,1),DATA!$N:$N,"&lt;="&amp;DATE($I$2,M$4,M$5))</f>
        <v/>
      </c>
      <c r="N121" s="321">
        <f>SUMIFS(DATA!$M:$M,DATA!$C:$C,$B120,DATA!$N:$N,"&gt;="&amp;DATE($I$2,N$4,1),DATA!$N:$N,"&lt;="&amp;DATE($I$2,N$4,N$5))</f>
        <v/>
      </c>
      <c r="O121" s="321">
        <f>SUMIFS(DATA!$M:$M,DATA!$C:$C,$B120,DATA!$N:$N,"&gt;="&amp;DATE($I$2,O$4,1),DATA!$N:$N,"&lt;="&amp;DATE($I$2,O$4,O$5))</f>
        <v/>
      </c>
      <c r="P121" s="322">
        <f>SUM(D121:O121)</f>
        <v/>
      </c>
      <c r="Q121" s="118" t="n"/>
    </row>
    <row r="122" hidden="1" outlineLevel="1" ht="15" customHeight="1">
      <c r="A122" s="269" t="n">
        <v>59</v>
      </c>
      <c r="B122" s="265" t="inlineStr">
        <is>
          <t>Ban Quản Trị và Chủ đầu tư của tòa nhà Hoàng Cầu Skyline</t>
        </is>
      </c>
      <c r="C122" s="119" t="inlineStr">
        <is>
          <t>Kế hoạch</t>
        </is>
      </c>
      <c r="D122" s="321">
        <f>SUMIFS(DATA!$I:$I,DATA!$C:$C,$B122,DATA!$J:$J,"&gt;="&amp;DATE($I$2,D$4,1),DATA!$J:$J,"&lt;="&amp;DATE($I$2,D$4,D$5))</f>
        <v/>
      </c>
      <c r="E122" s="321">
        <f>SUMIFS(DATA!$I:$I,DATA!$C:$C,$B122,DATA!$J:$J,"&gt;="&amp;DATE($I$2,E$4,1),DATA!$J:$J,"&lt;="&amp;DATE($I$2,E$4,E$5))</f>
        <v/>
      </c>
      <c r="F122" s="321">
        <f>SUMIFS(DATA!$I:$I,DATA!$C:$C,$B122,DATA!$J:$J,"&gt;="&amp;DATE($I$2,F$4,1),DATA!$J:$J,"&lt;="&amp;DATE($I$2,F$4,F$5))</f>
        <v/>
      </c>
      <c r="G122" s="321">
        <f>SUMIFS(DATA!$I:$I,DATA!$C:$C,$B122,DATA!$J:$J,"&gt;="&amp;DATE($I$2,G$4,1),DATA!$J:$J,"&lt;="&amp;DATE($I$2,G$4,G$5))</f>
        <v/>
      </c>
      <c r="H122" s="321">
        <f>SUMIFS(DATA!$I:$I,DATA!$C:$C,$B122,DATA!$J:$J,"&gt;="&amp;DATE($I$2,H$4,1),DATA!$J:$J,"&lt;="&amp;DATE($I$2,H$4,H$5))</f>
        <v/>
      </c>
      <c r="I122" s="321">
        <f>SUMIFS(DATA!$I:$I,DATA!$C:$C,$B122,DATA!$J:$J,"&gt;="&amp;DATE($I$2,I$4,1),DATA!$J:$J,"&lt;="&amp;DATE($I$2,I$4,I$5))</f>
        <v/>
      </c>
      <c r="J122" s="321">
        <f>SUMIFS(DATA!$I:$I,DATA!$C:$C,$B122,DATA!$J:$J,"&gt;="&amp;DATE($I$2,J$4,1),DATA!$J:$J,"&lt;="&amp;DATE($I$2,J$4,J$5))</f>
        <v/>
      </c>
      <c r="K122" s="321">
        <f>SUMIFS(DATA!$I:$I,DATA!$C:$C,$B122,DATA!$J:$J,"&gt;="&amp;DATE($I$2,K$4,1),DATA!$J:$J,"&lt;="&amp;DATE($I$2,K$4,K$5))</f>
        <v/>
      </c>
      <c r="L122" s="321">
        <f>SUMIFS(DATA!$I:$I,DATA!$C:$C,$B122,DATA!$J:$J,"&gt;="&amp;DATE($I$2,L$4,1),DATA!$J:$J,"&lt;="&amp;DATE($I$2,L$4,L$5))</f>
        <v/>
      </c>
      <c r="M122" s="321">
        <f>SUMIFS(DATA!$I:$I,DATA!$C:$C,$B122,DATA!$J:$J,"&gt;="&amp;DATE($I$2,M$4,1),DATA!$J:$J,"&lt;="&amp;DATE($I$2,M$4,M$5))</f>
        <v/>
      </c>
      <c r="N122" s="321">
        <f>SUMIFS(DATA!$I:$I,DATA!$C:$C,$B122,DATA!$J:$J,"&gt;="&amp;DATE($I$2,N$4,1),DATA!$J:$J,"&lt;="&amp;DATE($I$2,N$4,N$5))</f>
        <v/>
      </c>
      <c r="O122" s="321">
        <f>SUMIFS(DATA!$I:$I,DATA!$C:$C,$B122,DATA!$J:$J,"&gt;="&amp;DATE($I$2,O$4,1),DATA!$J:$J,"&lt;="&amp;DATE($I$2,O$4,O$5))</f>
        <v/>
      </c>
      <c r="P122" s="322">
        <f>SUM(D122:O122)</f>
        <v/>
      </c>
      <c r="Q122" s="118" t="n"/>
    </row>
    <row r="123" hidden="1" outlineLevel="1" ht="15" customHeight="1">
      <c r="A123" s="266" t="n"/>
      <c r="B123" s="266" t="n"/>
      <c r="C123" s="119" t="inlineStr">
        <is>
          <t>Thực tế</t>
        </is>
      </c>
      <c r="D123" s="321">
        <f>SUMIFS(DATA!$M:$M,DATA!$C:$C,$B122,DATA!$N:$N,"&gt;="&amp;DATE($I$2,D$4,1),DATA!$N:$N,"&lt;="&amp;DATE($I$2,D$4,D$5))</f>
        <v/>
      </c>
      <c r="E123" s="321">
        <f>SUMIFS(DATA!$M:$M,DATA!$C:$C,$B122,DATA!$N:$N,"&gt;="&amp;DATE($I$2,E$4,1),DATA!$N:$N,"&lt;="&amp;DATE($I$2,E$4,E$5))</f>
        <v/>
      </c>
      <c r="F123" s="321">
        <f>SUMIFS(DATA!$M:$M,DATA!$C:$C,$B122,DATA!$N:$N,"&gt;="&amp;DATE($I$2,F$4,1),DATA!$N:$N,"&lt;="&amp;DATE($I$2,F$4,F$5))</f>
        <v/>
      </c>
      <c r="G123" s="321">
        <f>SUMIFS(DATA!$M:$M,DATA!$C:$C,$B122,DATA!$N:$N,"&gt;="&amp;DATE($I$2,G$4,1),DATA!$N:$N,"&lt;="&amp;DATE($I$2,G$4,G$5))</f>
        <v/>
      </c>
      <c r="H123" s="321">
        <f>SUMIFS(DATA!$M:$M,DATA!$C:$C,$B122,DATA!$N:$N,"&gt;="&amp;DATE($I$2,H$4,1),DATA!$N:$N,"&lt;="&amp;DATE($I$2,H$4,H$5))</f>
        <v/>
      </c>
      <c r="I123" s="321">
        <f>SUMIFS(DATA!$M:$M,DATA!$C:$C,$B122,DATA!$N:$N,"&gt;="&amp;DATE($I$2,I$4,1),DATA!$N:$N,"&lt;="&amp;DATE($I$2,I$4,I$5))</f>
        <v/>
      </c>
      <c r="J123" s="321">
        <f>SUMIFS(DATA!$M:$M,DATA!$C:$C,$B122,DATA!$N:$N,"&gt;="&amp;DATE($I$2,J$4,1),DATA!$N:$N,"&lt;="&amp;DATE($I$2,J$4,J$5))</f>
        <v/>
      </c>
      <c r="K123" s="321">
        <f>SUMIFS(DATA!$M:$M,DATA!$C:$C,$B122,DATA!$N:$N,"&gt;="&amp;DATE($I$2,K$4,1),DATA!$N:$N,"&lt;="&amp;DATE($I$2,K$4,K$5))</f>
        <v/>
      </c>
      <c r="L123" s="321">
        <f>SUMIFS(DATA!$M:$M,DATA!$C:$C,$B122,DATA!$N:$N,"&gt;="&amp;DATE($I$2,L$4,1),DATA!$N:$N,"&lt;="&amp;DATE($I$2,L$4,L$5))</f>
        <v/>
      </c>
      <c r="M123" s="321">
        <f>SUMIFS(DATA!$M:$M,DATA!$C:$C,$B122,DATA!$N:$N,"&gt;="&amp;DATE($I$2,M$4,1),DATA!$N:$N,"&lt;="&amp;DATE($I$2,M$4,M$5))</f>
        <v/>
      </c>
      <c r="N123" s="321">
        <f>SUMIFS(DATA!$M:$M,DATA!$C:$C,$B122,DATA!$N:$N,"&gt;="&amp;DATE($I$2,N$4,1),DATA!$N:$N,"&lt;="&amp;DATE($I$2,N$4,N$5))</f>
        <v/>
      </c>
      <c r="O123" s="321">
        <f>SUMIFS(DATA!$M:$M,DATA!$C:$C,$B122,DATA!$N:$N,"&gt;="&amp;DATE($I$2,O$4,1),DATA!$N:$N,"&lt;="&amp;DATE($I$2,O$4,O$5))</f>
        <v/>
      </c>
      <c r="P123" s="322">
        <f>SUM(D123:O123)</f>
        <v/>
      </c>
      <c r="Q123" s="118" t="n"/>
    </row>
    <row r="124" hidden="1" outlineLevel="1" ht="15" customHeight="1">
      <c r="A124" s="269" t="n">
        <v>60</v>
      </c>
      <c r="B124" s="265" t="inlineStr">
        <is>
          <t>TRƯỜNG ĐẠI HỌC FPT</t>
        </is>
      </c>
      <c r="C124" s="119" t="inlineStr">
        <is>
          <t>Kế hoạch</t>
        </is>
      </c>
      <c r="D124" s="321">
        <f>SUMIFS(DATA!$I:$I,DATA!$C:$C,$B124,DATA!$J:$J,"&gt;="&amp;DATE($I$2,D$4,1),DATA!$J:$J,"&lt;="&amp;DATE($I$2,D$4,D$5))</f>
        <v/>
      </c>
      <c r="E124" s="321">
        <f>SUMIFS(DATA!$I:$I,DATA!$C:$C,$B124,DATA!$J:$J,"&gt;="&amp;DATE($I$2,E$4,1),DATA!$J:$J,"&lt;="&amp;DATE($I$2,E$4,E$5))</f>
        <v/>
      </c>
      <c r="F124" s="321">
        <f>SUMIFS(DATA!$I:$I,DATA!$C:$C,$B124,DATA!$J:$J,"&gt;="&amp;DATE($I$2,F$4,1),DATA!$J:$J,"&lt;="&amp;DATE($I$2,F$4,F$5))</f>
        <v/>
      </c>
      <c r="G124" s="321">
        <f>SUMIFS(DATA!$I:$I,DATA!$C:$C,$B124,DATA!$J:$J,"&gt;="&amp;DATE($I$2,G$4,1),DATA!$J:$J,"&lt;="&amp;DATE($I$2,G$4,G$5))</f>
        <v/>
      </c>
      <c r="H124" s="321">
        <f>SUMIFS(DATA!$I:$I,DATA!$C:$C,$B124,DATA!$J:$J,"&gt;="&amp;DATE($I$2,H$4,1),DATA!$J:$J,"&lt;="&amp;DATE($I$2,H$4,H$5))</f>
        <v/>
      </c>
      <c r="I124" s="321">
        <f>SUMIFS(DATA!$I:$I,DATA!$C:$C,$B124,DATA!$J:$J,"&gt;="&amp;DATE($I$2,I$4,1),DATA!$J:$J,"&lt;="&amp;DATE($I$2,I$4,I$5))</f>
        <v/>
      </c>
      <c r="J124" s="321">
        <f>SUMIFS(DATA!$I:$I,DATA!$C:$C,$B124,DATA!$J:$J,"&gt;="&amp;DATE($I$2,J$4,1),DATA!$J:$J,"&lt;="&amp;DATE($I$2,J$4,J$5))</f>
        <v/>
      </c>
      <c r="K124" s="321">
        <f>SUMIFS(DATA!$I:$I,DATA!$C:$C,$B124,DATA!$J:$J,"&gt;="&amp;DATE($I$2,K$4,1),DATA!$J:$J,"&lt;="&amp;DATE($I$2,K$4,K$5))</f>
        <v/>
      </c>
      <c r="L124" s="321">
        <f>SUMIFS(DATA!$I:$I,DATA!$C:$C,$B124,DATA!$J:$J,"&gt;="&amp;DATE($I$2,L$4,1),DATA!$J:$J,"&lt;="&amp;DATE($I$2,L$4,L$5))</f>
        <v/>
      </c>
      <c r="M124" s="321">
        <f>SUMIFS(DATA!$I:$I,DATA!$C:$C,$B124,DATA!$J:$J,"&gt;="&amp;DATE($I$2,M$4,1),DATA!$J:$J,"&lt;="&amp;DATE($I$2,M$4,M$5))</f>
        <v/>
      </c>
      <c r="N124" s="321">
        <f>SUMIFS(DATA!$I:$I,DATA!$C:$C,$B124,DATA!$J:$J,"&gt;="&amp;DATE($I$2,N$4,1),DATA!$J:$J,"&lt;="&amp;DATE($I$2,N$4,N$5))</f>
        <v/>
      </c>
      <c r="O124" s="321">
        <f>SUMIFS(DATA!$I:$I,DATA!$C:$C,$B124,DATA!$J:$J,"&gt;="&amp;DATE($I$2,O$4,1),DATA!$J:$J,"&lt;="&amp;DATE($I$2,O$4,O$5))</f>
        <v/>
      </c>
      <c r="P124" s="322">
        <f>SUM(D124:O124)</f>
        <v/>
      </c>
      <c r="Q124" s="118" t="n"/>
    </row>
    <row r="125" hidden="1" outlineLevel="1" ht="15" customHeight="1">
      <c r="A125" s="266" t="n"/>
      <c r="B125" s="266" t="n"/>
      <c r="C125" s="119" t="inlineStr">
        <is>
          <t>Thực tế</t>
        </is>
      </c>
      <c r="D125" s="321">
        <f>SUMIFS(DATA!$M:$M,DATA!$C:$C,$B124,DATA!$N:$N,"&gt;="&amp;DATE($I$2,D$4,1),DATA!$N:$N,"&lt;="&amp;DATE($I$2,D$4,D$5))</f>
        <v/>
      </c>
      <c r="E125" s="321">
        <f>SUMIFS(DATA!$M:$M,DATA!$C:$C,$B124,DATA!$N:$N,"&gt;="&amp;DATE($I$2,E$4,1),DATA!$N:$N,"&lt;="&amp;DATE($I$2,E$4,E$5))</f>
        <v/>
      </c>
      <c r="F125" s="321">
        <f>SUMIFS(DATA!$M:$M,DATA!$C:$C,$B124,DATA!$N:$N,"&gt;="&amp;DATE($I$2,F$4,1),DATA!$N:$N,"&lt;="&amp;DATE($I$2,F$4,F$5))</f>
        <v/>
      </c>
      <c r="G125" s="321">
        <f>SUMIFS(DATA!$M:$M,DATA!$C:$C,$B124,DATA!$N:$N,"&gt;="&amp;DATE($I$2,G$4,1),DATA!$N:$N,"&lt;="&amp;DATE($I$2,G$4,G$5))</f>
        <v/>
      </c>
      <c r="H125" s="321">
        <f>SUMIFS(DATA!$M:$M,DATA!$C:$C,$B124,DATA!$N:$N,"&gt;="&amp;DATE($I$2,H$4,1),DATA!$N:$N,"&lt;="&amp;DATE($I$2,H$4,H$5))</f>
        <v/>
      </c>
      <c r="I125" s="321">
        <f>SUMIFS(DATA!$M:$M,DATA!$C:$C,$B124,DATA!$N:$N,"&gt;="&amp;DATE($I$2,I$4,1),DATA!$N:$N,"&lt;="&amp;DATE($I$2,I$4,I$5))</f>
        <v/>
      </c>
      <c r="J125" s="321">
        <f>SUMIFS(DATA!$M:$M,DATA!$C:$C,$B124,DATA!$N:$N,"&gt;="&amp;DATE($I$2,J$4,1),DATA!$N:$N,"&lt;="&amp;DATE($I$2,J$4,J$5))</f>
        <v/>
      </c>
      <c r="K125" s="321">
        <f>SUMIFS(DATA!$M:$M,DATA!$C:$C,$B124,DATA!$N:$N,"&gt;="&amp;DATE($I$2,K$4,1),DATA!$N:$N,"&lt;="&amp;DATE($I$2,K$4,K$5))</f>
        <v/>
      </c>
      <c r="L125" s="321">
        <f>SUMIFS(DATA!$M:$M,DATA!$C:$C,$B124,DATA!$N:$N,"&gt;="&amp;DATE($I$2,L$4,1),DATA!$N:$N,"&lt;="&amp;DATE($I$2,L$4,L$5))</f>
        <v/>
      </c>
      <c r="M125" s="321">
        <f>SUMIFS(DATA!$M:$M,DATA!$C:$C,$B124,DATA!$N:$N,"&gt;="&amp;DATE($I$2,M$4,1),DATA!$N:$N,"&lt;="&amp;DATE($I$2,M$4,M$5))</f>
        <v/>
      </c>
      <c r="N125" s="321">
        <f>SUMIFS(DATA!$M:$M,DATA!$C:$C,$B124,DATA!$N:$N,"&gt;="&amp;DATE($I$2,N$4,1),DATA!$N:$N,"&lt;="&amp;DATE($I$2,N$4,N$5))</f>
        <v/>
      </c>
      <c r="O125" s="321">
        <f>SUMIFS(DATA!$M:$M,DATA!$C:$C,$B124,DATA!$N:$N,"&gt;="&amp;DATE($I$2,O$4,1),DATA!$N:$N,"&lt;="&amp;DATE($I$2,O$4,O$5))</f>
        <v/>
      </c>
      <c r="P125" s="322">
        <f>SUM(D125:O125)</f>
        <v/>
      </c>
      <c r="Q125" s="118" t="n"/>
    </row>
    <row r="126" hidden="1" outlineLevel="1" ht="15" customHeight="1">
      <c r="A126" s="269" t="n">
        <v>61</v>
      </c>
      <c r="B126" s="265" t="inlineStr">
        <is>
          <t>VNPT IDC - Internet Tower</t>
        </is>
      </c>
      <c r="C126" s="119" t="inlineStr">
        <is>
          <t>Kế hoạch</t>
        </is>
      </c>
      <c r="D126" s="321">
        <f>SUMIFS(DATA!$I:$I,DATA!$C:$C,$B126,DATA!$J:$J,"&gt;="&amp;DATE($I$2,D$4,1),DATA!$J:$J,"&lt;="&amp;DATE($I$2,D$4,D$5))</f>
        <v/>
      </c>
      <c r="E126" s="321">
        <f>SUMIFS(DATA!$I:$I,DATA!$C:$C,$B126,DATA!$J:$J,"&gt;="&amp;DATE($I$2,E$4,1),DATA!$J:$J,"&lt;="&amp;DATE($I$2,E$4,E$5))</f>
        <v/>
      </c>
      <c r="F126" s="321">
        <f>SUMIFS(DATA!$I:$I,DATA!$C:$C,$B126,DATA!$J:$J,"&gt;="&amp;DATE($I$2,F$4,1),DATA!$J:$J,"&lt;="&amp;DATE($I$2,F$4,F$5))</f>
        <v/>
      </c>
      <c r="G126" s="321">
        <f>SUMIFS(DATA!$I:$I,DATA!$C:$C,$B126,DATA!$J:$J,"&gt;="&amp;DATE($I$2,G$4,1),DATA!$J:$J,"&lt;="&amp;DATE($I$2,G$4,G$5))</f>
        <v/>
      </c>
      <c r="H126" s="321">
        <f>SUMIFS(DATA!$I:$I,DATA!$C:$C,$B126,DATA!$J:$J,"&gt;="&amp;DATE($I$2,H$4,1),DATA!$J:$J,"&lt;="&amp;DATE($I$2,H$4,H$5))</f>
        <v/>
      </c>
      <c r="I126" s="321">
        <f>SUMIFS(DATA!$I:$I,DATA!$C:$C,$B126,DATA!$J:$J,"&gt;="&amp;DATE($I$2,I$4,1),DATA!$J:$J,"&lt;="&amp;DATE($I$2,I$4,I$5))</f>
        <v/>
      </c>
      <c r="J126" s="321">
        <f>SUMIFS(DATA!$I:$I,DATA!$C:$C,$B126,DATA!$J:$J,"&gt;="&amp;DATE($I$2,J$4,1),DATA!$J:$J,"&lt;="&amp;DATE($I$2,J$4,J$5))</f>
        <v/>
      </c>
      <c r="K126" s="321">
        <f>SUMIFS(DATA!$I:$I,DATA!$C:$C,$B126,DATA!$J:$J,"&gt;="&amp;DATE($I$2,K$4,1),DATA!$J:$J,"&lt;="&amp;DATE($I$2,K$4,K$5))</f>
        <v/>
      </c>
      <c r="L126" s="321">
        <f>SUMIFS(DATA!$I:$I,DATA!$C:$C,$B126,DATA!$J:$J,"&gt;="&amp;DATE($I$2,L$4,1),DATA!$J:$J,"&lt;="&amp;DATE($I$2,L$4,L$5))</f>
        <v/>
      </c>
      <c r="M126" s="321">
        <f>SUMIFS(DATA!$I:$I,DATA!$C:$C,$B126,DATA!$J:$J,"&gt;="&amp;DATE($I$2,M$4,1),DATA!$J:$J,"&lt;="&amp;DATE($I$2,M$4,M$5))</f>
        <v/>
      </c>
      <c r="N126" s="321">
        <f>SUMIFS(DATA!$I:$I,DATA!$C:$C,$B126,DATA!$J:$J,"&gt;="&amp;DATE($I$2,N$4,1),DATA!$J:$J,"&lt;="&amp;DATE($I$2,N$4,N$5))</f>
        <v/>
      </c>
      <c r="O126" s="321">
        <f>SUMIFS(DATA!$I:$I,DATA!$C:$C,$B126,DATA!$J:$J,"&gt;="&amp;DATE($I$2,O$4,1),DATA!$J:$J,"&lt;="&amp;DATE($I$2,O$4,O$5))</f>
        <v/>
      </c>
      <c r="P126" s="322">
        <f>SUM(D126:O126)</f>
        <v/>
      </c>
      <c r="Q126" s="118" t="n"/>
    </row>
    <row r="127" hidden="1" outlineLevel="1" ht="15" customHeight="1">
      <c r="A127" s="266" t="n"/>
      <c r="B127" s="266" t="n"/>
      <c r="C127" s="119" t="inlineStr">
        <is>
          <t>Thực tế</t>
        </is>
      </c>
      <c r="D127" s="321">
        <f>SUMIFS(DATA!$M:$M,DATA!$C:$C,$B126,DATA!$N:$N,"&gt;="&amp;DATE($I$2,D$4,1),DATA!$N:$N,"&lt;="&amp;DATE($I$2,D$4,D$5))</f>
        <v/>
      </c>
      <c r="E127" s="321">
        <f>SUMIFS(DATA!$M:$M,DATA!$C:$C,$B126,DATA!$N:$N,"&gt;="&amp;DATE($I$2,E$4,1),DATA!$N:$N,"&lt;="&amp;DATE($I$2,E$4,E$5))</f>
        <v/>
      </c>
      <c r="F127" s="321">
        <f>SUMIFS(DATA!$M:$M,DATA!$C:$C,$B126,DATA!$N:$N,"&gt;="&amp;DATE($I$2,F$4,1),DATA!$N:$N,"&lt;="&amp;DATE($I$2,F$4,F$5))</f>
        <v/>
      </c>
      <c r="G127" s="321">
        <f>SUMIFS(DATA!$M:$M,DATA!$C:$C,$B126,DATA!$N:$N,"&gt;="&amp;DATE($I$2,G$4,1),DATA!$N:$N,"&lt;="&amp;DATE($I$2,G$4,G$5))</f>
        <v/>
      </c>
      <c r="H127" s="321">
        <f>SUMIFS(DATA!$M:$M,DATA!$C:$C,$B126,DATA!$N:$N,"&gt;="&amp;DATE($I$2,H$4,1),DATA!$N:$N,"&lt;="&amp;DATE($I$2,H$4,H$5))</f>
        <v/>
      </c>
      <c r="I127" s="321">
        <f>SUMIFS(DATA!$M:$M,DATA!$C:$C,$B126,DATA!$N:$N,"&gt;="&amp;DATE($I$2,I$4,1),DATA!$N:$N,"&lt;="&amp;DATE($I$2,I$4,I$5))</f>
        <v/>
      </c>
      <c r="J127" s="321">
        <f>SUMIFS(DATA!$M:$M,DATA!$C:$C,$B126,DATA!$N:$N,"&gt;="&amp;DATE($I$2,J$4,1),DATA!$N:$N,"&lt;="&amp;DATE($I$2,J$4,J$5))</f>
        <v/>
      </c>
      <c r="K127" s="321">
        <f>SUMIFS(DATA!$M:$M,DATA!$C:$C,$B126,DATA!$N:$N,"&gt;="&amp;DATE($I$2,K$4,1),DATA!$N:$N,"&lt;="&amp;DATE($I$2,K$4,K$5))</f>
        <v/>
      </c>
      <c r="L127" s="321">
        <f>SUMIFS(DATA!$M:$M,DATA!$C:$C,$B126,DATA!$N:$N,"&gt;="&amp;DATE($I$2,L$4,1),DATA!$N:$N,"&lt;="&amp;DATE($I$2,L$4,L$5))</f>
        <v/>
      </c>
      <c r="M127" s="321">
        <f>SUMIFS(DATA!$M:$M,DATA!$C:$C,$B126,DATA!$N:$N,"&gt;="&amp;DATE($I$2,M$4,1),DATA!$N:$N,"&lt;="&amp;DATE($I$2,M$4,M$5))</f>
        <v/>
      </c>
      <c r="N127" s="321">
        <f>SUMIFS(DATA!$M:$M,DATA!$C:$C,$B126,DATA!$N:$N,"&gt;="&amp;DATE($I$2,N$4,1),DATA!$N:$N,"&lt;="&amp;DATE($I$2,N$4,N$5))</f>
        <v/>
      </c>
      <c r="O127" s="321">
        <f>SUMIFS(DATA!$M:$M,DATA!$C:$C,$B126,DATA!$N:$N,"&gt;="&amp;DATE($I$2,O$4,1),DATA!$N:$N,"&lt;="&amp;DATE($I$2,O$4,O$5))</f>
        <v/>
      </c>
      <c r="P127" s="322">
        <f>SUM(D127:O127)</f>
        <v/>
      </c>
      <c r="Q127" s="118" t="n"/>
    </row>
    <row r="128" hidden="1" outlineLevel="1" ht="15" customHeight="1">
      <c r="A128" s="269" t="n">
        <v>62</v>
      </c>
      <c r="B128" s="265" t="inlineStr">
        <is>
          <t>CHUNG CƯ 282 LĨNH NAM</t>
        </is>
      </c>
      <c r="C128" s="119" t="inlineStr">
        <is>
          <t>Kế hoạch</t>
        </is>
      </c>
      <c r="D128" s="321">
        <f>SUMIFS(DATA!$I:$I,DATA!$C:$C,$B128,DATA!$J:$J,"&gt;="&amp;DATE($I$2,D$4,1),DATA!$J:$J,"&lt;="&amp;DATE($I$2,D$4,D$5))</f>
        <v/>
      </c>
      <c r="E128" s="321">
        <f>SUMIFS(DATA!$I:$I,DATA!$C:$C,$B128,DATA!$J:$J,"&gt;="&amp;DATE($I$2,E$4,1),DATA!$J:$J,"&lt;="&amp;DATE($I$2,E$4,E$5))</f>
        <v/>
      </c>
      <c r="F128" s="321">
        <f>SUMIFS(DATA!$I:$I,DATA!$C:$C,$B128,DATA!$J:$J,"&gt;="&amp;DATE($I$2,F$4,1),DATA!$J:$J,"&lt;="&amp;DATE($I$2,F$4,F$5))</f>
        <v/>
      </c>
      <c r="G128" s="321">
        <f>SUMIFS(DATA!$I:$I,DATA!$C:$C,$B128,DATA!$J:$J,"&gt;="&amp;DATE($I$2,G$4,1),DATA!$J:$J,"&lt;="&amp;DATE($I$2,G$4,G$5))</f>
        <v/>
      </c>
      <c r="H128" s="321">
        <f>SUMIFS(DATA!$I:$I,DATA!$C:$C,$B128,DATA!$J:$J,"&gt;="&amp;DATE($I$2,H$4,1),DATA!$J:$J,"&lt;="&amp;DATE($I$2,H$4,H$5))</f>
        <v/>
      </c>
      <c r="I128" s="321">
        <f>SUMIFS(DATA!$I:$I,DATA!$C:$C,$B128,DATA!$J:$J,"&gt;="&amp;DATE($I$2,I$4,1),DATA!$J:$J,"&lt;="&amp;DATE($I$2,I$4,I$5))</f>
        <v/>
      </c>
      <c r="J128" s="321">
        <f>SUMIFS(DATA!$I:$I,DATA!$C:$C,$B128,DATA!$J:$J,"&gt;="&amp;DATE($I$2,J$4,1),DATA!$J:$J,"&lt;="&amp;DATE($I$2,J$4,J$5))</f>
        <v/>
      </c>
      <c r="K128" s="321">
        <f>SUMIFS(DATA!$I:$I,DATA!$C:$C,$B128,DATA!$J:$J,"&gt;="&amp;DATE($I$2,K$4,1),DATA!$J:$J,"&lt;="&amp;DATE($I$2,K$4,K$5))</f>
        <v/>
      </c>
      <c r="L128" s="321">
        <f>SUMIFS(DATA!$I:$I,DATA!$C:$C,$B128,DATA!$J:$J,"&gt;="&amp;DATE($I$2,L$4,1),DATA!$J:$J,"&lt;="&amp;DATE($I$2,L$4,L$5))</f>
        <v/>
      </c>
      <c r="M128" s="321">
        <f>SUMIFS(DATA!$I:$I,DATA!$C:$C,$B128,DATA!$J:$J,"&gt;="&amp;DATE($I$2,M$4,1),DATA!$J:$J,"&lt;="&amp;DATE($I$2,M$4,M$5))</f>
        <v/>
      </c>
      <c r="N128" s="321">
        <f>SUMIFS(DATA!$I:$I,DATA!$C:$C,$B128,DATA!$J:$J,"&gt;="&amp;DATE($I$2,N$4,1),DATA!$J:$J,"&lt;="&amp;DATE($I$2,N$4,N$5))</f>
        <v/>
      </c>
      <c r="O128" s="321">
        <f>SUMIFS(DATA!$I:$I,DATA!$C:$C,$B128,DATA!$J:$J,"&gt;="&amp;DATE($I$2,O$4,1),DATA!$J:$J,"&lt;="&amp;DATE($I$2,O$4,O$5))</f>
        <v/>
      </c>
      <c r="P128" s="322">
        <f>SUM(D128:O128)</f>
        <v/>
      </c>
      <c r="Q128" s="118" t="n"/>
    </row>
    <row r="129" hidden="1" outlineLevel="1" ht="15" customHeight="1">
      <c r="A129" s="266" t="n"/>
      <c r="B129" s="266" t="n"/>
      <c r="C129" s="119" t="inlineStr">
        <is>
          <t>Thực tế</t>
        </is>
      </c>
      <c r="D129" s="321">
        <f>SUMIFS(DATA!$M:$M,DATA!$C:$C,$B128,DATA!$N:$N,"&gt;="&amp;DATE($I$2,D$4,1),DATA!$N:$N,"&lt;="&amp;DATE($I$2,D$4,D$5))</f>
        <v/>
      </c>
      <c r="E129" s="321">
        <f>SUMIFS(DATA!$M:$M,DATA!$C:$C,$B128,DATA!$N:$N,"&gt;="&amp;DATE($I$2,E$4,1),DATA!$N:$N,"&lt;="&amp;DATE($I$2,E$4,E$5))</f>
        <v/>
      </c>
      <c r="F129" s="321">
        <f>SUMIFS(DATA!$M:$M,DATA!$C:$C,$B128,DATA!$N:$N,"&gt;="&amp;DATE($I$2,F$4,1),DATA!$N:$N,"&lt;="&amp;DATE($I$2,F$4,F$5))</f>
        <v/>
      </c>
      <c r="G129" s="321">
        <f>SUMIFS(DATA!$M:$M,DATA!$C:$C,$B128,DATA!$N:$N,"&gt;="&amp;DATE($I$2,G$4,1),DATA!$N:$N,"&lt;="&amp;DATE($I$2,G$4,G$5))</f>
        <v/>
      </c>
      <c r="H129" s="321">
        <f>SUMIFS(DATA!$M:$M,DATA!$C:$C,$B128,DATA!$N:$N,"&gt;="&amp;DATE($I$2,H$4,1),DATA!$N:$N,"&lt;="&amp;DATE($I$2,H$4,H$5))</f>
        <v/>
      </c>
      <c r="I129" s="321">
        <f>SUMIFS(DATA!$M:$M,DATA!$C:$C,$B128,DATA!$N:$N,"&gt;="&amp;DATE($I$2,I$4,1),DATA!$N:$N,"&lt;="&amp;DATE($I$2,I$4,I$5))</f>
        <v/>
      </c>
      <c r="J129" s="321">
        <f>SUMIFS(DATA!$M:$M,DATA!$C:$C,$B128,DATA!$N:$N,"&gt;="&amp;DATE($I$2,J$4,1),DATA!$N:$N,"&lt;="&amp;DATE($I$2,J$4,J$5))</f>
        <v/>
      </c>
      <c r="K129" s="321">
        <f>SUMIFS(DATA!$M:$M,DATA!$C:$C,$B128,DATA!$N:$N,"&gt;="&amp;DATE($I$2,K$4,1),DATA!$N:$N,"&lt;="&amp;DATE($I$2,K$4,K$5))</f>
        <v/>
      </c>
      <c r="L129" s="321">
        <f>SUMIFS(DATA!$M:$M,DATA!$C:$C,$B128,DATA!$N:$N,"&gt;="&amp;DATE($I$2,L$4,1),DATA!$N:$N,"&lt;="&amp;DATE($I$2,L$4,L$5))</f>
        <v/>
      </c>
      <c r="M129" s="321">
        <f>SUMIFS(DATA!$M:$M,DATA!$C:$C,$B128,DATA!$N:$N,"&gt;="&amp;DATE($I$2,M$4,1),DATA!$N:$N,"&lt;="&amp;DATE($I$2,M$4,M$5))</f>
        <v/>
      </c>
      <c r="N129" s="321">
        <f>SUMIFS(DATA!$M:$M,DATA!$C:$C,$B128,DATA!$N:$N,"&gt;="&amp;DATE($I$2,N$4,1),DATA!$N:$N,"&lt;="&amp;DATE($I$2,N$4,N$5))</f>
        <v/>
      </c>
      <c r="O129" s="321">
        <f>SUMIFS(DATA!$M:$M,DATA!$C:$C,$B128,DATA!$N:$N,"&gt;="&amp;DATE($I$2,O$4,1),DATA!$N:$N,"&lt;="&amp;DATE($I$2,O$4,O$5))</f>
        <v/>
      </c>
      <c r="P129" s="322">
        <f>SUM(D129:O129)</f>
        <v/>
      </c>
      <c r="Q129" s="118" t="n"/>
    </row>
    <row r="130" hidden="1" outlineLevel="1" ht="15" customHeight="1">
      <c r="A130" s="269" t="n">
        <v>63</v>
      </c>
      <c r="B130" s="265" t="inlineStr">
        <is>
          <t>HYUNDAI LÊ VĂN LƯƠNG</t>
        </is>
      </c>
      <c r="C130" s="119" t="inlineStr">
        <is>
          <t>Kế hoạch</t>
        </is>
      </c>
      <c r="D130" s="321">
        <f>SUMIFS(DATA!$I:$I,DATA!$C:$C,$B130,DATA!$J:$J,"&gt;="&amp;DATE($I$2,D$4,1),DATA!$J:$J,"&lt;="&amp;DATE($I$2,D$4,D$5))</f>
        <v/>
      </c>
      <c r="E130" s="321">
        <f>SUMIFS(DATA!$I:$I,DATA!$C:$C,$B130,DATA!$J:$J,"&gt;="&amp;DATE($I$2,E$4,1),DATA!$J:$J,"&lt;="&amp;DATE($I$2,E$4,E$5))</f>
        <v/>
      </c>
      <c r="F130" s="321">
        <f>SUMIFS(DATA!$I:$I,DATA!$C:$C,$B130,DATA!$J:$J,"&gt;="&amp;DATE($I$2,F$4,1),DATA!$J:$J,"&lt;="&amp;DATE($I$2,F$4,F$5))</f>
        <v/>
      </c>
      <c r="G130" s="321">
        <f>SUMIFS(DATA!$I:$I,DATA!$C:$C,$B130,DATA!$J:$J,"&gt;="&amp;DATE($I$2,G$4,1),DATA!$J:$J,"&lt;="&amp;DATE($I$2,G$4,G$5))</f>
        <v/>
      </c>
      <c r="H130" s="321">
        <f>SUMIFS(DATA!$I:$I,DATA!$C:$C,$B130,DATA!$J:$J,"&gt;="&amp;DATE($I$2,H$4,1),DATA!$J:$J,"&lt;="&amp;DATE($I$2,H$4,H$5))</f>
        <v/>
      </c>
      <c r="I130" s="321">
        <f>SUMIFS(DATA!$I:$I,DATA!$C:$C,$B130,DATA!$J:$J,"&gt;="&amp;DATE($I$2,I$4,1),DATA!$J:$J,"&lt;="&amp;DATE($I$2,I$4,I$5))</f>
        <v/>
      </c>
      <c r="J130" s="321">
        <f>SUMIFS(DATA!$I:$I,DATA!$C:$C,$B130,DATA!$J:$J,"&gt;="&amp;DATE($I$2,J$4,1),DATA!$J:$J,"&lt;="&amp;DATE($I$2,J$4,J$5))</f>
        <v/>
      </c>
      <c r="K130" s="321">
        <f>SUMIFS(DATA!$I:$I,DATA!$C:$C,$B130,DATA!$J:$J,"&gt;="&amp;DATE($I$2,K$4,1),DATA!$J:$J,"&lt;="&amp;DATE($I$2,K$4,K$5))</f>
        <v/>
      </c>
      <c r="L130" s="321">
        <f>SUMIFS(DATA!$I:$I,DATA!$C:$C,$B130,DATA!$J:$J,"&gt;="&amp;DATE($I$2,L$4,1),DATA!$J:$J,"&lt;="&amp;DATE($I$2,L$4,L$5))</f>
        <v/>
      </c>
      <c r="M130" s="321">
        <f>SUMIFS(DATA!$I:$I,DATA!$C:$C,$B130,DATA!$J:$J,"&gt;="&amp;DATE($I$2,M$4,1),DATA!$J:$J,"&lt;="&amp;DATE($I$2,M$4,M$5))</f>
        <v/>
      </c>
      <c r="N130" s="321">
        <f>SUMIFS(DATA!$I:$I,DATA!$C:$C,$B130,DATA!$J:$J,"&gt;="&amp;DATE($I$2,N$4,1),DATA!$J:$J,"&lt;="&amp;DATE($I$2,N$4,N$5))</f>
        <v/>
      </c>
      <c r="O130" s="321">
        <f>SUMIFS(DATA!$I:$I,DATA!$C:$C,$B130,DATA!$J:$J,"&gt;="&amp;DATE($I$2,O$4,1),DATA!$J:$J,"&lt;="&amp;DATE($I$2,O$4,O$5))</f>
        <v/>
      </c>
      <c r="P130" s="322">
        <f>SUM(D130:O130)</f>
        <v/>
      </c>
      <c r="Q130" s="118" t="n"/>
    </row>
    <row r="131" hidden="1" outlineLevel="1" ht="15" customHeight="1">
      <c r="A131" s="266" t="n"/>
      <c r="B131" s="266" t="n"/>
      <c r="C131" s="119" t="inlineStr">
        <is>
          <t>Thực tế</t>
        </is>
      </c>
      <c r="D131" s="321">
        <f>SUMIFS(DATA!$M:$M,DATA!$C:$C,$B130,DATA!$N:$N,"&gt;="&amp;DATE($I$2,D$4,1),DATA!$N:$N,"&lt;="&amp;DATE($I$2,D$4,D$5))</f>
        <v/>
      </c>
      <c r="E131" s="321">
        <f>SUMIFS(DATA!$M:$M,DATA!$C:$C,$B130,DATA!$N:$N,"&gt;="&amp;DATE($I$2,E$4,1),DATA!$N:$N,"&lt;="&amp;DATE($I$2,E$4,E$5))</f>
        <v/>
      </c>
      <c r="F131" s="321">
        <f>SUMIFS(DATA!$M:$M,DATA!$C:$C,$B130,DATA!$N:$N,"&gt;="&amp;DATE($I$2,F$4,1),DATA!$N:$N,"&lt;="&amp;DATE($I$2,F$4,F$5))</f>
        <v/>
      </c>
      <c r="G131" s="321">
        <f>SUMIFS(DATA!$M:$M,DATA!$C:$C,$B130,DATA!$N:$N,"&gt;="&amp;DATE($I$2,G$4,1),DATA!$N:$N,"&lt;="&amp;DATE($I$2,G$4,G$5))</f>
        <v/>
      </c>
      <c r="H131" s="321">
        <f>SUMIFS(DATA!$M:$M,DATA!$C:$C,$B130,DATA!$N:$N,"&gt;="&amp;DATE($I$2,H$4,1),DATA!$N:$N,"&lt;="&amp;DATE($I$2,H$4,H$5))</f>
        <v/>
      </c>
      <c r="I131" s="321">
        <f>SUMIFS(DATA!$M:$M,DATA!$C:$C,$B130,DATA!$N:$N,"&gt;="&amp;DATE($I$2,I$4,1),DATA!$N:$N,"&lt;="&amp;DATE($I$2,I$4,I$5))</f>
        <v/>
      </c>
      <c r="J131" s="321">
        <f>SUMIFS(DATA!$M:$M,DATA!$C:$C,$B130,DATA!$N:$N,"&gt;="&amp;DATE($I$2,J$4,1),DATA!$N:$N,"&lt;="&amp;DATE($I$2,J$4,J$5))</f>
        <v/>
      </c>
      <c r="K131" s="321">
        <f>SUMIFS(DATA!$M:$M,DATA!$C:$C,$B130,DATA!$N:$N,"&gt;="&amp;DATE($I$2,K$4,1),DATA!$N:$N,"&lt;="&amp;DATE($I$2,K$4,K$5))</f>
        <v/>
      </c>
      <c r="L131" s="321">
        <f>SUMIFS(DATA!$M:$M,DATA!$C:$C,$B130,DATA!$N:$N,"&gt;="&amp;DATE($I$2,L$4,1),DATA!$N:$N,"&lt;="&amp;DATE($I$2,L$4,L$5))</f>
        <v/>
      </c>
      <c r="M131" s="321">
        <f>SUMIFS(DATA!$M:$M,DATA!$C:$C,$B130,DATA!$N:$N,"&gt;="&amp;DATE($I$2,M$4,1),DATA!$N:$N,"&lt;="&amp;DATE($I$2,M$4,M$5))</f>
        <v/>
      </c>
      <c r="N131" s="321">
        <f>SUMIFS(DATA!$M:$M,DATA!$C:$C,$B130,DATA!$N:$N,"&gt;="&amp;DATE($I$2,N$4,1),DATA!$N:$N,"&lt;="&amp;DATE($I$2,N$4,N$5))</f>
        <v/>
      </c>
      <c r="O131" s="321">
        <f>SUMIFS(DATA!$M:$M,DATA!$C:$C,$B130,DATA!$N:$N,"&gt;="&amp;DATE($I$2,O$4,1),DATA!$N:$N,"&lt;="&amp;DATE($I$2,O$4,O$5))</f>
        <v/>
      </c>
      <c r="P131" s="322">
        <f>SUM(D131:O131)</f>
        <v/>
      </c>
      <c r="Q131" s="118" t="n"/>
    </row>
    <row r="132" hidden="1" outlineLevel="1" ht="15" customHeight="1">
      <c r="A132" s="269" t="n">
        <v>64</v>
      </c>
      <c r="B132" s="265" t="inlineStr">
        <is>
          <t>VINA-SANWA CO.,LTD</t>
        </is>
      </c>
      <c r="C132" s="119" t="inlineStr">
        <is>
          <t>Kế hoạch</t>
        </is>
      </c>
      <c r="D132" s="321">
        <f>SUMIFS(DATA!$I:$I,DATA!$C:$C,$B132,DATA!$J:$J,"&gt;="&amp;DATE($I$2,D$4,1),DATA!$J:$J,"&lt;="&amp;DATE($I$2,D$4,D$5))</f>
        <v/>
      </c>
      <c r="E132" s="321">
        <f>SUMIFS(DATA!$I:$I,DATA!$C:$C,$B132,DATA!$J:$J,"&gt;="&amp;DATE($I$2,E$4,1),DATA!$J:$J,"&lt;="&amp;DATE($I$2,E$4,E$5))</f>
        <v/>
      </c>
      <c r="F132" s="321">
        <f>SUMIFS(DATA!$I:$I,DATA!$C:$C,$B132,DATA!$J:$J,"&gt;="&amp;DATE($I$2,F$4,1),DATA!$J:$J,"&lt;="&amp;DATE($I$2,F$4,F$5))</f>
        <v/>
      </c>
      <c r="G132" s="321">
        <f>SUMIFS(DATA!$I:$I,DATA!$C:$C,$B132,DATA!$J:$J,"&gt;="&amp;DATE($I$2,G$4,1),DATA!$J:$J,"&lt;="&amp;DATE($I$2,G$4,G$5))</f>
        <v/>
      </c>
      <c r="H132" s="321">
        <f>SUMIFS(DATA!$I:$I,DATA!$C:$C,$B132,DATA!$J:$J,"&gt;="&amp;DATE($I$2,H$4,1),DATA!$J:$J,"&lt;="&amp;DATE($I$2,H$4,H$5))</f>
        <v/>
      </c>
      <c r="I132" s="321">
        <f>SUMIFS(DATA!$I:$I,DATA!$C:$C,$B132,DATA!$J:$J,"&gt;="&amp;DATE($I$2,I$4,1),DATA!$J:$J,"&lt;="&amp;DATE($I$2,I$4,I$5))</f>
        <v/>
      </c>
      <c r="J132" s="321">
        <f>SUMIFS(DATA!$I:$I,DATA!$C:$C,$B132,DATA!$J:$J,"&gt;="&amp;DATE($I$2,J$4,1),DATA!$J:$J,"&lt;="&amp;DATE($I$2,J$4,J$5))</f>
        <v/>
      </c>
      <c r="K132" s="321">
        <f>SUMIFS(DATA!$I:$I,DATA!$C:$C,$B132,DATA!$J:$J,"&gt;="&amp;DATE($I$2,K$4,1),DATA!$J:$J,"&lt;="&amp;DATE($I$2,K$4,K$5))</f>
        <v/>
      </c>
      <c r="L132" s="321">
        <f>SUMIFS(DATA!$I:$I,DATA!$C:$C,$B132,DATA!$J:$J,"&gt;="&amp;DATE($I$2,L$4,1),DATA!$J:$J,"&lt;="&amp;DATE($I$2,L$4,L$5))</f>
        <v/>
      </c>
      <c r="M132" s="321">
        <f>SUMIFS(DATA!$I:$I,DATA!$C:$C,$B132,DATA!$J:$J,"&gt;="&amp;DATE($I$2,M$4,1),DATA!$J:$J,"&lt;="&amp;DATE($I$2,M$4,M$5))</f>
        <v/>
      </c>
      <c r="N132" s="321">
        <f>SUMIFS(DATA!$I:$I,DATA!$C:$C,$B132,DATA!$J:$J,"&gt;="&amp;DATE($I$2,N$4,1),DATA!$J:$J,"&lt;="&amp;DATE($I$2,N$4,N$5))</f>
        <v/>
      </c>
      <c r="O132" s="321">
        <f>SUMIFS(DATA!$I:$I,DATA!$C:$C,$B132,DATA!$J:$J,"&gt;="&amp;DATE($I$2,O$4,1),DATA!$J:$J,"&lt;="&amp;DATE($I$2,O$4,O$5))</f>
        <v/>
      </c>
      <c r="P132" s="322">
        <f>SUM(D132:O132)</f>
        <v/>
      </c>
      <c r="Q132" s="118" t="n"/>
    </row>
    <row r="133" hidden="1" outlineLevel="1" ht="15" customHeight="1">
      <c r="A133" s="266" t="n"/>
      <c r="B133" s="266" t="n"/>
      <c r="C133" s="119" t="inlineStr">
        <is>
          <t>Thực tế</t>
        </is>
      </c>
      <c r="D133" s="321">
        <f>SUMIFS(DATA!$M:$M,DATA!$C:$C,$B132,DATA!$N:$N,"&gt;="&amp;DATE($I$2,D$4,1),DATA!$N:$N,"&lt;="&amp;DATE($I$2,D$4,D$5))</f>
        <v/>
      </c>
      <c r="E133" s="321">
        <f>SUMIFS(DATA!$M:$M,DATA!$C:$C,$B132,DATA!$N:$N,"&gt;="&amp;DATE($I$2,E$4,1),DATA!$N:$N,"&lt;="&amp;DATE($I$2,E$4,E$5))</f>
        <v/>
      </c>
      <c r="F133" s="321">
        <f>SUMIFS(DATA!$M:$M,DATA!$C:$C,$B132,DATA!$N:$N,"&gt;="&amp;DATE($I$2,F$4,1),DATA!$N:$N,"&lt;="&amp;DATE($I$2,F$4,F$5))</f>
        <v/>
      </c>
      <c r="G133" s="321">
        <f>SUMIFS(DATA!$M:$M,DATA!$C:$C,$B132,DATA!$N:$N,"&gt;="&amp;DATE($I$2,G$4,1),DATA!$N:$N,"&lt;="&amp;DATE($I$2,G$4,G$5))</f>
        <v/>
      </c>
      <c r="H133" s="321">
        <f>SUMIFS(DATA!$M:$M,DATA!$C:$C,$B132,DATA!$N:$N,"&gt;="&amp;DATE($I$2,H$4,1),DATA!$N:$N,"&lt;="&amp;DATE($I$2,H$4,H$5))</f>
        <v/>
      </c>
      <c r="I133" s="321">
        <f>SUMIFS(DATA!$M:$M,DATA!$C:$C,$B132,DATA!$N:$N,"&gt;="&amp;DATE($I$2,I$4,1),DATA!$N:$N,"&lt;="&amp;DATE($I$2,I$4,I$5))</f>
        <v/>
      </c>
      <c r="J133" s="321">
        <f>SUMIFS(DATA!$M:$M,DATA!$C:$C,$B132,DATA!$N:$N,"&gt;="&amp;DATE($I$2,J$4,1),DATA!$N:$N,"&lt;="&amp;DATE($I$2,J$4,J$5))</f>
        <v/>
      </c>
      <c r="K133" s="321">
        <f>SUMIFS(DATA!$M:$M,DATA!$C:$C,$B132,DATA!$N:$N,"&gt;="&amp;DATE($I$2,K$4,1),DATA!$N:$N,"&lt;="&amp;DATE($I$2,K$4,K$5))</f>
        <v/>
      </c>
      <c r="L133" s="321">
        <f>SUMIFS(DATA!$M:$M,DATA!$C:$C,$B132,DATA!$N:$N,"&gt;="&amp;DATE($I$2,L$4,1),DATA!$N:$N,"&lt;="&amp;DATE($I$2,L$4,L$5))</f>
        <v/>
      </c>
      <c r="M133" s="321">
        <f>SUMIFS(DATA!$M:$M,DATA!$C:$C,$B132,DATA!$N:$N,"&gt;="&amp;DATE($I$2,M$4,1),DATA!$N:$N,"&lt;="&amp;DATE($I$2,M$4,M$5))</f>
        <v/>
      </c>
      <c r="N133" s="321">
        <f>SUMIFS(DATA!$M:$M,DATA!$C:$C,$B132,DATA!$N:$N,"&gt;="&amp;DATE($I$2,N$4,1),DATA!$N:$N,"&lt;="&amp;DATE($I$2,N$4,N$5))</f>
        <v/>
      </c>
      <c r="O133" s="321">
        <f>SUMIFS(DATA!$M:$M,DATA!$C:$C,$B132,DATA!$N:$N,"&gt;="&amp;DATE($I$2,O$4,1),DATA!$N:$N,"&lt;="&amp;DATE($I$2,O$4,O$5))</f>
        <v/>
      </c>
      <c r="P133" s="322">
        <f>SUM(D133:O133)</f>
        <v/>
      </c>
      <c r="Q133" s="118" t="n"/>
    </row>
    <row r="134" hidden="1" outlineLevel="1" ht="15" customHeight="1">
      <c r="A134" s="269" t="n">
        <v>65</v>
      </c>
      <c r="B134" s="265" t="inlineStr">
        <is>
          <t>AEONMALL HIMLAM</t>
        </is>
      </c>
      <c r="C134" s="119" t="inlineStr">
        <is>
          <t>Kế hoạch</t>
        </is>
      </c>
      <c r="D134" s="321">
        <f>SUMIFS(DATA!$I:$I,DATA!$C:$C,$B134,DATA!$J:$J,"&gt;="&amp;DATE($I$2,D$4,1),DATA!$J:$J,"&lt;="&amp;DATE($I$2,D$4,D$5))</f>
        <v/>
      </c>
      <c r="E134" s="321">
        <f>SUMIFS(DATA!$I:$I,DATA!$C:$C,$B134,DATA!$J:$J,"&gt;="&amp;DATE($I$2,E$4,1),DATA!$J:$J,"&lt;="&amp;DATE($I$2,E$4,E$5))</f>
        <v/>
      </c>
      <c r="F134" s="321">
        <f>SUMIFS(DATA!$I:$I,DATA!$C:$C,$B134,DATA!$J:$J,"&gt;="&amp;DATE($I$2,F$4,1),DATA!$J:$J,"&lt;="&amp;DATE($I$2,F$4,F$5))</f>
        <v/>
      </c>
      <c r="G134" s="321">
        <f>SUMIFS(DATA!$I:$I,DATA!$C:$C,$B134,DATA!$J:$J,"&gt;="&amp;DATE($I$2,G$4,1),DATA!$J:$J,"&lt;="&amp;DATE($I$2,G$4,G$5))</f>
        <v/>
      </c>
      <c r="H134" s="321">
        <f>SUMIFS(DATA!$I:$I,DATA!$C:$C,$B134,DATA!$J:$J,"&gt;="&amp;DATE($I$2,H$4,1),DATA!$J:$J,"&lt;="&amp;DATE($I$2,H$4,H$5))</f>
        <v/>
      </c>
      <c r="I134" s="321">
        <f>SUMIFS(DATA!$I:$I,DATA!$C:$C,$B134,DATA!$J:$J,"&gt;="&amp;DATE($I$2,I$4,1),DATA!$J:$J,"&lt;="&amp;DATE($I$2,I$4,I$5))</f>
        <v/>
      </c>
      <c r="J134" s="321">
        <f>SUMIFS(DATA!$I:$I,DATA!$C:$C,$B134,DATA!$J:$J,"&gt;="&amp;DATE($I$2,J$4,1),DATA!$J:$J,"&lt;="&amp;DATE($I$2,J$4,J$5))</f>
        <v/>
      </c>
      <c r="K134" s="321">
        <f>SUMIFS(DATA!$I:$I,DATA!$C:$C,$B134,DATA!$J:$J,"&gt;="&amp;DATE($I$2,K$4,1),DATA!$J:$J,"&lt;="&amp;DATE($I$2,K$4,K$5))</f>
        <v/>
      </c>
      <c r="L134" s="321">
        <f>SUMIFS(DATA!$I:$I,DATA!$C:$C,$B134,DATA!$J:$J,"&gt;="&amp;DATE($I$2,L$4,1),DATA!$J:$J,"&lt;="&amp;DATE($I$2,L$4,L$5))</f>
        <v/>
      </c>
      <c r="M134" s="321">
        <f>SUMIFS(DATA!$I:$I,DATA!$C:$C,$B134,DATA!$J:$J,"&gt;="&amp;DATE($I$2,M$4,1),DATA!$J:$J,"&lt;="&amp;DATE($I$2,M$4,M$5))</f>
        <v/>
      </c>
      <c r="N134" s="321">
        <f>SUMIFS(DATA!$I:$I,DATA!$C:$C,$B134,DATA!$J:$J,"&gt;="&amp;DATE($I$2,N$4,1),DATA!$J:$J,"&lt;="&amp;DATE($I$2,N$4,N$5))</f>
        <v/>
      </c>
      <c r="O134" s="321">
        <f>SUMIFS(DATA!$I:$I,DATA!$C:$C,$B134,DATA!$J:$J,"&gt;="&amp;DATE($I$2,O$4,1),DATA!$J:$J,"&lt;="&amp;DATE($I$2,O$4,O$5))</f>
        <v/>
      </c>
      <c r="P134" s="322">
        <f>SUM(D134:O134)</f>
        <v/>
      </c>
      <c r="Q134" s="118" t="n"/>
    </row>
    <row r="135" hidden="1" outlineLevel="1" ht="15" customHeight="1">
      <c r="A135" s="266" t="n"/>
      <c r="B135" s="266" t="n"/>
      <c r="C135" s="119" t="inlineStr">
        <is>
          <t>Thực tế</t>
        </is>
      </c>
      <c r="D135" s="321">
        <f>SUMIFS(DATA!$M:$M,DATA!$C:$C,$B134,DATA!$N:$N,"&gt;="&amp;DATE($I$2,D$4,1),DATA!$N:$N,"&lt;="&amp;DATE($I$2,D$4,D$5))</f>
        <v/>
      </c>
      <c r="E135" s="321">
        <f>SUMIFS(DATA!$M:$M,DATA!$C:$C,$B134,DATA!$N:$N,"&gt;="&amp;DATE($I$2,E$4,1),DATA!$N:$N,"&lt;="&amp;DATE($I$2,E$4,E$5))</f>
        <v/>
      </c>
      <c r="F135" s="321">
        <f>SUMIFS(DATA!$M:$M,DATA!$C:$C,$B134,DATA!$N:$N,"&gt;="&amp;DATE($I$2,F$4,1),DATA!$N:$N,"&lt;="&amp;DATE($I$2,F$4,F$5))</f>
        <v/>
      </c>
      <c r="G135" s="321">
        <f>SUMIFS(DATA!$M:$M,DATA!$C:$C,$B134,DATA!$N:$N,"&gt;="&amp;DATE($I$2,G$4,1),DATA!$N:$N,"&lt;="&amp;DATE($I$2,G$4,G$5))</f>
        <v/>
      </c>
      <c r="H135" s="321">
        <f>SUMIFS(DATA!$M:$M,DATA!$C:$C,$B134,DATA!$N:$N,"&gt;="&amp;DATE($I$2,H$4,1),DATA!$N:$N,"&lt;="&amp;DATE($I$2,H$4,H$5))</f>
        <v/>
      </c>
      <c r="I135" s="321">
        <f>SUMIFS(DATA!$M:$M,DATA!$C:$C,$B134,DATA!$N:$N,"&gt;="&amp;DATE($I$2,I$4,1),DATA!$N:$N,"&lt;="&amp;DATE($I$2,I$4,I$5))</f>
        <v/>
      </c>
      <c r="J135" s="321">
        <f>SUMIFS(DATA!$M:$M,DATA!$C:$C,$B134,DATA!$N:$N,"&gt;="&amp;DATE($I$2,J$4,1),DATA!$N:$N,"&lt;="&amp;DATE($I$2,J$4,J$5))</f>
        <v/>
      </c>
      <c r="K135" s="321">
        <f>SUMIFS(DATA!$M:$M,DATA!$C:$C,$B134,DATA!$N:$N,"&gt;="&amp;DATE($I$2,K$4,1),DATA!$N:$N,"&lt;="&amp;DATE($I$2,K$4,K$5))</f>
        <v/>
      </c>
      <c r="L135" s="321">
        <f>SUMIFS(DATA!$M:$M,DATA!$C:$C,$B134,DATA!$N:$N,"&gt;="&amp;DATE($I$2,L$4,1),DATA!$N:$N,"&lt;="&amp;DATE($I$2,L$4,L$5))</f>
        <v/>
      </c>
      <c r="M135" s="321">
        <f>SUMIFS(DATA!$M:$M,DATA!$C:$C,$B134,DATA!$N:$N,"&gt;="&amp;DATE($I$2,M$4,1),DATA!$N:$N,"&lt;="&amp;DATE($I$2,M$4,M$5))</f>
        <v/>
      </c>
      <c r="N135" s="321">
        <f>SUMIFS(DATA!$M:$M,DATA!$C:$C,$B134,DATA!$N:$N,"&gt;="&amp;DATE($I$2,N$4,1),DATA!$N:$N,"&lt;="&amp;DATE($I$2,N$4,N$5))</f>
        <v/>
      </c>
      <c r="O135" s="321">
        <f>SUMIFS(DATA!$M:$M,DATA!$C:$C,$B134,DATA!$N:$N,"&gt;="&amp;DATE($I$2,O$4,1),DATA!$N:$N,"&lt;="&amp;DATE($I$2,O$4,O$5))</f>
        <v/>
      </c>
      <c r="P135" s="322">
        <f>SUM(D135:O135)</f>
        <v/>
      </c>
      <c r="Q135" s="118" t="n"/>
    </row>
    <row r="136" hidden="1" outlineLevel="1" ht="15" customHeight="1">
      <c r="A136" s="269" t="n">
        <v>66</v>
      </c>
      <c r="B136" s="265" t="inlineStr">
        <is>
          <t>BRITISH EMBASSY HANOI</t>
        </is>
      </c>
      <c r="C136" s="119" t="inlineStr">
        <is>
          <t>Kế hoạch</t>
        </is>
      </c>
      <c r="D136" s="321">
        <f>SUMIFS(DATA!$I:$I,DATA!$C:$C,$B136,DATA!$J:$J,"&gt;="&amp;DATE($I$2,D$4,1),DATA!$J:$J,"&lt;="&amp;DATE($I$2,D$4,D$5))</f>
        <v/>
      </c>
      <c r="E136" s="321">
        <f>SUMIFS(DATA!$I:$I,DATA!$C:$C,$B136,DATA!$J:$J,"&gt;="&amp;DATE($I$2,E$4,1),DATA!$J:$J,"&lt;="&amp;DATE($I$2,E$4,E$5))</f>
        <v/>
      </c>
      <c r="F136" s="321">
        <f>SUMIFS(DATA!$I:$I,DATA!$C:$C,$B136,DATA!$J:$J,"&gt;="&amp;DATE($I$2,F$4,1),DATA!$J:$J,"&lt;="&amp;DATE($I$2,F$4,F$5))</f>
        <v/>
      </c>
      <c r="G136" s="321">
        <f>SUMIFS(DATA!$I:$I,DATA!$C:$C,$B136,DATA!$J:$J,"&gt;="&amp;DATE($I$2,G$4,1),DATA!$J:$J,"&lt;="&amp;DATE($I$2,G$4,G$5))</f>
        <v/>
      </c>
      <c r="H136" s="321">
        <f>SUMIFS(DATA!$I:$I,DATA!$C:$C,$B136,DATA!$J:$J,"&gt;="&amp;DATE($I$2,H$4,1),DATA!$J:$J,"&lt;="&amp;DATE($I$2,H$4,H$5))</f>
        <v/>
      </c>
      <c r="I136" s="321">
        <f>SUMIFS(DATA!$I:$I,DATA!$C:$C,$B136,DATA!$J:$J,"&gt;="&amp;DATE($I$2,I$4,1),DATA!$J:$J,"&lt;="&amp;DATE($I$2,I$4,I$5))</f>
        <v/>
      </c>
      <c r="J136" s="321">
        <f>SUMIFS(DATA!$I:$I,DATA!$C:$C,$B136,DATA!$J:$J,"&gt;="&amp;DATE($I$2,J$4,1),DATA!$J:$J,"&lt;="&amp;DATE($I$2,J$4,J$5))</f>
        <v/>
      </c>
      <c r="K136" s="321">
        <f>SUMIFS(DATA!$I:$I,DATA!$C:$C,$B136,DATA!$J:$J,"&gt;="&amp;DATE($I$2,K$4,1),DATA!$J:$J,"&lt;="&amp;DATE($I$2,K$4,K$5))</f>
        <v/>
      </c>
      <c r="L136" s="321">
        <f>SUMIFS(DATA!$I:$I,DATA!$C:$C,$B136,DATA!$J:$J,"&gt;="&amp;DATE($I$2,L$4,1),DATA!$J:$J,"&lt;="&amp;DATE($I$2,L$4,L$5))</f>
        <v/>
      </c>
      <c r="M136" s="321">
        <f>SUMIFS(DATA!$I:$I,DATA!$C:$C,$B136,DATA!$J:$J,"&gt;="&amp;DATE($I$2,M$4,1),DATA!$J:$J,"&lt;="&amp;DATE($I$2,M$4,M$5))</f>
        <v/>
      </c>
      <c r="N136" s="321">
        <f>SUMIFS(DATA!$I:$I,DATA!$C:$C,$B136,DATA!$J:$J,"&gt;="&amp;DATE($I$2,N$4,1),DATA!$J:$J,"&lt;="&amp;DATE($I$2,N$4,N$5))</f>
        <v/>
      </c>
      <c r="O136" s="321">
        <f>SUMIFS(DATA!$I:$I,DATA!$C:$C,$B136,DATA!$J:$J,"&gt;="&amp;DATE($I$2,O$4,1),DATA!$J:$J,"&lt;="&amp;DATE($I$2,O$4,O$5))</f>
        <v/>
      </c>
      <c r="P136" s="322">
        <f>SUM(D136:O136)</f>
        <v/>
      </c>
      <c r="Q136" s="118" t="n"/>
    </row>
    <row r="137" hidden="1" outlineLevel="1" ht="15" customHeight="1">
      <c r="A137" s="266" t="n"/>
      <c r="B137" s="266" t="n"/>
      <c r="C137" s="119" t="inlineStr">
        <is>
          <t>Thực tế</t>
        </is>
      </c>
      <c r="D137" s="321">
        <f>SUMIFS(DATA!$M:$M,DATA!$C:$C,$B136,DATA!$N:$N,"&gt;="&amp;DATE($I$2,D$4,1),DATA!$N:$N,"&lt;="&amp;DATE($I$2,D$4,D$5))</f>
        <v/>
      </c>
      <c r="E137" s="321">
        <f>SUMIFS(DATA!$M:$M,DATA!$C:$C,$B136,DATA!$N:$N,"&gt;="&amp;DATE($I$2,E$4,1),DATA!$N:$N,"&lt;="&amp;DATE($I$2,E$4,E$5))</f>
        <v/>
      </c>
      <c r="F137" s="321">
        <f>SUMIFS(DATA!$M:$M,DATA!$C:$C,$B136,DATA!$N:$N,"&gt;="&amp;DATE($I$2,F$4,1),DATA!$N:$N,"&lt;="&amp;DATE($I$2,F$4,F$5))</f>
        <v/>
      </c>
      <c r="G137" s="321">
        <f>SUMIFS(DATA!$M:$M,DATA!$C:$C,$B136,DATA!$N:$N,"&gt;="&amp;DATE($I$2,G$4,1),DATA!$N:$N,"&lt;="&amp;DATE($I$2,G$4,G$5))</f>
        <v/>
      </c>
      <c r="H137" s="321">
        <f>SUMIFS(DATA!$M:$M,DATA!$C:$C,$B136,DATA!$N:$N,"&gt;="&amp;DATE($I$2,H$4,1),DATA!$N:$N,"&lt;="&amp;DATE($I$2,H$4,H$5))</f>
        <v/>
      </c>
      <c r="I137" s="321">
        <f>SUMIFS(DATA!$M:$M,DATA!$C:$C,$B136,DATA!$N:$N,"&gt;="&amp;DATE($I$2,I$4,1),DATA!$N:$N,"&lt;="&amp;DATE($I$2,I$4,I$5))</f>
        <v/>
      </c>
      <c r="J137" s="321">
        <f>SUMIFS(DATA!$M:$M,DATA!$C:$C,$B136,DATA!$N:$N,"&gt;="&amp;DATE($I$2,J$4,1),DATA!$N:$N,"&lt;="&amp;DATE($I$2,J$4,J$5))</f>
        <v/>
      </c>
      <c r="K137" s="321">
        <f>SUMIFS(DATA!$M:$M,DATA!$C:$C,$B136,DATA!$N:$N,"&gt;="&amp;DATE($I$2,K$4,1),DATA!$N:$N,"&lt;="&amp;DATE($I$2,K$4,K$5))</f>
        <v/>
      </c>
      <c r="L137" s="321">
        <f>SUMIFS(DATA!$M:$M,DATA!$C:$C,$B136,DATA!$N:$N,"&gt;="&amp;DATE($I$2,L$4,1),DATA!$N:$N,"&lt;="&amp;DATE($I$2,L$4,L$5))</f>
        <v/>
      </c>
      <c r="M137" s="321">
        <f>SUMIFS(DATA!$M:$M,DATA!$C:$C,$B136,DATA!$N:$N,"&gt;="&amp;DATE($I$2,M$4,1),DATA!$N:$N,"&lt;="&amp;DATE($I$2,M$4,M$5))</f>
        <v/>
      </c>
      <c r="N137" s="321">
        <f>SUMIFS(DATA!$M:$M,DATA!$C:$C,$B136,DATA!$N:$N,"&gt;="&amp;DATE($I$2,N$4,1),DATA!$N:$N,"&lt;="&amp;DATE($I$2,N$4,N$5))</f>
        <v/>
      </c>
      <c r="O137" s="321">
        <f>SUMIFS(DATA!$M:$M,DATA!$C:$C,$B136,DATA!$N:$N,"&gt;="&amp;DATE($I$2,O$4,1),DATA!$N:$N,"&lt;="&amp;DATE($I$2,O$4,O$5))</f>
        <v/>
      </c>
      <c r="P137" s="322">
        <f>SUM(D137:O137)</f>
        <v/>
      </c>
      <c r="Q137" s="118" t="n"/>
    </row>
    <row r="138" hidden="1" outlineLevel="1" ht="15" customHeight="1">
      <c r="A138" s="269" t="n">
        <v>67</v>
      </c>
      <c r="B138" s="265" t="inlineStr">
        <is>
          <t>BARGHEST BUILDING PERFORMANCE VIETNAM</t>
        </is>
      </c>
      <c r="C138" s="119" t="inlineStr">
        <is>
          <t>Kế hoạch</t>
        </is>
      </c>
      <c r="D138" s="321">
        <f>SUMIFS(DATA!$I:$I,DATA!$C:$C,$B138,DATA!$J:$J,"&gt;="&amp;DATE($I$2,D$4,1),DATA!$J:$J,"&lt;="&amp;DATE($I$2,D$4,D$5))</f>
        <v/>
      </c>
      <c r="E138" s="321">
        <f>SUMIFS(DATA!$I:$I,DATA!$C:$C,$B138,DATA!$J:$J,"&gt;="&amp;DATE($I$2,E$4,1),DATA!$J:$J,"&lt;="&amp;DATE($I$2,E$4,E$5))</f>
        <v/>
      </c>
      <c r="F138" s="321">
        <f>SUMIFS(DATA!$I:$I,DATA!$C:$C,$B138,DATA!$J:$J,"&gt;="&amp;DATE($I$2,F$4,1),DATA!$J:$J,"&lt;="&amp;DATE($I$2,F$4,F$5))</f>
        <v/>
      </c>
      <c r="G138" s="321">
        <f>SUMIFS(DATA!$I:$I,DATA!$C:$C,$B138,DATA!$J:$J,"&gt;="&amp;DATE($I$2,G$4,1),DATA!$J:$J,"&lt;="&amp;DATE($I$2,G$4,G$5))</f>
        <v/>
      </c>
      <c r="H138" s="321">
        <f>SUMIFS(DATA!$I:$I,DATA!$C:$C,$B138,DATA!$J:$J,"&gt;="&amp;DATE($I$2,H$4,1),DATA!$J:$J,"&lt;="&amp;DATE($I$2,H$4,H$5))</f>
        <v/>
      </c>
      <c r="I138" s="321">
        <f>SUMIFS(DATA!$I:$I,DATA!$C:$C,$B138,DATA!$J:$J,"&gt;="&amp;DATE($I$2,I$4,1),DATA!$J:$J,"&lt;="&amp;DATE($I$2,I$4,I$5))</f>
        <v/>
      </c>
      <c r="J138" s="321">
        <f>SUMIFS(DATA!$I:$I,DATA!$C:$C,$B138,DATA!$J:$J,"&gt;="&amp;DATE($I$2,J$4,1),DATA!$J:$J,"&lt;="&amp;DATE($I$2,J$4,J$5))</f>
        <v/>
      </c>
      <c r="K138" s="321">
        <f>SUMIFS(DATA!$I:$I,DATA!$C:$C,$B138,DATA!$J:$J,"&gt;="&amp;DATE($I$2,K$4,1),DATA!$J:$J,"&lt;="&amp;DATE($I$2,K$4,K$5))</f>
        <v/>
      </c>
      <c r="L138" s="321">
        <f>SUMIFS(DATA!$I:$I,DATA!$C:$C,$B138,DATA!$J:$J,"&gt;="&amp;DATE($I$2,L$4,1),DATA!$J:$J,"&lt;="&amp;DATE($I$2,L$4,L$5))</f>
        <v/>
      </c>
      <c r="M138" s="321">
        <f>SUMIFS(DATA!$I:$I,DATA!$C:$C,$B138,DATA!$J:$J,"&gt;="&amp;DATE($I$2,M$4,1),DATA!$J:$J,"&lt;="&amp;DATE($I$2,M$4,M$5))</f>
        <v/>
      </c>
      <c r="N138" s="321">
        <f>SUMIFS(DATA!$I:$I,DATA!$C:$C,$B138,DATA!$J:$J,"&gt;="&amp;DATE($I$2,N$4,1),DATA!$J:$J,"&lt;="&amp;DATE($I$2,N$4,N$5))</f>
        <v/>
      </c>
      <c r="O138" s="321">
        <f>SUMIFS(DATA!$I:$I,DATA!$C:$C,$B138,DATA!$J:$J,"&gt;="&amp;DATE($I$2,O$4,1),DATA!$J:$J,"&lt;="&amp;DATE($I$2,O$4,O$5))</f>
        <v/>
      </c>
      <c r="P138" s="322">
        <f>SUM(D138:O138)</f>
        <v/>
      </c>
      <c r="Q138" s="118" t="n"/>
    </row>
    <row r="139" hidden="1" outlineLevel="1" ht="15" customHeight="1">
      <c r="A139" s="266" t="n"/>
      <c r="B139" s="266" t="n"/>
      <c r="C139" s="119" t="inlineStr">
        <is>
          <t>Thực tế</t>
        </is>
      </c>
      <c r="D139" s="321">
        <f>SUMIFS(DATA!$M:$M,DATA!$C:$C,$B138,DATA!$N:$N,"&gt;="&amp;DATE($I$2,D$4,1),DATA!$N:$N,"&lt;="&amp;DATE($I$2,D$4,D$5))</f>
        <v/>
      </c>
      <c r="E139" s="321">
        <f>SUMIFS(DATA!$M:$M,DATA!$C:$C,$B138,DATA!$N:$N,"&gt;="&amp;DATE($I$2,E$4,1),DATA!$N:$N,"&lt;="&amp;DATE($I$2,E$4,E$5))</f>
        <v/>
      </c>
      <c r="F139" s="321">
        <f>SUMIFS(DATA!$M:$M,DATA!$C:$C,$B138,DATA!$N:$N,"&gt;="&amp;DATE($I$2,F$4,1),DATA!$N:$N,"&lt;="&amp;DATE($I$2,F$4,F$5))</f>
        <v/>
      </c>
      <c r="G139" s="321">
        <f>SUMIFS(DATA!$M:$M,DATA!$C:$C,$B138,DATA!$N:$N,"&gt;="&amp;DATE($I$2,G$4,1),DATA!$N:$N,"&lt;="&amp;DATE($I$2,G$4,G$5))</f>
        <v/>
      </c>
      <c r="H139" s="321">
        <f>SUMIFS(DATA!$M:$M,DATA!$C:$C,$B138,DATA!$N:$N,"&gt;="&amp;DATE($I$2,H$4,1),DATA!$N:$N,"&lt;="&amp;DATE($I$2,H$4,H$5))</f>
        <v/>
      </c>
      <c r="I139" s="321">
        <f>SUMIFS(DATA!$M:$M,DATA!$C:$C,$B138,DATA!$N:$N,"&gt;="&amp;DATE($I$2,I$4,1),DATA!$N:$N,"&lt;="&amp;DATE($I$2,I$4,I$5))</f>
        <v/>
      </c>
      <c r="J139" s="321">
        <f>SUMIFS(DATA!$M:$M,DATA!$C:$C,$B138,DATA!$N:$N,"&gt;="&amp;DATE($I$2,J$4,1),DATA!$N:$N,"&lt;="&amp;DATE($I$2,J$4,J$5))</f>
        <v/>
      </c>
      <c r="K139" s="321">
        <f>SUMIFS(DATA!$M:$M,DATA!$C:$C,$B138,DATA!$N:$N,"&gt;="&amp;DATE($I$2,K$4,1),DATA!$N:$N,"&lt;="&amp;DATE($I$2,K$4,K$5))</f>
        <v/>
      </c>
      <c r="L139" s="321">
        <f>SUMIFS(DATA!$M:$M,DATA!$C:$C,$B138,DATA!$N:$N,"&gt;="&amp;DATE($I$2,L$4,1),DATA!$N:$N,"&lt;="&amp;DATE($I$2,L$4,L$5))</f>
        <v/>
      </c>
      <c r="M139" s="321">
        <f>SUMIFS(DATA!$M:$M,DATA!$C:$C,$B138,DATA!$N:$N,"&gt;="&amp;DATE($I$2,M$4,1),DATA!$N:$N,"&lt;="&amp;DATE($I$2,M$4,M$5))</f>
        <v/>
      </c>
      <c r="N139" s="321">
        <f>SUMIFS(DATA!$M:$M,DATA!$C:$C,$B138,DATA!$N:$N,"&gt;="&amp;DATE($I$2,N$4,1),DATA!$N:$N,"&lt;="&amp;DATE($I$2,N$4,N$5))</f>
        <v/>
      </c>
      <c r="O139" s="321">
        <f>SUMIFS(DATA!$M:$M,DATA!$C:$C,$B138,DATA!$N:$N,"&gt;="&amp;DATE($I$2,O$4,1),DATA!$N:$N,"&lt;="&amp;DATE($I$2,O$4,O$5))</f>
        <v/>
      </c>
      <c r="P139" s="322">
        <f>SUM(D139:O139)</f>
        <v/>
      </c>
      <c r="Q139" s="118" t="n"/>
    </row>
    <row r="140" hidden="1" outlineLevel="1" ht="15" customHeight="1">
      <c r="A140" s="269" t="n">
        <v>68</v>
      </c>
      <c r="B140" s="265" t="inlineStr">
        <is>
          <t>SKY PARK RESIDENCE</t>
        </is>
      </c>
      <c r="C140" s="119" t="inlineStr">
        <is>
          <t>Kế hoạch</t>
        </is>
      </c>
      <c r="D140" s="321">
        <f>SUMIFS(DATA!$I:$I,DATA!$C:$C,$B140,DATA!$J:$J,"&gt;="&amp;DATE($I$2,D$4,1),DATA!$J:$J,"&lt;="&amp;DATE($I$2,D$4,D$5))</f>
        <v/>
      </c>
      <c r="E140" s="321">
        <f>SUMIFS(DATA!$I:$I,DATA!$C:$C,$B140,DATA!$J:$J,"&gt;="&amp;DATE($I$2,E$4,1),DATA!$J:$J,"&lt;="&amp;DATE($I$2,E$4,E$5))</f>
        <v/>
      </c>
      <c r="F140" s="321">
        <f>SUMIFS(DATA!$I:$I,DATA!$C:$C,$B140,DATA!$J:$J,"&gt;="&amp;DATE($I$2,F$4,1),DATA!$J:$J,"&lt;="&amp;DATE($I$2,F$4,F$5))</f>
        <v/>
      </c>
      <c r="G140" s="321">
        <f>SUMIFS(DATA!$I:$I,DATA!$C:$C,$B140,DATA!$J:$J,"&gt;="&amp;DATE($I$2,G$4,1),DATA!$J:$J,"&lt;="&amp;DATE($I$2,G$4,G$5))</f>
        <v/>
      </c>
      <c r="H140" s="321">
        <f>SUMIFS(DATA!$I:$I,DATA!$C:$C,$B140,DATA!$J:$J,"&gt;="&amp;DATE($I$2,H$4,1),DATA!$J:$J,"&lt;="&amp;DATE($I$2,H$4,H$5))</f>
        <v/>
      </c>
      <c r="I140" s="321">
        <f>SUMIFS(DATA!$I:$I,DATA!$C:$C,$B140,DATA!$J:$J,"&gt;="&amp;DATE($I$2,I$4,1),DATA!$J:$J,"&lt;="&amp;DATE($I$2,I$4,I$5))</f>
        <v/>
      </c>
      <c r="J140" s="321">
        <f>SUMIFS(DATA!$I:$I,DATA!$C:$C,$B140,DATA!$J:$J,"&gt;="&amp;DATE($I$2,J$4,1),DATA!$J:$J,"&lt;="&amp;DATE($I$2,J$4,J$5))</f>
        <v/>
      </c>
      <c r="K140" s="321">
        <f>SUMIFS(DATA!$I:$I,DATA!$C:$C,$B140,DATA!$J:$J,"&gt;="&amp;DATE($I$2,K$4,1),DATA!$J:$J,"&lt;="&amp;DATE($I$2,K$4,K$5))</f>
        <v/>
      </c>
      <c r="L140" s="321">
        <f>SUMIFS(DATA!$I:$I,DATA!$C:$C,$B140,DATA!$J:$J,"&gt;="&amp;DATE($I$2,L$4,1),DATA!$J:$J,"&lt;="&amp;DATE($I$2,L$4,L$5))</f>
        <v/>
      </c>
      <c r="M140" s="321">
        <f>SUMIFS(DATA!$I:$I,DATA!$C:$C,$B140,DATA!$J:$J,"&gt;="&amp;DATE($I$2,M$4,1),DATA!$J:$J,"&lt;="&amp;DATE($I$2,M$4,M$5))</f>
        <v/>
      </c>
      <c r="N140" s="321">
        <f>SUMIFS(DATA!$I:$I,DATA!$C:$C,$B140,DATA!$J:$J,"&gt;="&amp;DATE($I$2,N$4,1),DATA!$J:$J,"&lt;="&amp;DATE($I$2,N$4,N$5))</f>
        <v/>
      </c>
      <c r="O140" s="321">
        <f>SUMIFS(DATA!$I:$I,DATA!$C:$C,$B140,DATA!$J:$J,"&gt;="&amp;DATE($I$2,O$4,1),DATA!$J:$J,"&lt;="&amp;DATE($I$2,O$4,O$5))</f>
        <v/>
      </c>
      <c r="P140" s="322">
        <f>SUM(D140:O140)</f>
        <v/>
      </c>
      <c r="Q140" s="118" t="n"/>
    </row>
    <row r="141" hidden="1" outlineLevel="1" ht="15" customHeight="1">
      <c r="A141" s="266" t="n"/>
      <c r="B141" s="266" t="n"/>
      <c r="C141" s="119" t="inlineStr">
        <is>
          <t>Thực tế</t>
        </is>
      </c>
      <c r="D141" s="321">
        <f>SUMIFS(DATA!$M:$M,DATA!$C:$C,$B140,DATA!$N:$N,"&gt;="&amp;DATE($I$2,D$4,1),DATA!$N:$N,"&lt;="&amp;DATE($I$2,D$4,D$5))</f>
        <v/>
      </c>
      <c r="E141" s="321">
        <f>SUMIFS(DATA!$M:$M,DATA!$C:$C,$B140,DATA!$N:$N,"&gt;="&amp;DATE($I$2,E$4,1),DATA!$N:$N,"&lt;="&amp;DATE($I$2,E$4,E$5))</f>
        <v/>
      </c>
      <c r="F141" s="321">
        <f>SUMIFS(DATA!$M:$M,DATA!$C:$C,$B140,DATA!$N:$N,"&gt;="&amp;DATE($I$2,F$4,1),DATA!$N:$N,"&lt;="&amp;DATE($I$2,F$4,F$5))</f>
        <v/>
      </c>
      <c r="G141" s="321">
        <f>SUMIFS(DATA!$M:$M,DATA!$C:$C,$B140,DATA!$N:$N,"&gt;="&amp;DATE($I$2,G$4,1),DATA!$N:$N,"&lt;="&amp;DATE($I$2,G$4,G$5))</f>
        <v/>
      </c>
      <c r="H141" s="321">
        <f>SUMIFS(DATA!$M:$M,DATA!$C:$C,$B140,DATA!$N:$N,"&gt;="&amp;DATE($I$2,H$4,1),DATA!$N:$N,"&lt;="&amp;DATE($I$2,H$4,H$5))</f>
        <v/>
      </c>
      <c r="I141" s="321">
        <f>SUMIFS(DATA!$M:$M,DATA!$C:$C,$B140,DATA!$N:$N,"&gt;="&amp;DATE($I$2,I$4,1),DATA!$N:$N,"&lt;="&amp;DATE($I$2,I$4,I$5))</f>
        <v/>
      </c>
      <c r="J141" s="321">
        <f>SUMIFS(DATA!$M:$M,DATA!$C:$C,$B140,DATA!$N:$N,"&gt;="&amp;DATE($I$2,J$4,1),DATA!$N:$N,"&lt;="&amp;DATE($I$2,J$4,J$5))</f>
        <v/>
      </c>
      <c r="K141" s="321">
        <f>SUMIFS(DATA!$M:$M,DATA!$C:$C,$B140,DATA!$N:$N,"&gt;="&amp;DATE($I$2,K$4,1),DATA!$N:$N,"&lt;="&amp;DATE($I$2,K$4,K$5))</f>
        <v/>
      </c>
      <c r="L141" s="321">
        <f>SUMIFS(DATA!$M:$M,DATA!$C:$C,$B140,DATA!$N:$N,"&gt;="&amp;DATE($I$2,L$4,1),DATA!$N:$N,"&lt;="&amp;DATE($I$2,L$4,L$5))</f>
        <v/>
      </c>
      <c r="M141" s="321">
        <f>SUMIFS(DATA!$M:$M,DATA!$C:$C,$B140,DATA!$N:$N,"&gt;="&amp;DATE($I$2,M$4,1),DATA!$N:$N,"&lt;="&amp;DATE($I$2,M$4,M$5))</f>
        <v/>
      </c>
      <c r="N141" s="321">
        <f>SUMIFS(DATA!$M:$M,DATA!$C:$C,$B140,DATA!$N:$N,"&gt;="&amp;DATE($I$2,N$4,1),DATA!$N:$N,"&lt;="&amp;DATE($I$2,N$4,N$5))</f>
        <v/>
      </c>
      <c r="O141" s="321">
        <f>SUMIFS(DATA!$M:$M,DATA!$C:$C,$B140,DATA!$N:$N,"&gt;="&amp;DATE($I$2,O$4,1),DATA!$N:$N,"&lt;="&amp;DATE($I$2,O$4,O$5))</f>
        <v/>
      </c>
      <c r="P141" s="322">
        <f>SUM(D141:O141)</f>
        <v/>
      </c>
      <c r="Q141" s="118" t="n"/>
    </row>
    <row r="142" hidden="1" outlineLevel="1" ht="15" customHeight="1">
      <c r="A142" s="269" t="n">
        <v>69</v>
      </c>
      <c r="B142" s="265" t="inlineStr">
        <is>
          <t>HITACHI ENERGY VIETNAM</t>
        </is>
      </c>
      <c r="C142" s="119" t="inlineStr">
        <is>
          <t>Kế hoạch</t>
        </is>
      </c>
      <c r="D142" s="321">
        <f>SUMIFS(DATA!$I:$I,DATA!$C:$C,$B142,DATA!$J:$J,"&gt;="&amp;DATE($I$2,D$4,1),DATA!$J:$J,"&lt;="&amp;DATE($I$2,D$4,D$5))</f>
        <v/>
      </c>
      <c r="E142" s="321">
        <f>SUMIFS(DATA!$I:$I,DATA!$C:$C,$B142,DATA!$J:$J,"&gt;="&amp;DATE($I$2,E$4,1),DATA!$J:$J,"&lt;="&amp;DATE($I$2,E$4,E$5))</f>
        <v/>
      </c>
      <c r="F142" s="321">
        <f>SUMIFS(DATA!$I:$I,DATA!$C:$C,$B142,DATA!$J:$J,"&gt;="&amp;DATE($I$2,F$4,1),DATA!$J:$J,"&lt;="&amp;DATE($I$2,F$4,F$5))</f>
        <v/>
      </c>
      <c r="G142" s="321">
        <f>SUMIFS(DATA!$I:$I,DATA!$C:$C,$B142,DATA!$J:$J,"&gt;="&amp;DATE($I$2,G$4,1),DATA!$J:$J,"&lt;="&amp;DATE($I$2,G$4,G$5))</f>
        <v/>
      </c>
      <c r="H142" s="321">
        <f>SUMIFS(DATA!$I:$I,DATA!$C:$C,$B142,DATA!$J:$J,"&gt;="&amp;DATE($I$2,H$4,1),DATA!$J:$J,"&lt;="&amp;DATE($I$2,H$4,H$5))</f>
        <v/>
      </c>
      <c r="I142" s="321">
        <f>SUMIFS(DATA!$I:$I,DATA!$C:$C,$B142,DATA!$J:$J,"&gt;="&amp;DATE($I$2,I$4,1),DATA!$J:$J,"&lt;="&amp;DATE($I$2,I$4,I$5))</f>
        <v/>
      </c>
      <c r="J142" s="321">
        <f>SUMIFS(DATA!$I:$I,DATA!$C:$C,$B142,DATA!$J:$J,"&gt;="&amp;DATE($I$2,J$4,1),DATA!$J:$J,"&lt;="&amp;DATE($I$2,J$4,J$5))</f>
        <v/>
      </c>
      <c r="K142" s="321">
        <f>SUMIFS(DATA!$I:$I,DATA!$C:$C,$B142,DATA!$J:$J,"&gt;="&amp;DATE($I$2,K$4,1),DATA!$J:$J,"&lt;="&amp;DATE($I$2,K$4,K$5))</f>
        <v/>
      </c>
      <c r="L142" s="321">
        <f>SUMIFS(DATA!$I:$I,DATA!$C:$C,$B142,DATA!$J:$J,"&gt;="&amp;DATE($I$2,L$4,1),DATA!$J:$J,"&lt;="&amp;DATE($I$2,L$4,L$5))</f>
        <v/>
      </c>
      <c r="M142" s="321">
        <f>SUMIFS(DATA!$I:$I,DATA!$C:$C,$B142,DATA!$J:$J,"&gt;="&amp;DATE($I$2,M$4,1),DATA!$J:$J,"&lt;="&amp;DATE($I$2,M$4,M$5))</f>
        <v/>
      </c>
      <c r="N142" s="321">
        <f>SUMIFS(DATA!$I:$I,DATA!$C:$C,$B142,DATA!$J:$J,"&gt;="&amp;DATE($I$2,N$4,1),DATA!$J:$J,"&lt;="&amp;DATE($I$2,N$4,N$5))</f>
        <v/>
      </c>
      <c r="O142" s="321">
        <f>SUMIFS(DATA!$I:$I,DATA!$C:$C,$B142,DATA!$J:$J,"&gt;="&amp;DATE($I$2,O$4,1),DATA!$J:$J,"&lt;="&amp;DATE($I$2,O$4,O$5))</f>
        <v/>
      </c>
      <c r="P142" s="322">
        <f>SUM(D142:O142)</f>
        <v/>
      </c>
      <c r="Q142" s="118" t="n"/>
    </row>
    <row r="143" hidden="1" outlineLevel="1" ht="15" customHeight="1">
      <c r="A143" s="266" t="n"/>
      <c r="B143" s="266" t="n"/>
      <c r="C143" s="119" t="inlineStr">
        <is>
          <t>Thực tế</t>
        </is>
      </c>
      <c r="D143" s="321">
        <f>SUMIFS(DATA!$M:$M,DATA!$C:$C,$B142,DATA!$N:$N,"&gt;="&amp;DATE($I$2,D$4,1),DATA!$N:$N,"&lt;="&amp;DATE($I$2,D$4,D$5))</f>
        <v/>
      </c>
      <c r="E143" s="321">
        <f>SUMIFS(DATA!$M:$M,DATA!$C:$C,$B142,DATA!$N:$N,"&gt;="&amp;DATE($I$2,E$4,1),DATA!$N:$N,"&lt;="&amp;DATE($I$2,E$4,E$5))</f>
        <v/>
      </c>
      <c r="F143" s="321">
        <f>SUMIFS(DATA!$M:$M,DATA!$C:$C,$B142,DATA!$N:$N,"&gt;="&amp;DATE($I$2,F$4,1),DATA!$N:$N,"&lt;="&amp;DATE($I$2,F$4,F$5))</f>
        <v/>
      </c>
      <c r="G143" s="321">
        <f>SUMIFS(DATA!$M:$M,DATA!$C:$C,$B142,DATA!$N:$N,"&gt;="&amp;DATE($I$2,G$4,1),DATA!$N:$N,"&lt;="&amp;DATE($I$2,G$4,G$5))</f>
        <v/>
      </c>
      <c r="H143" s="321">
        <f>SUMIFS(DATA!$M:$M,DATA!$C:$C,$B142,DATA!$N:$N,"&gt;="&amp;DATE($I$2,H$4,1),DATA!$N:$N,"&lt;="&amp;DATE($I$2,H$4,H$5))</f>
        <v/>
      </c>
      <c r="I143" s="321">
        <f>SUMIFS(DATA!$M:$M,DATA!$C:$C,$B142,DATA!$N:$N,"&gt;="&amp;DATE($I$2,I$4,1),DATA!$N:$N,"&lt;="&amp;DATE($I$2,I$4,I$5))</f>
        <v/>
      </c>
      <c r="J143" s="321">
        <f>SUMIFS(DATA!$M:$M,DATA!$C:$C,$B142,DATA!$N:$N,"&gt;="&amp;DATE($I$2,J$4,1),DATA!$N:$N,"&lt;="&amp;DATE($I$2,J$4,J$5))</f>
        <v/>
      </c>
      <c r="K143" s="321">
        <f>SUMIFS(DATA!$M:$M,DATA!$C:$C,$B142,DATA!$N:$N,"&gt;="&amp;DATE($I$2,K$4,1),DATA!$N:$N,"&lt;="&amp;DATE($I$2,K$4,K$5))</f>
        <v/>
      </c>
      <c r="L143" s="321">
        <f>SUMIFS(DATA!$M:$M,DATA!$C:$C,$B142,DATA!$N:$N,"&gt;="&amp;DATE($I$2,L$4,1),DATA!$N:$N,"&lt;="&amp;DATE($I$2,L$4,L$5))</f>
        <v/>
      </c>
      <c r="M143" s="321">
        <f>SUMIFS(DATA!$M:$M,DATA!$C:$C,$B142,DATA!$N:$N,"&gt;="&amp;DATE($I$2,M$4,1),DATA!$N:$N,"&lt;="&amp;DATE($I$2,M$4,M$5))</f>
        <v/>
      </c>
      <c r="N143" s="321">
        <f>SUMIFS(DATA!$M:$M,DATA!$C:$C,$B142,DATA!$N:$N,"&gt;="&amp;DATE($I$2,N$4,1),DATA!$N:$N,"&lt;="&amp;DATE($I$2,N$4,N$5))</f>
        <v/>
      </c>
      <c r="O143" s="321">
        <f>SUMIFS(DATA!$M:$M,DATA!$C:$C,$B142,DATA!$N:$N,"&gt;="&amp;DATE($I$2,O$4,1),DATA!$N:$N,"&lt;="&amp;DATE($I$2,O$4,O$5))</f>
        <v/>
      </c>
      <c r="P143" s="322">
        <f>SUM(D143:O143)</f>
        <v/>
      </c>
      <c r="Q143" s="118" t="n"/>
    </row>
    <row r="144" hidden="1" outlineLevel="1" ht="15" customHeight="1">
      <c r="A144" s="269" t="n">
        <v>70</v>
      </c>
      <c r="B144" s="265" t="inlineStr">
        <is>
          <t>CTY CỔ PHẦN XÂY LẮP CƠ ĐIỆN PHÚ HƯNG (cũ)</t>
        </is>
      </c>
      <c r="C144" s="119" t="inlineStr">
        <is>
          <t>Kế hoạch</t>
        </is>
      </c>
      <c r="D144" s="321">
        <f>SUMIFS(DATA!$I:$I,DATA!$C:$C,$B144,DATA!$J:$J,"&gt;="&amp;DATE($I$2,D$4,1),DATA!$J:$J,"&lt;="&amp;DATE($I$2,D$4,D$5))</f>
        <v/>
      </c>
      <c r="E144" s="321">
        <f>SUMIFS(DATA!$I:$I,DATA!$C:$C,$B144,DATA!$J:$J,"&gt;="&amp;DATE($I$2,E$4,1),DATA!$J:$J,"&lt;="&amp;DATE($I$2,E$4,E$5))</f>
        <v/>
      </c>
      <c r="F144" s="321">
        <f>SUMIFS(DATA!$I:$I,DATA!$C:$C,$B144,DATA!$J:$J,"&gt;="&amp;DATE($I$2,F$4,1),DATA!$J:$J,"&lt;="&amp;DATE($I$2,F$4,F$5))</f>
        <v/>
      </c>
      <c r="G144" s="321">
        <f>SUMIFS(DATA!$I:$I,DATA!$C:$C,$B144,DATA!$J:$J,"&gt;="&amp;DATE($I$2,G$4,1),DATA!$J:$J,"&lt;="&amp;DATE($I$2,G$4,G$5))</f>
        <v/>
      </c>
      <c r="H144" s="321">
        <f>SUMIFS(DATA!$I:$I,DATA!$C:$C,$B144,DATA!$J:$J,"&gt;="&amp;DATE($I$2,H$4,1),DATA!$J:$J,"&lt;="&amp;DATE($I$2,H$4,H$5))</f>
        <v/>
      </c>
      <c r="I144" s="321">
        <f>SUMIFS(DATA!$I:$I,DATA!$C:$C,$B144,DATA!$J:$J,"&gt;="&amp;DATE($I$2,I$4,1),DATA!$J:$J,"&lt;="&amp;DATE($I$2,I$4,I$5))</f>
        <v/>
      </c>
      <c r="J144" s="321">
        <f>SUMIFS(DATA!$I:$I,DATA!$C:$C,$B144,DATA!$J:$J,"&gt;="&amp;DATE($I$2,J$4,1),DATA!$J:$J,"&lt;="&amp;DATE($I$2,J$4,J$5))</f>
        <v/>
      </c>
      <c r="K144" s="321">
        <f>SUMIFS(DATA!$I:$I,DATA!$C:$C,$B144,DATA!$J:$J,"&gt;="&amp;DATE($I$2,K$4,1),DATA!$J:$J,"&lt;="&amp;DATE($I$2,K$4,K$5))</f>
        <v/>
      </c>
      <c r="L144" s="321">
        <f>SUMIFS(DATA!$I:$I,DATA!$C:$C,$B144,DATA!$J:$J,"&gt;="&amp;DATE($I$2,L$4,1),DATA!$J:$J,"&lt;="&amp;DATE($I$2,L$4,L$5))</f>
        <v/>
      </c>
      <c r="M144" s="321">
        <f>SUMIFS(DATA!$I:$I,DATA!$C:$C,$B144,DATA!$J:$J,"&gt;="&amp;DATE($I$2,M$4,1),DATA!$J:$J,"&lt;="&amp;DATE($I$2,M$4,M$5))</f>
        <v/>
      </c>
      <c r="N144" s="321">
        <f>SUMIFS(DATA!$I:$I,DATA!$C:$C,$B144,DATA!$J:$J,"&gt;="&amp;DATE($I$2,N$4,1),DATA!$J:$J,"&lt;="&amp;DATE($I$2,N$4,N$5))</f>
        <v/>
      </c>
      <c r="O144" s="321">
        <f>SUMIFS(DATA!$I:$I,DATA!$C:$C,$B144,DATA!$J:$J,"&gt;="&amp;DATE($I$2,O$4,1),DATA!$J:$J,"&lt;="&amp;DATE($I$2,O$4,O$5))</f>
        <v/>
      </c>
      <c r="P144" s="322">
        <f>SUM(D144:O144)</f>
        <v/>
      </c>
      <c r="Q144" s="118" t="n"/>
    </row>
    <row r="145" hidden="1" outlineLevel="1" ht="15" customHeight="1">
      <c r="A145" s="266" t="n"/>
      <c r="B145" s="266" t="n"/>
      <c r="C145" s="119" t="inlineStr">
        <is>
          <t>Thực tế</t>
        </is>
      </c>
      <c r="D145" s="321">
        <f>SUMIFS(DATA!$M:$M,DATA!$C:$C,$B144,DATA!$N:$N,"&gt;="&amp;DATE($I$2,D$4,1),DATA!$N:$N,"&lt;="&amp;DATE($I$2,D$4,D$5))</f>
        <v/>
      </c>
      <c r="E145" s="321">
        <f>SUMIFS(DATA!$M:$M,DATA!$C:$C,$B144,DATA!$N:$N,"&gt;="&amp;DATE($I$2,E$4,1),DATA!$N:$N,"&lt;="&amp;DATE($I$2,E$4,E$5))</f>
        <v/>
      </c>
      <c r="F145" s="321">
        <f>SUMIFS(DATA!$M:$M,DATA!$C:$C,$B144,DATA!$N:$N,"&gt;="&amp;DATE($I$2,F$4,1),DATA!$N:$N,"&lt;="&amp;DATE($I$2,F$4,F$5))</f>
        <v/>
      </c>
      <c r="G145" s="321">
        <f>SUMIFS(DATA!$M:$M,DATA!$C:$C,$B144,DATA!$N:$N,"&gt;="&amp;DATE($I$2,G$4,1),DATA!$N:$N,"&lt;="&amp;DATE($I$2,G$4,G$5))</f>
        <v/>
      </c>
      <c r="H145" s="321">
        <f>SUMIFS(DATA!$M:$M,DATA!$C:$C,$B144,DATA!$N:$N,"&gt;="&amp;DATE($I$2,H$4,1),DATA!$N:$N,"&lt;="&amp;DATE($I$2,H$4,H$5))</f>
        <v/>
      </c>
      <c r="I145" s="321">
        <f>SUMIFS(DATA!$M:$M,DATA!$C:$C,$B144,DATA!$N:$N,"&gt;="&amp;DATE($I$2,I$4,1),DATA!$N:$N,"&lt;="&amp;DATE($I$2,I$4,I$5))</f>
        <v/>
      </c>
      <c r="J145" s="321">
        <f>SUMIFS(DATA!$M:$M,DATA!$C:$C,$B144,DATA!$N:$N,"&gt;="&amp;DATE($I$2,J$4,1),DATA!$N:$N,"&lt;="&amp;DATE($I$2,J$4,J$5))</f>
        <v/>
      </c>
      <c r="K145" s="321">
        <f>SUMIFS(DATA!$M:$M,DATA!$C:$C,$B144,DATA!$N:$N,"&gt;="&amp;DATE($I$2,K$4,1),DATA!$N:$N,"&lt;="&amp;DATE($I$2,K$4,K$5))</f>
        <v/>
      </c>
      <c r="L145" s="321">
        <f>SUMIFS(DATA!$M:$M,DATA!$C:$C,$B144,DATA!$N:$N,"&gt;="&amp;DATE($I$2,L$4,1),DATA!$N:$N,"&lt;="&amp;DATE($I$2,L$4,L$5))</f>
        <v/>
      </c>
      <c r="M145" s="321">
        <f>SUMIFS(DATA!$M:$M,DATA!$C:$C,$B144,DATA!$N:$N,"&gt;="&amp;DATE($I$2,M$4,1),DATA!$N:$N,"&lt;="&amp;DATE($I$2,M$4,M$5))</f>
        <v/>
      </c>
      <c r="N145" s="321">
        <f>SUMIFS(DATA!$M:$M,DATA!$C:$C,$B144,DATA!$N:$N,"&gt;="&amp;DATE($I$2,N$4,1),DATA!$N:$N,"&lt;="&amp;DATE($I$2,N$4,N$5))</f>
        <v/>
      </c>
      <c r="O145" s="321">
        <f>SUMIFS(DATA!$M:$M,DATA!$C:$C,$B144,DATA!$N:$N,"&gt;="&amp;DATE($I$2,O$4,1),DATA!$N:$N,"&lt;="&amp;DATE($I$2,O$4,O$5))</f>
        <v/>
      </c>
      <c r="P145" s="322">
        <f>SUM(D145:O145)</f>
        <v/>
      </c>
      <c r="Q145" s="118" t="n"/>
    </row>
    <row r="146" hidden="1" outlineLevel="1" ht="15" customHeight="1">
      <c r="A146" s="269" t="n">
        <v>71</v>
      </c>
      <c r="B146" s="265" t="inlineStr">
        <is>
          <t>CIPUTRA CLUB</t>
        </is>
      </c>
      <c r="C146" s="119" t="inlineStr">
        <is>
          <t>Kế hoạch</t>
        </is>
      </c>
      <c r="D146" s="321">
        <f>SUMIFS(DATA!$I:$I,DATA!$C:$C,$B146,DATA!$J:$J,"&gt;="&amp;DATE($I$2,D$4,1),DATA!$J:$J,"&lt;="&amp;DATE($I$2,D$4,D$5))</f>
        <v/>
      </c>
      <c r="E146" s="321">
        <f>SUMIFS(DATA!$I:$I,DATA!$C:$C,$B146,DATA!$J:$J,"&gt;="&amp;DATE($I$2,E$4,1),DATA!$J:$J,"&lt;="&amp;DATE($I$2,E$4,E$5))</f>
        <v/>
      </c>
      <c r="F146" s="321">
        <f>SUMIFS(DATA!$I:$I,DATA!$C:$C,$B146,DATA!$J:$J,"&gt;="&amp;DATE($I$2,F$4,1),DATA!$J:$J,"&lt;="&amp;DATE($I$2,F$4,F$5))</f>
        <v/>
      </c>
      <c r="G146" s="321">
        <f>SUMIFS(DATA!$I:$I,DATA!$C:$C,$B146,DATA!$J:$J,"&gt;="&amp;DATE($I$2,G$4,1),DATA!$J:$J,"&lt;="&amp;DATE($I$2,G$4,G$5))</f>
        <v/>
      </c>
      <c r="H146" s="321">
        <f>SUMIFS(DATA!$I:$I,DATA!$C:$C,$B146,DATA!$J:$J,"&gt;="&amp;DATE($I$2,H$4,1),DATA!$J:$J,"&lt;="&amp;DATE($I$2,H$4,H$5))</f>
        <v/>
      </c>
      <c r="I146" s="321">
        <f>SUMIFS(DATA!$I:$I,DATA!$C:$C,$B146,DATA!$J:$J,"&gt;="&amp;DATE($I$2,I$4,1),DATA!$J:$J,"&lt;="&amp;DATE($I$2,I$4,I$5))</f>
        <v/>
      </c>
      <c r="J146" s="321">
        <f>SUMIFS(DATA!$I:$I,DATA!$C:$C,$B146,DATA!$J:$J,"&gt;="&amp;DATE($I$2,J$4,1),DATA!$J:$J,"&lt;="&amp;DATE($I$2,J$4,J$5))</f>
        <v/>
      </c>
      <c r="K146" s="321">
        <f>SUMIFS(DATA!$I:$I,DATA!$C:$C,$B146,DATA!$J:$J,"&gt;="&amp;DATE($I$2,K$4,1),DATA!$J:$J,"&lt;="&amp;DATE($I$2,K$4,K$5))</f>
        <v/>
      </c>
      <c r="L146" s="321">
        <f>SUMIFS(DATA!$I:$I,DATA!$C:$C,$B146,DATA!$J:$J,"&gt;="&amp;DATE($I$2,L$4,1),DATA!$J:$J,"&lt;="&amp;DATE($I$2,L$4,L$5))</f>
        <v/>
      </c>
      <c r="M146" s="321">
        <f>SUMIFS(DATA!$I:$I,DATA!$C:$C,$B146,DATA!$J:$J,"&gt;="&amp;DATE($I$2,M$4,1),DATA!$J:$J,"&lt;="&amp;DATE($I$2,M$4,M$5))</f>
        <v/>
      </c>
      <c r="N146" s="321">
        <f>SUMIFS(DATA!$I:$I,DATA!$C:$C,$B146,DATA!$J:$J,"&gt;="&amp;DATE($I$2,N$4,1),DATA!$J:$J,"&lt;="&amp;DATE($I$2,N$4,N$5))</f>
        <v/>
      </c>
      <c r="O146" s="321">
        <f>SUMIFS(DATA!$I:$I,DATA!$C:$C,$B146,DATA!$J:$J,"&gt;="&amp;DATE($I$2,O$4,1),DATA!$J:$J,"&lt;="&amp;DATE($I$2,O$4,O$5))</f>
        <v/>
      </c>
      <c r="P146" s="322">
        <f>SUM(D146:O146)</f>
        <v/>
      </c>
      <c r="Q146" s="118" t="n"/>
    </row>
    <row r="147" hidden="1" outlineLevel="1" ht="15" customHeight="1">
      <c r="A147" s="266" t="n"/>
      <c r="B147" s="266" t="n"/>
      <c r="C147" s="119" t="inlineStr">
        <is>
          <t>Thực tế</t>
        </is>
      </c>
      <c r="D147" s="321">
        <f>SUMIFS(DATA!$M:$M,DATA!$C:$C,$B146,DATA!$N:$N,"&gt;="&amp;DATE($I$2,D$4,1),DATA!$N:$N,"&lt;="&amp;DATE($I$2,D$4,D$5))</f>
        <v/>
      </c>
      <c r="E147" s="321">
        <f>SUMIFS(DATA!$M:$M,DATA!$C:$C,$B146,DATA!$N:$N,"&gt;="&amp;DATE($I$2,E$4,1),DATA!$N:$N,"&lt;="&amp;DATE($I$2,E$4,E$5))</f>
        <v/>
      </c>
      <c r="F147" s="321">
        <f>SUMIFS(DATA!$M:$M,DATA!$C:$C,$B146,DATA!$N:$N,"&gt;="&amp;DATE($I$2,F$4,1),DATA!$N:$N,"&lt;="&amp;DATE($I$2,F$4,F$5))</f>
        <v/>
      </c>
      <c r="G147" s="321">
        <f>SUMIFS(DATA!$M:$M,DATA!$C:$C,$B146,DATA!$N:$N,"&gt;="&amp;DATE($I$2,G$4,1),DATA!$N:$N,"&lt;="&amp;DATE($I$2,G$4,G$5))</f>
        <v/>
      </c>
      <c r="H147" s="321">
        <f>SUMIFS(DATA!$M:$M,DATA!$C:$C,$B146,DATA!$N:$N,"&gt;="&amp;DATE($I$2,H$4,1),DATA!$N:$N,"&lt;="&amp;DATE($I$2,H$4,H$5))</f>
        <v/>
      </c>
      <c r="I147" s="321">
        <f>SUMIFS(DATA!$M:$M,DATA!$C:$C,$B146,DATA!$N:$N,"&gt;="&amp;DATE($I$2,I$4,1),DATA!$N:$N,"&lt;="&amp;DATE($I$2,I$4,I$5))</f>
        <v/>
      </c>
      <c r="J147" s="321">
        <f>SUMIFS(DATA!$M:$M,DATA!$C:$C,$B146,DATA!$N:$N,"&gt;="&amp;DATE($I$2,J$4,1),DATA!$N:$N,"&lt;="&amp;DATE($I$2,J$4,J$5))</f>
        <v/>
      </c>
      <c r="K147" s="321">
        <f>SUMIFS(DATA!$M:$M,DATA!$C:$C,$B146,DATA!$N:$N,"&gt;="&amp;DATE($I$2,K$4,1),DATA!$N:$N,"&lt;="&amp;DATE($I$2,K$4,K$5))</f>
        <v/>
      </c>
      <c r="L147" s="321">
        <f>SUMIFS(DATA!$M:$M,DATA!$C:$C,$B146,DATA!$N:$N,"&gt;="&amp;DATE($I$2,L$4,1),DATA!$N:$N,"&lt;="&amp;DATE($I$2,L$4,L$5))</f>
        <v/>
      </c>
      <c r="M147" s="321">
        <f>SUMIFS(DATA!$M:$M,DATA!$C:$C,$B146,DATA!$N:$N,"&gt;="&amp;DATE($I$2,M$4,1),DATA!$N:$N,"&lt;="&amp;DATE($I$2,M$4,M$5))</f>
        <v/>
      </c>
      <c r="N147" s="321">
        <f>SUMIFS(DATA!$M:$M,DATA!$C:$C,$B146,DATA!$N:$N,"&gt;="&amp;DATE($I$2,N$4,1),DATA!$N:$N,"&lt;="&amp;DATE($I$2,N$4,N$5))</f>
        <v/>
      </c>
      <c r="O147" s="321">
        <f>SUMIFS(DATA!$M:$M,DATA!$C:$C,$B146,DATA!$N:$N,"&gt;="&amp;DATE($I$2,O$4,1),DATA!$N:$N,"&lt;="&amp;DATE($I$2,O$4,O$5))</f>
        <v/>
      </c>
      <c r="P147" s="322">
        <f>SUM(D147:O147)</f>
        <v/>
      </c>
      <c r="Q147" s="118" t="n"/>
    </row>
    <row r="148" hidden="1" outlineLevel="1" ht="15" customHeight="1">
      <c r="A148" s="269" t="n">
        <v>72</v>
      </c>
      <c r="B148" s="265" t="inlineStr">
        <is>
          <t>CÔNG TY CỔ PHẦN XÂY DỰNG &amp; THƯƠNG MẠI NIKKOH</t>
        </is>
      </c>
      <c r="C148" s="119" t="inlineStr">
        <is>
          <t>Kế hoạch</t>
        </is>
      </c>
      <c r="D148" s="321">
        <f>SUMIFS(DATA!$I:$I,DATA!$C:$C,$B148,DATA!$J:$J,"&gt;="&amp;DATE($I$2,D$4,1),DATA!$J:$J,"&lt;="&amp;DATE($I$2,D$4,D$5))</f>
        <v/>
      </c>
      <c r="E148" s="321">
        <f>SUMIFS(DATA!$I:$I,DATA!$C:$C,$B148,DATA!$J:$J,"&gt;="&amp;DATE($I$2,E$4,1),DATA!$J:$J,"&lt;="&amp;DATE($I$2,E$4,E$5))</f>
        <v/>
      </c>
      <c r="F148" s="321">
        <f>SUMIFS(DATA!$I:$I,DATA!$C:$C,$B148,DATA!$J:$J,"&gt;="&amp;DATE($I$2,F$4,1),DATA!$J:$J,"&lt;="&amp;DATE($I$2,F$4,F$5))</f>
        <v/>
      </c>
      <c r="G148" s="321">
        <f>SUMIFS(DATA!$I:$I,DATA!$C:$C,$B148,DATA!$J:$J,"&gt;="&amp;DATE($I$2,G$4,1),DATA!$J:$J,"&lt;="&amp;DATE($I$2,G$4,G$5))</f>
        <v/>
      </c>
      <c r="H148" s="321">
        <f>SUMIFS(DATA!$I:$I,DATA!$C:$C,$B148,DATA!$J:$J,"&gt;="&amp;DATE($I$2,H$4,1),DATA!$J:$J,"&lt;="&amp;DATE($I$2,H$4,H$5))</f>
        <v/>
      </c>
      <c r="I148" s="321">
        <f>SUMIFS(DATA!$I:$I,DATA!$C:$C,$B148,DATA!$J:$J,"&gt;="&amp;DATE($I$2,I$4,1),DATA!$J:$J,"&lt;="&amp;DATE($I$2,I$4,I$5))</f>
        <v/>
      </c>
      <c r="J148" s="321">
        <f>SUMIFS(DATA!$I:$I,DATA!$C:$C,$B148,DATA!$J:$J,"&gt;="&amp;DATE($I$2,J$4,1),DATA!$J:$J,"&lt;="&amp;DATE($I$2,J$4,J$5))</f>
        <v/>
      </c>
      <c r="K148" s="321">
        <f>SUMIFS(DATA!$I:$I,DATA!$C:$C,$B148,DATA!$J:$J,"&gt;="&amp;DATE($I$2,K$4,1),DATA!$J:$J,"&lt;="&amp;DATE($I$2,K$4,K$5))</f>
        <v/>
      </c>
      <c r="L148" s="321">
        <f>SUMIFS(DATA!$I:$I,DATA!$C:$C,$B148,DATA!$J:$J,"&gt;="&amp;DATE($I$2,L$4,1),DATA!$J:$J,"&lt;="&amp;DATE($I$2,L$4,L$5))</f>
        <v/>
      </c>
      <c r="M148" s="321">
        <f>SUMIFS(DATA!$I:$I,DATA!$C:$C,$B148,DATA!$J:$J,"&gt;="&amp;DATE($I$2,M$4,1),DATA!$J:$J,"&lt;="&amp;DATE($I$2,M$4,M$5))</f>
        <v/>
      </c>
      <c r="N148" s="321">
        <f>SUMIFS(DATA!$I:$I,DATA!$C:$C,$B148,DATA!$J:$J,"&gt;="&amp;DATE($I$2,N$4,1),DATA!$J:$J,"&lt;="&amp;DATE($I$2,N$4,N$5))</f>
        <v/>
      </c>
      <c r="O148" s="321">
        <f>SUMIFS(DATA!$I:$I,DATA!$C:$C,$B148,DATA!$J:$J,"&gt;="&amp;DATE($I$2,O$4,1),DATA!$J:$J,"&lt;="&amp;DATE($I$2,O$4,O$5))</f>
        <v/>
      </c>
      <c r="P148" s="322">
        <f>SUM(D148:O148)</f>
        <v/>
      </c>
      <c r="Q148" s="118" t="n"/>
    </row>
    <row r="149" hidden="1" outlineLevel="1" ht="15" customHeight="1">
      <c r="A149" s="266" t="n"/>
      <c r="B149" s="266" t="n"/>
      <c r="C149" s="119" t="inlineStr">
        <is>
          <t>Thực tế</t>
        </is>
      </c>
      <c r="D149" s="321">
        <f>SUMIFS(DATA!$M:$M,DATA!$C:$C,$B148,DATA!$N:$N,"&gt;="&amp;DATE($I$2,D$4,1),DATA!$N:$N,"&lt;="&amp;DATE($I$2,D$4,D$5))</f>
        <v/>
      </c>
      <c r="E149" s="321">
        <f>SUMIFS(DATA!$M:$M,DATA!$C:$C,$B148,DATA!$N:$N,"&gt;="&amp;DATE($I$2,E$4,1),DATA!$N:$N,"&lt;="&amp;DATE($I$2,E$4,E$5))</f>
        <v/>
      </c>
      <c r="F149" s="321">
        <f>SUMIFS(DATA!$M:$M,DATA!$C:$C,$B148,DATA!$N:$N,"&gt;="&amp;DATE($I$2,F$4,1),DATA!$N:$N,"&lt;="&amp;DATE($I$2,F$4,F$5))</f>
        <v/>
      </c>
      <c r="G149" s="321">
        <f>SUMIFS(DATA!$M:$M,DATA!$C:$C,$B148,DATA!$N:$N,"&gt;="&amp;DATE($I$2,G$4,1),DATA!$N:$N,"&lt;="&amp;DATE($I$2,G$4,G$5))</f>
        <v/>
      </c>
      <c r="H149" s="321">
        <f>SUMIFS(DATA!$M:$M,DATA!$C:$C,$B148,DATA!$N:$N,"&gt;="&amp;DATE($I$2,H$4,1),DATA!$N:$N,"&lt;="&amp;DATE($I$2,H$4,H$5))</f>
        <v/>
      </c>
      <c r="I149" s="321">
        <f>SUMIFS(DATA!$M:$M,DATA!$C:$C,$B148,DATA!$N:$N,"&gt;="&amp;DATE($I$2,I$4,1),DATA!$N:$N,"&lt;="&amp;DATE($I$2,I$4,I$5))</f>
        <v/>
      </c>
      <c r="J149" s="321">
        <f>SUMIFS(DATA!$M:$M,DATA!$C:$C,$B148,DATA!$N:$N,"&gt;="&amp;DATE($I$2,J$4,1),DATA!$N:$N,"&lt;="&amp;DATE($I$2,J$4,J$5))</f>
        <v/>
      </c>
      <c r="K149" s="321">
        <f>SUMIFS(DATA!$M:$M,DATA!$C:$C,$B148,DATA!$N:$N,"&gt;="&amp;DATE($I$2,K$4,1),DATA!$N:$N,"&lt;="&amp;DATE($I$2,K$4,K$5))</f>
        <v/>
      </c>
      <c r="L149" s="321">
        <f>SUMIFS(DATA!$M:$M,DATA!$C:$C,$B148,DATA!$N:$N,"&gt;="&amp;DATE($I$2,L$4,1),DATA!$N:$N,"&lt;="&amp;DATE($I$2,L$4,L$5))</f>
        <v/>
      </c>
      <c r="M149" s="321">
        <f>SUMIFS(DATA!$M:$M,DATA!$C:$C,$B148,DATA!$N:$N,"&gt;="&amp;DATE($I$2,M$4,1),DATA!$N:$N,"&lt;="&amp;DATE($I$2,M$4,M$5))</f>
        <v/>
      </c>
      <c r="N149" s="321">
        <f>SUMIFS(DATA!$M:$M,DATA!$C:$C,$B148,DATA!$N:$N,"&gt;="&amp;DATE($I$2,N$4,1),DATA!$N:$N,"&lt;="&amp;DATE($I$2,N$4,N$5))</f>
        <v/>
      </c>
      <c r="O149" s="321">
        <f>SUMIFS(DATA!$M:$M,DATA!$C:$C,$B148,DATA!$N:$N,"&gt;="&amp;DATE($I$2,O$4,1),DATA!$N:$N,"&lt;="&amp;DATE($I$2,O$4,O$5))</f>
        <v/>
      </c>
      <c r="P149" s="322">
        <f>SUM(D149:O149)</f>
        <v/>
      </c>
      <c r="Q149" s="118" t="n"/>
    </row>
    <row r="150" hidden="1" outlineLevel="1" ht="15" customHeight="1">
      <c r="A150" s="269" t="n">
        <v>73</v>
      </c>
      <c r="B150" s="265" t="inlineStr">
        <is>
          <t>TRƯỜNG ĐÀO TẠO VIETCOMBANK</t>
        </is>
      </c>
      <c r="C150" s="119" t="inlineStr">
        <is>
          <t>Kế hoạch</t>
        </is>
      </c>
      <c r="D150" s="321">
        <f>SUMIFS(DATA!$I:$I,DATA!$C:$C,$B150,DATA!$J:$J,"&gt;="&amp;DATE($I$2,D$4,1),DATA!$J:$J,"&lt;="&amp;DATE($I$2,D$4,D$5))</f>
        <v/>
      </c>
      <c r="E150" s="321">
        <f>SUMIFS(DATA!$I:$I,DATA!$C:$C,$B150,DATA!$J:$J,"&gt;="&amp;DATE($I$2,E$4,1),DATA!$J:$J,"&lt;="&amp;DATE($I$2,E$4,E$5))</f>
        <v/>
      </c>
      <c r="F150" s="321">
        <f>SUMIFS(DATA!$I:$I,DATA!$C:$C,$B150,DATA!$J:$J,"&gt;="&amp;DATE($I$2,F$4,1),DATA!$J:$J,"&lt;="&amp;DATE($I$2,F$4,F$5))</f>
        <v/>
      </c>
      <c r="G150" s="321">
        <f>SUMIFS(DATA!$I:$I,DATA!$C:$C,$B150,DATA!$J:$J,"&gt;="&amp;DATE($I$2,G$4,1),DATA!$J:$J,"&lt;="&amp;DATE($I$2,G$4,G$5))</f>
        <v/>
      </c>
      <c r="H150" s="321">
        <f>SUMIFS(DATA!$I:$I,DATA!$C:$C,$B150,DATA!$J:$J,"&gt;="&amp;DATE($I$2,H$4,1),DATA!$J:$J,"&lt;="&amp;DATE($I$2,H$4,H$5))</f>
        <v/>
      </c>
      <c r="I150" s="321">
        <f>SUMIFS(DATA!$I:$I,DATA!$C:$C,$B150,DATA!$J:$J,"&gt;="&amp;DATE($I$2,I$4,1),DATA!$J:$J,"&lt;="&amp;DATE($I$2,I$4,I$5))</f>
        <v/>
      </c>
      <c r="J150" s="321">
        <f>SUMIFS(DATA!$I:$I,DATA!$C:$C,$B150,DATA!$J:$J,"&gt;="&amp;DATE($I$2,J$4,1),DATA!$J:$J,"&lt;="&amp;DATE($I$2,J$4,J$5))</f>
        <v/>
      </c>
      <c r="K150" s="321">
        <f>SUMIFS(DATA!$I:$I,DATA!$C:$C,$B150,DATA!$J:$J,"&gt;="&amp;DATE($I$2,K$4,1),DATA!$J:$J,"&lt;="&amp;DATE($I$2,K$4,K$5))</f>
        <v/>
      </c>
      <c r="L150" s="321">
        <f>SUMIFS(DATA!$I:$I,DATA!$C:$C,$B150,DATA!$J:$J,"&gt;="&amp;DATE($I$2,L$4,1),DATA!$J:$J,"&lt;="&amp;DATE($I$2,L$4,L$5))</f>
        <v/>
      </c>
      <c r="M150" s="321">
        <f>SUMIFS(DATA!$I:$I,DATA!$C:$C,$B150,DATA!$J:$J,"&gt;="&amp;DATE($I$2,M$4,1),DATA!$J:$J,"&lt;="&amp;DATE($I$2,M$4,M$5))</f>
        <v/>
      </c>
      <c r="N150" s="321">
        <f>SUMIFS(DATA!$I:$I,DATA!$C:$C,$B150,DATA!$J:$J,"&gt;="&amp;DATE($I$2,N$4,1),DATA!$J:$J,"&lt;="&amp;DATE($I$2,N$4,N$5))</f>
        <v/>
      </c>
      <c r="O150" s="321">
        <f>SUMIFS(DATA!$I:$I,DATA!$C:$C,$B150,DATA!$J:$J,"&gt;="&amp;DATE($I$2,O$4,1),DATA!$J:$J,"&lt;="&amp;DATE($I$2,O$4,O$5))</f>
        <v/>
      </c>
      <c r="P150" s="322">
        <f>SUM(D150:O150)</f>
        <v/>
      </c>
      <c r="Q150" s="118" t="n"/>
    </row>
    <row r="151" hidden="1" outlineLevel="1" ht="15" customHeight="1">
      <c r="A151" s="266" t="n"/>
      <c r="B151" s="266" t="n"/>
      <c r="C151" s="119" t="inlineStr">
        <is>
          <t>Thực tế</t>
        </is>
      </c>
      <c r="D151" s="321">
        <f>SUMIFS(DATA!$M:$M,DATA!$C:$C,$B150,DATA!$N:$N,"&gt;="&amp;DATE($I$2,D$4,1),DATA!$N:$N,"&lt;="&amp;DATE($I$2,D$4,D$5))</f>
        <v/>
      </c>
      <c r="E151" s="321">
        <f>SUMIFS(DATA!$M:$M,DATA!$C:$C,$B150,DATA!$N:$N,"&gt;="&amp;DATE($I$2,E$4,1),DATA!$N:$N,"&lt;="&amp;DATE($I$2,E$4,E$5))</f>
        <v/>
      </c>
      <c r="F151" s="321">
        <f>SUMIFS(DATA!$M:$M,DATA!$C:$C,$B150,DATA!$N:$N,"&gt;="&amp;DATE($I$2,F$4,1),DATA!$N:$N,"&lt;="&amp;DATE($I$2,F$4,F$5))</f>
        <v/>
      </c>
      <c r="G151" s="321">
        <f>SUMIFS(DATA!$M:$M,DATA!$C:$C,$B150,DATA!$N:$N,"&gt;="&amp;DATE($I$2,G$4,1),DATA!$N:$N,"&lt;="&amp;DATE($I$2,G$4,G$5))</f>
        <v/>
      </c>
      <c r="H151" s="321">
        <f>SUMIFS(DATA!$M:$M,DATA!$C:$C,$B150,DATA!$N:$N,"&gt;="&amp;DATE($I$2,H$4,1),DATA!$N:$N,"&lt;="&amp;DATE($I$2,H$4,H$5))</f>
        <v/>
      </c>
      <c r="I151" s="321">
        <f>SUMIFS(DATA!$M:$M,DATA!$C:$C,$B150,DATA!$N:$N,"&gt;="&amp;DATE($I$2,I$4,1),DATA!$N:$N,"&lt;="&amp;DATE($I$2,I$4,I$5))</f>
        <v/>
      </c>
      <c r="J151" s="321">
        <f>SUMIFS(DATA!$M:$M,DATA!$C:$C,$B150,DATA!$N:$N,"&gt;="&amp;DATE($I$2,J$4,1),DATA!$N:$N,"&lt;="&amp;DATE($I$2,J$4,J$5))</f>
        <v/>
      </c>
      <c r="K151" s="321">
        <f>SUMIFS(DATA!$M:$M,DATA!$C:$C,$B150,DATA!$N:$N,"&gt;="&amp;DATE($I$2,K$4,1),DATA!$N:$N,"&lt;="&amp;DATE($I$2,K$4,K$5))</f>
        <v/>
      </c>
      <c r="L151" s="321">
        <f>SUMIFS(DATA!$M:$M,DATA!$C:$C,$B150,DATA!$N:$N,"&gt;="&amp;DATE($I$2,L$4,1),DATA!$N:$N,"&lt;="&amp;DATE($I$2,L$4,L$5))</f>
        <v/>
      </c>
      <c r="M151" s="321">
        <f>SUMIFS(DATA!$M:$M,DATA!$C:$C,$B150,DATA!$N:$N,"&gt;="&amp;DATE($I$2,M$4,1),DATA!$N:$N,"&lt;="&amp;DATE($I$2,M$4,M$5))</f>
        <v/>
      </c>
      <c r="N151" s="321">
        <f>SUMIFS(DATA!$M:$M,DATA!$C:$C,$B150,DATA!$N:$N,"&gt;="&amp;DATE($I$2,N$4,1),DATA!$N:$N,"&lt;="&amp;DATE($I$2,N$4,N$5))</f>
        <v/>
      </c>
      <c r="O151" s="321">
        <f>SUMIFS(DATA!$M:$M,DATA!$C:$C,$B150,DATA!$N:$N,"&gt;="&amp;DATE($I$2,O$4,1),DATA!$N:$N,"&lt;="&amp;DATE($I$2,O$4,O$5))</f>
        <v/>
      </c>
      <c r="P151" s="322">
        <f>SUM(D151:O151)</f>
        <v/>
      </c>
      <c r="Q151" s="118" t="n"/>
    </row>
    <row r="152" hidden="1" outlineLevel="1" ht="15" customHeight="1">
      <c r="A152" s="269" t="n">
        <v>74</v>
      </c>
      <c r="B152" s="265" t="inlineStr">
        <is>
          <t>THE DEWEY SCHOOLS</t>
        </is>
      </c>
      <c r="C152" s="119" t="inlineStr">
        <is>
          <t>Kế hoạch</t>
        </is>
      </c>
      <c r="D152" s="321">
        <f>SUMIFS(DATA!$I:$I,DATA!$C:$C,$B152,DATA!$J:$J,"&gt;="&amp;DATE($I$2,D$4,1),DATA!$J:$J,"&lt;="&amp;DATE($I$2,D$4,D$5))</f>
        <v/>
      </c>
      <c r="E152" s="321">
        <f>SUMIFS(DATA!$I:$I,DATA!$C:$C,$B152,DATA!$J:$J,"&gt;="&amp;DATE($I$2,E$4,1),DATA!$J:$J,"&lt;="&amp;DATE($I$2,E$4,E$5))</f>
        <v/>
      </c>
      <c r="F152" s="321">
        <f>SUMIFS(DATA!$I:$I,DATA!$C:$C,$B152,DATA!$J:$J,"&gt;="&amp;DATE($I$2,F$4,1),DATA!$J:$J,"&lt;="&amp;DATE($I$2,F$4,F$5))</f>
        <v/>
      </c>
      <c r="G152" s="321">
        <f>SUMIFS(DATA!$I:$I,DATA!$C:$C,$B152,DATA!$J:$J,"&gt;="&amp;DATE($I$2,G$4,1),DATA!$J:$J,"&lt;="&amp;DATE($I$2,G$4,G$5))</f>
        <v/>
      </c>
      <c r="H152" s="321">
        <f>SUMIFS(DATA!$I:$I,DATA!$C:$C,$B152,DATA!$J:$J,"&gt;="&amp;DATE($I$2,H$4,1),DATA!$J:$J,"&lt;="&amp;DATE($I$2,H$4,H$5))</f>
        <v/>
      </c>
      <c r="I152" s="321">
        <f>SUMIFS(DATA!$I:$I,DATA!$C:$C,$B152,DATA!$J:$J,"&gt;="&amp;DATE($I$2,I$4,1),DATA!$J:$J,"&lt;="&amp;DATE($I$2,I$4,I$5))</f>
        <v/>
      </c>
      <c r="J152" s="321">
        <f>SUMIFS(DATA!$I:$I,DATA!$C:$C,$B152,DATA!$J:$J,"&gt;="&amp;DATE($I$2,J$4,1),DATA!$J:$J,"&lt;="&amp;DATE($I$2,J$4,J$5))</f>
        <v/>
      </c>
      <c r="K152" s="321">
        <f>SUMIFS(DATA!$I:$I,DATA!$C:$C,$B152,DATA!$J:$J,"&gt;="&amp;DATE($I$2,K$4,1),DATA!$J:$J,"&lt;="&amp;DATE($I$2,K$4,K$5))</f>
        <v/>
      </c>
      <c r="L152" s="321">
        <f>SUMIFS(DATA!$I:$I,DATA!$C:$C,$B152,DATA!$J:$J,"&gt;="&amp;DATE($I$2,L$4,1),DATA!$J:$J,"&lt;="&amp;DATE($I$2,L$4,L$5))</f>
        <v/>
      </c>
      <c r="M152" s="321">
        <f>SUMIFS(DATA!$I:$I,DATA!$C:$C,$B152,DATA!$J:$J,"&gt;="&amp;DATE($I$2,M$4,1),DATA!$J:$J,"&lt;="&amp;DATE($I$2,M$4,M$5))</f>
        <v/>
      </c>
      <c r="N152" s="321">
        <f>SUMIFS(DATA!$I:$I,DATA!$C:$C,$B152,DATA!$J:$J,"&gt;="&amp;DATE($I$2,N$4,1),DATA!$J:$J,"&lt;="&amp;DATE($I$2,N$4,N$5))</f>
        <v/>
      </c>
      <c r="O152" s="321">
        <f>SUMIFS(DATA!$I:$I,DATA!$C:$C,$B152,DATA!$J:$J,"&gt;="&amp;DATE($I$2,O$4,1),DATA!$J:$J,"&lt;="&amp;DATE($I$2,O$4,O$5))</f>
        <v/>
      </c>
      <c r="P152" s="322">
        <f>SUM(D152:O152)</f>
        <v/>
      </c>
      <c r="Q152" s="118" t="n"/>
    </row>
    <row r="153" hidden="1" outlineLevel="1" ht="15" customHeight="1">
      <c r="A153" s="266" t="n"/>
      <c r="B153" s="266" t="n"/>
      <c r="C153" s="119" t="inlineStr">
        <is>
          <t>Thực tế</t>
        </is>
      </c>
      <c r="D153" s="321">
        <f>SUMIFS(DATA!$M:$M,DATA!$C:$C,$B152,DATA!$N:$N,"&gt;="&amp;DATE($I$2,D$4,1),DATA!$N:$N,"&lt;="&amp;DATE($I$2,D$4,D$5))</f>
        <v/>
      </c>
      <c r="E153" s="321">
        <f>SUMIFS(DATA!$M:$M,DATA!$C:$C,$B152,DATA!$N:$N,"&gt;="&amp;DATE($I$2,E$4,1),DATA!$N:$N,"&lt;="&amp;DATE($I$2,E$4,E$5))</f>
        <v/>
      </c>
      <c r="F153" s="321">
        <f>SUMIFS(DATA!$M:$M,DATA!$C:$C,$B152,DATA!$N:$N,"&gt;="&amp;DATE($I$2,F$4,1),DATA!$N:$N,"&lt;="&amp;DATE($I$2,F$4,F$5))</f>
        <v/>
      </c>
      <c r="G153" s="321">
        <f>SUMIFS(DATA!$M:$M,DATA!$C:$C,$B152,DATA!$N:$N,"&gt;="&amp;DATE($I$2,G$4,1),DATA!$N:$N,"&lt;="&amp;DATE($I$2,G$4,G$5))</f>
        <v/>
      </c>
      <c r="H153" s="321">
        <f>SUMIFS(DATA!$M:$M,DATA!$C:$C,$B152,DATA!$N:$N,"&gt;="&amp;DATE($I$2,H$4,1),DATA!$N:$N,"&lt;="&amp;DATE($I$2,H$4,H$5))</f>
        <v/>
      </c>
      <c r="I153" s="321">
        <f>SUMIFS(DATA!$M:$M,DATA!$C:$C,$B152,DATA!$N:$N,"&gt;="&amp;DATE($I$2,I$4,1),DATA!$N:$N,"&lt;="&amp;DATE($I$2,I$4,I$5))</f>
        <v/>
      </c>
      <c r="J153" s="321">
        <f>SUMIFS(DATA!$M:$M,DATA!$C:$C,$B152,DATA!$N:$N,"&gt;="&amp;DATE($I$2,J$4,1),DATA!$N:$N,"&lt;="&amp;DATE($I$2,J$4,J$5))</f>
        <v/>
      </c>
      <c r="K153" s="321">
        <f>SUMIFS(DATA!$M:$M,DATA!$C:$C,$B152,DATA!$N:$N,"&gt;="&amp;DATE($I$2,K$4,1),DATA!$N:$N,"&lt;="&amp;DATE($I$2,K$4,K$5))</f>
        <v/>
      </c>
      <c r="L153" s="321">
        <f>SUMIFS(DATA!$M:$M,DATA!$C:$C,$B152,DATA!$N:$N,"&gt;="&amp;DATE($I$2,L$4,1),DATA!$N:$N,"&lt;="&amp;DATE($I$2,L$4,L$5))</f>
        <v/>
      </c>
      <c r="M153" s="321">
        <f>SUMIFS(DATA!$M:$M,DATA!$C:$C,$B152,DATA!$N:$N,"&gt;="&amp;DATE($I$2,M$4,1),DATA!$N:$N,"&lt;="&amp;DATE($I$2,M$4,M$5))</f>
        <v/>
      </c>
      <c r="N153" s="321">
        <f>SUMIFS(DATA!$M:$M,DATA!$C:$C,$B152,DATA!$N:$N,"&gt;="&amp;DATE($I$2,N$4,1),DATA!$N:$N,"&lt;="&amp;DATE($I$2,N$4,N$5))</f>
        <v/>
      </c>
      <c r="O153" s="321">
        <f>SUMIFS(DATA!$M:$M,DATA!$C:$C,$B152,DATA!$N:$N,"&gt;="&amp;DATE($I$2,O$4,1),DATA!$N:$N,"&lt;="&amp;DATE($I$2,O$4,O$5))</f>
        <v/>
      </c>
      <c r="P153" s="322">
        <f>SUM(D153:O153)</f>
        <v/>
      </c>
      <c r="Q153" s="118" t="n"/>
    </row>
    <row r="154" hidden="1" outlineLevel="1" ht="15" customHeight="1">
      <c r="A154" s="269" t="n">
        <v>75</v>
      </c>
      <c r="B154" s="265" t="inlineStr">
        <is>
          <t>CÔNG TY TNHH THÁP LÁNG HẠ(Inactive)</t>
        </is>
      </c>
      <c r="C154" s="119" t="inlineStr">
        <is>
          <t>Kế hoạch</t>
        </is>
      </c>
      <c r="D154" s="321">
        <f>SUMIFS(DATA!$I:$I,DATA!$C:$C,$B154,DATA!$J:$J,"&gt;="&amp;DATE($I$2,D$4,1),DATA!$J:$J,"&lt;="&amp;DATE($I$2,D$4,D$5))</f>
        <v/>
      </c>
      <c r="E154" s="321">
        <f>SUMIFS(DATA!$I:$I,DATA!$C:$C,$B154,DATA!$J:$J,"&gt;="&amp;DATE($I$2,E$4,1),DATA!$J:$J,"&lt;="&amp;DATE($I$2,E$4,E$5))</f>
        <v/>
      </c>
      <c r="F154" s="321">
        <f>SUMIFS(DATA!$I:$I,DATA!$C:$C,$B154,DATA!$J:$J,"&gt;="&amp;DATE($I$2,F$4,1),DATA!$J:$J,"&lt;="&amp;DATE($I$2,F$4,F$5))</f>
        <v/>
      </c>
      <c r="G154" s="321">
        <f>SUMIFS(DATA!$I:$I,DATA!$C:$C,$B154,DATA!$J:$J,"&gt;="&amp;DATE($I$2,G$4,1),DATA!$J:$J,"&lt;="&amp;DATE($I$2,G$4,G$5))</f>
        <v/>
      </c>
      <c r="H154" s="321">
        <f>SUMIFS(DATA!$I:$I,DATA!$C:$C,$B154,DATA!$J:$J,"&gt;="&amp;DATE($I$2,H$4,1),DATA!$J:$J,"&lt;="&amp;DATE($I$2,H$4,H$5))</f>
        <v/>
      </c>
      <c r="I154" s="321">
        <f>SUMIFS(DATA!$I:$I,DATA!$C:$C,$B154,DATA!$J:$J,"&gt;="&amp;DATE($I$2,I$4,1),DATA!$J:$J,"&lt;="&amp;DATE($I$2,I$4,I$5))</f>
        <v/>
      </c>
      <c r="J154" s="321">
        <f>SUMIFS(DATA!$I:$I,DATA!$C:$C,$B154,DATA!$J:$J,"&gt;="&amp;DATE($I$2,J$4,1),DATA!$J:$J,"&lt;="&amp;DATE($I$2,J$4,J$5))</f>
        <v/>
      </c>
      <c r="K154" s="321">
        <f>SUMIFS(DATA!$I:$I,DATA!$C:$C,$B154,DATA!$J:$J,"&gt;="&amp;DATE($I$2,K$4,1),DATA!$J:$J,"&lt;="&amp;DATE($I$2,K$4,K$5))</f>
        <v/>
      </c>
      <c r="L154" s="321">
        <f>SUMIFS(DATA!$I:$I,DATA!$C:$C,$B154,DATA!$J:$J,"&gt;="&amp;DATE($I$2,L$4,1),DATA!$J:$J,"&lt;="&amp;DATE($I$2,L$4,L$5))</f>
        <v/>
      </c>
      <c r="M154" s="321">
        <f>SUMIFS(DATA!$I:$I,DATA!$C:$C,$B154,DATA!$J:$J,"&gt;="&amp;DATE($I$2,M$4,1),DATA!$J:$J,"&lt;="&amp;DATE($I$2,M$4,M$5))</f>
        <v/>
      </c>
      <c r="N154" s="321">
        <f>SUMIFS(DATA!$I:$I,DATA!$C:$C,$B154,DATA!$J:$J,"&gt;="&amp;DATE($I$2,N$4,1),DATA!$J:$J,"&lt;="&amp;DATE($I$2,N$4,N$5))</f>
        <v/>
      </c>
      <c r="O154" s="321">
        <f>SUMIFS(DATA!$I:$I,DATA!$C:$C,$B154,DATA!$J:$J,"&gt;="&amp;DATE($I$2,O$4,1),DATA!$J:$J,"&lt;="&amp;DATE($I$2,O$4,O$5))</f>
        <v/>
      </c>
      <c r="P154" s="322">
        <f>SUM(D154:O154)</f>
        <v/>
      </c>
      <c r="Q154" s="118" t="n"/>
    </row>
    <row r="155" hidden="1" outlineLevel="1" ht="15" customHeight="1">
      <c r="A155" s="266" t="n"/>
      <c r="B155" s="266" t="n"/>
      <c r="C155" s="119" t="inlineStr">
        <is>
          <t>Thực tế</t>
        </is>
      </c>
      <c r="D155" s="321">
        <f>SUMIFS(DATA!$M:$M,DATA!$C:$C,$B154,DATA!$N:$N,"&gt;="&amp;DATE($I$2,D$4,1),DATA!$N:$N,"&lt;="&amp;DATE($I$2,D$4,D$5))</f>
        <v/>
      </c>
      <c r="E155" s="321">
        <f>SUMIFS(DATA!$M:$M,DATA!$C:$C,$B154,DATA!$N:$N,"&gt;="&amp;DATE($I$2,E$4,1),DATA!$N:$N,"&lt;="&amp;DATE($I$2,E$4,E$5))</f>
        <v/>
      </c>
      <c r="F155" s="321">
        <f>SUMIFS(DATA!$M:$M,DATA!$C:$C,$B154,DATA!$N:$N,"&gt;="&amp;DATE($I$2,F$4,1),DATA!$N:$N,"&lt;="&amp;DATE($I$2,F$4,F$5))</f>
        <v/>
      </c>
      <c r="G155" s="321">
        <f>SUMIFS(DATA!$M:$M,DATA!$C:$C,$B154,DATA!$N:$N,"&gt;="&amp;DATE($I$2,G$4,1),DATA!$N:$N,"&lt;="&amp;DATE($I$2,G$4,G$5))</f>
        <v/>
      </c>
      <c r="H155" s="321">
        <f>SUMIFS(DATA!$M:$M,DATA!$C:$C,$B154,DATA!$N:$N,"&gt;="&amp;DATE($I$2,H$4,1),DATA!$N:$N,"&lt;="&amp;DATE($I$2,H$4,H$5))</f>
        <v/>
      </c>
      <c r="I155" s="321">
        <f>SUMIFS(DATA!$M:$M,DATA!$C:$C,$B154,DATA!$N:$N,"&gt;="&amp;DATE($I$2,I$4,1),DATA!$N:$N,"&lt;="&amp;DATE($I$2,I$4,I$5))</f>
        <v/>
      </c>
      <c r="J155" s="321">
        <f>SUMIFS(DATA!$M:$M,DATA!$C:$C,$B154,DATA!$N:$N,"&gt;="&amp;DATE($I$2,J$4,1),DATA!$N:$N,"&lt;="&amp;DATE($I$2,J$4,J$5))</f>
        <v/>
      </c>
      <c r="K155" s="321">
        <f>SUMIFS(DATA!$M:$M,DATA!$C:$C,$B154,DATA!$N:$N,"&gt;="&amp;DATE($I$2,K$4,1),DATA!$N:$N,"&lt;="&amp;DATE($I$2,K$4,K$5))</f>
        <v/>
      </c>
      <c r="L155" s="321">
        <f>SUMIFS(DATA!$M:$M,DATA!$C:$C,$B154,DATA!$N:$N,"&gt;="&amp;DATE($I$2,L$4,1),DATA!$N:$N,"&lt;="&amp;DATE($I$2,L$4,L$5))</f>
        <v/>
      </c>
      <c r="M155" s="321">
        <f>SUMIFS(DATA!$M:$M,DATA!$C:$C,$B154,DATA!$N:$N,"&gt;="&amp;DATE($I$2,M$4,1),DATA!$N:$N,"&lt;="&amp;DATE($I$2,M$4,M$5))</f>
        <v/>
      </c>
      <c r="N155" s="321">
        <f>SUMIFS(DATA!$M:$M,DATA!$C:$C,$B154,DATA!$N:$N,"&gt;="&amp;DATE($I$2,N$4,1),DATA!$N:$N,"&lt;="&amp;DATE($I$2,N$4,N$5))</f>
        <v/>
      </c>
      <c r="O155" s="321">
        <f>SUMIFS(DATA!$M:$M,DATA!$C:$C,$B154,DATA!$N:$N,"&gt;="&amp;DATE($I$2,O$4,1),DATA!$N:$N,"&lt;="&amp;DATE($I$2,O$4,O$5))</f>
        <v/>
      </c>
      <c r="P155" s="322">
        <f>SUM(D155:O155)</f>
        <v/>
      </c>
      <c r="Q155" s="118" t="n"/>
    </row>
    <row r="156" hidden="1" outlineLevel="1" ht="15" customHeight="1">
      <c r="A156" s="269" t="n">
        <v>76</v>
      </c>
      <c r="B156" s="265" t="inlineStr">
        <is>
          <t>MHI AEROSPACE VIETNAM</t>
        </is>
      </c>
      <c r="C156" s="119" t="inlineStr">
        <is>
          <t>Kế hoạch</t>
        </is>
      </c>
      <c r="D156" s="321">
        <f>SUMIFS(DATA!$I:$I,DATA!$C:$C,$B156,DATA!$J:$J,"&gt;="&amp;DATE($I$2,D$4,1),DATA!$J:$J,"&lt;="&amp;DATE($I$2,D$4,D$5))</f>
        <v/>
      </c>
      <c r="E156" s="321">
        <f>SUMIFS(DATA!$I:$I,DATA!$C:$C,$B156,DATA!$J:$J,"&gt;="&amp;DATE($I$2,E$4,1),DATA!$J:$J,"&lt;="&amp;DATE($I$2,E$4,E$5))</f>
        <v/>
      </c>
      <c r="F156" s="321">
        <f>SUMIFS(DATA!$I:$I,DATA!$C:$C,$B156,DATA!$J:$J,"&gt;="&amp;DATE($I$2,F$4,1),DATA!$J:$J,"&lt;="&amp;DATE($I$2,F$4,F$5))</f>
        <v/>
      </c>
      <c r="G156" s="321">
        <f>SUMIFS(DATA!$I:$I,DATA!$C:$C,$B156,DATA!$J:$J,"&gt;="&amp;DATE($I$2,G$4,1),DATA!$J:$J,"&lt;="&amp;DATE($I$2,G$4,G$5))</f>
        <v/>
      </c>
      <c r="H156" s="321">
        <f>SUMIFS(DATA!$I:$I,DATA!$C:$C,$B156,DATA!$J:$J,"&gt;="&amp;DATE($I$2,H$4,1),DATA!$J:$J,"&lt;="&amp;DATE($I$2,H$4,H$5))</f>
        <v/>
      </c>
      <c r="I156" s="321">
        <f>SUMIFS(DATA!$I:$I,DATA!$C:$C,$B156,DATA!$J:$J,"&gt;="&amp;DATE($I$2,I$4,1),DATA!$J:$J,"&lt;="&amp;DATE($I$2,I$4,I$5))</f>
        <v/>
      </c>
      <c r="J156" s="321">
        <f>SUMIFS(DATA!$I:$I,DATA!$C:$C,$B156,DATA!$J:$J,"&gt;="&amp;DATE($I$2,J$4,1),DATA!$J:$J,"&lt;="&amp;DATE($I$2,J$4,J$5))</f>
        <v/>
      </c>
      <c r="K156" s="321">
        <f>SUMIFS(DATA!$I:$I,DATA!$C:$C,$B156,DATA!$J:$J,"&gt;="&amp;DATE($I$2,K$4,1),DATA!$J:$J,"&lt;="&amp;DATE($I$2,K$4,K$5))</f>
        <v/>
      </c>
      <c r="L156" s="321">
        <f>SUMIFS(DATA!$I:$I,DATA!$C:$C,$B156,DATA!$J:$J,"&gt;="&amp;DATE($I$2,L$4,1),DATA!$J:$J,"&lt;="&amp;DATE($I$2,L$4,L$5))</f>
        <v/>
      </c>
      <c r="M156" s="321">
        <f>SUMIFS(DATA!$I:$I,DATA!$C:$C,$B156,DATA!$J:$J,"&gt;="&amp;DATE($I$2,M$4,1),DATA!$J:$J,"&lt;="&amp;DATE($I$2,M$4,M$5))</f>
        <v/>
      </c>
      <c r="N156" s="321">
        <f>SUMIFS(DATA!$I:$I,DATA!$C:$C,$B156,DATA!$J:$J,"&gt;="&amp;DATE($I$2,N$4,1),DATA!$J:$J,"&lt;="&amp;DATE($I$2,N$4,N$5))</f>
        <v/>
      </c>
      <c r="O156" s="321">
        <f>SUMIFS(DATA!$I:$I,DATA!$C:$C,$B156,DATA!$J:$J,"&gt;="&amp;DATE($I$2,O$4,1),DATA!$J:$J,"&lt;="&amp;DATE($I$2,O$4,O$5))</f>
        <v/>
      </c>
      <c r="P156" s="322">
        <f>SUM(D156:O156)</f>
        <v/>
      </c>
      <c r="Q156" s="118" t="n"/>
    </row>
    <row r="157" hidden="1" outlineLevel="1" ht="15" customHeight="1">
      <c r="A157" s="266" t="n"/>
      <c r="B157" s="266" t="n"/>
      <c r="C157" s="119" t="inlineStr">
        <is>
          <t>Thực tế</t>
        </is>
      </c>
      <c r="D157" s="321">
        <f>SUMIFS(DATA!$M:$M,DATA!$C:$C,$B156,DATA!$N:$N,"&gt;="&amp;DATE($I$2,D$4,1),DATA!$N:$N,"&lt;="&amp;DATE($I$2,D$4,D$5))</f>
        <v/>
      </c>
      <c r="E157" s="321">
        <f>SUMIFS(DATA!$M:$M,DATA!$C:$C,$B156,DATA!$N:$N,"&gt;="&amp;DATE($I$2,E$4,1),DATA!$N:$N,"&lt;="&amp;DATE($I$2,E$4,E$5))</f>
        <v/>
      </c>
      <c r="F157" s="321">
        <f>SUMIFS(DATA!$M:$M,DATA!$C:$C,$B156,DATA!$N:$N,"&gt;="&amp;DATE($I$2,F$4,1),DATA!$N:$N,"&lt;="&amp;DATE($I$2,F$4,F$5))</f>
        <v/>
      </c>
      <c r="G157" s="321">
        <f>SUMIFS(DATA!$M:$M,DATA!$C:$C,$B156,DATA!$N:$N,"&gt;="&amp;DATE($I$2,G$4,1),DATA!$N:$N,"&lt;="&amp;DATE($I$2,G$4,G$5))</f>
        <v/>
      </c>
      <c r="H157" s="321">
        <f>SUMIFS(DATA!$M:$M,DATA!$C:$C,$B156,DATA!$N:$N,"&gt;="&amp;DATE($I$2,H$4,1),DATA!$N:$N,"&lt;="&amp;DATE($I$2,H$4,H$5))</f>
        <v/>
      </c>
      <c r="I157" s="321">
        <f>SUMIFS(DATA!$M:$M,DATA!$C:$C,$B156,DATA!$N:$N,"&gt;="&amp;DATE($I$2,I$4,1),DATA!$N:$N,"&lt;="&amp;DATE($I$2,I$4,I$5))</f>
        <v/>
      </c>
      <c r="J157" s="321">
        <f>SUMIFS(DATA!$M:$M,DATA!$C:$C,$B156,DATA!$N:$N,"&gt;="&amp;DATE($I$2,J$4,1),DATA!$N:$N,"&lt;="&amp;DATE($I$2,J$4,J$5))</f>
        <v/>
      </c>
      <c r="K157" s="321">
        <f>SUMIFS(DATA!$M:$M,DATA!$C:$C,$B156,DATA!$N:$N,"&gt;="&amp;DATE($I$2,K$4,1),DATA!$N:$N,"&lt;="&amp;DATE($I$2,K$4,K$5))</f>
        <v/>
      </c>
      <c r="L157" s="321">
        <f>SUMIFS(DATA!$M:$M,DATA!$C:$C,$B156,DATA!$N:$N,"&gt;="&amp;DATE($I$2,L$4,1),DATA!$N:$N,"&lt;="&amp;DATE($I$2,L$4,L$5))</f>
        <v/>
      </c>
      <c r="M157" s="321">
        <f>SUMIFS(DATA!$M:$M,DATA!$C:$C,$B156,DATA!$N:$N,"&gt;="&amp;DATE($I$2,M$4,1),DATA!$N:$N,"&lt;="&amp;DATE($I$2,M$4,M$5))</f>
        <v/>
      </c>
      <c r="N157" s="321">
        <f>SUMIFS(DATA!$M:$M,DATA!$C:$C,$B156,DATA!$N:$N,"&gt;="&amp;DATE($I$2,N$4,1),DATA!$N:$N,"&lt;="&amp;DATE($I$2,N$4,N$5))</f>
        <v/>
      </c>
      <c r="O157" s="321">
        <f>SUMIFS(DATA!$M:$M,DATA!$C:$C,$B156,DATA!$N:$N,"&gt;="&amp;DATE($I$2,O$4,1),DATA!$N:$N,"&lt;="&amp;DATE($I$2,O$4,O$5))</f>
        <v/>
      </c>
      <c r="P157" s="322">
        <f>SUM(D157:O157)</f>
        <v/>
      </c>
      <c r="Q157" s="118" t="n"/>
    </row>
    <row r="158" hidden="1" outlineLevel="1" ht="15" customHeight="1">
      <c r="A158" s="269" t="n">
        <v>77</v>
      </c>
      <c r="B158" s="265" t="inlineStr">
        <is>
          <t>Công ty TNHH MHI Engine System Việt Nam</t>
        </is>
      </c>
      <c r="C158" s="119" t="inlineStr">
        <is>
          <t>Kế hoạch</t>
        </is>
      </c>
      <c r="D158" s="321">
        <f>SUMIFS(DATA!$I:$I,DATA!$C:$C,$B158,DATA!$J:$J,"&gt;="&amp;DATE($I$2,D$4,1),DATA!$J:$J,"&lt;="&amp;DATE($I$2,D$4,D$5))</f>
        <v/>
      </c>
      <c r="E158" s="321">
        <f>SUMIFS(DATA!$I:$I,DATA!$C:$C,$B158,DATA!$J:$J,"&gt;="&amp;DATE($I$2,E$4,1),DATA!$J:$J,"&lt;="&amp;DATE($I$2,E$4,E$5))</f>
        <v/>
      </c>
      <c r="F158" s="321">
        <f>SUMIFS(DATA!$I:$I,DATA!$C:$C,$B158,DATA!$J:$J,"&gt;="&amp;DATE($I$2,F$4,1),DATA!$J:$J,"&lt;="&amp;DATE($I$2,F$4,F$5))</f>
        <v/>
      </c>
      <c r="G158" s="321">
        <f>SUMIFS(DATA!$I:$I,DATA!$C:$C,$B158,DATA!$J:$J,"&gt;="&amp;DATE($I$2,G$4,1),DATA!$J:$J,"&lt;="&amp;DATE($I$2,G$4,G$5))</f>
        <v/>
      </c>
      <c r="H158" s="321">
        <f>SUMIFS(DATA!$I:$I,DATA!$C:$C,$B158,DATA!$J:$J,"&gt;="&amp;DATE($I$2,H$4,1),DATA!$J:$J,"&lt;="&amp;DATE($I$2,H$4,H$5))</f>
        <v/>
      </c>
      <c r="I158" s="321">
        <f>SUMIFS(DATA!$I:$I,DATA!$C:$C,$B158,DATA!$J:$J,"&gt;="&amp;DATE($I$2,I$4,1),DATA!$J:$J,"&lt;="&amp;DATE($I$2,I$4,I$5))</f>
        <v/>
      </c>
      <c r="J158" s="321">
        <f>SUMIFS(DATA!$I:$I,DATA!$C:$C,$B158,DATA!$J:$J,"&gt;="&amp;DATE($I$2,J$4,1),DATA!$J:$J,"&lt;="&amp;DATE($I$2,J$4,J$5))</f>
        <v/>
      </c>
      <c r="K158" s="321">
        <f>SUMIFS(DATA!$I:$I,DATA!$C:$C,$B158,DATA!$J:$J,"&gt;="&amp;DATE($I$2,K$4,1),DATA!$J:$J,"&lt;="&amp;DATE($I$2,K$4,K$5))</f>
        <v/>
      </c>
      <c r="L158" s="321">
        <f>SUMIFS(DATA!$I:$I,DATA!$C:$C,$B158,DATA!$J:$J,"&gt;="&amp;DATE($I$2,L$4,1),DATA!$J:$J,"&lt;="&amp;DATE($I$2,L$4,L$5))</f>
        <v/>
      </c>
      <c r="M158" s="321">
        <f>SUMIFS(DATA!$I:$I,DATA!$C:$C,$B158,DATA!$J:$J,"&gt;="&amp;DATE($I$2,M$4,1),DATA!$J:$J,"&lt;="&amp;DATE($I$2,M$4,M$5))</f>
        <v/>
      </c>
      <c r="N158" s="321">
        <f>SUMIFS(DATA!$I:$I,DATA!$C:$C,$B158,DATA!$J:$J,"&gt;="&amp;DATE($I$2,N$4,1),DATA!$J:$J,"&lt;="&amp;DATE($I$2,N$4,N$5))</f>
        <v/>
      </c>
      <c r="O158" s="321">
        <f>SUMIFS(DATA!$I:$I,DATA!$C:$C,$B158,DATA!$J:$J,"&gt;="&amp;DATE($I$2,O$4,1),DATA!$J:$J,"&lt;="&amp;DATE($I$2,O$4,O$5))</f>
        <v/>
      </c>
      <c r="P158" s="322">
        <f>SUM(D158:O158)</f>
        <v/>
      </c>
      <c r="Q158" s="118" t="n"/>
    </row>
    <row r="159" hidden="1" outlineLevel="1" ht="15" customHeight="1">
      <c r="A159" s="266" t="n"/>
      <c r="B159" s="266" t="n"/>
      <c r="C159" s="119" t="inlineStr">
        <is>
          <t>Thực tế</t>
        </is>
      </c>
      <c r="D159" s="321">
        <f>SUMIFS(DATA!$M:$M,DATA!$C:$C,$B158,DATA!$N:$N,"&gt;="&amp;DATE($I$2,D$4,1),DATA!$N:$N,"&lt;="&amp;DATE($I$2,D$4,D$5))</f>
        <v/>
      </c>
      <c r="E159" s="321">
        <f>SUMIFS(DATA!$M:$M,DATA!$C:$C,$B158,DATA!$N:$N,"&gt;="&amp;DATE($I$2,E$4,1),DATA!$N:$N,"&lt;="&amp;DATE($I$2,E$4,E$5))</f>
        <v/>
      </c>
      <c r="F159" s="321">
        <f>SUMIFS(DATA!$M:$M,DATA!$C:$C,$B158,DATA!$N:$N,"&gt;="&amp;DATE($I$2,F$4,1),DATA!$N:$N,"&lt;="&amp;DATE($I$2,F$4,F$5))</f>
        <v/>
      </c>
      <c r="G159" s="321">
        <f>SUMIFS(DATA!$M:$M,DATA!$C:$C,$B158,DATA!$N:$N,"&gt;="&amp;DATE($I$2,G$4,1),DATA!$N:$N,"&lt;="&amp;DATE($I$2,G$4,G$5))</f>
        <v/>
      </c>
      <c r="H159" s="321">
        <f>SUMIFS(DATA!$M:$M,DATA!$C:$C,$B158,DATA!$N:$N,"&gt;="&amp;DATE($I$2,H$4,1),DATA!$N:$N,"&lt;="&amp;DATE($I$2,H$4,H$5))</f>
        <v/>
      </c>
      <c r="I159" s="321">
        <f>SUMIFS(DATA!$M:$M,DATA!$C:$C,$B158,DATA!$N:$N,"&gt;="&amp;DATE($I$2,I$4,1),DATA!$N:$N,"&lt;="&amp;DATE($I$2,I$4,I$5))</f>
        <v/>
      </c>
      <c r="J159" s="321">
        <f>SUMIFS(DATA!$M:$M,DATA!$C:$C,$B158,DATA!$N:$N,"&gt;="&amp;DATE($I$2,J$4,1),DATA!$N:$N,"&lt;="&amp;DATE($I$2,J$4,J$5))</f>
        <v/>
      </c>
      <c r="K159" s="321">
        <f>SUMIFS(DATA!$M:$M,DATA!$C:$C,$B158,DATA!$N:$N,"&gt;="&amp;DATE($I$2,K$4,1),DATA!$N:$N,"&lt;="&amp;DATE($I$2,K$4,K$5))</f>
        <v/>
      </c>
      <c r="L159" s="321">
        <f>SUMIFS(DATA!$M:$M,DATA!$C:$C,$B158,DATA!$N:$N,"&gt;="&amp;DATE($I$2,L$4,1),DATA!$N:$N,"&lt;="&amp;DATE($I$2,L$4,L$5))</f>
        <v/>
      </c>
      <c r="M159" s="321">
        <f>SUMIFS(DATA!$M:$M,DATA!$C:$C,$B158,DATA!$N:$N,"&gt;="&amp;DATE($I$2,M$4,1),DATA!$N:$N,"&lt;="&amp;DATE($I$2,M$4,M$5))</f>
        <v/>
      </c>
      <c r="N159" s="321">
        <f>SUMIFS(DATA!$M:$M,DATA!$C:$C,$B158,DATA!$N:$N,"&gt;="&amp;DATE($I$2,N$4,1),DATA!$N:$N,"&lt;="&amp;DATE($I$2,N$4,N$5))</f>
        <v/>
      </c>
      <c r="O159" s="321">
        <f>SUMIFS(DATA!$M:$M,DATA!$C:$C,$B158,DATA!$N:$N,"&gt;="&amp;DATE($I$2,O$4,1),DATA!$N:$N,"&lt;="&amp;DATE($I$2,O$4,O$5))</f>
        <v/>
      </c>
      <c r="P159" s="322">
        <f>SUM(D159:O159)</f>
        <v/>
      </c>
      <c r="Q159" s="118" t="n"/>
    </row>
    <row r="160" hidden="1" outlineLevel="1" ht="15" customHeight="1">
      <c r="A160" s="269" t="n">
        <v>78</v>
      </c>
      <c r="B160" s="265" t="inlineStr">
        <is>
          <t>ALOHA HOMESTAY</t>
        </is>
      </c>
      <c r="C160" s="119" t="inlineStr">
        <is>
          <t>Kế hoạch</t>
        </is>
      </c>
      <c r="D160" s="321">
        <f>SUMIFS(DATA!$I:$I,DATA!$C:$C,$B160,DATA!$J:$J,"&gt;="&amp;DATE($I$2,D$4,1),DATA!$J:$J,"&lt;="&amp;DATE($I$2,D$4,D$5))</f>
        <v/>
      </c>
      <c r="E160" s="321">
        <f>SUMIFS(DATA!$I:$I,DATA!$C:$C,$B160,DATA!$J:$J,"&gt;="&amp;DATE($I$2,E$4,1),DATA!$J:$J,"&lt;="&amp;DATE($I$2,E$4,E$5))</f>
        <v/>
      </c>
      <c r="F160" s="321">
        <f>SUMIFS(DATA!$I:$I,DATA!$C:$C,$B160,DATA!$J:$J,"&gt;="&amp;DATE($I$2,F$4,1),DATA!$J:$J,"&lt;="&amp;DATE($I$2,F$4,F$5))</f>
        <v/>
      </c>
      <c r="G160" s="321">
        <f>SUMIFS(DATA!$I:$I,DATA!$C:$C,$B160,DATA!$J:$J,"&gt;="&amp;DATE($I$2,G$4,1),DATA!$J:$J,"&lt;="&amp;DATE($I$2,G$4,G$5))</f>
        <v/>
      </c>
      <c r="H160" s="321">
        <f>SUMIFS(DATA!$I:$I,DATA!$C:$C,$B160,DATA!$J:$J,"&gt;="&amp;DATE($I$2,H$4,1),DATA!$J:$J,"&lt;="&amp;DATE($I$2,H$4,H$5))</f>
        <v/>
      </c>
      <c r="I160" s="321">
        <f>SUMIFS(DATA!$I:$I,DATA!$C:$C,$B160,DATA!$J:$J,"&gt;="&amp;DATE($I$2,I$4,1),DATA!$J:$J,"&lt;="&amp;DATE($I$2,I$4,I$5))</f>
        <v/>
      </c>
      <c r="J160" s="321">
        <f>SUMIFS(DATA!$I:$I,DATA!$C:$C,$B160,DATA!$J:$J,"&gt;="&amp;DATE($I$2,J$4,1),DATA!$J:$J,"&lt;="&amp;DATE($I$2,J$4,J$5))</f>
        <v/>
      </c>
      <c r="K160" s="321">
        <f>SUMIFS(DATA!$I:$I,DATA!$C:$C,$B160,DATA!$J:$J,"&gt;="&amp;DATE($I$2,K$4,1),DATA!$J:$J,"&lt;="&amp;DATE($I$2,K$4,K$5))</f>
        <v/>
      </c>
      <c r="L160" s="321">
        <f>SUMIFS(DATA!$I:$I,DATA!$C:$C,$B160,DATA!$J:$J,"&gt;="&amp;DATE($I$2,L$4,1),DATA!$J:$J,"&lt;="&amp;DATE($I$2,L$4,L$5))</f>
        <v/>
      </c>
      <c r="M160" s="321">
        <f>SUMIFS(DATA!$I:$I,DATA!$C:$C,$B160,DATA!$J:$J,"&gt;="&amp;DATE($I$2,M$4,1),DATA!$J:$J,"&lt;="&amp;DATE($I$2,M$4,M$5))</f>
        <v/>
      </c>
      <c r="N160" s="321">
        <f>SUMIFS(DATA!$I:$I,DATA!$C:$C,$B160,DATA!$J:$J,"&gt;="&amp;DATE($I$2,N$4,1),DATA!$J:$J,"&lt;="&amp;DATE($I$2,N$4,N$5))</f>
        <v/>
      </c>
      <c r="O160" s="321">
        <f>SUMIFS(DATA!$I:$I,DATA!$C:$C,$B160,DATA!$J:$J,"&gt;="&amp;DATE($I$2,O$4,1),DATA!$J:$J,"&lt;="&amp;DATE($I$2,O$4,O$5))</f>
        <v/>
      </c>
      <c r="P160" s="322">
        <f>SUM(D160:O160)</f>
        <v/>
      </c>
      <c r="Q160" s="118" t="n"/>
    </row>
    <row r="161" hidden="1" outlineLevel="1" ht="15" customHeight="1">
      <c r="A161" s="266" t="n"/>
      <c r="B161" s="266" t="n"/>
      <c r="C161" s="119" t="inlineStr">
        <is>
          <t>Thực tế</t>
        </is>
      </c>
      <c r="D161" s="321">
        <f>SUMIFS(DATA!$M:$M,DATA!$C:$C,$B160,DATA!$N:$N,"&gt;="&amp;DATE($I$2,D$4,1),DATA!$N:$N,"&lt;="&amp;DATE($I$2,D$4,D$5))</f>
        <v/>
      </c>
      <c r="E161" s="321">
        <f>SUMIFS(DATA!$M:$M,DATA!$C:$C,$B160,DATA!$N:$N,"&gt;="&amp;DATE($I$2,E$4,1),DATA!$N:$N,"&lt;="&amp;DATE($I$2,E$4,E$5))</f>
        <v/>
      </c>
      <c r="F161" s="321">
        <f>SUMIFS(DATA!$M:$M,DATA!$C:$C,$B160,DATA!$N:$N,"&gt;="&amp;DATE($I$2,F$4,1),DATA!$N:$N,"&lt;="&amp;DATE($I$2,F$4,F$5))</f>
        <v/>
      </c>
      <c r="G161" s="321">
        <f>SUMIFS(DATA!$M:$M,DATA!$C:$C,$B160,DATA!$N:$N,"&gt;="&amp;DATE($I$2,G$4,1),DATA!$N:$N,"&lt;="&amp;DATE($I$2,G$4,G$5))</f>
        <v/>
      </c>
      <c r="H161" s="321">
        <f>SUMIFS(DATA!$M:$M,DATA!$C:$C,$B160,DATA!$N:$N,"&gt;="&amp;DATE($I$2,H$4,1),DATA!$N:$N,"&lt;="&amp;DATE($I$2,H$4,H$5))</f>
        <v/>
      </c>
      <c r="I161" s="321">
        <f>SUMIFS(DATA!$M:$M,DATA!$C:$C,$B160,DATA!$N:$N,"&gt;="&amp;DATE($I$2,I$4,1),DATA!$N:$N,"&lt;="&amp;DATE($I$2,I$4,I$5))</f>
        <v/>
      </c>
      <c r="J161" s="321">
        <f>SUMIFS(DATA!$M:$M,DATA!$C:$C,$B160,DATA!$N:$N,"&gt;="&amp;DATE($I$2,J$4,1),DATA!$N:$N,"&lt;="&amp;DATE($I$2,J$4,J$5))</f>
        <v/>
      </c>
      <c r="K161" s="321">
        <f>SUMIFS(DATA!$M:$M,DATA!$C:$C,$B160,DATA!$N:$N,"&gt;="&amp;DATE($I$2,K$4,1),DATA!$N:$N,"&lt;="&amp;DATE($I$2,K$4,K$5))</f>
        <v/>
      </c>
      <c r="L161" s="321">
        <f>SUMIFS(DATA!$M:$M,DATA!$C:$C,$B160,DATA!$N:$N,"&gt;="&amp;DATE($I$2,L$4,1),DATA!$N:$N,"&lt;="&amp;DATE($I$2,L$4,L$5))</f>
        <v/>
      </c>
      <c r="M161" s="321">
        <f>SUMIFS(DATA!$M:$M,DATA!$C:$C,$B160,DATA!$N:$N,"&gt;="&amp;DATE($I$2,M$4,1),DATA!$N:$N,"&lt;="&amp;DATE($I$2,M$4,M$5))</f>
        <v/>
      </c>
      <c r="N161" s="321">
        <f>SUMIFS(DATA!$M:$M,DATA!$C:$C,$B160,DATA!$N:$N,"&gt;="&amp;DATE($I$2,N$4,1),DATA!$N:$N,"&lt;="&amp;DATE($I$2,N$4,N$5))</f>
        <v/>
      </c>
      <c r="O161" s="321">
        <f>SUMIFS(DATA!$M:$M,DATA!$C:$C,$B160,DATA!$N:$N,"&gt;="&amp;DATE($I$2,O$4,1),DATA!$N:$N,"&lt;="&amp;DATE($I$2,O$4,O$5))</f>
        <v/>
      </c>
      <c r="P161" s="322">
        <f>SUM(D161:O161)</f>
        <v/>
      </c>
      <c r="Q161" s="118" t="n"/>
    </row>
    <row r="162" hidden="1" outlineLevel="1" ht="15" customHeight="1">
      <c r="A162" s="269" t="n">
        <v>79</v>
      </c>
      <c r="B162" s="265" t="inlineStr">
        <is>
          <t>N03 T1 NGOẠI GIAO ĐOÀN</t>
        </is>
      </c>
      <c r="C162" s="119" t="inlineStr">
        <is>
          <t>Kế hoạch</t>
        </is>
      </c>
      <c r="D162" s="321">
        <f>SUMIFS(DATA!$I:$I,DATA!$C:$C,$B162,DATA!$J:$J,"&gt;="&amp;DATE($I$2,D$4,1),DATA!$J:$J,"&lt;="&amp;DATE($I$2,D$4,D$5))</f>
        <v/>
      </c>
      <c r="E162" s="321">
        <f>SUMIFS(DATA!$I:$I,DATA!$C:$C,$B162,DATA!$J:$J,"&gt;="&amp;DATE($I$2,E$4,1),DATA!$J:$J,"&lt;="&amp;DATE($I$2,E$4,E$5))</f>
        <v/>
      </c>
      <c r="F162" s="321">
        <f>SUMIFS(DATA!$I:$I,DATA!$C:$C,$B162,DATA!$J:$J,"&gt;="&amp;DATE($I$2,F$4,1),DATA!$J:$J,"&lt;="&amp;DATE($I$2,F$4,F$5))</f>
        <v/>
      </c>
      <c r="G162" s="321">
        <f>SUMIFS(DATA!$I:$I,DATA!$C:$C,$B162,DATA!$J:$J,"&gt;="&amp;DATE($I$2,G$4,1),DATA!$J:$J,"&lt;="&amp;DATE($I$2,G$4,G$5))</f>
        <v/>
      </c>
      <c r="H162" s="321">
        <f>SUMIFS(DATA!$I:$I,DATA!$C:$C,$B162,DATA!$J:$J,"&gt;="&amp;DATE($I$2,H$4,1),DATA!$J:$J,"&lt;="&amp;DATE($I$2,H$4,H$5))</f>
        <v/>
      </c>
      <c r="I162" s="321">
        <f>SUMIFS(DATA!$I:$I,DATA!$C:$C,$B162,DATA!$J:$J,"&gt;="&amp;DATE($I$2,I$4,1),DATA!$J:$J,"&lt;="&amp;DATE($I$2,I$4,I$5))</f>
        <v/>
      </c>
      <c r="J162" s="321">
        <f>SUMIFS(DATA!$I:$I,DATA!$C:$C,$B162,DATA!$J:$J,"&gt;="&amp;DATE($I$2,J$4,1),DATA!$J:$J,"&lt;="&amp;DATE($I$2,J$4,J$5))</f>
        <v/>
      </c>
      <c r="K162" s="321">
        <f>SUMIFS(DATA!$I:$I,DATA!$C:$C,$B162,DATA!$J:$J,"&gt;="&amp;DATE($I$2,K$4,1),DATA!$J:$J,"&lt;="&amp;DATE($I$2,K$4,K$5))</f>
        <v/>
      </c>
      <c r="L162" s="321">
        <f>SUMIFS(DATA!$I:$I,DATA!$C:$C,$B162,DATA!$J:$J,"&gt;="&amp;DATE($I$2,L$4,1),DATA!$J:$J,"&lt;="&amp;DATE($I$2,L$4,L$5))</f>
        <v/>
      </c>
      <c r="M162" s="321">
        <f>SUMIFS(DATA!$I:$I,DATA!$C:$C,$B162,DATA!$J:$J,"&gt;="&amp;DATE($I$2,M$4,1),DATA!$J:$J,"&lt;="&amp;DATE($I$2,M$4,M$5))</f>
        <v/>
      </c>
      <c r="N162" s="321">
        <f>SUMIFS(DATA!$I:$I,DATA!$C:$C,$B162,DATA!$J:$J,"&gt;="&amp;DATE($I$2,N$4,1),DATA!$J:$J,"&lt;="&amp;DATE($I$2,N$4,N$5))</f>
        <v/>
      </c>
      <c r="O162" s="321">
        <f>SUMIFS(DATA!$I:$I,DATA!$C:$C,$B162,DATA!$J:$J,"&gt;="&amp;DATE($I$2,O$4,1),DATA!$J:$J,"&lt;="&amp;DATE($I$2,O$4,O$5))</f>
        <v/>
      </c>
      <c r="P162" s="322">
        <f>SUM(D162:O162)</f>
        <v/>
      </c>
      <c r="Q162" s="118" t="n"/>
    </row>
    <row r="163" hidden="1" outlineLevel="1" ht="15" customHeight="1">
      <c r="A163" s="266" t="n"/>
      <c r="B163" s="266" t="n"/>
      <c r="C163" s="119" t="inlineStr">
        <is>
          <t>Thực tế</t>
        </is>
      </c>
      <c r="D163" s="321">
        <f>SUMIFS(DATA!$M:$M,DATA!$C:$C,$B162,DATA!$N:$N,"&gt;="&amp;DATE($I$2,D$4,1),DATA!$N:$N,"&lt;="&amp;DATE($I$2,D$4,D$5))</f>
        <v/>
      </c>
      <c r="E163" s="321">
        <f>SUMIFS(DATA!$M:$M,DATA!$C:$C,$B162,DATA!$N:$N,"&gt;="&amp;DATE($I$2,E$4,1),DATA!$N:$N,"&lt;="&amp;DATE($I$2,E$4,E$5))</f>
        <v/>
      </c>
      <c r="F163" s="321">
        <f>SUMIFS(DATA!$M:$M,DATA!$C:$C,$B162,DATA!$N:$N,"&gt;="&amp;DATE($I$2,F$4,1),DATA!$N:$N,"&lt;="&amp;DATE($I$2,F$4,F$5))</f>
        <v/>
      </c>
      <c r="G163" s="321">
        <f>SUMIFS(DATA!$M:$M,DATA!$C:$C,$B162,DATA!$N:$N,"&gt;="&amp;DATE($I$2,G$4,1),DATA!$N:$N,"&lt;="&amp;DATE($I$2,G$4,G$5))</f>
        <v/>
      </c>
      <c r="H163" s="321">
        <f>SUMIFS(DATA!$M:$M,DATA!$C:$C,$B162,DATA!$N:$N,"&gt;="&amp;DATE($I$2,H$4,1),DATA!$N:$N,"&lt;="&amp;DATE($I$2,H$4,H$5))</f>
        <v/>
      </c>
      <c r="I163" s="321">
        <f>SUMIFS(DATA!$M:$M,DATA!$C:$C,$B162,DATA!$N:$N,"&gt;="&amp;DATE($I$2,I$4,1),DATA!$N:$N,"&lt;="&amp;DATE($I$2,I$4,I$5))</f>
        <v/>
      </c>
      <c r="J163" s="321">
        <f>SUMIFS(DATA!$M:$M,DATA!$C:$C,$B162,DATA!$N:$N,"&gt;="&amp;DATE($I$2,J$4,1),DATA!$N:$N,"&lt;="&amp;DATE($I$2,J$4,J$5))</f>
        <v/>
      </c>
      <c r="K163" s="321">
        <f>SUMIFS(DATA!$M:$M,DATA!$C:$C,$B162,DATA!$N:$N,"&gt;="&amp;DATE($I$2,K$4,1),DATA!$N:$N,"&lt;="&amp;DATE($I$2,K$4,K$5))</f>
        <v/>
      </c>
      <c r="L163" s="321">
        <f>SUMIFS(DATA!$M:$M,DATA!$C:$C,$B162,DATA!$N:$N,"&gt;="&amp;DATE($I$2,L$4,1),DATA!$N:$N,"&lt;="&amp;DATE($I$2,L$4,L$5))</f>
        <v/>
      </c>
      <c r="M163" s="321">
        <f>SUMIFS(DATA!$M:$M,DATA!$C:$C,$B162,DATA!$N:$N,"&gt;="&amp;DATE($I$2,M$4,1),DATA!$N:$N,"&lt;="&amp;DATE($I$2,M$4,M$5))</f>
        <v/>
      </c>
      <c r="N163" s="321">
        <f>SUMIFS(DATA!$M:$M,DATA!$C:$C,$B162,DATA!$N:$N,"&gt;="&amp;DATE($I$2,N$4,1),DATA!$N:$N,"&lt;="&amp;DATE($I$2,N$4,N$5))</f>
        <v/>
      </c>
      <c r="O163" s="321">
        <f>SUMIFS(DATA!$M:$M,DATA!$C:$C,$B162,DATA!$N:$N,"&gt;="&amp;DATE($I$2,O$4,1),DATA!$N:$N,"&lt;="&amp;DATE($I$2,O$4,O$5))</f>
        <v/>
      </c>
      <c r="P163" s="322">
        <f>SUM(D163:O163)</f>
        <v/>
      </c>
      <c r="Q163" s="118" t="n"/>
    </row>
    <row r="164" hidden="1" outlineLevel="1" ht="15" customHeight="1">
      <c r="A164" s="269" t="n">
        <v>80</v>
      </c>
      <c r="B164" s="265" t="inlineStr">
        <is>
          <t>CÔNG TY TNHH TOTECH VIỆT NAM SOLUTIONS</t>
        </is>
      </c>
      <c r="C164" s="119" t="inlineStr">
        <is>
          <t>Kế hoạch</t>
        </is>
      </c>
      <c r="D164" s="321">
        <f>SUMIFS(DATA!$I:$I,DATA!$C:$C,$B164,DATA!$J:$J,"&gt;="&amp;DATE($I$2,D$4,1),DATA!$J:$J,"&lt;="&amp;DATE($I$2,D$4,D$5))</f>
        <v/>
      </c>
      <c r="E164" s="321">
        <f>SUMIFS(DATA!$I:$I,DATA!$C:$C,$B164,DATA!$J:$J,"&gt;="&amp;DATE($I$2,E$4,1),DATA!$J:$J,"&lt;="&amp;DATE($I$2,E$4,E$5))</f>
        <v/>
      </c>
      <c r="F164" s="321">
        <f>SUMIFS(DATA!$I:$I,DATA!$C:$C,$B164,DATA!$J:$J,"&gt;="&amp;DATE($I$2,F$4,1),DATA!$J:$J,"&lt;="&amp;DATE($I$2,F$4,F$5))</f>
        <v/>
      </c>
      <c r="G164" s="321">
        <f>SUMIFS(DATA!$I:$I,DATA!$C:$C,$B164,DATA!$J:$J,"&gt;="&amp;DATE($I$2,G$4,1),DATA!$J:$J,"&lt;="&amp;DATE($I$2,G$4,G$5))</f>
        <v/>
      </c>
      <c r="H164" s="321">
        <f>SUMIFS(DATA!$I:$I,DATA!$C:$C,$B164,DATA!$J:$J,"&gt;="&amp;DATE($I$2,H$4,1),DATA!$J:$J,"&lt;="&amp;DATE($I$2,H$4,H$5))</f>
        <v/>
      </c>
      <c r="I164" s="321">
        <f>SUMIFS(DATA!$I:$I,DATA!$C:$C,$B164,DATA!$J:$J,"&gt;="&amp;DATE($I$2,I$4,1),DATA!$J:$J,"&lt;="&amp;DATE($I$2,I$4,I$5))</f>
        <v/>
      </c>
      <c r="J164" s="321">
        <f>SUMIFS(DATA!$I:$I,DATA!$C:$C,$B164,DATA!$J:$J,"&gt;="&amp;DATE($I$2,J$4,1),DATA!$J:$J,"&lt;="&amp;DATE($I$2,J$4,J$5))</f>
        <v/>
      </c>
      <c r="K164" s="321">
        <f>SUMIFS(DATA!$I:$I,DATA!$C:$C,$B164,DATA!$J:$J,"&gt;="&amp;DATE($I$2,K$4,1),DATA!$J:$J,"&lt;="&amp;DATE($I$2,K$4,K$5))</f>
        <v/>
      </c>
      <c r="L164" s="321">
        <f>SUMIFS(DATA!$I:$I,DATA!$C:$C,$B164,DATA!$J:$J,"&gt;="&amp;DATE($I$2,L$4,1),DATA!$J:$J,"&lt;="&amp;DATE($I$2,L$4,L$5))</f>
        <v/>
      </c>
      <c r="M164" s="321">
        <f>SUMIFS(DATA!$I:$I,DATA!$C:$C,$B164,DATA!$J:$J,"&gt;="&amp;DATE($I$2,M$4,1),DATA!$J:$J,"&lt;="&amp;DATE($I$2,M$4,M$5))</f>
        <v/>
      </c>
      <c r="N164" s="321">
        <f>SUMIFS(DATA!$I:$I,DATA!$C:$C,$B164,DATA!$J:$J,"&gt;="&amp;DATE($I$2,N$4,1),DATA!$J:$J,"&lt;="&amp;DATE($I$2,N$4,N$5))</f>
        <v/>
      </c>
      <c r="O164" s="321">
        <f>SUMIFS(DATA!$I:$I,DATA!$C:$C,$B164,DATA!$J:$J,"&gt;="&amp;DATE($I$2,O$4,1),DATA!$J:$J,"&lt;="&amp;DATE($I$2,O$4,O$5))</f>
        <v/>
      </c>
      <c r="P164" s="322">
        <f>SUM(D164:O164)</f>
        <v/>
      </c>
      <c r="Q164" s="118" t="n"/>
    </row>
    <row r="165" hidden="1" outlineLevel="1" ht="15" customHeight="1">
      <c r="A165" s="266" t="n"/>
      <c r="B165" s="266" t="n"/>
      <c r="C165" s="119" t="inlineStr">
        <is>
          <t>Thực tế</t>
        </is>
      </c>
      <c r="D165" s="321">
        <f>SUMIFS(DATA!$M:$M,DATA!$C:$C,$B164,DATA!$N:$N,"&gt;="&amp;DATE($I$2,D$4,1),DATA!$N:$N,"&lt;="&amp;DATE($I$2,D$4,D$5))</f>
        <v/>
      </c>
      <c r="E165" s="321">
        <f>SUMIFS(DATA!$M:$M,DATA!$C:$C,$B164,DATA!$N:$N,"&gt;="&amp;DATE($I$2,E$4,1),DATA!$N:$N,"&lt;="&amp;DATE($I$2,E$4,E$5))</f>
        <v/>
      </c>
      <c r="F165" s="321">
        <f>SUMIFS(DATA!$M:$M,DATA!$C:$C,$B164,DATA!$N:$N,"&gt;="&amp;DATE($I$2,F$4,1),DATA!$N:$N,"&lt;="&amp;DATE($I$2,F$4,F$5))</f>
        <v/>
      </c>
      <c r="G165" s="321">
        <f>SUMIFS(DATA!$M:$M,DATA!$C:$C,$B164,DATA!$N:$N,"&gt;="&amp;DATE($I$2,G$4,1),DATA!$N:$N,"&lt;="&amp;DATE($I$2,G$4,G$5))</f>
        <v/>
      </c>
      <c r="H165" s="321">
        <f>SUMIFS(DATA!$M:$M,DATA!$C:$C,$B164,DATA!$N:$N,"&gt;="&amp;DATE($I$2,H$4,1),DATA!$N:$N,"&lt;="&amp;DATE($I$2,H$4,H$5))</f>
        <v/>
      </c>
      <c r="I165" s="321">
        <f>SUMIFS(DATA!$M:$M,DATA!$C:$C,$B164,DATA!$N:$N,"&gt;="&amp;DATE($I$2,I$4,1),DATA!$N:$N,"&lt;="&amp;DATE($I$2,I$4,I$5))</f>
        <v/>
      </c>
      <c r="J165" s="321">
        <f>SUMIFS(DATA!$M:$M,DATA!$C:$C,$B164,DATA!$N:$N,"&gt;="&amp;DATE($I$2,J$4,1),DATA!$N:$N,"&lt;="&amp;DATE($I$2,J$4,J$5))</f>
        <v/>
      </c>
      <c r="K165" s="321">
        <f>SUMIFS(DATA!$M:$M,DATA!$C:$C,$B164,DATA!$N:$N,"&gt;="&amp;DATE($I$2,K$4,1),DATA!$N:$N,"&lt;="&amp;DATE($I$2,K$4,K$5))</f>
        <v/>
      </c>
      <c r="L165" s="321">
        <f>SUMIFS(DATA!$M:$M,DATA!$C:$C,$B164,DATA!$N:$N,"&gt;="&amp;DATE($I$2,L$4,1),DATA!$N:$N,"&lt;="&amp;DATE($I$2,L$4,L$5))</f>
        <v/>
      </c>
      <c r="M165" s="321">
        <f>SUMIFS(DATA!$M:$M,DATA!$C:$C,$B164,DATA!$N:$N,"&gt;="&amp;DATE($I$2,M$4,1),DATA!$N:$N,"&lt;="&amp;DATE($I$2,M$4,M$5))</f>
        <v/>
      </c>
      <c r="N165" s="321">
        <f>SUMIFS(DATA!$M:$M,DATA!$C:$C,$B164,DATA!$N:$N,"&gt;="&amp;DATE($I$2,N$4,1),DATA!$N:$N,"&lt;="&amp;DATE($I$2,N$4,N$5))</f>
        <v/>
      </c>
      <c r="O165" s="321">
        <f>SUMIFS(DATA!$M:$M,DATA!$C:$C,$B164,DATA!$N:$N,"&gt;="&amp;DATE($I$2,O$4,1),DATA!$N:$N,"&lt;="&amp;DATE($I$2,O$4,O$5))</f>
        <v/>
      </c>
      <c r="P165" s="322">
        <f>SUM(D165:O165)</f>
        <v/>
      </c>
      <c r="Q165" s="118" t="n"/>
    </row>
    <row r="166" hidden="1" outlineLevel="1" ht="15" customHeight="1">
      <c r="A166" s="269" t="n">
        <v>81</v>
      </c>
      <c r="B166" s="265" t="inlineStr">
        <is>
          <t>JEMMTEC VIETNAM</t>
        </is>
      </c>
      <c r="C166" s="119" t="inlineStr">
        <is>
          <t>Kế hoạch</t>
        </is>
      </c>
      <c r="D166" s="321">
        <f>SUMIFS(DATA!$I:$I,DATA!$C:$C,$B166,DATA!$J:$J,"&gt;="&amp;DATE($I$2,D$4,1),DATA!$J:$J,"&lt;="&amp;DATE($I$2,D$4,D$5))</f>
        <v/>
      </c>
      <c r="E166" s="321">
        <f>SUMIFS(DATA!$I:$I,DATA!$C:$C,$B166,DATA!$J:$J,"&gt;="&amp;DATE($I$2,E$4,1),DATA!$J:$J,"&lt;="&amp;DATE($I$2,E$4,E$5))</f>
        <v/>
      </c>
      <c r="F166" s="321">
        <f>SUMIFS(DATA!$I:$I,DATA!$C:$C,$B166,DATA!$J:$J,"&gt;="&amp;DATE($I$2,F$4,1),DATA!$J:$J,"&lt;="&amp;DATE($I$2,F$4,F$5))</f>
        <v/>
      </c>
      <c r="G166" s="321">
        <f>SUMIFS(DATA!$I:$I,DATA!$C:$C,$B166,DATA!$J:$J,"&gt;="&amp;DATE($I$2,G$4,1),DATA!$J:$J,"&lt;="&amp;DATE($I$2,G$4,G$5))</f>
        <v/>
      </c>
      <c r="H166" s="321">
        <f>SUMIFS(DATA!$I:$I,DATA!$C:$C,$B166,DATA!$J:$J,"&gt;="&amp;DATE($I$2,H$4,1),DATA!$J:$J,"&lt;="&amp;DATE($I$2,H$4,H$5))</f>
        <v/>
      </c>
      <c r="I166" s="321">
        <f>SUMIFS(DATA!$I:$I,DATA!$C:$C,$B166,DATA!$J:$J,"&gt;="&amp;DATE($I$2,I$4,1),DATA!$J:$J,"&lt;="&amp;DATE($I$2,I$4,I$5))</f>
        <v/>
      </c>
      <c r="J166" s="321">
        <f>SUMIFS(DATA!$I:$I,DATA!$C:$C,$B166,DATA!$J:$J,"&gt;="&amp;DATE($I$2,J$4,1),DATA!$J:$J,"&lt;="&amp;DATE($I$2,J$4,J$5))</f>
        <v/>
      </c>
      <c r="K166" s="321">
        <f>SUMIFS(DATA!$I:$I,DATA!$C:$C,$B166,DATA!$J:$J,"&gt;="&amp;DATE($I$2,K$4,1),DATA!$J:$J,"&lt;="&amp;DATE($I$2,K$4,K$5))</f>
        <v/>
      </c>
      <c r="L166" s="321">
        <f>SUMIFS(DATA!$I:$I,DATA!$C:$C,$B166,DATA!$J:$J,"&gt;="&amp;DATE($I$2,L$4,1),DATA!$J:$J,"&lt;="&amp;DATE($I$2,L$4,L$5))</f>
        <v/>
      </c>
      <c r="M166" s="321">
        <f>SUMIFS(DATA!$I:$I,DATA!$C:$C,$B166,DATA!$J:$J,"&gt;="&amp;DATE($I$2,M$4,1),DATA!$J:$J,"&lt;="&amp;DATE($I$2,M$4,M$5))</f>
        <v/>
      </c>
      <c r="N166" s="321">
        <f>SUMIFS(DATA!$I:$I,DATA!$C:$C,$B166,DATA!$J:$J,"&gt;="&amp;DATE($I$2,N$4,1),DATA!$J:$J,"&lt;="&amp;DATE($I$2,N$4,N$5))</f>
        <v/>
      </c>
      <c r="O166" s="321">
        <f>SUMIFS(DATA!$I:$I,DATA!$C:$C,$B166,DATA!$J:$J,"&gt;="&amp;DATE($I$2,O$4,1),DATA!$J:$J,"&lt;="&amp;DATE($I$2,O$4,O$5))</f>
        <v/>
      </c>
      <c r="P166" s="322">
        <f>SUM(D166:O166)</f>
        <v/>
      </c>
      <c r="Q166" s="118" t="n"/>
    </row>
    <row r="167" hidden="1" outlineLevel="1" ht="15" customHeight="1">
      <c r="A167" s="266" t="n"/>
      <c r="B167" s="266" t="n"/>
      <c r="C167" s="119" t="inlineStr">
        <is>
          <t>Thực tế</t>
        </is>
      </c>
      <c r="D167" s="321">
        <f>SUMIFS(DATA!$M:$M,DATA!$C:$C,$B166,DATA!$N:$N,"&gt;="&amp;DATE($I$2,D$4,1),DATA!$N:$N,"&lt;="&amp;DATE($I$2,D$4,D$5))</f>
        <v/>
      </c>
      <c r="E167" s="321">
        <f>SUMIFS(DATA!$M:$M,DATA!$C:$C,$B166,DATA!$N:$N,"&gt;="&amp;DATE($I$2,E$4,1),DATA!$N:$N,"&lt;="&amp;DATE($I$2,E$4,E$5))</f>
        <v/>
      </c>
      <c r="F167" s="321">
        <f>SUMIFS(DATA!$M:$M,DATA!$C:$C,$B166,DATA!$N:$N,"&gt;="&amp;DATE($I$2,F$4,1),DATA!$N:$N,"&lt;="&amp;DATE($I$2,F$4,F$5))</f>
        <v/>
      </c>
      <c r="G167" s="321">
        <f>SUMIFS(DATA!$M:$M,DATA!$C:$C,$B166,DATA!$N:$N,"&gt;="&amp;DATE($I$2,G$4,1),DATA!$N:$N,"&lt;="&amp;DATE($I$2,G$4,G$5))</f>
        <v/>
      </c>
      <c r="H167" s="321">
        <f>SUMIFS(DATA!$M:$M,DATA!$C:$C,$B166,DATA!$N:$N,"&gt;="&amp;DATE($I$2,H$4,1),DATA!$N:$N,"&lt;="&amp;DATE($I$2,H$4,H$5))</f>
        <v/>
      </c>
      <c r="I167" s="321">
        <f>SUMIFS(DATA!$M:$M,DATA!$C:$C,$B166,DATA!$N:$N,"&gt;="&amp;DATE($I$2,I$4,1),DATA!$N:$N,"&lt;="&amp;DATE($I$2,I$4,I$5))</f>
        <v/>
      </c>
      <c r="J167" s="321">
        <f>SUMIFS(DATA!$M:$M,DATA!$C:$C,$B166,DATA!$N:$N,"&gt;="&amp;DATE($I$2,J$4,1),DATA!$N:$N,"&lt;="&amp;DATE($I$2,J$4,J$5))</f>
        <v/>
      </c>
      <c r="K167" s="321">
        <f>SUMIFS(DATA!$M:$M,DATA!$C:$C,$B166,DATA!$N:$N,"&gt;="&amp;DATE($I$2,K$4,1),DATA!$N:$N,"&lt;="&amp;DATE($I$2,K$4,K$5))</f>
        <v/>
      </c>
      <c r="L167" s="321">
        <f>SUMIFS(DATA!$M:$M,DATA!$C:$C,$B166,DATA!$N:$N,"&gt;="&amp;DATE($I$2,L$4,1),DATA!$N:$N,"&lt;="&amp;DATE($I$2,L$4,L$5))</f>
        <v/>
      </c>
      <c r="M167" s="321">
        <f>SUMIFS(DATA!$M:$M,DATA!$C:$C,$B166,DATA!$N:$N,"&gt;="&amp;DATE($I$2,M$4,1),DATA!$N:$N,"&lt;="&amp;DATE($I$2,M$4,M$5))</f>
        <v/>
      </c>
      <c r="N167" s="321">
        <f>SUMIFS(DATA!$M:$M,DATA!$C:$C,$B166,DATA!$N:$N,"&gt;="&amp;DATE($I$2,N$4,1),DATA!$N:$N,"&lt;="&amp;DATE($I$2,N$4,N$5))</f>
        <v/>
      </c>
      <c r="O167" s="321">
        <f>SUMIFS(DATA!$M:$M,DATA!$C:$C,$B166,DATA!$N:$N,"&gt;="&amp;DATE($I$2,O$4,1),DATA!$N:$N,"&lt;="&amp;DATE($I$2,O$4,O$5))</f>
        <v/>
      </c>
      <c r="P167" s="322">
        <f>SUM(D167:O167)</f>
        <v/>
      </c>
      <c r="Q167" s="118" t="n"/>
    </row>
    <row r="168" hidden="1" outlineLevel="1" ht="15" customHeight="1">
      <c r="A168" s="269" t="n">
        <v>82</v>
      </c>
      <c r="B168" s="265" t="inlineStr">
        <is>
          <t>LAURELTON DIAMONDS VIETNAM</t>
        </is>
      </c>
      <c r="C168" s="119" t="inlineStr">
        <is>
          <t>Kế hoạch</t>
        </is>
      </c>
      <c r="D168" s="321">
        <f>SUMIFS(DATA!$I:$I,DATA!$C:$C,$B168,DATA!$J:$J,"&gt;="&amp;DATE($I$2,D$4,1),DATA!$J:$J,"&lt;="&amp;DATE($I$2,D$4,D$5))</f>
        <v/>
      </c>
      <c r="E168" s="321">
        <f>SUMIFS(DATA!$I:$I,DATA!$C:$C,$B168,DATA!$J:$J,"&gt;="&amp;DATE($I$2,E$4,1),DATA!$J:$J,"&lt;="&amp;DATE($I$2,E$4,E$5))</f>
        <v/>
      </c>
      <c r="F168" s="321">
        <f>SUMIFS(DATA!$I:$I,DATA!$C:$C,$B168,DATA!$J:$J,"&gt;="&amp;DATE($I$2,F$4,1),DATA!$J:$J,"&lt;="&amp;DATE($I$2,F$4,F$5))</f>
        <v/>
      </c>
      <c r="G168" s="321">
        <f>SUMIFS(DATA!$I:$I,DATA!$C:$C,$B168,DATA!$J:$J,"&gt;="&amp;DATE($I$2,G$4,1),DATA!$J:$J,"&lt;="&amp;DATE($I$2,G$4,G$5))</f>
        <v/>
      </c>
      <c r="H168" s="321">
        <f>SUMIFS(DATA!$I:$I,DATA!$C:$C,$B168,DATA!$J:$J,"&gt;="&amp;DATE($I$2,H$4,1),DATA!$J:$J,"&lt;="&amp;DATE($I$2,H$4,H$5))</f>
        <v/>
      </c>
      <c r="I168" s="321">
        <f>SUMIFS(DATA!$I:$I,DATA!$C:$C,$B168,DATA!$J:$J,"&gt;="&amp;DATE($I$2,I$4,1),DATA!$J:$J,"&lt;="&amp;DATE($I$2,I$4,I$5))</f>
        <v/>
      </c>
      <c r="J168" s="321">
        <f>SUMIFS(DATA!$I:$I,DATA!$C:$C,$B168,DATA!$J:$J,"&gt;="&amp;DATE($I$2,J$4,1),DATA!$J:$J,"&lt;="&amp;DATE($I$2,J$4,J$5))</f>
        <v/>
      </c>
      <c r="K168" s="321">
        <f>SUMIFS(DATA!$I:$I,DATA!$C:$C,$B168,DATA!$J:$J,"&gt;="&amp;DATE($I$2,K$4,1),DATA!$J:$J,"&lt;="&amp;DATE($I$2,K$4,K$5))</f>
        <v/>
      </c>
      <c r="L168" s="321">
        <f>SUMIFS(DATA!$I:$I,DATA!$C:$C,$B168,DATA!$J:$J,"&gt;="&amp;DATE($I$2,L$4,1),DATA!$J:$J,"&lt;="&amp;DATE($I$2,L$4,L$5))</f>
        <v/>
      </c>
      <c r="M168" s="321">
        <f>SUMIFS(DATA!$I:$I,DATA!$C:$C,$B168,DATA!$J:$J,"&gt;="&amp;DATE($I$2,M$4,1),DATA!$J:$J,"&lt;="&amp;DATE($I$2,M$4,M$5))</f>
        <v/>
      </c>
      <c r="N168" s="321">
        <f>SUMIFS(DATA!$I:$I,DATA!$C:$C,$B168,DATA!$J:$J,"&gt;="&amp;DATE($I$2,N$4,1),DATA!$J:$J,"&lt;="&amp;DATE($I$2,N$4,N$5))</f>
        <v/>
      </c>
      <c r="O168" s="321">
        <f>SUMIFS(DATA!$I:$I,DATA!$C:$C,$B168,DATA!$J:$J,"&gt;="&amp;DATE($I$2,O$4,1),DATA!$J:$J,"&lt;="&amp;DATE($I$2,O$4,O$5))</f>
        <v/>
      </c>
      <c r="P168" s="322">
        <f>SUM(D168:O168)</f>
        <v/>
      </c>
      <c r="Q168" s="118" t="n"/>
    </row>
    <row r="169" hidden="1" outlineLevel="1" ht="15" customHeight="1">
      <c r="A169" s="266" t="n"/>
      <c r="B169" s="266" t="n"/>
      <c r="C169" s="119" t="inlineStr">
        <is>
          <t>Thực tế</t>
        </is>
      </c>
      <c r="D169" s="321">
        <f>SUMIFS(DATA!$M:$M,DATA!$C:$C,$B168,DATA!$N:$N,"&gt;="&amp;DATE($I$2,D$4,1),DATA!$N:$N,"&lt;="&amp;DATE($I$2,D$4,D$5))</f>
        <v/>
      </c>
      <c r="E169" s="321">
        <f>SUMIFS(DATA!$M:$M,DATA!$C:$C,$B168,DATA!$N:$N,"&gt;="&amp;DATE($I$2,E$4,1),DATA!$N:$N,"&lt;="&amp;DATE($I$2,E$4,E$5))</f>
        <v/>
      </c>
      <c r="F169" s="321">
        <f>SUMIFS(DATA!$M:$M,DATA!$C:$C,$B168,DATA!$N:$N,"&gt;="&amp;DATE($I$2,F$4,1),DATA!$N:$N,"&lt;="&amp;DATE($I$2,F$4,F$5))</f>
        <v/>
      </c>
      <c r="G169" s="321">
        <f>SUMIFS(DATA!$M:$M,DATA!$C:$C,$B168,DATA!$N:$N,"&gt;="&amp;DATE($I$2,G$4,1),DATA!$N:$N,"&lt;="&amp;DATE($I$2,G$4,G$5))</f>
        <v/>
      </c>
      <c r="H169" s="321">
        <f>SUMIFS(DATA!$M:$M,DATA!$C:$C,$B168,DATA!$N:$N,"&gt;="&amp;DATE($I$2,H$4,1),DATA!$N:$N,"&lt;="&amp;DATE($I$2,H$4,H$5))</f>
        <v/>
      </c>
      <c r="I169" s="321">
        <f>SUMIFS(DATA!$M:$M,DATA!$C:$C,$B168,DATA!$N:$N,"&gt;="&amp;DATE($I$2,I$4,1),DATA!$N:$N,"&lt;="&amp;DATE($I$2,I$4,I$5))</f>
        <v/>
      </c>
      <c r="J169" s="321">
        <f>SUMIFS(DATA!$M:$M,DATA!$C:$C,$B168,DATA!$N:$N,"&gt;="&amp;DATE($I$2,J$4,1),DATA!$N:$N,"&lt;="&amp;DATE($I$2,J$4,J$5))</f>
        <v/>
      </c>
      <c r="K169" s="321">
        <f>SUMIFS(DATA!$M:$M,DATA!$C:$C,$B168,DATA!$N:$N,"&gt;="&amp;DATE($I$2,K$4,1),DATA!$N:$N,"&lt;="&amp;DATE($I$2,K$4,K$5))</f>
        <v/>
      </c>
      <c r="L169" s="321">
        <f>SUMIFS(DATA!$M:$M,DATA!$C:$C,$B168,DATA!$N:$N,"&gt;="&amp;DATE($I$2,L$4,1),DATA!$N:$N,"&lt;="&amp;DATE($I$2,L$4,L$5))</f>
        <v/>
      </c>
      <c r="M169" s="321">
        <f>SUMIFS(DATA!$M:$M,DATA!$C:$C,$B168,DATA!$N:$N,"&gt;="&amp;DATE($I$2,M$4,1),DATA!$N:$N,"&lt;="&amp;DATE($I$2,M$4,M$5))</f>
        <v/>
      </c>
      <c r="N169" s="321">
        <f>SUMIFS(DATA!$M:$M,DATA!$C:$C,$B168,DATA!$N:$N,"&gt;="&amp;DATE($I$2,N$4,1),DATA!$N:$N,"&lt;="&amp;DATE($I$2,N$4,N$5))</f>
        <v/>
      </c>
      <c r="O169" s="321">
        <f>SUMIFS(DATA!$M:$M,DATA!$C:$C,$B168,DATA!$N:$N,"&gt;="&amp;DATE($I$2,O$4,1),DATA!$N:$N,"&lt;="&amp;DATE($I$2,O$4,O$5))</f>
        <v/>
      </c>
      <c r="P169" s="322">
        <f>SUM(D169:O169)</f>
        <v/>
      </c>
      <c r="Q169" s="118" t="n"/>
    </row>
    <row r="170" hidden="1" outlineLevel="1" ht="15" customHeight="1">
      <c r="A170" s="269" t="n">
        <v>83</v>
      </c>
      <c r="B170" s="265" t="inlineStr">
        <is>
          <t>YAMAHA MOTOR ELECTRONICS VIETNAM</t>
        </is>
      </c>
      <c r="C170" s="119" t="inlineStr">
        <is>
          <t>Kế hoạch</t>
        </is>
      </c>
      <c r="D170" s="321">
        <f>SUMIFS(DATA!$I:$I,DATA!$C:$C,$B170,DATA!$J:$J,"&gt;="&amp;DATE($I$2,D$4,1),DATA!$J:$J,"&lt;="&amp;DATE($I$2,D$4,D$5))</f>
        <v/>
      </c>
      <c r="E170" s="321">
        <f>SUMIFS(DATA!$I:$I,DATA!$C:$C,$B170,DATA!$J:$J,"&gt;="&amp;DATE($I$2,E$4,1),DATA!$J:$J,"&lt;="&amp;DATE($I$2,E$4,E$5))</f>
        <v/>
      </c>
      <c r="F170" s="321">
        <f>SUMIFS(DATA!$I:$I,DATA!$C:$C,$B170,DATA!$J:$J,"&gt;="&amp;DATE($I$2,F$4,1),DATA!$J:$J,"&lt;="&amp;DATE($I$2,F$4,F$5))</f>
        <v/>
      </c>
      <c r="G170" s="321">
        <f>SUMIFS(DATA!$I:$I,DATA!$C:$C,$B170,DATA!$J:$J,"&gt;="&amp;DATE($I$2,G$4,1),DATA!$J:$J,"&lt;="&amp;DATE($I$2,G$4,G$5))</f>
        <v/>
      </c>
      <c r="H170" s="321">
        <f>SUMIFS(DATA!$I:$I,DATA!$C:$C,$B170,DATA!$J:$J,"&gt;="&amp;DATE($I$2,H$4,1),DATA!$J:$J,"&lt;="&amp;DATE($I$2,H$4,H$5))</f>
        <v/>
      </c>
      <c r="I170" s="321">
        <f>SUMIFS(DATA!$I:$I,DATA!$C:$C,$B170,DATA!$J:$J,"&gt;="&amp;DATE($I$2,I$4,1),DATA!$J:$J,"&lt;="&amp;DATE($I$2,I$4,I$5))</f>
        <v/>
      </c>
      <c r="J170" s="321">
        <f>SUMIFS(DATA!$I:$I,DATA!$C:$C,$B170,DATA!$J:$J,"&gt;="&amp;DATE($I$2,J$4,1),DATA!$J:$J,"&lt;="&amp;DATE($I$2,J$4,J$5))</f>
        <v/>
      </c>
      <c r="K170" s="321">
        <f>SUMIFS(DATA!$I:$I,DATA!$C:$C,$B170,DATA!$J:$J,"&gt;="&amp;DATE($I$2,K$4,1),DATA!$J:$J,"&lt;="&amp;DATE($I$2,K$4,K$5))</f>
        <v/>
      </c>
      <c r="L170" s="321">
        <f>SUMIFS(DATA!$I:$I,DATA!$C:$C,$B170,DATA!$J:$J,"&gt;="&amp;DATE($I$2,L$4,1),DATA!$J:$J,"&lt;="&amp;DATE($I$2,L$4,L$5))</f>
        <v/>
      </c>
      <c r="M170" s="321">
        <f>SUMIFS(DATA!$I:$I,DATA!$C:$C,$B170,DATA!$J:$J,"&gt;="&amp;DATE($I$2,M$4,1),DATA!$J:$J,"&lt;="&amp;DATE($I$2,M$4,M$5))</f>
        <v/>
      </c>
      <c r="N170" s="321">
        <f>SUMIFS(DATA!$I:$I,DATA!$C:$C,$B170,DATA!$J:$J,"&gt;="&amp;DATE($I$2,N$4,1),DATA!$J:$J,"&lt;="&amp;DATE($I$2,N$4,N$5))</f>
        <v/>
      </c>
      <c r="O170" s="321">
        <f>SUMIFS(DATA!$I:$I,DATA!$C:$C,$B170,DATA!$J:$J,"&gt;="&amp;DATE($I$2,O$4,1),DATA!$J:$J,"&lt;="&amp;DATE($I$2,O$4,O$5))</f>
        <v/>
      </c>
      <c r="P170" s="322">
        <f>SUM(D170:O170)</f>
        <v/>
      </c>
      <c r="Q170" s="118" t="n"/>
    </row>
    <row r="171" hidden="1" outlineLevel="1" ht="15" customHeight="1">
      <c r="A171" s="266" t="n"/>
      <c r="B171" s="266" t="n"/>
      <c r="C171" s="119" t="inlineStr">
        <is>
          <t>Thực tế</t>
        </is>
      </c>
      <c r="D171" s="321">
        <f>SUMIFS(DATA!$M:$M,DATA!$C:$C,$B170,DATA!$N:$N,"&gt;="&amp;DATE($I$2,D$4,1),DATA!$N:$N,"&lt;="&amp;DATE($I$2,D$4,D$5))</f>
        <v/>
      </c>
      <c r="E171" s="321">
        <f>SUMIFS(DATA!$M:$M,DATA!$C:$C,$B170,DATA!$N:$N,"&gt;="&amp;DATE($I$2,E$4,1),DATA!$N:$N,"&lt;="&amp;DATE($I$2,E$4,E$5))</f>
        <v/>
      </c>
      <c r="F171" s="321">
        <f>SUMIFS(DATA!$M:$M,DATA!$C:$C,$B170,DATA!$N:$N,"&gt;="&amp;DATE($I$2,F$4,1),DATA!$N:$N,"&lt;="&amp;DATE($I$2,F$4,F$5))</f>
        <v/>
      </c>
      <c r="G171" s="321">
        <f>SUMIFS(DATA!$M:$M,DATA!$C:$C,$B170,DATA!$N:$N,"&gt;="&amp;DATE($I$2,G$4,1),DATA!$N:$N,"&lt;="&amp;DATE($I$2,G$4,G$5))</f>
        <v/>
      </c>
      <c r="H171" s="321">
        <f>SUMIFS(DATA!$M:$M,DATA!$C:$C,$B170,DATA!$N:$N,"&gt;="&amp;DATE($I$2,H$4,1),DATA!$N:$N,"&lt;="&amp;DATE($I$2,H$4,H$5))</f>
        <v/>
      </c>
      <c r="I171" s="321">
        <f>SUMIFS(DATA!$M:$M,DATA!$C:$C,$B170,DATA!$N:$N,"&gt;="&amp;DATE($I$2,I$4,1),DATA!$N:$N,"&lt;="&amp;DATE($I$2,I$4,I$5))</f>
        <v/>
      </c>
      <c r="J171" s="321">
        <f>SUMIFS(DATA!$M:$M,DATA!$C:$C,$B170,DATA!$N:$N,"&gt;="&amp;DATE($I$2,J$4,1),DATA!$N:$N,"&lt;="&amp;DATE($I$2,J$4,J$5))</f>
        <v/>
      </c>
      <c r="K171" s="321">
        <f>SUMIFS(DATA!$M:$M,DATA!$C:$C,$B170,DATA!$N:$N,"&gt;="&amp;DATE($I$2,K$4,1),DATA!$N:$N,"&lt;="&amp;DATE($I$2,K$4,K$5))</f>
        <v/>
      </c>
      <c r="L171" s="321">
        <f>SUMIFS(DATA!$M:$M,DATA!$C:$C,$B170,DATA!$N:$N,"&gt;="&amp;DATE($I$2,L$4,1),DATA!$N:$N,"&lt;="&amp;DATE($I$2,L$4,L$5))</f>
        <v/>
      </c>
      <c r="M171" s="321">
        <f>SUMIFS(DATA!$M:$M,DATA!$C:$C,$B170,DATA!$N:$N,"&gt;="&amp;DATE($I$2,M$4,1),DATA!$N:$N,"&lt;="&amp;DATE($I$2,M$4,M$5))</f>
        <v/>
      </c>
      <c r="N171" s="321">
        <f>SUMIFS(DATA!$M:$M,DATA!$C:$C,$B170,DATA!$N:$N,"&gt;="&amp;DATE($I$2,N$4,1),DATA!$N:$N,"&lt;="&amp;DATE($I$2,N$4,N$5))</f>
        <v/>
      </c>
      <c r="O171" s="321">
        <f>SUMIFS(DATA!$M:$M,DATA!$C:$C,$B170,DATA!$N:$N,"&gt;="&amp;DATE($I$2,O$4,1),DATA!$N:$N,"&lt;="&amp;DATE($I$2,O$4,O$5))</f>
        <v/>
      </c>
      <c r="P171" s="322">
        <f>SUM(D171:O171)</f>
        <v/>
      </c>
      <c r="Q171" s="118" t="n"/>
    </row>
    <row r="172" hidden="1" outlineLevel="1" ht="15" customHeight="1">
      <c r="A172" s="269" t="n">
        <v>84</v>
      </c>
      <c r="B172" s="265" t="inlineStr">
        <is>
          <t>Mr. Ngọc</t>
        </is>
      </c>
      <c r="C172" s="119" t="inlineStr">
        <is>
          <t>Kế hoạch</t>
        </is>
      </c>
      <c r="D172" s="321">
        <f>SUMIFS(DATA!$I:$I,DATA!$C:$C,$B172,DATA!$J:$J,"&gt;="&amp;DATE($I$2,D$4,1),DATA!$J:$J,"&lt;="&amp;DATE($I$2,D$4,D$5))</f>
        <v/>
      </c>
      <c r="E172" s="321">
        <f>SUMIFS(DATA!$I:$I,DATA!$C:$C,$B172,DATA!$J:$J,"&gt;="&amp;DATE($I$2,E$4,1),DATA!$J:$J,"&lt;="&amp;DATE($I$2,E$4,E$5))</f>
        <v/>
      </c>
      <c r="F172" s="321">
        <f>SUMIFS(DATA!$I:$I,DATA!$C:$C,$B172,DATA!$J:$J,"&gt;="&amp;DATE($I$2,F$4,1),DATA!$J:$J,"&lt;="&amp;DATE($I$2,F$4,F$5))</f>
        <v/>
      </c>
      <c r="G172" s="321">
        <f>SUMIFS(DATA!$I:$I,DATA!$C:$C,$B172,DATA!$J:$J,"&gt;="&amp;DATE($I$2,G$4,1),DATA!$J:$J,"&lt;="&amp;DATE($I$2,G$4,G$5))</f>
        <v/>
      </c>
      <c r="H172" s="321">
        <f>SUMIFS(DATA!$I:$I,DATA!$C:$C,$B172,DATA!$J:$J,"&gt;="&amp;DATE($I$2,H$4,1),DATA!$J:$J,"&lt;="&amp;DATE($I$2,H$4,H$5))</f>
        <v/>
      </c>
      <c r="I172" s="321">
        <f>SUMIFS(DATA!$I:$I,DATA!$C:$C,$B172,DATA!$J:$J,"&gt;="&amp;DATE($I$2,I$4,1),DATA!$J:$J,"&lt;="&amp;DATE($I$2,I$4,I$5))</f>
        <v/>
      </c>
      <c r="J172" s="321">
        <f>SUMIFS(DATA!$I:$I,DATA!$C:$C,$B172,DATA!$J:$J,"&gt;="&amp;DATE($I$2,J$4,1),DATA!$J:$J,"&lt;="&amp;DATE($I$2,J$4,J$5))</f>
        <v/>
      </c>
      <c r="K172" s="321">
        <f>SUMIFS(DATA!$I:$I,DATA!$C:$C,$B172,DATA!$J:$J,"&gt;="&amp;DATE($I$2,K$4,1),DATA!$J:$J,"&lt;="&amp;DATE($I$2,K$4,K$5))</f>
        <v/>
      </c>
      <c r="L172" s="321">
        <f>SUMIFS(DATA!$I:$I,DATA!$C:$C,$B172,DATA!$J:$J,"&gt;="&amp;DATE($I$2,L$4,1),DATA!$J:$J,"&lt;="&amp;DATE($I$2,L$4,L$5))</f>
        <v/>
      </c>
      <c r="M172" s="321">
        <f>SUMIFS(DATA!$I:$I,DATA!$C:$C,$B172,DATA!$J:$J,"&gt;="&amp;DATE($I$2,M$4,1),DATA!$J:$J,"&lt;="&amp;DATE($I$2,M$4,M$5))</f>
        <v/>
      </c>
      <c r="N172" s="321">
        <f>SUMIFS(DATA!$I:$I,DATA!$C:$C,$B172,DATA!$J:$J,"&gt;="&amp;DATE($I$2,N$4,1),DATA!$J:$J,"&lt;="&amp;DATE($I$2,N$4,N$5))</f>
        <v/>
      </c>
      <c r="O172" s="321">
        <f>SUMIFS(DATA!$I:$I,DATA!$C:$C,$B172,DATA!$J:$J,"&gt;="&amp;DATE($I$2,O$4,1),DATA!$J:$J,"&lt;="&amp;DATE($I$2,O$4,O$5))</f>
        <v/>
      </c>
      <c r="P172" s="322">
        <f>SUM(D172:O172)</f>
        <v/>
      </c>
      <c r="Q172" s="118" t="n"/>
    </row>
    <row r="173" hidden="1" outlineLevel="1" ht="15" customHeight="1">
      <c r="A173" s="266" t="n"/>
      <c r="B173" s="266" t="n"/>
      <c r="C173" s="119" t="inlineStr">
        <is>
          <t>Thực tế</t>
        </is>
      </c>
      <c r="D173" s="321">
        <f>SUMIFS(DATA!$M:$M,DATA!$C:$C,$B172,DATA!$N:$N,"&gt;="&amp;DATE($I$2,D$4,1),DATA!$N:$N,"&lt;="&amp;DATE($I$2,D$4,D$5))</f>
        <v/>
      </c>
      <c r="E173" s="321">
        <f>SUMIFS(DATA!$M:$M,DATA!$C:$C,$B172,DATA!$N:$N,"&gt;="&amp;DATE($I$2,E$4,1),DATA!$N:$N,"&lt;="&amp;DATE($I$2,E$4,E$5))</f>
        <v/>
      </c>
      <c r="F173" s="321">
        <f>SUMIFS(DATA!$M:$M,DATA!$C:$C,$B172,DATA!$N:$N,"&gt;="&amp;DATE($I$2,F$4,1),DATA!$N:$N,"&lt;="&amp;DATE($I$2,F$4,F$5))</f>
        <v/>
      </c>
      <c r="G173" s="321">
        <f>SUMIFS(DATA!$M:$M,DATA!$C:$C,$B172,DATA!$N:$N,"&gt;="&amp;DATE($I$2,G$4,1),DATA!$N:$N,"&lt;="&amp;DATE($I$2,G$4,G$5))</f>
        <v/>
      </c>
      <c r="H173" s="321">
        <f>SUMIFS(DATA!$M:$M,DATA!$C:$C,$B172,DATA!$N:$N,"&gt;="&amp;DATE($I$2,H$4,1),DATA!$N:$N,"&lt;="&amp;DATE($I$2,H$4,H$5))</f>
        <v/>
      </c>
      <c r="I173" s="321">
        <f>SUMIFS(DATA!$M:$M,DATA!$C:$C,$B172,DATA!$N:$N,"&gt;="&amp;DATE($I$2,I$4,1),DATA!$N:$N,"&lt;="&amp;DATE($I$2,I$4,I$5))</f>
        <v/>
      </c>
      <c r="J173" s="321">
        <f>SUMIFS(DATA!$M:$M,DATA!$C:$C,$B172,DATA!$N:$N,"&gt;="&amp;DATE($I$2,J$4,1),DATA!$N:$N,"&lt;="&amp;DATE($I$2,J$4,J$5))</f>
        <v/>
      </c>
      <c r="K173" s="321">
        <f>SUMIFS(DATA!$M:$M,DATA!$C:$C,$B172,DATA!$N:$N,"&gt;="&amp;DATE($I$2,K$4,1),DATA!$N:$N,"&lt;="&amp;DATE($I$2,K$4,K$5))</f>
        <v/>
      </c>
      <c r="L173" s="321">
        <f>SUMIFS(DATA!$M:$M,DATA!$C:$C,$B172,DATA!$N:$N,"&gt;="&amp;DATE($I$2,L$4,1),DATA!$N:$N,"&lt;="&amp;DATE($I$2,L$4,L$5))</f>
        <v/>
      </c>
      <c r="M173" s="321">
        <f>SUMIFS(DATA!$M:$M,DATA!$C:$C,$B172,DATA!$N:$N,"&gt;="&amp;DATE($I$2,M$4,1),DATA!$N:$N,"&lt;="&amp;DATE($I$2,M$4,M$5))</f>
        <v/>
      </c>
      <c r="N173" s="321">
        <f>SUMIFS(DATA!$M:$M,DATA!$C:$C,$B172,DATA!$N:$N,"&gt;="&amp;DATE($I$2,N$4,1),DATA!$N:$N,"&lt;="&amp;DATE($I$2,N$4,N$5))</f>
        <v/>
      </c>
      <c r="O173" s="321">
        <f>SUMIFS(DATA!$M:$M,DATA!$C:$C,$B172,DATA!$N:$N,"&gt;="&amp;DATE($I$2,O$4,1),DATA!$N:$N,"&lt;="&amp;DATE($I$2,O$4,O$5))</f>
        <v/>
      </c>
      <c r="P173" s="322">
        <f>SUM(D173:O173)</f>
        <v/>
      </c>
      <c r="Q173" s="118" t="n"/>
    </row>
    <row r="174" hidden="1" outlineLevel="1" ht="15" customHeight="1">
      <c r="A174" s="269" t="n">
        <v>85</v>
      </c>
      <c r="B174" s="265" t="inlineStr">
        <is>
          <t>US EMBASSY HANOI - RESIDENCE</t>
        </is>
      </c>
      <c r="C174" s="119" t="inlineStr">
        <is>
          <t>Kế hoạch</t>
        </is>
      </c>
      <c r="D174" s="321">
        <f>SUMIFS(DATA!$I:$I,DATA!$C:$C,$B174,DATA!$J:$J,"&gt;="&amp;DATE($I$2,D$4,1),DATA!$J:$J,"&lt;="&amp;DATE($I$2,D$4,D$5))</f>
        <v/>
      </c>
      <c r="E174" s="321">
        <f>SUMIFS(DATA!$I:$I,DATA!$C:$C,$B174,DATA!$J:$J,"&gt;="&amp;DATE($I$2,E$4,1),DATA!$J:$J,"&lt;="&amp;DATE($I$2,E$4,E$5))</f>
        <v/>
      </c>
      <c r="F174" s="321">
        <f>SUMIFS(DATA!$I:$I,DATA!$C:$C,$B174,DATA!$J:$J,"&gt;="&amp;DATE($I$2,F$4,1),DATA!$J:$J,"&lt;="&amp;DATE($I$2,F$4,F$5))</f>
        <v/>
      </c>
      <c r="G174" s="321">
        <f>SUMIFS(DATA!$I:$I,DATA!$C:$C,$B174,DATA!$J:$J,"&gt;="&amp;DATE($I$2,G$4,1),DATA!$J:$J,"&lt;="&amp;DATE($I$2,G$4,G$5))</f>
        <v/>
      </c>
      <c r="H174" s="321">
        <f>SUMIFS(DATA!$I:$I,DATA!$C:$C,$B174,DATA!$J:$J,"&gt;="&amp;DATE($I$2,H$4,1),DATA!$J:$J,"&lt;="&amp;DATE($I$2,H$4,H$5))</f>
        <v/>
      </c>
      <c r="I174" s="321">
        <f>SUMIFS(DATA!$I:$I,DATA!$C:$C,$B174,DATA!$J:$J,"&gt;="&amp;DATE($I$2,I$4,1),DATA!$J:$J,"&lt;="&amp;DATE($I$2,I$4,I$5))</f>
        <v/>
      </c>
      <c r="J174" s="321">
        <f>SUMIFS(DATA!$I:$I,DATA!$C:$C,$B174,DATA!$J:$J,"&gt;="&amp;DATE($I$2,J$4,1),DATA!$J:$J,"&lt;="&amp;DATE($I$2,J$4,J$5))</f>
        <v/>
      </c>
      <c r="K174" s="321">
        <f>SUMIFS(DATA!$I:$I,DATA!$C:$C,$B174,DATA!$J:$J,"&gt;="&amp;DATE($I$2,K$4,1),DATA!$J:$J,"&lt;="&amp;DATE($I$2,K$4,K$5))</f>
        <v/>
      </c>
      <c r="L174" s="321">
        <f>SUMIFS(DATA!$I:$I,DATA!$C:$C,$B174,DATA!$J:$J,"&gt;="&amp;DATE($I$2,L$4,1),DATA!$J:$J,"&lt;="&amp;DATE($I$2,L$4,L$5))</f>
        <v/>
      </c>
      <c r="M174" s="321">
        <f>SUMIFS(DATA!$I:$I,DATA!$C:$C,$B174,DATA!$J:$J,"&gt;="&amp;DATE($I$2,M$4,1),DATA!$J:$J,"&lt;="&amp;DATE($I$2,M$4,M$5))</f>
        <v/>
      </c>
      <c r="N174" s="321">
        <f>SUMIFS(DATA!$I:$I,DATA!$C:$C,$B174,DATA!$J:$J,"&gt;="&amp;DATE($I$2,N$4,1),DATA!$J:$J,"&lt;="&amp;DATE($I$2,N$4,N$5))</f>
        <v/>
      </c>
      <c r="O174" s="321">
        <f>SUMIFS(DATA!$I:$I,DATA!$C:$C,$B174,DATA!$J:$J,"&gt;="&amp;DATE($I$2,O$4,1),DATA!$J:$J,"&lt;="&amp;DATE($I$2,O$4,O$5))</f>
        <v/>
      </c>
      <c r="P174" s="322">
        <f>SUM(D174:O174)</f>
        <v/>
      </c>
      <c r="Q174" s="118" t="n"/>
    </row>
    <row r="175" hidden="1" outlineLevel="1" ht="15" customHeight="1">
      <c r="A175" s="266" t="n"/>
      <c r="B175" s="266" t="n"/>
      <c r="C175" s="119" t="inlineStr">
        <is>
          <t>Thực tế</t>
        </is>
      </c>
      <c r="D175" s="321">
        <f>SUMIFS(DATA!$M:$M,DATA!$C:$C,$B174,DATA!$N:$N,"&gt;="&amp;DATE($I$2,D$4,1),DATA!$N:$N,"&lt;="&amp;DATE($I$2,D$4,D$5))</f>
        <v/>
      </c>
      <c r="E175" s="321">
        <f>SUMIFS(DATA!$M:$M,DATA!$C:$C,$B174,DATA!$N:$N,"&gt;="&amp;DATE($I$2,E$4,1),DATA!$N:$N,"&lt;="&amp;DATE($I$2,E$4,E$5))</f>
        <v/>
      </c>
      <c r="F175" s="321">
        <f>SUMIFS(DATA!$M:$M,DATA!$C:$C,$B174,DATA!$N:$N,"&gt;="&amp;DATE($I$2,F$4,1),DATA!$N:$N,"&lt;="&amp;DATE($I$2,F$4,F$5))</f>
        <v/>
      </c>
      <c r="G175" s="321">
        <f>SUMIFS(DATA!$M:$M,DATA!$C:$C,$B174,DATA!$N:$N,"&gt;="&amp;DATE($I$2,G$4,1),DATA!$N:$N,"&lt;="&amp;DATE($I$2,G$4,G$5))</f>
        <v/>
      </c>
      <c r="H175" s="321">
        <f>SUMIFS(DATA!$M:$M,DATA!$C:$C,$B174,DATA!$N:$N,"&gt;="&amp;DATE($I$2,H$4,1),DATA!$N:$N,"&lt;="&amp;DATE($I$2,H$4,H$5))</f>
        <v/>
      </c>
      <c r="I175" s="321">
        <f>SUMIFS(DATA!$M:$M,DATA!$C:$C,$B174,DATA!$N:$N,"&gt;="&amp;DATE($I$2,I$4,1),DATA!$N:$N,"&lt;="&amp;DATE($I$2,I$4,I$5))</f>
        <v/>
      </c>
      <c r="J175" s="321">
        <f>SUMIFS(DATA!$M:$M,DATA!$C:$C,$B174,DATA!$N:$N,"&gt;="&amp;DATE($I$2,J$4,1),DATA!$N:$N,"&lt;="&amp;DATE($I$2,J$4,J$5))</f>
        <v/>
      </c>
      <c r="K175" s="321">
        <f>SUMIFS(DATA!$M:$M,DATA!$C:$C,$B174,DATA!$N:$N,"&gt;="&amp;DATE($I$2,K$4,1),DATA!$N:$N,"&lt;="&amp;DATE($I$2,K$4,K$5))</f>
        <v/>
      </c>
      <c r="L175" s="321">
        <f>SUMIFS(DATA!$M:$M,DATA!$C:$C,$B174,DATA!$N:$N,"&gt;="&amp;DATE($I$2,L$4,1),DATA!$N:$N,"&lt;="&amp;DATE($I$2,L$4,L$5))</f>
        <v/>
      </c>
      <c r="M175" s="321">
        <f>SUMIFS(DATA!$M:$M,DATA!$C:$C,$B174,DATA!$N:$N,"&gt;="&amp;DATE($I$2,M$4,1),DATA!$N:$N,"&lt;="&amp;DATE($I$2,M$4,M$5))</f>
        <v/>
      </c>
      <c r="N175" s="321">
        <f>SUMIFS(DATA!$M:$M,DATA!$C:$C,$B174,DATA!$N:$N,"&gt;="&amp;DATE($I$2,N$4,1),DATA!$N:$N,"&lt;="&amp;DATE($I$2,N$4,N$5))</f>
        <v/>
      </c>
      <c r="O175" s="321">
        <f>SUMIFS(DATA!$M:$M,DATA!$C:$C,$B174,DATA!$N:$N,"&gt;="&amp;DATE($I$2,O$4,1),DATA!$N:$N,"&lt;="&amp;DATE($I$2,O$4,O$5))</f>
        <v/>
      </c>
      <c r="P175" s="322">
        <f>SUM(D175:O175)</f>
        <v/>
      </c>
      <c r="Q175" s="118" t="n"/>
    </row>
    <row r="176" hidden="1" outlineLevel="1" ht="15" customHeight="1">
      <c r="A176" s="269" t="n">
        <v>86</v>
      </c>
      <c r="B176" s="265" t="inlineStr">
        <is>
          <t>CT36A ĐỊNH CÔNG</t>
        </is>
      </c>
      <c r="C176" s="119" t="inlineStr">
        <is>
          <t>Kế hoạch</t>
        </is>
      </c>
      <c r="D176" s="321">
        <f>SUMIFS(DATA!$I:$I,DATA!$C:$C,$B176,DATA!$J:$J,"&gt;="&amp;DATE($I$2,D$4,1),DATA!$J:$J,"&lt;="&amp;DATE($I$2,D$4,D$5))</f>
        <v/>
      </c>
      <c r="E176" s="321">
        <f>SUMIFS(DATA!$I:$I,DATA!$C:$C,$B176,DATA!$J:$J,"&gt;="&amp;DATE($I$2,E$4,1),DATA!$J:$J,"&lt;="&amp;DATE($I$2,E$4,E$5))</f>
        <v/>
      </c>
      <c r="F176" s="321">
        <f>SUMIFS(DATA!$I:$I,DATA!$C:$C,$B176,DATA!$J:$J,"&gt;="&amp;DATE($I$2,F$4,1),DATA!$J:$J,"&lt;="&amp;DATE($I$2,F$4,F$5))</f>
        <v/>
      </c>
      <c r="G176" s="321">
        <f>SUMIFS(DATA!$I:$I,DATA!$C:$C,$B176,DATA!$J:$J,"&gt;="&amp;DATE($I$2,G$4,1),DATA!$J:$J,"&lt;="&amp;DATE($I$2,G$4,G$5))</f>
        <v/>
      </c>
      <c r="H176" s="321">
        <f>SUMIFS(DATA!$I:$I,DATA!$C:$C,$B176,DATA!$J:$J,"&gt;="&amp;DATE($I$2,H$4,1),DATA!$J:$J,"&lt;="&amp;DATE($I$2,H$4,H$5))</f>
        <v/>
      </c>
      <c r="I176" s="321">
        <f>SUMIFS(DATA!$I:$I,DATA!$C:$C,$B176,DATA!$J:$J,"&gt;="&amp;DATE($I$2,I$4,1),DATA!$J:$J,"&lt;="&amp;DATE($I$2,I$4,I$5))</f>
        <v/>
      </c>
      <c r="J176" s="321">
        <f>SUMIFS(DATA!$I:$I,DATA!$C:$C,$B176,DATA!$J:$J,"&gt;="&amp;DATE($I$2,J$4,1),DATA!$J:$J,"&lt;="&amp;DATE($I$2,J$4,J$5))</f>
        <v/>
      </c>
      <c r="K176" s="321">
        <f>SUMIFS(DATA!$I:$I,DATA!$C:$C,$B176,DATA!$J:$J,"&gt;="&amp;DATE($I$2,K$4,1),DATA!$J:$J,"&lt;="&amp;DATE($I$2,K$4,K$5))</f>
        <v/>
      </c>
      <c r="L176" s="321">
        <f>SUMIFS(DATA!$I:$I,DATA!$C:$C,$B176,DATA!$J:$J,"&gt;="&amp;DATE($I$2,L$4,1),DATA!$J:$J,"&lt;="&amp;DATE($I$2,L$4,L$5))</f>
        <v/>
      </c>
      <c r="M176" s="321">
        <f>SUMIFS(DATA!$I:$I,DATA!$C:$C,$B176,DATA!$J:$J,"&gt;="&amp;DATE($I$2,M$4,1),DATA!$J:$J,"&lt;="&amp;DATE($I$2,M$4,M$5))</f>
        <v/>
      </c>
      <c r="N176" s="321">
        <f>SUMIFS(DATA!$I:$I,DATA!$C:$C,$B176,DATA!$J:$J,"&gt;="&amp;DATE($I$2,N$4,1),DATA!$J:$J,"&lt;="&amp;DATE($I$2,N$4,N$5))</f>
        <v/>
      </c>
      <c r="O176" s="321">
        <f>SUMIFS(DATA!$I:$I,DATA!$C:$C,$B176,DATA!$J:$J,"&gt;="&amp;DATE($I$2,O$4,1),DATA!$J:$J,"&lt;="&amp;DATE($I$2,O$4,O$5))</f>
        <v/>
      </c>
      <c r="P176" s="322">
        <f>SUM(D176:O176)</f>
        <v/>
      </c>
      <c r="Q176" s="118" t="n"/>
    </row>
    <row r="177" hidden="1" outlineLevel="1" ht="15" customHeight="1">
      <c r="A177" s="266" t="n"/>
      <c r="B177" s="266" t="n"/>
      <c r="C177" s="119" t="inlineStr">
        <is>
          <t>Thực tế</t>
        </is>
      </c>
      <c r="D177" s="321">
        <f>SUMIFS(DATA!$M:$M,DATA!$C:$C,$B176,DATA!$N:$N,"&gt;="&amp;DATE($I$2,D$4,1),DATA!$N:$N,"&lt;="&amp;DATE($I$2,D$4,D$5))</f>
        <v/>
      </c>
      <c r="E177" s="321">
        <f>SUMIFS(DATA!$M:$M,DATA!$C:$C,$B176,DATA!$N:$N,"&gt;="&amp;DATE($I$2,E$4,1),DATA!$N:$N,"&lt;="&amp;DATE($I$2,E$4,E$5))</f>
        <v/>
      </c>
      <c r="F177" s="321">
        <f>SUMIFS(DATA!$M:$M,DATA!$C:$C,$B176,DATA!$N:$N,"&gt;="&amp;DATE($I$2,F$4,1),DATA!$N:$N,"&lt;="&amp;DATE($I$2,F$4,F$5))</f>
        <v/>
      </c>
      <c r="G177" s="321">
        <f>SUMIFS(DATA!$M:$M,DATA!$C:$C,$B176,DATA!$N:$N,"&gt;="&amp;DATE($I$2,G$4,1),DATA!$N:$N,"&lt;="&amp;DATE($I$2,G$4,G$5))</f>
        <v/>
      </c>
      <c r="H177" s="321">
        <f>SUMIFS(DATA!$M:$M,DATA!$C:$C,$B176,DATA!$N:$N,"&gt;="&amp;DATE($I$2,H$4,1),DATA!$N:$N,"&lt;="&amp;DATE($I$2,H$4,H$5))</f>
        <v/>
      </c>
      <c r="I177" s="321">
        <f>SUMIFS(DATA!$M:$M,DATA!$C:$C,$B176,DATA!$N:$N,"&gt;="&amp;DATE($I$2,I$4,1),DATA!$N:$N,"&lt;="&amp;DATE($I$2,I$4,I$5))</f>
        <v/>
      </c>
      <c r="J177" s="321">
        <f>SUMIFS(DATA!$M:$M,DATA!$C:$C,$B176,DATA!$N:$N,"&gt;="&amp;DATE($I$2,J$4,1),DATA!$N:$N,"&lt;="&amp;DATE($I$2,J$4,J$5))</f>
        <v/>
      </c>
      <c r="K177" s="321">
        <f>SUMIFS(DATA!$M:$M,DATA!$C:$C,$B176,DATA!$N:$N,"&gt;="&amp;DATE($I$2,K$4,1),DATA!$N:$N,"&lt;="&amp;DATE($I$2,K$4,K$5))</f>
        <v/>
      </c>
      <c r="L177" s="321">
        <f>SUMIFS(DATA!$M:$M,DATA!$C:$C,$B176,DATA!$N:$N,"&gt;="&amp;DATE($I$2,L$4,1),DATA!$N:$N,"&lt;="&amp;DATE($I$2,L$4,L$5))</f>
        <v/>
      </c>
      <c r="M177" s="321">
        <f>SUMIFS(DATA!$M:$M,DATA!$C:$C,$B176,DATA!$N:$N,"&gt;="&amp;DATE($I$2,M$4,1),DATA!$N:$N,"&lt;="&amp;DATE($I$2,M$4,M$5))</f>
        <v/>
      </c>
      <c r="N177" s="321">
        <f>SUMIFS(DATA!$M:$M,DATA!$C:$C,$B176,DATA!$N:$N,"&gt;="&amp;DATE($I$2,N$4,1),DATA!$N:$N,"&lt;="&amp;DATE($I$2,N$4,N$5))</f>
        <v/>
      </c>
      <c r="O177" s="321">
        <f>SUMIFS(DATA!$M:$M,DATA!$C:$C,$B176,DATA!$N:$N,"&gt;="&amp;DATE($I$2,O$4,1),DATA!$N:$N,"&lt;="&amp;DATE($I$2,O$4,O$5))</f>
        <v/>
      </c>
      <c r="P177" s="322">
        <f>SUM(D177:O177)</f>
        <v/>
      </c>
      <c r="Q177" s="118" t="n"/>
    </row>
    <row r="178" hidden="1" outlineLevel="1" ht="15" customHeight="1">
      <c r="A178" s="269" t="n">
        <v>87</v>
      </c>
      <c r="B178" s="265" t="inlineStr">
        <is>
          <t>CÔNG TY CỔ PHẦN KỸ THUẬT EDC VN</t>
        </is>
      </c>
      <c r="C178" s="119" t="inlineStr">
        <is>
          <t>Kế hoạch</t>
        </is>
      </c>
      <c r="D178" s="321">
        <f>SUMIFS(DATA!$I:$I,DATA!$C:$C,$B178,DATA!$J:$J,"&gt;="&amp;DATE($I$2,D$4,1),DATA!$J:$J,"&lt;="&amp;DATE($I$2,D$4,D$5))</f>
        <v/>
      </c>
      <c r="E178" s="321">
        <f>SUMIFS(DATA!$I:$I,DATA!$C:$C,$B178,DATA!$J:$J,"&gt;="&amp;DATE($I$2,E$4,1),DATA!$J:$J,"&lt;="&amp;DATE($I$2,E$4,E$5))</f>
        <v/>
      </c>
      <c r="F178" s="321">
        <f>SUMIFS(DATA!$I:$I,DATA!$C:$C,$B178,DATA!$J:$J,"&gt;="&amp;DATE($I$2,F$4,1),DATA!$J:$J,"&lt;="&amp;DATE($I$2,F$4,F$5))</f>
        <v/>
      </c>
      <c r="G178" s="321">
        <f>SUMIFS(DATA!$I:$I,DATA!$C:$C,$B178,DATA!$J:$J,"&gt;="&amp;DATE($I$2,G$4,1),DATA!$J:$J,"&lt;="&amp;DATE($I$2,G$4,G$5))</f>
        <v/>
      </c>
      <c r="H178" s="321">
        <f>SUMIFS(DATA!$I:$I,DATA!$C:$C,$B178,DATA!$J:$J,"&gt;="&amp;DATE($I$2,H$4,1),DATA!$J:$J,"&lt;="&amp;DATE($I$2,H$4,H$5))</f>
        <v/>
      </c>
      <c r="I178" s="321">
        <f>SUMIFS(DATA!$I:$I,DATA!$C:$C,$B178,DATA!$J:$J,"&gt;="&amp;DATE($I$2,I$4,1),DATA!$J:$J,"&lt;="&amp;DATE($I$2,I$4,I$5))</f>
        <v/>
      </c>
      <c r="J178" s="321">
        <f>SUMIFS(DATA!$I:$I,DATA!$C:$C,$B178,DATA!$J:$J,"&gt;="&amp;DATE($I$2,J$4,1),DATA!$J:$J,"&lt;="&amp;DATE($I$2,J$4,J$5))</f>
        <v/>
      </c>
      <c r="K178" s="321">
        <f>SUMIFS(DATA!$I:$I,DATA!$C:$C,$B178,DATA!$J:$J,"&gt;="&amp;DATE($I$2,K$4,1),DATA!$J:$J,"&lt;="&amp;DATE($I$2,K$4,K$5))</f>
        <v/>
      </c>
      <c r="L178" s="321">
        <f>SUMIFS(DATA!$I:$I,DATA!$C:$C,$B178,DATA!$J:$J,"&gt;="&amp;DATE($I$2,L$4,1),DATA!$J:$J,"&lt;="&amp;DATE($I$2,L$4,L$5))</f>
        <v/>
      </c>
      <c r="M178" s="321">
        <f>SUMIFS(DATA!$I:$I,DATA!$C:$C,$B178,DATA!$J:$J,"&gt;="&amp;DATE($I$2,M$4,1),DATA!$J:$J,"&lt;="&amp;DATE($I$2,M$4,M$5))</f>
        <v/>
      </c>
      <c r="N178" s="321">
        <f>SUMIFS(DATA!$I:$I,DATA!$C:$C,$B178,DATA!$J:$J,"&gt;="&amp;DATE($I$2,N$4,1),DATA!$J:$J,"&lt;="&amp;DATE($I$2,N$4,N$5))</f>
        <v/>
      </c>
      <c r="O178" s="321">
        <f>SUMIFS(DATA!$I:$I,DATA!$C:$C,$B178,DATA!$J:$J,"&gt;="&amp;DATE($I$2,O$4,1),DATA!$J:$J,"&lt;="&amp;DATE($I$2,O$4,O$5))</f>
        <v/>
      </c>
      <c r="P178" s="322">
        <f>SUM(D178:O178)</f>
        <v/>
      </c>
      <c r="Q178" s="118" t="n"/>
    </row>
    <row r="179" hidden="1" outlineLevel="1" ht="15" customHeight="1">
      <c r="A179" s="266" t="n"/>
      <c r="B179" s="266" t="n"/>
      <c r="C179" s="119" t="inlineStr">
        <is>
          <t>Thực tế</t>
        </is>
      </c>
      <c r="D179" s="321">
        <f>SUMIFS(DATA!$M:$M,DATA!$C:$C,$B178,DATA!$N:$N,"&gt;="&amp;DATE($I$2,D$4,1),DATA!$N:$N,"&lt;="&amp;DATE($I$2,D$4,D$5))</f>
        <v/>
      </c>
      <c r="E179" s="321">
        <f>SUMIFS(DATA!$M:$M,DATA!$C:$C,$B178,DATA!$N:$N,"&gt;="&amp;DATE($I$2,E$4,1),DATA!$N:$N,"&lt;="&amp;DATE($I$2,E$4,E$5))</f>
        <v/>
      </c>
      <c r="F179" s="321">
        <f>SUMIFS(DATA!$M:$M,DATA!$C:$C,$B178,DATA!$N:$N,"&gt;="&amp;DATE($I$2,F$4,1),DATA!$N:$N,"&lt;="&amp;DATE($I$2,F$4,F$5))</f>
        <v/>
      </c>
      <c r="G179" s="321">
        <f>SUMIFS(DATA!$M:$M,DATA!$C:$C,$B178,DATA!$N:$N,"&gt;="&amp;DATE($I$2,G$4,1),DATA!$N:$N,"&lt;="&amp;DATE($I$2,G$4,G$5))</f>
        <v/>
      </c>
      <c r="H179" s="321">
        <f>SUMIFS(DATA!$M:$M,DATA!$C:$C,$B178,DATA!$N:$N,"&gt;="&amp;DATE($I$2,H$4,1),DATA!$N:$N,"&lt;="&amp;DATE($I$2,H$4,H$5))</f>
        <v/>
      </c>
      <c r="I179" s="321">
        <f>SUMIFS(DATA!$M:$M,DATA!$C:$C,$B178,DATA!$N:$N,"&gt;="&amp;DATE($I$2,I$4,1),DATA!$N:$N,"&lt;="&amp;DATE($I$2,I$4,I$5))</f>
        <v/>
      </c>
      <c r="J179" s="321">
        <f>SUMIFS(DATA!$M:$M,DATA!$C:$C,$B178,DATA!$N:$N,"&gt;="&amp;DATE($I$2,J$4,1),DATA!$N:$N,"&lt;="&amp;DATE($I$2,J$4,J$5))</f>
        <v/>
      </c>
      <c r="K179" s="321">
        <f>SUMIFS(DATA!$M:$M,DATA!$C:$C,$B178,DATA!$N:$N,"&gt;="&amp;DATE($I$2,K$4,1),DATA!$N:$N,"&lt;="&amp;DATE($I$2,K$4,K$5))</f>
        <v/>
      </c>
      <c r="L179" s="321">
        <f>SUMIFS(DATA!$M:$M,DATA!$C:$C,$B178,DATA!$N:$N,"&gt;="&amp;DATE($I$2,L$4,1),DATA!$N:$N,"&lt;="&amp;DATE($I$2,L$4,L$5))</f>
        <v/>
      </c>
      <c r="M179" s="321">
        <f>SUMIFS(DATA!$M:$M,DATA!$C:$C,$B178,DATA!$N:$N,"&gt;="&amp;DATE($I$2,M$4,1),DATA!$N:$N,"&lt;="&amp;DATE($I$2,M$4,M$5))</f>
        <v/>
      </c>
      <c r="N179" s="321">
        <f>SUMIFS(DATA!$M:$M,DATA!$C:$C,$B178,DATA!$N:$N,"&gt;="&amp;DATE($I$2,N$4,1),DATA!$N:$N,"&lt;="&amp;DATE($I$2,N$4,N$5))</f>
        <v/>
      </c>
      <c r="O179" s="321">
        <f>SUMIFS(DATA!$M:$M,DATA!$C:$C,$B178,DATA!$N:$N,"&gt;="&amp;DATE($I$2,O$4,1),DATA!$N:$N,"&lt;="&amp;DATE($I$2,O$4,O$5))</f>
        <v/>
      </c>
      <c r="P179" s="322">
        <f>SUM(D179:O179)</f>
        <v/>
      </c>
      <c r="Q179" s="118" t="n"/>
    </row>
    <row r="180" hidden="1" outlineLevel="1" ht="15" customHeight="1">
      <c r="A180" s="269" t="n">
        <v>88</v>
      </c>
      <c r="B180" s="265" t="inlineStr">
        <is>
          <t>HSBC</t>
        </is>
      </c>
      <c r="C180" s="119" t="inlineStr">
        <is>
          <t>Kế hoạch</t>
        </is>
      </c>
      <c r="D180" s="321">
        <f>SUMIFS(DATA!$I:$I,DATA!$C:$C,$B180,DATA!$J:$J,"&gt;="&amp;DATE($I$2,D$4,1),DATA!$J:$J,"&lt;="&amp;DATE($I$2,D$4,D$5))</f>
        <v/>
      </c>
      <c r="E180" s="321">
        <f>SUMIFS(DATA!$I:$I,DATA!$C:$C,$B180,DATA!$J:$J,"&gt;="&amp;DATE($I$2,E$4,1),DATA!$J:$J,"&lt;="&amp;DATE($I$2,E$4,E$5))</f>
        <v/>
      </c>
      <c r="F180" s="321">
        <f>SUMIFS(DATA!$I:$I,DATA!$C:$C,$B180,DATA!$J:$J,"&gt;="&amp;DATE($I$2,F$4,1),DATA!$J:$J,"&lt;="&amp;DATE($I$2,F$4,F$5))</f>
        <v/>
      </c>
      <c r="G180" s="321">
        <f>SUMIFS(DATA!$I:$I,DATA!$C:$C,$B180,DATA!$J:$J,"&gt;="&amp;DATE($I$2,G$4,1),DATA!$J:$J,"&lt;="&amp;DATE($I$2,G$4,G$5))</f>
        <v/>
      </c>
      <c r="H180" s="321">
        <f>SUMIFS(DATA!$I:$I,DATA!$C:$C,$B180,DATA!$J:$J,"&gt;="&amp;DATE($I$2,H$4,1),DATA!$J:$J,"&lt;="&amp;DATE($I$2,H$4,H$5))</f>
        <v/>
      </c>
      <c r="I180" s="321">
        <f>SUMIFS(DATA!$I:$I,DATA!$C:$C,$B180,DATA!$J:$J,"&gt;="&amp;DATE($I$2,I$4,1),DATA!$J:$J,"&lt;="&amp;DATE($I$2,I$4,I$5))</f>
        <v/>
      </c>
      <c r="J180" s="321">
        <f>SUMIFS(DATA!$I:$I,DATA!$C:$C,$B180,DATA!$J:$J,"&gt;="&amp;DATE($I$2,J$4,1),DATA!$J:$J,"&lt;="&amp;DATE($I$2,J$4,J$5))</f>
        <v/>
      </c>
      <c r="K180" s="321">
        <f>SUMIFS(DATA!$I:$I,DATA!$C:$C,$B180,DATA!$J:$J,"&gt;="&amp;DATE($I$2,K$4,1),DATA!$J:$J,"&lt;="&amp;DATE($I$2,K$4,K$5))</f>
        <v/>
      </c>
      <c r="L180" s="321">
        <f>SUMIFS(DATA!$I:$I,DATA!$C:$C,$B180,DATA!$J:$J,"&gt;="&amp;DATE($I$2,L$4,1),DATA!$J:$J,"&lt;="&amp;DATE($I$2,L$4,L$5))</f>
        <v/>
      </c>
      <c r="M180" s="321">
        <f>SUMIFS(DATA!$I:$I,DATA!$C:$C,$B180,DATA!$J:$J,"&gt;="&amp;DATE($I$2,M$4,1),DATA!$J:$J,"&lt;="&amp;DATE($I$2,M$4,M$5))</f>
        <v/>
      </c>
      <c r="N180" s="321">
        <f>SUMIFS(DATA!$I:$I,DATA!$C:$C,$B180,DATA!$J:$J,"&gt;="&amp;DATE($I$2,N$4,1),DATA!$J:$J,"&lt;="&amp;DATE($I$2,N$4,N$5))</f>
        <v/>
      </c>
      <c r="O180" s="321">
        <f>SUMIFS(DATA!$I:$I,DATA!$C:$C,$B180,DATA!$J:$J,"&gt;="&amp;DATE($I$2,O$4,1),DATA!$J:$J,"&lt;="&amp;DATE($I$2,O$4,O$5))</f>
        <v/>
      </c>
      <c r="P180" s="322">
        <f>SUM(D180:O180)</f>
        <v/>
      </c>
      <c r="Q180" s="118" t="n"/>
    </row>
    <row r="181" hidden="1" outlineLevel="1" ht="15" customHeight="1">
      <c r="A181" s="266" t="n"/>
      <c r="B181" s="266" t="n"/>
      <c r="C181" s="119" t="inlineStr">
        <is>
          <t>Thực tế</t>
        </is>
      </c>
      <c r="D181" s="321">
        <f>SUMIFS(DATA!$M:$M,DATA!$C:$C,$B180,DATA!$N:$N,"&gt;="&amp;DATE($I$2,D$4,1),DATA!$N:$N,"&lt;="&amp;DATE($I$2,D$4,D$5))</f>
        <v/>
      </c>
      <c r="E181" s="321">
        <f>SUMIFS(DATA!$M:$M,DATA!$C:$C,$B180,DATA!$N:$N,"&gt;="&amp;DATE($I$2,E$4,1),DATA!$N:$N,"&lt;="&amp;DATE($I$2,E$4,E$5))</f>
        <v/>
      </c>
      <c r="F181" s="321">
        <f>SUMIFS(DATA!$M:$M,DATA!$C:$C,$B180,DATA!$N:$N,"&gt;="&amp;DATE($I$2,F$4,1),DATA!$N:$N,"&lt;="&amp;DATE($I$2,F$4,F$5))</f>
        <v/>
      </c>
      <c r="G181" s="321">
        <f>SUMIFS(DATA!$M:$M,DATA!$C:$C,$B180,DATA!$N:$N,"&gt;="&amp;DATE($I$2,G$4,1),DATA!$N:$N,"&lt;="&amp;DATE($I$2,G$4,G$5))</f>
        <v/>
      </c>
      <c r="H181" s="321">
        <f>SUMIFS(DATA!$M:$M,DATA!$C:$C,$B180,DATA!$N:$N,"&gt;="&amp;DATE($I$2,H$4,1),DATA!$N:$N,"&lt;="&amp;DATE($I$2,H$4,H$5))</f>
        <v/>
      </c>
      <c r="I181" s="321">
        <f>SUMIFS(DATA!$M:$M,DATA!$C:$C,$B180,DATA!$N:$N,"&gt;="&amp;DATE($I$2,I$4,1),DATA!$N:$N,"&lt;="&amp;DATE($I$2,I$4,I$5))</f>
        <v/>
      </c>
      <c r="J181" s="321">
        <f>SUMIFS(DATA!$M:$M,DATA!$C:$C,$B180,DATA!$N:$N,"&gt;="&amp;DATE($I$2,J$4,1),DATA!$N:$N,"&lt;="&amp;DATE($I$2,J$4,J$5))</f>
        <v/>
      </c>
      <c r="K181" s="321">
        <f>SUMIFS(DATA!$M:$M,DATA!$C:$C,$B180,DATA!$N:$N,"&gt;="&amp;DATE($I$2,K$4,1),DATA!$N:$N,"&lt;="&amp;DATE($I$2,K$4,K$5))</f>
        <v/>
      </c>
      <c r="L181" s="321">
        <f>SUMIFS(DATA!$M:$M,DATA!$C:$C,$B180,DATA!$N:$N,"&gt;="&amp;DATE($I$2,L$4,1),DATA!$N:$N,"&lt;="&amp;DATE($I$2,L$4,L$5))</f>
        <v/>
      </c>
      <c r="M181" s="321">
        <f>SUMIFS(DATA!$M:$M,DATA!$C:$C,$B180,DATA!$N:$N,"&gt;="&amp;DATE($I$2,M$4,1),DATA!$N:$N,"&lt;="&amp;DATE($I$2,M$4,M$5))</f>
        <v/>
      </c>
      <c r="N181" s="321">
        <f>SUMIFS(DATA!$M:$M,DATA!$C:$C,$B180,DATA!$N:$N,"&gt;="&amp;DATE($I$2,N$4,1),DATA!$N:$N,"&lt;="&amp;DATE($I$2,N$4,N$5))</f>
        <v/>
      </c>
      <c r="O181" s="321">
        <f>SUMIFS(DATA!$M:$M,DATA!$C:$C,$B180,DATA!$N:$N,"&gt;="&amp;DATE($I$2,O$4,1),DATA!$N:$N,"&lt;="&amp;DATE($I$2,O$4,O$5))</f>
        <v/>
      </c>
      <c r="P181" s="322">
        <f>SUM(D181:O181)</f>
        <v/>
      </c>
      <c r="Q181" s="118" t="n"/>
    </row>
    <row r="182" hidden="1" outlineLevel="1" ht="15" customHeight="1">
      <c r="A182" s="269" t="n">
        <v>89</v>
      </c>
      <c r="B182" s="265" t="inlineStr">
        <is>
          <t>JLL VIETNAM</t>
        </is>
      </c>
      <c r="C182" s="119" t="inlineStr">
        <is>
          <t>Kế hoạch</t>
        </is>
      </c>
      <c r="D182" s="321">
        <f>SUMIFS(DATA!$I:$I,DATA!$C:$C,$B182,DATA!$J:$J,"&gt;="&amp;DATE($I$2,D$4,1),DATA!$J:$J,"&lt;="&amp;DATE($I$2,D$4,D$5))</f>
        <v/>
      </c>
      <c r="E182" s="321">
        <f>SUMIFS(DATA!$I:$I,DATA!$C:$C,$B182,DATA!$J:$J,"&gt;="&amp;DATE($I$2,E$4,1),DATA!$J:$J,"&lt;="&amp;DATE($I$2,E$4,E$5))</f>
        <v/>
      </c>
      <c r="F182" s="321">
        <f>SUMIFS(DATA!$I:$I,DATA!$C:$C,$B182,DATA!$J:$J,"&gt;="&amp;DATE($I$2,F$4,1),DATA!$J:$J,"&lt;="&amp;DATE($I$2,F$4,F$5))</f>
        <v/>
      </c>
      <c r="G182" s="321">
        <f>SUMIFS(DATA!$I:$I,DATA!$C:$C,$B182,DATA!$J:$J,"&gt;="&amp;DATE($I$2,G$4,1),DATA!$J:$J,"&lt;="&amp;DATE($I$2,G$4,G$5))</f>
        <v/>
      </c>
      <c r="H182" s="321">
        <f>SUMIFS(DATA!$I:$I,DATA!$C:$C,$B182,DATA!$J:$J,"&gt;="&amp;DATE($I$2,H$4,1),DATA!$J:$J,"&lt;="&amp;DATE($I$2,H$4,H$5))</f>
        <v/>
      </c>
      <c r="I182" s="321">
        <f>SUMIFS(DATA!$I:$I,DATA!$C:$C,$B182,DATA!$J:$J,"&gt;="&amp;DATE($I$2,I$4,1),DATA!$J:$J,"&lt;="&amp;DATE($I$2,I$4,I$5))</f>
        <v/>
      </c>
      <c r="J182" s="321">
        <f>SUMIFS(DATA!$I:$I,DATA!$C:$C,$B182,DATA!$J:$J,"&gt;="&amp;DATE($I$2,J$4,1),DATA!$J:$J,"&lt;="&amp;DATE($I$2,J$4,J$5))</f>
        <v/>
      </c>
      <c r="K182" s="321">
        <f>SUMIFS(DATA!$I:$I,DATA!$C:$C,$B182,DATA!$J:$J,"&gt;="&amp;DATE($I$2,K$4,1),DATA!$J:$J,"&lt;="&amp;DATE($I$2,K$4,K$5))</f>
        <v/>
      </c>
      <c r="L182" s="321">
        <f>SUMIFS(DATA!$I:$I,DATA!$C:$C,$B182,DATA!$J:$J,"&gt;="&amp;DATE($I$2,L$4,1),DATA!$J:$J,"&lt;="&amp;DATE($I$2,L$4,L$5))</f>
        <v/>
      </c>
      <c r="M182" s="321">
        <f>SUMIFS(DATA!$I:$I,DATA!$C:$C,$B182,DATA!$J:$J,"&gt;="&amp;DATE($I$2,M$4,1),DATA!$J:$J,"&lt;="&amp;DATE($I$2,M$4,M$5))</f>
        <v/>
      </c>
      <c r="N182" s="321">
        <f>SUMIFS(DATA!$I:$I,DATA!$C:$C,$B182,DATA!$J:$J,"&gt;="&amp;DATE($I$2,N$4,1),DATA!$J:$J,"&lt;="&amp;DATE($I$2,N$4,N$5))</f>
        <v/>
      </c>
      <c r="O182" s="321">
        <f>SUMIFS(DATA!$I:$I,DATA!$C:$C,$B182,DATA!$J:$J,"&gt;="&amp;DATE($I$2,O$4,1),DATA!$J:$J,"&lt;="&amp;DATE($I$2,O$4,O$5))</f>
        <v/>
      </c>
      <c r="P182" s="322">
        <f>SUM(D182:O182)</f>
        <v/>
      </c>
      <c r="Q182" s="118" t="n"/>
    </row>
    <row r="183" hidden="1" outlineLevel="1" ht="15" customHeight="1">
      <c r="A183" s="266" t="n"/>
      <c r="B183" s="266" t="n"/>
      <c r="C183" s="119" t="inlineStr">
        <is>
          <t>Thực tế</t>
        </is>
      </c>
      <c r="D183" s="321">
        <f>SUMIFS(DATA!$M:$M,DATA!$C:$C,$B182,DATA!$N:$N,"&gt;="&amp;DATE($I$2,D$4,1),DATA!$N:$N,"&lt;="&amp;DATE($I$2,D$4,D$5))</f>
        <v/>
      </c>
      <c r="E183" s="321">
        <f>SUMIFS(DATA!$M:$M,DATA!$C:$C,$B182,DATA!$N:$N,"&gt;="&amp;DATE($I$2,E$4,1),DATA!$N:$N,"&lt;="&amp;DATE($I$2,E$4,E$5))</f>
        <v/>
      </c>
      <c r="F183" s="321">
        <f>SUMIFS(DATA!$M:$M,DATA!$C:$C,$B182,DATA!$N:$N,"&gt;="&amp;DATE($I$2,F$4,1),DATA!$N:$N,"&lt;="&amp;DATE($I$2,F$4,F$5))</f>
        <v/>
      </c>
      <c r="G183" s="321">
        <f>SUMIFS(DATA!$M:$M,DATA!$C:$C,$B182,DATA!$N:$N,"&gt;="&amp;DATE($I$2,G$4,1),DATA!$N:$N,"&lt;="&amp;DATE($I$2,G$4,G$5))</f>
        <v/>
      </c>
      <c r="H183" s="321">
        <f>SUMIFS(DATA!$M:$M,DATA!$C:$C,$B182,DATA!$N:$N,"&gt;="&amp;DATE($I$2,H$4,1),DATA!$N:$N,"&lt;="&amp;DATE($I$2,H$4,H$5))</f>
        <v/>
      </c>
      <c r="I183" s="321">
        <f>SUMIFS(DATA!$M:$M,DATA!$C:$C,$B182,DATA!$N:$N,"&gt;="&amp;DATE($I$2,I$4,1),DATA!$N:$N,"&lt;="&amp;DATE($I$2,I$4,I$5))</f>
        <v/>
      </c>
      <c r="J183" s="321">
        <f>SUMIFS(DATA!$M:$M,DATA!$C:$C,$B182,DATA!$N:$N,"&gt;="&amp;DATE($I$2,J$4,1),DATA!$N:$N,"&lt;="&amp;DATE($I$2,J$4,J$5))</f>
        <v/>
      </c>
      <c r="K183" s="321">
        <f>SUMIFS(DATA!$M:$M,DATA!$C:$C,$B182,DATA!$N:$N,"&gt;="&amp;DATE($I$2,K$4,1),DATA!$N:$N,"&lt;="&amp;DATE($I$2,K$4,K$5))</f>
        <v/>
      </c>
      <c r="L183" s="321">
        <f>SUMIFS(DATA!$M:$M,DATA!$C:$C,$B182,DATA!$N:$N,"&gt;="&amp;DATE($I$2,L$4,1),DATA!$N:$N,"&lt;="&amp;DATE($I$2,L$4,L$5))</f>
        <v/>
      </c>
      <c r="M183" s="321">
        <f>SUMIFS(DATA!$M:$M,DATA!$C:$C,$B182,DATA!$N:$N,"&gt;="&amp;DATE($I$2,M$4,1),DATA!$N:$N,"&lt;="&amp;DATE($I$2,M$4,M$5))</f>
        <v/>
      </c>
      <c r="N183" s="321">
        <f>SUMIFS(DATA!$M:$M,DATA!$C:$C,$B182,DATA!$N:$N,"&gt;="&amp;DATE($I$2,N$4,1),DATA!$N:$N,"&lt;="&amp;DATE($I$2,N$4,N$5))</f>
        <v/>
      </c>
      <c r="O183" s="321">
        <f>SUMIFS(DATA!$M:$M,DATA!$C:$C,$B182,DATA!$N:$N,"&gt;="&amp;DATE($I$2,O$4,1),DATA!$N:$N,"&lt;="&amp;DATE($I$2,O$4,O$5))</f>
        <v/>
      </c>
      <c r="P183" s="322">
        <f>SUM(D183:O183)</f>
        <v/>
      </c>
      <c r="Q183" s="118" t="n"/>
    </row>
    <row r="184" hidden="1" outlineLevel="1" ht="15" customHeight="1">
      <c r="A184" s="269" t="n">
        <v>90</v>
      </c>
      <c r="B184" s="265" t="inlineStr">
        <is>
          <t>SUZURAN VIETNAM</t>
        </is>
      </c>
      <c r="C184" s="119" t="inlineStr">
        <is>
          <t>Kế hoạch</t>
        </is>
      </c>
      <c r="D184" s="321">
        <f>SUMIFS(DATA!$I:$I,DATA!$C:$C,$B184,DATA!$J:$J,"&gt;="&amp;DATE($I$2,D$4,1),DATA!$J:$J,"&lt;="&amp;DATE($I$2,D$4,D$5))</f>
        <v/>
      </c>
      <c r="E184" s="321">
        <f>SUMIFS(DATA!$I:$I,DATA!$C:$C,$B184,DATA!$J:$J,"&gt;="&amp;DATE($I$2,E$4,1),DATA!$J:$J,"&lt;="&amp;DATE($I$2,E$4,E$5))</f>
        <v/>
      </c>
      <c r="F184" s="321">
        <f>SUMIFS(DATA!$I:$I,DATA!$C:$C,$B184,DATA!$J:$J,"&gt;="&amp;DATE($I$2,F$4,1),DATA!$J:$J,"&lt;="&amp;DATE($I$2,F$4,F$5))</f>
        <v/>
      </c>
      <c r="G184" s="321">
        <f>SUMIFS(DATA!$I:$I,DATA!$C:$C,$B184,DATA!$J:$J,"&gt;="&amp;DATE($I$2,G$4,1),DATA!$J:$J,"&lt;="&amp;DATE($I$2,G$4,G$5))</f>
        <v/>
      </c>
      <c r="H184" s="321">
        <f>SUMIFS(DATA!$I:$I,DATA!$C:$C,$B184,DATA!$J:$J,"&gt;="&amp;DATE($I$2,H$4,1),DATA!$J:$J,"&lt;="&amp;DATE($I$2,H$4,H$5))</f>
        <v/>
      </c>
      <c r="I184" s="321">
        <f>SUMIFS(DATA!$I:$I,DATA!$C:$C,$B184,DATA!$J:$J,"&gt;="&amp;DATE($I$2,I$4,1),DATA!$J:$J,"&lt;="&amp;DATE($I$2,I$4,I$5))</f>
        <v/>
      </c>
      <c r="J184" s="321">
        <f>SUMIFS(DATA!$I:$I,DATA!$C:$C,$B184,DATA!$J:$J,"&gt;="&amp;DATE($I$2,J$4,1),DATA!$J:$J,"&lt;="&amp;DATE($I$2,J$4,J$5))</f>
        <v/>
      </c>
      <c r="K184" s="321">
        <f>SUMIFS(DATA!$I:$I,DATA!$C:$C,$B184,DATA!$J:$J,"&gt;="&amp;DATE($I$2,K$4,1),DATA!$J:$J,"&lt;="&amp;DATE($I$2,K$4,K$5))</f>
        <v/>
      </c>
      <c r="L184" s="321">
        <f>SUMIFS(DATA!$I:$I,DATA!$C:$C,$B184,DATA!$J:$J,"&gt;="&amp;DATE($I$2,L$4,1),DATA!$J:$J,"&lt;="&amp;DATE($I$2,L$4,L$5))</f>
        <v/>
      </c>
      <c r="M184" s="321">
        <f>SUMIFS(DATA!$I:$I,DATA!$C:$C,$B184,DATA!$J:$J,"&gt;="&amp;DATE($I$2,M$4,1),DATA!$J:$J,"&lt;="&amp;DATE($I$2,M$4,M$5))</f>
        <v/>
      </c>
      <c r="N184" s="321">
        <f>SUMIFS(DATA!$I:$I,DATA!$C:$C,$B184,DATA!$J:$J,"&gt;="&amp;DATE($I$2,N$4,1),DATA!$J:$J,"&lt;="&amp;DATE($I$2,N$4,N$5))</f>
        <v/>
      </c>
      <c r="O184" s="321">
        <f>SUMIFS(DATA!$I:$I,DATA!$C:$C,$B184,DATA!$J:$J,"&gt;="&amp;DATE($I$2,O$4,1),DATA!$J:$J,"&lt;="&amp;DATE($I$2,O$4,O$5))</f>
        <v/>
      </c>
      <c r="P184" s="322">
        <f>SUM(D184:O184)</f>
        <v/>
      </c>
      <c r="Q184" s="118" t="n"/>
    </row>
    <row r="185" hidden="1" outlineLevel="1" ht="15" customHeight="1">
      <c r="A185" s="266" t="n"/>
      <c r="B185" s="266" t="n"/>
      <c r="C185" s="119" t="inlineStr">
        <is>
          <t>Thực tế</t>
        </is>
      </c>
      <c r="D185" s="321">
        <f>SUMIFS(DATA!$M:$M,DATA!$C:$C,$B184,DATA!$N:$N,"&gt;="&amp;DATE($I$2,D$4,1),DATA!$N:$N,"&lt;="&amp;DATE($I$2,D$4,D$5))</f>
        <v/>
      </c>
      <c r="E185" s="321">
        <f>SUMIFS(DATA!$M:$M,DATA!$C:$C,$B184,DATA!$N:$N,"&gt;="&amp;DATE($I$2,E$4,1),DATA!$N:$N,"&lt;="&amp;DATE($I$2,E$4,E$5))</f>
        <v/>
      </c>
      <c r="F185" s="321">
        <f>SUMIFS(DATA!$M:$M,DATA!$C:$C,$B184,DATA!$N:$N,"&gt;="&amp;DATE($I$2,F$4,1),DATA!$N:$N,"&lt;="&amp;DATE($I$2,F$4,F$5))</f>
        <v/>
      </c>
      <c r="G185" s="321">
        <f>SUMIFS(DATA!$M:$M,DATA!$C:$C,$B184,DATA!$N:$N,"&gt;="&amp;DATE($I$2,G$4,1),DATA!$N:$N,"&lt;="&amp;DATE($I$2,G$4,G$5))</f>
        <v/>
      </c>
      <c r="H185" s="321">
        <f>SUMIFS(DATA!$M:$M,DATA!$C:$C,$B184,DATA!$N:$N,"&gt;="&amp;DATE($I$2,H$4,1),DATA!$N:$N,"&lt;="&amp;DATE($I$2,H$4,H$5))</f>
        <v/>
      </c>
      <c r="I185" s="321">
        <f>SUMIFS(DATA!$M:$M,DATA!$C:$C,$B184,DATA!$N:$N,"&gt;="&amp;DATE($I$2,I$4,1),DATA!$N:$N,"&lt;="&amp;DATE($I$2,I$4,I$5))</f>
        <v/>
      </c>
      <c r="J185" s="321">
        <f>SUMIFS(DATA!$M:$M,DATA!$C:$C,$B184,DATA!$N:$N,"&gt;="&amp;DATE($I$2,J$4,1),DATA!$N:$N,"&lt;="&amp;DATE($I$2,J$4,J$5))</f>
        <v/>
      </c>
      <c r="K185" s="321">
        <f>SUMIFS(DATA!$M:$M,DATA!$C:$C,$B184,DATA!$N:$N,"&gt;="&amp;DATE($I$2,K$4,1),DATA!$N:$N,"&lt;="&amp;DATE($I$2,K$4,K$5))</f>
        <v/>
      </c>
      <c r="L185" s="321">
        <f>SUMIFS(DATA!$M:$M,DATA!$C:$C,$B184,DATA!$N:$N,"&gt;="&amp;DATE($I$2,L$4,1),DATA!$N:$N,"&lt;="&amp;DATE($I$2,L$4,L$5))</f>
        <v/>
      </c>
      <c r="M185" s="321">
        <f>SUMIFS(DATA!$M:$M,DATA!$C:$C,$B184,DATA!$N:$N,"&gt;="&amp;DATE($I$2,M$4,1),DATA!$N:$N,"&lt;="&amp;DATE($I$2,M$4,M$5))</f>
        <v/>
      </c>
      <c r="N185" s="321">
        <f>SUMIFS(DATA!$M:$M,DATA!$C:$C,$B184,DATA!$N:$N,"&gt;="&amp;DATE($I$2,N$4,1),DATA!$N:$N,"&lt;="&amp;DATE($I$2,N$4,N$5))</f>
        <v/>
      </c>
      <c r="O185" s="321">
        <f>SUMIFS(DATA!$M:$M,DATA!$C:$C,$B184,DATA!$N:$N,"&gt;="&amp;DATE($I$2,O$4,1),DATA!$N:$N,"&lt;="&amp;DATE($I$2,O$4,O$5))</f>
        <v/>
      </c>
      <c r="P185" s="322">
        <f>SUM(D185:O185)</f>
        <v/>
      </c>
      <c r="Q185" s="118" t="n"/>
    </row>
    <row r="186" hidden="1" outlineLevel="1" ht="15" customHeight="1">
      <c r="A186" s="269" t="n">
        <v>91</v>
      </c>
      <c r="B186" s="265" t="inlineStr">
        <is>
          <t>EMBASSY OF AUSTRALIA-66LTK</t>
        </is>
      </c>
      <c r="C186" s="119" t="inlineStr">
        <is>
          <t>Kế hoạch</t>
        </is>
      </c>
      <c r="D186" s="321">
        <f>SUMIFS(DATA!$I:$I,DATA!$C:$C,$B186,DATA!$J:$J,"&gt;="&amp;DATE($I$2,D$4,1),DATA!$J:$J,"&lt;="&amp;DATE($I$2,D$4,D$5))</f>
        <v/>
      </c>
      <c r="E186" s="321">
        <f>SUMIFS(DATA!$I:$I,DATA!$C:$C,$B186,DATA!$J:$J,"&gt;="&amp;DATE($I$2,E$4,1),DATA!$J:$J,"&lt;="&amp;DATE($I$2,E$4,E$5))</f>
        <v/>
      </c>
      <c r="F186" s="321">
        <f>SUMIFS(DATA!$I:$I,DATA!$C:$C,$B186,DATA!$J:$J,"&gt;="&amp;DATE($I$2,F$4,1),DATA!$J:$J,"&lt;="&amp;DATE($I$2,F$4,F$5))</f>
        <v/>
      </c>
      <c r="G186" s="321">
        <f>SUMIFS(DATA!$I:$I,DATA!$C:$C,$B186,DATA!$J:$J,"&gt;="&amp;DATE($I$2,G$4,1),DATA!$J:$J,"&lt;="&amp;DATE($I$2,G$4,G$5))</f>
        <v/>
      </c>
      <c r="H186" s="321">
        <f>SUMIFS(DATA!$I:$I,DATA!$C:$C,$B186,DATA!$J:$J,"&gt;="&amp;DATE($I$2,H$4,1),DATA!$J:$J,"&lt;="&amp;DATE($I$2,H$4,H$5))</f>
        <v/>
      </c>
      <c r="I186" s="321">
        <f>SUMIFS(DATA!$I:$I,DATA!$C:$C,$B186,DATA!$J:$J,"&gt;="&amp;DATE($I$2,I$4,1),DATA!$J:$J,"&lt;="&amp;DATE($I$2,I$4,I$5))</f>
        <v/>
      </c>
      <c r="J186" s="321">
        <f>SUMIFS(DATA!$I:$I,DATA!$C:$C,$B186,DATA!$J:$J,"&gt;="&amp;DATE($I$2,J$4,1),DATA!$J:$J,"&lt;="&amp;DATE($I$2,J$4,J$5))</f>
        <v/>
      </c>
      <c r="K186" s="321">
        <f>SUMIFS(DATA!$I:$I,DATA!$C:$C,$B186,DATA!$J:$J,"&gt;="&amp;DATE($I$2,K$4,1),DATA!$J:$J,"&lt;="&amp;DATE($I$2,K$4,K$5))</f>
        <v/>
      </c>
      <c r="L186" s="321">
        <f>SUMIFS(DATA!$I:$I,DATA!$C:$C,$B186,DATA!$J:$J,"&gt;="&amp;DATE($I$2,L$4,1),DATA!$J:$J,"&lt;="&amp;DATE($I$2,L$4,L$5))</f>
        <v/>
      </c>
      <c r="M186" s="321">
        <f>SUMIFS(DATA!$I:$I,DATA!$C:$C,$B186,DATA!$J:$J,"&gt;="&amp;DATE($I$2,M$4,1),DATA!$J:$J,"&lt;="&amp;DATE($I$2,M$4,M$5))</f>
        <v/>
      </c>
      <c r="N186" s="321">
        <f>SUMIFS(DATA!$I:$I,DATA!$C:$C,$B186,DATA!$J:$J,"&gt;="&amp;DATE($I$2,N$4,1),DATA!$J:$J,"&lt;="&amp;DATE($I$2,N$4,N$5))</f>
        <v/>
      </c>
      <c r="O186" s="321">
        <f>SUMIFS(DATA!$I:$I,DATA!$C:$C,$B186,DATA!$J:$J,"&gt;="&amp;DATE($I$2,O$4,1),DATA!$J:$J,"&lt;="&amp;DATE($I$2,O$4,O$5))</f>
        <v/>
      </c>
      <c r="P186" s="322">
        <f>SUM(D186:O186)</f>
        <v/>
      </c>
      <c r="Q186" s="118" t="n"/>
    </row>
    <row r="187" hidden="1" outlineLevel="1" ht="15" customHeight="1">
      <c r="A187" s="266" t="n"/>
      <c r="B187" s="266" t="n"/>
      <c r="C187" s="119" t="inlineStr">
        <is>
          <t>Thực tế</t>
        </is>
      </c>
      <c r="D187" s="321">
        <f>SUMIFS(DATA!$M:$M,DATA!$C:$C,$B186,DATA!$N:$N,"&gt;="&amp;DATE($I$2,D$4,1),DATA!$N:$N,"&lt;="&amp;DATE($I$2,D$4,D$5))</f>
        <v/>
      </c>
      <c r="E187" s="321">
        <f>SUMIFS(DATA!$M:$M,DATA!$C:$C,$B186,DATA!$N:$N,"&gt;="&amp;DATE($I$2,E$4,1),DATA!$N:$N,"&lt;="&amp;DATE($I$2,E$4,E$5))</f>
        <v/>
      </c>
      <c r="F187" s="321">
        <f>SUMIFS(DATA!$M:$M,DATA!$C:$C,$B186,DATA!$N:$N,"&gt;="&amp;DATE($I$2,F$4,1),DATA!$N:$N,"&lt;="&amp;DATE($I$2,F$4,F$5))</f>
        <v/>
      </c>
      <c r="G187" s="321">
        <f>SUMIFS(DATA!$M:$M,DATA!$C:$C,$B186,DATA!$N:$N,"&gt;="&amp;DATE($I$2,G$4,1),DATA!$N:$N,"&lt;="&amp;DATE($I$2,G$4,G$5))</f>
        <v/>
      </c>
      <c r="H187" s="321">
        <f>SUMIFS(DATA!$M:$M,DATA!$C:$C,$B186,DATA!$N:$N,"&gt;="&amp;DATE($I$2,H$4,1),DATA!$N:$N,"&lt;="&amp;DATE($I$2,H$4,H$5))</f>
        <v/>
      </c>
      <c r="I187" s="321">
        <f>SUMIFS(DATA!$M:$M,DATA!$C:$C,$B186,DATA!$N:$N,"&gt;="&amp;DATE($I$2,I$4,1),DATA!$N:$N,"&lt;="&amp;DATE($I$2,I$4,I$5))</f>
        <v/>
      </c>
      <c r="J187" s="321">
        <f>SUMIFS(DATA!$M:$M,DATA!$C:$C,$B186,DATA!$N:$N,"&gt;="&amp;DATE($I$2,J$4,1),DATA!$N:$N,"&lt;="&amp;DATE($I$2,J$4,J$5))</f>
        <v/>
      </c>
      <c r="K187" s="321">
        <f>SUMIFS(DATA!$M:$M,DATA!$C:$C,$B186,DATA!$N:$N,"&gt;="&amp;DATE($I$2,K$4,1),DATA!$N:$N,"&lt;="&amp;DATE($I$2,K$4,K$5))</f>
        <v/>
      </c>
      <c r="L187" s="321">
        <f>SUMIFS(DATA!$M:$M,DATA!$C:$C,$B186,DATA!$N:$N,"&gt;="&amp;DATE($I$2,L$4,1),DATA!$N:$N,"&lt;="&amp;DATE($I$2,L$4,L$5))</f>
        <v/>
      </c>
      <c r="M187" s="321">
        <f>SUMIFS(DATA!$M:$M,DATA!$C:$C,$B186,DATA!$N:$N,"&gt;="&amp;DATE($I$2,M$4,1),DATA!$N:$N,"&lt;="&amp;DATE($I$2,M$4,M$5))</f>
        <v/>
      </c>
      <c r="N187" s="321">
        <f>SUMIFS(DATA!$M:$M,DATA!$C:$C,$B186,DATA!$N:$N,"&gt;="&amp;DATE($I$2,N$4,1),DATA!$N:$N,"&lt;="&amp;DATE($I$2,N$4,N$5))</f>
        <v/>
      </c>
      <c r="O187" s="321">
        <f>SUMIFS(DATA!$M:$M,DATA!$C:$C,$B186,DATA!$N:$N,"&gt;="&amp;DATE($I$2,O$4,1),DATA!$N:$N,"&lt;="&amp;DATE($I$2,O$4,O$5))</f>
        <v/>
      </c>
      <c r="P187" s="322">
        <f>SUM(D187:O187)</f>
        <v/>
      </c>
      <c r="Q187" s="118" t="n"/>
    </row>
    <row r="188" hidden="1" outlineLevel="1" ht="15" customHeight="1">
      <c r="A188" s="269" t="n">
        <v>92</v>
      </c>
      <c r="B188" s="265" t="inlineStr">
        <is>
          <t>VINHOMES SYMPHONY LONG BIÊN</t>
        </is>
      </c>
      <c r="C188" s="119" t="inlineStr">
        <is>
          <t>Kế hoạch</t>
        </is>
      </c>
      <c r="D188" s="321">
        <f>SUMIFS(DATA!$I:$I,DATA!$C:$C,$B188,DATA!$J:$J,"&gt;="&amp;DATE($I$2,D$4,1),DATA!$J:$J,"&lt;="&amp;DATE($I$2,D$4,D$5))</f>
        <v/>
      </c>
      <c r="E188" s="321">
        <f>SUMIFS(DATA!$I:$I,DATA!$C:$C,$B188,DATA!$J:$J,"&gt;="&amp;DATE($I$2,E$4,1),DATA!$J:$J,"&lt;="&amp;DATE($I$2,E$4,E$5))</f>
        <v/>
      </c>
      <c r="F188" s="321">
        <f>SUMIFS(DATA!$I:$I,DATA!$C:$C,$B188,DATA!$J:$J,"&gt;="&amp;DATE($I$2,F$4,1),DATA!$J:$J,"&lt;="&amp;DATE($I$2,F$4,F$5))</f>
        <v/>
      </c>
      <c r="G188" s="321">
        <f>SUMIFS(DATA!$I:$I,DATA!$C:$C,$B188,DATA!$J:$J,"&gt;="&amp;DATE($I$2,G$4,1),DATA!$J:$J,"&lt;="&amp;DATE($I$2,G$4,G$5))</f>
        <v/>
      </c>
      <c r="H188" s="321">
        <f>SUMIFS(DATA!$I:$I,DATA!$C:$C,$B188,DATA!$J:$J,"&gt;="&amp;DATE($I$2,H$4,1),DATA!$J:$J,"&lt;="&amp;DATE($I$2,H$4,H$5))</f>
        <v/>
      </c>
      <c r="I188" s="321">
        <f>SUMIFS(DATA!$I:$I,DATA!$C:$C,$B188,DATA!$J:$J,"&gt;="&amp;DATE($I$2,I$4,1),DATA!$J:$J,"&lt;="&amp;DATE($I$2,I$4,I$5))</f>
        <v/>
      </c>
      <c r="J188" s="321">
        <f>SUMIFS(DATA!$I:$I,DATA!$C:$C,$B188,DATA!$J:$J,"&gt;="&amp;DATE($I$2,J$4,1),DATA!$J:$J,"&lt;="&amp;DATE($I$2,J$4,J$5))</f>
        <v/>
      </c>
      <c r="K188" s="321">
        <f>SUMIFS(DATA!$I:$I,DATA!$C:$C,$B188,DATA!$J:$J,"&gt;="&amp;DATE($I$2,K$4,1),DATA!$J:$J,"&lt;="&amp;DATE($I$2,K$4,K$5))</f>
        <v/>
      </c>
      <c r="L188" s="321">
        <f>SUMIFS(DATA!$I:$I,DATA!$C:$C,$B188,DATA!$J:$J,"&gt;="&amp;DATE($I$2,L$4,1),DATA!$J:$J,"&lt;="&amp;DATE($I$2,L$4,L$5))</f>
        <v/>
      </c>
      <c r="M188" s="321">
        <f>SUMIFS(DATA!$I:$I,DATA!$C:$C,$B188,DATA!$J:$J,"&gt;="&amp;DATE($I$2,M$4,1),DATA!$J:$J,"&lt;="&amp;DATE($I$2,M$4,M$5))</f>
        <v/>
      </c>
      <c r="N188" s="321">
        <f>SUMIFS(DATA!$I:$I,DATA!$C:$C,$B188,DATA!$J:$J,"&gt;="&amp;DATE($I$2,N$4,1),DATA!$J:$J,"&lt;="&amp;DATE($I$2,N$4,N$5))</f>
        <v/>
      </c>
      <c r="O188" s="321">
        <f>SUMIFS(DATA!$I:$I,DATA!$C:$C,$B188,DATA!$J:$J,"&gt;="&amp;DATE($I$2,O$4,1),DATA!$J:$J,"&lt;="&amp;DATE($I$2,O$4,O$5))</f>
        <v/>
      </c>
      <c r="P188" s="322">
        <f>SUM(D188:O188)</f>
        <v/>
      </c>
      <c r="Q188" s="118" t="n"/>
    </row>
    <row r="189" hidden="1" outlineLevel="1" ht="15" customHeight="1">
      <c r="A189" s="266" t="n"/>
      <c r="B189" s="266" t="n"/>
      <c r="C189" s="119" t="inlineStr">
        <is>
          <t>Thực tế</t>
        </is>
      </c>
      <c r="D189" s="321">
        <f>SUMIFS(DATA!$M:$M,DATA!$C:$C,$B188,DATA!$N:$N,"&gt;="&amp;DATE($I$2,D$4,1),DATA!$N:$N,"&lt;="&amp;DATE($I$2,D$4,D$5))</f>
        <v/>
      </c>
      <c r="E189" s="321">
        <f>SUMIFS(DATA!$M:$M,DATA!$C:$C,$B188,DATA!$N:$N,"&gt;="&amp;DATE($I$2,E$4,1),DATA!$N:$N,"&lt;="&amp;DATE($I$2,E$4,E$5))</f>
        <v/>
      </c>
      <c r="F189" s="321">
        <f>SUMIFS(DATA!$M:$M,DATA!$C:$C,$B188,DATA!$N:$N,"&gt;="&amp;DATE($I$2,F$4,1),DATA!$N:$N,"&lt;="&amp;DATE($I$2,F$4,F$5))</f>
        <v/>
      </c>
      <c r="G189" s="321">
        <f>SUMIFS(DATA!$M:$M,DATA!$C:$C,$B188,DATA!$N:$N,"&gt;="&amp;DATE($I$2,G$4,1),DATA!$N:$N,"&lt;="&amp;DATE($I$2,G$4,G$5))</f>
        <v/>
      </c>
      <c r="H189" s="321">
        <f>SUMIFS(DATA!$M:$M,DATA!$C:$C,$B188,DATA!$N:$N,"&gt;="&amp;DATE($I$2,H$4,1),DATA!$N:$N,"&lt;="&amp;DATE($I$2,H$4,H$5))</f>
        <v/>
      </c>
      <c r="I189" s="321">
        <f>SUMIFS(DATA!$M:$M,DATA!$C:$C,$B188,DATA!$N:$N,"&gt;="&amp;DATE($I$2,I$4,1),DATA!$N:$N,"&lt;="&amp;DATE($I$2,I$4,I$5))</f>
        <v/>
      </c>
      <c r="J189" s="321">
        <f>SUMIFS(DATA!$M:$M,DATA!$C:$C,$B188,DATA!$N:$N,"&gt;="&amp;DATE($I$2,J$4,1),DATA!$N:$N,"&lt;="&amp;DATE($I$2,J$4,J$5))</f>
        <v/>
      </c>
      <c r="K189" s="321">
        <f>SUMIFS(DATA!$M:$M,DATA!$C:$C,$B188,DATA!$N:$N,"&gt;="&amp;DATE($I$2,K$4,1),DATA!$N:$N,"&lt;="&amp;DATE($I$2,K$4,K$5))</f>
        <v/>
      </c>
      <c r="L189" s="321">
        <f>SUMIFS(DATA!$M:$M,DATA!$C:$C,$B188,DATA!$N:$N,"&gt;="&amp;DATE($I$2,L$4,1),DATA!$N:$N,"&lt;="&amp;DATE($I$2,L$4,L$5))</f>
        <v/>
      </c>
      <c r="M189" s="321">
        <f>SUMIFS(DATA!$M:$M,DATA!$C:$C,$B188,DATA!$N:$N,"&gt;="&amp;DATE($I$2,M$4,1),DATA!$N:$N,"&lt;="&amp;DATE($I$2,M$4,M$5))</f>
        <v/>
      </c>
      <c r="N189" s="321">
        <f>SUMIFS(DATA!$M:$M,DATA!$C:$C,$B188,DATA!$N:$N,"&gt;="&amp;DATE($I$2,N$4,1),DATA!$N:$N,"&lt;="&amp;DATE($I$2,N$4,N$5))</f>
        <v/>
      </c>
      <c r="O189" s="321">
        <f>SUMIFS(DATA!$M:$M,DATA!$C:$C,$B188,DATA!$N:$N,"&gt;="&amp;DATE($I$2,O$4,1),DATA!$N:$N,"&lt;="&amp;DATE($I$2,O$4,O$5))</f>
        <v/>
      </c>
      <c r="P189" s="322">
        <f>SUM(D189:O189)</f>
        <v/>
      </c>
      <c r="Q189" s="118" t="n"/>
    </row>
    <row r="190" hidden="1" outlineLevel="1" ht="15" customHeight="1">
      <c r="A190" s="269" t="n">
        <v>93</v>
      </c>
      <c r="B190" s="265" t="inlineStr">
        <is>
          <t>CNC VINA</t>
        </is>
      </c>
      <c r="C190" s="119" t="inlineStr">
        <is>
          <t>Kế hoạch</t>
        </is>
      </c>
      <c r="D190" s="321">
        <f>SUMIFS(DATA!$I:$I,DATA!$C:$C,$B190,DATA!$J:$J,"&gt;="&amp;DATE($I$2,D$4,1),DATA!$J:$J,"&lt;="&amp;DATE($I$2,D$4,D$5))</f>
        <v/>
      </c>
      <c r="E190" s="321">
        <f>SUMIFS(DATA!$I:$I,DATA!$C:$C,$B190,DATA!$J:$J,"&gt;="&amp;DATE($I$2,E$4,1),DATA!$J:$J,"&lt;="&amp;DATE($I$2,E$4,E$5))</f>
        <v/>
      </c>
      <c r="F190" s="321">
        <f>SUMIFS(DATA!$I:$I,DATA!$C:$C,$B190,DATA!$J:$J,"&gt;="&amp;DATE($I$2,F$4,1),DATA!$J:$J,"&lt;="&amp;DATE($I$2,F$4,F$5))</f>
        <v/>
      </c>
      <c r="G190" s="321">
        <f>SUMIFS(DATA!$I:$I,DATA!$C:$C,$B190,DATA!$J:$J,"&gt;="&amp;DATE($I$2,G$4,1),DATA!$J:$J,"&lt;="&amp;DATE($I$2,G$4,G$5))</f>
        <v/>
      </c>
      <c r="H190" s="321">
        <f>SUMIFS(DATA!$I:$I,DATA!$C:$C,$B190,DATA!$J:$J,"&gt;="&amp;DATE($I$2,H$4,1),DATA!$J:$J,"&lt;="&amp;DATE($I$2,H$4,H$5))</f>
        <v/>
      </c>
      <c r="I190" s="321">
        <f>SUMIFS(DATA!$I:$I,DATA!$C:$C,$B190,DATA!$J:$J,"&gt;="&amp;DATE($I$2,I$4,1),DATA!$J:$J,"&lt;="&amp;DATE($I$2,I$4,I$5))</f>
        <v/>
      </c>
      <c r="J190" s="321">
        <f>SUMIFS(DATA!$I:$I,DATA!$C:$C,$B190,DATA!$J:$J,"&gt;="&amp;DATE($I$2,J$4,1),DATA!$J:$J,"&lt;="&amp;DATE($I$2,J$4,J$5))</f>
        <v/>
      </c>
      <c r="K190" s="321">
        <f>SUMIFS(DATA!$I:$I,DATA!$C:$C,$B190,DATA!$J:$J,"&gt;="&amp;DATE($I$2,K$4,1),DATA!$J:$J,"&lt;="&amp;DATE($I$2,K$4,K$5))</f>
        <v/>
      </c>
      <c r="L190" s="321">
        <f>SUMIFS(DATA!$I:$I,DATA!$C:$C,$B190,DATA!$J:$J,"&gt;="&amp;DATE($I$2,L$4,1),DATA!$J:$J,"&lt;="&amp;DATE($I$2,L$4,L$5))</f>
        <v/>
      </c>
      <c r="M190" s="321">
        <f>SUMIFS(DATA!$I:$I,DATA!$C:$C,$B190,DATA!$J:$J,"&gt;="&amp;DATE($I$2,M$4,1),DATA!$J:$J,"&lt;="&amp;DATE($I$2,M$4,M$5))</f>
        <v/>
      </c>
      <c r="N190" s="321">
        <f>SUMIFS(DATA!$I:$I,DATA!$C:$C,$B190,DATA!$J:$J,"&gt;="&amp;DATE($I$2,N$4,1),DATA!$J:$J,"&lt;="&amp;DATE($I$2,N$4,N$5))</f>
        <v/>
      </c>
      <c r="O190" s="321">
        <f>SUMIFS(DATA!$I:$I,DATA!$C:$C,$B190,DATA!$J:$J,"&gt;="&amp;DATE($I$2,O$4,1),DATA!$J:$J,"&lt;="&amp;DATE($I$2,O$4,O$5))</f>
        <v/>
      </c>
      <c r="P190" s="322">
        <f>SUM(D190:O190)</f>
        <v/>
      </c>
      <c r="Q190" s="118" t="n"/>
    </row>
    <row r="191" hidden="1" outlineLevel="1" ht="15" customHeight="1">
      <c r="A191" s="266" t="n"/>
      <c r="B191" s="266" t="n"/>
      <c r="C191" s="119" t="inlineStr">
        <is>
          <t>Thực tế</t>
        </is>
      </c>
      <c r="D191" s="321">
        <f>SUMIFS(DATA!$M:$M,DATA!$C:$C,$B190,DATA!$N:$N,"&gt;="&amp;DATE($I$2,D$4,1),DATA!$N:$N,"&lt;="&amp;DATE($I$2,D$4,D$5))</f>
        <v/>
      </c>
      <c r="E191" s="321">
        <f>SUMIFS(DATA!$M:$M,DATA!$C:$C,$B190,DATA!$N:$N,"&gt;="&amp;DATE($I$2,E$4,1),DATA!$N:$N,"&lt;="&amp;DATE($I$2,E$4,E$5))</f>
        <v/>
      </c>
      <c r="F191" s="321">
        <f>SUMIFS(DATA!$M:$M,DATA!$C:$C,$B190,DATA!$N:$N,"&gt;="&amp;DATE($I$2,F$4,1),DATA!$N:$N,"&lt;="&amp;DATE($I$2,F$4,F$5))</f>
        <v/>
      </c>
      <c r="G191" s="321">
        <f>SUMIFS(DATA!$M:$M,DATA!$C:$C,$B190,DATA!$N:$N,"&gt;="&amp;DATE($I$2,G$4,1),DATA!$N:$N,"&lt;="&amp;DATE($I$2,G$4,G$5))</f>
        <v/>
      </c>
      <c r="H191" s="321">
        <f>SUMIFS(DATA!$M:$M,DATA!$C:$C,$B190,DATA!$N:$N,"&gt;="&amp;DATE($I$2,H$4,1),DATA!$N:$N,"&lt;="&amp;DATE($I$2,H$4,H$5))</f>
        <v/>
      </c>
      <c r="I191" s="321">
        <f>SUMIFS(DATA!$M:$M,DATA!$C:$C,$B190,DATA!$N:$N,"&gt;="&amp;DATE($I$2,I$4,1),DATA!$N:$N,"&lt;="&amp;DATE($I$2,I$4,I$5))</f>
        <v/>
      </c>
      <c r="J191" s="321">
        <f>SUMIFS(DATA!$M:$M,DATA!$C:$C,$B190,DATA!$N:$N,"&gt;="&amp;DATE($I$2,J$4,1),DATA!$N:$N,"&lt;="&amp;DATE($I$2,J$4,J$5))</f>
        <v/>
      </c>
      <c r="K191" s="321">
        <f>SUMIFS(DATA!$M:$M,DATA!$C:$C,$B190,DATA!$N:$N,"&gt;="&amp;DATE($I$2,K$4,1),DATA!$N:$N,"&lt;="&amp;DATE($I$2,K$4,K$5))</f>
        <v/>
      </c>
      <c r="L191" s="321">
        <f>SUMIFS(DATA!$M:$M,DATA!$C:$C,$B190,DATA!$N:$N,"&gt;="&amp;DATE($I$2,L$4,1),DATA!$N:$N,"&lt;="&amp;DATE($I$2,L$4,L$5))</f>
        <v/>
      </c>
      <c r="M191" s="321">
        <f>SUMIFS(DATA!$M:$M,DATA!$C:$C,$B190,DATA!$N:$N,"&gt;="&amp;DATE($I$2,M$4,1),DATA!$N:$N,"&lt;="&amp;DATE($I$2,M$4,M$5))</f>
        <v/>
      </c>
      <c r="N191" s="321">
        <f>SUMIFS(DATA!$M:$M,DATA!$C:$C,$B190,DATA!$N:$N,"&gt;="&amp;DATE($I$2,N$4,1),DATA!$N:$N,"&lt;="&amp;DATE($I$2,N$4,N$5))</f>
        <v/>
      </c>
      <c r="O191" s="321">
        <f>SUMIFS(DATA!$M:$M,DATA!$C:$C,$B190,DATA!$N:$N,"&gt;="&amp;DATE($I$2,O$4,1),DATA!$N:$N,"&lt;="&amp;DATE($I$2,O$4,O$5))</f>
        <v/>
      </c>
      <c r="P191" s="322">
        <f>SUM(D191:O191)</f>
        <v/>
      </c>
      <c r="Q191" s="118" t="n"/>
    </row>
    <row r="192" hidden="1" outlineLevel="1" ht="15" customHeight="1">
      <c r="A192" s="269" t="n">
        <v>94</v>
      </c>
      <c r="B192" s="265" t="inlineStr">
        <is>
          <t>HEINEKEN VIETNAM</t>
        </is>
      </c>
      <c r="C192" s="119" t="inlineStr">
        <is>
          <t>Kế hoạch</t>
        </is>
      </c>
      <c r="D192" s="321">
        <f>SUMIFS(DATA!$I:$I,DATA!$C:$C,$B192,DATA!$J:$J,"&gt;="&amp;DATE($I$2,D$4,1),DATA!$J:$J,"&lt;="&amp;DATE($I$2,D$4,D$5))</f>
        <v/>
      </c>
      <c r="E192" s="321">
        <f>SUMIFS(DATA!$I:$I,DATA!$C:$C,$B192,DATA!$J:$J,"&gt;="&amp;DATE($I$2,E$4,1),DATA!$J:$J,"&lt;="&amp;DATE($I$2,E$4,E$5))</f>
        <v/>
      </c>
      <c r="F192" s="321">
        <f>SUMIFS(DATA!$I:$I,DATA!$C:$C,$B192,DATA!$J:$J,"&gt;="&amp;DATE($I$2,F$4,1),DATA!$J:$J,"&lt;="&amp;DATE($I$2,F$4,F$5))</f>
        <v/>
      </c>
      <c r="G192" s="321">
        <f>SUMIFS(DATA!$I:$I,DATA!$C:$C,$B192,DATA!$J:$J,"&gt;="&amp;DATE($I$2,G$4,1),DATA!$J:$J,"&lt;="&amp;DATE($I$2,G$4,G$5))</f>
        <v/>
      </c>
      <c r="H192" s="321">
        <f>SUMIFS(DATA!$I:$I,DATA!$C:$C,$B192,DATA!$J:$J,"&gt;="&amp;DATE($I$2,H$4,1),DATA!$J:$J,"&lt;="&amp;DATE($I$2,H$4,H$5))</f>
        <v/>
      </c>
      <c r="I192" s="321">
        <f>SUMIFS(DATA!$I:$I,DATA!$C:$C,$B192,DATA!$J:$J,"&gt;="&amp;DATE($I$2,I$4,1),DATA!$J:$J,"&lt;="&amp;DATE($I$2,I$4,I$5))</f>
        <v/>
      </c>
      <c r="J192" s="321">
        <f>SUMIFS(DATA!$I:$I,DATA!$C:$C,$B192,DATA!$J:$J,"&gt;="&amp;DATE($I$2,J$4,1),DATA!$J:$J,"&lt;="&amp;DATE($I$2,J$4,J$5))</f>
        <v/>
      </c>
      <c r="K192" s="321">
        <f>SUMIFS(DATA!$I:$I,DATA!$C:$C,$B192,DATA!$J:$J,"&gt;="&amp;DATE($I$2,K$4,1),DATA!$J:$J,"&lt;="&amp;DATE($I$2,K$4,K$5))</f>
        <v/>
      </c>
      <c r="L192" s="321">
        <f>SUMIFS(DATA!$I:$I,DATA!$C:$C,$B192,DATA!$J:$J,"&gt;="&amp;DATE($I$2,L$4,1),DATA!$J:$J,"&lt;="&amp;DATE($I$2,L$4,L$5))</f>
        <v/>
      </c>
      <c r="M192" s="321">
        <f>SUMIFS(DATA!$I:$I,DATA!$C:$C,$B192,DATA!$J:$J,"&gt;="&amp;DATE($I$2,M$4,1),DATA!$J:$J,"&lt;="&amp;DATE($I$2,M$4,M$5))</f>
        <v/>
      </c>
      <c r="N192" s="321">
        <f>SUMIFS(DATA!$I:$I,DATA!$C:$C,$B192,DATA!$J:$J,"&gt;="&amp;DATE($I$2,N$4,1),DATA!$J:$J,"&lt;="&amp;DATE($I$2,N$4,N$5))</f>
        <v/>
      </c>
      <c r="O192" s="321">
        <f>SUMIFS(DATA!$I:$I,DATA!$C:$C,$B192,DATA!$J:$J,"&gt;="&amp;DATE($I$2,O$4,1),DATA!$J:$J,"&lt;="&amp;DATE($I$2,O$4,O$5))</f>
        <v/>
      </c>
      <c r="P192" s="322">
        <f>SUM(D192:O192)</f>
        <v/>
      </c>
      <c r="Q192" s="118" t="n"/>
    </row>
    <row r="193" hidden="1" outlineLevel="1" ht="15" customHeight="1">
      <c r="A193" s="266" t="n"/>
      <c r="B193" s="266" t="n"/>
      <c r="C193" s="119" t="inlineStr">
        <is>
          <t>Thực tế</t>
        </is>
      </c>
      <c r="D193" s="321">
        <f>SUMIFS(DATA!$M:$M,DATA!$C:$C,$B192,DATA!$N:$N,"&gt;="&amp;DATE($I$2,D$4,1),DATA!$N:$N,"&lt;="&amp;DATE($I$2,D$4,D$5))</f>
        <v/>
      </c>
      <c r="E193" s="321">
        <f>SUMIFS(DATA!$M:$M,DATA!$C:$C,$B192,DATA!$N:$N,"&gt;="&amp;DATE($I$2,E$4,1),DATA!$N:$N,"&lt;="&amp;DATE($I$2,E$4,E$5))</f>
        <v/>
      </c>
      <c r="F193" s="321">
        <f>SUMIFS(DATA!$M:$M,DATA!$C:$C,$B192,DATA!$N:$N,"&gt;="&amp;DATE($I$2,F$4,1),DATA!$N:$N,"&lt;="&amp;DATE($I$2,F$4,F$5))</f>
        <v/>
      </c>
      <c r="G193" s="321">
        <f>SUMIFS(DATA!$M:$M,DATA!$C:$C,$B192,DATA!$N:$N,"&gt;="&amp;DATE($I$2,G$4,1),DATA!$N:$N,"&lt;="&amp;DATE($I$2,G$4,G$5))</f>
        <v/>
      </c>
      <c r="H193" s="321">
        <f>SUMIFS(DATA!$M:$M,DATA!$C:$C,$B192,DATA!$N:$N,"&gt;="&amp;DATE($I$2,H$4,1),DATA!$N:$N,"&lt;="&amp;DATE($I$2,H$4,H$5))</f>
        <v/>
      </c>
      <c r="I193" s="321">
        <f>SUMIFS(DATA!$M:$M,DATA!$C:$C,$B192,DATA!$N:$N,"&gt;="&amp;DATE($I$2,I$4,1),DATA!$N:$N,"&lt;="&amp;DATE($I$2,I$4,I$5))</f>
        <v/>
      </c>
      <c r="J193" s="321">
        <f>SUMIFS(DATA!$M:$M,DATA!$C:$C,$B192,DATA!$N:$N,"&gt;="&amp;DATE($I$2,J$4,1),DATA!$N:$N,"&lt;="&amp;DATE($I$2,J$4,J$5))</f>
        <v/>
      </c>
      <c r="K193" s="321">
        <f>SUMIFS(DATA!$M:$M,DATA!$C:$C,$B192,DATA!$N:$N,"&gt;="&amp;DATE($I$2,K$4,1),DATA!$N:$N,"&lt;="&amp;DATE($I$2,K$4,K$5))</f>
        <v/>
      </c>
      <c r="L193" s="321">
        <f>SUMIFS(DATA!$M:$M,DATA!$C:$C,$B192,DATA!$N:$N,"&gt;="&amp;DATE($I$2,L$4,1),DATA!$N:$N,"&lt;="&amp;DATE($I$2,L$4,L$5))</f>
        <v/>
      </c>
      <c r="M193" s="321">
        <f>SUMIFS(DATA!$M:$M,DATA!$C:$C,$B192,DATA!$N:$N,"&gt;="&amp;DATE($I$2,M$4,1),DATA!$N:$N,"&lt;="&amp;DATE($I$2,M$4,M$5))</f>
        <v/>
      </c>
      <c r="N193" s="321">
        <f>SUMIFS(DATA!$M:$M,DATA!$C:$C,$B192,DATA!$N:$N,"&gt;="&amp;DATE($I$2,N$4,1),DATA!$N:$N,"&lt;="&amp;DATE($I$2,N$4,N$5))</f>
        <v/>
      </c>
      <c r="O193" s="321">
        <f>SUMIFS(DATA!$M:$M,DATA!$C:$C,$B192,DATA!$N:$N,"&gt;="&amp;DATE($I$2,O$4,1),DATA!$N:$N,"&lt;="&amp;DATE($I$2,O$4,O$5))</f>
        <v/>
      </c>
      <c r="P193" s="322">
        <f>SUM(D193:O193)</f>
        <v/>
      </c>
      <c r="Q193" s="118" t="n"/>
    </row>
    <row r="194" hidden="1" outlineLevel="1" ht="15" customHeight="1">
      <c r="A194" s="269" t="n">
        <v>95</v>
      </c>
      <c r="B194" s="265" t="inlineStr">
        <is>
          <t>VINHOMES OCEAN PARK S2</t>
        </is>
      </c>
      <c r="C194" s="119" t="inlineStr">
        <is>
          <t>Kế hoạch</t>
        </is>
      </c>
      <c r="D194" s="321">
        <f>SUMIFS(DATA!$I:$I,DATA!$C:$C,$B194,DATA!$J:$J,"&gt;="&amp;DATE($I$2,D$4,1),DATA!$J:$J,"&lt;="&amp;DATE($I$2,D$4,D$5))</f>
        <v/>
      </c>
      <c r="E194" s="321">
        <f>SUMIFS(DATA!$I:$I,DATA!$C:$C,$B194,DATA!$J:$J,"&gt;="&amp;DATE($I$2,E$4,1),DATA!$J:$J,"&lt;="&amp;DATE($I$2,E$4,E$5))</f>
        <v/>
      </c>
      <c r="F194" s="321">
        <f>SUMIFS(DATA!$I:$I,DATA!$C:$C,$B194,DATA!$J:$J,"&gt;="&amp;DATE($I$2,F$4,1),DATA!$J:$J,"&lt;="&amp;DATE($I$2,F$4,F$5))</f>
        <v/>
      </c>
      <c r="G194" s="321">
        <f>SUMIFS(DATA!$I:$I,DATA!$C:$C,$B194,DATA!$J:$J,"&gt;="&amp;DATE($I$2,G$4,1),DATA!$J:$J,"&lt;="&amp;DATE($I$2,G$4,G$5))</f>
        <v/>
      </c>
      <c r="H194" s="321">
        <f>SUMIFS(DATA!$I:$I,DATA!$C:$C,$B194,DATA!$J:$J,"&gt;="&amp;DATE($I$2,H$4,1),DATA!$J:$J,"&lt;="&amp;DATE($I$2,H$4,H$5))</f>
        <v/>
      </c>
      <c r="I194" s="321">
        <f>SUMIFS(DATA!$I:$I,DATA!$C:$C,$B194,DATA!$J:$J,"&gt;="&amp;DATE($I$2,I$4,1),DATA!$J:$J,"&lt;="&amp;DATE($I$2,I$4,I$5))</f>
        <v/>
      </c>
      <c r="J194" s="321">
        <f>SUMIFS(DATA!$I:$I,DATA!$C:$C,$B194,DATA!$J:$J,"&gt;="&amp;DATE($I$2,J$4,1),DATA!$J:$J,"&lt;="&amp;DATE($I$2,J$4,J$5))</f>
        <v/>
      </c>
      <c r="K194" s="321">
        <f>SUMIFS(DATA!$I:$I,DATA!$C:$C,$B194,DATA!$J:$J,"&gt;="&amp;DATE($I$2,K$4,1),DATA!$J:$J,"&lt;="&amp;DATE($I$2,K$4,K$5))</f>
        <v/>
      </c>
      <c r="L194" s="321">
        <f>SUMIFS(DATA!$I:$I,DATA!$C:$C,$B194,DATA!$J:$J,"&gt;="&amp;DATE($I$2,L$4,1),DATA!$J:$J,"&lt;="&amp;DATE($I$2,L$4,L$5))</f>
        <v/>
      </c>
      <c r="M194" s="321">
        <f>SUMIFS(DATA!$I:$I,DATA!$C:$C,$B194,DATA!$J:$J,"&gt;="&amp;DATE($I$2,M$4,1),DATA!$J:$J,"&lt;="&amp;DATE($I$2,M$4,M$5))</f>
        <v/>
      </c>
      <c r="N194" s="321">
        <f>SUMIFS(DATA!$I:$I,DATA!$C:$C,$B194,DATA!$J:$J,"&gt;="&amp;DATE($I$2,N$4,1),DATA!$J:$J,"&lt;="&amp;DATE($I$2,N$4,N$5))</f>
        <v/>
      </c>
      <c r="O194" s="321">
        <f>SUMIFS(DATA!$I:$I,DATA!$C:$C,$B194,DATA!$J:$J,"&gt;="&amp;DATE($I$2,O$4,1),DATA!$J:$J,"&lt;="&amp;DATE($I$2,O$4,O$5))</f>
        <v/>
      </c>
      <c r="P194" s="322">
        <f>SUM(D194:O194)</f>
        <v/>
      </c>
      <c r="Q194" s="118" t="n"/>
    </row>
    <row r="195" hidden="1" outlineLevel="1" ht="15" customHeight="1">
      <c r="A195" s="266" t="n"/>
      <c r="B195" s="266" t="n"/>
      <c r="C195" s="119" t="inlineStr">
        <is>
          <t>Thực tế</t>
        </is>
      </c>
      <c r="D195" s="321">
        <f>SUMIFS(DATA!$M:$M,DATA!$C:$C,$B194,DATA!$N:$N,"&gt;="&amp;DATE($I$2,D$4,1),DATA!$N:$N,"&lt;="&amp;DATE($I$2,D$4,D$5))</f>
        <v/>
      </c>
      <c r="E195" s="321">
        <f>SUMIFS(DATA!$M:$M,DATA!$C:$C,$B194,DATA!$N:$N,"&gt;="&amp;DATE($I$2,E$4,1),DATA!$N:$N,"&lt;="&amp;DATE($I$2,E$4,E$5))</f>
        <v/>
      </c>
      <c r="F195" s="321">
        <f>SUMIFS(DATA!$M:$M,DATA!$C:$C,$B194,DATA!$N:$N,"&gt;="&amp;DATE($I$2,F$4,1),DATA!$N:$N,"&lt;="&amp;DATE($I$2,F$4,F$5))</f>
        <v/>
      </c>
      <c r="G195" s="321">
        <f>SUMIFS(DATA!$M:$M,DATA!$C:$C,$B194,DATA!$N:$N,"&gt;="&amp;DATE($I$2,G$4,1),DATA!$N:$N,"&lt;="&amp;DATE($I$2,G$4,G$5))</f>
        <v/>
      </c>
      <c r="H195" s="321">
        <f>SUMIFS(DATA!$M:$M,DATA!$C:$C,$B194,DATA!$N:$N,"&gt;="&amp;DATE($I$2,H$4,1),DATA!$N:$N,"&lt;="&amp;DATE($I$2,H$4,H$5))</f>
        <v/>
      </c>
      <c r="I195" s="321">
        <f>SUMIFS(DATA!$M:$M,DATA!$C:$C,$B194,DATA!$N:$N,"&gt;="&amp;DATE($I$2,I$4,1),DATA!$N:$N,"&lt;="&amp;DATE($I$2,I$4,I$5))</f>
        <v/>
      </c>
      <c r="J195" s="321">
        <f>SUMIFS(DATA!$M:$M,DATA!$C:$C,$B194,DATA!$N:$N,"&gt;="&amp;DATE($I$2,J$4,1),DATA!$N:$N,"&lt;="&amp;DATE($I$2,J$4,J$5))</f>
        <v/>
      </c>
      <c r="K195" s="321">
        <f>SUMIFS(DATA!$M:$M,DATA!$C:$C,$B194,DATA!$N:$N,"&gt;="&amp;DATE($I$2,K$4,1),DATA!$N:$N,"&lt;="&amp;DATE($I$2,K$4,K$5))</f>
        <v/>
      </c>
      <c r="L195" s="321">
        <f>SUMIFS(DATA!$M:$M,DATA!$C:$C,$B194,DATA!$N:$N,"&gt;="&amp;DATE($I$2,L$4,1),DATA!$N:$N,"&lt;="&amp;DATE($I$2,L$4,L$5))</f>
        <v/>
      </c>
      <c r="M195" s="321">
        <f>SUMIFS(DATA!$M:$M,DATA!$C:$C,$B194,DATA!$N:$N,"&gt;="&amp;DATE($I$2,M$4,1),DATA!$N:$N,"&lt;="&amp;DATE($I$2,M$4,M$5))</f>
        <v/>
      </c>
      <c r="N195" s="321">
        <f>SUMIFS(DATA!$M:$M,DATA!$C:$C,$B194,DATA!$N:$N,"&gt;="&amp;DATE($I$2,N$4,1),DATA!$N:$N,"&lt;="&amp;DATE($I$2,N$4,N$5))</f>
        <v/>
      </c>
      <c r="O195" s="321">
        <f>SUMIFS(DATA!$M:$M,DATA!$C:$C,$B194,DATA!$N:$N,"&gt;="&amp;DATE($I$2,O$4,1),DATA!$N:$N,"&lt;="&amp;DATE($I$2,O$4,O$5))</f>
        <v/>
      </c>
      <c r="P195" s="322">
        <f>SUM(D195:O195)</f>
        <v/>
      </c>
      <c r="Q195" s="118" t="n"/>
    </row>
    <row r="196" hidden="1" outlineLevel="1" ht="15" customHeight="1">
      <c r="A196" s="269" t="n">
        <v>96</v>
      </c>
      <c r="B196" s="265" t="inlineStr">
        <is>
          <t>CASTROL BP PETCO</t>
        </is>
      </c>
      <c r="C196" s="119" t="inlineStr">
        <is>
          <t>Kế hoạch</t>
        </is>
      </c>
      <c r="D196" s="321">
        <f>SUMIFS(DATA!$I:$I,DATA!$C:$C,$B196,DATA!$J:$J,"&gt;="&amp;DATE($I$2,D$4,1),DATA!$J:$J,"&lt;="&amp;DATE($I$2,D$4,D$5))</f>
        <v/>
      </c>
      <c r="E196" s="321">
        <f>SUMIFS(DATA!$I:$I,DATA!$C:$C,$B196,DATA!$J:$J,"&gt;="&amp;DATE($I$2,E$4,1),DATA!$J:$J,"&lt;="&amp;DATE($I$2,E$4,E$5))</f>
        <v/>
      </c>
      <c r="F196" s="321">
        <f>SUMIFS(DATA!$I:$I,DATA!$C:$C,$B196,DATA!$J:$J,"&gt;="&amp;DATE($I$2,F$4,1),DATA!$J:$J,"&lt;="&amp;DATE($I$2,F$4,F$5))</f>
        <v/>
      </c>
      <c r="G196" s="321">
        <f>SUMIFS(DATA!$I:$I,DATA!$C:$C,$B196,DATA!$J:$J,"&gt;="&amp;DATE($I$2,G$4,1),DATA!$J:$J,"&lt;="&amp;DATE($I$2,G$4,G$5))</f>
        <v/>
      </c>
      <c r="H196" s="321">
        <f>SUMIFS(DATA!$I:$I,DATA!$C:$C,$B196,DATA!$J:$J,"&gt;="&amp;DATE($I$2,H$4,1),DATA!$J:$J,"&lt;="&amp;DATE($I$2,H$4,H$5))</f>
        <v/>
      </c>
      <c r="I196" s="321">
        <f>SUMIFS(DATA!$I:$I,DATA!$C:$C,$B196,DATA!$J:$J,"&gt;="&amp;DATE($I$2,I$4,1),DATA!$J:$J,"&lt;="&amp;DATE($I$2,I$4,I$5))</f>
        <v/>
      </c>
      <c r="J196" s="321">
        <f>SUMIFS(DATA!$I:$I,DATA!$C:$C,$B196,DATA!$J:$J,"&gt;="&amp;DATE($I$2,J$4,1),DATA!$J:$J,"&lt;="&amp;DATE($I$2,J$4,J$5))</f>
        <v/>
      </c>
      <c r="K196" s="321">
        <f>SUMIFS(DATA!$I:$I,DATA!$C:$C,$B196,DATA!$J:$J,"&gt;="&amp;DATE($I$2,K$4,1),DATA!$J:$J,"&lt;="&amp;DATE($I$2,K$4,K$5))</f>
        <v/>
      </c>
      <c r="L196" s="321">
        <f>SUMIFS(DATA!$I:$I,DATA!$C:$C,$B196,DATA!$J:$J,"&gt;="&amp;DATE($I$2,L$4,1),DATA!$J:$J,"&lt;="&amp;DATE($I$2,L$4,L$5))</f>
        <v/>
      </c>
      <c r="M196" s="321">
        <f>SUMIFS(DATA!$I:$I,DATA!$C:$C,$B196,DATA!$J:$J,"&gt;="&amp;DATE($I$2,M$4,1),DATA!$J:$J,"&lt;="&amp;DATE($I$2,M$4,M$5))</f>
        <v/>
      </c>
      <c r="N196" s="321">
        <f>SUMIFS(DATA!$I:$I,DATA!$C:$C,$B196,DATA!$J:$J,"&gt;="&amp;DATE($I$2,N$4,1),DATA!$J:$J,"&lt;="&amp;DATE($I$2,N$4,N$5))</f>
        <v/>
      </c>
      <c r="O196" s="321">
        <f>SUMIFS(DATA!$I:$I,DATA!$C:$C,$B196,DATA!$J:$J,"&gt;="&amp;DATE($I$2,O$4,1),DATA!$J:$J,"&lt;="&amp;DATE($I$2,O$4,O$5))</f>
        <v/>
      </c>
      <c r="P196" s="322">
        <f>SUM(D196:O196)</f>
        <v/>
      </c>
      <c r="Q196" s="118" t="n"/>
    </row>
    <row r="197" hidden="1" outlineLevel="1" ht="15" customHeight="1">
      <c r="A197" s="266" t="n"/>
      <c r="B197" s="266" t="n"/>
      <c r="C197" s="119" t="inlineStr">
        <is>
          <t>Thực tế</t>
        </is>
      </c>
      <c r="D197" s="321">
        <f>SUMIFS(DATA!$M:$M,DATA!$C:$C,$B196,DATA!$N:$N,"&gt;="&amp;DATE($I$2,D$4,1),DATA!$N:$N,"&lt;="&amp;DATE($I$2,D$4,D$5))</f>
        <v/>
      </c>
      <c r="E197" s="321">
        <f>SUMIFS(DATA!$M:$M,DATA!$C:$C,$B196,DATA!$N:$N,"&gt;="&amp;DATE($I$2,E$4,1),DATA!$N:$N,"&lt;="&amp;DATE($I$2,E$4,E$5))</f>
        <v/>
      </c>
      <c r="F197" s="321">
        <f>SUMIFS(DATA!$M:$M,DATA!$C:$C,$B196,DATA!$N:$N,"&gt;="&amp;DATE($I$2,F$4,1),DATA!$N:$N,"&lt;="&amp;DATE($I$2,F$4,F$5))</f>
        <v/>
      </c>
      <c r="G197" s="321">
        <f>SUMIFS(DATA!$M:$M,DATA!$C:$C,$B196,DATA!$N:$N,"&gt;="&amp;DATE($I$2,G$4,1),DATA!$N:$N,"&lt;="&amp;DATE($I$2,G$4,G$5))</f>
        <v/>
      </c>
      <c r="H197" s="321">
        <f>SUMIFS(DATA!$M:$M,DATA!$C:$C,$B196,DATA!$N:$N,"&gt;="&amp;DATE($I$2,H$4,1),DATA!$N:$N,"&lt;="&amp;DATE($I$2,H$4,H$5))</f>
        <v/>
      </c>
      <c r="I197" s="321">
        <f>SUMIFS(DATA!$M:$M,DATA!$C:$C,$B196,DATA!$N:$N,"&gt;="&amp;DATE($I$2,I$4,1),DATA!$N:$N,"&lt;="&amp;DATE($I$2,I$4,I$5))</f>
        <v/>
      </c>
      <c r="J197" s="321">
        <f>SUMIFS(DATA!$M:$M,DATA!$C:$C,$B196,DATA!$N:$N,"&gt;="&amp;DATE($I$2,J$4,1),DATA!$N:$N,"&lt;="&amp;DATE($I$2,J$4,J$5))</f>
        <v/>
      </c>
      <c r="K197" s="321">
        <f>SUMIFS(DATA!$M:$M,DATA!$C:$C,$B196,DATA!$N:$N,"&gt;="&amp;DATE($I$2,K$4,1),DATA!$N:$N,"&lt;="&amp;DATE($I$2,K$4,K$5))</f>
        <v/>
      </c>
      <c r="L197" s="321">
        <f>SUMIFS(DATA!$M:$M,DATA!$C:$C,$B196,DATA!$N:$N,"&gt;="&amp;DATE($I$2,L$4,1),DATA!$N:$N,"&lt;="&amp;DATE($I$2,L$4,L$5))</f>
        <v/>
      </c>
      <c r="M197" s="321">
        <f>SUMIFS(DATA!$M:$M,DATA!$C:$C,$B196,DATA!$N:$N,"&gt;="&amp;DATE($I$2,M$4,1),DATA!$N:$N,"&lt;="&amp;DATE($I$2,M$4,M$5))</f>
        <v/>
      </c>
      <c r="N197" s="321">
        <f>SUMIFS(DATA!$M:$M,DATA!$C:$C,$B196,DATA!$N:$N,"&gt;="&amp;DATE($I$2,N$4,1),DATA!$N:$N,"&lt;="&amp;DATE($I$2,N$4,N$5))</f>
        <v/>
      </c>
      <c r="O197" s="321">
        <f>SUMIFS(DATA!$M:$M,DATA!$C:$C,$B196,DATA!$N:$N,"&gt;="&amp;DATE($I$2,O$4,1),DATA!$N:$N,"&lt;="&amp;DATE($I$2,O$4,O$5))</f>
        <v/>
      </c>
      <c r="P197" s="322">
        <f>SUM(D197:O197)</f>
        <v/>
      </c>
      <c r="Q197" s="118" t="n"/>
    </row>
    <row r="198" hidden="1" outlineLevel="1" ht="15" customHeight="1">
      <c r="A198" s="269" t="n">
        <v>97</v>
      </c>
      <c r="B198" s="265" t="inlineStr">
        <is>
          <t>CÔNG TY TNHH THỊNH ĐIỀN (PROSLAND)</t>
        </is>
      </c>
      <c r="C198" s="119" t="inlineStr">
        <is>
          <t>Kế hoạch</t>
        </is>
      </c>
      <c r="D198" s="321">
        <f>SUMIFS(DATA!$I:$I,DATA!$C:$C,$B198,DATA!$J:$J,"&gt;="&amp;DATE($I$2,D$4,1),DATA!$J:$J,"&lt;="&amp;DATE($I$2,D$4,D$5))</f>
        <v/>
      </c>
      <c r="E198" s="321">
        <f>SUMIFS(DATA!$I:$I,DATA!$C:$C,$B198,DATA!$J:$J,"&gt;="&amp;DATE($I$2,E$4,1),DATA!$J:$J,"&lt;="&amp;DATE($I$2,E$4,E$5))</f>
        <v/>
      </c>
      <c r="F198" s="321">
        <f>SUMIFS(DATA!$I:$I,DATA!$C:$C,$B198,DATA!$J:$J,"&gt;="&amp;DATE($I$2,F$4,1),DATA!$J:$J,"&lt;="&amp;DATE($I$2,F$4,F$5))</f>
        <v/>
      </c>
      <c r="G198" s="321">
        <f>SUMIFS(DATA!$I:$I,DATA!$C:$C,$B198,DATA!$J:$J,"&gt;="&amp;DATE($I$2,G$4,1),DATA!$J:$J,"&lt;="&amp;DATE($I$2,G$4,G$5))</f>
        <v/>
      </c>
      <c r="H198" s="321">
        <f>SUMIFS(DATA!$I:$I,DATA!$C:$C,$B198,DATA!$J:$J,"&gt;="&amp;DATE($I$2,H$4,1),DATA!$J:$J,"&lt;="&amp;DATE($I$2,H$4,H$5))</f>
        <v/>
      </c>
      <c r="I198" s="321">
        <f>SUMIFS(DATA!$I:$I,DATA!$C:$C,$B198,DATA!$J:$J,"&gt;="&amp;DATE($I$2,I$4,1),DATA!$J:$J,"&lt;="&amp;DATE($I$2,I$4,I$5))</f>
        <v/>
      </c>
      <c r="J198" s="321">
        <f>SUMIFS(DATA!$I:$I,DATA!$C:$C,$B198,DATA!$J:$J,"&gt;="&amp;DATE($I$2,J$4,1),DATA!$J:$J,"&lt;="&amp;DATE($I$2,J$4,J$5))</f>
        <v/>
      </c>
      <c r="K198" s="321">
        <f>SUMIFS(DATA!$I:$I,DATA!$C:$C,$B198,DATA!$J:$J,"&gt;="&amp;DATE($I$2,K$4,1),DATA!$J:$J,"&lt;="&amp;DATE($I$2,K$4,K$5))</f>
        <v/>
      </c>
      <c r="L198" s="321">
        <f>SUMIFS(DATA!$I:$I,DATA!$C:$C,$B198,DATA!$J:$J,"&gt;="&amp;DATE($I$2,L$4,1),DATA!$J:$J,"&lt;="&amp;DATE($I$2,L$4,L$5))</f>
        <v/>
      </c>
      <c r="M198" s="321">
        <f>SUMIFS(DATA!$I:$I,DATA!$C:$C,$B198,DATA!$J:$J,"&gt;="&amp;DATE($I$2,M$4,1),DATA!$J:$J,"&lt;="&amp;DATE($I$2,M$4,M$5))</f>
        <v/>
      </c>
      <c r="N198" s="321">
        <f>SUMIFS(DATA!$I:$I,DATA!$C:$C,$B198,DATA!$J:$J,"&gt;="&amp;DATE($I$2,N$4,1),DATA!$J:$J,"&lt;="&amp;DATE($I$2,N$4,N$5))</f>
        <v/>
      </c>
      <c r="O198" s="321">
        <f>SUMIFS(DATA!$I:$I,DATA!$C:$C,$B198,DATA!$J:$J,"&gt;="&amp;DATE($I$2,O$4,1),DATA!$J:$J,"&lt;="&amp;DATE($I$2,O$4,O$5))</f>
        <v/>
      </c>
      <c r="P198" s="322">
        <f>SUM(D198:O198)</f>
        <v/>
      </c>
      <c r="Q198" s="118" t="n"/>
    </row>
    <row r="199" hidden="1" outlineLevel="1" ht="15" customHeight="1">
      <c r="A199" s="266" t="n"/>
      <c r="B199" s="266" t="n"/>
      <c r="C199" s="119" t="inlineStr">
        <is>
          <t>Thực tế</t>
        </is>
      </c>
      <c r="D199" s="321">
        <f>SUMIFS(DATA!$M:$M,DATA!$C:$C,$B198,DATA!$N:$N,"&gt;="&amp;DATE($I$2,D$4,1),DATA!$N:$N,"&lt;="&amp;DATE($I$2,D$4,D$5))</f>
        <v/>
      </c>
      <c r="E199" s="321">
        <f>SUMIFS(DATA!$M:$M,DATA!$C:$C,$B198,DATA!$N:$N,"&gt;="&amp;DATE($I$2,E$4,1),DATA!$N:$N,"&lt;="&amp;DATE($I$2,E$4,E$5))</f>
        <v/>
      </c>
      <c r="F199" s="321">
        <f>SUMIFS(DATA!$M:$M,DATA!$C:$C,$B198,DATA!$N:$N,"&gt;="&amp;DATE($I$2,F$4,1),DATA!$N:$N,"&lt;="&amp;DATE($I$2,F$4,F$5))</f>
        <v/>
      </c>
      <c r="G199" s="321">
        <f>SUMIFS(DATA!$M:$M,DATA!$C:$C,$B198,DATA!$N:$N,"&gt;="&amp;DATE($I$2,G$4,1),DATA!$N:$N,"&lt;="&amp;DATE($I$2,G$4,G$5))</f>
        <v/>
      </c>
      <c r="H199" s="321">
        <f>SUMIFS(DATA!$M:$M,DATA!$C:$C,$B198,DATA!$N:$N,"&gt;="&amp;DATE($I$2,H$4,1),DATA!$N:$N,"&lt;="&amp;DATE($I$2,H$4,H$5))</f>
        <v/>
      </c>
      <c r="I199" s="321">
        <f>SUMIFS(DATA!$M:$M,DATA!$C:$C,$B198,DATA!$N:$N,"&gt;="&amp;DATE($I$2,I$4,1),DATA!$N:$N,"&lt;="&amp;DATE($I$2,I$4,I$5))</f>
        <v/>
      </c>
      <c r="J199" s="321">
        <f>SUMIFS(DATA!$M:$M,DATA!$C:$C,$B198,DATA!$N:$N,"&gt;="&amp;DATE($I$2,J$4,1),DATA!$N:$N,"&lt;="&amp;DATE($I$2,J$4,J$5))</f>
        <v/>
      </c>
      <c r="K199" s="321">
        <f>SUMIFS(DATA!$M:$M,DATA!$C:$C,$B198,DATA!$N:$N,"&gt;="&amp;DATE($I$2,K$4,1),DATA!$N:$N,"&lt;="&amp;DATE($I$2,K$4,K$5))</f>
        <v/>
      </c>
      <c r="L199" s="321">
        <f>SUMIFS(DATA!$M:$M,DATA!$C:$C,$B198,DATA!$N:$N,"&gt;="&amp;DATE($I$2,L$4,1),DATA!$N:$N,"&lt;="&amp;DATE($I$2,L$4,L$5))</f>
        <v/>
      </c>
      <c r="M199" s="321">
        <f>SUMIFS(DATA!$M:$M,DATA!$C:$C,$B198,DATA!$N:$N,"&gt;="&amp;DATE($I$2,M$4,1),DATA!$N:$N,"&lt;="&amp;DATE($I$2,M$4,M$5))</f>
        <v/>
      </c>
      <c r="N199" s="321">
        <f>SUMIFS(DATA!$M:$M,DATA!$C:$C,$B198,DATA!$N:$N,"&gt;="&amp;DATE($I$2,N$4,1),DATA!$N:$N,"&lt;="&amp;DATE($I$2,N$4,N$5))</f>
        <v/>
      </c>
      <c r="O199" s="321">
        <f>SUMIFS(DATA!$M:$M,DATA!$C:$C,$B198,DATA!$N:$N,"&gt;="&amp;DATE($I$2,O$4,1),DATA!$N:$N,"&lt;="&amp;DATE($I$2,O$4,O$5))</f>
        <v/>
      </c>
      <c r="P199" s="322">
        <f>SUM(D199:O199)</f>
        <v/>
      </c>
      <c r="Q199" s="118" t="n"/>
    </row>
    <row r="200" hidden="1" outlineLevel="1" ht="15" customHeight="1">
      <c r="A200" s="269" t="n">
        <v>98</v>
      </c>
      <c r="B200" s="265" t="inlineStr">
        <is>
          <t>CAPITAL GARDEN</t>
        </is>
      </c>
      <c r="C200" s="119" t="inlineStr">
        <is>
          <t>Kế hoạch</t>
        </is>
      </c>
      <c r="D200" s="321">
        <f>SUMIFS(DATA!$I:$I,DATA!$C:$C,$B200,DATA!$J:$J,"&gt;="&amp;DATE($I$2,D$4,1),DATA!$J:$J,"&lt;="&amp;DATE($I$2,D$4,D$5))</f>
        <v/>
      </c>
      <c r="E200" s="321">
        <f>SUMIFS(DATA!$I:$I,DATA!$C:$C,$B200,DATA!$J:$J,"&gt;="&amp;DATE($I$2,E$4,1),DATA!$J:$J,"&lt;="&amp;DATE($I$2,E$4,E$5))</f>
        <v/>
      </c>
      <c r="F200" s="321">
        <f>SUMIFS(DATA!$I:$I,DATA!$C:$C,$B200,DATA!$J:$J,"&gt;="&amp;DATE($I$2,F$4,1),DATA!$J:$J,"&lt;="&amp;DATE($I$2,F$4,F$5))</f>
        <v/>
      </c>
      <c r="G200" s="321">
        <f>SUMIFS(DATA!$I:$I,DATA!$C:$C,$B200,DATA!$J:$J,"&gt;="&amp;DATE($I$2,G$4,1),DATA!$J:$J,"&lt;="&amp;DATE($I$2,G$4,G$5))</f>
        <v/>
      </c>
      <c r="H200" s="321">
        <f>SUMIFS(DATA!$I:$I,DATA!$C:$C,$B200,DATA!$J:$J,"&gt;="&amp;DATE($I$2,H$4,1),DATA!$J:$J,"&lt;="&amp;DATE($I$2,H$4,H$5))</f>
        <v/>
      </c>
      <c r="I200" s="321">
        <f>SUMIFS(DATA!$I:$I,DATA!$C:$C,$B200,DATA!$J:$J,"&gt;="&amp;DATE($I$2,I$4,1),DATA!$J:$J,"&lt;="&amp;DATE($I$2,I$4,I$5))</f>
        <v/>
      </c>
      <c r="J200" s="321">
        <f>SUMIFS(DATA!$I:$I,DATA!$C:$C,$B200,DATA!$J:$J,"&gt;="&amp;DATE($I$2,J$4,1),DATA!$J:$J,"&lt;="&amp;DATE($I$2,J$4,J$5))</f>
        <v/>
      </c>
      <c r="K200" s="321">
        <f>SUMIFS(DATA!$I:$I,DATA!$C:$C,$B200,DATA!$J:$J,"&gt;="&amp;DATE($I$2,K$4,1),DATA!$J:$J,"&lt;="&amp;DATE($I$2,K$4,K$5))</f>
        <v/>
      </c>
      <c r="L200" s="321">
        <f>SUMIFS(DATA!$I:$I,DATA!$C:$C,$B200,DATA!$J:$J,"&gt;="&amp;DATE($I$2,L$4,1),DATA!$J:$J,"&lt;="&amp;DATE($I$2,L$4,L$5))</f>
        <v/>
      </c>
      <c r="M200" s="321">
        <f>SUMIFS(DATA!$I:$I,DATA!$C:$C,$B200,DATA!$J:$J,"&gt;="&amp;DATE($I$2,M$4,1),DATA!$J:$J,"&lt;="&amp;DATE($I$2,M$4,M$5))</f>
        <v/>
      </c>
      <c r="N200" s="321">
        <f>SUMIFS(DATA!$I:$I,DATA!$C:$C,$B200,DATA!$J:$J,"&gt;="&amp;DATE($I$2,N$4,1),DATA!$J:$J,"&lt;="&amp;DATE($I$2,N$4,N$5))</f>
        <v/>
      </c>
      <c r="O200" s="321">
        <f>SUMIFS(DATA!$I:$I,DATA!$C:$C,$B200,DATA!$J:$J,"&gt;="&amp;DATE($I$2,O$4,1),DATA!$J:$J,"&lt;="&amp;DATE($I$2,O$4,O$5))</f>
        <v/>
      </c>
      <c r="P200" s="322">
        <f>SUM(D200:O200)</f>
        <v/>
      </c>
      <c r="Q200" s="118" t="n"/>
    </row>
    <row r="201" hidden="1" outlineLevel="1" ht="15" customHeight="1">
      <c r="A201" s="266" t="n"/>
      <c r="B201" s="266" t="n"/>
      <c r="C201" s="119" t="inlineStr">
        <is>
          <t>Thực tế</t>
        </is>
      </c>
      <c r="D201" s="321">
        <f>SUMIFS(DATA!$M:$M,DATA!$C:$C,$B200,DATA!$N:$N,"&gt;="&amp;DATE($I$2,D$4,1),DATA!$N:$N,"&lt;="&amp;DATE($I$2,D$4,D$5))</f>
        <v/>
      </c>
      <c r="E201" s="321">
        <f>SUMIFS(DATA!$M:$M,DATA!$C:$C,$B200,DATA!$N:$N,"&gt;="&amp;DATE($I$2,E$4,1),DATA!$N:$N,"&lt;="&amp;DATE($I$2,E$4,E$5))</f>
        <v/>
      </c>
      <c r="F201" s="321">
        <f>SUMIFS(DATA!$M:$M,DATA!$C:$C,$B200,DATA!$N:$N,"&gt;="&amp;DATE($I$2,F$4,1),DATA!$N:$N,"&lt;="&amp;DATE($I$2,F$4,F$5))</f>
        <v/>
      </c>
      <c r="G201" s="321">
        <f>SUMIFS(DATA!$M:$M,DATA!$C:$C,$B200,DATA!$N:$N,"&gt;="&amp;DATE($I$2,G$4,1),DATA!$N:$N,"&lt;="&amp;DATE($I$2,G$4,G$5))</f>
        <v/>
      </c>
      <c r="H201" s="321">
        <f>SUMIFS(DATA!$M:$M,DATA!$C:$C,$B200,DATA!$N:$N,"&gt;="&amp;DATE($I$2,H$4,1),DATA!$N:$N,"&lt;="&amp;DATE($I$2,H$4,H$5))</f>
        <v/>
      </c>
      <c r="I201" s="321">
        <f>SUMIFS(DATA!$M:$M,DATA!$C:$C,$B200,DATA!$N:$N,"&gt;="&amp;DATE($I$2,I$4,1),DATA!$N:$N,"&lt;="&amp;DATE($I$2,I$4,I$5))</f>
        <v/>
      </c>
      <c r="J201" s="321">
        <f>SUMIFS(DATA!$M:$M,DATA!$C:$C,$B200,DATA!$N:$N,"&gt;="&amp;DATE($I$2,J$4,1),DATA!$N:$N,"&lt;="&amp;DATE($I$2,J$4,J$5))</f>
        <v/>
      </c>
      <c r="K201" s="321">
        <f>SUMIFS(DATA!$M:$M,DATA!$C:$C,$B200,DATA!$N:$N,"&gt;="&amp;DATE($I$2,K$4,1),DATA!$N:$N,"&lt;="&amp;DATE($I$2,K$4,K$5))</f>
        <v/>
      </c>
      <c r="L201" s="321">
        <f>SUMIFS(DATA!$M:$M,DATA!$C:$C,$B200,DATA!$N:$N,"&gt;="&amp;DATE($I$2,L$4,1),DATA!$N:$N,"&lt;="&amp;DATE($I$2,L$4,L$5))</f>
        <v/>
      </c>
      <c r="M201" s="321">
        <f>SUMIFS(DATA!$M:$M,DATA!$C:$C,$B200,DATA!$N:$N,"&gt;="&amp;DATE($I$2,M$4,1),DATA!$N:$N,"&lt;="&amp;DATE($I$2,M$4,M$5))</f>
        <v/>
      </c>
      <c r="N201" s="321">
        <f>SUMIFS(DATA!$M:$M,DATA!$C:$C,$B200,DATA!$N:$N,"&gt;="&amp;DATE($I$2,N$4,1),DATA!$N:$N,"&lt;="&amp;DATE($I$2,N$4,N$5))</f>
        <v/>
      </c>
      <c r="O201" s="321">
        <f>SUMIFS(DATA!$M:$M,DATA!$C:$C,$B200,DATA!$N:$N,"&gt;="&amp;DATE($I$2,O$4,1),DATA!$N:$N,"&lt;="&amp;DATE($I$2,O$4,O$5))</f>
        <v/>
      </c>
      <c r="P201" s="322">
        <f>SUM(D201:O201)</f>
        <v/>
      </c>
      <c r="Q201" s="118" t="n"/>
    </row>
    <row r="202" hidden="1" outlineLevel="1" ht="15" customHeight="1">
      <c r="A202" s="269" t="n">
        <v>99</v>
      </c>
      <c r="B202" s="265" t="inlineStr">
        <is>
          <t>FSOFT - FVILLE 1 &amp; 2</t>
        </is>
      </c>
      <c r="C202" s="119" t="inlineStr">
        <is>
          <t>Kế hoạch</t>
        </is>
      </c>
      <c r="D202" s="321">
        <f>SUMIFS(DATA!$I:$I,DATA!$C:$C,$B202,DATA!$J:$J,"&gt;="&amp;DATE($I$2,D$4,1),DATA!$J:$J,"&lt;="&amp;DATE($I$2,D$4,D$5))</f>
        <v/>
      </c>
      <c r="E202" s="321">
        <f>SUMIFS(DATA!$I:$I,DATA!$C:$C,$B202,DATA!$J:$J,"&gt;="&amp;DATE($I$2,E$4,1),DATA!$J:$J,"&lt;="&amp;DATE($I$2,E$4,E$5))</f>
        <v/>
      </c>
      <c r="F202" s="321">
        <f>SUMIFS(DATA!$I:$I,DATA!$C:$C,$B202,DATA!$J:$J,"&gt;="&amp;DATE($I$2,F$4,1),DATA!$J:$J,"&lt;="&amp;DATE($I$2,F$4,F$5))</f>
        <v/>
      </c>
      <c r="G202" s="321">
        <f>SUMIFS(DATA!$I:$I,DATA!$C:$C,$B202,DATA!$J:$J,"&gt;="&amp;DATE($I$2,G$4,1),DATA!$J:$J,"&lt;="&amp;DATE($I$2,G$4,G$5))</f>
        <v/>
      </c>
      <c r="H202" s="321">
        <f>SUMIFS(DATA!$I:$I,DATA!$C:$C,$B202,DATA!$J:$J,"&gt;="&amp;DATE($I$2,H$4,1),DATA!$J:$J,"&lt;="&amp;DATE($I$2,H$4,H$5))</f>
        <v/>
      </c>
      <c r="I202" s="321">
        <f>SUMIFS(DATA!$I:$I,DATA!$C:$C,$B202,DATA!$J:$J,"&gt;="&amp;DATE($I$2,I$4,1),DATA!$J:$J,"&lt;="&amp;DATE($I$2,I$4,I$5))</f>
        <v/>
      </c>
      <c r="J202" s="321">
        <f>SUMIFS(DATA!$I:$I,DATA!$C:$C,$B202,DATA!$J:$J,"&gt;="&amp;DATE($I$2,J$4,1),DATA!$J:$J,"&lt;="&amp;DATE($I$2,J$4,J$5))</f>
        <v/>
      </c>
      <c r="K202" s="321">
        <f>SUMIFS(DATA!$I:$I,DATA!$C:$C,$B202,DATA!$J:$J,"&gt;="&amp;DATE($I$2,K$4,1),DATA!$J:$J,"&lt;="&amp;DATE($I$2,K$4,K$5))</f>
        <v/>
      </c>
      <c r="L202" s="321">
        <f>SUMIFS(DATA!$I:$I,DATA!$C:$C,$B202,DATA!$J:$J,"&gt;="&amp;DATE($I$2,L$4,1),DATA!$J:$J,"&lt;="&amp;DATE($I$2,L$4,L$5))</f>
        <v/>
      </c>
      <c r="M202" s="321">
        <f>SUMIFS(DATA!$I:$I,DATA!$C:$C,$B202,DATA!$J:$J,"&gt;="&amp;DATE($I$2,M$4,1),DATA!$J:$J,"&lt;="&amp;DATE($I$2,M$4,M$5))</f>
        <v/>
      </c>
      <c r="N202" s="321">
        <f>SUMIFS(DATA!$I:$I,DATA!$C:$C,$B202,DATA!$J:$J,"&gt;="&amp;DATE($I$2,N$4,1),DATA!$J:$J,"&lt;="&amp;DATE($I$2,N$4,N$5))</f>
        <v/>
      </c>
      <c r="O202" s="321">
        <f>SUMIFS(DATA!$I:$I,DATA!$C:$C,$B202,DATA!$J:$J,"&gt;="&amp;DATE($I$2,O$4,1),DATA!$J:$J,"&lt;="&amp;DATE($I$2,O$4,O$5))</f>
        <v/>
      </c>
      <c r="P202" s="322">
        <f>SUM(D202:O202)</f>
        <v/>
      </c>
      <c r="Q202" s="118" t="n"/>
    </row>
    <row r="203" hidden="1" outlineLevel="1" ht="15" customHeight="1">
      <c r="A203" s="266" t="n"/>
      <c r="B203" s="266" t="n"/>
      <c r="C203" s="119" t="inlineStr">
        <is>
          <t>Thực tế</t>
        </is>
      </c>
      <c r="D203" s="321">
        <f>SUMIFS(DATA!$M:$M,DATA!$C:$C,$B202,DATA!$N:$N,"&gt;="&amp;DATE($I$2,D$4,1),DATA!$N:$N,"&lt;="&amp;DATE($I$2,D$4,D$5))</f>
        <v/>
      </c>
      <c r="E203" s="321">
        <f>SUMIFS(DATA!$M:$M,DATA!$C:$C,$B202,DATA!$N:$N,"&gt;="&amp;DATE($I$2,E$4,1),DATA!$N:$N,"&lt;="&amp;DATE($I$2,E$4,E$5))</f>
        <v/>
      </c>
      <c r="F203" s="321">
        <f>SUMIFS(DATA!$M:$M,DATA!$C:$C,$B202,DATA!$N:$N,"&gt;="&amp;DATE($I$2,F$4,1),DATA!$N:$N,"&lt;="&amp;DATE($I$2,F$4,F$5))</f>
        <v/>
      </c>
      <c r="G203" s="321">
        <f>SUMIFS(DATA!$M:$M,DATA!$C:$C,$B202,DATA!$N:$N,"&gt;="&amp;DATE($I$2,G$4,1),DATA!$N:$N,"&lt;="&amp;DATE($I$2,G$4,G$5))</f>
        <v/>
      </c>
      <c r="H203" s="321">
        <f>SUMIFS(DATA!$M:$M,DATA!$C:$C,$B202,DATA!$N:$N,"&gt;="&amp;DATE($I$2,H$4,1),DATA!$N:$N,"&lt;="&amp;DATE($I$2,H$4,H$5))</f>
        <v/>
      </c>
      <c r="I203" s="321">
        <f>SUMIFS(DATA!$M:$M,DATA!$C:$C,$B202,DATA!$N:$N,"&gt;="&amp;DATE($I$2,I$4,1),DATA!$N:$N,"&lt;="&amp;DATE($I$2,I$4,I$5))</f>
        <v/>
      </c>
      <c r="J203" s="321">
        <f>SUMIFS(DATA!$M:$M,DATA!$C:$C,$B202,DATA!$N:$N,"&gt;="&amp;DATE($I$2,J$4,1),DATA!$N:$N,"&lt;="&amp;DATE($I$2,J$4,J$5))</f>
        <v/>
      </c>
      <c r="K203" s="321">
        <f>SUMIFS(DATA!$M:$M,DATA!$C:$C,$B202,DATA!$N:$N,"&gt;="&amp;DATE($I$2,K$4,1),DATA!$N:$N,"&lt;="&amp;DATE($I$2,K$4,K$5))</f>
        <v/>
      </c>
      <c r="L203" s="321">
        <f>SUMIFS(DATA!$M:$M,DATA!$C:$C,$B202,DATA!$N:$N,"&gt;="&amp;DATE($I$2,L$4,1),DATA!$N:$N,"&lt;="&amp;DATE($I$2,L$4,L$5))</f>
        <v/>
      </c>
      <c r="M203" s="321">
        <f>SUMIFS(DATA!$M:$M,DATA!$C:$C,$B202,DATA!$N:$N,"&gt;="&amp;DATE($I$2,M$4,1),DATA!$N:$N,"&lt;="&amp;DATE($I$2,M$4,M$5))</f>
        <v/>
      </c>
      <c r="N203" s="321">
        <f>SUMIFS(DATA!$M:$M,DATA!$C:$C,$B202,DATA!$N:$N,"&gt;="&amp;DATE($I$2,N$4,1),DATA!$N:$N,"&lt;="&amp;DATE($I$2,N$4,N$5))</f>
        <v/>
      </c>
      <c r="O203" s="321">
        <f>SUMIFS(DATA!$M:$M,DATA!$C:$C,$B202,DATA!$N:$N,"&gt;="&amp;DATE($I$2,O$4,1),DATA!$N:$N,"&lt;="&amp;DATE($I$2,O$4,O$5))</f>
        <v/>
      </c>
      <c r="P203" s="322">
        <f>SUM(D203:O203)</f>
        <v/>
      </c>
      <c r="Q203" s="118" t="n"/>
    </row>
    <row r="204" hidden="1" outlineLevel="1" ht="15" customHeight="1">
      <c r="A204" s="269" t="n">
        <v>100</v>
      </c>
      <c r="B204" s="265" t="inlineStr">
        <is>
          <t>BIG C VIỆT TRÌ</t>
        </is>
      </c>
      <c r="C204" s="119" t="inlineStr">
        <is>
          <t>Kế hoạch</t>
        </is>
      </c>
      <c r="D204" s="321">
        <f>SUMIFS(DATA!$I:$I,DATA!$C:$C,$B204,DATA!$J:$J,"&gt;="&amp;DATE($I$2,D$4,1),DATA!$J:$J,"&lt;="&amp;DATE($I$2,D$4,D$5))</f>
        <v/>
      </c>
      <c r="E204" s="321">
        <f>SUMIFS(DATA!$I:$I,DATA!$C:$C,$B204,DATA!$J:$J,"&gt;="&amp;DATE($I$2,E$4,1),DATA!$J:$J,"&lt;="&amp;DATE($I$2,E$4,E$5))</f>
        <v/>
      </c>
      <c r="F204" s="321">
        <f>SUMIFS(DATA!$I:$I,DATA!$C:$C,$B204,DATA!$J:$J,"&gt;="&amp;DATE($I$2,F$4,1),DATA!$J:$J,"&lt;="&amp;DATE($I$2,F$4,F$5))</f>
        <v/>
      </c>
      <c r="G204" s="321">
        <f>SUMIFS(DATA!$I:$I,DATA!$C:$C,$B204,DATA!$J:$J,"&gt;="&amp;DATE($I$2,G$4,1),DATA!$J:$J,"&lt;="&amp;DATE($I$2,G$4,G$5))</f>
        <v/>
      </c>
      <c r="H204" s="321">
        <f>SUMIFS(DATA!$I:$I,DATA!$C:$C,$B204,DATA!$J:$J,"&gt;="&amp;DATE($I$2,H$4,1),DATA!$J:$J,"&lt;="&amp;DATE($I$2,H$4,H$5))</f>
        <v/>
      </c>
      <c r="I204" s="321">
        <f>SUMIFS(DATA!$I:$I,DATA!$C:$C,$B204,DATA!$J:$J,"&gt;="&amp;DATE($I$2,I$4,1),DATA!$J:$J,"&lt;="&amp;DATE($I$2,I$4,I$5))</f>
        <v/>
      </c>
      <c r="J204" s="321">
        <f>SUMIFS(DATA!$I:$I,DATA!$C:$C,$B204,DATA!$J:$J,"&gt;="&amp;DATE($I$2,J$4,1),DATA!$J:$J,"&lt;="&amp;DATE($I$2,J$4,J$5))</f>
        <v/>
      </c>
      <c r="K204" s="321">
        <f>SUMIFS(DATA!$I:$I,DATA!$C:$C,$B204,DATA!$J:$J,"&gt;="&amp;DATE($I$2,K$4,1),DATA!$J:$J,"&lt;="&amp;DATE($I$2,K$4,K$5))</f>
        <v/>
      </c>
      <c r="L204" s="321">
        <f>SUMIFS(DATA!$I:$I,DATA!$C:$C,$B204,DATA!$J:$J,"&gt;="&amp;DATE($I$2,L$4,1),DATA!$J:$J,"&lt;="&amp;DATE($I$2,L$4,L$5))</f>
        <v/>
      </c>
      <c r="M204" s="321">
        <f>SUMIFS(DATA!$I:$I,DATA!$C:$C,$B204,DATA!$J:$J,"&gt;="&amp;DATE($I$2,M$4,1),DATA!$J:$J,"&lt;="&amp;DATE($I$2,M$4,M$5))</f>
        <v/>
      </c>
      <c r="N204" s="321">
        <f>SUMIFS(DATA!$I:$I,DATA!$C:$C,$B204,DATA!$J:$J,"&gt;="&amp;DATE($I$2,N$4,1),DATA!$J:$J,"&lt;="&amp;DATE($I$2,N$4,N$5))</f>
        <v/>
      </c>
      <c r="O204" s="321">
        <f>SUMIFS(DATA!$I:$I,DATA!$C:$C,$B204,DATA!$J:$J,"&gt;="&amp;DATE($I$2,O$4,1),DATA!$J:$J,"&lt;="&amp;DATE($I$2,O$4,O$5))</f>
        <v/>
      </c>
      <c r="P204" s="322">
        <f>SUM(D204:O204)</f>
        <v/>
      </c>
      <c r="Q204" s="118" t="n"/>
    </row>
    <row r="205" hidden="1" outlineLevel="1" ht="15" customHeight="1">
      <c r="A205" s="266" t="n"/>
      <c r="B205" s="266" t="n"/>
      <c r="C205" s="119" t="inlineStr">
        <is>
          <t>Thực tế</t>
        </is>
      </c>
      <c r="D205" s="321">
        <f>SUMIFS(DATA!$M:$M,DATA!$C:$C,$B204,DATA!$N:$N,"&gt;="&amp;DATE($I$2,D$4,1),DATA!$N:$N,"&lt;="&amp;DATE($I$2,D$4,D$5))</f>
        <v/>
      </c>
      <c r="E205" s="321">
        <f>SUMIFS(DATA!$M:$M,DATA!$C:$C,$B204,DATA!$N:$N,"&gt;="&amp;DATE($I$2,E$4,1),DATA!$N:$N,"&lt;="&amp;DATE($I$2,E$4,E$5))</f>
        <v/>
      </c>
      <c r="F205" s="321">
        <f>SUMIFS(DATA!$M:$M,DATA!$C:$C,$B204,DATA!$N:$N,"&gt;="&amp;DATE($I$2,F$4,1),DATA!$N:$N,"&lt;="&amp;DATE($I$2,F$4,F$5))</f>
        <v/>
      </c>
      <c r="G205" s="321">
        <f>SUMIFS(DATA!$M:$M,DATA!$C:$C,$B204,DATA!$N:$N,"&gt;="&amp;DATE($I$2,G$4,1),DATA!$N:$N,"&lt;="&amp;DATE($I$2,G$4,G$5))</f>
        <v/>
      </c>
      <c r="H205" s="321">
        <f>SUMIFS(DATA!$M:$M,DATA!$C:$C,$B204,DATA!$N:$N,"&gt;="&amp;DATE($I$2,H$4,1),DATA!$N:$N,"&lt;="&amp;DATE($I$2,H$4,H$5))</f>
        <v/>
      </c>
      <c r="I205" s="321">
        <f>SUMIFS(DATA!$M:$M,DATA!$C:$C,$B204,DATA!$N:$N,"&gt;="&amp;DATE($I$2,I$4,1),DATA!$N:$N,"&lt;="&amp;DATE($I$2,I$4,I$5))</f>
        <v/>
      </c>
      <c r="J205" s="321">
        <f>SUMIFS(DATA!$M:$M,DATA!$C:$C,$B204,DATA!$N:$N,"&gt;="&amp;DATE($I$2,J$4,1),DATA!$N:$N,"&lt;="&amp;DATE($I$2,J$4,J$5))</f>
        <v/>
      </c>
      <c r="K205" s="321">
        <f>SUMIFS(DATA!$M:$M,DATA!$C:$C,$B204,DATA!$N:$N,"&gt;="&amp;DATE($I$2,K$4,1),DATA!$N:$N,"&lt;="&amp;DATE($I$2,K$4,K$5))</f>
        <v/>
      </c>
      <c r="L205" s="321">
        <f>SUMIFS(DATA!$M:$M,DATA!$C:$C,$B204,DATA!$N:$N,"&gt;="&amp;DATE($I$2,L$4,1),DATA!$N:$N,"&lt;="&amp;DATE($I$2,L$4,L$5))</f>
        <v/>
      </c>
      <c r="M205" s="321">
        <f>SUMIFS(DATA!$M:$M,DATA!$C:$C,$B204,DATA!$N:$N,"&gt;="&amp;DATE($I$2,M$4,1),DATA!$N:$N,"&lt;="&amp;DATE($I$2,M$4,M$5))</f>
        <v/>
      </c>
      <c r="N205" s="321">
        <f>SUMIFS(DATA!$M:$M,DATA!$C:$C,$B204,DATA!$N:$N,"&gt;="&amp;DATE($I$2,N$4,1),DATA!$N:$N,"&lt;="&amp;DATE($I$2,N$4,N$5))</f>
        <v/>
      </c>
      <c r="O205" s="321">
        <f>SUMIFS(DATA!$M:$M,DATA!$C:$C,$B204,DATA!$N:$N,"&gt;="&amp;DATE($I$2,O$4,1),DATA!$N:$N,"&lt;="&amp;DATE($I$2,O$4,O$5))</f>
        <v/>
      </c>
      <c r="P205" s="322">
        <f>SUM(D205:O205)</f>
        <v/>
      </c>
      <c r="Q205" s="118" t="n"/>
    </row>
    <row r="206" hidden="1" outlineLevel="1" ht="15" customHeight="1">
      <c r="A206" s="269" t="n">
        <v>101</v>
      </c>
      <c r="B206" s="265" t="inlineStr">
        <is>
          <t>THE EMERALD MỸ ĐÌNH</t>
        </is>
      </c>
      <c r="C206" s="119" t="inlineStr">
        <is>
          <t>Kế hoạch</t>
        </is>
      </c>
      <c r="D206" s="321">
        <f>SUMIFS(DATA!$I:$I,DATA!$C:$C,$B206,DATA!$J:$J,"&gt;="&amp;DATE($I$2,D$4,1),DATA!$J:$J,"&lt;="&amp;DATE($I$2,D$4,D$5))</f>
        <v/>
      </c>
      <c r="E206" s="321">
        <f>SUMIFS(DATA!$I:$I,DATA!$C:$C,$B206,DATA!$J:$J,"&gt;="&amp;DATE($I$2,E$4,1),DATA!$J:$J,"&lt;="&amp;DATE($I$2,E$4,E$5))</f>
        <v/>
      </c>
      <c r="F206" s="321">
        <f>SUMIFS(DATA!$I:$I,DATA!$C:$C,$B206,DATA!$J:$J,"&gt;="&amp;DATE($I$2,F$4,1),DATA!$J:$J,"&lt;="&amp;DATE($I$2,F$4,F$5))</f>
        <v/>
      </c>
      <c r="G206" s="321">
        <f>SUMIFS(DATA!$I:$I,DATA!$C:$C,$B206,DATA!$J:$J,"&gt;="&amp;DATE($I$2,G$4,1),DATA!$J:$J,"&lt;="&amp;DATE($I$2,G$4,G$5))</f>
        <v/>
      </c>
      <c r="H206" s="321">
        <f>SUMIFS(DATA!$I:$I,DATA!$C:$C,$B206,DATA!$J:$J,"&gt;="&amp;DATE($I$2,H$4,1),DATA!$J:$J,"&lt;="&amp;DATE($I$2,H$4,H$5))</f>
        <v/>
      </c>
      <c r="I206" s="321">
        <f>SUMIFS(DATA!$I:$I,DATA!$C:$C,$B206,DATA!$J:$J,"&gt;="&amp;DATE($I$2,I$4,1),DATA!$J:$J,"&lt;="&amp;DATE($I$2,I$4,I$5))</f>
        <v/>
      </c>
      <c r="J206" s="321">
        <f>SUMIFS(DATA!$I:$I,DATA!$C:$C,$B206,DATA!$J:$J,"&gt;="&amp;DATE($I$2,J$4,1),DATA!$J:$J,"&lt;="&amp;DATE($I$2,J$4,J$5))</f>
        <v/>
      </c>
      <c r="K206" s="321">
        <f>SUMIFS(DATA!$I:$I,DATA!$C:$C,$B206,DATA!$J:$J,"&gt;="&amp;DATE($I$2,K$4,1),DATA!$J:$J,"&lt;="&amp;DATE($I$2,K$4,K$5))</f>
        <v/>
      </c>
      <c r="L206" s="321">
        <f>SUMIFS(DATA!$I:$I,DATA!$C:$C,$B206,DATA!$J:$J,"&gt;="&amp;DATE($I$2,L$4,1),DATA!$J:$J,"&lt;="&amp;DATE($I$2,L$4,L$5))</f>
        <v/>
      </c>
      <c r="M206" s="321">
        <f>SUMIFS(DATA!$I:$I,DATA!$C:$C,$B206,DATA!$J:$J,"&gt;="&amp;DATE($I$2,M$4,1),DATA!$J:$J,"&lt;="&amp;DATE($I$2,M$4,M$5))</f>
        <v/>
      </c>
      <c r="N206" s="321">
        <f>SUMIFS(DATA!$I:$I,DATA!$C:$C,$B206,DATA!$J:$J,"&gt;="&amp;DATE($I$2,N$4,1),DATA!$J:$J,"&lt;="&amp;DATE($I$2,N$4,N$5))</f>
        <v/>
      </c>
      <c r="O206" s="321">
        <f>SUMIFS(DATA!$I:$I,DATA!$C:$C,$B206,DATA!$J:$J,"&gt;="&amp;DATE($I$2,O$4,1),DATA!$J:$J,"&lt;="&amp;DATE($I$2,O$4,O$5))</f>
        <v/>
      </c>
      <c r="P206" s="322">
        <f>SUM(D206:O206)</f>
        <v/>
      </c>
      <c r="Q206" s="118" t="n"/>
    </row>
    <row r="207" hidden="1" outlineLevel="1" ht="15" customHeight="1">
      <c r="A207" s="266" t="n"/>
      <c r="B207" s="266" t="n"/>
      <c r="C207" s="119" t="inlineStr">
        <is>
          <t>Thực tế</t>
        </is>
      </c>
      <c r="D207" s="321">
        <f>SUMIFS(DATA!$M:$M,DATA!$C:$C,$B206,DATA!$N:$N,"&gt;="&amp;DATE($I$2,D$4,1),DATA!$N:$N,"&lt;="&amp;DATE($I$2,D$4,D$5))</f>
        <v/>
      </c>
      <c r="E207" s="321">
        <f>SUMIFS(DATA!$M:$M,DATA!$C:$C,$B206,DATA!$N:$N,"&gt;="&amp;DATE($I$2,E$4,1),DATA!$N:$N,"&lt;="&amp;DATE($I$2,E$4,E$5))</f>
        <v/>
      </c>
      <c r="F207" s="321">
        <f>SUMIFS(DATA!$M:$M,DATA!$C:$C,$B206,DATA!$N:$N,"&gt;="&amp;DATE($I$2,F$4,1),DATA!$N:$N,"&lt;="&amp;DATE($I$2,F$4,F$5))</f>
        <v/>
      </c>
      <c r="G207" s="321">
        <f>SUMIFS(DATA!$M:$M,DATA!$C:$C,$B206,DATA!$N:$N,"&gt;="&amp;DATE($I$2,G$4,1),DATA!$N:$N,"&lt;="&amp;DATE($I$2,G$4,G$5))</f>
        <v/>
      </c>
      <c r="H207" s="321">
        <f>SUMIFS(DATA!$M:$M,DATA!$C:$C,$B206,DATA!$N:$N,"&gt;="&amp;DATE($I$2,H$4,1),DATA!$N:$N,"&lt;="&amp;DATE($I$2,H$4,H$5))</f>
        <v/>
      </c>
      <c r="I207" s="321">
        <f>SUMIFS(DATA!$M:$M,DATA!$C:$C,$B206,DATA!$N:$N,"&gt;="&amp;DATE($I$2,I$4,1),DATA!$N:$N,"&lt;="&amp;DATE($I$2,I$4,I$5))</f>
        <v/>
      </c>
      <c r="J207" s="321">
        <f>SUMIFS(DATA!$M:$M,DATA!$C:$C,$B206,DATA!$N:$N,"&gt;="&amp;DATE($I$2,J$4,1),DATA!$N:$N,"&lt;="&amp;DATE($I$2,J$4,J$5))</f>
        <v/>
      </c>
      <c r="K207" s="321">
        <f>SUMIFS(DATA!$M:$M,DATA!$C:$C,$B206,DATA!$N:$N,"&gt;="&amp;DATE($I$2,K$4,1),DATA!$N:$N,"&lt;="&amp;DATE($I$2,K$4,K$5))</f>
        <v/>
      </c>
      <c r="L207" s="321">
        <f>SUMIFS(DATA!$M:$M,DATA!$C:$C,$B206,DATA!$N:$N,"&gt;="&amp;DATE($I$2,L$4,1),DATA!$N:$N,"&lt;="&amp;DATE($I$2,L$4,L$5))</f>
        <v/>
      </c>
      <c r="M207" s="321">
        <f>SUMIFS(DATA!$M:$M,DATA!$C:$C,$B206,DATA!$N:$N,"&gt;="&amp;DATE($I$2,M$4,1),DATA!$N:$N,"&lt;="&amp;DATE($I$2,M$4,M$5))</f>
        <v/>
      </c>
      <c r="N207" s="321">
        <f>SUMIFS(DATA!$M:$M,DATA!$C:$C,$B206,DATA!$N:$N,"&gt;="&amp;DATE($I$2,N$4,1),DATA!$N:$N,"&lt;="&amp;DATE($I$2,N$4,N$5))</f>
        <v/>
      </c>
      <c r="O207" s="321">
        <f>SUMIFS(DATA!$M:$M,DATA!$C:$C,$B206,DATA!$N:$N,"&gt;="&amp;DATE($I$2,O$4,1),DATA!$N:$N,"&lt;="&amp;DATE($I$2,O$4,O$5))</f>
        <v/>
      </c>
      <c r="P207" s="322">
        <f>SUM(D207:O207)</f>
        <v/>
      </c>
      <c r="Q207" s="118" t="n"/>
    </row>
    <row r="208" hidden="1" outlineLevel="1" ht="15" customHeight="1">
      <c r="A208" s="269" t="n">
        <v>102</v>
      </c>
      <c r="B208" s="265" t="inlineStr">
        <is>
          <t>YAMAHA TOWN</t>
        </is>
      </c>
      <c r="C208" s="119" t="inlineStr">
        <is>
          <t>Kế hoạch</t>
        </is>
      </c>
      <c r="D208" s="321">
        <f>SUMIFS(DATA!$I:$I,DATA!$C:$C,$B208,DATA!$J:$J,"&gt;="&amp;DATE($I$2,D$4,1),DATA!$J:$J,"&lt;="&amp;DATE($I$2,D$4,D$5))</f>
        <v/>
      </c>
      <c r="E208" s="321">
        <f>SUMIFS(DATA!$I:$I,DATA!$C:$C,$B208,DATA!$J:$J,"&gt;="&amp;DATE($I$2,E$4,1),DATA!$J:$J,"&lt;="&amp;DATE($I$2,E$4,E$5))</f>
        <v/>
      </c>
      <c r="F208" s="321">
        <f>SUMIFS(DATA!$I:$I,DATA!$C:$C,$B208,DATA!$J:$J,"&gt;="&amp;DATE($I$2,F$4,1),DATA!$J:$J,"&lt;="&amp;DATE($I$2,F$4,F$5))</f>
        <v/>
      </c>
      <c r="G208" s="321">
        <f>SUMIFS(DATA!$I:$I,DATA!$C:$C,$B208,DATA!$J:$J,"&gt;="&amp;DATE($I$2,G$4,1),DATA!$J:$J,"&lt;="&amp;DATE($I$2,G$4,G$5))</f>
        <v/>
      </c>
      <c r="H208" s="321">
        <f>SUMIFS(DATA!$I:$I,DATA!$C:$C,$B208,DATA!$J:$J,"&gt;="&amp;DATE($I$2,H$4,1),DATA!$J:$J,"&lt;="&amp;DATE($I$2,H$4,H$5))</f>
        <v/>
      </c>
      <c r="I208" s="321">
        <f>SUMIFS(DATA!$I:$I,DATA!$C:$C,$B208,DATA!$J:$J,"&gt;="&amp;DATE($I$2,I$4,1),DATA!$J:$J,"&lt;="&amp;DATE($I$2,I$4,I$5))</f>
        <v/>
      </c>
      <c r="J208" s="321">
        <f>SUMIFS(DATA!$I:$I,DATA!$C:$C,$B208,DATA!$J:$J,"&gt;="&amp;DATE($I$2,J$4,1),DATA!$J:$J,"&lt;="&amp;DATE($I$2,J$4,J$5))</f>
        <v/>
      </c>
      <c r="K208" s="321">
        <f>SUMIFS(DATA!$I:$I,DATA!$C:$C,$B208,DATA!$J:$J,"&gt;="&amp;DATE($I$2,K$4,1),DATA!$J:$J,"&lt;="&amp;DATE($I$2,K$4,K$5))</f>
        <v/>
      </c>
      <c r="L208" s="321">
        <f>SUMIFS(DATA!$I:$I,DATA!$C:$C,$B208,DATA!$J:$J,"&gt;="&amp;DATE($I$2,L$4,1),DATA!$J:$J,"&lt;="&amp;DATE($I$2,L$4,L$5))</f>
        <v/>
      </c>
      <c r="M208" s="321">
        <f>SUMIFS(DATA!$I:$I,DATA!$C:$C,$B208,DATA!$J:$J,"&gt;="&amp;DATE($I$2,M$4,1),DATA!$J:$J,"&lt;="&amp;DATE($I$2,M$4,M$5))</f>
        <v/>
      </c>
      <c r="N208" s="321">
        <f>SUMIFS(DATA!$I:$I,DATA!$C:$C,$B208,DATA!$J:$J,"&gt;="&amp;DATE($I$2,N$4,1),DATA!$J:$J,"&lt;="&amp;DATE($I$2,N$4,N$5))</f>
        <v/>
      </c>
      <c r="O208" s="321">
        <f>SUMIFS(DATA!$I:$I,DATA!$C:$C,$B208,DATA!$J:$J,"&gt;="&amp;DATE($I$2,O$4,1),DATA!$J:$J,"&lt;="&amp;DATE($I$2,O$4,O$5))</f>
        <v/>
      </c>
      <c r="P208" s="322">
        <f>SUM(D208:O208)</f>
        <v/>
      </c>
      <c r="Q208" s="118" t="n"/>
    </row>
    <row r="209" hidden="1" outlineLevel="1" ht="15" customHeight="1">
      <c r="A209" s="266" t="n"/>
      <c r="B209" s="266" t="n"/>
      <c r="C209" s="119" t="inlineStr">
        <is>
          <t>Thực tế</t>
        </is>
      </c>
      <c r="D209" s="321">
        <f>SUMIFS(DATA!$M:$M,DATA!$C:$C,$B208,DATA!$N:$N,"&gt;="&amp;DATE($I$2,D$4,1),DATA!$N:$N,"&lt;="&amp;DATE($I$2,D$4,D$5))</f>
        <v/>
      </c>
      <c r="E209" s="321">
        <f>SUMIFS(DATA!$M:$M,DATA!$C:$C,$B208,DATA!$N:$N,"&gt;="&amp;DATE($I$2,E$4,1),DATA!$N:$N,"&lt;="&amp;DATE($I$2,E$4,E$5))</f>
        <v/>
      </c>
      <c r="F209" s="321">
        <f>SUMIFS(DATA!$M:$M,DATA!$C:$C,$B208,DATA!$N:$N,"&gt;="&amp;DATE($I$2,F$4,1),DATA!$N:$N,"&lt;="&amp;DATE($I$2,F$4,F$5))</f>
        <v/>
      </c>
      <c r="G209" s="321">
        <f>SUMIFS(DATA!$M:$M,DATA!$C:$C,$B208,DATA!$N:$N,"&gt;="&amp;DATE($I$2,G$4,1),DATA!$N:$N,"&lt;="&amp;DATE($I$2,G$4,G$5))</f>
        <v/>
      </c>
      <c r="H209" s="321">
        <f>SUMIFS(DATA!$M:$M,DATA!$C:$C,$B208,DATA!$N:$N,"&gt;="&amp;DATE($I$2,H$4,1),DATA!$N:$N,"&lt;="&amp;DATE($I$2,H$4,H$5))</f>
        <v/>
      </c>
      <c r="I209" s="321">
        <f>SUMIFS(DATA!$M:$M,DATA!$C:$C,$B208,DATA!$N:$N,"&gt;="&amp;DATE($I$2,I$4,1),DATA!$N:$N,"&lt;="&amp;DATE($I$2,I$4,I$5))</f>
        <v/>
      </c>
      <c r="J209" s="321">
        <f>SUMIFS(DATA!$M:$M,DATA!$C:$C,$B208,DATA!$N:$N,"&gt;="&amp;DATE($I$2,J$4,1),DATA!$N:$N,"&lt;="&amp;DATE($I$2,J$4,J$5))</f>
        <v/>
      </c>
      <c r="K209" s="321">
        <f>SUMIFS(DATA!$M:$M,DATA!$C:$C,$B208,DATA!$N:$N,"&gt;="&amp;DATE($I$2,K$4,1),DATA!$N:$N,"&lt;="&amp;DATE($I$2,K$4,K$5))</f>
        <v/>
      </c>
      <c r="L209" s="321">
        <f>SUMIFS(DATA!$M:$M,DATA!$C:$C,$B208,DATA!$N:$N,"&gt;="&amp;DATE($I$2,L$4,1),DATA!$N:$N,"&lt;="&amp;DATE($I$2,L$4,L$5))</f>
        <v/>
      </c>
      <c r="M209" s="321">
        <f>SUMIFS(DATA!$M:$M,DATA!$C:$C,$B208,DATA!$N:$N,"&gt;="&amp;DATE($I$2,M$4,1),DATA!$N:$N,"&lt;="&amp;DATE($I$2,M$4,M$5))</f>
        <v/>
      </c>
      <c r="N209" s="321">
        <f>SUMIFS(DATA!$M:$M,DATA!$C:$C,$B208,DATA!$N:$N,"&gt;="&amp;DATE($I$2,N$4,1),DATA!$N:$N,"&lt;="&amp;DATE($I$2,N$4,N$5))</f>
        <v/>
      </c>
      <c r="O209" s="321">
        <f>SUMIFS(DATA!$M:$M,DATA!$C:$C,$B208,DATA!$N:$N,"&gt;="&amp;DATE($I$2,O$4,1),DATA!$N:$N,"&lt;="&amp;DATE($I$2,O$4,O$5))</f>
        <v/>
      </c>
      <c r="P209" s="322">
        <f>SUM(D209:O209)</f>
        <v/>
      </c>
      <c r="Q209" s="118" t="n"/>
    </row>
    <row r="210" hidden="1" outlineLevel="1" ht="15" customHeight="1">
      <c r="A210" s="269" t="n">
        <v>103</v>
      </c>
      <c r="B210" s="265" t="inlineStr">
        <is>
          <t>TAV THÁI BÌNH</t>
        </is>
      </c>
      <c r="C210" s="119" t="inlineStr">
        <is>
          <t>Kế hoạch</t>
        </is>
      </c>
      <c r="D210" s="321">
        <f>SUMIFS(DATA!$I:$I,DATA!$C:$C,$B210,DATA!$J:$J,"&gt;="&amp;DATE($I$2,D$4,1),DATA!$J:$J,"&lt;="&amp;DATE($I$2,D$4,D$5))</f>
        <v/>
      </c>
      <c r="E210" s="321">
        <f>SUMIFS(DATA!$I:$I,DATA!$C:$C,$B210,DATA!$J:$J,"&gt;="&amp;DATE($I$2,E$4,1),DATA!$J:$J,"&lt;="&amp;DATE($I$2,E$4,E$5))</f>
        <v/>
      </c>
      <c r="F210" s="321">
        <f>SUMIFS(DATA!$I:$I,DATA!$C:$C,$B210,DATA!$J:$J,"&gt;="&amp;DATE($I$2,F$4,1),DATA!$J:$J,"&lt;="&amp;DATE($I$2,F$4,F$5))</f>
        <v/>
      </c>
      <c r="G210" s="321">
        <f>SUMIFS(DATA!$I:$I,DATA!$C:$C,$B210,DATA!$J:$J,"&gt;="&amp;DATE($I$2,G$4,1),DATA!$J:$J,"&lt;="&amp;DATE($I$2,G$4,G$5))</f>
        <v/>
      </c>
      <c r="H210" s="321">
        <f>SUMIFS(DATA!$I:$I,DATA!$C:$C,$B210,DATA!$J:$J,"&gt;="&amp;DATE($I$2,H$4,1),DATA!$J:$J,"&lt;="&amp;DATE($I$2,H$4,H$5))</f>
        <v/>
      </c>
      <c r="I210" s="321">
        <f>SUMIFS(DATA!$I:$I,DATA!$C:$C,$B210,DATA!$J:$J,"&gt;="&amp;DATE($I$2,I$4,1),DATA!$J:$J,"&lt;="&amp;DATE($I$2,I$4,I$5))</f>
        <v/>
      </c>
      <c r="J210" s="321">
        <f>SUMIFS(DATA!$I:$I,DATA!$C:$C,$B210,DATA!$J:$J,"&gt;="&amp;DATE($I$2,J$4,1),DATA!$J:$J,"&lt;="&amp;DATE($I$2,J$4,J$5))</f>
        <v/>
      </c>
      <c r="K210" s="321">
        <f>SUMIFS(DATA!$I:$I,DATA!$C:$C,$B210,DATA!$J:$J,"&gt;="&amp;DATE($I$2,K$4,1),DATA!$J:$J,"&lt;="&amp;DATE($I$2,K$4,K$5))</f>
        <v/>
      </c>
      <c r="L210" s="321">
        <f>SUMIFS(DATA!$I:$I,DATA!$C:$C,$B210,DATA!$J:$J,"&gt;="&amp;DATE($I$2,L$4,1),DATA!$J:$J,"&lt;="&amp;DATE($I$2,L$4,L$5))</f>
        <v/>
      </c>
      <c r="M210" s="321">
        <f>SUMIFS(DATA!$I:$I,DATA!$C:$C,$B210,DATA!$J:$J,"&gt;="&amp;DATE($I$2,M$4,1),DATA!$J:$J,"&lt;="&amp;DATE($I$2,M$4,M$5))</f>
        <v/>
      </c>
      <c r="N210" s="321">
        <f>SUMIFS(DATA!$I:$I,DATA!$C:$C,$B210,DATA!$J:$J,"&gt;="&amp;DATE($I$2,N$4,1),DATA!$J:$J,"&lt;="&amp;DATE($I$2,N$4,N$5))</f>
        <v/>
      </c>
      <c r="O210" s="321">
        <f>SUMIFS(DATA!$I:$I,DATA!$C:$C,$B210,DATA!$J:$J,"&gt;="&amp;DATE($I$2,O$4,1),DATA!$J:$J,"&lt;="&amp;DATE($I$2,O$4,O$5))</f>
        <v/>
      </c>
      <c r="P210" s="322">
        <f>SUM(D210:O210)</f>
        <v/>
      </c>
      <c r="Q210" s="118" t="n"/>
    </row>
    <row r="211" hidden="1" outlineLevel="1" ht="15" customHeight="1">
      <c r="A211" s="266" t="n"/>
      <c r="B211" s="266" t="n"/>
      <c r="C211" s="119" t="inlineStr">
        <is>
          <t>Thực tế</t>
        </is>
      </c>
      <c r="D211" s="321">
        <f>SUMIFS(DATA!$M:$M,DATA!$C:$C,$B210,DATA!$N:$N,"&gt;="&amp;DATE($I$2,D$4,1),DATA!$N:$N,"&lt;="&amp;DATE($I$2,D$4,D$5))</f>
        <v/>
      </c>
      <c r="E211" s="321">
        <f>SUMIFS(DATA!$M:$M,DATA!$C:$C,$B210,DATA!$N:$N,"&gt;="&amp;DATE($I$2,E$4,1),DATA!$N:$N,"&lt;="&amp;DATE($I$2,E$4,E$5))</f>
        <v/>
      </c>
      <c r="F211" s="321">
        <f>SUMIFS(DATA!$M:$M,DATA!$C:$C,$B210,DATA!$N:$N,"&gt;="&amp;DATE($I$2,F$4,1),DATA!$N:$N,"&lt;="&amp;DATE($I$2,F$4,F$5))</f>
        <v/>
      </c>
      <c r="G211" s="321">
        <f>SUMIFS(DATA!$M:$M,DATA!$C:$C,$B210,DATA!$N:$N,"&gt;="&amp;DATE($I$2,G$4,1),DATA!$N:$N,"&lt;="&amp;DATE($I$2,G$4,G$5))</f>
        <v/>
      </c>
      <c r="H211" s="321">
        <f>SUMIFS(DATA!$M:$M,DATA!$C:$C,$B210,DATA!$N:$N,"&gt;="&amp;DATE($I$2,H$4,1),DATA!$N:$N,"&lt;="&amp;DATE($I$2,H$4,H$5))</f>
        <v/>
      </c>
      <c r="I211" s="321">
        <f>SUMIFS(DATA!$M:$M,DATA!$C:$C,$B210,DATA!$N:$N,"&gt;="&amp;DATE($I$2,I$4,1),DATA!$N:$N,"&lt;="&amp;DATE($I$2,I$4,I$5))</f>
        <v/>
      </c>
      <c r="J211" s="321">
        <f>SUMIFS(DATA!$M:$M,DATA!$C:$C,$B210,DATA!$N:$N,"&gt;="&amp;DATE($I$2,J$4,1),DATA!$N:$N,"&lt;="&amp;DATE($I$2,J$4,J$5))</f>
        <v/>
      </c>
      <c r="K211" s="321">
        <f>SUMIFS(DATA!$M:$M,DATA!$C:$C,$B210,DATA!$N:$N,"&gt;="&amp;DATE($I$2,K$4,1),DATA!$N:$N,"&lt;="&amp;DATE($I$2,K$4,K$5))</f>
        <v/>
      </c>
      <c r="L211" s="321">
        <f>SUMIFS(DATA!$M:$M,DATA!$C:$C,$B210,DATA!$N:$N,"&gt;="&amp;DATE($I$2,L$4,1),DATA!$N:$N,"&lt;="&amp;DATE($I$2,L$4,L$5))</f>
        <v/>
      </c>
      <c r="M211" s="321">
        <f>SUMIFS(DATA!$M:$M,DATA!$C:$C,$B210,DATA!$N:$N,"&gt;="&amp;DATE($I$2,M$4,1),DATA!$N:$N,"&lt;="&amp;DATE($I$2,M$4,M$5))</f>
        <v/>
      </c>
      <c r="N211" s="321">
        <f>SUMIFS(DATA!$M:$M,DATA!$C:$C,$B210,DATA!$N:$N,"&gt;="&amp;DATE($I$2,N$4,1),DATA!$N:$N,"&lt;="&amp;DATE($I$2,N$4,N$5))</f>
        <v/>
      </c>
      <c r="O211" s="321">
        <f>SUMIFS(DATA!$M:$M,DATA!$C:$C,$B210,DATA!$N:$N,"&gt;="&amp;DATE($I$2,O$4,1),DATA!$N:$N,"&lt;="&amp;DATE($I$2,O$4,O$5))</f>
        <v/>
      </c>
      <c r="P211" s="322">
        <f>SUM(D211:O211)</f>
        <v/>
      </c>
      <c r="Q211" s="118" t="n"/>
    </row>
    <row r="212" hidden="1" outlineLevel="1" ht="15" customHeight="1">
      <c r="A212" s="269" t="n">
        <v>104</v>
      </c>
      <c r="B212" s="265" t="inlineStr">
        <is>
          <t>AGRIBANK</t>
        </is>
      </c>
      <c r="C212" s="119" t="inlineStr">
        <is>
          <t>Kế hoạch</t>
        </is>
      </c>
      <c r="D212" s="321">
        <f>SUMIFS(DATA!$I:$I,DATA!$C:$C,$B212,DATA!$J:$J,"&gt;="&amp;DATE($I$2,D$4,1),DATA!$J:$J,"&lt;="&amp;DATE($I$2,D$4,D$5))</f>
        <v/>
      </c>
      <c r="E212" s="321">
        <f>SUMIFS(DATA!$I:$I,DATA!$C:$C,$B212,DATA!$J:$J,"&gt;="&amp;DATE($I$2,E$4,1),DATA!$J:$J,"&lt;="&amp;DATE($I$2,E$4,E$5))</f>
        <v/>
      </c>
      <c r="F212" s="321">
        <f>SUMIFS(DATA!$I:$I,DATA!$C:$C,$B212,DATA!$J:$J,"&gt;="&amp;DATE($I$2,F$4,1),DATA!$J:$J,"&lt;="&amp;DATE($I$2,F$4,F$5))</f>
        <v/>
      </c>
      <c r="G212" s="321">
        <f>SUMIFS(DATA!$I:$I,DATA!$C:$C,$B212,DATA!$J:$J,"&gt;="&amp;DATE($I$2,G$4,1),DATA!$J:$J,"&lt;="&amp;DATE($I$2,G$4,G$5))</f>
        <v/>
      </c>
      <c r="H212" s="321">
        <f>SUMIFS(DATA!$I:$I,DATA!$C:$C,$B212,DATA!$J:$J,"&gt;="&amp;DATE($I$2,H$4,1),DATA!$J:$J,"&lt;="&amp;DATE($I$2,H$4,H$5))</f>
        <v/>
      </c>
      <c r="I212" s="321">
        <f>SUMIFS(DATA!$I:$I,DATA!$C:$C,$B212,DATA!$J:$J,"&gt;="&amp;DATE($I$2,I$4,1),DATA!$J:$J,"&lt;="&amp;DATE($I$2,I$4,I$5))</f>
        <v/>
      </c>
      <c r="J212" s="321">
        <f>SUMIFS(DATA!$I:$I,DATA!$C:$C,$B212,DATA!$J:$J,"&gt;="&amp;DATE($I$2,J$4,1),DATA!$J:$J,"&lt;="&amp;DATE($I$2,J$4,J$5))</f>
        <v/>
      </c>
      <c r="K212" s="321">
        <f>SUMIFS(DATA!$I:$I,DATA!$C:$C,$B212,DATA!$J:$J,"&gt;="&amp;DATE($I$2,K$4,1),DATA!$J:$J,"&lt;="&amp;DATE($I$2,K$4,K$5))</f>
        <v/>
      </c>
      <c r="L212" s="321">
        <f>SUMIFS(DATA!$I:$I,DATA!$C:$C,$B212,DATA!$J:$J,"&gt;="&amp;DATE($I$2,L$4,1),DATA!$J:$J,"&lt;="&amp;DATE($I$2,L$4,L$5))</f>
        <v/>
      </c>
      <c r="M212" s="321">
        <f>SUMIFS(DATA!$I:$I,DATA!$C:$C,$B212,DATA!$J:$J,"&gt;="&amp;DATE($I$2,M$4,1),DATA!$J:$J,"&lt;="&amp;DATE($I$2,M$4,M$5))</f>
        <v/>
      </c>
      <c r="N212" s="321">
        <f>SUMIFS(DATA!$I:$I,DATA!$C:$C,$B212,DATA!$J:$J,"&gt;="&amp;DATE($I$2,N$4,1),DATA!$J:$J,"&lt;="&amp;DATE($I$2,N$4,N$5))</f>
        <v/>
      </c>
      <c r="O212" s="321">
        <f>SUMIFS(DATA!$I:$I,DATA!$C:$C,$B212,DATA!$J:$J,"&gt;="&amp;DATE($I$2,O$4,1),DATA!$J:$J,"&lt;="&amp;DATE($I$2,O$4,O$5))</f>
        <v/>
      </c>
      <c r="P212" s="322">
        <f>SUM(D212:O212)</f>
        <v/>
      </c>
      <c r="Q212" s="118" t="n"/>
    </row>
    <row r="213" hidden="1" outlineLevel="1" ht="15" customHeight="1">
      <c r="A213" s="266" t="n"/>
      <c r="B213" s="266" t="n"/>
      <c r="C213" s="119" t="inlineStr">
        <is>
          <t>Thực tế</t>
        </is>
      </c>
      <c r="D213" s="321">
        <f>SUMIFS(DATA!$M:$M,DATA!$C:$C,$B212,DATA!$N:$N,"&gt;="&amp;DATE($I$2,D$4,1),DATA!$N:$N,"&lt;="&amp;DATE($I$2,D$4,D$5))</f>
        <v/>
      </c>
      <c r="E213" s="321">
        <f>SUMIFS(DATA!$M:$M,DATA!$C:$C,$B212,DATA!$N:$N,"&gt;="&amp;DATE($I$2,E$4,1),DATA!$N:$N,"&lt;="&amp;DATE($I$2,E$4,E$5))</f>
        <v/>
      </c>
      <c r="F213" s="321">
        <f>SUMIFS(DATA!$M:$M,DATA!$C:$C,$B212,DATA!$N:$N,"&gt;="&amp;DATE($I$2,F$4,1),DATA!$N:$N,"&lt;="&amp;DATE($I$2,F$4,F$5))</f>
        <v/>
      </c>
      <c r="G213" s="321">
        <f>SUMIFS(DATA!$M:$M,DATA!$C:$C,$B212,DATA!$N:$N,"&gt;="&amp;DATE($I$2,G$4,1),DATA!$N:$N,"&lt;="&amp;DATE($I$2,G$4,G$5))</f>
        <v/>
      </c>
      <c r="H213" s="321">
        <f>SUMIFS(DATA!$M:$M,DATA!$C:$C,$B212,DATA!$N:$N,"&gt;="&amp;DATE($I$2,H$4,1),DATA!$N:$N,"&lt;="&amp;DATE($I$2,H$4,H$5))</f>
        <v/>
      </c>
      <c r="I213" s="321">
        <f>SUMIFS(DATA!$M:$M,DATA!$C:$C,$B212,DATA!$N:$N,"&gt;="&amp;DATE($I$2,I$4,1),DATA!$N:$N,"&lt;="&amp;DATE($I$2,I$4,I$5))</f>
        <v/>
      </c>
      <c r="J213" s="321">
        <f>SUMIFS(DATA!$M:$M,DATA!$C:$C,$B212,DATA!$N:$N,"&gt;="&amp;DATE($I$2,J$4,1),DATA!$N:$N,"&lt;="&amp;DATE($I$2,J$4,J$5))</f>
        <v/>
      </c>
      <c r="K213" s="321">
        <f>SUMIFS(DATA!$M:$M,DATA!$C:$C,$B212,DATA!$N:$N,"&gt;="&amp;DATE($I$2,K$4,1),DATA!$N:$N,"&lt;="&amp;DATE($I$2,K$4,K$5))</f>
        <v/>
      </c>
      <c r="L213" s="321">
        <f>SUMIFS(DATA!$M:$M,DATA!$C:$C,$B212,DATA!$N:$N,"&gt;="&amp;DATE($I$2,L$4,1),DATA!$N:$N,"&lt;="&amp;DATE($I$2,L$4,L$5))</f>
        <v/>
      </c>
      <c r="M213" s="321">
        <f>SUMIFS(DATA!$M:$M,DATA!$C:$C,$B212,DATA!$N:$N,"&gt;="&amp;DATE($I$2,M$4,1),DATA!$N:$N,"&lt;="&amp;DATE($I$2,M$4,M$5))</f>
        <v/>
      </c>
      <c r="N213" s="321">
        <f>SUMIFS(DATA!$M:$M,DATA!$C:$C,$B212,DATA!$N:$N,"&gt;="&amp;DATE($I$2,N$4,1),DATA!$N:$N,"&lt;="&amp;DATE($I$2,N$4,N$5))</f>
        <v/>
      </c>
      <c r="O213" s="321">
        <f>SUMIFS(DATA!$M:$M,DATA!$C:$C,$B212,DATA!$N:$N,"&gt;="&amp;DATE($I$2,O$4,1),DATA!$N:$N,"&lt;="&amp;DATE($I$2,O$4,O$5))</f>
        <v/>
      </c>
      <c r="P213" s="322">
        <f>SUM(D213:O213)</f>
        <v/>
      </c>
      <c r="Q213" s="118" t="n"/>
    </row>
    <row r="214" hidden="1" outlineLevel="1" ht="15" customHeight="1">
      <c r="A214" s="269" t="n">
        <v>105</v>
      </c>
      <c r="B214" s="265" t="inlineStr">
        <is>
          <t>CÔNG AN BẮC GIANG(Inactive)</t>
        </is>
      </c>
      <c r="C214" s="119" t="inlineStr">
        <is>
          <t>Kế hoạch</t>
        </is>
      </c>
      <c r="D214" s="321">
        <f>SUMIFS(DATA!$I:$I,DATA!$C:$C,$B214,DATA!$J:$J,"&gt;="&amp;DATE($I$2,D$4,1),DATA!$J:$J,"&lt;="&amp;DATE($I$2,D$4,D$5))</f>
        <v/>
      </c>
      <c r="E214" s="321">
        <f>SUMIFS(DATA!$I:$I,DATA!$C:$C,$B214,DATA!$J:$J,"&gt;="&amp;DATE($I$2,E$4,1),DATA!$J:$J,"&lt;="&amp;DATE($I$2,E$4,E$5))</f>
        <v/>
      </c>
      <c r="F214" s="321">
        <f>SUMIFS(DATA!$I:$I,DATA!$C:$C,$B214,DATA!$J:$J,"&gt;="&amp;DATE($I$2,F$4,1),DATA!$J:$J,"&lt;="&amp;DATE($I$2,F$4,F$5))</f>
        <v/>
      </c>
      <c r="G214" s="321">
        <f>SUMIFS(DATA!$I:$I,DATA!$C:$C,$B214,DATA!$J:$J,"&gt;="&amp;DATE($I$2,G$4,1),DATA!$J:$J,"&lt;="&amp;DATE($I$2,G$4,G$5))</f>
        <v/>
      </c>
      <c r="H214" s="321">
        <f>SUMIFS(DATA!$I:$I,DATA!$C:$C,$B214,DATA!$J:$J,"&gt;="&amp;DATE($I$2,H$4,1),DATA!$J:$J,"&lt;="&amp;DATE($I$2,H$4,H$5))</f>
        <v/>
      </c>
      <c r="I214" s="321">
        <f>SUMIFS(DATA!$I:$I,DATA!$C:$C,$B214,DATA!$J:$J,"&gt;="&amp;DATE($I$2,I$4,1),DATA!$J:$J,"&lt;="&amp;DATE($I$2,I$4,I$5))</f>
        <v/>
      </c>
      <c r="J214" s="321">
        <f>SUMIFS(DATA!$I:$I,DATA!$C:$C,$B214,DATA!$J:$J,"&gt;="&amp;DATE($I$2,J$4,1),DATA!$J:$J,"&lt;="&amp;DATE($I$2,J$4,J$5))</f>
        <v/>
      </c>
      <c r="K214" s="321">
        <f>SUMIFS(DATA!$I:$I,DATA!$C:$C,$B214,DATA!$J:$J,"&gt;="&amp;DATE($I$2,K$4,1),DATA!$J:$J,"&lt;="&amp;DATE($I$2,K$4,K$5))</f>
        <v/>
      </c>
      <c r="L214" s="321">
        <f>SUMIFS(DATA!$I:$I,DATA!$C:$C,$B214,DATA!$J:$J,"&gt;="&amp;DATE($I$2,L$4,1),DATA!$J:$J,"&lt;="&amp;DATE($I$2,L$4,L$5))</f>
        <v/>
      </c>
      <c r="M214" s="321">
        <f>SUMIFS(DATA!$I:$I,DATA!$C:$C,$B214,DATA!$J:$J,"&gt;="&amp;DATE($I$2,M$4,1),DATA!$J:$J,"&lt;="&amp;DATE($I$2,M$4,M$5))</f>
        <v/>
      </c>
      <c r="N214" s="321">
        <f>SUMIFS(DATA!$I:$I,DATA!$C:$C,$B214,DATA!$J:$J,"&gt;="&amp;DATE($I$2,N$4,1),DATA!$J:$J,"&lt;="&amp;DATE($I$2,N$4,N$5))</f>
        <v/>
      </c>
      <c r="O214" s="321">
        <f>SUMIFS(DATA!$I:$I,DATA!$C:$C,$B214,DATA!$J:$J,"&gt;="&amp;DATE($I$2,O$4,1),DATA!$J:$J,"&lt;="&amp;DATE($I$2,O$4,O$5))</f>
        <v/>
      </c>
      <c r="P214" s="322">
        <f>SUM(D214:O214)</f>
        <v/>
      </c>
      <c r="Q214" s="118" t="n"/>
    </row>
    <row r="215" hidden="1" outlineLevel="1" ht="15" customHeight="1">
      <c r="A215" s="266" t="n"/>
      <c r="B215" s="266" t="n"/>
      <c r="C215" s="119" t="inlineStr">
        <is>
          <t>Thực tế</t>
        </is>
      </c>
      <c r="D215" s="321">
        <f>SUMIFS(DATA!$M:$M,DATA!$C:$C,$B214,DATA!$N:$N,"&gt;="&amp;DATE($I$2,D$4,1),DATA!$N:$N,"&lt;="&amp;DATE($I$2,D$4,D$5))</f>
        <v/>
      </c>
      <c r="E215" s="321">
        <f>SUMIFS(DATA!$M:$M,DATA!$C:$C,$B214,DATA!$N:$N,"&gt;="&amp;DATE($I$2,E$4,1),DATA!$N:$N,"&lt;="&amp;DATE($I$2,E$4,E$5))</f>
        <v/>
      </c>
      <c r="F215" s="321">
        <f>SUMIFS(DATA!$M:$M,DATA!$C:$C,$B214,DATA!$N:$N,"&gt;="&amp;DATE($I$2,F$4,1),DATA!$N:$N,"&lt;="&amp;DATE($I$2,F$4,F$5))</f>
        <v/>
      </c>
      <c r="G215" s="321">
        <f>SUMIFS(DATA!$M:$M,DATA!$C:$C,$B214,DATA!$N:$N,"&gt;="&amp;DATE($I$2,G$4,1),DATA!$N:$N,"&lt;="&amp;DATE($I$2,G$4,G$5))</f>
        <v/>
      </c>
      <c r="H215" s="321">
        <f>SUMIFS(DATA!$M:$M,DATA!$C:$C,$B214,DATA!$N:$N,"&gt;="&amp;DATE($I$2,H$4,1),DATA!$N:$N,"&lt;="&amp;DATE($I$2,H$4,H$5))</f>
        <v/>
      </c>
      <c r="I215" s="321">
        <f>SUMIFS(DATA!$M:$M,DATA!$C:$C,$B214,DATA!$N:$N,"&gt;="&amp;DATE($I$2,I$4,1),DATA!$N:$N,"&lt;="&amp;DATE($I$2,I$4,I$5))</f>
        <v/>
      </c>
      <c r="J215" s="321">
        <f>SUMIFS(DATA!$M:$M,DATA!$C:$C,$B214,DATA!$N:$N,"&gt;="&amp;DATE($I$2,J$4,1),DATA!$N:$N,"&lt;="&amp;DATE($I$2,J$4,J$5))</f>
        <v/>
      </c>
      <c r="K215" s="321">
        <f>SUMIFS(DATA!$M:$M,DATA!$C:$C,$B214,DATA!$N:$N,"&gt;="&amp;DATE($I$2,K$4,1),DATA!$N:$N,"&lt;="&amp;DATE($I$2,K$4,K$5))</f>
        <v/>
      </c>
      <c r="L215" s="321">
        <f>SUMIFS(DATA!$M:$M,DATA!$C:$C,$B214,DATA!$N:$N,"&gt;="&amp;DATE($I$2,L$4,1),DATA!$N:$N,"&lt;="&amp;DATE($I$2,L$4,L$5))</f>
        <v/>
      </c>
      <c r="M215" s="321">
        <f>SUMIFS(DATA!$M:$M,DATA!$C:$C,$B214,DATA!$N:$N,"&gt;="&amp;DATE($I$2,M$4,1),DATA!$N:$N,"&lt;="&amp;DATE($I$2,M$4,M$5))</f>
        <v/>
      </c>
      <c r="N215" s="321">
        <f>SUMIFS(DATA!$M:$M,DATA!$C:$C,$B214,DATA!$N:$N,"&gt;="&amp;DATE($I$2,N$4,1),DATA!$N:$N,"&lt;="&amp;DATE($I$2,N$4,N$5))</f>
        <v/>
      </c>
      <c r="O215" s="321">
        <f>SUMIFS(DATA!$M:$M,DATA!$C:$C,$B214,DATA!$N:$N,"&gt;="&amp;DATE($I$2,O$4,1),DATA!$N:$N,"&lt;="&amp;DATE($I$2,O$4,O$5))</f>
        <v/>
      </c>
      <c r="P215" s="322">
        <f>SUM(D215:O215)</f>
        <v/>
      </c>
      <c r="Q215" s="118" t="n"/>
    </row>
    <row r="216" hidden="1" outlineLevel="1" ht="15" customHeight="1">
      <c r="A216" s="269" t="n">
        <v>106</v>
      </c>
      <c r="B216" s="265" t="inlineStr">
        <is>
          <t>CÔNG AN TỈNH BẮC GIANG</t>
        </is>
      </c>
      <c r="C216" s="119" t="inlineStr">
        <is>
          <t>Kế hoạch</t>
        </is>
      </c>
      <c r="D216" s="321">
        <f>SUMIFS(DATA!$I:$I,DATA!$C:$C,$B216,DATA!$J:$J,"&gt;="&amp;DATE($I$2,D$4,1),DATA!$J:$J,"&lt;="&amp;DATE($I$2,D$4,D$5))</f>
        <v/>
      </c>
      <c r="E216" s="321">
        <f>SUMIFS(DATA!$I:$I,DATA!$C:$C,$B216,DATA!$J:$J,"&gt;="&amp;DATE($I$2,E$4,1),DATA!$J:$J,"&lt;="&amp;DATE($I$2,E$4,E$5))</f>
        <v/>
      </c>
      <c r="F216" s="321">
        <f>SUMIFS(DATA!$I:$I,DATA!$C:$C,$B216,DATA!$J:$J,"&gt;="&amp;DATE($I$2,F$4,1),DATA!$J:$J,"&lt;="&amp;DATE($I$2,F$4,F$5))</f>
        <v/>
      </c>
      <c r="G216" s="321">
        <f>SUMIFS(DATA!$I:$I,DATA!$C:$C,$B216,DATA!$J:$J,"&gt;="&amp;DATE($I$2,G$4,1),DATA!$J:$J,"&lt;="&amp;DATE($I$2,G$4,G$5))</f>
        <v/>
      </c>
      <c r="H216" s="321">
        <f>SUMIFS(DATA!$I:$I,DATA!$C:$C,$B216,DATA!$J:$J,"&gt;="&amp;DATE($I$2,H$4,1),DATA!$J:$J,"&lt;="&amp;DATE($I$2,H$4,H$5))</f>
        <v/>
      </c>
      <c r="I216" s="321">
        <f>SUMIFS(DATA!$I:$I,DATA!$C:$C,$B216,DATA!$J:$J,"&gt;="&amp;DATE($I$2,I$4,1),DATA!$J:$J,"&lt;="&amp;DATE($I$2,I$4,I$5))</f>
        <v/>
      </c>
      <c r="J216" s="321">
        <f>SUMIFS(DATA!$I:$I,DATA!$C:$C,$B216,DATA!$J:$J,"&gt;="&amp;DATE($I$2,J$4,1),DATA!$J:$J,"&lt;="&amp;DATE($I$2,J$4,J$5))</f>
        <v/>
      </c>
      <c r="K216" s="321">
        <f>SUMIFS(DATA!$I:$I,DATA!$C:$C,$B216,DATA!$J:$J,"&gt;="&amp;DATE($I$2,K$4,1),DATA!$J:$J,"&lt;="&amp;DATE($I$2,K$4,K$5))</f>
        <v/>
      </c>
      <c r="L216" s="321">
        <f>SUMIFS(DATA!$I:$I,DATA!$C:$C,$B216,DATA!$J:$J,"&gt;="&amp;DATE($I$2,L$4,1),DATA!$J:$J,"&lt;="&amp;DATE($I$2,L$4,L$5))</f>
        <v/>
      </c>
      <c r="M216" s="321">
        <f>SUMIFS(DATA!$I:$I,DATA!$C:$C,$B216,DATA!$J:$J,"&gt;="&amp;DATE($I$2,M$4,1),DATA!$J:$J,"&lt;="&amp;DATE($I$2,M$4,M$5))</f>
        <v/>
      </c>
      <c r="N216" s="321">
        <f>SUMIFS(DATA!$I:$I,DATA!$C:$C,$B216,DATA!$J:$J,"&gt;="&amp;DATE($I$2,N$4,1),DATA!$J:$J,"&lt;="&amp;DATE($I$2,N$4,N$5))</f>
        <v/>
      </c>
      <c r="O216" s="321">
        <f>SUMIFS(DATA!$I:$I,DATA!$C:$C,$B216,DATA!$J:$J,"&gt;="&amp;DATE($I$2,O$4,1),DATA!$J:$J,"&lt;="&amp;DATE($I$2,O$4,O$5))</f>
        <v/>
      </c>
      <c r="P216" s="322">
        <f>SUM(D216:O216)</f>
        <v/>
      </c>
      <c r="Q216" s="118" t="n"/>
    </row>
    <row r="217" hidden="1" outlineLevel="1" ht="15" customHeight="1">
      <c r="A217" s="266" t="n"/>
      <c r="B217" s="266" t="n"/>
      <c r="C217" s="119" t="inlineStr">
        <is>
          <t>Thực tế</t>
        </is>
      </c>
      <c r="D217" s="321">
        <f>SUMIFS(DATA!$M:$M,DATA!$C:$C,$B216,DATA!$N:$N,"&gt;="&amp;DATE($I$2,D$4,1),DATA!$N:$N,"&lt;="&amp;DATE($I$2,D$4,D$5))</f>
        <v/>
      </c>
      <c r="E217" s="321">
        <f>SUMIFS(DATA!$M:$M,DATA!$C:$C,$B216,DATA!$N:$N,"&gt;="&amp;DATE($I$2,E$4,1),DATA!$N:$N,"&lt;="&amp;DATE($I$2,E$4,E$5))</f>
        <v/>
      </c>
      <c r="F217" s="321">
        <f>SUMIFS(DATA!$M:$M,DATA!$C:$C,$B216,DATA!$N:$N,"&gt;="&amp;DATE($I$2,F$4,1),DATA!$N:$N,"&lt;="&amp;DATE($I$2,F$4,F$5))</f>
        <v/>
      </c>
      <c r="G217" s="321">
        <f>SUMIFS(DATA!$M:$M,DATA!$C:$C,$B216,DATA!$N:$N,"&gt;="&amp;DATE($I$2,G$4,1),DATA!$N:$N,"&lt;="&amp;DATE($I$2,G$4,G$5))</f>
        <v/>
      </c>
      <c r="H217" s="321">
        <f>SUMIFS(DATA!$M:$M,DATA!$C:$C,$B216,DATA!$N:$N,"&gt;="&amp;DATE($I$2,H$4,1),DATA!$N:$N,"&lt;="&amp;DATE($I$2,H$4,H$5))</f>
        <v/>
      </c>
      <c r="I217" s="321">
        <f>SUMIFS(DATA!$M:$M,DATA!$C:$C,$B216,DATA!$N:$N,"&gt;="&amp;DATE($I$2,I$4,1),DATA!$N:$N,"&lt;="&amp;DATE($I$2,I$4,I$5))</f>
        <v/>
      </c>
      <c r="J217" s="321">
        <f>SUMIFS(DATA!$M:$M,DATA!$C:$C,$B216,DATA!$N:$N,"&gt;="&amp;DATE($I$2,J$4,1),DATA!$N:$N,"&lt;="&amp;DATE($I$2,J$4,J$5))</f>
        <v/>
      </c>
      <c r="K217" s="321">
        <f>SUMIFS(DATA!$M:$M,DATA!$C:$C,$B216,DATA!$N:$N,"&gt;="&amp;DATE($I$2,K$4,1),DATA!$N:$N,"&lt;="&amp;DATE($I$2,K$4,K$5))</f>
        <v/>
      </c>
      <c r="L217" s="321">
        <f>SUMIFS(DATA!$M:$M,DATA!$C:$C,$B216,DATA!$N:$N,"&gt;="&amp;DATE($I$2,L$4,1),DATA!$N:$N,"&lt;="&amp;DATE($I$2,L$4,L$5))</f>
        <v/>
      </c>
      <c r="M217" s="321">
        <f>SUMIFS(DATA!$M:$M,DATA!$C:$C,$B216,DATA!$N:$N,"&gt;="&amp;DATE($I$2,M$4,1),DATA!$N:$N,"&lt;="&amp;DATE($I$2,M$4,M$5))</f>
        <v/>
      </c>
      <c r="N217" s="321">
        <f>SUMIFS(DATA!$M:$M,DATA!$C:$C,$B216,DATA!$N:$N,"&gt;="&amp;DATE($I$2,N$4,1),DATA!$N:$N,"&lt;="&amp;DATE($I$2,N$4,N$5))</f>
        <v/>
      </c>
      <c r="O217" s="321">
        <f>SUMIFS(DATA!$M:$M,DATA!$C:$C,$B216,DATA!$N:$N,"&gt;="&amp;DATE($I$2,O$4,1),DATA!$N:$N,"&lt;="&amp;DATE($I$2,O$4,O$5))</f>
        <v/>
      </c>
      <c r="P217" s="322">
        <f>SUM(D217:O217)</f>
        <v/>
      </c>
      <c r="Q217" s="118" t="n"/>
    </row>
    <row r="218" hidden="1" outlineLevel="1" ht="15" customHeight="1">
      <c r="A218" s="269" t="n">
        <v>107</v>
      </c>
      <c r="B218" s="265" t="inlineStr">
        <is>
          <t>GOLDSUN PACKAGING</t>
        </is>
      </c>
      <c r="C218" s="119" t="inlineStr">
        <is>
          <t>Kế hoạch</t>
        </is>
      </c>
      <c r="D218" s="321">
        <f>SUMIFS(DATA!$I:$I,DATA!$C:$C,$B218,DATA!$J:$J,"&gt;="&amp;DATE($I$2,D$4,1),DATA!$J:$J,"&lt;="&amp;DATE($I$2,D$4,D$5))</f>
        <v/>
      </c>
      <c r="E218" s="321">
        <f>SUMIFS(DATA!$I:$I,DATA!$C:$C,$B218,DATA!$J:$J,"&gt;="&amp;DATE($I$2,E$4,1),DATA!$J:$J,"&lt;="&amp;DATE($I$2,E$4,E$5))</f>
        <v/>
      </c>
      <c r="F218" s="321">
        <f>SUMIFS(DATA!$I:$I,DATA!$C:$C,$B218,DATA!$J:$J,"&gt;="&amp;DATE($I$2,F$4,1),DATA!$J:$J,"&lt;="&amp;DATE($I$2,F$4,F$5))</f>
        <v/>
      </c>
      <c r="G218" s="321">
        <f>SUMIFS(DATA!$I:$I,DATA!$C:$C,$B218,DATA!$J:$J,"&gt;="&amp;DATE($I$2,G$4,1),DATA!$J:$J,"&lt;="&amp;DATE($I$2,G$4,G$5))</f>
        <v/>
      </c>
      <c r="H218" s="321">
        <f>SUMIFS(DATA!$I:$I,DATA!$C:$C,$B218,DATA!$J:$J,"&gt;="&amp;DATE($I$2,H$4,1),DATA!$J:$J,"&lt;="&amp;DATE($I$2,H$4,H$5))</f>
        <v/>
      </c>
      <c r="I218" s="321">
        <f>SUMIFS(DATA!$I:$I,DATA!$C:$C,$B218,DATA!$J:$J,"&gt;="&amp;DATE($I$2,I$4,1),DATA!$J:$J,"&lt;="&amp;DATE($I$2,I$4,I$5))</f>
        <v/>
      </c>
      <c r="J218" s="321">
        <f>SUMIFS(DATA!$I:$I,DATA!$C:$C,$B218,DATA!$J:$J,"&gt;="&amp;DATE($I$2,J$4,1),DATA!$J:$J,"&lt;="&amp;DATE($I$2,J$4,J$5))</f>
        <v/>
      </c>
      <c r="K218" s="321">
        <f>SUMIFS(DATA!$I:$I,DATA!$C:$C,$B218,DATA!$J:$J,"&gt;="&amp;DATE($I$2,K$4,1),DATA!$J:$J,"&lt;="&amp;DATE($I$2,K$4,K$5))</f>
        <v/>
      </c>
      <c r="L218" s="321">
        <f>SUMIFS(DATA!$I:$I,DATA!$C:$C,$B218,DATA!$J:$J,"&gt;="&amp;DATE($I$2,L$4,1),DATA!$J:$J,"&lt;="&amp;DATE($I$2,L$4,L$5))</f>
        <v/>
      </c>
      <c r="M218" s="321">
        <f>SUMIFS(DATA!$I:$I,DATA!$C:$C,$B218,DATA!$J:$J,"&gt;="&amp;DATE($I$2,M$4,1),DATA!$J:$J,"&lt;="&amp;DATE($I$2,M$4,M$5))</f>
        <v/>
      </c>
      <c r="N218" s="321">
        <f>SUMIFS(DATA!$I:$I,DATA!$C:$C,$B218,DATA!$J:$J,"&gt;="&amp;DATE($I$2,N$4,1),DATA!$J:$J,"&lt;="&amp;DATE($I$2,N$4,N$5))</f>
        <v/>
      </c>
      <c r="O218" s="321">
        <f>SUMIFS(DATA!$I:$I,DATA!$C:$C,$B218,DATA!$J:$J,"&gt;="&amp;DATE($I$2,O$4,1),DATA!$J:$J,"&lt;="&amp;DATE($I$2,O$4,O$5))</f>
        <v/>
      </c>
      <c r="P218" s="322">
        <f>SUM(D218:O218)</f>
        <v/>
      </c>
      <c r="Q218" s="118" t="n"/>
    </row>
    <row r="219" hidden="1" outlineLevel="1" ht="15" customHeight="1">
      <c r="A219" s="266" t="n"/>
      <c r="B219" s="266" t="n"/>
      <c r="C219" s="119" t="inlineStr">
        <is>
          <t>Thực tế</t>
        </is>
      </c>
      <c r="D219" s="321">
        <f>SUMIFS(DATA!$M:$M,DATA!$C:$C,$B218,DATA!$N:$N,"&gt;="&amp;DATE($I$2,D$4,1),DATA!$N:$N,"&lt;="&amp;DATE($I$2,D$4,D$5))</f>
        <v/>
      </c>
      <c r="E219" s="321">
        <f>SUMIFS(DATA!$M:$M,DATA!$C:$C,$B218,DATA!$N:$N,"&gt;="&amp;DATE($I$2,E$4,1),DATA!$N:$N,"&lt;="&amp;DATE($I$2,E$4,E$5))</f>
        <v/>
      </c>
      <c r="F219" s="321">
        <f>SUMIFS(DATA!$M:$M,DATA!$C:$C,$B218,DATA!$N:$N,"&gt;="&amp;DATE($I$2,F$4,1),DATA!$N:$N,"&lt;="&amp;DATE($I$2,F$4,F$5))</f>
        <v/>
      </c>
      <c r="G219" s="321">
        <f>SUMIFS(DATA!$M:$M,DATA!$C:$C,$B218,DATA!$N:$N,"&gt;="&amp;DATE($I$2,G$4,1),DATA!$N:$N,"&lt;="&amp;DATE($I$2,G$4,G$5))</f>
        <v/>
      </c>
      <c r="H219" s="321">
        <f>SUMIFS(DATA!$M:$M,DATA!$C:$C,$B218,DATA!$N:$N,"&gt;="&amp;DATE($I$2,H$4,1),DATA!$N:$N,"&lt;="&amp;DATE($I$2,H$4,H$5))</f>
        <v/>
      </c>
      <c r="I219" s="321">
        <f>SUMIFS(DATA!$M:$M,DATA!$C:$C,$B218,DATA!$N:$N,"&gt;="&amp;DATE($I$2,I$4,1),DATA!$N:$N,"&lt;="&amp;DATE($I$2,I$4,I$5))</f>
        <v/>
      </c>
      <c r="J219" s="321">
        <f>SUMIFS(DATA!$M:$M,DATA!$C:$C,$B218,DATA!$N:$N,"&gt;="&amp;DATE($I$2,J$4,1),DATA!$N:$N,"&lt;="&amp;DATE($I$2,J$4,J$5))</f>
        <v/>
      </c>
      <c r="K219" s="321">
        <f>SUMIFS(DATA!$M:$M,DATA!$C:$C,$B218,DATA!$N:$N,"&gt;="&amp;DATE($I$2,K$4,1),DATA!$N:$N,"&lt;="&amp;DATE($I$2,K$4,K$5))</f>
        <v/>
      </c>
      <c r="L219" s="321">
        <f>SUMIFS(DATA!$M:$M,DATA!$C:$C,$B218,DATA!$N:$N,"&gt;="&amp;DATE($I$2,L$4,1),DATA!$N:$N,"&lt;="&amp;DATE($I$2,L$4,L$5))</f>
        <v/>
      </c>
      <c r="M219" s="321">
        <f>SUMIFS(DATA!$M:$M,DATA!$C:$C,$B218,DATA!$N:$N,"&gt;="&amp;DATE($I$2,M$4,1),DATA!$N:$N,"&lt;="&amp;DATE($I$2,M$4,M$5))</f>
        <v/>
      </c>
      <c r="N219" s="321">
        <f>SUMIFS(DATA!$M:$M,DATA!$C:$C,$B218,DATA!$N:$N,"&gt;="&amp;DATE($I$2,N$4,1),DATA!$N:$N,"&lt;="&amp;DATE($I$2,N$4,N$5))</f>
        <v/>
      </c>
      <c r="O219" s="321">
        <f>SUMIFS(DATA!$M:$M,DATA!$C:$C,$B218,DATA!$N:$N,"&gt;="&amp;DATE($I$2,O$4,1),DATA!$N:$N,"&lt;="&amp;DATE($I$2,O$4,O$5))</f>
        <v/>
      </c>
      <c r="P219" s="322">
        <f>SUM(D219:O219)</f>
        <v/>
      </c>
      <c r="Q219" s="118" t="n"/>
    </row>
    <row r="220" hidden="1" outlineLevel="1" ht="15" customHeight="1">
      <c r="A220" s="269" t="n">
        <v>108</v>
      </c>
      <c r="B220" s="265" t="inlineStr">
        <is>
          <t>GOLD SEASON</t>
        </is>
      </c>
      <c r="C220" s="119" t="inlineStr">
        <is>
          <t>Kế hoạch</t>
        </is>
      </c>
      <c r="D220" s="321">
        <f>SUMIFS(DATA!$I:$I,DATA!$C:$C,$B220,DATA!$J:$J,"&gt;="&amp;DATE($I$2,D$4,1),DATA!$J:$J,"&lt;="&amp;DATE($I$2,D$4,D$5))</f>
        <v/>
      </c>
      <c r="E220" s="321">
        <f>SUMIFS(DATA!$I:$I,DATA!$C:$C,$B220,DATA!$J:$J,"&gt;="&amp;DATE($I$2,E$4,1),DATA!$J:$J,"&lt;="&amp;DATE($I$2,E$4,E$5))</f>
        <v/>
      </c>
      <c r="F220" s="321">
        <f>SUMIFS(DATA!$I:$I,DATA!$C:$C,$B220,DATA!$J:$J,"&gt;="&amp;DATE($I$2,F$4,1),DATA!$J:$J,"&lt;="&amp;DATE($I$2,F$4,F$5))</f>
        <v/>
      </c>
      <c r="G220" s="321">
        <f>SUMIFS(DATA!$I:$I,DATA!$C:$C,$B220,DATA!$J:$J,"&gt;="&amp;DATE($I$2,G$4,1),DATA!$J:$J,"&lt;="&amp;DATE($I$2,G$4,G$5))</f>
        <v/>
      </c>
      <c r="H220" s="321">
        <f>SUMIFS(DATA!$I:$I,DATA!$C:$C,$B220,DATA!$J:$J,"&gt;="&amp;DATE($I$2,H$4,1),DATA!$J:$J,"&lt;="&amp;DATE($I$2,H$4,H$5))</f>
        <v/>
      </c>
      <c r="I220" s="321">
        <f>SUMIFS(DATA!$I:$I,DATA!$C:$C,$B220,DATA!$J:$J,"&gt;="&amp;DATE($I$2,I$4,1),DATA!$J:$J,"&lt;="&amp;DATE($I$2,I$4,I$5))</f>
        <v/>
      </c>
      <c r="J220" s="321">
        <f>SUMIFS(DATA!$I:$I,DATA!$C:$C,$B220,DATA!$J:$J,"&gt;="&amp;DATE($I$2,J$4,1),DATA!$J:$J,"&lt;="&amp;DATE($I$2,J$4,J$5))</f>
        <v/>
      </c>
      <c r="K220" s="321">
        <f>SUMIFS(DATA!$I:$I,DATA!$C:$C,$B220,DATA!$J:$J,"&gt;="&amp;DATE($I$2,K$4,1),DATA!$J:$J,"&lt;="&amp;DATE($I$2,K$4,K$5))</f>
        <v/>
      </c>
      <c r="L220" s="321">
        <f>SUMIFS(DATA!$I:$I,DATA!$C:$C,$B220,DATA!$J:$J,"&gt;="&amp;DATE($I$2,L$4,1),DATA!$J:$J,"&lt;="&amp;DATE($I$2,L$4,L$5))</f>
        <v/>
      </c>
      <c r="M220" s="321">
        <f>SUMIFS(DATA!$I:$I,DATA!$C:$C,$B220,DATA!$J:$J,"&gt;="&amp;DATE($I$2,M$4,1),DATA!$J:$J,"&lt;="&amp;DATE($I$2,M$4,M$5))</f>
        <v/>
      </c>
      <c r="N220" s="321">
        <f>SUMIFS(DATA!$I:$I,DATA!$C:$C,$B220,DATA!$J:$J,"&gt;="&amp;DATE($I$2,N$4,1),DATA!$J:$J,"&lt;="&amp;DATE($I$2,N$4,N$5))</f>
        <v/>
      </c>
      <c r="O220" s="321">
        <f>SUMIFS(DATA!$I:$I,DATA!$C:$C,$B220,DATA!$J:$J,"&gt;="&amp;DATE($I$2,O$4,1),DATA!$J:$J,"&lt;="&amp;DATE($I$2,O$4,O$5))</f>
        <v/>
      </c>
      <c r="P220" s="322">
        <f>SUM(D220:O220)</f>
        <v/>
      </c>
      <c r="Q220" s="118" t="n"/>
    </row>
    <row r="221" hidden="1" outlineLevel="1" ht="15" customHeight="1">
      <c r="A221" s="266" t="n"/>
      <c r="B221" s="266" t="n"/>
      <c r="C221" s="119" t="inlineStr">
        <is>
          <t>Thực tế</t>
        </is>
      </c>
      <c r="D221" s="321">
        <f>SUMIFS(DATA!$M:$M,DATA!$C:$C,$B220,DATA!$N:$N,"&gt;="&amp;DATE($I$2,D$4,1),DATA!$N:$N,"&lt;="&amp;DATE($I$2,D$4,D$5))</f>
        <v/>
      </c>
      <c r="E221" s="321">
        <f>SUMIFS(DATA!$M:$M,DATA!$C:$C,$B220,DATA!$N:$N,"&gt;="&amp;DATE($I$2,E$4,1),DATA!$N:$N,"&lt;="&amp;DATE($I$2,E$4,E$5))</f>
        <v/>
      </c>
      <c r="F221" s="321">
        <f>SUMIFS(DATA!$M:$M,DATA!$C:$C,$B220,DATA!$N:$N,"&gt;="&amp;DATE($I$2,F$4,1),DATA!$N:$N,"&lt;="&amp;DATE($I$2,F$4,F$5))</f>
        <v/>
      </c>
      <c r="G221" s="321">
        <f>SUMIFS(DATA!$M:$M,DATA!$C:$C,$B220,DATA!$N:$N,"&gt;="&amp;DATE($I$2,G$4,1),DATA!$N:$N,"&lt;="&amp;DATE($I$2,G$4,G$5))</f>
        <v/>
      </c>
      <c r="H221" s="321">
        <f>SUMIFS(DATA!$M:$M,DATA!$C:$C,$B220,DATA!$N:$N,"&gt;="&amp;DATE($I$2,H$4,1),DATA!$N:$N,"&lt;="&amp;DATE($I$2,H$4,H$5))</f>
        <v/>
      </c>
      <c r="I221" s="321">
        <f>SUMIFS(DATA!$M:$M,DATA!$C:$C,$B220,DATA!$N:$N,"&gt;="&amp;DATE($I$2,I$4,1),DATA!$N:$N,"&lt;="&amp;DATE($I$2,I$4,I$5))</f>
        <v/>
      </c>
      <c r="J221" s="321">
        <f>SUMIFS(DATA!$M:$M,DATA!$C:$C,$B220,DATA!$N:$N,"&gt;="&amp;DATE($I$2,J$4,1),DATA!$N:$N,"&lt;="&amp;DATE($I$2,J$4,J$5))</f>
        <v/>
      </c>
      <c r="K221" s="321">
        <f>SUMIFS(DATA!$M:$M,DATA!$C:$C,$B220,DATA!$N:$N,"&gt;="&amp;DATE($I$2,K$4,1),DATA!$N:$N,"&lt;="&amp;DATE($I$2,K$4,K$5))</f>
        <v/>
      </c>
      <c r="L221" s="321">
        <f>SUMIFS(DATA!$M:$M,DATA!$C:$C,$B220,DATA!$N:$N,"&gt;="&amp;DATE($I$2,L$4,1),DATA!$N:$N,"&lt;="&amp;DATE($I$2,L$4,L$5))</f>
        <v/>
      </c>
      <c r="M221" s="321">
        <f>SUMIFS(DATA!$M:$M,DATA!$C:$C,$B220,DATA!$N:$N,"&gt;="&amp;DATE($I$2,M$4,1),DATA!$N:$N,"&lt;="&amp;DATE($I$2,M$4,M$5))</f>
        <v/>
      </c>
      <c r="N221" s="321">
        <f>SUMIFS(DATA!$M:$M,DATA!$C:$C,$B220,DATA!$N:$N,"&gt;="&amp;DATE($I$2,N$4,1),DATA!$N:$N,"&lt;="&amp;DATE($I$2,N$4,N$5))</f>
        <v/>
      </c>
      <c r="O221" s="321">
        <f>SUMIFS(DATA!$M:$M,DATA!$C:$C,$B220,DATA!$N:$N,"&gt;="&amp;DATE($I$2,O$4,1),DATA!$N:$N,"&lt;="&amp;DATE($I$2,O$4,O$5))</f>
        <v/>
      </c>
      <c r="P221" s="322">
        <f>SUM(D221:O221)</f>
        <v/>
      </c>
      <c r="Q221" s="118" t="n"/>
    </row>
    <row r="222" hidden="1" outlineLevel="1" ht="15" customHeight="1">
      <c r="A222" s="269" t="n">
        <v>109</v>
      </c>
      <c r="B222" s="265" t="inlineStr">
        <is>
          <t>VALENCIA GARDEN</t>
        </is>
      </c>
      <c r="C222" s="119" t="inlineStr">
        <is>
          <t>Kế hoạch</t>
        </is>
      </c>
      <c r="D222" s="321">
        <f>SUMIFS(DATA!$I:$I,DATA!$C:$C,$B222,DATA!$J:$J,"&gt;="&amp;DATE($I$2,D$4,1),DATA!$J:$J,"&lt;="&amp;DATE($I$2,D$4,D$5))</f>
        <v/>
      </c>
      <c r="E222" s="321">
        <f>SUMIFS(DATA!$I:$I,DATA!$C:$C,$B222,DATA!$J:$J,"&gt;="&amp;DATE($I$2,E$4,1),DATA!$J:$J,"&lt;="&amp;DATE($I$2,E$4,E$5))</f>
        <v/>
      </c>
      <c r="F222" s="321">
        <f>SUMIFS(DATA!$I:$I,DATA!$C:$C,$B222,DATA!$J:$J,"&gt;="&amp;DATE($I$2,F$4,1),DATA!$J:$J,"&lt;="&amp;DATE($I$2,F$4,F$5))</f>
        <v/>
      </c>
      <c r="G222" s="321">
        <f>SUMIFS(DATA!$I:$I,DATA!$C:$C,$B222,DATA!$J:$J,"&gt;="&amp;DATE($I$2,G$4,1),DATA!$J:$J,"&lt;="&amp;DATE($I$2,G$4,G$5))</f>
        <v/>
      </c>
      <c r="H222" s="321">
        <f>SUMIFS(DATA!$I:$I,DATA!$C:$C,$B222,DATA!$J:$J,"&gt;="&amp;DATE($I$2,H$4,1),DATA!$J:$J,"&lt;="&amp;DATE($I$2,H$4,H$5))</f>
        <v/>
      </c>
      <c r="I222" s="321">
        <f>SUMIFS(DATA!$I:$I,DATA!$C:$C,$B222,DATA!$J:$J,"&gt;="&amp;DATE($I$2,I$4,1),DATA!$J:$J,"&lt;="&amp;DATE($I$2,I$4,I$5))</f>
        <v/>
      </c>
      <c r="J222" s="321">
        <f>SUMIFS(DATA!$I:$I,DATA!$C:$C,$B222,DATA!$J:$J,"&gt;="&amp;DATE($I$2,J$4,1),DATA!$J:$J,"&lt;="&amp;DATE($I$2,J$4,J$5))</f>
        <v/>
      </c>
      <c r="K222" s="321">
        <f>SUMIFS(DATA!$I:$I,DATA!$C:$C,$B222,DATA!$J:$J,"&gt;="&amp;DATE($I$2,K$4,1),DATA!$J:$J,"&lt;="&amp;DATE($I$2,K$4,K$5))</f>
        <v/>
      </c>
      <c r="L222" s="321">
        <f>SUMIFS(DATA!$I:$I,DATA!$C:$C,$B222,DATA!$J:$J,"&gt;="&amp;DATE($I$2,L$4,1),DATA!$J:$J,"&lt;="&amp;DATE($I$2,L$4,L$5))</f>
        <v/>
      </c>
      <c r="M222" s="321">
        <f>SUMIFS(DATA!$I:$I,DATA!$C:$C,$B222,DATA!$J:$J,"&gt;="&amp;DATE($I$2,M$4,1),DATA!$J:$J,"&lt;="&amp;DATE($I$2,M$4,M$5))</f>
        <v/>
      </c>
      <c r="N222" s="321">
        <f>SUMIFS(DATA!$I:$I,DATA!$C:$C,$B222,DATA!$J:$J,"&gt;="&amp;DATE($I$2,N$4,1),DATA!$J:$J,"&lt;="&amp;DATE($I$2,N$4,N$5))</f>
        <v/>
      </c>
      <c r="O222" s="321">
        <f>SUMIFS(DATA!$I:$I,DATA!$C:$C,$B222,DATA!$J:$J,"&gt;="&amp;DATE($I$2,O$4,1),DATA!$J:$J,"&lt;="&amp;DATE($I$2,O$4,O$5))</f>
        <v/>
      </c>
      <c r="P222" s="322">
        <f>SUM(D222:O222)</f>
        <v/>
      </c>
      <c r="Q222" s="118" t="n"/>
    </row>
    <row r="223" hidden="1" outlineLevel="1" ht="15" customHeight="1">
      <c r="A223" s="266" t="n"/>
      <c r="B223" s="266" t="n"/>
      <c r="C223" s="119" t="inlineStr">
        <is>
          <t>Thực tế</t>
        </is>
      </c>
      <c r="D223" s="321">
        <f>SUMIFS(DATA!$M:$M,DATA!$C:$C,$B222,DATA!$N:$N,"&gt;="&amp;DATE($I$2,D$4,1),DATA!$N:$N,"&lt;="&amp;DATE($I$2,D$4,D$5))</f>
        <v/>
      </c>
      <c r="E223" s="321">
        <f>SUMIFS(DATA!$M:$M,DATA!$C:$C,$B222,DATA!$N:$N,"&gt;="&amp;DATE($I$2,E$4,1),DATA!$N:$N,"&lt;="&amp;DATE($I$2,E$4,E$5))</f>
        <v/>
      </c>
      <c r="F223" s="321">
        <f>SUMIFS(DATA!$M:$M,DATA!$C:$C,$B222,DATA!$N:$N,"&gt;="&amp;DATE($I$2,F$4,1),DATA!$N:$N,"&lt;="&amp;DATE($I$2,F$4,F$5))</f>
        <v/>
      </c>
      <c r="G223" s="321">
        <f>SUMIFS(DATA!$M:$M,DATA!$C:$C,$B222,DATA!$N:$N,"&gt;="&amp;DATE($I$2,G$4,1),DATA!$N:$N,"&lt;="&amp;DATE($I$2,G$4,G$5))</f>
        <v/>
      </c>
      <c r="H223" s="321">
        <f>SUMIFS(DATA!$M:$M,DATA!$C:$C,$B222,DATA!$N:$N,"&gt;="&amp;DATE($I$2,H$4,1),DATA!$N:$N,"&lt;="&amp;DATE($I$2,H$4,H$5))</f>
        <v/>
      </c>
      <c r="I223" s="321">
        <f>SUMIFS(DATA!$M:$M,DATA!$C:$C,$B222,DATA!$N:$N,"&gt;="&amp;DATE($I$2,I$4,1),DATA!$N:$N,"&lt;="&amp;DATE($I$2,I$4,I$5))</f>
        <v/>
      </c>
      <c r="J223" s="321">
        <f>SUMIFS(DATA!$M:$M,DATA!$C:$C,$B222,DATA!$N:$N,"&gt;="&amp;DATE($I$2,J$4,1),DATA!$N:$N,"&lt;="&amp;DATE($I$2,J$4,J$5))</f>
        <v/>
      </c>
      <c r="K223" s="321">
        <f>SUMIFS(DATA!$M:$M,DATA!$C:$C,$B222,DATA!$N:$N,"&gt;="&amp;DATE($I$2,K$4,1),DATA!$N:$N,"&lt;="&amp;DATE($I$2,K$4,K$5))</f>
        <v/>
      </c>
      <c r="L223" s="321">
        <f>SUMIFS(DATA!$M:$M,DATA!$C:$C,$B222,DATA!$N:$N,"&gt;="&amp;DATE($I$2,L$4,1),DATA!$N:$N,"&lt;="&amp;DATE($I$2,L$4,L$5))</f>
        <v/>
      </c>
      <c r="M223" s="321">
        <f>SUMIFS(DATA!$M:$M,DATA!$C:$C,$B222,DATA!$N:$N,"&gt;="&amp;DATE($I$2,M$4,1),DATA!$N:$N,"&lt;="&amp;DATE($I$2,M$4,M$5))</f>
        <v/>
      </c>
      <c r="N223" s="321">
        <f>SUMIFS(DATA!$M:$M,DATA!$C:$C,$B222,DATA!$N:$N,"&gt;="&amp;DATE($I$2,N$4,1),DATA!$N:$N,"&lt;="&amp;DATE($I$2,N$4,N$5))</f>
        <v/>
      </c>
      <c r="O223" s="321">
        <f>SUMIFS(DATA!$M:$M,DATA!$C:$C,$B222,DATA!$N:$N,"&gt;="&amp;DATE($I$2,O$4,1),DATA!$N:$N,"&lt;="&amp;DATE($I$2,O$4,O$5))</f>
        <v/>
      </c>
      <c r="P223" s="322">
        <f>SUM(D223:O223)</f>
        <v/>
      </c>
      <c r="Q223" s="118" t="n"/>
    </row>
    <row r="224" hidden="1" outlineLevel="1" ht="15" customHeight="1">
      <c r="A224" s="269" t="n">
        <v>110</v>
      </c>
      <c r="B224" s="265" t="inlineStr">
        <is>
          <t>THE LEGEND</t>
        </is>
      </c>
      <c r="C224" s="119" t="inlineStr">
        <is>
          <t>Kế hoạch</t>
        </is>
      </c>
      <c r="D224" s="321">
        <f>SUMIFS(DATA!$I:$I,DATA!$C:$C,$B224,DATA!$J:$J,"&gt;="&amp;DATE($I$2,D$4,1),DATA!$J:$J,"&lt;="&amp;DATE($I$2,D$4,D$5))</f>
        <v/>
      </c>
      <c r="E224" s="321">
        <f>SUMIFS(DATA!$I:$I,DATA!$C:$C,$B224,DATA!$J:$J,"&gt;="&amp;DATE($I$2,E$4,1),DATA!$J:$J,"&lt;="&amp;DATE($I$2,E$4,E$5))</f>
        <v/>
      </c>
      <c r="F224" s="321">
        <f>SUMIFS(DATA!$I:$I,DATA!$C:$C,$B224,DATA!$J:$J,"&gt;="&amp;DATE($I$2,F$4,1),DATA!$J:$J,"&lt;="&amp;DATE($I$2,F$4,F$5))</f>
        <v/>
      </c>
      <c r="G224" s="321">
        <f>SUMIFS(DATA!$I:$I,DATA!$C:$C,$B224,DATA!$J:$J,"&gt;="&amp;DATE($I$2,G$4,1),DATA!$J:$J,"&lt;="&amp;DATE($I$2,G$4,G$5))</f>
        <v/>
      </c>
      <c r="H224" s="321">
        <f>SUMIFS(DATA!$I:$I,DATA!$C:$C,$B224,DATA!$J:$J,"&gt;="&amp;DATE($I$2,H$4,1),DATA!$J:$J,"&lt;="&amp;DATE($I$2,H$4,H$5))</f>
        <v/>
      </c>
      <c r="I224" s="321">
        <f>SUMIFS(DATA!$I:$I,DATA!$C:$C,$B224,DATA!$J:$J,"&gt;="&amp;DATE($I$2,I$4,1),DATA!$J:$J,"&lt;="&amp;DATE($I$2,I$4,I$5))</f>
        <v/>
      </c>
      <c r="J224" s="321">
        <f>SUMIFS(DATA!$I:$I,DATA!$C:$C,$B224,DATA!$J:$J,"&gt;="&amp;DATE($I$2,J$4,1),DATA!$J:$J,"&lt;="&amp;DATE($I$2,J$4,J$5))</f>
        <v/>
      </c>
      <c r="K224" s="321">
        <f>SUMIFS(DATA!$I:$I,DATA!$C:$C,$B224,DATA!$J:$J,"&gt;="&amp;DATE($I$2,K$4,1),DATA!$J:$J,"&lt;="&amp;DATE($I$2,K$4,K$5))</f>
        <v/>
      </c>
      <c r="L224" s="321">
        <f>SUMIFS(DATA!$I:$I,DATA!$C:$C,$B224,DATA!$J:$J,"&gt;="&amp;DATE($I$2,L$4,1),DATA!$J:$J,"&lt;="&amp;DATE($I$2,L$4,L$5))</f>
        <v/>
      </c>
      <c r="M224" s="321">
        <f>SUMIFS(DATA!$I:$I,DATA!$C:$C,$B224,DATA!$J:$J,"&gt;="&amp;DATE($I$2,M$4,1),DATA!$J:$J,"&lt;="&amp;DATE($I$2,M$4,M$5))</f>
        <v/>
      </c>
      <c r="N224" s="321">
        <f>SUMIFS(DATA!$I:$I,DATA!$C:$C,$B224,DATA!$J:$J,"&gt;="&amp;DATE($I$2,N$4,1),DATA!$J:$J,"&lt;="&amp;DATE($I$2,N$4,N$5))</f>
        <v/>
      </c>
      <c r="O224" s="321">
        <f>SUMIFS(DATA!$I:$I,DATA!$C:$C,$B224,DATA!$J:$J,"&gt;="&amp;DATE($I$2,O$4,1),DATA!$J:$J,"&lt;="&amp;DATE($I$2,O$4,O$5))</f>
        <v/>
      </c>
      <c r="P224" s="322">
        <f>SUM(D224:O224)</f>
        <v/>
      </c>
      <c r="Q224" s="118" t="n"/>
    </row>
    <row r="225" hidden="1" outlineLevel="1" ht="15" customHeight="1">
      <c r="A225" s="266" t="n"/>
      <c r="B225" s="266" t="n"/>
      <c r="C225" s="119" t="inlineStr">
        <is>
          <t>Thực tế</t>
        </is>
      </c>
      <c r="D225" s="321">
        <f>SUMIFS(DATA!$M:$M,DATA!$C:$C,$B224,DATA!$N:$N,"&gt;="&amp;DATE($I$2,D$4,1),DATA!$N:$N,"&lt;="&amp;DATE($I$2,D$4,D$5))</f>
        <v/>
      </c>
      <c r="E225" s="321">
        <f>SUMIFS(DATA!$M:$M,DATA!$C:$C,$B224,DATA!$N:$N,"&gt;="&amp;DATE($I$2,E$4,1),DATA!$N:$N,"&lt;="&amp;DATE($I$2,E$4,E$5))</f>
        <v/>
      </c>
      <c r="F225" s="321">
        <f>SUMIFS(DATA!$M:$M,DATA!$C:$C,$B224,DATA!$N:$N,"&gt;="&amp;DATE($I$2,F$4,1),DATA!$N:$N,"&lt;="&amp;DATE($I$2,F$4,F$5))</f>
        <v/>
      </c>
      <c r="G225" s="321">
        <f>SUMIFS(DATA!$M:$M,DATA!$C:$C,$B224,DATA!$N:$N,"&gt;="&amp;DATE($I$2,G$4,1),DATA!$N:$N,"&lt;="&amp;DATE($I$2,G$4,G$5))</f>
        <v/>
      </c>
      <c r="H225" s="321">
        <f>SUMIFS(DATA!$M:$M,DATA!$C:$C,$B224,DATA!$N:$N,"&gt;="&amp;DATE($I$2,H$4,1),DATA!$N:$N,"&lt;="&amp;DATE($I$2,H$4,H$5))</f>
        <v/>
      </c>
      <c r="I225" s="321">
        <f>SUMIFS(DATA!$M:$M,DATA!$C:$C,$B224,DATA!$N:$N,"&gt;="&amp;DATE($I$2,I$4,1),DATA!$N:$N,"&lt;="&amp;DATE($I$2,I$4,I$5))</f>
        <v/>
      </c>
      <c r="J225" s="321">
        <f>SUMIFS(DATA!$M:$M,DATA!$C:$C,$B224,DATA!$N:$N,"&gt;="&amp;DATE($I$2,J$4,1),DATA!$N:$N,"&lt;="&amp;DATE($I$2,J$4,J$5))</f>
        <v/>
      </c>
      <c r="K225" s="321">
        <f>SUMIFS(DATA!$M:$M,DATA!$C:$C,$B224,DATA!$N:$N,"&gt;="&amp;DATE($I$2,K$4,1),DATA!$N:$N,"&lt;="&amp;DATE($I$2,K$4,K$5))</f>
        <v/>
      </c>
      <c r="L225" s="321">
        <f>SUMIFS(DATA!$M:$M,DATA!$C:$C,$B224,DATA!$N:$N,"&gt;="&amp;DATE($I$2,L$4,1),DATA!$N:$N,"&lt;="&amp;DATE($I$2,L$4,L$5))</f>
        <v/>
      </c>
      <c r="M225" s="321">
        <f>SUMIFS(DATA!$M:$M,DATA!$C:$C,$B224,DATA!$N:$N,"&gt;="&amp;DATE($I$2,M$4,1),DATA!$N:$N,"&lt;="&amp;DATE($I$2,M$4,M$5))</f>
        <v/>
      </c>
      <c r="N225" s="321">
        <f>SUMIFS(DATA!$M:$M,DATA!$C:$C,$B224,DATA!$N:$N,"&gt;="&amp;DATE($I$2,N$4,1),DATA!$N:$N,"&lt;="&amp;DATE($I$2,N$4,N$5))</f>
        <v/>
      </c>
      <c r="O225" s="321">
        <f>SUMIFS(DATA!$M:$M,DATA!$C:$C,$B224,DATA!$N:$N,"&gt;="&amp;DATE($I$2,O$4,1),DATA!$N:$N,"&lt;="&amp;DATE($I$2,O$4,O$5))</f>
        <v/>
      </c>
      <c r="P225" s="322">
        <f>SUM(D225:O225)</f>
        <v/>
      </c>
      <c r="Q225" s="118" t="n"/>
    </row>
    <row r="226" hidden="1" outlineLevel="1" ht="15" customHeight="1">
      <c r="A226" s="269" t="n">
        <v>111</v>
      </c>
      <c r="B226" s="265" t="inlineStr">
        <is>
          <t>TRƯỜNG ĐẠI HỌC KINH TẾ QUỐC DÂN</t>
        </is>
      </c>
      <c r="C226" s="119" t="inlineStr">
        <is>
          <t>Kế hoạch</t>
        </is>
      </c>
      <c r="D226" s="321">
        <f>SUMIFS(DATA!$I:$I,DATA!$C:$C,$B226,DATA!$J:$J,"&gt;="&amp;DATE($I$2,D$4,1),DATA!$J:$J,"&lt;="&amp;DATE($I$2,D$4,D$5))</f>
        <v/>
      </c>
      <c r="E226" s="321">
        <f>SUMIFS(DATA!$I:$I,DATA!$C:$C,$B226,DATA!$J:$J,"&gt;="&amp;DATE($I$2,E$4,1),DATA!$J:$J,"&lt;="&amp;DATE($I$2,E$4,E$5))</f>
        <v/>
      </c>
      <c r="F226" s="321">
        <f>SUMIFS(DATA!$I:$I,DATA!$C:$C,$B226,DATA!$J:$J,"&gt;="&amp;DATE($I$2,F$4,1),DATA!$J:$J,"&lt;="&amp;DATE($I$2,F$4,F$5))</f>
        <v/>
      </c>
      <c r="G226" s="321">
        <f>SUMIFS(DATA!$I:$I,DATA!$C:$C,$B226,DATA!$J:$J,"&gt;="&amp;DATE($I$2,G$4,1),DATA!$J:$J,"&lt;="&amp;DATE($I$2,G$4,G$5))</f>
        <v/>
      </c>
      <c r="H226" s="321">
        <f>SUMIFS(DATA!$I:$I,DATA!$C:$C,$B226,DATA!$J:$J,"&gt;="&amp;DATE($I$2,H$4,1),DATA!$J:$J,"&lt;="&amp;DATE($I$2,H$4,H$5))</f>
        <v/>
      </c>
      <c r="I226" s="321">
        <f>SUMIFS(DATA!$I:$I,DATA!$C:$C,$B226,DATA!$J:$J,"&gt;="&amp;DATE($I$2,I$4,1),DATA!$J:$J,"&lt;="&amp;DATE($I$2,I$4,I$5))</f>
        <v/>
      </c>
      <c r="J226" s="321">
        <f>SUMIFS(DATA!$I:$I,DATA!$C:$C,$B226,DATA!$J:$J,"&gt;="&amp;DATE($I$2,J$4,1),DATA!$J:$J,"&lt;="&amp;DATE($I$2,J$4,J$5))</f>
        <v/>
      </c>
      <c r="K226" s="321">
        <f>SUMIFS(DATA!$I:$I,DATA!$C:$C,$B226,DATA!$J:$J,"&gt;="&amp;DATE($I$2,K$4,1),DATA!$J:$J,"&lt;="&amp;DATE($I$2,K$4,K$5))</f>
        <v/>
      </c>
      <c r="L226" s="321">
        <f>SUMIFS(DATA!$I:$I,DATA!$C:$C,$B226,DATA!$J:$J,"&gt;="&amp;DATE($I$2,L$4,1),DATA!$J:$J,"&lt;="&amp;DATE($I$2,L$4,L$5))</f>
        <v/>
      </c>
      <c r="M226" s="321">
        <f>SUMIFS(DATA!$I:$I,DATA!$C:$C,$B226,DATA!$J:$J,"&gt;="&amp;DATE($I$2,M$4,1),DATA!$J:$J,"&lt;="&amp;DATE($I$2,M$4,M$5))</f>
        <v/>
      </c>
      <c r="N226" s="321">
        <f>SUMIFS(DATA!$I:$I,DATA!$C:$C,$B226,DATA!$J:$J,"&gt;="&amp;DATE($I$2,N$4,1),DATA!$J:$J,"&lt;="&amp;DATE($I$2,N$4,N$5))</f>
        <v/>
      </c>
      <c r="O226" s="321">
        <f>SUMIFS(DATA!$I:$I,DATA!$C:$C,$B226,DATA!$J:$J,"&gt;="&amp;DATE($I$2,O$4,1),DATA!$J:$J,"&lt;="&amp;DATE($I$2,O$4,O$5))</f>
        <v/>
      </c>
      <c r="P226" s="322">
        <f>SUM(D226:O226)</f>
        <v/>
      </c>
      <c r="Q226" s="118" t="n"/>
    </row>
    <row r="227" hidden="1" outlineLevel="1" ht="15" customHeight="1">
      <c r="A227" s="266" t="n"/>
      <c r="B227" s="266" t="n"/>
      <c r="C227" s="119" t="inlineStr">
        <is>
          <t>Thực tế</t>
        </is>
      </c>
      <c r="D227" s="321">
        <f>SUMIFS(DATA!$M:$M,DATA!$C:$C,$B226,DATA!$N:$N,"&gt;="&amp;DATE($I$2,D$4,1),DATA!$N:$N,"&lt;="&amp;DATE($I$2,D$4,D$5))</f>
        <v/>
      </c>
      <c r="E227" s="321">
        <f>SUMIFS(DATA!$M:$M,DATA!$C:$C,$B226,DATA!$N:$N,"&gt;="&amp;DATE($I$2,E$4,1),DATA!$N:$N,"&lt;="&amp;DATE($I$2,E$4,E$5))</f>
        <v/>
      </c>
      <c r="F227" s="321">
        <f>SUMIFS(DATA!$M:$M,DATA!$C:$C,$B226,DATA!$N:$N,"&gt;="&amp;DATE($I$2,F$4,1),DATA!$N:$N,"&lt;="&amp;DATE($I$2,F$4,F$5))</f>
        <v/>
      </c>
      <c r="G227" s="321">
        <f>SUMIFS(DATA!$M:$M,DATA!$C:$C,$B226,DATA!$N:$N,"&gt;="&amp;DATE($I$2,G$4,1),DATA!$N:$N,"&lt;="&amp;DATE($I$2,G$4,G$5))</f>
        <v/>
      </c>
      <c r="H227" s="321">
        <f>SUMIFS(DATA!$M:$M,DATA!$C:$C,$B226,DATA!$N:$N,"&gt;="&amp;DATE($I$2,H$4,1),DATA!$N:$N,"&lt;="&amp;DATE($I$2,H$4,H$5))</f>
        <v/>
      </c>
      <c r="I227" s="321">
        <f>SUMIFS(DATA!$M:$M,DATA!$C:$C,$B226,DATA!$N:$N,"&gt;="&amp;DATE($I$2,I$4,1),DATA!$N:$N,"&lt;="&amp;DATE($I$2,I$4,I$5))</f>
        <v/>
      </c>
      <c r="J227" s="321">
        <f>SUMIFS(DATA!$M:$M,DATA!$C:$C,$B226,DATA!$N:$N,"&gt;="&amp;DATE($I$2,J$4,1),DATA!$N:$N,"&lt;="&amp;DATE($I$2,J$4,J$5))</f>
        <v/>
      </c>
      <c r="K227" s="321">
        <f>SUMIFS(DATA!$M:$M,DATA!$C:$C,$B226,DATA!$N:$N,"&gt;="&amp;DATE($I$2,K$4,1),DATA!$N:$N,"&lt;="&amp;DATE($I$2,K$4,K$5))</f>
        <v/>
      </c>
      <c r="L227" s="321">
        <f>SUMIFS(DATA!$M:$M,DATA!$C:$C,$B226,DATA!$N:$N,"&gt;="&amp;DATE($I$2,L$4,1),DATA!$N:$N,"&lt;="&amp;DATE($I$2,L$4,L$5))</f>
        <v/>
      </c>
      <c r="M227" s="321">
        <f>SUMIFS(DATA!$M:$M,DATA!$C:$C,$B226,DATA!$N:$N,"&gt;="&amp;DATE($I$2,M$4,1),DATA!$N:$N,"&lt;="&amp;DATE($I$2,M$4,M$5))</f>
        <v/>
      </c>
      <c r="N227" s="321">
        <f>SUMIFS(DATA!$M:$M,DATA!$C:$C,$B226,DATA!$N:$N,"&gt;="&amp;DATE($I$2,N$4,1),DATA!$N:$N,"&lt;="&amp;DATE($I$2,N$4,N$5))</f>
        <v/>
      </c>
      <c r="O227" s="321">
        <f>SUMIFS(DATA!$M:$M,DATA!$C:$C,$B226,DATA!$N:$N,"&gt;="&amp;DATE($I$2,O$4,1),DATA!$N:$N,"&lt;="&amp;DATE($I$2,O$4,O$5))</f>
        <v/>
      </c>
      <c r="P227" s="322">
        <f>SUM(D227:O227)</f>
        <v/>
      </c>
      <c r="Q227" s="118" t="n"/>
    </row>
    <row r="228" hidden="1" outlineLevel="1" ht="15" customHeight="1">
      <c r="A228" s="269" t="n">
        <v>112</v>
      </c>
      <c r="B228" s="265" t="inlineStr">
        <is>
          <t>HAREC BUILDING</t>
        </is>
      </c>
      <c r="C228" s="119" t="inlineStr">
        <is>
          <t>Kế hoạch</t>
        </is>
      </c>
      <c r="D228" s="321">
        <f>SUMIFS(DATA!$I:$I,DATA!$C:$C,$B228,DATA!$J:$J,"&gt;="&amp;DATE($I$2,D$4,1),DATA!$J:$J,"&lt;="&amp;DATE($I$2,D$4,D$5))</f>
        <v/>
      </c>
      <c r="E228" s="321">
        <f>SUMIFS(DATA!$I:$I,DATA!$C:$C,$B228,DATA!$J:$J,"&gt;="&amp;DATE($I$2,E$4,1),DATA!$J:$J,"&lt;="&amp;DATE($I$2,E$4,E$5))</f>
        <v/>
      </c>
      <c r="F228" s="321">
        <f>SUMIFS(DATA!$I:$I,DATA!$C:$C,$B228,DATA!$J:$J,"&gt;="&amp;DATE($I$2,F$4,1),DATA!$J:$J,"&lt;="&amp;DATE($I$2,F$4,F$5))</f>
        <v/>
      </c>
      <c r="G228" s="321">
        <f>SUMIFS(DATA!$I:$I,DATA!$C:$C,$B228,DATA!$J:$J,"&gt;="&amp;DATE($I$2,G$4,1),DATA!$J:$J,"&lt;="&amp;DATE($I$2,G$4,G$5))</f>
        <v/>
      </c>
      <c r="H228" s="321">
        <f>SUMIFS(DATA!$I:$I,DATA!$C:$C,$B228,DATA!$J:$J,"&gt;="&amp;DATE($I$2,H$4,1),DATA!$J:$J,"&lt;="&amp;DATE($I$2,H$4,H$5))</f>
        <v/>
      </c>
      <c r="I228" s="321">
        <f>SUMIFS(DATA!$I:$I,DATA!$C:$C,$B228,DATA!$J:$J,"&gt;="&amp;DATE($I$2,I$4,1),DATA!$J:$J,"&lt;="&amp;DATE($I$2,I$4,I$5))</f>
        <v/>
      </c>
      <c r="J228" s="321">
        <f>SUMIFS(DATA!$I:$I,DATA!$C:$C,$B228,DATA!$J:$J,"&gt;="&amp;DATE($I$2,J$4,1),DATA!$J:$J,"&lt;="&amp;DATE($I$2,J$4,J$5))</f>
        <v/>
      </c>
      <c r="K228" s="321">
        <f>SUMIFS(DATA!$I:$I,DATA!$C:$C,$B228,DATA!$J:$J,"&gt;="&amp;DATE($I$2,K$4,1),DATA!$J:$J,"&lt;="&amp;DATE($I$2,K$4,K$5))</f>
        <v/>
      </c>
      <c r="L228" s="321">
        <f>SUMIFS(DATA!$I:$I,DATA!$C:$C,$B228,DATA!$J:$J,"&gt;="&amp;DATE($I$2,L$4,1),DATA!$J:$J,"&lt;="&amp;DATE($I$2,L$4,L$5))</f>
        <v/>
      </c>
      <c r="M228" s="321">
        <f>SUMIFS(DATA!$I:$I,DATA!$C:$C,$B228,DATA!$J:$J,"&gt;="&amp;DATE($I$2,M$4,1),DATA!$J:$J,"&lt;="&amp;DATE($I$2,M$4,M$5))</f>
        <v/>
      </c>
      <c r="N228" s="321">
        <f>SUMIFS(DATA!$I:$I,DATA!$C:$C,$B228,DATA!$J:$J,"&gt;="&amp;DATE($I$2,N$4,1),DATA!$J:$J,"&lt;="&amp;DATE($I$2,N$4,N$5))</f>
        <v/>
      </c>
      <c r="O228" s="321">
        <f>SUMIFS(DATA!$I:$I,DATA!$C:$C,$B228,DATA!$J:$J,"&gt;="&amp;DATE($I$2,O$4,1),DATA!$J:$J,"&lt;="&amp;DATE($I$2,O$4,O$5))</f>
        <v/>
      </c>
      <c r="P228" s="322">
        <f>SUM(D228:O228)</f>
        <v/>
      </c>
      <c r="Q228" s="118" t="n"/>
    </row>
    <row r="229" hidden="1" outlineLevel="1" ht="15" customHeight="1">
      <c r="A229" s="266" t="n"/>
      <c r="B229" s="266" t="n"/>
      <c r="C229" s="119" t="inlineStr">
        <is>
          <t>Thực tế</t>
        </is>
      </c>
      <c r="D229" s="321">
        <f>SUMIFS(DATA!$M:$M,DATA!$C:$C,$B228,DATA!$N:$N,"&gt;="&amp;DATE($I$2,D$4,1),DATA!$N:$N,"&lt;="&amp;DATE($I$2,D$4,D$5))</f>
        <v/>
      </c>
      <c r="E229" s="321">
        <f>SUMIFS(DATA!$M:$M,DATA!$C:$C,$B228,DATA!$N:$N,"&gt;="&amp;DATE($I$2,E$4,1),DATA!$N:$N,"&lt;="&amp;DATE($I$2,E$4,E$5))</f>
        <v/>
      </c>
      <c r="F229" s="321">
        <f>SUMIFS(DATA!$M:$M,DATA!$C:$C,$B228,DATA!$N:$N,"&gt;="&amp;DATE($I$2,F$4,1),DATA!$N:$N,"&lt;="&amp;DATE($I$2,F$4,F$5))</f>
        <v/>
      </c>
      <c r="G229" s="321">
        <f>SUMIFS(DATA!$M:$M,DATA!$C:$C,$B228,DATA!$N:$N,"&gt;="&amp;DATE($I$2,G$4,1),DATA!$N:$N,"&lt;="&amp;DATE($I$2,G$4,G$5))</f>
        <v/>
      </c>
      <c r="H229" s="321">
        <f>SUMIFS(DATA!$M:$M,DATA!$C:$C,$B228,DATA!$N:$N,"&gt;="&amp;DATE($I$2,H$4,1),DATA!$N:$N,"&lt;="&amp;DATE($I$2,H$4,H$5))</f>
        <v/>
      </c>
      <c r="I229" s="321">
        <f>SUMIFS(DATA!$M:$M,DATA!$C:$C,$B228,DATA!$N:$N,"&gt;="&amp;DATE($I$2,I$4,1),DATA!$N:$N,"&lt;="&amp;DATE($I$2,I$4,I$5))</f>
        <v/>
      </c>
      <c r="J229" s="321">
        <f>SUMIFS(DATA!$M:$M,DATA!$C:$C,$B228,DATA!$N:$N,"&gt;="&amp;DATE($I$2,J$4,1),DATA!$N:$N,"&lt;="&amp;DATE($I$2,J$4,J$5))</f>
        <v/>
      </c>
      <c r="K229" s="321">
        <f>SUMIFS(DATA!$M:$M,DATA!$C:$C,$B228,DATA!$N:$N,"&gt;="&amp;DATE($I$2,K$4,1),DATA!$N:$N,"&lt;="&amp;DATE($I$2,K$4,K$5))</f>
        <v/>
      </c>
      <c r="L229" s="321">
        <f>SUMIFS(DATA!$M:$M,DATA!$C:$C,$B228,DATA!$N:$N,"&gt;="&amp;DATE($I$2,L$4,1),DATA!$N:$N,"&lt;="&amp;DATE($I$2,L$4,L$5))</f>
        <v/>
      </c>
      <c r="M229" s="321">
        <f>SUMIFS(DATA!$M:$M,DATA!$C:$C,$B228,DATA!$N:$N,"&gt;="&amp;DATE($I$2,M$4,1),DATA!$N:$N,"&lt;="&amp;DATE($I$2,M$4,M$5))</f>
        <v/>
      </c>
      <c r="N229" s="321">
        <f>SUMIFS(DATA!$M:$M,DATA!$C:$C,$B228,DATA!$N:$N,"&gt;="&amp;DATE($I$2,N$4,1),DATA!$N:$N,"&lt;="&amp;DATE($I$2,N$4,N$5))</f>
        <v/>
      </c>
      <c r="O229" s="321">
        <f>SUMIFS(DATA!$M:$M,DATA!$C:$C,$B228,DATA!$N:$N,"&gt;="&amp;DATE($I$2,O$4,1),DATA!$N:$N,"&lt;="&amp;DATE($I$2,O$4,O$5))</f>
        <v/>
      </c>
      <c r="P229" s="322">
        <f>SUM(D229:O229)</f>
        <v/>
      </c>
      <c r="Q229" s="118" t="n"/>
    </row>
    <row r="230" hidden="1" outlineLevel="1" ht="15" customHeight="1">
      <c r="A230" s="269" t="n">
        <v>113</v>
      </c>
      <c r="B230" s="265" t="inlineStr">
        <is>
          <t>DELTA POWER SOLUTIONS VIETNAM</t>
        </is>
      </c>
      <c r="C230" s="119" t="inlineStr">
        <is>
          <t>Kế hoạch</t>
        </is>
      </c>
      <c r="D230" s="321">
        <f>SUMIFS(DATA!$I:$I,DATA!$C:$C,$B230,DATA!$J:$J,"&gt;="&amp;DATE($I$2,D$4,1),DATA!$J:$J,"&lt;="&amp;DATE($I$2,D$4,D$5))</f>
        <v/>
      </c>
      <c r="E230" s="321">
        <f>SUMIFS(DATA!$I:$I,DATA!$C:$C,$B230,DATA!$J:$J,"&gt;="&amp;DATE($I$2,E$4,1),DATA!$J:$J,"&lt;="&amp;DATE($I$2,E$4,E$5))</f>
        <v/>
      </c>
      <c r="F230" s="321">
        <f>SUMIFS(DATA!$I:$I,DATA!$C:$C,$B230,DATA!$J:$J,"&gt;="&amp;DATE($I$2,F$4,1),DATA!$J:$J,"&lt;="&amp;DATE($I$2,F$4,F$5))</f>
        <v/>
      </c>
      <c r="G230" s="321">
        <f>SUMIFS(DATA!$I:$I,DATA!$C:$C,$B230,DATA!$J:$J,"&gt;="&amp;DATE($I$2,G$4,1),DATA!$J:$J,"&lt;="&amp;DATE($I$2,G$4,G$5))</f>
        <v/>
      </c>
      <c r="H230" s="321">
        <f>SUMIFS(DATA!$I:$I,DATA!$C:$C,$B230,DATA!$J:$J,"&gt;="&amp;DATE($I$2,H$4,1),DATA!$J:$J,"&lt;="&amp;DATE($I$2,H$4,H$5))</f>
        <v/>
      </c>
      <c r="I230" s="321">
        <f>SUMIFS(DATA!$I:$I,DATA!$C:$C,$B230,DATA!$J:$J,"&gt;="&amp;DATE($I$2,I$4,1),DATA!$J:$J,"&lt;="&amp;DATE($I$2,I$4,I$5))</f>
        <v/>
      </c>
      <c r="J230" s="321">
        <f>SUMIFS(DATA!$I:$I,DATA!$C:$C,$B230,DATA!$J:$J,"&gt;="&amp;DATE($I$2,J$4,1),DATA!$J:$J,"&lt;="&amp;DATE($I$2,J$4,J$5))</f>
        <v/>
      </c>
      <c r="K230" s="321">
        <f>SUMIFS(DATA!$I:$I,DATA!$C:$C,$B230,DATA!$J:$J,"&gt;="&amp;DATE($I$2,K$4,1),DATA!$J:$J,"&lt;="&amp;DATE($I$2,K$4,K$5))</f>
        <v/>
      </c>
      <c r="L230" s="321">
        <f>SUMIFS(DATA!$I:$I,DATA!$C:$C,$B230,DATA!$J:$J,"&gt;="&amp;DATE($I$2,L$4,1),DATA!$J:$J,"&lt;="&amp;DATE($I$2,L$4,L$5))</f>
        <v/>
      </c>
      <c r="M230" s="321">
        <f>SUMIFS(DATA!$I:$I,DATA!$C:$C,$B230,DATA!$J:$J,"&gt;="&amp;DATE($I$2,M$4,1),DATA!$J:$J,"&lt;="&amp;DATE($I$2,M$4,M$5))</f>
        <v/>
      </c>
      <c r="N230" s="321">
        <f>SUMIFS(DATA!$I:$I,DATA!$C:$C,$B230,DATA!$J:$J,"&gt;="&amp;DATE($I$2,N$4,1),DATA!$J:$J,"&lt;="&amp;DATE($I$2,N$4,N$5))</f>
        <v/>
      </c>
      <c r="O230" s="321">
        <f>SUMIFS(DATA!$I:$I,DATA!$C:$C,$B230,DATA!$J:$J,"&gt;="&amp;DATE($I$2,O$4,1),DATA!$J:$J,"&lt;="&amp;DATE($I$2,O$4,O$5))</f>
        <v/>
      </c>
      <c r="P230" s="322">
        <f>SUM(D230:O230)</f>
        <v/>
      </c>
      <c r="Q230" s="118" t="n"/>
    </row>
    <row r="231" hidden="1" outlineLevel="1" ht="15" customHeight="1">
      <c r="A231" s="266" t="n"/>
      <c r="B231" s="266" t="n"/>
      <c r="C231" s="119" t="inlineStr">
        <is>
          <t>Thực tế</t>
        </is>
      </c>
      <c r="D231" s="321">
        <f>SUMIFS(DATA!$M:$M,DATA!$C:$C,$B230,DATA!$N:$N,"&gt;="&amp;DATE($I$2,D$4,1),DATA!$N:$N,"&lt;="&amp;DATE($I$2,D$4,D$5))</f>
        <v/>
      </c>
      <c r="E231" s="321">
        <f>SUMIFS(DATA!$M:$M,DATA!$C:$C,$B230,DATA!$N:$N,"&gt;="&amp;DATE($I$2,E$4,1),DATA!$N:$N,"&lt;="&amp;DATE($I$2,E$4,E$5))</f>
        <v/>
      </c>
      <c r="F231" s="321">
        <f>SUMIFS(DATA!$M:$M,DATA!$C:$C,$B230,DATA!$N:$N,"&gt;="&amp;DATE($I$2,F$4,1),DATA!$N:$N,"&lt;="&amp;DATE($I$2,F$4,F$5))</f>
        <v/>
      </c>
      <c r="G231" s="321">
        <f>SUMIFS(DATA!$M:$M,DATA!$C:$C,$B230,DATA!$N:$N,"&gt;="&amp;DATE($I$2,G$4,1),DATA!$N:$N,"&lt;="&amp;DATE($I$2,G$4,G$5))</f>
        <v/>
      </c>
      <c r="H231" s="321">
        <f>SUMIFS(DATA!$M:$M,DATA!$C:$C,$B230,DATA!$N:$N,"&gt;="&amp;DATE($I$2,H$4,1),DATA!$N:$N,"&lt;="&amp;DATE($I$2,H$4,H$5))</f>
        <v/>
      </c>
      <c r="I231" s="321">
        <f>SUMIFS(DATA!$M:$M,DATA!$C:$C,$B230,DATA!$N:$N,"&gt;="&amp;DATE($I$2,I$4,1),DATA!$N:$N,"&lt;="&amp;DATE($I$2,I$4,I$5))</f>
        <v/>
      </c>
      <c r="J231" s="321">
        <f>SUMIFS(DATA!$M:$M,DATA!$C:$C,$B230,DATA!$N:$N,"&gt;="&amp;DATE($I$2,J$4,1),DATA!$N:$N,"&lt;="&amp;DATE($I$2,J$4,J$5))</f>
        <v/>
      </c>
      <c r="K231" s="321">
        <f>SUMIFS(DATA!$M:$M,DATA!$C:$C,$B230,DATA!$N:$N,"&gt;="&amp;DATE($I$2,K$4,1),DATA!$N:$N,"&lt;="&amp;DATE($I$2,K$4,K$5))</f>
        <v/>
      </c>
      <c r="L231" s="321">
        <f>SUMIFS(DATA!$M:$M,DATA!$C:$C,$B230,DATA!$N:$N,"&gt;="&amp;DATE($I$2,L$4,1),DATA!$N:$N,"&lt;="&amp;DATE($I$2,L$4,L$5))</f>
        <v/>
      </c>
      <c r="M231" s="321">
        <f>SUMIFS(DATA!$M:$M,DATA!$C:$C,$B230,DATA!$N:$N,"&gt;="&amp;DATE($I$2,M$4,1),DATA!$N:$N,"&lt;="&amp;DATE($I$2,M$4,M$5))</f>
        <v/>
      </c>
      <c r="N231" s="321">
        <f>SUMIFS(DATA!$M:$M,DATA!$C:$C,$B230,DATA!$N:$N,"&gt;="&amp;DATE($I$2,N$4,1),DATA!$N:$N,"&lt;="&amp;DATE($I$2,N$4,N$5))</f>
        <v/>
      </c>
      <c r="O231" s="321">
        <f>SUMIFS(DATA!$M:$M,DATA!$C:$C,$B230,DATA!$N:$N,"&gt;="&amp;DATE($I$2,O$4,1),DATA!$N:$N,"&lt;="&amp;DATE($I$2,O$4,O$5))</f>
        <v/>
      </c>
      <c r="P231" s="322">
        <f>SUM(D231:O231)</f>
        <v/>
      </c>
      <c r="Q231" s="118" t="n"/>
    </row>
    <row r="232" hidden="1" outlineLevel="1" ht="15" customHeight="1">
      <c r="A232" s="269" t="n">
        <v>114</v>
      </c>
      <c r="B232" s="265" t="inlineStr">
        <is>
          <t>THE ZENPARK</t>
        </is>
      </c>
      <c r="C232" s="119" t="inlineStr">
        <is>
          <t>Kế hoạch</t>
        </is>
      </c>
      <c r="D232" s="321">
        <f>SUMIFS(DATA!$I:$I,DATA!$C:$C,$B232,DATA!$J:$J,"&gt;="&amp;DATE($I$2,D$4,1),DATA!$J:$J,"&lt;="&amp;DATE($I$2,D$4,D$5))</f>
        <v/>
      </c>
      <c r="E232" s="321">
        <f>SUMIFS(DATA!$I:$I,DATA!$C:$C,$B232,DATA!$J:$J,"&gt;="&amp;DATE($I$2,E$4,1),DATA!$J:$J,"&lt;="&amp;DATE($I$2,E$4,E$5))</f>
        <v/>
      </c>
      <c r="F232" s="321">
        <f>SUMIFS(DATA!$I:$I,DATA!$C:$C,$B232,DATA!$J:$J,"&gt;="&amp;DATE($I$2,F$4,1),DATA!$J:$J,"&lt;="&amp;DATE($I$2,F$4,F$5))</f>
        <v/>
      </c>
      <c r="G232" s="321">
        <f>SUMIFS(DATA!$I:$I,DATA!$C:$C,$B232,DATA!$J:$J,"&gt;="&amp;DATE($I$2,G$4,1),DATA!$J:$J,"&lt;="&amp;DATE($I$2,G$4,G$5))</f>
        <v/>
      </c>
      <c r="H232" s="321">
        <f>SUMIFS(DATA!$I:$I,DATA!$C:$C,$B232,DATA!$J:$J,"&gt;="&amp;DATE($I$2,H$4,1),DATA!$J:$J,"&lt;="&amp;DATE($I$2,H$4,H$5))</f>
        <v/>
      </c>
      <c r="I232" s="321">
        <f>SUMIFS(DATA!$I:$I,DATA!$C:$C,$B232,DATA!$J:$J,"&gt;="&amp;DATE($I$2,I$4,1),DATA!$J:$J,"&lt;="&amp;DATE($I$2,I$4,I$5))</f>
        <v/>
      </c>
      <c r="J232" s="321">
        <f>SUMIFS(DATA!$I:$I,DATA!$C:$C,$B232,DATA!$J:$J,"&gt;="&amp;DATE($I$2,J$4,1),DATA!$J:$J,"&lt;="&amp;DATE($I$2,J$4,J$5))</f>
        <v/>
      </c>
      <c r="K232" s="321">
        <f>SUMIFS(DATA!$I:$I,DATA!$C:$C,$B232,DATA!$J:$J,"&gt;="&amp;DATE($I$2,K$4,1),DATA!$J:$J,"&lt;="&amp;DATE($I$2,K$4,K$5))</f>
        <v/>
      </c>
      <c r="L232" s="321">
        <f>SUMIFS(DATA!$I:$I,DATA!$C:$C,$B232,DATA!$J:$J,"&gt;="&amp;DATE($I$2,L$4,1),DATA!$J:$J,"&lt;="&amp;DATE($I$2,L$4,L$5))</f>
        <v/>
      </c>
      <c r="M232" s="321">
        <f>SUMIFS(DATA!$I:$I,DATA!$C:$C,$B232,DATA!$J:$J,"&gt;="&amp;DATE($I$2,M$4,1),DATA!$J:$J,"&lt;="&amp;DATE($I$2,M$4,M$5))</f>
        <v/>
      </c>
      <c r="N232" s="321">
        <f>SUMIFS(DATA!$I:$I,DATA!$C:$C,$B232,DATA!$J:$J,"&gt;="&amp;DATE($I$2,N$4,1),DATA!$J:$J,"&lt;="&amp;DATE($I$2,N$4,N$5))</f>
        <v/>
      </c>
      <c r="O232" s="321">
        <f>SUMIFS(DATA!$I:$I,DATA!$C:$C,$B232,DATA!$J:$J,"&gt;="&amp;DATE($I$2,O$4,1),DATA!$J:$J,"&lt;="&amp;DATE($I$2,O$4,O$5))</f>
        <v/>
      </c>
      <c r="P232" s="322">
        <f>SUM(D232:O232)</f>
        <v/>
      </c>
      <c r="Q232" s="118" t="n"/>
    </row>
    <row r="233" hidden="1" outlineLevel="1" ht="15" customHeight="1">
      <c r="A233" s="266" t="n"/>
      <c r="B233" s="266" t="n"/>
      <c r="C233" s="119" t="inlineStr">
        <is>
          <t>Thực tế</t>
        </is>
      </c>
      <c r="D233" s="321">
        <f>SUMIFS(DATA!$M:$M,DATA!$C:$C,$B232,DATA!$N:$N,"&gt;="&amp;DATE($I$2,D$4,1),DATA!$N:$N,"&lt;="&amp;DATE($I$2,D$4,D$5))</f>
        <v/>
      </c>
      <c r="E233" s="321">
        <f>SUMIFS(DATA!$M:$M,DATA!$C:$C,$B232,DATA!$N:$N,"&gt;="&amp;DATE($I$2,E$4,1),DATA!$N:$N,"&lt;="&amp;DATE($I$2,E$4,E$5))</f>
        <v/>
      </c>
      <c r="F233" s="321">
        <f>SUMIFS(DATA!$M:$M,DATA!$C:$C,$B232,DATA!$N:$N,"&gt;="&amp;DATE($I$2,F$4,1),DATA!$N:$N,"&lt;="&amp;DATE($I$2,F$4,F$5))</f>
        <v/>
      </c>
      <c r="G233" s="321">
        <f>SUMIFS(DATA!$M:$M,DATA!$C:$C,$B232,DATA!$N:$N,"&gt;="&amp;DATE($I$2,G$4,1),DATA!$N:$N,"&lt;="&amp;DATE($I$2,G$4,G$5))</f>
        <v/>
      </c>
      <c r="H233" s="321">
        <f>SUMIFS(DATA!$M:$M,DATA!$C:$C,$B232,DATA!$N:$N,"&gt;="&amp;DATE($I$2,H$4,1),DATA!$N:$N,"&lt;="&amp;DATE($I$2,H$4,H$5))</f>
        <v/>
      </c>
      <c r="I233" s="321">
        <f>SUMIFS(DATA!$M:$M,DATA!$C:$C,$B232,DATA!$N:$N,"&gt;="&amp;DATE($I$2,I$4,1),DATA!$N:$N,"&lt;="&amp;DATE($I$2,I$4,I$5))</f>
        <v/>
      </c>
      <c r="J233" s="321">
        <f>SUMIFS(DATA!$M:$M,DATA!$C:$C,$B232,DATA!$N:$N,"&gt;="&amp;DATE($I$2,J$4,1),DATA!$N:$N,"&lt;="&amp;DATE($I$2,J$4,J$5))</f>
        <v/>
      </c>
      <c r="K233" s="321">
        <f>SUMIFS(DATA!$M:$M,DATA!$C:$C,$B232,DATA!$N:$N,"&gt;="&amp;DATE($I$2,K$4,1),DATA!$N:$N,"&lt;="&amp;DATE($I$2,K$4,K$5))</f>
        <v/>
      </c>
      <c r="L233" s="321">
        <f>SUMIFS(DATA!$M:$M,DATA!$C:$C,$B232,DATA!$N:$N,"&gt;="&amp;DATE($I$2,L$4,1),DATA!$N:$N,"&lt;="&amp;DATE($I$2,L$4,L$5))</f>
        <v/>
      </c>
      <c r="M233" s="321">
        <f>SUMIFS(DATA!$M:$M,DATA!$C:$C,$B232,DATA!$N:$N,"&gt;="&amp;DATE($I$2,M$4,1),DATA!$N:$N,"&lt;="&amp;DATE($I$2,M$4,M$5))</f>
        <v/>
      </c>
      <c r="N233" s="321">
        <f>SUMIFS(DATA!$M:$M,DATA!$C:$C,$B232,DATA!$N:$N,"&gt;="&amp;DATE($I$2,N$4,1),DATA!$N:$N,"&lt;="&amp;DATE($I$2,N$4,N$5))</f>
        <v/>
      </c>
      <c r="O233" s="321">
        <f>SUMIFS(DATA!$M:$M,DATA!$C:$C,$B232,DATA!$N:$N,"&gt;="&amp;DATE($I$2,O$4,1),DATA!$N:$N,"&lt;="&amp;DATE($I$2,O$4,O$5))</f>
        <v/>
      </c>
      <c r="P233" s="322">
        <f>SUM(D233:O233)</f>
        <v/>
      </c>
      <c r="Q233" s="118" t="n"/>
    </row>
    <row r="234" hidden="1" outlineLevel="1" ht="15" customHeight="1">
      <c r="A234" s="269" t="n">
        <v>115</v>
      </c>
      <c r="B234" s="265" t="inlineStr">
        <is>
          <t>ECO LAKE VIEW</t>
        </is>
      </c>
      <c r="C234" s="119" t="inlineStr">
        <is>
          <t>Kế hoạch</t>
        </is>
      </c>
      <c r="D234" s="321">
        <f>SUMIFS(DATA!$I:$I,DATA!$C:$C,$B234,DATA!$J:$J,"&gt;="&amp;DATE($I$2,D$4,1),DATA!$J:$J,"&lt;="&amp;DATE($I$2,D$4,D$5))</f>
        <v/>
      </c>
      <c r="E234" s="321">
        <f>SUMIFS(DATA!$I:$I,DATA!$C:$C,$B234,DATA!$J:$J,"&gt;="&amp;DATE($I$2,E$4,1),DATA!$J:$J,"&lt;="&amp;DATE($I$2,E$4,E$5))</f>
        <v/>
      </c>
      <c r="F234" s="321">
        <f>SUMIFS(DATA!$I:$I,DATA!$C:$C,$B234,DATA!$J:$J,"&gt;="&amp;DATE($I$2,F$4,1),DATA!$J:$J,"&lt;="&amp;DATE($I$2,F$4,F$5))</f>
        <v/>
      </c>
      <c r="G234" s="321">
        <f>SUMIFS(DATA!$I:$I,DATA!$C:$C,$B234,DATA!$J:$J,"&gt;="&amp;DATE($I$2,G$4,1),DATA!$J:$J,"&lt;="&amp;DATE($I$2,G$4,G$5))</f>
        <v/>
      </c>
      <c r="H234" s="321">
        <f>SUMIFS(DATA!$I:$I,DATA!$C:$C,$B234,DATA!$J:$J,"&gt;="&amp;DATE($I$2,H$4,1),DATA!$J:$J,"&lt;="&amp;DATE($I$2,H$4,H$5))</f>
        <v/>
      </c>
      <c r="I234" s="321">
        <f>SUMIFS(DATA!$I:$I,DATA!$C:$C,$B234,DATA!$J:$J,"&gt;="&amp;DATE($I$2,I$4,1),DATA!$J:$J,"&lt;="&amp;DATE($I$2,I$4,I$5))</f>
        <v/>
      </c>
      <c r="J234" s="321">
        <f>SUMIFS(DATA!$I:$I,DATA!$C:$C,$B234,DATA!$J:$J,"&gt;="&amp;DATE($I$2,J$4,1),DATA!$J:$J,"&lt;="&amp;DATE($I$2,J$4,J$5))</f>
        <v/>
      </c>
      <c r="K234" s="321">
        <f>SUMIFS(DATA!$I:$I,DATA!$C:$C,$B234,DATA!$J:$J,"&gt;="&amp;DATE($I$2,K$4,1),DATA!$J:$J,"&lt;="&amp;DATE($I$2,K$4,K$5))</f>
        <v/>
      </c>
      <c r="L234" s="321">
        <f>SUMIFS(DATA!$I:$I,DATA!$C:$C,$B234,DATA!$J:$J,"&gt;="&amp;DATE($I$2,L$4,1),DATA!$J:$J,"&lt;="&amp;DATE($I$2,L$4,L$5))</f>
        <v/>
      </c>
      <c r="M234" s="321">
        <f>SUMIFS(DATA!$I:$I,DATA!$C:$C,$B234,DATA!$J:$J,"&gt;="&amp;DATE($I$2,M$4,1),DATA!$J:$J,"&lt;="&amp;DATE($I$2,M$4,M$5))</f>
        <v/>
      </c>
      <c r="N234" s="321">
        <f>SUMIFS(DATA!$I:$I,DATA!$C:$C,$B234,DATA!$J:$J,"&gt;="&amp;DATE($I$2,N$4,1),DATA!$J:$J,"&lt;="&amp;DATE($I$2,N$4,N$5))</f>
        <v/>
      </c>
      <c r="O234" s="321">
        <f>SUMIFS(DATA!$I:$I,DATA!$C:$C,$B234,DATA!$J:$J,"&gt;="&amp;DATE($I$2,O$4,1),DATA!$J:$J,"&lt;="&amp;DATE($I$2,O$4,O$5))</f>
        <v/>
      </c>
      <c r="P234" s="322">
        <f>SUM(D234:O234)</f>
        <v/>
      </c>
      <c r="Q234" s="118" t="n"/>
    </row>
    <row r="235" hidden="1" outlineLevel="1" ht="15" customHeight="1">
      <c r="A235" s="266" t="n"/>
      <c r="B235" s="266" t="n"/>
      <c r="C235" s="119" t="inlineStr">
        <is>
          <t>Thực tế</t>
        </is>
      </c>
      <c r="D235" s="321">
        <f>SUMIFS(DATA!$M:$M,DATA!$C:$C,$B234,DATA!$N:$N,"&gt;="&amp;DATE($I$2,D$4,1),DATA!$N:$N,"&lt;="&amp;DATE($I$2,D$4,D$5))</f>
        <v/>
      </c>
      <c r="E235" s="321">
        <f>SUMIFS(DATA!$M:$M,DATA!$C:$C,$B234,DATA!$N:$N,"&gt;="&amp;DATE($I$2,E$4,1),DATA!$N:$N,"&lt;="&amp;DATE($I$2,E$4,E$5))</f>
        <v/>
      </c>
      <c r="F235" s="321">
        <f>SUMIFS(DATA!$M:$M,DATA!$C:$C,$B234,DATA!$N:$N,"&gt;="&amp;DATE($I$2,F$4,1),DATA!$N:$N,"&lt;="&amp;DATE($I$2,F$4,F$5))</f>
        <v/>
      </c>
      <c r="G235" s="321">
        <f>SUMIFS(DATA!$M:$M,DATA!$C:$C,$B234,DATA!$N:$N,"&gt;="&amp;DATE($I$2,G$4,1),DATA!$N:$N,"&lt;="&amp;DATE($I$2,G$4,G$5))</f>
        <v/>
      </c>
      <c r="H235" s="321">
        <f>SUMIFS(DATA!$M:$M,DATA!$C:$C,$B234,DATA!$N:$N,"&gt;="&amp;DATE($I$2,H$4,1),DATA!$N:$N,"&lt;="&amp;DATE($I$2,H$4,H$5))</f>
        <v/>
      </c>
      <c r="I235" s="321">
        <f>SUMIFS(DATA!$M:$M,DATA!$C:$C,$B234,DATA!$N:$N,"&gt;="&amp;DATE($I$2,I$4,1),DATA!$N:$N,"&lt;="&amp;DATE($I$2,I$4,I$5))</f>
        <v/>
      </c>
      <c r="J235" s="321">
        <f>SUMIFS(DATA!$M:$M,DATA!$C:$C,$B234,DATA!$N:$N,"&gt;="&amp;DATE($I$2,J$4,1),DATA!$N:$N,"&lt;="&amp;DATE($I$2,J$4,J$5))</f>
        <v/>
      </c>
      <c r="K235" s="321">
        <f>SUMIFS(DATA!$M:$M,DATA!$C:$C,$B234,DATA!$N:$N,"&gt;="&amp;DATE($I$2,K$4,1),DATA!$N:$N,"&lt;="&amp;DATE($I$2,K$4,K$5))</f>
        <v/>
      </c>
      <c r="L235" s="321">
        <f>SUMIFS(DATA!$M:$M,DATA!$C:$C,$B234,DATA!$N:$N,"&gt;="&amp;DATE($I$2,L$4,1),DATA!$N:$N,"&lt;="&amp;DATE($I$2,L$4,L$5))</f>
        <v/>
      </c>
      <c r="M235" s="321">
        <f>SUMIFS(DATA!$M:$M,DATA!$C:$C,$B234,DATA!$N:$N,"&gt;="&amp;DATE($I$2,M$4,1),DATA!$N:$N,"&lt;="&amp;DATE($I$2,M$4,M$5))</f>
        <v/>
      </c>
      <c r="N235" s="321">
        <f>SUMIFS(DATA!$M:$M,DATA!$C:$C,$B234,DATA!$N:$N,"&gt;="&amp;DATE($I$2,N$4,1),DATA!$N:$N,"&lt;="&amp;DATE($I$2,N$4,N$5))</f>
        <v/>
      </c>
      <c r="O235" s="321">
        <f>SUMIFS(DATA!$M:$M,DATA!$C:$C,$B234,DATA!$N:$N,"&gt;="&amp;DATE($I$2,O$4,1),DATA!$N:$N,"&lt;="&amp;DATE($I$2,O$4,O$5))</f>
        <v/>
      </c>
      <c r="P235" s="322">
        <f>SUM(D235:O235)</f>
        <v/>
      </c>
      <c r="Q235" s="118" t="n"/>
    </row>
    <row r="236" hidden="1" outlineLevel="1" ht="15" customHeight="1">
      <c r="A236" s="269" t="n">
        <v>116</v>
      </c>
      <c r="B236" s="265" t="inlineStr">
        <is>
          <t>CT2A,B XUÂN LA</t>
        </is>
      </c>
      <c r="C236" s="119" t="inlineStr">
        <is>
          <t>Kế hoạch</t>
        </is>
      </c>
      <c r="D236" s="321">
        <f>SUMIFS(DATA!$I:$I,DATA!$C:$C,$B236,DATA!$J:$J,"&gt;="&amp;DATE($I$2,D$4,1),DATA!$J:$J,"&lt;="&amp;DATE($I$2,D$4,D$5))</f>
        <v/>
      </c>
      <c r="E236" s="321">
        <f>SUMIFS(DATA!$I:$I,DATA!$C:$C,$B236,DATA!$J:$J,"&gt;="&amp;DATE($I$2,E$4,1),DATA!$J:$J,"&lt;="&amp;DATE($I$2,E$4,E$5))</f>
        <v/>
      </c>
      <c r="F236" s="321">
        <f>SUMIFS(DATA!$I:$I,DATA!$C:$C,$B236,DATA!$J:$J,"&gt;="&amp;DATE($I$2,F$4,1),DATA!$J:$J,"&lt;="&amp;DATE($I$2,F$4,F$5))</f>
        <v/>
      </c>
      <c r="G236" s="321">
        <f>SUMIFS(DATA!$I:$I,DATA!$C:$C,$B236,DATA!$J:$J,"&gt;="&amp;DATE($I$2,G$4,1),DATA!$J:$J,"&lt;="&amp;DATE($I$2,G$4,G$5))</f>
        <v/>
      </c>
      <c r="H236" s="321">
        <f>SUMIFS(DATA!$I:$I,DATA!$C:$C,$B236,DATA!$J:$J,"&gt;="&amp;DATE($I$2,H$4,1),DATA!$J:$J,"&lt;="&amp;DATE($I$2,H$4,H$5))</f>
        <v/>
      </c>
      <c r="I236" s="321">
        <f>SUMIFS(DATA!$I:$I,DATA!$C:$C,$B236,DATA!$J:$J,"&gt;="&amp;DATE($I$2,I$4,1),DATA!$J:$J,"&lt;="&amp;DATE($I$2,I$4,I$5))</f>
        <v/>
      </c>
      <c r="J236" s="321">
        <f>SUMIFS(DATA!$I:$I,DATA!$C:$C,$B236,DATA!$J:$J,"&gt;="&amp;DATE($I$2,J$4,1),DATA!$J:$J,"&lt;="&amp;DATE($I$2,J$4,J$5))</f>
        <v/>
      </c>
      <c r="K236" s="321">
        <f>SUMIFS(DATA!$I:$I,DATA!$C:$C,$B236,DATA!$J:$J,"&gt;="&amp;DATE($I$2,K$4,1),DATA!$J:$J,"&lt;="&amp;DATE($I$2,K$4,K$5))</f>
        <v/>
      </c>
      <c r="L236" s="321">
        <f>SUMIFS(DATA!$I:$I,DATA!$C:$C,$B236,DATA!$J:$J,"&gt;="&amp;DATE($I$2,L$4,1),DATA!$J:$J,"&lt;="&amp;DATE($I$2,L$4,L$5))</f>
        <v/>
      </c>
      <c r="M236" s="321">
        <f>SUMIFS(DATA!$I:$I,DATA!$C:$C,$B236,DATA!$J:$J,"&gt;="&amp;DATE($I$2,M$4,1),DATA!$J:$J,"&lt;="&amp;DATE($I$2,M$4,M$5))</f>
        <v/>
      </c>
      <c r="N236" s="321">
        <f>SUMIFS(DATA!$I:$I,DATA!$C:$C,$B236,DATA!$J:$J,"&gt;="&amp;DATE($I$2,N$4,1),DATA!$J:$J,"&lt;="&amp;DATE($I$2,N$4,N$5))</f>
        <v/>
      </c>
      <c r="O236" s="321">
        <f>SUMIFS(DATA!$I:$I,DATA!$C:$C,$B236,DATA!$J:$J,"&gt;="&amp;DATE($I$2,O$4,1),DATA!$J:$J,"&lt;="&amp;DATE($I$2,O$4,O$5))</f>
        <v/>
      </c>
      <c r="P236" s="322">
        <f>SUM(D236:O236)</f>
        <v/>
      </c>
      <c r="Q236" s="118" t="n"/>
    </row>
    <row r="237" hidden="1" outlineLevel="1" ht="15" customHeight="1">
      <c r="A237" s="266" t="n"/>
      <c r="B237" s="266" t="n"/>
      <c r="C237" s="119" t="inlineStr">
        <is>
          <t>Thực tế</t>
        </is>
      </c>
      <c r="D237" s="321">
        <f>SUMIFS(DATA!$M:$M,DATA!$C:$C,$B236,DATA!$N:$N,"&gt;="&amp;DATE($I$2,D$4,1),DATA!$N:$N,"&lt;="&amp;DATE($I$2,D$4,D$5))</f>
        <v/>
      </c>
      <c r="E237" s="321">
        <f>SUMIFS(DATA!$M:$M,DATA!$C:$C,$B236,DATA!$N:$N,"&gt;="&amp;DATE($I$2,E$4,1),DATA!$N:$N,"&lt;="&amp;DATE($I$2,E$4,E$5))</f>
        <v/>
      </c>
      <c r="F237" s="321">
        <f>SUMIFS(DATA!$M:$M,DATA!$C:$C,$B236,DATA!$N:$N,"&gt;="&amp;DATE($I$2,F$4,1),DATA!$N:$N,"&lt;="&amp;DATE($I$2,F$4,F$5))</f>
        <v/>
      </c>
      <c r="G237" s="321">
        <f>SUMIFS(DATA!$M:$M,DATA!$C:$C,$B236,DATA!$N:$N,"&gt;="&amp;DATE($I$2,G$4,1),DATA!$N:$N,"&lt;="&amp;DATE($I$2,G$4,G$5))</f>
        <v/>
      </c>
      <c r="H237" s="321">
        <f>SUMIFS(DATA!$M:$M,DATA!$C:$C,$B236,DATA!$N:$N,"&gt;="&amp;DATE($I$2,H$4,1),DATA!$N:$N,"&lt;="&amp;DATE($I$2,H$4,H$5))</f>
        <v/>
      </c>
      <c r="I237" s="321">
        <f>SUMIFS(DATA!$M:$M,DATA!$C:$C,$B236,DATA!$N:$N,"&gt;="&amp;DATE($I$2,I$4,1),DATA!$N:$N,"&lt;="&amp;DATE($I$2,I$4,I$5))</f>
        <v/>
      </c>
      <c r="J237" s="321">
        <f>SUMIFS(DATA!$M:$M,DATA!$C:$C,$B236,DATA!$N:$N,"&gt;="&amp;DATE($I$2,J$4,1),DATA!$N:$N,"&lt;="&amp;DATE($I$2,J$4,J$5))</f>
        <v/>
      </c>
      <c r="K237" s="321">
        <f>SUMIFS(DATA!$M:$M,DATA!$C:$C,$B236,DATA!$N:$N,"&gt;="&amp;DATE($I$2,K$4,1),DATA!$N:$N,"&lt;="&amp;DATE($I$2,K$4,K$5))</f>
        <v/>
      </c>
      <c r="L237" s="321">
        <f>SUMIFS(DATA!$M:$M,DATA!$C:$C,$B236,DATA!$N:$N,"&gt;="&amp;DATE($I$2,L$4,1),DATA!$N:$N,"&lt;="&amp;DATE($I$2,L$4,L$5))</f>
        <v/>
      </c>
      <c r="M237" s="321">
        <f>SUMIFS(DATA!$M:$M,DATA!$C:$C,$B236,DATA!$N:$N,"&gt;="&amp;DATE($I$2,M$4,1),DATA!$N:$N,"&lt;="&amp;DATE($I$2,M$4,M$5))</f>
        <v/>
      </c>
      <c r="N237" s="321">
        <f>SUMIFS(DATA!$M:$M,DATA!$C:$C,$B236,DATA!$N:$N,"&gt;="&amp;DATE($I$2,N$4,1),DATA!$N:$N,"&lt;="&amp;DATE($I$2,N$4,N$5))</f>
        <v/>
      </c>
      <c r="O237" s="321">
        <f>SUMIFS(DATA!$M:$M,DATA!$C:$C,$B236,DATA!$N:$N,"&gt;="&amp;DATE($I$2,O$4,1),DATA!$N:$N,"&lt;="&amp;DATE($I$2,O$4,O$5))</f>
        <v/>
      </c>
      <c r="P237" s="322">
        <f>SUM(D237:O237)</f>
        <v/>
      </c>
      <c r="Q237" s="118" t="n"/>
    </row>
    <row r="238" hidden="1" outlineLevel="1" ht="15" customHeight="1">
      <c r="A238" s="269" t="n">
        <v>117</v>
      </c>
      <c r="B238" s="265" t="inlineStr">
        <is>
          <t>CÔNG TY XI MĂNG VICEM HOÀNG THẠCH</t>
        </is>
      </c>
      <c r="C238" s="119" t="inlineStr">
        <is>
          <t>Kế hoạch</t>
        </is>
      </c>
      <c r="D238" s="321">
        <f>SUMIFS(DATA!$I:$I,DATA!$C:$C,$B238,DATA!$J:$J,"&gt;="&amp;DATE($I$2,D$4,1),DATA!$J:$J,"&lt;="&amp;DATE($I$2,D$4,D$5))</f>
        <v/>
      </c>
      <c r="E238" s="321">
        <f>SUMIFS(DATA!$I:$I,DATA!$C:$C,$B238,DATA!$J:$J,"&gt;="&amp;DATE($I$2,E$4,1),DATA!$J:$J,"&lt;="&amp;DATE($I$2,E$4,E$5))</f>
        <v/>
      </c>
      <c r="F238" s="321">
        <f>SUMIFS(DATA!$I:$I,DATA!$C:$C,$B238,DATA!$J:$J,"&gt;="&amp;DATE($I$2,F$4,1),DATA!$J:$J,"&lt;="&amp;DATE($I$2,F$4,F$5))</f>
        <v/>
      </c>
      <c r="G238" s="321">
        <f>SUMIFS(DATA!$I:$I,DATA!$C:$C,$B238,DATA!$J:$J,"&gt;="&amp;DATE($I$2,G$4,1),DATA!$J:$J,"&lt;="&amp;DATE($I$2,G$4,G$5))</f>
        <v/>
      </c>
      <c r="H238" s="321">
        <f>SUMIFS(DATA!$I:$I,DATA!$C:$C,$B238,DATA!$J:$J,"&gt;="&amp;DATE($I$2,H$4,1),DATA!$J:$J,"&lt;="&amp;DATE($I$2,H$4,H$5))</f>
        <v/>
      </c>
      <c r="I238" s="321">
        <f>SUMIFS(DATA!$I:$I,DATA!$C:$C,$B238,DATA!$J:$J,"&gt;="&amp;DATE($I$2,I$4,1),DATA!$J:$J,"&lt;="&amp;DATE($I$2,I$4,I$5))</f>
        <v/>
      </c>
      <c r="J238" s="321">
        <f>SUMIFS(DATA!$I:$I,DATA!$C:$C,$B238,DATA!$J:$J,"&gt;="&amp;DATE($I$2,J$4,1),DATA!$J:$J,"&lt;="&amp;DATE($I$2,J$4,J$5))</f>
        <v/>
      </c>
      <c r="K238" s="321">
        <f>SUMIFS(DATA!$I:$I,DATA!$C:$C,$B238,DATA!$J:$J,"&gt;="&amp;DATE($I$2,K$4,1),DATA!$J:$J,"&lt;="&amp;DATE($I$2,K$4,K$5))</f>
        <v/>
      </c>
      <c r="L238" s="321">
        <f>SUMIFS(DATA!$I:$I,DATA!$C:$C,$B238,DATA!$J:$J,"&gt;="&amp;DATE($I$2,L$4,1),DATA!$J:$J,"&lt;="&amp;DATE($I$2,L$4,L$5))</f>
        <v/>
      </c>
      <c r="M238" s="321">
        <f>SUMIFS(DATA!$I:$I,DATA!$C:$C,$B238,DATA!$J:$J,"&gt;="&amp;DATE($I$2,M$4,1),DATA!$J:$J,"&lt;="&amp;DATE($I$2,M$4,M$5))</f>
        <v/>
      </c>
      <c r="N238" s="321">
        <f>SUMIFS(DATA!$I:$I,DATA!$C:$C,$B238,DATA!$J:$J,"&gt;="&amp;DATE($I$2,N$4,1),DATA!$J:$J,"&lt;="&amp;DATE($I$2,N$4,N$5))</f>
        <v/>
      </c>
      <c r="O238" s="321">
        <f>SUMIFS(DATA!$I:$I,DATA!$C:$C,$B238,DATA!$J:$J,"&gt;="&amp;DATE($I$2,O$4,1),DATA!$J:$J,"&lt;="&amp;DATE($I$2,O$4,O$5))</f>
        <v/>
      </c>
      <c r="P238" s="322">
        <f>SUM(D238:O238)</f>
        <v/>
      </c>
      <c r="Q238" s="118" t="n"/>
    </row>
    <row r="239" hidden="1" outlineLevel="1" ht="15" customHeight="1">
      <c r="A239" s="266" t="n"/>
      <c r="B239" s="266" t="n"/>
      <c r="C239" s="119" t="inlineStr">
        <is>
          <t>Thực tế</t>
        </is>
      </c>
      <c r="D239" s="321">
        <f>SUMIFS(DATA!$M:$M,DATA!$C:$C,$B238,DATA!$N:$N,"&gt;="&amp;DATE($I$2,D$4,1),DATA!$N:$N,"&lt;="&amp;DATE($I$2,D$4,D$5))</f>
        <v/>
      </c>
      <c r="E239" s="321">
        <f>SUMIFS(DATA!$M:$M,DATA!$C:$C,$B238,DATA!$N:$N,"&gt;="&amp;DATE($I$2,E$4,1),DATA!$N:$N,"&lt;="&amp;DATE($I$2,E$4,E$5))</f>
        <v/>
      </c>
      <c r="F239" s="321">
        <f>SUMIFS(DATA!$M:$M,DATA!$C:$C,$B238,DATA!$N:$N,"&gt;="&amp;DATE($I$2,F$4,1),DATA!$N:$N,"&lt;="&amp;DATE($I$2,F$4,F$5))</f>
        <v/>
      </c>
      <c r="G239" s="321">
        <f>SUMIFS(DATA!$M:$M,DATA!$C:$C,$B238,DATA!$N:$N,"&gt;="&amp;DATE($I$2,G$4,1),DATA!$N:$N,"&lt;="&amp;DATE($I$2,G$4,G$5))</f>
        <v/>
      </c>
      <c r="H239" s="321">
        <f>SUMIFS(DATA!$M:$M,DATA!$C:$C,$B238,DATA!$N:$N,"&gt;="&amp;DATE($I$2,H$4,1),DATA!$N:$N,"&lt;="&amp;DATE($I$2,H$4,H$5))</f>
        <v/>
      </c>
      <c r="I239" s="321">
        <f>SUMIFS(DATA!$M:$M,DATA!$C:$C,$B238,DATA!$N:$N,"&gt;="&amp;DATE($I$2,I$4,1),DATA!$N:$N,"&lt;="&amp;DATE($I$2,I$4,I$5))</f>
        <v/>
      </c>
      <c r="J239" s="321">
        <f>SUMIFS(DATA!$M:$M,DATA!$C:$C,$B238,DATA!$N:$N,"&gt;="&amp;DATE($I$2,J$4,1),DATA!$N:$N,"&lt;="&amp;DATE($I$2,J$4,J$5))</f>
        <v/>
      </c>
      <c r="K239" s="321">
        <f>SUMIFS(DATA!$M:$M,DATA!$C:$C,$B238,DATA!$N:$N,"&gt;="&amp;DATE($I$2,K$4,1),DATA!$N:$N,"&lt;="&amp;DATE($I$2,K$4,K$5))</f>
        <v/>
      </c>
      <c r="L239" s="321">
        <f>SUMIFS(DATA!$M:$M,DATA!$C:$C,$B238,DATA!$N:$N,"&gt;="&amp;DATE($I$2,L$4,1),DATA!$N:$N,"&lt;="&amp;DATE($I$2,L$4,L$5))</f>
        <v/>
      </c>
      <c r="M239" s="321">
        <f>SUMIFS(DATA!$M:$M,DATA!$C:$C,$B238,DATA!$N:$N,"&gt;="&amp;DATE($I$2,M$4,1),DATA!$N:$N,"&lt;="&amp;DATE($I$2,M$4,M$5))</f>
        <v/>
      </c>
      <c r="N239" s="321">
        <f>SUMIFS(DATA!$M:$M,DATA!$C:$C,$B238,DATA!$N:$N,"&gt;="&amp;DATE($I$2,N$4,1),DATA!$N:$N,"&lt;="&amp;DATE($I$2,N$4,N$5))</f>
        <v/>
      </c>
      <c r="O239" s="321">
        <f>SUMIFS(DATA!$M:$M,DATA!$C:$C,$B238,DATA!$N:$N,"&gt;="&amp;DATE($I$2,O$4,1),DATA!$N:$N,"&lt;="&amp;DATE($I$2,O$4,O$5))</f>
        <v/>
      </c>
      <c r="P239" s="322">
        <f>SUM(D239:O239)</f>
        <v/>
      </c>
      <c r="Q239" s="118" t="n"/>
    </row>
    <row r="240" hidden="1" outlineLevel="1" ht="15" customHeight="1">
      <c r="A240" s="269" t="n">
        <v>118</v>
      </c>
      <c r="B240" s="265" t="inlineStr">
        <is>
          <t>CÔNG TY TNHH MITSUBISHI ELECTRIC VIỆT NAM (MITSUBISHI ELECTRIC VIETNAM)</t>
        </is>
      </c>
      <c r="C240" s="119" t="inlineStr">
        <is>
          <t>Kế hoạch</t>
        </is>
      </c>
      <c r="D240" s="321">
        <f>SUMIFS(DATA!$I:$I,DATA!$C:$C,$B240,DATA!$J:$J,"&gt;="&amp;DATE($I$2,D$4,1),DATA!$J:$J,"&lt;="&amp;DATE($I$2,D$4,D$5))</f>
        <v/>
      </c>
      <c r="E240" s="321">
        <f>SUMIFS(DATA!$I:$I,DATA!$C:$C,$B240,DATA!$J:$J,"&gt;="&amp;DATE($I$2,E$4,1),DATA!$J:$J,"&lt;="&amp;DATE($I$2,E$4,E$5))</f>
        <v/>
      </c>
      <c r="F240" s="321">
        <f>SUMIFS(DATA!$I:$I,DATA!$C:$C,$B240,DATA!$J:$J,"&gt;="&amp;DATE($I$2,F$4,1),DATA!$J:$J,"&lt;="&amp;DATE($I$2,F$4,F$5))</f>
        <v/>
      </c>
      <c r="G240" s="321">
        <f>SUMIFS(DATA!$I:$I,DATA!$C:$C,$B240,DATA!$J:$J,"&gt;="&amp;DATE($I$2,G$4,1),DATA!$J:$J,"&lt;="&amp;DATE($I$2,G$4,G$5))</f>
        <v/>
      </c>
      <c r="H240" s="321">
        <f>SUMIFS(DATA!$I:$I,DATA!$C:$C,$B240,DATA!$J:$J,"&gt;="&amp;DATE($I$2,H$4,1),DATA!$J:$J,"&lt;="&amp;DATE($I$2,H$4,H$5))</f>
        <v/>
      </c>
      <c r="I240" s="321">
        <f>SUMIFS(DATA!$I:$I,DATA!$C:$C,$B240,DATA!$J:$J,"&gt;="&amp;DATE($I$2,I$4,1),DATA!$J:$J,"&lt;="&amp;DATE($I$2,I$4,I$5))</f>
        <v/>
      </c>
      <c r="J240" s="321">
        <f>SUMIFS(DATA!$I:$I,DATA!$C:$C,$B240,DATA!$J:$J,"&gt;="&amp;DATE($I$2,J$4,1),DATA!$J:$J,"&lt;="&amp;DATE($I$2,J$4,J$5))</f>
        <v/>
      </c>
      <c r="K240" s="321">
        <f>SUMIFS(DATA!$I:$I,DATA!$C:$C,$B240,DATA!$J:$J,"&gt;="&amp;DATE($I$2,K$4,1),DATA!$J:$J,"&lt;="&amp;DATE($I$2,K$4,K$5))</f>
        <v/>
      </c>
      <c r="L240" s="321">
        <f>SUMIFS(DATA!$I:$I,DATA!$C:$C,$B240,DATA!$J:$J,"&gt;="&amp;DATE($I$2,L$4,1),DATA!$J:$J,"&lt;="&amp;DATE($I$2,L$4,L$5))</f>
        <v/>
      </c>
      <c r="M240" s="321">
        <f>SUMIFS(DATA!$I:$I,DATA!$C:$C,$B240,DATA!$J:$J,"&gt;="&amp;DATE($I$2,M$4,1),DATA!$J:$J,"&lt;="&amp;DATE($I$2,M$4,M$5))</f>
        <v/>
      </c>
      <c r="N240" s="321">
        <f>SUMIFS(DATA!$I:$I,DATA!$C:$C,$B240,DATA!$J:$J,"&gt;="&amp;DATE($I$2,N$4,1),DATA!$J:$J,"&lt;="&amp;DATE($I$2,N$4,N$5))</f>
        <v/>
      </c>
      <c r="O240" s="321">
        <f>SUMIFS(DATA!$I:$I,DATA!$C:$C,$B240,DATA!$J:$J,"&gt;="&amp;DATE($I$2,O$4,1),DATA!$J:$J,"&lt;="&amp;DATE($I$2,O$4,O$5))</f>
        <v/>
      </c>
      <c r="P240" s="322">
        <f>SUM(D240:O240)</f>
        <v/>
      </c>
      <c r="Q240" s="118" t="n"/>
    </row>
    <row r="241" hidden="1" outlineLevel="1" ht="15" customHeight="1">
      <c r="A241" s="266" t="n"/>
      <c r="B241" s="266" t="n"/>
      <c r="C241" s="119" t="inlineStr">
        <is>
          <t>Thực tế</t>
        </is>
      </c>
      <c r="D241" s="321">
        <f>SUMIFS(DATA!$M:$M,DATA!$C:$C,$B240,DATA!$N:$N,"&gt;="&amp;DATE($I$2,D$4,1),DATA!$N:$N,"&lt;="&amp;DATE($I$2,D$4,D$5))</f>
        <v/>
      </c>
      <c r="E241" s="321">
        <f>SUMIFS(DATA!$M:$M,DATA!$C:$C,$B240,DATA!$N:$N,"&gt;="&amp;DATE($I$2,E$4,1),DATA!$N:$N,"&lt;="&amp;DATE($I$2,E$4,E$5))</f>
        <v/>
      </c>
      <c r="F241" s="321">
        <f>SUMIFS(DATA!$M:$M,DATA!$C:$C,$B240,DATA!$N:$N,"&gt;="&amp;DATE($I$2,F$4,1),DATA!$N:$N,"&lt;="&amp;DATE($I$2,F$4,F$5))</f>
        <v/>
      </c>
      <c r="G241" s="321">
        <f>SUMIFS(DATA!$M:$M,DATA!$C:$C,$B240,DATA!$N:$N,"&gt;="&amp;DATE($I$2,G$4,1),DATA!$N:$N,"&lt;="&amp;DATE($I$2,G$4,G$5))</f>
        <v/>
      </c>
      <c r="H241" s="321">
        <f>SUMIFS(DATA!$M:$M,DATA!$C:$C,$B240,DATA!$N:$N,"&gt;="&amp;DATE($I$2,H$4,1),DATA!$N:$N,"&lt;="&amp;DATE($I$2,H$4,H$5))</f>
        <v/>
      </c>
      <c r="I241" s="321">
        <f>SUMIFS(DATA!$M:$M,DATA!$C:$C,$B240,DATA!$N:$N,"&gt;="&amp;DATE($I$2,I$4,1),DATA!$N:$N,"&lt;="&amp;DATE($I$2,I$4,I$5))</f>
        <v/>
      </c>
      <c r="J241" s="321">
        <f>SUMIFS(DATA!$M:$M,DATA!$C:$C,$B240,DATA!$N:$N,"&gt;="&amp;DATE($I$2,J$4,1),DATA!$N:$N,"&lt;="&amp;DATE($I$2,J$4,J$5))</f>
        <v/>
      </c>
      <c r="K241" s="321">
        <f>SUMIFS(DATA!$M:$M,DATA!$C:$C,$B240,DATA!$N:$N,"&gt;="&amp;DATE($I$2,K$4,1),DATA!$N:$N,"&lt;="&amp;DATE($I$2,K$4,K$5))</f>
        <v/>
      </c>
      <c r="L241" s="321">
        <f>SUMIFS(DATA!$M:$M,DATA!$C:$C,$B240,DATA!$N:$N,"&gt;="&amp;DATE($I$2,L$4,1),DATA!$N:$N,"&lt;="&amp;DATE($I$2,L$4,L$5))</f>
        <v/>
      </c>
      <c r="M241" s="321">
        <f>SUMIFS(DATA!$M:$M,DATA!$C:$C,$B240,DATA!$N:$N,"&gt;="&amp;DATE($I$2,M$4,1),DATA!$N:$N,"&lt;="&amp;DATE($I$2,M$4,M$5))</f>
        <v/>
      </c>
      <c r="N241" s="321">
        <f>SUMIFS(DATA!$M:$M,DATA!$C:$C,$B240,DATA!$N:$N,"&gt;="&amp;DATE($I$2,N$4,1),DATA!$N:$N,"&lt;="&amp;DATE($I$2,N$4,N$5))</f>
        <v/>
      </c>
      <c r="O241" s="321">
        <f>SUMIFS(DATA!$M:$M,DATA!$C:$C,$B240,DATA!$N:$N,"&gt;="&amp;DATE($I$2,O$4,1),DATA!$N:$N,"&lt;="&amp;DATE($I$2,O$4,O$5))</f>
        <v/>
      </c>
      <c r="P241" s="322">
        <f>SUM(D241:O241)</f>
        <v/>
      </c>
      <c r="Q241" s="118" t="n"/>
    </row>
    <row r="242" hidden="1" outlineLevel="1" ht="15" customHeight="1">
      <c r="A242" s="269" t="n">
        <v>119</v>
      </c>
      <c r="B242" s="265" t="inlineStr">
        <is>
          <t>CT1 - HẢI ĐĂNG CITY</t>
        </is>
      </c>
      <c r="C242" s="119" t="inlineStr">
        <is>
          <t>Kế hoạch</t>
        </is>
      </c>
      <c r="D242" s="321">
        <f>SUMIFS(DATA!$I:$I,DATA!$C:$C,$B242,DATA!$J:$J,"&gt;="&amp;DATE($I$2,D$4,1),DATA!$J:$J,"&lt;="&amp;DATE($I$2,D$4,D$5))</f>
        <v/>
      </c>
      <c r="E242" s="321">
        <f>SUMIFS(DATA!$I:$I,DATA!$C:$C,$B242,DATA!$J:$J,"&gt;="&amp;DATE($I$2,E$4,1),DATA!$J:$J,"&lt;="&amp;DATE($I$2,E$4,E$5))</f>
        <v/>
      </c>
      <c r="F242" s="321">
        <f>SUMIFS(DATA!$I:$I,DATA!$C:$C,$B242,DATA!$J:$J,"&gt;="&amp;DATE($I$2,F$4,1),DATA!$J:$J,"&lt;="&amp;DATE($I$2,F$4,F$5))</f>
        <v/>
      </c>
      <c r="G242" s="321">
        <f>SUMIFS(DATA!$I:$I,DATA!$C:$C,$B242,DATA!$J:$J,"&gt;="&amp;DATE($I$2,G$4,1),DATA!$J:$J,"&lt;="&amp;DATE($I$2,G$4,G$5))</f>
        <v/>
      </c>
      <c r="H242" s="321">
        <f>SUMIFS(DATA!$I:$I,DATA!$C:$C,$B242,DATA!$J:$J,"&gt;="&amp;DATE($I$2,H$4,1),DATA!$J:$J,"&lt;="&amp;DATE($I$2,H$4,H$5))</f>
        <v/>
      </c>
      <c r="I242" s="321">
        <f>SUMIFS(DATA!$I:$I,DATA!$C:$C,$B242,DATA!$J:$J,"&gt;="&amp;DATE($I$2,I$4,1),DATA!$J:$J,"&lt;="&amp;DATE($I$2,I$4,I$5))</f>
        <v/>
      </c>
      <c r="J242" s="321">
        <f>SUMIFS(DATA!$I:$I,DATA!$C:$C,$B242,DATA!$J:$J,"&gt;="&amp;DATE($I$2,J$4,1),DATA!$J:$J,"&lt;="&amp;DATE($I$2,J$4,J$5))</f>
        <v/>
      </c>
      <c r="K242" s="321">
        <f>SUMIFS(DATA!$I:$I,DATA!$C:$C,$B242,DATA!$J:$J,"&gt;="&amp;DATE($I$2,K$4,1),DATA!$J:$J,"&lt;="&amp;DATE($I$2,K$4,K$5))</f>
        <v/>
      </c>
      <c r="L242" s="321">
        <f>SUMIFS(DATA!$I:$I,DATA!$C:$C,$B242,DATA!$J:$J,"&gt;="&amp;DATE($I$2,L$4,1),DATA!$J:$J,"&lt;="&amp;DATE($I$2,L$4,L$5))</f>
        <v/>
      </c>
      <c r="M242" s="321">
        <f>SUMIFS(DATA!$I:$I,DATA!$C:$C,$B242,DATA!$J:$J,"&gt;="&amp;DATE($I$2,M$4,1),DATA!$J:$J,"&lt;="&amp;DATE($I$2,M$4,M$5))</f>
        <v/>
      </c>
      <c r="N242" s="321">
        <f>SUMIFS(DATA!$I:$I,DATA!$C:$C,$B242,DATA!$J:$J,"&gt;="&amp;DATE($I$2,N$4,1),DATA!$J:$J,"&lt;="&amp;DATE($I$2,N$4,N$5))</f>
        <v/>
      </c>
      <c r="O242" s="321">
        <f>SUMIFS(DATA!$I:$I,DATA!$C:$C,$B242,DATA!$J:$J,"&gt;="&amp;DATE($I$2,O$4,1),DATA!$J:$J,"&lt;="&amp;DATE($I$2,O$4,O$5))</f>
        <v/>
      </c>
      <c r="P242" s="322">
        <f>SUM(D242:O242)</f>
        <v/>
      </c>
      <c r="Q242" s="118" t="n"/>
    </row>
    <row r="243" hidden="1" outlineLevel="1" ht="15" customHeight="1">
      <c r="A243" s="266" t="n"/>
      <c r="B243" s="266" t="n"/>
      <c r="C243" s="119" t="inlineStr">
        <is>
          <t>Thực tế</t>
        </is>
      </c>
      <c r="D243" s="321">
        <f>SUMIFS(DATA!$M:$M,DATA!$C:$C,$B242,DATA!$N:$N,"&gt;="&amp;DATE($I$2,D$4,1),DATA!$N:$N,"&lt;="&amp;DATE($I$2,D$4,D$5))</f>
        <v/>
      </c>
      <c r="E243" s="321">
        <f>SUMIFS(DATA!$M:$M,DATA!$C:$C,$B242,DATA!$N:$N,"&gt;="&amp;DATE($I$2,E$4,1),DATA!$N:$N,"&lt;="&amp;DATE($I$2,E$4,E$5))</f>
        <v/>
      </c>
      <c r="F243" s="321">
        <f>SUMIFS(DATA!$M:$M,DATA!$C:$C,$B242,DATA!$N:$N,"&gt;="&amp;DATE($I$2,F$4,1),DATA!$N:$N,"&lt;="&amp;DATE($I$2,F$4,F$5))</f>
        <v/>
      </c>
      <c r="G243" s="321">
        <f>SUMIFS(DATA!$M:$M,DATA!$C:$C,$B242,DATA!$N:$N,"&gt;="&amp;DATE($I$2,G$4,1),DATA!$N:$N,"&lt;="&amp;DATE($I$2,G$4,G$5))</f>
        <v/>
      </c>
      <c r="H243" s="321">
        <f>SUMIFS(DATA!$M:$M,DATA!$C:$C,$B242,DATA!$N:$N,"&gt;="&amp;DATE($I$2,H$4,1),DATA!$N:$N,"&lt;="&amp;DATE($I$2,H$4,H$5))</f>
        <v/>
      </c>
      <c r="I243" s="321">
        <f>SUMIFS(DATA!$M:$M,DATA!$C:$C,$B242,DATA!$N:$N,"&gt;="&amp;DATE($I$2,I$4,1),DATA!$N:$N,"&lt;="&amp;DATE($I$2,I$4,I$5))</f>
        <v/>
      </c>
      <c r="J243" s="321">
        <f>SUMIFS(DATA!$M:$M,DATA!$C:$C,$B242,DATA!$N:$N,"&gt;="&amp;DATE($I$2,J$4,1),DATA!$N:$N,"&lt;="&amp;DATE($I$2,J$4,J$5))</f>
        <v/>
      </c>
      <c r="K243" s="321">
        <f>SUMIFS(DATA!$M:$M,DATA!$C:$C,$B242,DATA!$N:$N,"&gt;="&amp;DATE($I$2,K$4,1),DATA!$N:$N,"&lt;="&amp;DATE($I$2,K$4,K$5))</f>
        <v/>
      </c>
      <c r="L243" s="321">
        <f>SUMIFS(DATA!$M:$M,DATA!$C:$C,$B242,DATA!$N:$N,"&gt;="&amp;DATE($I$2,L$4,1),DATA!$N:$N,"&lt;="&amp;DATE($I$2,L$4,L$5))</f>
        <v/>
      </c>
      <c r="M243" s="321">
        <f>SUMIFS(DATA!$M:$M,DATA!$C:$C,$B242,DATA!$N:$N,"&gt;="&amp;DATE($I$2,M$4,1),DATA!$N:$N,"&lt;="&amp;DATE($I$2,M$4,M$5))</f>
        <v/>
      </c>
      <c r="N243" s="321">
        <f>SUMIFS(DATA!$M:$M,DATA!$C:$C,$B242,DATA!$N:$N,"&gt;="&amp;DATE($I$2,N$4,1),DATA!$N:$N,"&lt;="&amp;DATE($I$2,N$4,N$5))</f>
        <v/>
      </c>
      <c r="O243" s="321">
        <f>SUMIFS(DATA!$M:$M,DATA!$C:$C,$B242,DATA!$N:$N,"&gt;="&amp;DATE($I$2,O$4,1),DATA!$N:$N,"&lt;="&amp;DATE($I$2,O$4,O$5))</f>
        <v/>
      </c>
      <c r="P243" s="322">
        <f>SUM(D243:O243)</f>
        <v/>
      </c>
      <c r="Q243" s="118" t="n"/>
    </row>
    <row r="244" hidden="1" outlineLevel="1" ht="15" customHeight="1">
      <c r="A244" s="269" t="n">
        <v>120</v>
      </c>
      <c r="B244" s="265" t="inlineStr">
        <is>
          <t>FRENCH EMBASSY</t>
        </is>
      </c>
      <c r="C244" s="119" t="inlineStr">
        <is>
          <t>Kế hoạch</t>
        </is>
      </c>
      <c r="D244" s="321">
        <f>SUMIFS(DATA!$I:$I,DATA!$C:$C,$B244,DATA!$J:$J,"&gt;="&amp;DATE($I$2,D$4,1),DATA!$J:$J,"&lt;="&amp;DATE($I$2,D$4,D$5))</f>
        <v/>
      </c>
      <c r="E244" s="321">
        <f>SUMIFS(DATA!$I:$I,DATA!$C:$C,$B244,DATA!$J:$J,"&gt;="&amp;DATE($I$2,E$4,1),DATA!$J:$J,"&lt;="&amp;DATE($I$2,E$4,E$5))</f>
        <v/>
      </c>
      <c r="F244" s="321">
        <f>SUMIFS(DATA!$I:$I,DATA!$C:$C,$B244,DATA!$J:$J,"&gt;="&amp;DATE($I$2,F$4,1),DATA!$J:$J,"&lt;="&amp;DATE($I$2,F$4,F$5))</f>
        <v/>
      </c>
      <c r="G244" s="321">
        <f>SUMIFS(DATA!$I:$I,DATA!$C:$C,$B244,DATA!$J:$J,"&gt;="&amp;DATE($I$2,G$4,1),DATA!$J:$J,"&lt;="&amp;DATE($I$2,G$4,G$5))</f>
        <v/>
      </c>
      <c r="H244" s="321">
        <f>SUMIFS(DATA!$I:$I,DATA!$C:$C,$B244,DATA!$J:$J,"&gt;="&amp;DATE($I$2,H$4,1),DATA!$J:$J,"&lt;="&amp;DATE($I$2,H$4,H$5))</f>
        <v/>
      </c>
      <c r="I244" s="321">
        <f>SUMIFS(DATA!$I:$I,DATA!$C:$C,$B244,DATA!$J:$J,"&gt;="&amp;DATE($I$2,I$4,1),DATA!$J:$J,"&lt;="&amp;DATE($I$2,I$4,I$5))</f>
        <v/>
      </c>
      <c r="J244" s="321">
        <f>SUMIFS(DATA!$I:$I,DATA!$C:$C,$B244,DATA!$J:$J,"&gt;="&amp;DATE($I$2,J$4,1),DATA!$J:$J,"&lt;="&amp;DATE($I$2,J$4,J$5))</f>
        <v/>
      </c>
      <c r="K244" s="321">
        <f>SUMIFS(DATA!$I:$I,DATA!$C:$C,$B244,DATA!$J:$J,"&gt;="&amp;DATE($I$2,K$4,1),DATA!$J:$J,"&lt;="&amp;DATE($I$2,K$4,K$5))</f>
        <v/>
      </c>
      <c r="L244" s="321">
        <f>SUMIFS(DATA!$I:$I,DATA!$C:$C,$B244,DATA!$J:$J,"&gt;="&amp;DATE($I$2,L$4,1),DATA!$J:$J,"&lt;="&amp;DATE($I$2,L$4,L$5))</f>
        <v/>
      </c>
      <c r="M244" s="321">
        <f>SUMIFS(DATA!$I:$I,DATA!$C:$C,$B244,DATA!$J:$J,"&gt;="&amp;DATE($I$2,M$4,1),DATA!$J:$J,"&lt;="&amp;DATE($I$2,M$4,M$5))</f>
        <v/>
      </c>
      <c r="N244" s="321">
        <f>SUMIFS(DATA!$I:$I,DATA!$C:$C,$B244,DATA!$J:$J,"&gt;="&amp;DATE($I$2,N$4,1),DATA!$J:$J,"&lt;="&amp;DATE($I$2,N$4,N$5))</f>
        <v/>
      </c>
      <c r="O244" s="321">
        <f>SUMIFS(DATA!$I:$I,DATA!$C:$C,$B244,DATA!$J:$J,"&gt;="&amp;DATE($I$2,O$4,1),DATA!$J:$J,"&lt;="&amp;DATE($I$2,O$4,O$5))</f>
        <v/>
      </c>
      <c r="P244" s="322">
        <f>SUM(D244:O244)</f>
        <v/>
      </c>
      <c r="Q244" s="118" t="n"/>
    </row>
    <row r="245" hidden="1" outlineLevel="1" ht="15" customHeight="1">
      <c r="A245" s="266" t="n"/>
      <c r="B245" s="266" t="n"/>
      <c r="C245" s="119" t="inlineStr">
        <is>
          <t>Thực tế</t>
        </is>
      </c>
      <c r="D245" s="321">
        <f>SUMIFS(DATA!$M:$M,DATA!$C:$C,$B244,DATA!$N:$N,"&gt;="&amp;DATE($I$2,D$4,1),DATA!$N:$N,"&lt;="&amp;DATE($I$2,D$4,D$5))</f>
        <v/>
      </c>
      <c r="E245" s="321">
        <f>SUMIFS(DATA!$M:$M,DATA!$C:$C,$B244,DATA!$N:$N,"&gt;="&amp;DATE($I$2,E$4,1),DATA!$N:$N,"&lt;="&amp;DATE($I$2,E$4,E$5))</f>
        <v/>
      </c>
      <c r="F245" s="321">
        <f>SUMIFS(DATA!$M:$M,DATA!$C:$C,$B244,DATA!$N:$N,"&gt;="&amp;DATE($I$2,F$4,1),DATA!$N:$N,"&lt;="&amp;DATE($I$2,F$4,F$5))</f>
        <v/>
      </c>
      <c r="G245" s="321">
        <f>SUMIFS(DATA!$M:$M,DATA!$C:$C,$B244,DATA!$N:$N,"&gt;="&amp;DATE($I$2,G$4,1),DATA!$N:$N,"&lt;="&amp;DATE($I$2,G$4,G$5))</f>
        <v/>
      </c>
      <c r="H245" s="321">
        <f>SUMIFS(DATA!$M:$M,DATA!$C:$C,$B244,DATA!$N:$N,"&gt;="&amp;DATE($I$2,H$4,1),DATA!$N:$N,"&lt;="&amp;DATE($I$2,H$4,H$5))</f>
        <v/>
      </c>
      <c r="I245" s="321">
        <f>SUMIFS(DATA!$M:$M,DATA!$C:$C,$B244,DATA!$N:$N,"&gt;="&amp;DATE($I$2,I$4,1),DATA!$N:$N,"&lt;="&amp;DATE($I$2,I$4,I$5))</f>
        <v/>
      </c>
      <c r="J245" s="321">
        <f>SUMIFS(DATA!$M:$M,DATA!$C:$C,$B244,DATA!$N:$N,"&gt;="&amp;DATE($I$2,J$4,1),DATA!$N:$N,"&lt;="&amp;DATE($I$2,J$4,J$5))</f>
        <v/>
      </c>
      <c r="K245" s="321">
        <f>SUMIFS(DATA!$M:$M,DATA!$C:$C,$B244,DATA!$N:$N,"&gt;="&amp;DATE($I$2,K$4,1),DATA!$N:$N,"&lt;="&amp;DATE($I$2,K$4,K$5))</f>
        <v/>
      </c>
      <c r="L245" s="321">
        <f>SUMIFS(DATA!$M:$M,DATA!$C:$C,$B244,DATA!$N:$N,"&gt;="&amp;DATE($I$2,L$4,1),DATA!$N:$N,"&lt;="&amp;DATE($I$2,L$4,L$5))</f>
        <v/>
      </c>
      <c r="M245" s="321">
        <f>SUMIFS(DATA!$M:$M,DATA!$C:$C,$B244,DATA!$N:$N,"&gt;="&amp;DATE($I$2,M$4,1),DATA!$N:$N,"&lt;="&amp;DATE($I$2,M$4,M$5))</f>
        <v/>
      </c>
      <c r="N245" s="321">
        <f>SUMIFS(DATA!$M:$M,DATA!$C:$C,$B244,DATA!$N:$N,"&gt;="&amp;DATE($I$2,N$4,1),DATA!$N:$N,"&lt;="&amp;DATE($I$2,N$4,N$5))</f>
        <v/>
      </c>
      <c r="O245" s="321">
        <f>SUMIFS(DATA!$M:$M,DATA!$C:$C,$B244,DATA!$N:$N,"&gt;="&amp;DATE($I$2,O$4,1),DATA!$N:$N,"&lt;="&amp;DATE($I$2,O$4,O$5))</f>
        <v/>
      </c>
      <c r="P245" s="322">
        <f>SUM(D245:O245)</f>
        <v/>
      </c>
      <c r="Q245" s="118" t="n"/>
    </row>
    <row r="246" hidden="1" outlineLevel="1" ht="15" customHeight="1">
      <c r="A246" s="269" t="n">
        <v>121</v>
      </c>
      <c r="B246" s="265" t="inlineStr">
        <is>
          <t>FPT FORNIX</t>
        </is>
      </c>
      <c r="C246" s="119" t="inlineStr">
        <is>
          <t>Kế hoạch</t>
        </is>
      </c>
      <c r="D246" s="321">
        <f>SUMIFS(DATA!$I:$I,DATA!$C:$C,$B246,DATA!$J:$J,"&gt;="&amp;DATE($I$2,D$4,1),DATA!$J:$J,"&lt;="&amp;DATE($I$2,D$4,D$5))</f>
        <v/>
      </c>
      <c r="E246" s="321">
        <f>SUMIFS(DATA!$I:$I,DATA!$C:$C,$B246,DATA!$J:$J,"&gt;="&amp;DATE($I$2,E$4,1),DATA!$J:$J,"&lt;="&amp;DATE($I$2,E$4,E$5))</f>
        <v/>
      </c>
      <c r="F246" s="321">
        <f>SUMIFS(DATA!$I:$I,DATA!$C:$C,$B246,DATA!$J:$J,"&gt;="&amp;DATE($I$2,F$4,1),DATA!$J:$J,"&lt;="&amp;DATE($I$2,F$4,F$5))</f>
        <v/>
      </c>
      <c r="G246" s="321">
        <f>SUMIFS(DATA!$I:$I,DATA!$C:$C,$B246,DATA!$J:$J,"&gt;="&amp;DATE($I$2,G$4,1),DATA!$J:$J,"&lt;="&amp;DATE($I$2,G$4,G$5))</f>
        <v/>
      </c>
      <c r="H246" s="321">
        <f>SUMIFS(DATA!$I:$I,DATA!$C:$C,$B246,DATA!$J:$J,"&gt;="&amp;DATE($I$2,H$4,1),DATA!$J:$J,"&lt;="&amp;DATE($I$2,H$4,H$5))</f>
        <v/>
      </c>
      <c r="I246" s="321">
        <f>SUMIFS(DATA!$I:$I,DATA!$C:$C,$B246,DATA!$J:$J,"&gt;="&amp;DATE($I$2,I$4,1),DATA!$J:$J,"&lt;="&amp;DATE($I$2,I$4,I$5))</f>
        <v/>
      </c>
      <c r="J246" s="321">
        <f>SUMIFS(DATA!$I:$I,DATA!$C:$C,$B246,DATA!$J:$J,"&gt;="&amp;DATE($I$2,J$4,1),DATA!$J:$J,"&lt;="&amp;DATE($I$2,J$4,J$5))</f>
        <v/>
      </c>
      <c r="K246" s="321">
        <f>SUMIFS(DATA!$I:$I,DATA!$C:$C,$B246,DATA!$J:$J,"&gt;="&amp;DATE($I$2,K$4,1),DATA!$J:$J,"&lt;="&amp;DATE($I$2,K$4,K$5))</f>
        <v/>
      </c>
      <c r="L246" s="321">
        <f>SUMIFS(DATA!$I:$I,DATA!$C:$C,$B246,DATA!$J:$J,"&gt;="&amp;DATE($I$2,L$4,1),DATA!$J:$J,"&lt;="&amp;DATE($I$2,L$4,L$5))</f>
        <v/>
      </c>
      <c r="M246" s="321">
        <f>SUMIFS(DATA!$I:$I,DATA!$C:$C,$B246,DATA!$J:$J,"&gt;="&amp;DATE($I$2,M$4,1),DATA!$J:$J,"&lt;="&amp;DATE($I$2,M$4,M$5))</f>
        <v/>
      </c>
      <c r="N246" s="321">
        <f>SUMIFS(DATA!$I:$I,DATA!$C:$C,$B246,DATA!$J:$J,"&gt;="&amp;DATE($I$2,N$4,1),DATA!$J:$J,"&lt;="&amp;DATE($I$2,N$4,N$5))</f>
        <v/>
      </c>
      <c r="O246" s="321">
        <f>SUMIFS(DATA!$I:$I,DATA!$C:$C,$B246,DATA!$J:$J,"&gt;="&amp;DATE($I$2,O$4,1),DATA!$J:$J,"&lt;="&amp;DATE($I$2,O$4,O$5))</f>
        <v/>
      </c>
      <c r="P246" s="322">
        <f>SUM(D246:O246)</f>
        <v/>
      </c>
      <c r="Q246" s="118" t="n"/>
    </row>
    <row r="247" hidden="1" outlineLevel="1" ht="15" customHeight="1">
      <c r="A247" s="266" t="n"/>
      <c r="B247" s="266" t="n"/>
      <c r="C247" s="119" t="inlineStr">
        <is>
          <t>Thực tế</t>
        </is>
      </c>
      <c r="D247" s="321">
        <f>SUMIFS(DATA!$M:$M,DATA!$C:$C,$B246,DATA!$N:$N,"&gt;="&amp;DATE($I$2,D$4,1),DATA!$N:$N,"&lt;="&amp;DATE($I$2,D$4,D$5))</f>
        <v/>
      </c>
      <c r="E247" s="321">
        <f>SUMIFS(DATA!$M:$M,DATA!$C:$C,$B246,DATA!$N:$N,"&gt;="&amp;DATE($I$2,E$4,1),DATA!$N:$N,"&lt;="&amp;DATE($I$2,E$4,E$5))</f>
        <v/>
      </c>
      <c r="F247" s="321">
        <f>SUMIFS(DATA!$M:$M,DATA!$C:$C,$B246,DATA!$N:$N,"&gt;="&amp;DATE($I$2,F$4,1),DATA!$N:$N,"&lt;="&amp;DATE($I$2,F$4,F$5))</f>
        <v/>
      </c>
      <c r="G247" s="321">
        <f>SUMIFS(DATA!$M:$M,DATA!$C:$C,$B246,DATA!$N:$N,"&gt;="&amp;DATE($I$2,G$4,1),DATA!$N:$N,"&lt;="&amp;DATE($I$2,G$4,G$5))</f>
        <v/>
      </c>
      <c r="H247" s="321">
        <f>SUMIFS(DATA!$M:$M,DATA!$C:$C,$B246,DATA!$N:$N,"&gt;="&amp;DATE($I$2,H$4,1),DATA!$N:$N,"&lt;="&amp;DATE($I$2,H$4,H$5))</f>
        <v/>
      </c>
      <c r="I247" s="321">
        <f>SUMIFS(DATA!$M:$M,DATA!$C:$C,$B246,DATA!$N:$N,"&gt;="&amp;DATE($I$2,I$4,1),DATA!$N:$N,"&lt;="&amp;DATE($I$2,I$4,I$5))</f>
        <v/>
      </c>
      <c r="J247" s="321">
        <f>SUMIFS(DATA!$M:$M,DATA!$C:$C,$B246,DATA!$N:$N,"&gt;="&amp;DATE($I$2,J$4,1),DATA!$N:$N,"&lt;="&amp;DATE($I$2,J$4,J$5))</f>
        <v/>
      </c>
      <c r="K247" s="321">
        <f>SUMIFS(DATA!$M:$M,DATA!$C:$C,$B246,DATA!$N:$N,"&gt;="&amp;DATE($I$2,K$4,1),DATA!$N:$N,"&lt;="&amp;DATE($I$2,K$4,K$5))</f>
        <v/>
      </c>
      <c r="L247" s="321">
        <f>SUMIFS(DATA!$M:$M,DATA!$C:$C,$B246,DATA!$N:$N,"&gt;="&amp;DATE($I$2,L$4,1),DATA!$N:$N,"&lt;="&amp;DATE($I$2,L$4,L$5))</f>
        <v/>
      </c>
      <c r="M247" s="321">
        <f>SUMIFS(DATA!$M:$M,DATA!$C:$C,$B246,DATA!$N:$N,"&gt;="&amp;DATE($I$2,M$4,1),DATA!$N:$N,"&lt;="&amp;DATE($I$2,M$4,M$5))</f>
        <v/>
      </c>
      <c r="N247" s="321">
        <f>SUMIFS(DATA!$M:$M,DATA!$C:$C,$B246,DATA!$N:$N,"&gt;="&amp;DATE($I$2,N$4,1),DATA!$N:$N,"&lt;="&amp;DATE($I$2,N$4,N$5))</f>
        <v/>
      </c>
      <c r="O247" s="321">
        <f>SUMIFS(DATA!$M:$M,DATA!$C:$C,$B246,DATA!$N:$N,"&gt;="&amp;DATE($I$2,O$4,1),DATA!$N:$N,"&lt;="&amp;DATE($I$2,O$4,O$5))</f>
        <v/>
      </c>
      <c r="P247" s="322">
        <f>SUM(D247:O247)</f>
        <v/>
      </c>
      <c r="Q247" s="118" t="n"/>
    </row>
    <row r="248" hidden="1" outlineLevel="1" ht="15" customHeight="1">
      <c r="A248" s="269" t="n">
        <v>122</v>
      </c>
      <c r="B248" s="265" t="inlineStr">
        <is>
          <t>Mr.Niềm</t>
        </is>
      </c>
      <c r="C248" s="119" t="inlineStr">
        <is>
          <t>Kế hoạch</t>
        </is>
      </c>
      <c r="D248" s="321">
        <f>SUMIFS(DATA!$I:$I,DATA!$C:$C,$B248,DATA!$J:$J,"&gt;="&amp;DATE($I$2,D$4,1),DATA!$J:$J,"&lt;="&amp;DATE($I$2,D$4,D$5))</f>
        <v/>
      </c>
      <c r="E248" s="321">
        <f>SUMIFS(DATA!$I:$I,DATA!$C:$C,$B248,DATA!$J:$J,"&gt;="&amp;DATE($I$2,E$4,1),DATA!$J:$J,"&lt;="&amp;DATE($I$2,E$4,E$5))</f>
        <v/>
      </c>
      <c r="F248" s="321">
        <f>SUMIFS(DATA!$I:$I,DATA!$C:$C,$B248,DATA!$J:$J,"&gt;="&amp;DATE($I$2,F$4,1),DATA!$J:$J,"&lt;="&amp;DATE($I$2,F$4,F$5))</f>
        <v/>
      </c>
      <c r="G248" s="321">
        <f>SUMIFS(DATA!$I:$I,DATA!$C:$C,$B248,DATA!$J:$J,"&gt;="&amp;DATE($I$2,G$4,1),DATA!$J:$J,"&lt;="&amp;DATE($I$2,G$4,G$5))</f>
        <v/>
      </c>
      <c r="H248" s="321">
        <f>SUMIFS(DATA!$I:$I,DATA!$C:$C,$B248,DATA!$J:$J,"&gt;="&amp;DATE($I$2,H$4,1),DATA!$J:$J,"&lt;="&amp;DATE($I$2,H$4,H$5))</f>
        <v/>
      </c>
      <c r="I248" s="321">
        <f>SUMIFS(DATA!$I:$I,DATA!$C:$C,$B248,DATA!$J:$J,"&gt;="&amp;DATE($I$2,I$4,1),DATA!$J:$J,"&lt;="&amp;DATE($I$2,I$4,I$5))</f>
        <v/>
      </c>
      <c r="J248" s="321">
        <f>SUMIFS(DATA!$I:$I,DATA!$C:$C,$B248,DATA!$J:$J,"&gt;="&amp;DATE($I$2,J$4,1),DATA!$J:$J,"&lt;="&amp;DATE($I$2,J$4,J$5))</f>
        <v/>
      </c>
      <c r="K248" s="321">
        <f>SUMIFS(DATA!$I:$I,DATA!$C:$C,$B248,DATA!$J:$J,"&gt;="&amp;DATE($I$2,K$4,1),DATA!$J:$J,"&lt;="&amp;DATE($I$2,K$4,K$5))</f>
        <v/>
      </c>
      <c r="L248" s="321">
        <f>SUMIFS(DATA!$I:$I,DATA!$C:$C,$B248,DATA!$J:$J,"&gt;="&amp;DATE($I$2,L$4,1),DATA!$J:$J,"&lt;="&amp;DATE($I$2,L$4,L$5))</f>
        <v/>
      </c>
      <c r="M248" s="321">
        <f>SUMIFS(DATA!$I:$I,DATA!$C:$C,$B248,DATA!$J:$J,"&gt;="&amp;DATE($I$2,M$4,1),DATA!$J:$J,"&lt;="&amp;DATE($I$2,M$4,M$5))</f>
        <v/>
      </c>
      <c r="N248" s="321">
        <f>SUMIFS(DATA!$I:$I,DATA!$C:$C,$B248,DATA!$J:$J,"&gt;="&amp;DATE($I$2,N$4,1),DATA!$J:$J,"&lt;="&amp;DATE($I$2,N$4,N$5))</f>
        <v/>
      </c>
      <c r="O248" s="321">
        <f>SUMIFS(DATA!$I:$I,DATA!$C:$C,$B248,DATA!$J:$J,"&gt;="&amp;DATE($I$2,O$4,1),DATA!$J:$J,"&lt;="&amp;DATE($I$2,O$4,O$5))</f>
        <v/>
      </c>
      <c r="P248" s="322">
        <f>SUM(D248:O248)</f>
        <v/>
      </c>
      <c r="Q248" s="118" t="n"/>
    </row>
    <row r="249" hidden="1" outlineLevel="1" ht="15" customHeight="1">
      <c r="A249" s="266" t="n"/>
      <c r="B249" s="266" t="n"/>
      <c r="C249" s="119" t="inlineStr">
        <is>
          <t>Thực tế</t>
        </is>
      </c>
      <c r="D249" s="321">
        <f>SUMIFS(DATA!$M:$M,DATA!$C:$C,$B248,DATA!$N:$N,"&gt;="&amp;DATE($I$2,D$4,1),DATA!$N:$N,"&lt;="&amp;DATE($I$2,D$4,D$5))</f>
        <v/>
      </c>
      <c r="E249" s="321">
        <f>SUMIFS(DATA!$M:$M,DATA!$C:$C,$B248,DATA!$N:$N,"&gt;="&amp;DATE($I$2,E$4,1),DATA!$N:$N,"&lt;="&amp;DATE($I$2,E$4,E$5))</f>
        <v/>
      </c>
      <c r="F249" s="321">
        <f>SUMIFS(DATA!$M:$M,DATA!$C:$C,$B248,DATA!$N:$N,"&gt;="&amp;DATE($I$2,F$4,1),DATA!$N:$N,"&lt;="&amp;DATE($I$2,F$4,F$5))</f>
        <v/>
      </c>
      <c r="G249" s="321">
        <f>SUMIFS(DATA!$M:$M,DATA!$C:$C,$B248,DATA!$N:$N,"&gt;="&amp;DATE($I$2,G$4,1),DATA!$N:$N,"&lt;="&amp;DATE($I$2,G$4,G$5))</f>
        <v/>
      </c>
      <c r="H249" s="321">
        <f>SUMIFS(DATA!$M:$M,DATA!$C:$C,$B248,DATA!$N:$N,"&gt;="&amp;DATE($I$2,H$4,1),DATA!$N:$N,"&lt;="&amp;DATE($I$2,H$4,H$5))</f>
        <v/>
      </c>
      <c r="I249" s="321">
        <f>SUMIFS(DATA!$M:$M,DATA!$C:$C,$B248,DATA!$N:$N,"&gt;="&amp;DATE($I$2,I$4,1),DATA!$N:$N,"&lt;="&amp;DATE($I$2,I$4,I$5))</f>
        <v/>
      </c>
      <c r="J249" s="321">
        <f>SUMIFS(DATA!$M:$M,DATA!$C:$C,$B248,DATA!$N:$N,"&gt;="&amp;DATE($I$2,J$4,1),DATA!$N:$N,"&lt;="&amp;DATE($I$2,J$4,J$5))</f>
        <v/>
      </c>
      <c r="K249" s="321">
        <f>SUMIFS(DATA!$M:$M,DATA!$C:$C,$B248,DATA!$N:$N,"&gt;="&amp;DATE($I$2,K$4,1),DATA!$N:$N,"&lt;="&amp;DATE($I$2,K$4,K$5))</f>
        <v/>
      </c>
      <c r="L249" s="321">
        <f>SUMIFS(DATA!$M:$M,DATA!$C:$C,$B248,DATA!$N:$N,"&gt;="&amp;DATE($I$2,L$4,1),DATA!$N:$N,"&lt;="&amp;DATE($I$2,L$4,L$5))</f>
        <v/>
      </c>
      <c r="M249" s="321">
        <f>SUMIFS(DATA!$M:$M,DATA!$C:$C,$B248,DATA!$N:$N,"&gt;="&amp;DATE($I$2,M$4,1),DATA!$N:$N,"&lt;="&amp;DATE($I$2,M$4,M$5))</f>
        <v/>
      </c>
      <c r="N249" s="321">
        <f>SUMIFS(DATA!$M:$M,DATA!$C:$C,$B248,DATA!$N:$N,"&gt;="&amp;DATE($I$2,N$4,1),DATA!$N:$N,"&lt;="&amp;DATE($I$2,N$4,N$5))</f>
        <v/>
      </c>
      <c r="O249" s="321">
        <f>SUMIFS(DATA!$M:$M,DATA!$C:$C,$B248,DATA!$N:$N,"&gt;="&amp;DATE($I$2,O$4,1),DATA!$N:$N,"&lt;="&amp;DATE($I$2,O$4,O$5))</f>
        <v/>
      </c>
      <c r="P249" s="322">
        <f>SUM(D249:O249)</f>
        <v/>
      </c>
      <c r="Q249" s="118" t="n"/>
    </row>
    <row r="250" hidden="1" outlineLevel="1" ht="15" customHeight="1">
      <c r="A250" s="269" t="n">
        <v>123</v>
      </c>
      <c r="B250" s="265" t="inlineStr">
        <is>
          <t>CÔNG TY TNHH NAM XƯƠNG</t>
        </is>
      </c>
      <c r="C250" s="119" t="inlineStr">
        <is>
          <t>Kế hoạch</t>
        </is>
      </c>
      <c r="D250" s="321">
        <f>SUMIFS(DATA!$I:$I,DATA!$C:$C,$B250,DATA!$J:$J,"&gt;="&amp;DATE($I$2,D$4,1),DATA!$J:$J,"&lt;="&amp;DATE($I$2,D$4,D$5))</f>
        <v/>
      </c>
      <c r="E250" s="321">
        <f>SUMIFS(DATA!$I:$I,DATA!$C:$C,$B250,DATA!$J:$J,"&gt;="&amp;DATE($I$2,E$4,1),DATA!$J:$J,"&lt;="&amp;DATE($I$2,E$4,E$5))</f>
        <v/>
      </c>
      <c r="F250" s="321">
        <f>SUMIFS(DATA!$I:$I,DATA!$C:$C,$B250,DATA!$J:$J,"&gt;="&amp;DATE($I$2,F$4,1),DATA!$J:$J,"&lt;="&amp;DATE($I$2,F$4,F$5))</f>
        <v/>
      </c>
      <c r="G250" s="321">
        <f>SUMIFS(DATA!$I:$I,DATA!$C:$C,$B250,DATA!$J:$J,"&gt;="&amp;DATE($I$2,G$4,1),DATA!$J:$J,"&lt;="&amp;DATE($I$2,G$4,G$5))</f>
        <v/>
      </c>
      <c r="H250" s="321">
        <f>SUMIFS(DATA!$I:$I,DATA!$C:$C,$B250,DATA!$J:$J,"&gt;="&amp;DATE($I$2,H$4,1),DATA!$J:$J,"&lt;="&amp;DATE($I$2,H$4,H$5))</f>
        <v/>
      </c>
      <c r="I250" s="321">
        <f>SUMIFS(DATA!$I:$I,DATA!$C:$C,$B250,DATA!$J:$J,"&gt;="&amp;DATE($I$2,I$4,1),DATA!$J:$J,"&lt;="&amp;DATE($I$2,I$4,I$5))</f>
        <v/>
      </c>
      <c r="J250" s="321">
        <f>SUMIFS(DATA!$I:$I,DATA!$C:$C,$B250,DATA!$J:$J,"&gt;="&amp;DATE($I$2,J$4,1),DATA!$J:$J,"&lt;="&amp;DATE($I$2,J$4,J$5))</f>
        <v/>
      </c>
      <c r="K250" s="321">
        <f>SUMIFS(DATA!$I:$I,DATA!$C:$C,$B250,DATA!$J:$J,"&gt;="&amp;DATE($I$2,K$4,1),DATA!$J:$J,"&lt;="&amp;DATE($I$2,K$4,K$5))</f>
        <v/>
      </c>
      <c r="L250" s="321">
        <f>SUMIFS(DATA!$I:$I,DATA!$C:$C,$B250,DATA!$J:$J,"&gt;="&amp;DATE($I$2,L$4,1),DATA!$J:$J,"&lt;="&amp;DATE($I$2,L$4,L$5))</f>
        <v/>
      </c>
      <c r="M250" s="321">
        <f>SUMIFS(DATA!$I:$I,DATA!$C:$C,$B250,DATA!$J:$J,"&gt;="&amp;DATE($I$2,M$4,1),DATA!$J:$J,"&lt;="&amp;DATE($I$2,M$4,M$5))</f>
        <v/>
      </c>
      <c r="N250" s="321">
        <f>SUMIFS(DATA!$I:$I,DATA!$C:$C,$B250,DATA!$J:$J,"&gt;="&amp;DATE($I$2,N$4,1),DATA!$J:$J,"&lt;="&amp;DATE($I$2,N$4,N$5))</f>
        <v/>
      </c>
      <c r="O250" s="321">
        <f>SUMIFS(DATA!$I:$I,DATA!$C:$C,$B250,DATA!$J:$J,"&gt;="&amp;DATE($I$2,O$4,1),DATA!$J:$J,"&lt;="&amp;DATE($I$2,O$4,O$5))</f>
        <v/>
      </c>
      <c r="P250" s="322">
        <f>SUM(D250:O250)</f>
        <v/>
      </c>
      <c r="Q250" s="118" t="n"/>
    </row>
    <row r="251" hidden="1" outlineLevel="1" ht="15" customHeight="1">
      <c r="A251" s="266" t="n"/>
      <c r="B251" s="266" t="n"/>
      <c r="C251" s="119" t="inlineStr">
        <is>
          <t>Thực tế</t>
        </is>
      </c>
      <c r="D251" s="321">
        <f>SUMIFS(DATA!$M:$M,DATA!$C:$C,$B250,DATA!$N:$N,"&gt;="&amp;DATE($I$2,D$4,1),DATA!$N:$N,"&lt;="&amp;DATE($I$2,D$4,D$5))</f>
        <v/>
      </c>
      <c r="E251" s="321">
        <f>SUMIFS(DATA!$M:$M,DATA!$C:$C,$B250,DATA!$N:$N,"&gt;="&amp;DATE($I$2,E$4,1),DATA!$N:$N,"&lt;="&amp;DATE($I$2,E$4,E$5))</f>
        <v/>
      </c>
      <c r="F251" s="321">
        <f>SUMIFS(DATA!$M:$M,DATA!$C:$C,$B250,DATA!$N:$N,"&gt;="&amp;DATE($I$2,F$4,1),DATA!$N:$N,"&lt;="&amp;DATE($I$2,F$4,F$5))</f>
        <v/>
      </c>
      <c r="G251" s="321">
        <f>SUMIFS(DATA!$M:$M,DATA!$C:$C,$B250,DATA!$N:$N,"&gt;="&amp;DATE($I$2,G$4,1),DATA!$N:$N,"&lt;="&amp;DATE($I$2,G$4,G$5))</f>
        <v/>
      </c>
      <c r="H251" s="321">
        <f>SUMIFS(DATA!$M:$M,DATA!$C:$C,$B250,DATA!$N:$N,"&gt;="&amp;DATE($I$2,H$4,1),DATA!$N:$N,"&lt;="&amp;DATE($I$2,H$4,H$5))</f>
        <v/>
      </c>
      <c r="I251" s="321">
        <f>SUMIFS(DATA!$M:$M,DATA!$C:$C,$B250,DATA!$N:$N,"&gt;="&amp;DATE($I$2,I$4,1),DATA!$N:$N,"&lt;="&amp;DATE($I$2,I$4,I$5))</f>
        <v/>
      </c>
      <c r="J251" s="321">
        <f>SUMIFS(DATA!$M:$M,DATA!$C:$C,$B250,DATA!$N:$N,"&gt;="&amp;DATE($I$2,J$4,1),DATA!$N:$N,"&lt;="&amp;DATE($I$2,J$4,J$5))</f>
        <v/>
      </c>
      <c r="K251" s="321">
        <f>SUMIFS(DATA!$M:$M,DATA!$C:$C,$B250,DATA!$N:$N,"&gt;="&amp;DATE($I$2,K$4,1),DATA!$N:$N,"&lt;="&amp;DATE($I$2,K$4,K$5))</f>
        <v/>
      </c>
      <c r="L251" s="321">
        <f>SUMIFS(DATA!$M:$M,DATA!$C:$C,$B250,DATA!$N:$N,"&gt;="&amp;DATE($I$2,L$4,1),DATA!$N:$N,"&lt;="&amp;DATE($I$2,L$4,L$5))</f>
        <v/>
      </c>
      <c r="M251" s="321">
        <f>SUMIFS(DATA!$M:$M,DATA!$C:$C,$B250,DATA!$N:$N,"&gt;="&amp;DATE($I$2,M$4,1),DATA!$N:$N,"&lt;="&amp;DATE($I$2,M$4,M$5))</f>
        <v/>
      </c>
      <c r="N251" s="321">
        <f>SUMIFS(DATA!$M:$M,DATA!$C:$C,$B250,DATA!$N:$N,"&gt;="&amp;DATE($I$2,N$4,1),DATA!$N:$N,"&lt;="&amp;DATE($I$2,N$4,N$5))</f>
        <v/>
      </c>
      <c r="O251" s="321">
        <f>SUMIFS(DATA!$M:$M,DATA!$C:$C,$B250,DATA!$N:$N,"&gt;="&amp;DATE($I$2,O$4,1),DATA!$N:$N,"&lt;="&amp;DATE($I$2,O$4,O$5))</f>
        <v/>
      </c>
      <c r="P251" s="322">
        <f>SUM(D251:O251)</f>
        <v/>
      </c>
      <c r="Q251" s="118" t="n"/>
    </row>
    <row r="252" hidden="1" outlineLevel="1" ht="15" customHeight="1">
      <c r="A252" s="269" t="n">
        <v>124</v>
      </c>
      <c r="B252" s="265" t="inlineStr">
        <is>
          <t>HONGKONG TOWER</t>
        </is>
      </c>
      <c r="C252" s="119" t="inlineStr">
        <is>
          <t>Kế hoạch</t>
        </is>
      </c>
      <c r="D252" s="321">
        <f>SUMIFS(DATA!$I:$I,DATA!$C:$C,$B252,DATA!$J:$J,"&gt;="&amp;DATE($I$2,D$4,1),DATA!$J:$J,"&lt;="&amp;DATE($I$2,D$4,D$5))</f>
        <v/>
      </c>
      <c r="E252" s="321">
        <f>SUMIFS(DATA!$I:$I,DATA!$C:$C,$B252,DATA!$J:$J,"&gt;="&amp;DATE($I$2,E$4,1),DATA!$J:$J,"&lt;="&amp;DATE($I$2,E$4,E$5))</f>
        <v/>
      </c>
      <c r="F252" s="321">
        <f>SUMIFS(DATA!$I:$I,DATA!$C:$C,$B252,DATA!$J:$J,"&gt;="&amp;DATE($I$2,F$4,1),DATA!$J:$J,"&lt;="&amp;DATE($I$2,F$4,F$5))</f>
        <v/>
      </c>
      <c r="G252" s="321">
        <f>SUMIFS(DATA!$I:$I,DATA!$C:$C,$B252,DATA!$J:$J,"&gt;="&amp;DATE($I$2,G$4,1),DATA!$J:$J,"&lt;="&amp;DATE($I$2,G$4,G$5))</f>
        <v/>
      </c>
      <c r="H252" s="321">
        <f>SUMIFS(DATA!$I:$I,DATA!$C:$C,$B252,DATA!$J:$J,"&gt;="&amp;DATE($I$2,H$4,1),DATA!$J:$J,"&lt;="&amp;DATE($I$2,H$4,H$5))</f>
        <v/>
      </c>
      <c r="I252" s="321">
        <f>SUMIFS(DATA!$I:$I,DATA!$C:$C,$B252,DATA!$J:$J,"&gt;="&amp;DATE($I$2,I$4,1),DATA!$J:$J,"&lt;="&amp;DATE($I$2,I$4,I$5))</f>
        <v/>
      </c>
      <c r="J252" s="321">
        <f>SUMIFS(DATA!$I:$I,DATA!$C:$C,$B252,DATA!$J:$J,"&gt;="&amp;DATE($I$2,J$4,1),DATA!$J:$J,"&lt;="&amp;DATE($I$2,J$4,J$5))</f>
        <v/>
      </c>
      <c r="K252" s="321">
        <f>SUMIFS(DATA!$I:$I,DATA!$C:$C,$B252,DATA!$J:$J,"&gt;="&amp;DATE($I$2,K$4,1),DATA!$J:$J,"&lt;="&amp;DATE($I$2,K$4,K$5))</f>
        <v/>
      </c>
      <c r="L252" s="321">
        <f>SUMIFS(DATA!$I:$I,DATA!$C:$C,$B252,DATA!$J:$J,"&gt;="&amp;DATE($I$2,L$4,1),DATA!$J:$J,"&lt;="&amp;DATE($I$2,L$4,L$5))</f>
        <v/>
      </c>
      <c r="M252" s="321">
        <f>SUMIFS(DATA!$I:$I,DATA!$C:$C,$B252,DATA!$J:$J,"&gt;="&amp;DATE($I$2,M$4,1),DATA!$J:$J,"&lt;="&amp;DATE($I$2,M$4,M$5))</f>
        <v/>
      </c>
      <c r="N252" s="321">
        <f>SUMIFS(DATA!$I:$I,DATA!$C:$C,$B252,DATA!$J:$J,"&gt;="&amp;DATE($I$2,N$4,1),DATA!$J:$J,"&lt;="&amp;DATE($I$2,N$4,N$5))</f>
        <v/>
      </c>
      <c r="O252" s="321">
        <f>SUMIFS(DATA!$I:$I,DATA!$C:$C,$B252,DATA!$J:$J,"&gt;="&amp;DATE($I$2,O$4,1),DATA!$J:$J,"&lt;="&amp;DATE($I$2,O$4,O$5))</f>
        <v/>
      </c>
      <c r="P252" s="322">
        <f>SUM(D252:O252)</f>
        <v/>
      </c>
      <c r="Q252" s="118" t="n"/>
    </row>
    <row r="253" hidden="1" outlineLevel="1" ht="15" customHeight="1">
      <c r="A253" s="266" t="n"/>
      <c r="B253" s="266" t="n"/>
      <c r="C253" s="119" t="inlineStr">
        <is>
          <t>Thực tế</t>
        </is>
      </c>
      <c r="D253" s="321">
        <f>SUMIFS(DATA!$M:$M,DATA!$C:$C,$B252,DATA!$N:$N,"&gt;="&amp;DATE($I$2,D$4,1),DATA!$N:$N,"&lt;="&amp;DATE($I$2,D$4,D$5))</f>
        <v/>
      </c>
      <c r="E253" s="321">
        <f>SUMIFS(DATA!$M:$M,DATA!$C:$C,$B252,DATA!$N:$N,"&gt;="&amp;DATE($I$2,E$4,1),DATA!$N:$N,"&lt;="&amp;DATE($I$2,E$4,E$5))</f>
        <v/>
      </c>
      <c r="F253" s="321">
        <f>SUMIFS(DATA!$M:$M,DATA!$C:$C,$B252,DATA!$N:$N,"&gt;="&amp;DATE($I$2,F$4,1),DATA!$N:$N,"&lt;="&amp;DATE($I$2,F$4,F$5))</f>
        <v/>
      </c>
      <c r="G253" s="321">
        <f>SUMIFS(DATA!$M:$M,DATA!$C:$C,$B252,DATA!$N:$N,"&gt;="&amp;DATE($I$2,G$4,1),DATA!$N:$N,"&lt;="&amp;DATE($I$2,G$4,G$5))</f>
        <v/>
      </c>
      <c r="H253" s="321">
        <f>SUMIFS(DATA!$M:$M,DATA!$C:$C,$B252,DATA!$N:$N,"&gt;="&amp;DATE($I$2,H$4,1),DATA!$N:$N,"&lt;="&amp;DATE($I$2,H$4,H$5))</f>
        <v/>
      </c>
      <c r="I253" s="321">
        <f>SUMIFS(DATA!$M:$M,DATA!$C:$C,$B252,DATA!$N:$N,"&gt;="&amp;DATE($I$2,I$4,1),DATA!$N:$N,"&lt;="&amp;DATE($I$2,I$4,I$5))</f>
        <v/>
      </c>
      <c r="J253" s="321">
        <f>SUMIFS(DATA!$M:$M,DATA!$C:$C,$B252,DATA!$N:$N,"&gt;="&amp;DATE($I$2,J$4,1),DATA!$N:$N,"&lt;="&amp;DATE($I$2,J$4,J$5))</f>
        <v/>
      </c>
      <c r="K253" s="321">
        <f>SUMIFS(DATA!$M:$M,DATA!$C:$C,$B252,DATA!$N:$N,"&gt;="&amp;DATE($I$2,K$4,1),DATA!$N:$N,"&lt;="&amp;DATE($I$2,K$4,K$5))</f>
        <v/>
      </c>
      <c r="L253" s="321">
        <f>SUMIFS(DATA!$M:$M,DATA!$C:$C,$B252,DATA!$N:$N,"&gt;="&amp;DATE($I$2,L$4,1),DATA!$N:$N,"&lt;="&amp;DATE($I$2,L$4,L$5))</f>
        <v/>
      </c>
      <c r="M253" s="321">
        <f>SUMIFS(DATA!$M:$M,DATA!$C:$C,$B252,DATA!$N:$N,"&gt;="&amp;DATE($I$2,M$4,1),DATA!$N:$N,"&lt;="&amp;DATE($I$2,M$4,M$5))</f>
        <v/>
      </c>
      <c r="N253" s="321">
        <f>SUMIFS(DATA!$M:$M,DATA!$C:$C,$B252,DATA!$N:$N,"&gt;="&amp;DATE($I$2,N$4,1),DATA!$N:$N,"&lt;="&amp;DATE($I$2,N$4,N$5))</f>
        <v/>
      </c>
      <c r="O253" s="321">
        <f>SUMIFS(DATA!$M:$M,DATA!$C:$C,$B252,DATA!$N:$N,"&gt;="&amp;DATE($I$2,O$4,1),DATA!$N:$N,"&lt;="&amp;DATE($I$2,O$4,O$5))</f>
        <v/>
      </c>
      <c r="P253" s="322">
        <f>SUM(D253:O253)</f>
        <v/>
      </c>
      <c r="Q253" s="118" t="n"/>
    </row>
    <row r="254" hidden="1" outlineLevel="1" ht="15" customHeight="1">
      <c r="A254" s="269" t="n">
        <v>125</v>
      </c>
      <c r="B254" s="265" t="inlineStr">
        <is>
          <t>VNPAY - CÔNG TY CỔ PHẦN GIẢI PHÁP THANH TOÁN VIỆT NAM</t>
        </is>
      </c>
      <c r="C254" s="119" t="inlineStr">
        <is>
          <t>Kế hoạch</t>
        </is>
      </c>
      <c r="D254" s="321">
        <f>SUMIFS(DATA!$I:$I,DATA!$C:$C,$B254,DATA!$J:$J,"&gt;="&amp;DATE($I$2,D$4,1),DATA!$J:$J,"&lt;="&amp;DATE($I$2,D$4,D$5))</f>
        <v/>
      </c>
      <c r="E254" s="321">
        <f>SUMIFS(DATA!$I:$I,DATA!$C:$C,$B254,DATA!$J:$J,"&gt;="&amp;DATE($I$2,E$4,1),DATA!$J:$J,"&lt;="&amp;DATE($I$2,E$4,E$5))</f>
        <v/>
      </c>
      <c r="F254" s="321">
        <f>SUMIFS(DATA!$I:$I,DATA!$C:$C,$B254,DATA!$J:$J,"&gt;="&amp;DATE($I$2,F$4,1),DATA!$J:$J,"&lt;="&amp;DATE($I$2,F$4,F$5))</f>
        <v/>
      </c>
      <c r="G254" s="321">
        <f>SUMIFS(DATA!$I:$I,DATA!$C:$C,$B254,DATA!$J:$J,"&gt;="&amp;DATE($I$2,G$4,1),DATA!$J:$J,"&lt;="&amp;DATE($I$2,G$4,G$5))</f>
        <v/>
      </c>
      <c r="H254" s="321">
        <f>SUMIFS(DATA!$I:$I,DATA!$C:$C,$B254,DATA!$J:$J,"&gt;="&amp;DATE($I$2,H$4,1),DATA!$J:$J,"&lt;="&amp;DATE($I$2,H$4,H$5))</f>
        <v/>
      </c>
      <c r="I254" s="321">
        <f>SUMIFS(DATA!$I:$I,DATA!$C:$C,$B254,DATA!$J:$J,"&gt;="&amp;DATE($I$2,I$4,1),DATA!$J:$J,"&lt;="&amp;DATE($I$2,I$4,I$5))</f>
        <v/>
      </c>
      <c r="J254" s="321">
        <f>SUMIFS(DATA!$I:$I,DATA!$C:$C,$B254,DATA!$J:$J,"&gt;="&amp;DATE($I$2,J$4,1),DATA!$J:$J,"&lt;="&amp;DATE($I$2,J$4,J$5))</f>
        <v/>
      </c>
      <c r="K254" s="321">
        <f>SUMIFS(DATA!$I:$I,DATA!$C:$C,$B254,DATA!$J:$J,"&gt;="&amp;DATE($I$2,K$4,1),DATA!$J:$J,"&lt;="&amp;DATE($I$2,K$4,K$5))</f>
        <v/>
      </c>
      <c r="L254" s="321">
        <f>SUMIFS(DATA!$I:$I,DATA!$C:$C,$B254,DATA!$J:$J,"&gt;="&amp;DATE($I$2,L$4,1),DATA!$J:$J,"&lt;="&amp;DATE($I$2,L$4,L$5))</f>
        <v/>
      </c>
      <c r="M254" s="321">
        <f>SUMIFS(DATA!$I:$I,DATA!$C:$C,$B254,DATA!$J:$J,"&gt;="&amp;DATE($I$2,M$4,1),DATA!$J:$J,"&lt;="&amp;DATE($I$2,M$4,M$5))</f>
        <v/>
      </c>
      <c r="N254" s="321">
        <f>SUMIFS(DATA!$I:$I,DATA!$C:$C,$B254,DATA!$J:$J,"&gt;="&amp;DATE($I$2,N$4,1),DATA!$J:$J,"&lt;="&amp;DATE($I$2,N$4,N$5))</f>
        <v/>
      </c>
      <c r="O254" s="321">
        <f>SUMIFS(DATA!$I:$I,DATA!$C:$C,$B254,DATA!$J:$J,"&gt;="&amp;DATE($I$2,O$4,1),DATA!$J:$J,"&lt;="&amp;DATE($I$2,O$4,O$5))</f>
        <v/>
      </c>
      <c r="P254" s="322">
        <f>SUM(D254:O254)</f>
        <v/>
      </c>
      <c r="Q254" s="118" t="n"/>
    </row>
    <row r="255" hidden="1" outlineLevel="1" ht="15" customHeight="1">
      <c r="A255" s="266" t="n"/>
      <c r="B255" s="266" t="n"/>
      <c r="C255" s="119" t="inlineStr">
        <is>
          <t>Thực tế</t>
        </is>
      </c>
      <c r="D255" s="321">
        <f>SUMIFS(DATA!$M:$M,DATA!$C:$C,$B254,DATA!$N:$N,"&gt;="&amp;DATE($I$2,D$4,1),DATA!$N:$N,"&lt;="&amp;DATE($I$2,D$4,D$5))</f>
        <v/>
      </c>
      <c r="E255" s="321">
        <f>SUMIFS(DATA!$M:$M,DATA!$C:$C,$B254,DATA!$N:$N,"&gt;="&amp;DATE($I$2,E$4,1),DATA!$N:$N,"&lt;="&amp;DATE($I$2,E$4,E$5))</f>
        <v/>
      </c>
      <c r="F255" s="321">
        <f>SUMIFS(DATA!$M:$M,DATA!$C:$C,$B254,DATA!$N:$N,"&gt;="&amp;DATE($I$2,F$4,1),DATA!$N:$N,"&lt;="&amp;DATE($I$2,F$4,F$5))</f>
        <v/>
      </c>
      <c r="G255" s="321">
        <f>SUMIFS(DATA!$M:$M,DATA!$C:$C,$B254,DATA!$N:$N,"&gt;="&amp;DATE($I$2,G$4,1),DATA!$N:$N,"&lt;="&amp;DATE($I$2,G$4,G$5))</f>
        <v/>
      </c>
      <c r="H255" s="321">
        <f>SUMIFS(DATA!$M:$M,DATA!$C:$C,$B254,DATA!$N:$N,"&gt;="&amp;DATE($I$2,H$4,1),DATA!$N:$N,"&lt;="&amp;DATE($I$2,H$4,H$5))</f>
        <v/>
      </c>
      <c r="I255" s="321">
        <f>SUMIFS(DATA!$M:$M,DATA!$C:$C,$B254,DATA!$N:$N,"&gt;="&amp;DATE($I$2,I$4,1),DATA!$N:$N,"&lt;="&amp;DATE($I$2,I$4,I$5))</f>
        <v/>
      </c>
      <c r="J255" s="321">
        <f>SUMIFS(DATA!$M:$M,DATA!$C:$C,$B254,DATA!$N:$N,"&gt;="&amp;DATE($I$2,J$4,1),DATA!$N:$N,"&lt;="&amp;DATE($I$2,J$4,J$5))</f>
        <v/>
      </c>
      <c r="K255" s="321">
        <f>SUMIFS(DATA!$M:$M,DATA!$C:$C,$B254,DATA!$N:$N,"&gt;="&amp;DATE($I$2,K$4,1),DATA!$N:$N,"&lt;="&amp;DATE($I$2,K$4,K$5))</f>
        <v/>
      </c>
      <c r="L255" s="321">
        <f>SUMIFS(DATA!$M:$M,DATA!$C:$C,$B254,DATA!$N:$N,"&gt;="&amp;DATE($I$2,L$4,1),DATA!$N:$N,"&lt;="&amp;DATE($I$2,L$4,L$5))</f>
        <v/>
      </c>
      <c r="M255" s="321">
        <f>SUMIFS(DATA!$M:$M,DATA!$C:$C,$B254,DATA!$N:$N,"&gt;="&amp;DATE($I$2,M$4,1),DATA!$N:$N,"&lt;="&amp;DATE($I$2,M$4,M$5))</f>
        <v/>
      </c>
      <c r="N255" s="321">
        <f>SUMIFS(DATA!$M:$M,DATA!$C:$C,$B254,DATA!$N:$N,"&gt;="&amp;DATE($I$2,N$4,1),DATA!$N:$N,"&lt;="&amp;DATE($I$2,N$4,N$5))</f>
        <v/>
      </c>
      <c r="O255" s="321">
        <f>SUMIFS(DATA!$M:$M,DATA!$C:$C,$B254,DATA!$N:$N,"&gt;="&amp;DATE($I$2,O$4,1),DATA!$N:$N,"&lt;="&amp;DATE($I$2,O$4,O$5))</f>
        <v/>
      </c>
      <c r="P255" s="322">
        <f>SUM(D255:O255)</f>
        <v/>
      </c>
      <c r="Q255" s="118" t="n"/>
    </row>
    <row r="256" hidden="1" outlineLevel="1" ht="15" customHeight="1">
      <c r="A256" s="269" t="n">
        <v>126</v>
      </c>
      <c r="B256" s="265" t="inlineStr">
        <is>
          <t>CÔNG TY CỔ PHẦN PROPERTY ONE</t>
        </is>
      </c>
      <c r="C256" s="119" t="inlineStr">
        <is>
          <t>Kế hoạch</t>
        </is>
      </c>
      <c r="D256" s="321">
        <f>SUMIFS(DATA!$I:$I,DATA!$C:$C,$B256,DATA!$J:$J,"&gt;="&amp;DATE($I$2,D$4,1),DATA!$J:$J,"&lt;="&amp;DATE($I$2,D$4,D$5))</f>
        <v/>
      </c>
      <c r="E256" s="321">
        <f>SUMIFS(DATA!$I:$I,DATA!$C:$C,$B256,DATA!$J:$J,"&gt;="&amp;DATE($I$2,E$4,1),DATA!$J:$J,"&lt;="&amp;DATE($I$2,E$4,E$5))</f>
        <v/>
      </c>
      <c r="F256" s="321">
        <f>SUMIFS(DATA!$I:$I,DATA!$C:$C,$B256,DATA!$J:$J,"&gt;="&amp;DATE($I$2,F$4,1),DATA!$J:$J,"&lt;="&amp;DATE($I$2,F$4,F$5))</f>
        <v/>
      </c>
      <c r="G256" s="321">
        <f>SUMIFS(DATA!$I:$I,DATA!$C:$C,$B256,DATA!$J:$J,"&gt;="&amp;DATE($I$2,G$4,1),DATA!$J:$J,"&lt;="&amp;DATE($I$2,G$4,G$5))</f>
        <v/>
      </c>
      <c r="H256" s="321">
        <f>SUMIFS(DATA!$I:$I,DATA!$C:$C,$B256,DATA!$J:$J,"&gt;="&amp;DATE($I$2,H$4,1),DATA!$J:$J,"&lt;="&amp;DATE($I$2,H$4,H$5))</f>
        <v/>
      </c>
      <c r="I256" s="321">
        <f>SUMIFS(DATA!$I:$I,DATA!$C:$C,$B256,DATA!$J:$J,"&gt;="&amp;DATE($I$2,I$4,1),DATA!$J:$J,"&lt;="&amp;DATE($I$2,I$4,I$5))</f>
        <v/>
      </c>
      <c r="J256" s="321">
        <f>SUMIFS(DATA!$I:$I,DATA!$C:$C,$B256,DATA!$J:$J,"&gt;="&amp;DATE($I$2,J$4,1),DATA!$J:$J,"&lt;="&amp;DATE($I$2,J$4,J$5))</f>
        <v/>
      </c>
      <c r="K256" s="321">
        <f>SUMIFS(DATA!$I:$I,DATA!$C:$C,$B256,DATA!$J:$J,"&gt;="&amp;DATE($I$2,K$4,1),DATA!$J:$J,"&lt;="&amp;DATE($I$2,K$4,K$5))</f>
        <v/>
      </c>
      <c r="L256" s="321">
        <f>SUMIFS(DATA!$I:$I,DATA!$C:$C,$B256,DATA!$J:$J,"&gt;="&amp;DATE($I$2,L$4,1),DATA!$J:$J,"&lt;="&amp;DATE($I$2,L$4,L$5))</f>
        <v/>
      </c>
      <c r="M256" s="321">
        <f>SUMIFS(DATA!$I:$I,DATA!$C:$C,$B256,DATA!$J:$J,"&gt;="&amp;DATE($I$2,M$4,1),DATA!$J:$J,"&lt;="&amp;DATE($I$2,M$4,M$5))</f>
        <v/>
      </c>
      <c r="N256" s="321">
        <f>SUMIFS(DATA!$I:$I,DATA!$C:$C,$B256,DATA!$J:$J,"&gt;="&amp;DATE($I$2,N$4,1),DATA!$J:$J,"&lt;="&amp;DATE($I$2,N$4,N$5))</f>
        <v/>
      </c>
      <c r="O256" s="321">
        <f>SUMIFS(DATA!$I:$I,DATA!$C:$C,$B256,DATA!$J:$J,"&gt;="&amp;DATE($I$2,O$4,1),DATA!$J:$J,"&lt;="&amp;DATE($I$2,O$4,O$5))</f>
        <v/>
      </c>
      <c r="P256" s="322">
        <f>SUM(D256:O256)</f>
        <v/>
      </c>
      <c r="Q256" s="118" t="n"/>
    </row>
    <row r="257" hidden="1" outlineLevel="1" ht="15" customHeight="1">
      <c r="A257" s="266" t="n"/>
      <c r="B257" s="266" t="n"/>
      <c r="C257" s="119" t="inlineStr">
        <is>
          <t>Thực tế</t>
        </is>
      </c>
      <c r="D257" s="321">
        <f>SUMIFS(DATA!$M:$M,DATA!$C:$C,$B256,DATA!$N:$N,"&gt;="&amp;DATE($I$2,D$4,1),DATA!$N:$N,"&lt;="&amp;DATE($I$2,D$4,D$5))</f>
        <v/>
      </c>
      <c r="E257" s="321">
        <f>SUMIFS(DATA!$M:$M,DATA!$C:$C,$B256,DATA!$N:$N,"&gt;="&amp;DATE($I$2,E$4,1),DATA!$N:$N,"&lt;="&amp;DATE($I$2,E$4,E$5))</f>
        <v/>
      </c>
      <c r="F257" s="321">
        <f>SUMIFS(DATA!$M:$M,DATA!$C:$C,$B256,DATA!$N:$N,"&gt;="&amp;DATE($I$2,F$4,1),DATA!$N:$N,"&lt;="&amp;DATE($I$2,F$4,F$5))</f>
        <v/>
      </c>
      <c r="G257" s="321">
        <f>SUMIFS(DATA!$M:$M,DATA!$C:$C,$B256,DATA!$N:$N,"&gt;="&amp;DATE($I$2,G$4,1),DATA!$N:$N,"&lt;="&amp;DATE($I$2,G$4,G$5))</f>
        <v/>
      </c>
      <c r="H257" s="321">
        <f>SUMIFS(DATA!$M:$M,DATA!$C:$C,$B256,DATA!$N:$N,"&gt;="&amp;DATE($I$2,H$4,1),DATA!$N:$N,"&lt;="&amp;DATE($I$2,H$4,H$5))</f>
        <v/>
      </c>
      <c r="I257" s="321">
        <f>SUMIFS(DATA!$M:$M,DATA!$C:$C,$B256,DATA!$N:$N,"&gt;="&amp;DATE($I$2,I$4,1),DATA!$N:$N,"&lt;="&amp;DATE($I$2,I$4,I$5))</f>
        <v/>
      </c>
      <c r="J257" s="321">
        <f>SUMIFS(DATA!$M:$M,DATA!$C:$C,$B256,DATA!$N:$N,"&gt;="&amp;DATE($I$2,J$4,1),DATA!$N:$N,"&lt;="&amp;DATE($I$2,J$4,J$5))</f>
        <v/>
      </c>
      <c r="K257" s="321">
        <f>SUMIFS(DATA!$M:$M,DATA!$C:$C,$B256,DATA!$N:$N,"&gt;="&amp;DATE($I$2,K$4,1),DATA!$N:$N,"&lt;="&amp;DATE($I$2,K$4,K$5))</f>
        <v/>
      </c>
      <c r="L257" s="321">
        <f>SUMIFS(DATA!$M:$M,DATA!$C:$C,$B256,DATA!$N:$N,"&gt;="&amp;DATE($I$2,L$4,1),DATA!$N:$N,"&lt;="&amp;DATE($I$2,L$4,L$5))</f>
        <v/>
      </c>
      <c r="M257" s="321">
        <f>SUMIFS(DATA!$M:$M,DATA!$C:$C,$B256,DATA!$N:$N,"&gt;="&amp;DATE($I$2,M$4,1),DATA!$N:$N,"&lt;="&amp;DATE($I$2,M$4,M$5))</f>
        <v/>
      </c>
      <c r="N257" s="321">
        <f>SUMIFS(DATA!$M:$M,DATA!$C:$C,$B256,DATA!$N:$N,"&gt;="&amp;DATE($I$2,N$4,1),DATA!$N:$N,"&lt;="&amp;DATE($I$2,N$4,N$5))</f>
        <v/>
      </c>
      <c r="O257" s="321">
        <f>SUMIFS(DATA!$M:$M,DATA!$C:$C,$B256,DATA!$N:$N,"&gt;="&amp;DATE($I$2,O$4,1),DATA!$N:$N,"&lt;="&amp;DATE($I$2,O$4,O$5))</f>
        <v/>
      </c>
      <c r="P257" s="322">
        <f>SUM(D257:O257)</f>
        <v/>
      </c>
      <c r="Q257" s="118" t="n"/>
    </row>
    <row r="258" hidden="1" outlineLevel="1" ht="15" customHeight="1">
      <c r="A258" s="269" t="n">
        <v>127</v>
      </c>
      <c r="B258" s="265" t="inlineStr">
        <is>
          <t>Ms.Phương</t>
        </is>
      </c>
      <c r="C258" s="119" t="inlineStr">
        <is>
          <t>Kế hoạch</t>
        </is>
      </c>
      <c r="D258" s="321">
        <f>SUMIFS(DATA!$I:$I,DATA!$C:$C,$B258,DATA!$J:$J,"&gt;="&amp;DATE($I$2,D$4,1),DATA!$J:$J,"&lt;="&amp;DATE($I$2,D$4,D$5))</f>
        <v/>
      </c>
      <c r="E258" s="321">
        <f>SUMIFS(DATA!$I:$I,DATA!$C:$C,$B258,DATA!$J:$J,"&gt;="&amp;DATE($I$2,E$4,1),DATA!$J:$J,"&lt;="&amp;DATE($I$2,E$4,E$5))</f>
        <v/>
      </c>
      <c r="F258" s="321">
        <f>SUMIFS(DATA!$I:$I,DATA!$C:$C,$B258,DATA!$J:$J,"&gt;="&amp;DATE($I$2,F$4,1),DATA!$J:$J,"&lt;="&amp;DATE($I$2,F$4,F$5))</f>
        <v/>
      </c>
      <c r="G258" s="321">
        <f>SUMIFS(DATA!$I:$I,DATA!$C:$C,$B258,DATA!$J:$J,"&gt;="&amp;DATE($I$2,G$4,1),DATA!$J:$J,"&lt;="&amp;DATE($I$2,G$4,G$5))</f>
        <v/>
      </c>
      <c r="H258" s="321">
        <f>SUMIFS(DATA!$I:$I,DATA!$C:$C,$B258,DATA!$J:$J,"&gt;="&amp;DATE($I$2,H$4,1),DATA!$J:$J,"&lt;="&amp;DATE($I$2,H$4,H$5))</f>
        <v/>
      </c>
      <c r="I258" s="321">
        <f>SUMIFS(DATA!$I:$I,DATA!$C:$C,$B258,DATA!$J:$J,"&gt;="&amp;DATE($I$2,I$4,1),DATA!$J:$J,"&lt;="&amp;DATE($I$2,I$4,I$5))</f>
        <v/>
      </c>
      <c r="J258" s="321">
        <f>SUMIFS(DATA!$I:$I,DATA!$C:$C,$B258,DATA!$J:$J,"&gt;="&amp;DATE($I$2,J$4,1),DATA!$J:$J,"&lt;="&amp;DATE($I$2,J$4,J$5))</f>
        <v/>
      </c>
      <c r="K258" s="321">
        <f>SUMIFS(DATA!$I:$I,DATA!$C:$C,$B258,DATA!$J:$J,"&gt;="&amp;DATE($I$2,K$4,1),DATA!$J:$J,"&lt;="&amp;DATE($I$2,K$4,K$5))</f>
        <v/>
      </c>
      <c r="L258" s="321">
        <f>SUMIFS(DATA!$I:$I,DATA!$C:$C,$B258,DATA!$J:$J,"&gt;="&amp;DATE($I$2,L$4,1),DATA!$J:$J,"&lt;="&amp;DATE($I$2,L$4,L$5))</f>
        <v/>
      </c>
      <c r="M258" s="321">
        <f>SUMIFS(DATA!$I:$I,DATA!$C:$C,$B258,DATA!$J:$J,"&gt;="&amp;DATE($I$2,M$4,1),DATA!$J:$J,"&lt;="&amp;DATE($I$2,M$4,M$5))</f>
        <v/>
      </c>
      <c r="N258" s="321">
        <f>SUMIFS(DATA!$I:$I,DATA!$C:$C,$B258,DATA!$J:$J,"&gt;="&amp;DATE($I$2,N$4,1),DATA!$J:$J,"&lt;="&amp;DATE($I$2,N$4,N$5))</f>
        <v/>
      </c>
      <c r="O258" s="321">
        <f>SUMIFS(DATA!$I:$I,DATA!$C:$C,$B258,DATA!$J:$J,"&gt;="&amp;DATE($I$2,O$4,1),DATA!$J:$J,"&lt;="&amp;DATE($I$2,O$4,O$5))</f>
        <v/>
      </c>
      <c r="P258" s="322">
        <f>SUM(D258:O258)</f>
        <v/>
      </c>
      <c r="Q258" s="118" t="n"/>
    </row>
    <row r="259" hidden="1" outlineLevel="1" ht="15" customHeight="1">
      <c r="A259" s="266" t="n"/>
      <c r="B259" s="266" t="n"/>
      <c r="C259" s="119" t="inlineStr">
        <is>
          <t>Thực tế</t>
        </is>
      </c>
      <c r="D259" s="321">
        <f>SUMIFS(DATA!$M:$M,DATA!$C:$C,$B258,DATA!$N:$N,"&gt;="&amp;DATE($I$2,D$4,1),DATA!$N:$N,"&lt;="&amp;DATE($I$2,D$4,D$5))</f>
        <v/>
      </c>
      <c r="E259" s="321">
        <f>SUMIFS(DATA!$M:$M,DATA!$C:$C,$B258,DATA!$N:$N,"&gt;="&amp;DATE($I$2,E$4,1),DATA!$N:$N,"&lt;="&amp;DATE($I$2,E$4,E$5))</f>
        <v/>
      </c>
      <c r="F259" s="321">
        <f>SUMIFS(DATA!$M:$M,DATA!$C:$C,$B258,DATA!$N:$N,"&gt;="&amp;DATE($I$2,F$4,1),DATA!$N:$N,"&lt;="&amp;DATE($I$2,F$4,F$5))</f>
        <v/>
      </c>
      <c r="G259" s="321">
        <f>SUMIFS(DATA!$M:$M,DATA!$C:$C,$B258,DATA!$N:$N,"&gt;="&amp;DATE($I$2,G$4,1),DATA!$N:$N,"&lt;="&amp;DATE($I$2,G$4,G$5))</f>
        <v/>
      </c>
      <c r="H259" s="321">
        <f>SUMIFS(DATA!$M:$M,DATA!$C:$C,$B258,DATA!$N:$N,"&gt;="&amp;DATE($I$2,H$4,1),DATA!$N:$N,"&lt;="&amp;DATE($I$2,H$4,H$5))</f>
        <v/>
      </c>
      <c r="I259" s="321">
        <f>SUMIFS(DATA!$M:$M,DATA!$C:$C,$B258,DATA!$N:$N,"&gt;="&amp;DATE($I$2,I$4,1),DATA!$N:$N,"&lt;="&amp;DATE($I$2,I$4,I$5))</f>
        <v/>
      </c>
      <c r="J259" s="321">
        <f>SUMIFS(DATA!$M:$M,DATA!$C:$C,$B258,DATA!$N:$N,"&gt;="&amp;DATE($I$2,J$4,1),DATA!$N:$N,"&lt;="&amp;DATE($I$2,J$4,J$5))</f>
        <v/>
      </c>
      <c r="K259" s="321">
        <f>SUMIFS(DATA!$M:$M,DATA!$C:$C,$B258,DATA!$N:$N,"&gt;="&amp;DATE($I$2,K$4,1),DATA!$N:$N,"&lt;="&amp;DATE($I$2,K$4,K$5))</f>
        <v/>
      </c>
      <c r="L259" s="321">
        <f>SUMIFS(DATA!$M:$M,DATA!$C:$C,$B258,DATA!$N:$N,"&gt;="&amp;DATE($I$2,L$4,1),DATA!$N:$N,"&lt;="&amp;DATE($I$2,L$4,L$5))</f>
        <v/>
      </c>
      <c r="M259" s="321">
        <f>SUMIFS(DATA!$M:$M,DATA!$C:$C,$B258,DATA!$N:$N,"&gt;="&amp;DATE($I$2,M$4,1),DATA!$N:$N,"&lt;="&amp;DATE($I$2,M$4,M$5))</f>
        <v/>
      </c>
      <c r="N259" s="321">
        <f>SUMIFS(DATA!$M:$M,DATA!$C:$C,$B258,DATA!$N:$N,"&gt;="&amp;DATE($I$2,N$4,1),DATA!$N:$N,"&lt;="&amp;DATE($I$2,N$4,N$5))</f>
        <v/>
      </c>
      <c r="O259" s="321">
        <f>SUMIFS(DATA!$M:$M,DATA!$C:$C,$B258,DATA!$N:$N,"&gt;="&amp;DATE($I$2,O$4,1),DATA!$N:$N,"&lt;="&amp;DATE($I$2,O$4,O$5))</f>
        <v/>
      </c>
      <c r="P259" s="322">
        <f>SUM(D259:O259)</f>
        <v/>
      </c>
      <c r="Q259" s="118" t="n"/>
    </row>
    <row r="260" hidden="1" outlineLevel="1" ht="15" customHeight="1">
      <c r="A260" s="269" t="n">
        <v>128</v>
      </c>
      <c r="B260" s="265" t="inlineStr">
        <is>
          <t>BIG C HẢI DƯƠNG</t>
        </is>
      </c>
      <c r="C260" s="119" t="inlineStr">
        <is>
          <t>Kế hoạch</t>
        </is>
      </c>
      <c r="D260" s="321">
        <f>SUMIFS(DATA!$I:$I,DATA!$C:$C,$B260,DATA!$J:$J,"&gt;="&amp;DATE($I$2,D$4,1),DATA!$J:$J,"&lt;="&amp;DATE($I$2,D$4,D$5))</f>
        <v/>
      </c>
      <c r="E260" s="321">
        <f>SUMIFS(DATA!$I:$I,DATA!$C:$C,$B260,DATA!$J:$J,"&gt;="&amp;DATE($I$2,E$4,1),DATA!$J:$J,"&lt;="&amp;DATE($I$2,E$4,E$5))</f>
        <v/>
      </c>
      <c r="F260" s="321">
        <f>SUMIFS(DATA!$I:$I,DATA!$C:$C,$B260,DATA!$J:$J,"&gt;="&amp;DATE($I$2,F$4,1),DATA!$J:$J,"&lt;="&amp;DATE($I$2,F$4,F$5))</f>
        <v/>
      </c>
      <c r="G260" s="321">
        <f>SUMIFS(DATA!$I:$I,DATA!$C:$C,$B260,DATA!$J:$J,"&gt;="&amp;DATE($I$2,G$4,1),DATA!$J:$J,"&lt;="&amp;DATE($I$2,G$4,G$5))</f>
        <v/>
      </c>
      <c r="H260" s="321">
        <f>SUMIFS(DATA!$I:$I,DATA!$C:$C,$B260,DATA!$J:$J,"&gt;="&amp;DATE($I$2,H$4,1),DATA!$J:$J,"&lt;="&amp;DATE($I$2,H$4,H$5))</f>
        <v/>
      </c>
      <c r="I260" s="321">
        <f>SUMIFS(DATA!$I:$I,DATA!$C:$C,$B260,DATA!$J:$J,"&gt;="&amp;DATE($I$2,I$4,1),DATA!$J:$J,"&lt;="&amp;DATE($I$2,I$4,I$5))</f>
        <v/>
      </c>
      <c r="J260" s="321">
        <f>SUMIFS(DATA!$I:$I,DATA!$C:$C,$B260,DATA!$J:$J,"&gt;="&amp;DATE($I$2,J$4,1),DATA!$J:$J,"&lt;="&amp;DATE($I$2,J$4,J$5))</f>
        <v/>
      </c>
      <c r="K260" s="321">
        <f>SUMIFS(DATA!$I:$I,DATA!$C:$C,$B260,DATA!$J:$J,"&gt;="&amp;DATE($I$2,K$4,1),DATA!$J:$J,"&lt;="&amp;DATE($I$2,K$4,K$5))</f>
        <v/>
      </c>
      <c r="L260" s="321">
        <f>SUMIFS(DATA!$I:$I,DATA!$C:$C,$B260,DATA!$J:$J,"&gt;="&amp;DATE($I$2,L$4,1),DATA!$J:$J,"&lt;="&amp;DATE($I$2,L$4,L$5))</f>
        <v/>
      </c>
      <c r="M260" s="321">
        <f>SUMIFS(DATA!$I:$I,DATA!$C:$C,$B260,DATA!$J:$J,"&gt;="&amp;DATE($I$2,M$4,1),DATA!$J:$J,"&lt;="&amp;DATE($I$2,M$4,M$5))</f>
        <v/>
      </c>
      <c r="N260" s="321">
        <f>SUMIFS(DATA!$I:$I,DATA!$C:$C,$B260,DATA!$J:$J,"&gt;="&amp;DATE($I$2,N$4,1),DATA!$J:$J,"&lt;="&amp;DATE($I$2,N$4,N$5))</f>
        <v/>
      </c>
      <c r="O260" s="321">
        <f>SUMIFS(DATA!$I:$I,DATA!$C:$C,$B260,DATA!$J:$J,"&gt;="&amp;DATE($I$2,O$4,1),DATA!$J:$J,"&lt;="&amp;DATE($I$2,O$4,O$5))</f>
        <v/>
      </c>
      <c r="P260" s="322">
        <f>SUM(D260:O260)</f>
        <v/>
      </c>
      <c r="Q260" s="118" t="n"/>
    </row>
    <row r="261" hidden="1" outlineLevel="1" ht="15" customHeight="1">
      <c r="A261" s="266" t="n"/>
      <c r="B261" s="266" t="n"/>
      <c r="C261" s="119" t="inlineStr">
        <is>
          <t>Thực tế</t>
        </is>
      </c>
      <c r="D261" s="321">
        <f>SUMIFS(DATA!$M:$M,DATA!$C:$C,$B260,DATA!$N:$N,"&gt;="&amp;DATE($I$2,D$4,1),DATA!$N:$N,"&lt;="&amp;DATE($I$2,D$4,D$5))</f>
        <v/>
      </c>
      <c r="E261" s="321">
        <f>SUMIFS(DATA!$M:$M,DATA!$C:$C,$B260,DATA!$N:$N,"&gt;="&amp;DATE($I$2,E$4,1),DATA!$N:$N,"&lt;="&amp;DATE($I$2,E$4,E$5))</f>
        <v/>
      </c>
      <c r="F261" s="321">
        <f>SUMIFS(DATA!$M:$M,DATA!$C:$C,$B260,DATA!$N:$N,"&gt;="&amp;DATE($I$2,F$4,1),DATA!$N:$N,"&lt;="&amp;DATE($I$2,F$4,F$5))</f>
        <v/>
      </c>
      <c r="G261" s="321">
        <f>SUMIFS(DATA!$M:$M,DATA!$C:$C,$B260,DATA!$N:$N,"&gt;="&amp;DATE($I$2,G$4,1),DATA!$N:$N,"&lt;="&amp;DATE($I$2,G$4,G$5))</f>
        <v/>
      </c>
      <c r="H261" s="321">
        <f>SUMIFS(DATA!$M:$M,DATA!$C:$C,$B260,DATA!$N:$N,"&gt;="&amp;DATE($I$2,H$4,1),DATA!$N:$N,"&lt;="&amp;DATE($I$2,H$4,H$5))</f>
        <v/>
      </c>
      <c r="I261" s="321">
        <f>SUMIFS(DATA!$M:$M,DATA!$C:$C,$B260,DATA!$N:$N,"&gt;="&amp;DATE($I$2,I$4,1),DATA!$N:$N,"&lt;="&amp;DATE($I$2,I$4,I$5))</f>
        <v/>
      </c>
      <c r="J261" s="321">
        <f>SUMIFS(DATA!$M:$M,DATA!$C:$C,$B260,DATA!$N:$N,"&gt;="&amp;DATE($I$2,J$4,1),DATA!$N:$N,"&lt;="&amp;DATE($I$2,J$4,J$5))</f>
        <v/>
      </c>
      <c r="K261" s="321">
        <f>SUMIFS(DATA!$M:$M,DATA!$C:$C,$B260,DATA!$N:$N,"&gt;="&amp;DATE($I$2,K$4,1),DATA!$N:$N,"&lt;="&amp;DATE($I$2,K$4,K$5))</f>
        <v/>
      </c>
      <c r="L261" s="321">
        <f>SUMIFS(DATA!$M:$M,DATA!$C:$C,$B260,DATA!$N:$N,"&gt;="&amp;DATE($I$2,L$4,1),DATA!$N:$N,"&lt;="&amp;DATE($I$2,L$4,L$5))</f>
        <v/>
      </c>
      <c r="M261" s="321">
        <f>SUMIFS(DATA!$M:$M,DATA!$C:$C,$B260,DATA!$N:$N,"&gt;="&amp;DATE($I$2,M$4,1),DATA!$N:$N,"&lt;="&amp;DATE($I$2,M$4,M$5))</f>
        <v/>
      </c>
      <c r="N261" s="321">
        <f>SUMIFS(DATA!$M:$M,DATA!$C:$C,$B260,DATA!$N:$N,"&gt;="&amp;DATE($I$2,N$4,1),DATA!$N:$N,"&lt;="&amp;DATE($I$2,N$4,N$5))</f>
        <v/>
      </c>
      <c r="O261" s="321">
        <f>SUMIFS(DATA!$M:$M,DATA!$C:$C,$B260,DATA!$N:$N,"&gt;="&amp;DATE($I$2,O$4,1),DATA!$N:$N,"&lt;="&amp;DATE($I$2,O$4,O$5))</f>
        <v/>
      </c>
      <c r="P261" s="322">
        <f>SUM(D261:O261)</f>
        <v/>
      </c>
      <c r="Q261" s="118" t="n"/>
    </row>
    <row r="262" hidden="1" outlineLevel="1" ht="15" customHeight="1">
      <c r="A262" s="269" t="n">
        <v>129</v>
      </c>
      <c r="B262" s="265" t="inlineStr">
        <is>
          <t>JLL VIETNAM/ ORACLE</t>
        </is>
      </c>
      <c r="C262" s="119" t="inlineStr">
        <is>
          <t>Kế hoạch</t>
        </is>
      </c>
      <c r="D262" s="321">
        <f>SUMIFS(DATA!$I:$I,DATA!$C:$C,$B262,DATA!$J:$J,"&gt;="&amp;DATE($I$2,D$4,1),DATA!$J:$J,"&lt;="&amp;DATE($I$2,D$4,D$5))</f>
        <v/>
      </c>
      <c r="E262" s="321">
        <f>SUMIFS(DATA!$I:$I,DATA!$C:$C,$B262,DATA!$J:$J,"&gt;="&amp;DATE($I$2,E$4,1),DATA!$J:$J,"&lt;="&amp;DATE($I$2,E$4,E$5))</f>
        <v/>
      </c>
      <c r="F262" s="321">
        <f>SUMIFS(DATA!$I:$I,DATA!$C:$C,$B262,DATA!$J:$J,"&gt;="&amp;DATE($I$2,F$4,1),DATA!$J:$J,"&lt;="&amp;DATE($I$2,F$4,F$5))</f>
        <v/>
      </c>
      <c r="G262" s="321">
        <f>SUMIFS(DATA!$I:$I,DATA!$C:$C,$B262,DATA!$J:$J,"&gt;="&amp;DATE($I$2,G$4,1),DATA!$J:$J,"&lt;="&amp;DATE($I$2,G$4,G$5))</f>
        <v/>
      </c>
      <c r="H262" s="321">
        <f>SUMIFS(DATA!$I:$I,DATA!$C:$C,$B262,DATA!$J:$J,"&gt;="&amp;DATE($I$2,H$4,1),DATA!$J:$J,"&lt;="&amp;DATE($I$2,H$4,H$5))</f>
        <v/>
      </c>
      <c r="I262" s="321">
        <f>SUMIFS(DATA!$I:$I,DATA!$C:$C,$B262,DATA!$J:$J,"&gt;="&amp;DATE($I$2,I$4,1),DATA!$J:$J,"&lt;="&amp;DATE($I$2,I$4,I$5))</f>
        <v/>
      </c>
      <c r="J262" s="321">
        <f>SUMIFS(DATA!$I:$I,DATA!$C:$C,$B262,DATA!$J:$J,"&gt;="&amp;DATE($I$2,J$4,1),DATA!$J:$J,"&lt;="&amp;DATE($I$2,J$4,J$5))</f>
        <v/>
      </c>
      <c r="K262" s="321">
        <f>SUMIFS(DATA!$I:$I,DATA!$C:$C,$B262,DATA!$J:$J,"&gt;="&amp;DATE($I$2,K$4,1),DATA!$J:$J,"&lt;="&amp;DATE($I$2,K$4,K$5))</f>
        <v/>
      </c>
      <c r="L262" s="321">
        <f>SUMIFS(DATA!$I:$I,DATA!$C:$C,$B262,DATA!$J:$J,"&gt;="&amp;DATE($I$2,L$4,1),DATA!$J:$J,"&lt;="&amp;DATE($I$2,L$4,L$5))</f>
        <v/>
      </c>
      <c r="M262" s="321">
        <f>SUMIFS(DATA!$I:$I,DATA!$C:$C,$B262,DATA!$J:$J,"&gt;="&amp;DATE($I$2,M$4,1),DATA!$J:$J,"&lt;="&amp;DATE($I$2,M$4,M$5))</f>
        <v/>
      </c>
      <c r="N262" s="321">
        <f>SUMIFS(DATA!$I:$I,DATA!$C:$C,$B262,DATA!$J:$J,"&gt;="&amp;DATE($I$2,N$4,1),DATA!$J:$J,"&lt;="&amp;DATE($I$2,N$4,N$5))</f>
        <v/>
      </c>
      <c r="O262" s="321">
        <f>SUMIFS(DATA!$I:$I,DATA!$C:$C,$B262,DATA!$J:$J,"&gt;="&amp;DATE($I$2,O$4,1),DATA!$J:$J,"&lt;="&amp;DATE($I$2,O$4,O$5))</f>
        <v/>
      </c>
      <c r="P262" s="322">
        <f>SUM(D262:O262)</f>
        <v/>
      </c>
      <c r="Q262" s="118" t="n"/>
    </row>
    <row r="263" hidden="1" outlineLevel="1" ht="15" customHeight="1">
      <c r="A263" s="266" t="n"/>
      <c r="B263" s="266" t="n"/>
      <c r="C263" s="119" t="inlineStr">
        <is>
          <t>Thực tế</t>
        </is>
      </c>
      <c r="D263" s="321">
        <f>SUMIFS(DATA!$M:$M,DATA!$C:$C,$B262,DATA!$N:$N,"&gt;="&amp;DATE($I$2,D$4,1),DATA!$N:$N,"&lt;="&amp;DATE($I$2,D$4,D$5))</f>
        <v/>
      </c>
      <c r="E263" s="321">
        <f>SUMIFS(DATA!$M:$M,DATA!$C:$C,$B262,DATA!$N:$N,"&gt;="&amp;DATE($I$2,E$4,1),DATA!$N:$N,"&lt;="&amp;DATE($I$2,E$4,E$5))</f>
        <v/>
      </c>
      <c r="F263" s="321">
        <f>SUMIFS(DATA!$M:$M,DATA!$C:$C,$B262,DATA!$N:$N,"&gt;="&amp;DATE($I$2,F$4,1),DATA!$N:$N,"&lt;="&amp;DATE($I$2,F$4,F$5))</f>
        <v/>
      </c>
      <c r="G263" s="321">
        <f>SUMIFS(DATA!$M:$M,DATA!$C:$C,$B262,DATA!$N:$N,"&gt;="&amp;DATE($I$2,G$4,1),DATA!$N:$N,"&lt;="&amp;DATE($I$2,G$4,G$5))</f>
        <v/>
      </c>
      <c r="H263" s="321">
        <f>SUMIFS(DATA!$M:$M,DATA!$C:$C,$B262,DATA!$N:$N,"&gt;="&amp;DATE($I$2,H$4,1),DATA!$N:$N,"&lt;="&amp;DATE($I$2,H$4,H$5))</f>
        <v/>
      </c>
      <c r="I263" s="321">
        <f>SUMIFS(DATA!$M:$M,DATA!$C:$C,$B262,DATA!$N:$N,"&gt;="&amp;DATE($I$2,I$4,1),DATA!$N:$N,"&lt;="&amp;DATE($I$2,I$4,I$5))</f>
        <v/>
      </c>
      <c r="J263" s="321">
        <f>SUMIFS(DATA!$M:$M,DATA!$C:$C,$B262,DATA!$N:$N,"&gt;="&amp;DATE($I$2,J$4,1),DATA!$N:$N,"&lt;="&amp;DATE($I$2,J$4,J$5))</f>
        <v/>
      </c>
      <c r="K263" s="321">
        <f>SUMIFS(DATA!$M:$M,DATA!$C:$C,$B262,DATA!$N:$N,"&gt;="&amp;DATE($I$2,K$4,1),DATA!$N:$N,"&lt;="&amp;DATE($I$2,K$4,K$5))</f>
        <v/>
      </c>
      <c r="L263" s="321">
        <f>SUMIFS(DATA!$M:$M,DATA!$C:$C,$B262,DATA!$N:$N,"&gt;="&amp;DATE($I$2,L$4,1),DATA!$N:$N,"&lt;="&amp;DATE($I$2,L$4,L$5))</f>
        <v/>
      </c>
      <c r="M263" s="321">
        <f>SUMIFS(DATA!$M:$M,DATA!$C:$C,$B262,DATA!$N:$N,"&gt;="&amp;DATE($I$2,M$4,1),DATA!$N:$N,"&lt;="&amp;DATE($I$2,M$4,M$5))</f>
        <v/>
      </c>
      <c r="N263" s="321">
        <f>SUMIFS(DATA!$M:$M,DATA!$C:$C,$B262,DATA!$N:$N,"&gt;="&amp;DATE($I$2,N$4,1),DATA!$N:$N,"&lt;="&amp;DATE($I$2,N$4,N$5))</f>
        <v/>
      </c>
      <c r="O263" s="321">
        <f>SUMIFS(DATA!$M:$M,DATA!$C:$C,$B262,DATA!$N:$N,"&gt;="&amp;DATE($I$2,O$4,1),DATA!$N:$N,"&lt;="&amp;DATE($I$2,O$4,O$5))</f>
        <v/>
      </c>
      <c r="P263" s="322">
        <f>SUM(D263:O263)</f>
        <v/>
      </c>
      <c r="Q263" s="118" t="n"/>
    </row>
    <row r="264" hidden="1" outlineLevel="1" ht="15" customHeight="1">
      <c r="A264" s="269" t="n">
        <v>130</v>
      </c>
      <c r="B264" s="265" t="inlineStr">
        <is>
          <t>ASIA TOWER</t>
        </is>
      </c>
      <c r="C264" s="119" t="inlineStr">
        <is>
          <t>Kế hoạch</t>
        </is>
      </c>
      <c r="D264" s="321">
        <f>SUMIFS(DATA!$I:$I,DATA!$C:$C,$B264,DATA!$J:$J,"&gt;="&amp;DATE($I$2,D$4,1),DATA!$J:$J,"&lt;="&amp;DATE($I$2,D$4,D$5))</f>
        <v/>
      </c>
      <c r="E264" s="321">
        <f>SUMIFS(DATA!$I:$I,DATA!$C:$C,$B264,DATA!$J:$J,"&gt;="&amp;DATE($I$2,E$4,1),DATA!$J:$J,"&lt;="&amp;DATE($I$2,E$4,E$5))</f>
        <v/>
      </c>
      <c r="F264" s="321">
        <f>SUMIFS(DATA!$I:$I,DATA!$C:$C,$B264,DATA!$J:$J,"&gt;="&amp;DATE($I$2,F$4,1),DATA!$J:$J,"&lt;="&amp;DATE($I$2,F$4,F$5))</f>
        <v/>
      </c>
      <c r="G264" s="321">
        <f>SUMIFS(DATA!$I:$I,DATA!$C:$C,$B264,DATA!$J:$J,"&gt;="&amp;DATE($I$2,G$4,1),DATA!$J:$J,"&lt;="&amp;DATE($I$2,G$4,G$5))</f>
        <v/>
      </c>
      <c r="H264" s="321">
        <f>SUMIFS(DATA!$I:$I,DATA!$C:$C,$B264,DATA!$J:$J,"&gt;="&amp;DATE($I$2,H$4,1),DATA!$J:$J,"&lt;="&amp;DATE($I$2,H$4,H$5))</f>
        <v/>
      </c>
      <c r="I264" s="321">
        <f>SUMIFS(DATA!$I:$I,DATA!$C:$C,$B264,DATA!$J:$J,"&gt;="&amp;DATE($I$2,I$4,1),DATA!$J:$J,"&lt;="&amp;DATE($I$2,I$4,I$5))</f>
        <v/>
      </c>
      <c r="J264" s="321">
        <f>SUMIFS(DATA!$I:$I,DATA!$C:$C,$B264,DATA!$J:$J,"&gt;="&amp;DATE($I$2,J$4,1),DATA!$J:$J,"&lt;="&amp;DATE($I$2,J$4,J$5))</f>
        <v/>
      </c>
      <c r="K264" s="321">
        <f>SUMIFS(DATA!$I:$I,DATA!$C:$C,$B264,DATA!$J:$J,"&gt;="&amp;DATE($I$2,K$4,1),DATA!$J:$J,"&lt;="&amp;DATE($I$2,K$4,K$5))</f>
        <v/>
      </c>
      <c r="L264" s="321">
        <f>SUMIFS(DATA!$I:$I,DATA!$C:$C,$B264,DATA!$J:$J,"&gt;="&amp;DATE($I$2,L$4,1),DATA!$J:$J,"&lt;="&amp;DATE($I$2,L$4,L$5))</f>
        <v/>
      </c>
      <c r="M264" s="321">
        <f>SUMIFS(DATA!$I:$I,DATA!$C:$C,$B264,DATA!$J:$J,"&gt;="&amp;DATE($I$2,M$4,1),DATA!$J:$J,"&lt;="&amp;DATE($I$2,M$4,M$5))</f>
        <v/>
      </c>
      <c r="N264" s="321">
        <f>SUMIFS(DATA!$I:$I,DATA!$C:$C,$B264,DATA!$J:$J,"&gt;="&amp;DATE($I$2,N$4,1),DATA!$J:$J,"&lt;="&amp;DATE($I$2,N$4,N$5))</f>
        <v/>
      </c>
      <c r="O264" s="321">
        <f>SUMIFS(DATA!$I:$I,DATA!$C:$C,$B264,DATA!$J:$J,"&gt;="&amp;DATE($I$2,O$4,1),DATA!$J:$J,"&lt;="&amp;DATE($I$2,O$4,O$5))</f>
        <v/>
      </c>
      <c r="P264" s="322">
        <f>SUM(D264:O264)</f>
        <v/>
      </c>
      <c r="Q264" s="118" t="n"/>
    </row>
    <row r="265" hidden="1" outlineLevel="1" ht="15" customHeight="1">
      <c r="A265" s="266" t="n"/>
      <c r="B265" s="266" t="n"/>
      <c r="C265" s="119" t="inlineStr">
        <is>
          <t>Thực tế</t>
        </is>
      </c>
      <c r="D265" s="321">
        <f>SUMIFS(DATA!$M:$M,DATA!$C:$C,$B264,DATA!$N:$N,"&gt;="&amp;DATE($I$2,D$4,1),DATA!$N:$N,"&lt;="&amp;DATE($I$2,D$4,D$5))</f>
        <v/>
      </c>
      <c r="E265" s="321">
        <f>SUMIFS(DATA!$M:$M,DATA!$C:$C,$B264,DATA!$N:$N,"&gt;="&amp;DATE($I$2,E$4,1),DATA!$N:$N,"&lt;="&amp;DATE($I$2,E$4,E$5))</f>
        <v/>
      </c>
      <c r="F265" s="321">
        <f>SUMIFS(DATA!$M:$M,DATA!$C:$C,$B264,DATA!$N:$N,"&gt;="&amp;DATE($I$2,F$4,1),DATA!$N:$N,"&lt;="&amp;DATE($I$2,F$4,F$5))</f>
        <v/>
      </c>
      <c r="G265" s="321">
        <f>SUMIFS(DATA!$M:$M,DATA!$C:$C,$B264,DATA!$N:$N,"&gt;="&amp;DATE($I$2,G$4,1),DATA!$N:$N,"&lt;="&amp;DATE($I$2,G$4,G$5))</f>
        <v/>
      </c>
      <c r="H265" s="321">
        <f>SUMIFS(DATA!$M:$M,DATA!$C:$C,$B264,DATA!$N:$N,"&gt;="&amp;DATE($I$2,H$4,1),DATA!$N:$N,"&lt;="&amp;DATE($I$2,H$4,H$5))</f>
        <v/>
      </c>
      <c r="I265" s="321">
        <f>SUMIFS(DATA!$M:$M,DATA!$C:$C,$B264,DATA!$N:$N,"&gt;="&amp;DATE($I$2,I$4,1),DATA!$N:$N,"&lt;="&amp;DATE($I$2,I$4,I$5))</f>
        <v/>
      </c>
      <c r="J265" s="321">
        <f>SUMIFS(DATA!$M:$M,DATA!$C:$C,$B264,DATA!$N:$N,"&gt;="&amp;DATE($I$2,J$4,1),DATA!$N:$N,"&lt;="&amp;DATE($I$2,J$4,J$5))</f>
        <v/>
      </c>
      <c r="K265" s="321">
        <f>SUMIFS(DATA!$M:$M,DATA!$C:$C,$B264,DATA!$N:$N,"&gt;="&amp;DATE($I$2,K$4,1),DATA!$N:$N,"&lt;="&amp;DATE($I$2,K$4,K$5))</f>
        <v/>
      </c>
      <c r="L265" s="321">
        <f>SUMIFS(DATA!$M:$M,DATA!$C:$C,$B264,DATA!$N:$N,"&gt;="&amp;DATE($I$2,L$4,1),DATA!$N:$N,"&lt;="&amp;DATE($I$2,L$4,L$5))</f>
        <v/>
      </c>
      <c r="M265" s="321">
        <f>SUMIFS(DATA!$M:$M,DATA!$C:$C,$B264,DATA!$N:$N,"&gt;="&amp;DATE($I$2,M$4,1),DATA!$N:$N,"&lt;="&amp;DATE($I$2,M$4,M$5))</f>
        <v/>
      </c>
      <c r="N265" s="321">
        <f>SUMIFS(DATA!$M:$M,DATA!$C:$C,$B264,DATA!$N:$N,"&gt;="&amp;DATE($I$2,N$4,1),DATA!$N:$N,"&lt;="&amp;DATE($I$2,N$4,N$5))</f>
        <v/>
      </c>
      <c r="O265" s="321">
        <f>SUMIFS(DATA!$M:$M,DATA!$C:$C,$B264,DATA!$N:$N,"&gt;="&amp;DATE($I$2,O$4,1),DATA!$N:$N,"&lt;="&amp;DATE($I$2,O$4,O$5))</f>
        <v/>
      </c>
      <c r="P265" s="322">
        <f>SUM(D265:O265)</f>
        <v/>
      </c>
      <c r="Q265" s="118" t="n"/>
    </row>
    <row r="266" hidden="1" outlineLevel="1" ht="15" customHeight="1">
      <c r="A266" s="269" t="n">
        <v>131</v>
      </c>
      <c r="B266" s="265" t="inlineStr">
        <is>
          <t>GREEN PEARL</t>
        </is>
      </c>
      <c r="C266" s="119" t="inlineStr">
        <is>
          <t>Kế hoạch</t>
        </is>
      </c>
      <c r="D266" s="321">
        <f>SUMIFS(DATA!$I:$I,DATA!$C:$C,$B266,DATA!$J:$J,"&gt;="&amp;DATE($I$2,D$4,1),DATA!$J:$J,"&lt;="&amp;DATE($I$2,D$4,D$5))</f>
        <v/>
      </c>
      <c r="E266" s="321">
        <f>SUMIFS(DATA!$I:$I,DATA!$C:$C,$B266,DATA!$J:$J,"&gt;="&amp;DATE($I$2,E$4,1),DATA!$J:$J,"&lt;="&amp;DATE($I$2,E$4,E$5))</f>
        <v/>
      </c>
      <c r="F266" s="321">
        <f>SUMIFS(DATA!$I:$I,DATA!$C:$C,$B266,DATA!$J:$J,"&gt;="&amp;DATE($I$2,F$4,1),DATA!$J:$J,"&lt;="&amp;DATE($I$2,F$4,F$5))</f>
        <v/>
      </c>
      <c r="G266" s="321">
        <f>SUMIFS(DATA!$I:$I,DATA!$C:$C,$B266,DATA!$J:$J,"&gt;="&amp;DATE($I$2,G$4,1),DATA!$J:$J,"&lt;="&amp;DATE($I$2,G$4,G$5))</f>
        <v/>
      </c>
      <c r="H266" s="321">
        <f>SUMIFS(DATA!$I:$I,DATA!$C:$C,$B266,DATA!$J:$J,"&gt;="&amp;DATE($I$2,H$4,1),DATA!$J:$J,"&lt;="&amp;DATE($I$2,H$4,H$5))</f>
        <v/>
      </c>
      <c r="I266" s="321">
        <f>SUMIFS(DATA!$I:$I,DATA!$C:$C,$B266,DATA!$J:$J,"&gt;="&amp;DATE($I$2,I$4,1),DATA!$J:$J,"&lt;="&amp;DATE($I$2,I$4,I$5))</f>
        <v/>
      </c>
      <c r="J266" s="321">
        <f>SUMIFS(DATA!$I:$I,DATA!$C:$C,$B266,DATA!$J:$J,"&gt;="&amp;DATE($I$2,J$4,1),DATA!$J:$J,"&lt;="&amp;DATE($I$2,J$4,J$5))</f>
        <v/>
      </c>
      <c r="K266" s="321">
        <f>SUMIFS(DATA!$I:$I,DATA!$C:$C,$B266,DATA!$J:$J,"&gt;="&amp;DATE($I$2,K$4,1),DATA!$J:$J,"&lt;="&amp;DATE($I$2,K$4,K$5))</f>
        <v/>
      </c>
      <c r="L266" s="321">
        <f>SUMIFS(DATA!$I:$I,DATA!$C:$C,$B266,DATA!$J:$J,"&gt;="&amp;DATE($I$2,L$4,1),DATA!$J:$J,"&lt;="&amp;DATE($I$2,L$4,L$5))</f>
        <v/>
      </c>
      <c r="M266" s="321">
        <f>SUMIFS(DATA!$I:$I,DATA!$C:$C,$B266,DATA!$J:$J,"&gt;="&amp;DATE($I$2,M$4,1),DATA!$J:$J,"&lt;="&amp;DATE($I$2,M$4,M$5))</f>
        <v/>
      </c>
      <c r="N266" s="321">
        <f>SUMIFS(DATA!$I:$I,DATA!$C:$C,$B266,DATA!$J:$J,"&gt;="&amp;DATE($I$2,N$4,1),DATA!$J:$J,"&lt;="&amp;DATE($I$2,N$4,N$5))</f>
        <v/>
      </c>
      <c r="O266" s="321">
        <f>SUMIFS(DATA!$I:$I,DATA!$C:$C,$B266,DATA!$J:$J,"&gt;="&amp;DATE($I$2,O$4,1),DATA!$J:$J,"&lt;="&amp;DATE($I$2,O$4,O$5))</f>
        <v/>
      </c>
      <c r="P266" s="322">
        <f>SUM(D266:O266)</f>
        <v/>
      </c>
      <c r="Q266" s="118" t="n"/>
    </row>
    <row r="267" hidden="1" outlineLevel="1" ht="15" customHeight="1">
      <c r="A267" s="266" t="n"/>
      <c r="B267" s="266" t="n"/>
      <c r="C267" s="119" t="inlineStr">
        <is>
          <t>Thực tế</t>
        </is>
      </c>
      <c r="D267" s="321">
        <f>SUMIFS(DATA!$M:$M,DATA!$C:$C,$B266,DATA!$N:$N,"&gt;="&amp;DATE($I$2,D$4,1),DATA!$N:$N,"&lt;="&amp;DATE($I$2,D$4,D$5))</f>
        <v/>
      </c>
      <c r="E267" s="321">
        <f>SUMIFS(DATA!$M:$M,DATA!$C:$C,$B266,DATA!$N:$N,"&gt;="&amp;DATE($I$2,E$4,1),DATA!$N:$N,"&lt;="&amp;DATE($I$2,E$4,E$5))</f>
        <v/>
      </c>
      <c r="F267" s="321">
        <f>SUMIFS(DATA!$M:$M,DATA!$C:$C,$B266,DATA!$N:$N,"&gt;="&amp;DATE($I$2,F$4,1),DATA!$N:$N,"&lt;="&amp;DATE($I$2,F$4,F$5))</f>
        <v/>
      </c>
      <c r="G267" s="321">
        <f>SUMIFS(DATA!$M:$M,DATA!$C:$C,$B266,DATA!$N:$N,"&gt;="&amp;DATE($I$2,G$4,1),DATA!$N:$N,"&lt;="&amp;DATE($I$2,G$4,G$5))</f>
        <v/>
      </c>
      <c r="H267" s="321">
        <f>SUMIFS(DATA!$M:$M,DATA!$C:$C,$B266,DATA!$N:$N,"&gt;="&amp;DATE($I$2,H$4,1),DATA!$N:$N,"&lt;="&amp;DATE($I$2,H$4,H$5))</f>
        <v/>
      </c>
      <c r="I267" s="321">
        <f>SUMIFS(DATA!$M:$M,DATA!$C:$C,$B266,DATA!$N:$N,"&gt;="&amp;DATE($I$2,I$4,1),DATA!$N:$N,"&lt;="&amp;DATE($I$2,I$4,I$5))</f>
        <v/>
      </c>
      <c r="J267" s="321">
        <f>SUMIFS(DATA!$M:$M,DATA!$C:$C,$B266,DATA!$N:$N,"&gt;="&amp;DATE($I$2,J$4,1),DATA!$N:$N,"&lt;="&amp;DATE($I$2,J$4,J$5))</f>
        <v/>
      </c>
      <c r="K267" s="321">
        <f>SUMIFS(DATA!$M:$M,DATA!$C:$C,$B266,DATA!$N:$N,"&gt;="&amp;DATE($I$2,K$4,1),DATA!$N:$N,"&lt;="&amp;DATE($I$2,K$4,K$5))</f>
        <v/>
      </c>
      <c r="L267" s="321">
        <f>SUMIFS(DATA!$M:$M,DATA!$C:$C,$B266,DATA!$N:$N,"&gt;="&amp;DATE($I$2,L$4,1),DATA!$N:$N,"&lt;="&amp;DATE($I$2,L$4,L$5))</f>
        <v/>
      </c>
      <c r="M267" s="321">
        <f>SUMIFS(DATA!$M:$M,DATA!$C:$C,$B266,DATA!$N:$N,"&gt;="&amp;DATE($I$2,M$4,1),DATA!$N:$N,"&lt;="&amp;DATE($I$2,M$4,M$5))</f>
        <v/>
      </c>
      <c r="N267" s="321">
        <f>SUMIFS(DATA!$M:$M,DATA!$C:$C,$B266,DATA!$N:$N,"&gt;="&amp;DATE($I$2,N$4,1),DATA!$N:$N,"&lt;="&amp;DATE($I$2,N$4,N$5))</f>
        <v/>
      </c>
      <c r="O267" s="321">
        <f>SUMIFS(DATA!$M:$M,DATA!$C:$C,$B266,DATA!$N:$N,"&gt;="&amp;DATE($I$2,O$4,1),DATA!$N:$N,"&lt;="&amp;DATE($I$2,O$4,O$5))</f>
        <v/>
      </c>
      <c r="P267" s="322">
        <f>SUM(D267:O267)</f>
        <v/>
      </c>
      <c r="Q267" s="118" t="n"/>
    </row>
    <row r="268" hidden="1" outlineLevel="1" ht="15" customHeight="1">
      <c r="A268" s="269" t="n">
        <v>132</v>
      </c>
      <c r="B268" s="265" t="inlineStr">
        <is>
          <t>NGÂN HÀNG THẾ GIỚI TẠI VIỆT NAM</t>
        </is>
      </c>
      <c r="C268" s="119" t="inlineStr">
        <is>
          <t>Kế hoạch</t>
        </is>
      </c>
      <c r="D268" s="321">
        <f>SUMIFS(DATA!$I:$I,DATA!$C:$C,$B268,DATA!$J:$J,"&gt;="&amp;DATE($I$2,D$4,1),DATA!$J:$J,"&lt;="&amp;DATE($I$2,D$4,D$5))</f>
        <v/>
      </c>
      <c r="E268" s="321">
        <f>SUMIFS(DATA!$I:$I,DATA!$C:$C,$B268,DATA!$J:$J,"&gt;="&amp;DATE($I$2,E$4,1),DATA!$J:$J,"&lt;="&amp;DATE($I$2,E$4,E$5))</f>
        <v/>
      </c>
      <c r="F268" s="321">
        <f>SUMIFS(DATA!$I:$I,DATA!$C:$C,$B268,DATA!$J:$J,"&gt;="&amp;DATE($I$2,F$4,1),DATA!$J:$J,"&lt;="&amp;DATE($I$2,F$4,F$5))</f>
        <v/>
      </c>
      <c r="G268" s="321">
        <f>SUMIFS(DATA!$I:$I,DATA!$C:$C,$B268,DATA!$J:$J,"&gt;="&amp;DATE($I$2,G$4,1),DATA!$J:$J,"&lt;="&amp;DATE($I$2,G$4,G$5))</f>
        <v/>
      </c>
      <c r="H268" s="321">
        <f>SUMIFS(DATA!$I:$I,DATA!$C:$C,$B268,DATA!$J:$J,"&gt;="&amp;DATE($I$2,H$4,1),DATA!$J:$J,"&lt;="&amp;DATE($I$2,H$4,H$5))</f>
        <v/>
      </c>
      <c r="I268" s="321">
        <f>SUMIFS(DATA!$I:$I,DATA!$C:$C,$B268,DATA!$J:$J,"&gt;="&amp;DATE($I$2,I$4,1),DATA!$J:$J,"&lt;="&amp;DATE($I$2,I$4,I$5))</f>
        <v/>
      </c>
      <c r="J268" s="321">
        <f>SUMIFS(DATA!$I:$I,DATA!$C:$C,$B268,DATA!$J:$J,"&gt;="&amp;DATE($I$2,J$4,1),DATA!$J:$J,"&lt;="&amp;DATE($I$2,J$4,J$5))</f>
        <v/>
      </c>
      <c r="K268" s="321">
        <f>SUMIFS(DATA!$I:$I,DATA!$C:$C,$B268,DATA!$J:$J,"&gt;="&amp;DATE($I$2,K$4,1),DATA!$J:$J,"&lt;="&amp;DATE($I$2,K$4,K$5))</f>
        <v/>
      </c>
      <c r="L268" s="321">
        <f>SUMIFS(DATA!$I:$I,DATA!$C:$C,$B268,DATA!$J:$J,"&gt;="&amp;DATE($I$2,L$4,1),DATA!$J:$J,"&lt;="&amp;DATE($I$2,L$4,L$5))</f>
        <v/>
      </c>
      <c r="M268" s="321">
        <f>SUMIFS(DATA!$I:$I,DATA!$C:$C,$B268,DATA!$J:$J,"&gt;="&amp;DATE($I$2,M$4,1),DATA!$J:$J,"&lt;="&amp;DATE($I$2,M$4,M$5))</f>
        <v/>
      </c>
      <c r="N268" s="321">
        <f>SUMIFS(DATA!$I:$I,DATA!$C:$C,$B268,DATA!$J:$J,"&gt;="&amp;DATE($I$2,N$4,1),DATA!$J:$J,"&lt;="&amp;DATE($I$2,N$4,N$5))</f>
        <v/>
      </c>
      <c r="O268" s="321">
        <f>SUMIFS(DATA!$I:$I,DATA!$C:$C,$B268,DATA!$J:$J,"&gt;="&amp;DATE($I$2,O$4,1),DATA!$J:$J,"&lt;="&amp;DATE($I$2,O$4,O$5))</f>
        <v/>
      </c>
      <c r="P268" s="322">
        <f>SUM(D268:O268)</f>
        <v/>
      </c>
      <c r="Q268" s="118" t="n"/>
    </row>
    <row r="269" hidden="1" outlineLevel="1" ht="15" customHeight="1">
      <c r="A269" s="266" t="n"/>
      <c r="B269" s="266" t="n"/>
      <c r="C269" s="119" t="inlineStr">
        <is>
          <t>Thực tế</t>
        </is>
      </c>
      <c r="D269" s="321">
        <f>SUMIFS(DATA!$M:$M,DATA!$C:$C,$B268,DATA!$N:$N,"&gt;="&amp;DATE($I$2,D$4,1),DATA!$N:$N,"&lt;="&amp;DATE($I$2,D$4,D$5))</f>
        <v/>
      </c>
      <c r="E269" s="321">
        <f>SUMIFS(DATA!$M:$M,DATA!$C:$C,$B268,DATA!$N:$N,"&gt;="&amp;DATE($I$2,E$4,1),DATA!$N:$N,"&lt;="&amp;DATE($I$2,E$4,E$5))</f>
        <v/>
      </c>
      <c r="F269" s="321">
        <f>SUMIFS(DATA!$M:$M,DATA!$C:$C,$B268,DATA!$N:$N,"&gt;="&amp;DATE($I$2,F$4,1),DATA!$N:$N,"&lt;="&amp;DATE($I$2,F$4,F$5))</f>
        <v/>
      </c>
      <c r="G269" s="321">
        <f>SUMIFS(DATA!$M:$M,DATA!$C:$C,$B268,DATA!$N:$N,"&gt;="&amp;DATE($I$2,G$4,1),DATA!$N:$N,"&lt;="&amp;DATE($I$2,G$4,G$5))</f>
        <v/>
      </c>
      <c r="H269" s="321">
        <f>SUMIFS(DATA!$M:$M,DATA!$C:$C,$B268,DATA!$N:$N,"&gt;="&amp;DATE($I$2,H$4,1),DATA!$N:$N,"&lt;="&amp;DATE($I$2,H$4,H$5))</f>
        <v/>
      </c>
      <c r="I269" s="321">
        <f>SUMIFS(DATA!$M:$M,DATA!$C:$C,$B268,DATA!$N:$N,"&gt;="&amp;DATE($I$2,I$4,1),DATA!$N:$N,"&lt;="&amp;DATE($I$2,I$4,I$5))</f>
        <v/>
      </c>
      <c r="J269" s="321">
        <f>SUMIFS(DATA!$M:$M,DATA!$C:$C,$B268,DATA!$N:$N,"&gt;="&amp;DATE($I$2,J$4,1),DATA!$N:$N,"&lt;="&amp;DATE($I$2,J$4,J$5))</f>
        <v/>
      </c>
      <c r="K269" s="321">
        <f>SUMIFS(DATA!$M:$M,DATA!$C:$C,$B268,DATA!$N:$N,"&gt;="&amp;DATE($I$2,K$4,1),DATA!$N:$N,"&lt;="&amp;DATE($I$2,K$4,K$5))</f>
        <v/>
      </c>
      <c r="L269" s="321">
        <f>SUMIFS(DATA!$M:$M,DATA!$C:$C,$B268,DATA!$N:$N,"&gt;="&amp;DATE($I$2,L$4,1),DATA!$N:$N,"&lt;="&amp;DATE($I$2,L$4,L$5))</f>
        <v/>
      </c>
      <c r="M269" s="321">
        <f>SUMIFS(DATA!$M:$M,DATA!$C:$C,$B268,DATA!$N:$N,"&gt;="&amp;DATE($I$2,M$4,1),DATA!$N:$N,"&lt;="&amp;DATE($I$2,M$4,M$5))</f>
        <v/>
      </c>
      <c r="N269" s="321">
        <f>SUMIFS(DATA!$M:$M,DATA!$C:$C,$B268,DATA!$N:$N,"&gt;="&amp;DATE($I$2,N$4,1),DATA!$N:$N,"&lt;="&amp;DATE($I$2,N$4,N$5))</f>
        <v/>
      </c>
      <c r="O269" s="321">
        <f>SUMIFS(DATA!$M:$M,DATA!$C:$C,$B268,DATA!$N:$N,"&gt;="&amp;DATE($I$2,O$4,1),DATA!$N:$N,"&lt;="&amp;DATE($I$2,O$4,O$5))</f>
        <v/>
      </c>
      <c r="P269" s="322">
        <f>SUM(D269:O269)</f>
        <v/>
      </c>
      <c r="Q269" s="118" t="n"/>
    </row>
    <row r="270" hidden="1" outlineLevel="1" ht="15" customHeight="1">
      <c r="A270" s="269" t="n">
        <v>133</v>
      </c>
      <c r="B270" s="265" t="inlineStr">
        <is>
          <t>GOLDEN LAND</t>
        </is>
      </c>
      <c r="C270" s="119" t="inlineStr">
        <is>
          <t>Kế hoạch</t>
        </is>
      </c>
      <c r="D270" s="321">
        <f>SUMIFS(DATA!$I:$I,DATA!$C:$C,$B270,DATA!$J:$J,"&gt;="&amp;DATE($I$2,D$4,1),DATA!$J:$J,"&lt;="&amp;DATE($I$2,D$4,D$5))</f>
        <v/>
      </c>
      <c r="E270" s="321">
        <f>SUMIFS(DATA!$I:$I,DATA!$C:$C,$B270,DATA!$J:$J,"&gt;="&amp;DATE($I$2,E$4,1),DATA!$J:$J,"&lt;="&amp;DATE($I$2,E$4,E$5))</f>
        <v/>
      </c>
      <c r="F270" s="321">
        <f>SUMIFS(DATA!$I:$I,DATA!$C:$C,$B270,DATA!$J:$J,"&gt;="&amp;DATE($I$2,F$4,1),DATA!$J:$J,"&lt;="&amp;DATE($I$2,F$4,F$5))</f>
        <v/>
      </c>
      <c r="G270" s="321">
        <f>SUMIFS(DATA!$I:$I,DATA!$C:$C,$B270,DATA!$J:$J,"&gt;="&amp;DATE($I$2,G$4,1),DATA!$J:$J,"&lt;="&amp;DATE($I$2,G$4,G$5))</f>
        <v/>
      </c>
      <c r="H270" s="321">
        <f>SUMIFS(DATA!$I:$I,DATA!$C:$C,$B270,DATA!$J:$J,"&gt;="&amp;DATE($I$2,H$4,1),DATA!$J:$J,"&lt;="&amp;DATE($I$2,H$4,H$5))</f>
        <v/>
      </c>
      <c r="I270" s="321">
        <f>SUMIFS(DATA!$I:$I,DATA!$C:$C,$B270,DATA!$J:$J,"&gt;="&amp;DATE($I$2,I$4,1),DATA!$J:$J,"&lt;="&amp;DATE($I$2,I$4,I$5))</f>
        <v/>
      </c>
      <c r="J270" s="321">
        <f>SUMIFS(DATA!$I:$I,DATA!$C:$C,$B270,DATA!$J:$J,"&gt;="&amp;DATE($I$2,J$4,1),DATA!$J:$J,"&lt;="&amp;DATE($I$2,J$4,J$5))</f>
        <v/>
      </c>
      <c r="K270" s="321">
        <f>SUMIFS(DATA!$I:$I,DATA!$C:$C,$B270,DATA!$J:$J,"&gt;="&amp;DATE($I$2,K$4,1),DATA!$J:$J,"&lt;="&amp;DATE($I$2,K$4,K$5))</f>
        <v/>
      </c>
      <c r="L270" s="321">
        <f>SUMIFS(DATA!$I:$I,DATA!$C:$C,$B270,DATA!$J:$J,"&gt;="&amp;DATE($I$2,L$4,1),DATA!$J:$J,"&lt;="&amp;DATE($I$2,L$4,L$5))</f>
        <v/>
      </c>
      <c r="M270" s="321">
        <f>SUMIFS(DATA!$I:$I,DATA!$C:$C,$B270,DATA!$J:$J,"&gt;="&amp;DATE($I$2,M$4,1),DATA!$J:$J,"&lt;="&amp;DATE($I$2,M$4,M$5))</f>
        <v/>
      </c>
      <c r="N270" s="321">
        <f>SUMIFS(DATA!$I:$I,DATA!$C:$C,$B270,DATA!$J:$J,"&gt;="&amp;DATE($I$2,N$4,1),DATA!$J:$J,"&lt;="&amp;DATE($I$2,N$4,N$5))</f>
        <v/>
      </c>
      <c r="O270" s="321">
        <f>SUMIFS(DATA!$I:$I,DATA!$C:$C,$B270,DATA!$J:$J,"&gt;="&amp;DATE($I$2,O$4,1),DATA!$J:$J,"&lt;="&amp;DATE($I$2,O$4,O$5))</f>
        <v/>
      </c>
      <c r="P270" s="322">
        <f>SUM(D270:O270)</f>
        <v/>
      </c>
      <c r="Q270" s="118" t="n"/>
    </row>
    <row r="271" hidden="1" outlineLevel="1" ht="15" customHeight="1">
      <c r="A271" s="266" t="n"/>
      <c r="B271" s="266" t="n"/>
      <c r="C271" s="119" t="inlineStr">
        <is>
          <t>Thực tế</t>
        </is>
      </c>
      <c r="D271" s="321">
        <f>SUMIFS(DATA!$M:$M,DATA!$C:$C,$B270,DATA!$N:$N,"&gt;="&amp;DATE($I$2,D$4,1),DATA!$N:$N,"&lt;="&amp;DATE($I$2,D$4,D$5))</f>
        <v/>
      </c>
      <c r="E271" s="321">
        <f>SUMIFS(DATA!$M:$M,DATA!$C:$C,$B270,DATA!$N:$N,"&gt;="&amp;DATE($I$2,E$4,1),DATA!$N:$N,"&lt;="&amp;DATE($I$2,E$4,E$5))</f>
        <v/>
      </c>
      <c r="F271" s="321">
        <f>SUMIFS(DATA!$M:$M,DATA!$C:$C,$B270,DATA!$N:$N,"&gt;="&amp;DATE($I$2,F$4,1),DATA!$N:$N,"&lt;="&amp;DATE($I$2,F$4,F$5))</f>
        <v/>
      </c>
      <c r="G271" s="321">
        <f>SUMIFS(DATA!$M:$M,DATA!$C:$C,$B270,DATA!$N:$N,"&gt;="&amp;DATE($I$2,G$4,1),DATA!$N:$N,"&lt;="&amp;DATE($I$2,G$4,G$5))</f>
        <v/>
      </c>
      <c r="H271" s="321">
        <f>SUMIFS(DATA!$M:$M,DATA!$C:$C,$B270,DATA!$N:$N,"&gt;="&amp;DATE($I$2,H$4,1),DATA!$N:$N,"&lt;="&amp;DATE($I$2,H$4,H$5))</f>
        <v/>
      </c>
      <c r="I271" s="321">
        <f>SUMIFS(DATA!$M:$M,DATA!$C:$C,$B270,DATA!$N:$N,"&gt;="&amp;DATE($I$2,I$4,1),DATA!$N:$N,"&lt;="&amp;DATE($I$2,I$4,I$5))</f>
        <v/>
      </c>
      <c r="J271" s="321">
        <f>SUMIFS(DATA!$M:$M,DATA!$C:$C,$B270,DATA!$N:$N,"&gt;="&amp;DATE($I$2,J$4,1),DATA!$N:$N,"&lt;="&amp;DATE($I$2,J$4,J$5))</f>
        <v/>
      </c>
      <c r="K271" s="321">
        <f>SUMIFS(DATA!$M:$M,DATA!$C:$C,$B270,DATA!$N:$N,"&gt;="&amp;DATE($I$2,K$4,1),DATA!$N:$N,"&lt;="&amp;DATE($I$2,K$4,K$5))</f>
        <v/>
      </c>
      <c r="L271" s="321">
        <f>SUMIFS(DATA!$M:$M,DATA!$C:$C,$B270,DATA!$N:$N,"&gt;="&amp;DATE($I$2,L$4,1),DATA!$N:$N,"&lt;="&amp;DATE($I$2,L$4,L$5))</f>
        <v/>
      </c>
      <c r="M271" s="321">
        <f>SUMIFS(DATA!$M:$M,DATA!$C:$C,$B270,DATA!$N:$N,"&gt;="&amp;DATE($I$2,M$4,1),DATA!$N:$N,"&lt;="&amp;DATE($I$2,M$4,M$5))</f>
        <v/>
      </c>
      <c r="N271" s="321">
        <f>SUMIFS(DATA!$M:$M,DATA!$C:$C,$B270,DATA!$N:$N,"&gt;="&amp;DATE($I$2,N$4,1),DATA!$N:$N,"&lt;="&amp;DATE($I$2,N$4,N$5))</f>
        <v/>
      </c>
      <c r="O271" s="321">
        <f>SUMIFS(DATA!$M:$M,DATA!$C:$C,$B270,DATA!$N:$N,"&gt;="&amp;DATE($I$2,O$4,1),DATA!$N:$N,"&lt;="&amp;DATE($I$2,O$4,O$5))</f>
        <v/>
      </c>
      <c r="P271" s="322">
        <f>SUM(D271:O271)</f>
        <v/>
      </c>
      <c r="Q271" s="118" t="n"/>
    </row>
    <row r="272" hidden="1" outlineLevel="1" ht="15" customHeight="1">
      <c r="A272" s="269" t="n">
        <v>134</v>
      </c>
      <c r="B272" s="265" t="inlineStr">
        <is>
          <t>ORIENTAL WESTLAKE</t>
        </is>
      </c>
      <c r="C272" s="119" t="inlineStr">
        <is>
          <t>Kế hoạch</t>
        </is>
      </c>
      <c r="D272" s="321">
        <f>SUMIFS(DATA!$I:$I,DATA!$C:$C,$B272,DATA!$J:$J,"&gt;="&amp;DATE($I$2,D$4,1),DATA!$J:$J,"&lt;="&amp;DATE($I$2,D$4,D$5))</f>
        <v/>
      </c>
      <c r="E272" s="321">
        <f>SUMIFS(DATA!$I:$I,DATA!$C:$C,$B272,DATA!$J:$J,"&gt;="&amp;DATE($I$2,E$4,1),DATA!$J:$J,"&lt;="&amp;DATE($I$2,E$4,E$5))</f>
        <v/>
      </c>
      <c r="F272" s="321">
        <f>SUMIFS(DATA!$I:$I,DATA!$C:$C,$B272,DATA!$J:$J,"&gt;="&amp;DATE($I$2,F$4,1),DATA!$J:$J,"&lt;="&amp;DATE($I$2,F$4,F$5))</f>
        <v/>
      </c>
      <c r="G272" s="321">
        <f>SUMIFS(DATA!$I:$I,DATA!$C:$C,$B272,DATA!$J:$J,"&gt;="&amp;DATE($I$2,G$4,1),DATA!$J:$J,"&lt;="&amp;DATE($I$2,G$4,G$5))</f>
        <v/>
      </c>
      <c r="H272" s="321">
        <f>SUMIFS(DATA!$I:$I,DATA!$C:$C,$B272,DATA!$J:$J,"&gt;="&amp;DATE($I$2,H$4,1),DATA!$J:$J,"&lt;="&amp;DATE($I$2,H$4,H$5))</f>
        <v/>
      </c>
      <c r="I272" s="321">
        <f>SUMIFS(DATA!$I:$I,DATA!$C:$C,$B272,DATA!$J:$J,"&gt;="&amp;DATE($I$2,I$4,1),DATA!$J:$J,"&lt;="&amp;DATE($I$2,I$4,I$5))</f>
        <v/>
      </c>
      <c r="J272" s="321">
        <f>SUMIFS(DATA!$I:$I,DATA!$C:$C,$B272,DATA!$J:$J,"&gt;="&amp;DATE($I$2,J$4,1),DATA!$J:$J,"&lt;="&amp;DATE($I$2,J$4,J$5))</f>
        <v/>
      </c>
      <c r="K272" s="321">
        <f>SUMIFS(DATA!$I:$I,DATA!$C:$C,$B272,DATA!$J:$J,"&gt;="&amp;DATE($I$2,K$4,1),DATA!$J:$J,"&lt;="&amp;DATE($I$2,K$4,K$5))</f>
        <v/>
      </c>
      <c r="L272" s="321">
        <f>SUMIFS(DATA!$I:$I,DATA!$C:$C,$B272,DATA!$J:$J,"&gt;="&amp;DATE($I$2,L$4,1),DATA!$J:$J,"&lt;="&amp;DATE($I$2,L$4,L$5))</f>
        <v/>
      </c>
      <c r="M272" s="321">
        <f>SUMIFS(DATA!$I:$I,DATA!$C:$C,$B272,DATA!$J:$J,"&gt;="&amp;DATE($I$2,M$4,1),DATA!$J:$J,"&lt;="&amp;DATE($I$2,M$4,M$5))</f>
        <v/>
      </c>
      <c r="N272" s="321">
        <f>SUMIFS(DATA!$I:$I,DATA!$C:$C,$B272,DATA!$J:$J,"&gt;="&amp;DATE($I$2,N$4,1),DATA!$J:$J,"&lt;="&amp;DATE($I$2,N$4,N$5))</f>
        <v/>
      </c>
      <c r="O272" s="321">
        <f>SUMIFS(DATA!$I:$I,DATA!$C:$C,$B272,DATA!$J:$J,"&gt;="&amp;DATE($I$2,O$4,1),DATA!$J:$J,"&lt;="&amp;DATE($I$2,O$4,O$5))</f>
        <v/>
      </c>
      <c r="P272" s="322">
        <f>SUM(D272:O272)</f>
        <v/>
      </c>
      <c r="Q272" s="118" t="n"/>
    </row>
    <row r="273" hidden="1" outlineLevel="1" ht="15" customHeight="1">
      <c r="A273" s="266" t="n"/>
      <c r="B273" s="266" t="n"/>
      <c r="C273" s="119" t="inlineStr">
        <is>
          <t>Thực tế</t>
        </is>
      </c>
      <c r="D273" s="321">
        <f>SUMIFS(DATA!$M:$M,DATA!$C:$C,$B272,DATA!$N:$N,"&gt;="&amp;DATE($I$2,D$4,1),DATA!$N:$N,"&lt;="&amp;DATE($I$2,D$4,D$5))</f>
        <v/>
      </c>
      <c r="E273" s="321">
        <f>SUMIFS(DATA!$M:$M,DATA!$C:$C,$B272,DATA!$N:$N,"&gt;="&amp;DATE($I$2,E$4,1),DATA!$N:$N,"&lt;="&amp;DATE($I$2,E$4,E$5))</f>
        <v/>
      </c>
      <c r="F273" s="321">
        <f>SUMIFS(DATA!$M:$M,DATA!$C:$C,$B272,DATA!$N:$N,"&gt;="&amp;DATE($I$2,F$4,1),DATA!$N:$N,"&lt;="&amp;DATE($I$2,F$4,F$5))</f>
        <v/>
      </c>
      <c r="G273" s="321">
        <f>SUMIFS(DATA!$M:$M,DATA!$C:$C,$B272,DATA!$N:$N,"&gt;="&amp;DATE($I$2,G$4,1),DATA!$N:$N,"&lt;="&amp;DATE($I$2,G$4,G$5))</f>
        <v/>
      </c>
      <c r="H273" s="321">
        <f>SUMIFS(DATA!$M:$M,DATA!$C:$C,$B272,DATA!$N:$N,"&gt;="&amp;DATE($I$2,H$4,1),DATA!$N:$N,"&lt;="&amp;DATE($I$2,H$4,H$5))</f>
        <v/>
      </c>
      <c r="I273" s="321">
        <f>SUMIFS(DATA!$M:$M,DATA!$C:$C,$B272,DATA!$N:$N,"&gt;="&amp;DATE($I$2,I$4,1),DATA!$N:$N,"&lt;="&amp;DATE($I$2,I$4,I$5))</f>
        <v/>
      </c>
      <c r="J273" s="321">
        <f>SUMIFS(DATA!$M:$M,DATA!$C:$C,$B272,DATA!$N:$N,"&gt;="&amp;DATE($I$2,J$4,1),DATA!$N:$N,"&lt;="&amp;DATE($I$2,J$4,J$5))</f>
        <v/>
      </c>
      <c r="K273" s="321">
        <f>SUMIFS(DATA!$M:$M,DATA!$C:$C,$B272,DATA!$N:$N,"&gt;="&amp;DATE($I$2,K$4,1),DATA!$N:$N,"&lt;="&amp;DATE($I$2,K$4,K$5))</f>
        <v/>
      </c>
      <c r="L273" s="321">
        <f>SUMIFS(DATA!$M:$M,DATA!$C:$C,$B272,DATA!$N:$N,"&gt;="&amp;DATE($I$2,L$4,1),DATA!$N:$N,"&lt;="&amp;DATE($I$2,L$4,L$5))</f>
        <v/>
      </c>
      <c r="M273" s="321">
        <f>SUMIFS(DATA!$M:$M,DATA!$C:$C,$B272,DATA!$N:$N,"&gt;="&amp;DATE($I$2,M$4,1),DATA!$N:$N,"&lt;="&amp;DATE($I$2,M$4,M$5))</f>
        <v/>
      </c>
      <c r="N273" s="321">
        <f>SUMIFS(DATA!$M:$M,DATA!$C:$C,$B272,DATA!$N:$N,"&gt;="&amp;DATE($I$2,N$4,1),DATA!$N:$N,"&lt;="&amp;DATE($I$2,N$4,N$5))</f>
        <v/>
      </c>
      <c r="O273" s="321">
        <f>SUMIFS(DATA!$M:$M,DATA!$C:$C,$B272,DATA!$N:$N,"&gt;="&amp;DATE($I$2,O$4,1),DATA!$N:$N,"&lt;="&amp;DATE($I$2,O$4,O$5))</f>
        <v/>
      </c>
      <c r="P273" s="322">
        <f>SUM(D273:O273)</f>
        <v/>
      </c>
      <c r="Q273" s="118" t="n"/>
    </row>
    <row r="274" hidden="1" outlineLevel="1" ht="15" customHeight="1">
      <c r="A274" s="269" t="n">
        <v>135</v>
      </c>
      <c r="B274" s="265" t="inlineStr">
        <is>
          <t>FIVE STAR GARDEN (BI-A)</t>
        </is>
      </c>
      <c r="C274" s="119" t="inlineStr">
        <is>
          <t>Kế hoạch</t>
        </is>
      </c>
      <c r="D274" s="321">
        <f>SUMIFS(DATA!$I:$I,DATA!$C:$C,$B274,DATA!$J:$J,"&gt;="&amp;DATE($I$2,D$4,1),DATA!$J:$J,"&lt;="&amp;DATE($I$2,D$4,D$5))</f>
        <v/>
      </c>
      <c r="E274" s="321">
        <f>SUMIFS(DATA!$I:$I,DATA!$C:$C,$B274,DATA!$J:$J,"&gt;="&amp;DATE($I$2,E$4,1),DATA!$J:$J,"&lt;="&amp;DATE($I$2,E$4,E$5))</f>
        <v/>
      </c>
      <c r="F274" s="321">
        <f>SUMIFS(DATA!$I:$I,DATA!$C:$C,$B274,DATA!$J:$J,"&gt;="&amp;DATE($I$2,F$4,1),DATA!$J:$J,"&lt;="&amp;DATE($I$2,F$4,F$5))</f>
        <v/>
      </c>
      <c r="G274" s="321">
        <f>SUMIFS(DATA!$I:$I,DATA!$C:$C,$B274,DATA!$J:$J,"&gt;="&amp;DATE($I$2,G$4,1),DATA!$J:$J,"&lt;="&amp;DATE($I$2,G$4,G$5))</f>
        <v/>
      </c>
      <c r="H274" s="321">
        <f>SUMIFS(DATA!$I:$I,DATA!$C:$C,$B274,DATA!$J:$J,"&gt;="&amp;DATE($I$2,H$4,1),DATA!$J:$J,"&lt;="&amp;DATE($I$2,H$4,H$5))</f>
        <v/>
      </c>
      <c r="I274" s="321">
        <f>SUMIFS(DATA!$I:$I,DATA!$C:$C,$B274,DATA!$J:$J,"&gt;="&amp;DATE($I$2,I$4,1),DATA!$J:$J,"&lt;="&amp;DATE($I$2,I$4,I$5))</f>
        <v/>
      </c>
      <c r="J274" s="321">
        <f>SUMIFS(DATA!$I:$I,DATA!$C:$C,$B274,DATA!$J:$J,"&gt;="&amp;DATE($I$2,J$4,1),DATA!$J:$J,"&lt;="&amp;DATE($I$2,J$4,J$5))</f>
        <v/>
      </c>
      <c r="K274" s="321">
        <f>SUMIFS(DATA!$I:$I,DATA!$C:$C,$B274,DATA!$J:$J,"&gt;="&amp;DATE($I$2,K$4,1),DATA!$J:$J,"&lt;="&amp;DATE($I$2,K$4,K$5))</f>
        <v/>
      </c>
      <c r="L274" s="321">
        <f>SUMIFS(DATA!$I:$I,DATA!$C:$C,$B274,DATA!$J:$J,"&gt;="&amp;DATE($I$2,L$4,1),DATA!$J:$J,"&lt;="&amp;DATE($I$2,L$4,L$5))</f>
        <v/>
      </c>
      <c r="M274" s="321">
        <f>SUMIFS(DATA!$I:$I,DATA!$C:$C,$B274,DATA!$J:$J,"&gt;="&amp;DATE($I$2,M$4,1),DATA!$J:$J,"&lt;="&amp;DATE($I$2,M$4,M$5))</f>
        <v/>
      </c>
      <c r="N274" s="321">
        <f>SUMIFS(DATA!$I:$I,DATA!$C:$C,$B274,DATA!$J:$J,"&gt;="&amp;DATE($I$2,N$4,1),DATA!$J:$J,"&lt;="&amp;DATE($I$2,N$4,N$5))</f>
        <v/>
      </c>
      <c r="O274" s="321">
        <f>SUMIFS(DATA!$I:$I,DATA!$C:$C,$B274,DATA!$J:$J,"&gt;="&amp;DATE($I$2,O$4,1),DATA!$J:$J,"&lt;="&amp;DATE($I$2,O$4,O$5))</f>
        <v/>
      </c>
      <c r="P274" s="322">
        <f>SUM(D274:O274)</f>
        <v/>
      </c>
      <c r="Q274" s="118" t="n"/>
    </row>
    <row r="275" hidden="1" outlineLevel="1" ht="15" customHeight="1">
      <c r="A275" s="266" t="n"/>
      <c r="B275" s="266" t="n"/>
      <c r="C275" s="119" t="inlineStr">
        <is>
          <t>Thực tế</t>
        </is>
      </c>
      <c r="D275" s="321">
        <f>SUMIFS(DATA!$M:$M,DATA!$C:$C,$B274,DATA!$N:$N,"&gt;="&amp;DATE($I$2,D$4,1),DATA!$N:$N,"&lt;="&amp;DATE($I$2,D$4,D$5))</f>
        <v/>
      </c>
      <c r="E275" s="321">
        <f>SUMIFS(DATA!$M:$M,DATA!$C:$C,$B274,DATA!$N:$N,"&gt;="&amp;DATE($I$2,E$4,1),DATA!$N:$N,"&lt;="&amp;DATE($I$2,E$4,E$5))</f>
        <v/>
      </c>
      <c r="F275" s="321">
        <f>SUMIFS(DATA!$M:$M,DATA!$C:$C,$B274,DATA!$N:$N,"&gt;="&amp;DATE($I$2,F$4,1),DATA!$N:$N,"&lt;="&amp;DATE($I$2,F$4,F$5))</f>
        <v/>
      </c>
      <c r="G275" s="321">
        <f>SUMIFS(DATA!$M:$M,DATA!$C:$C,$B274,DATA!$N:$N,"&gt;="&amp;DATE($I$2,G$4,1),DATA!$N:$N,"&lt;="&amp;DATE($I$2,G$4,G$5))</f>
        <v/>
      </c>
      <c r="H275" s="321">
        <f>SUMIFS(DATA!$M:$M,DATA!$C:$C,$B274,DATA!$N:$N,"&gt;="&amp;DATE($I$2,H$4,1),DATA!$N:$N,"&lt;="&amp;DATE($I$2,H$4,H$5))</f>
        <v/>
      </c>
      <c r="I275" s="321">
        <f>SUMIFS(DATA!$M:$M,DATA!$C:$C,$B274,DATA!$N:$N,"&gt;="&amp;DATE($I$2,I$4,1),DATA!$N:$N,"&lt;="&amp;DATE($I$2,I$4,I$5))</f>
        <v/>
      </c>
      <c r="J275" s="321">
        <f>SUMIFS(DATA!$M:$M,DATA!$C:$C,$B274,DATA!$N:$N,"&gt;="&amp;DATE($I$2,J$4,1),DATA!$N:$N,"&lt;="&amp;DATE($I$2,J$4,J$5))</f>
        <v/>
      </c>
      <c r="K275" s="321">
        <f>SUMIFS(DATA!$M:$M,DATA!$C:$C,$B274,DATA!$N:$N,"&gt;="&amp;DATE($I$2,K$4,1),DATA!$N:$N,"&lt;="&amp;DATE($I$2,K$4,K$5))</f>
        <v/>
      </c>
      <c r="L275" s="321">
        <f>SUMIFS(DATA!$M:$M,DATA!$C:$C,$B274,DATA!$N:$N,"&gt;="&amp;DATE($I$2,L$4,1),DATA!$N:$N,"&lt;="&amp;DATE($I$2,L$4,L$5))</f>
        <v/>
      </c>
      <c r="M275" s="321">
        <f>SUMIFS(DATA!$M:$M,DATA!$C:$C,$B274,DATA!$N:$N,"&gt;="&amp;DATE($I$2,M$4,1),DATA!$N:$N,"&lt;="&amp;DATE($I$2,M$4,M$5))</f>
        <v/>
      </c>
      <c r="N275" s="321">
        <f>SUMIFS(DATA!$M:$M,DATA!$C:$C,$B274,DATA!$N:$N,"&gt;="&amp;DATE($I$2,N$4,1),DATA!$N:$N,"&lt;="&amp;DATE($I$2,N$4,N$5))</f>
        <v/>
      </c>
      <c r="O275" s="321">
        <f>SUMIFS(DATA!$M:$M,DATA!$C:$C,$B274,DATA!$N:$N,"&gt;="&amp;DATE($I$2,O$4,1),DATA!$N:$N,"&lt;="&amp;DATE($I$2,O$4,O$5))</f>
        <v/>
      </c>
      <c r="P275" s="322">
        <f>SUM(D275:O275)</f>
        <v/>
      </c>
      <c r="Q275" s="118" t="n"/>
    </row>
    <row r="276" hidden="1" outlineLevel="1" ht="15" customHeight="1">
      <c r="A276" s="269" t="n">
        <v>136</v>
      </c>
      <c r="B276" s="265" t="inlineStr">
        <is>
          <t>JLL VIETNAM / HENKEL BẮC NINH</t>
        </is>
      </c>
      <c r="C276" s="119" t="inlineStr">
        <is>
          <t>Kế hoạch</t>
        </is>
      </c>
      <c r="D276" s="321">
        <f>SUMIFS(DATA!$I:$I,DATA!$C:$C,$B276,DATA!$J:$J,"&gt;="&amp;DATE($I$2,D$4,1),DATA!$J:$J,"&lt;="&amp;DATE($I$2,D$4,D$5))</f>
        <v/>
      </c>
      <c r="E276" s="321">
        <f>SUMIFS(DATA!$I:$I,DATA!$C:$C,$B276,DATA!$J:$J,"&gt;="&amp;DATE($I$2,E$4,1),DATA!$J:$J,"&lt;="&amp;DATE($I$2,E$4,E$5))</f>
        <v/>
      </c>
      <c r="F276" s="321">
        <f>SUMIFS(DATA!$I:$I,DATA!$C:$C,$B276,DATA!$J:$J,"&gt;="&amp;DATE($I$2,F$4,1),DATA!$J:$J,"&lt;="&amp;DATE($I$2,F$4,F$5))</f>
        <v/>
      </c>
      <c r="G276" s="321">
        <f>SUMIFS(DATA!$I:$I,DATA!$C:$C,$B276,DATA!$J:$J,"&gt;="&amp;DATE($I$2,G$4,1),DATA!$J:$J,"&lt;="&amp;DATE($I$2,G$4,G$5))</f>
        <v/>
      </c>
      <c r="H276" s="321">
        <f>SUMIFS(DATA!$I:$I,DATA!$C:$C,$B276,DATA!$J:$J,"&gt;="&amp;DATE($I$2,H$4,1),DATA!$J:$J,"&lt;="&amp;DATE($I$2,H$4,H$5))</f>
        <v/>
      </c>
      <c r="I276" s="321">
        <f>SUMIFS(DATA!$I:$I,DATA!$C:$C,$B276,DATA!$J:$J,"&gt;="&amp;DATE($I$2,I$4,1),DATA!$J:$J,"&lt;="&amp;DATE($I$2,I$4,I$5))</f>
        <v/>
      </c>
      <c r="J276" s="321">
        <f>SUMIFS(DATA!$I:$I,DATA!$C:$C,$B276,DATA!$J:$J,"&gt;="&amp;DATE($I$2,J$4,1),DATA!$J:$J,"&lt;="&amp;DATE($I$2,J$4,J$5))</f>
        <v/>
      </c>
      <c r="K276" s="321">
        <f>SUMIFS(DATA!$I:$I,DATA!$C:$C,$B276,DATA!$J:$J,"&gt;="&amp;DATE($I$2,K$4,1),DATA!$J:$J,"&lt;="&amp;DATE($I$2,K$4,K$5))</f>
        <v/>
      </c>
      <c r="L276" s="321">
        <f>SUMIFS(DATA!$I:$I,DATA!$C:$C,$B276,DATA!$J:$J,"&gt;="&amp;DATE($I$2,L$4,1),DATA!$J:$J,"&lt;="&amp;DATE($I$2,L$4,L$5))</f>
        <v/>
      </c>
      <c r="M276" s="321">
        <f>SUMIFS(DATA!$I:$I,DATA!$C:$C,$B276,DATA!$J:$J,"&gt;="&amp;DATE($I$2,M$4,1),DATA!$J:$J,"&lt;="&amp;DATE($I$2,M$4,M$5))</f>
        <v/>
      </c>
      <c r="N276" s="321">
        <f>SUMIFS(DATA!$I:$I,DATA!$C:$C,$B276,DATA!$J:$J,"&gt;="&amp;DATE($I$2,N$4,1),DATA!$J:$J,"&lt;="&amp;DATE($I$2,N$4,N$5))</f>
        <v/>
      </c>
      <c r="O276" s="321">
        <f>SUMIFS(DATA!$I:$I,DATA!$C:$C,$B276,DATA!$J:$J,"&gt;="&amp;DATE($I$2,O$4,1),DATA!$J:$J,"&lt;="&amp;DATE($I$2,O$4,O$5))</f>
        <v/>
      </c>
      <c r="P276" s="322">
        <f>SUM(D276:O276)</f>
        <v/>
      </c>
      <c r="Q276" s="118" t="n"/>
    </row>
    <row r="277" hidden="1" outlineLevel="1" ht="15" customHeight="1">
      <c r="A277" s="266" t="n"/>
      <c r="B277" s="266" t="n"/>
      <c r="C277" s="119" t="inlineStr">
        <is>
          <t>Thực tế</t>
        </is>
      </c>
      <c r="D277" s="321">
        <f>SUMIFS(DATA!$M:$M,DATA!$C:$C,$B276,DATA!$N:$N,"&gt;="&amp;DATE($I$2,D$4,1),DATA!$N:$N,"&lt;="&amp;DATE($I$2,D$4,D$5))</f>
        <v/>
      </c>
      <c r="E277" s="321">
        <f>SUMIFS(DATA!$M:$M,DATA!$C:$C,$B276,DATA!$N:$N,"&gt;="&amp;DATE($I$2,E$4,1),DATA!$N:$N,"&lt;="&amp;DATE($I$2,E$4,E$5))</f>
        <v/>
      </c>
      <c r="F277" s="321">
        <f>SUMIFS(DATA!$M:$M,DATA!$C:$C,$B276,DATA!$N:$N,"&gt;="&amp;DATE($I$2,F$4,1),DATA!$N:$N,"&lt;="&amp;DATE($I$2,F$4,F$5))</f>
        <v/>
      </c>
      <c r="G277" s="321">
        <f>SUMIFS(DATA!$M:$M,DATA!$C:$C,$B276,DATA!$N:$N,"&gt;="&amp;DATE($I$2,G$4,1),DATA!$N:$N,"&lt;="&amp;DATE($I$2,G$4,G$5))</f>
        <v/>
      </c>
      <c r="H277" s="321">
        <f>SUMIFS(DATA!$M:$M,DATA!$C:$C,$B276,DATA!$N:$N,"&gt;="&amp;DATE($I$2,H$4,1),DATA!$N:$N,"&lt;="&amp;DATE($I$2,H$4,H$5))</f>
        <v/>
      </c>
      <c r="I277" s="321">
        <f>SUMIFS(DATA!$M:$M,DATA!$C:$C,$B276,DATA!$N:$N,"&gt;="&amp;DATE($I$2,I$4,1),DATA!$N:$N,"&lt;="&amp;DATE($I$2,I$4,I$5))</f>
        <v/>
      </c>
      <c r="J277" s="321">
        <f>SUMIFS(DATA!$M:$M,DATA!$C:$C,$B276,DATA!$N:$N,"&gt;="&amp;DATE($I$2,J$4,1),DATA!$N:$N,"&lt;="&amp;DATE($I$2,J$4,J$5))</f>
        <v/>
      </c>
      <c r="K277" s="321">
        <f>SUMIFS(DATA!$M:$M,DATA!$C:$C,$B276,DATA!$N:$N,"&gt;="&amp;DATE($I$2,K$4,1),DATA!$N:$N,"&lt;="&amp;DATE($I$2,K$4,K$5))</f>
        <v/>
      </c>
      <c r="L277" s="321">
        <f>SUMIFS(DATA!$M:$M,DATA!$C:$C,$B276,DATA!$N:$N,"&gt;="&amp;DATE($I$2,L$4,1),DATA!$N:$N,"&lt;="&amp;DATE($I$2,L$4,L$5))</f>
        <v/>
      </c>
      <c r="M277" s="321">
        <f>SUMIFS(DATA!$M:$M,DATA!$C:$C,$B276,DATA!$N:$N,"&gt;="&amp;DATE($I$2,M$4,1),DATA!$N:$N,"&lt;="&amp;DATE($I$2,M$4,M$5))</f>
        <v/>
      </c>
      <c r="N277" s="321">
        <f>SUMIFS(DATA!$M:$M,DATA!$C:$C,$B276,DATA!$N:$N,"&gt;="&amp;DATE($I$2,N$4,1),DATA!$N:$N,"&lt;="&amp;DATE($I$2,N$4,N$5))</f>
        <v/>
      </c>
      <c r="O277" s="321">
        <f>SUMIFS(DATA!$M:$M,DATA!$C:$C,$B276,DATA!$N:$N,"&gt;="&amp;DATE($I$2,O$4,1),DATA!$N:$N,"&lt;="&amp;DATE($I$2,O$4,O$5))</f>
        <v/>
      </c>
      <c r="P277" s="322">
        <f>SUM(D277:O277)</f>
        <v/>
      </c>
      <c r="Q277" s="118" t="n"/>
    </row>
    <row r="278" hidden="1" outlineLevel="1" ht="15" customHeight="1">
      <c r="A278" s="269" t="n">
        <v>137</v>
      </c>
      <c r="B278" s="265" t="inlineStr">
        <is>
          <t>CÔNG TY TNHH THƯƠNG MẠI KỸ THUẬT CÔNG NGHỆ ANH ĐĂNG</t>
        </is>
      </c>
      <c r="C278" s="119" t="inlineStr">
        <is>
          <t>Kế hoạch</t>
        </is>
      </c>
      <c r="D278" s="321">
        <f>SUMIFS(DATA!$I:$I,DATA!$C:$C,$B278,DATA!$J:$J,"&gt;="&amp;DATE($I$2,D$4,1),DATA!$J:$J,"&lt;="&amp;DATE($I$2,D$4,D$5))</f>
        <v/>
      </c>
      <c r="E278" s="321">
        <f>SUMIFS(DATA!$I:$I,DATA!$C:$C,$B278,DATA!$J:$J,"&gt;="&amp;DATE($I$2,E$4,1),DATA!$J:$J,"&lt;="&amp;DATE($I$2,E$4,E$5))</f>
        <v/>
      </c>
      <c r="F278" s="321">
        <f>SUMIFS(DATA!$I:$I,DATA!$C:$C,$B278,DATA!$J:$J,"&gt;="&amp;DATE($I$2,F$4,1),DATA!$J:$J,"&lt;="&amp;DATE($I$2,F$4,F$5))</f>
        <v/>
      </c>
      <c r="G278" s="321">
        <f>SUMIFS(DATA!$I:$I,DATA!$C:$C,$B278,DATA!$J:$J,"&gt;="&amp;DATE($I$2,G$4,1),DATA!$J:$J,"&lt;="&amp;DATE($I$2,G$4,G$5))</f>
        <v/>
      </c>
      <c r="H278" s="321">
        <f>SUMIFS(DATA!$I:$I,DATA!$C:$C,$B278,DATA!$J:$J,"&gt;="&amp;DATE($I$2,H$4,1),DATA!$J:$J,"&lt;="&amp;DATE($I$2,H$4,H$5))</f>
        <v/>
      </c>
      <c r="I278" s="321">
        <f>SUMIFS(DATA!$I:$I,DATA!$C:$C,$B278,DATA!$J:$J,"&gt;="&amp;DATE($I$2,I$4,1),DATA!$J:$J,"&lt;="&amp;DATE($I$2,I$4,I$5))</f>
        <v/>
      </c>
      <c r="J278" s="321">
        <f>SUMIFS(DATA!$I:$I,DATA!$C:$C,$B278,DATA!$J:$J,"&gt;="&amp;DATE($I$2,J$4,1),DATA!$J:$J,"&lt;="&amp;DATE($I$2,J$4,J$5))</f>
        <v/>
      </c>
      <c r="K278" s="321">
        <f>SUMIFS(DATA!$I:$I,DATA!$C:$C,$B278,DATA!$J:$J,"&gt;="&amp;DATE($I$2,K$4,1),DATA!$J:$J,"&lt;="&amp;DATE($I$2,K$4,K$5))</f>
        <v/>
      </c>
      <c r="L278" s="321">
        <f>SUMIFS(DATA!$I:$I,DATA!$C:$C,$B278,DATA!$J:$J,"&gt;="&amp;DATE($I$2,L$4,1),DATA!$J:$J,"&lt;="&amp;DATE($I$2,L$4,L$5))</f>
        <v/>
      </c>
      <c r="M278" s="321">
        <f>SUMIFS(DATA!$I:$I,DATA!$C:$C,$B278,DATA!$J:$J,"&gt;="&amp;DATE($I$2,M$4,1),DATA!$J:$J,"&lt;="&amp;DATE($I$2,M$4,M$5))</f>
        <v/>
      </c>
      <c r="N278" s="321">
        <f>SUMIFS(DATA!$I:$I,DATA!$C:$C,$B278,DATA!$J:$J,"&gt;="&amp;DATE($I$2,N$4,1),DATA!$J:$J,"&lt;="&amp;DATE($I$2,N$4,N$5))</f>
        <v/>
      </c>
      <c r="O278" s="321">
        <f>SUMIFS(DATA!$I:$I,DATA!$C:$C,$B278,DATA!$J:$J,"&gt;="&amp;DATE($I$2,O$4,1),DATA!$J:$J,"&lt;="&amp;DATE($I$2,O$4,O$5))</f>
        <v/>
      </c>
      <c r="P278" s="322">
        <f>SUM(D278:O278)</f>
        <v/>
      </c>
      <c r="Q278" s="118" t="n"/>
    </row>
    <row r="279" hidden="1" outlineLevel="1" ht="15" customHeight="1">
      <c r="A279" s="266" t="n"/>
      <c r="B279" s="266" t="n"/>
      <c r="C279" s="119" t="inlineStr">
        <is>
          <t>Thực tế</t>
        </is>
      </c>
      <c r="D279" s="321">
        <f>SUMIFS(DATA!$M:$M,DATA!$C:$C,$B278,DATA!$N:$N,"&gt;="&amp;DATE($I$2,D$4,1),DATA!$N:$N,"&lt;="&amp;DATE($I$2,D$4,D$5))</f>
        <v/>
      </c>
      <c r="E279" s="321">
        <f>SUMIFS(DATA!$M:$M,DATA!$C:$C,$B278,DATA!$N:$N,"&gt;="&amp;DATE($I$2,E$4,1),DATA!$N:$N,"&lt;="&amp;DATE($I$2,E$4,E$5))</f>
        <v/>
      </c>
      <c r="F279" s="321">
        <f>SUMIFS(DATA!$M:$M,DATA!$C:$C,$B278,DATA!$N:$N,"&gt;="&amp;DATE($I$2,F$4,1),DATA!$N:$N,"&lt;="&amp;DATE($I$2,F$4,F$5))</f>
        <v/>
      </c>
      <c r="G279" s="321">
        <f>SUMIFS(DATA!$M:$M,DATA!$C:$C,$B278,DATA!$N:$N,"&gt;="&amp;DATE($I$2,G$4,1),DATA!$N:$N,"&lt;="&amp;DATE($I$2,G$4,G$5))</f>
        <v/>
      </c>
      <c r="H279" s="321">
        <f>SUMIFS(DATA!$M:$M,DATA!$C:$C,$B278,DATA!$N:$N,"&gt;="&amp;DATE($I$2,H$4,1),DATA!$N:$N,"&lt;="&amp;DATE($I$2,H$4,H$5))</f>
        <v/>
      </c>
      <c r="I279" s="321">
        <f>SUMIFS(DATA!$M:$M,DATA!$C:$C,$B278,DATA!$N:$N,"&gt;="&amp;DATE($I$2,I$4,1),DATA!$N:$N,"&lt;="&amp;DATE($I$2,I$4,I$5))</f>
        <v/>
      </c>
      <c r="J279" s="321">
        <f>SUMIFS(DATA!$M:$M,DATA!$C:$C,$B278,DATA!$N:$N,"&gt;="&amp;DATE($I$2,J$4,1),DATA!$N:$N,"&lt;="&amp;DATE($I$2,J$4,J$5))</f>
        <v/>
      </c>
      <c r="K279" s="321">
        <f>SUMIFS(DATA!$M:$M,DATA!$C:$C,$B278,DATA!$N:$N,"&gt;="&amp;DATE($I$2,K$4,1),DATA!$N:$N,"&lt;="&amp;DATE($I$2,K$4,K$5))</f>
        <v/>
      </c>
      <c r="L279" s="321">
        <f>SUMIFS(DATA!$M:$M,DATA!$C:$C,$B278,DATA!$N:$N,"&gt;="&amp;DATE($I$2,L$4,1),DATA!$N:$N,"&lt;="&amp;DATE($I$2,L$4,L$5))</f>
        <v/>
      </c>
      <c r="M279" s="321">
        <f>SUMIFS(DATA!$M:$M,DATA!$C:$C,$B278,DATA!$N:$N,"&gt;="&amp;DATE($I$2,M$4,1),DATA!$N:$N,"&lt;="&amp;DATE($I$2,M$4,M$5))</f>
        <v/>
      </c>
      <c r="N279" s="321">
        <f>SUMIFS(DATA!$M:$M,DATA!$C:$C,$B278,DATA!$N:$N,"&gt;="&amp;DATE($I$2,N$4,1),DATA!$N:$N,"&lt;="&amp;DATE($I$2,N$4,N$5))</f>
        <v/>
      </c>
      <c r="O279" s="321">
        <f>SUMIFS(DATA!$M:$M,DATA!$C:$C,$B278,DATA!$N:$N,"&gt;="&amp;DATE($I$2,O$4,1),DATA!$N:$N,"&lt;="&amp;DATE($I$2,O$4,O$5))</f>
        <v/>
      </c>
      <c r="P279" s="322">
        <f>SUM(D279:O279)</f>
        <v/>
      </c>
      <c r="Q279" s="118" t="n"/>
    </row>
    <row r="280" hidden="1" outlineLevel="1" ht="15" customHeight="1">
      <c r="A280" s="269" t="n">
        <v>138</v>
      </c>
      <c r="B280" s="265" t="inlineStr">
        <is>
          <t>WISTRON INFOCOMM (VIET NAM) CO., LTD</t>
        </is>
      </c>
      <c r="C280" s="119" t="inlineStr">
        <is>
          <t>Kế hoạch</t>
        </is>
      </c>
      <c r="D280" s="321">
        <f>SUMIFS(DATA!$I:$I,DATA!$C:$C,$B280,DATA!$J:$J,"&gt;="&amp;DATE($I$2,D$4,1),DATA!$J:$J,"&lt;="&amp;DATE($I$2,D$4,D$5))</f>
        <v/>
      </c>
      <c r="E280" s="321">
        <f>SUMIFS(DATA!$I:$I,DATA!$C:$C,$B280,DATA!$J:$J,"&gt;="&amp;DATE($I$2,E$4,1),DATA!$J:$J,"&lt;="&amp;DATE($I$2,E$4,E$5))</f>
        <v/>
      </c>
      <c r="F280" s="321">
        <f>SUMIFS(DATA!$I:$I,DATA!$C:$C,$B280,DATA!$J:$J,"&gt;="&amp;DATE($I$2,F$4,1),DATA!$J:$J,"&lt;="&amp;DATE($I$2,F$4,F$5))</f>
        <v/>
      </c>
      <c r="G280" s="321">
        <f>SUMIFS(DATA!$I:$I,DATA!$C:$C,$B280,DATA!$J:$J,"&gt;="&amp;DATE($I$2,G$4,1),DATA!$J:$J,"&lt;="&amp;DATE($I$2,G$4,G$5))</f>
        <v/>
      </c>
      <c r="H280" s="321">
        <f>SUMIFS(DATA!$I:$I,DATA!$C:$C,$B280,DATA!$J:$J,"&gt;="&amp;DATE($I$2,H$4,1),DATA!$J:$J,"&lt;="&amp;DATE($I$2,H$4,H$5))</f>
        <v/>
      </c>
      <c r="I280" s="321">
        <f>SUMIFS(DATA!$I:$I,DATA!$C:$C,$B280,DATA!$J:$J,"&gt;="&amp;DATE($I$2,I$4,1),DATA!$J:$J,"&lt;="&amp;DATE($I$2,I$4,I$5))</f>
        <v/>
      </c>
      <c r="J280" s="321">
        <f>SUMIFS(DATA!$I:$I,DATA!$C:$C,$B280,DATA!$J:$J,"&gt;="&amp;DATE($I$2,J$4,1),DATA!$J:$J,"&lt;="&amp;DATE($I$2,J$4,J$5))</f>
        <v/>
      </c>
      <c r="K280" s="321">
        <f>SUMIFS(DATA!$I:$I,DATA!$C:$C,$B280,DATA!$J:$J,"&gt;="&amp;DATE($I$2,K$4,1),DATA!$J:$J,"&lt;="&amp;DATE($I$2,K$4,K$5))</f>
        <v/>
      </c>
      <c r="L280" s="321">
        <f>SUMIFS(DATA!$I:$I,DATA!$C:$C,$B280,DATA!$J:$J,"&gt;="&amp;DATE($I$2,L$4,1),DATA!$J:$J,"&lt;="&amp;DATE($I$2,L$4,L$5))</f>
        <v/>
      </c>
      <c r="M280" s="321">
        <f>SUMIFS(DATA!$I:$I,DATA!$C:$C,$B280,DATA!$J:$J,"&gt;="&amp;DATE($I$2,M$4,1),DATA!$J:$J,"&lt;="&amp;DATE($I$2,M$4,M$5))</f>
        <v/>
      </c>
      <c r="N280" s="321">
        <f>SUMIFS(DATA!$I:$I,DATA!$C:$C,$B280,DATA!$J:$J,"&gt;="&amp;DATE($I$2,N$4,1),DATA!$J:$J,"&lt;="&amp;DATE($I$2,N$4,N$5))</f>
        <v/>
      </c>
      <c r="O280" s="321">
        <f>SUMIFS(DATA!$I:$I,DATA!$C:$C,$B280,DATA!$J:$J,"&gt;="&amp;DATE($I$2,O$4,1),DATA!$J:$J,"&lt;="&amp;DATE($I$2,O$4,O$5))</f>
        <v/>
      </c>
      <c r="P280" s="322">
        <f>SUM(D280:O280)</f>
        <v/>
      </c>
      <c r="Q280" s="118" t="n"/>
    </row>
    <row r="281" hidden="1" outlineLevel="1" ht="15" customHeight="1">
      <c r="A281" s="266" t="n"/>
      <c r="B281" s="266" t="n"/>
      <c r="C281" s="119" t="inlineStr">
        <is>
          <t>Thực tế</t>
        </is>
      </c>
      <c r="D281" s="321">
        <f>SUMIFS(DATA!$M:$M,DATA!$C:$C,$B280,DATA!$N:$N,"&gt;="&amp;DATE($I$2,D$4,1),DATA!$N:$N,"&lt;="&amp;DATE($I$2,D$4,D$5))</f>
        <v/>
      </c>
      <c r="E281" s="321">
        <f>SUMIFS(DATA!$M:$M,DATA!$C:$C,$B280,DATA!$N:$N,"&gt;="&amp;DATE($I$2,E$4,1),DATA!$N:$N,"&lt;="&amp;DATE($I$2,E$4,E$5))</f>
        <v/>
      </c>
      <c r="F281" s="321">
        <f>SUMIFS(DATA!$M:$M,DATA!$C:$C,$B280,DATA!$N:$N,"&gt;="&amp;DATE($I$2,F$4,1),DATA!$N:$N,"&lt;="&amp;DATE($I$2,F$4,F$5))</f>
        <v/>
      </c>
      <c r="G281" s="321">
        <f>SUMIFS(DATA!$M:$M,DATA!$C:$C,$B280,DATA!$N:$N,"&gt;="&amp;DATE($I$2,G$4,1),DATA!$N:$N,"&lt;="&amp;DATE($I$2,G$4,G$5))</f>
        <v/>
      </c>
      <c r="H281" s="321">
        <f>SUMIFS(DATA!$M:$M,DATA!$C:$C,$B280,DATA!$N:$N,"&gt;="&amp;DATE($I$2,H$4,1),DATA!$N:$N,"&lt;="&amp;DATE($I$2,H$4,H$5))</f>
        <v/>
      </c>
      <c r="I281" s="321">
        <f>SUMIFS(DATA!$M:$M,DATA!$C:$C,$B280,DATA!$N:$N,"&gt;="&amp;DATE($I$2,I$4,1),DATA!$N:$N,"&lt;="&amp;DATE($I$2,I$4,I$5))</f>
        <v/>
      </c>
      <c r="J281" s="321">
        <f>SUMIFS(DATA!$M:$M,DATA!$C:$C,$B280,DATA!$N:$N,"&gt;="&amp;DATE($I$2,J$4,1),DATA!$N:$N,"&lt;="&amp;DATE($I$2,J$4,J$5))</f>
        <v/>
      </c>
      <c r="K281" s="321">
        <f>SUMIFS(DATA!$M:$M,DATA!$C:$C,$B280,DATA!$N:$N,"&gt;="&amp;DATE($I$2,K$4,1),DATA!$N:$N,"&lt;="&amp;DATE($I$2,K$4,K$5))</f>
        <v/>
      </c>
      <c r="L281" s="321">
        <f>SUMIFS(DATA!$M:$M,DATA!$C:$C,$B280,DATA!$N:$N,"&gt;="&amp;DATE($I$2,L$4,1),DATA!$N:$N,"&lt;="&amp;DATE($I$2,L$4,L$5))</f>
        <v/>
      </c>
      <c r="M281" s="321">
        <f>SUMIFS(DATA!$M:$M,DATA!$C:$C,$B280,DATA!$N:$N,"&gt;="&amp;DATE($I$2,M$4,1),DATA!$N:$N,"&lt;="&amp;DATE($I$2,M$4,M$5))</f>
        <v/>
      </c>
      <c r="N281" s="321">
        <f>SUMIFS(DATA!$M:$M,DATA!$C:$C,$B280,DATA!$N:$N,"&gt;="&amp;DATE($I$2,N$4,1),DATA!$N:$N,"&lt;="&amp;DATE($I$2,N$4,N$5))</f>
        <v/>
      </c>
      <c r="O281" s="321">
        <f>SUMIFS(DATA!$M:$M,DATA!$C:$C,$B280,DATA!$N:$N,"&gt;="&amp;DATE($I$2,O$4,1),DATA!$N:$N,"&lt;="&amp;DATE($I$2,O$4,O$5))</f>
        <v/>
      </c>
      <c r="P281" s="322">
        <f>SUM(D281:O281)</f>
        <v/>
      </c>
      <c r="Q281" s="118" t="n"/>
    </row>
    <row r="282" hidden="1" outlineLevel="1" ht="15" customHeight="1">
      <c r="A282" s="269" t="n">
        <v>139</v>
      </c>
      <c r="B282" s="265" t="inlineStr">
        <is>
          <t>AMERICAN COMMUNITY ASSOCIATION</t>
        </is>
      </c>
      <c r="C282" s="119" t="inlineStr">
        <is>
          <t>Kế hoạch</t>
        </is>
      </c>
      <c r="D282" s="321">
        <f>SUMIFS(DATA!$I:$I,DATA!$C:$C,$B282,DATA!$J:$J,"&gt;="&amp;DATE($I$2,D$4,1),DATA!$J:$J,"&lt;="&amp;DATE($I$2,D$4,D$5))</f>
        <v/>
      </c>
      <c r="E282" s="321">
        <f>SUMIFS(DATA!$I:$I,DATA!$C:$C,$B282,DATA!$J:$J,"&gt;="&amp;DATE($I$2,E$4,1),DATA!$J:$J,"&lt;="&amp;DATE($I$2,E$4,E$5))</f>
        <v/>
      </c>
      <c r="F282" s="321">
        <f>SUMIFS(DATA!$I:$I,DATA!$C:$C,$B282,DATA!$J:$J,"&gt;="&amp;DATE($I$2,F$4,1),DATA!$J:$J,"&lt;="&amp;DATE($I$2,F$4,F$5))</f>
        <v/>
      </c>
      <c r="G282" s="321">
        <f>SUMIFS(DATA!$I:$I,DATA!$C:$C,$B282,DATA!$J:$J,"&gt;="&amp;DATE($I$2,G$4,1),DATA!$J:$J,"&lt;="&amp;DATE($I$2,G$4,G$5))</f>
        <v/>
      </c>
      <c r="H282" s="321">
        <f>SUMIFS(DATA!$I:$I,DATA!$C:$C,$B282,DATA!$J:$J,"&gt;="&amp;DATE($I$2,H$4,1),DATA!$J:$J,"&lt;="&amp;DATE($I$2,H$4,H$5))</f>
        <v/>
      </c>
      <c r="I282" s="321">
        <f>SUMIFS(DATA!$I:$I,DATA!$C:$C,$B282,DATA!$J:$J,"&gt;="&amp;DATE($I$2,I$4,1),DATA!$J:$J,"&lt;="&amp;DATE($I$2,I$4,I$5))</f>
        <v/>
      </c>
      <c r="J282" s="321">
        <f>SUMIFS(DATA!$I:$I,DATA!$C:$C,$B282,DATA!$J:$J,"&gt;="&amp;DATE($I$2,J$4,1),DATA!$J:$J,"&lt;="&amp;DATE($I$2,J$4,J$5))</f>
        <v/>
      </c>
      <c r="K282" s="321">
        <f>SUMIFS(DATA!$I:$I,DATA!$C:$C,$B282,DATA!$J:$J,"&gt;="&amp;DATE($I$2,K$4,1),DATA!$J:$J,"&lt;="&amp;DATE($I$2,K$4,K$5))</f>
        <v/>
      </c>
      <c r="L282" s="321">
        <f>SUMIFS(DATA!$I:$I,DATA!$C:$C,$B282,DATA!$J:$J,"&gt;="&amp;DATE($I$2,L$4,1),DATA!$J:$J,"&lt;="&amp;DATE($I$2,L$4,L$5))</f>
        <v/>
      </c>
      <c r="M282" s="321">
        <f>SUMIFS(DATA!$I:$I,DATA!$C:$C,$B282,DATA!$J:$J,"&gt;="&amp;DATE($I$2,M$4,1),DATA!$J:$J,"&lt;="&amp;DATE($I$2,M$4,M$5))</f>
        <v/>
      </c>
      <c r="N282" s="321">
        <f>SUMIFS(DATA!$I:$I,DATA!$C:$C,$B282,DATA!$J:$J,"&gt;="&amp;DATE($I$2,N$4,1),DATA!$J:$J,"&lt;="&amp;DATE($I$2,N$4,N$5))</f>
        <v/>
      </c>
      <c r="O282" s="321">
        <f>SUMIFS(DATA!$I:$I,DATA!$C:$C,$B282,DATA!$J:$J,"&gt;="&amp;DATE($I$2,O$4,1),DATA!$J:$J,"&lt;="&amp;DATE($I$2,O$4,O$5))</f>
        <v/>
      </c>
      <c r="P282" s="322">
        <f>SUM(D282:O282)</f>
        <v/>
      </c>
      <c r="Q282" s="118" t="n"/>
    </row>
    <row r="283" hidden="1" outlineLevel="1" ht="15" customHeight="1">
      <c r="A283" s="266" t="n"/>
      <c r="B283" s="266" t="n"/>
      <c r="C283" s="119" t="inlineStr">
        <is>
          <t>Thực tế</t>
        </is>
      </c>
      <c r="D283" s="321">
        <f>SUMIFS(DATA!$M:$M,DATA!$C:$C,$B282,DATA!$N:$N,"&gt;="&amp;DATE($I$2,D$4,1),DATA!$N:$N,"&lt;="&amp;DATE($I$2,D$4,D$5))</f>
        <v/>
      </c>
      <c r="E283" s="321">
        <f>SUMIFS(DATA!$M:$M,DATA!$C:$C,$B282,DATA!$N:$N,"&gt;="&amp;DATE($I$2,E$4,1),DATA!$N:$N,"&lt;="&amp;DATE($I$2,E$4,E$5))</f>
        <v/>
      </c>
      <c r="F283" s="321">
        <f>SUMIFS(DATA!$M:$M,DATA!$C:$C,$B282,DATA!$N:$N,"&gt;="&amp;DATE($I$2,F$4,1),DATA!$N:$N,"&lt;="&amp;DATE($I$2,F$4,F$5))</f>
        <v/>
      </c>
      <c r="G283" s="321">
        <f>SUMIFS(DATA!$M:$M,DATA!$C:$C,$B282,DATA!$N:$N,"&gt;="&amp;DATE($I$2,G$4,1),DATA!$N:$N,"&lt;="&amp;DATE($I$2,G$4,G$5))</f>
        <v/>
      </c>
      <c r="H283" s="321">
        <f>SUMIFS(DATA!$M:$M,DATA!$C:$C,$B282,DATA!$N:$N,"&gt;="&amp;DATE($I$2,H$4,1),DATA!$N:$N,"&lt;="&amp;DATE($I$2,H$4,H$5))</f>
        <v/>
      </c>
      <c r="I283" s="321">
        <f>SUMIFS(DATA!$M:$M,DATA!$C:$C,$B282,DATA!$N:$N,"&gt;="&amp;DATE($I$2,I$4,1),DATA!$N:$N,"&lt;="&amp;DATE($I$2,I$4,I$5))</f>
        <v/>
      </c>
      <c r="J283" s="321">
        <f>SUMIFS(DATA!$M:$M,DATA!$C:$C,$B282,DATA!$N:$N,"&gt;="&amp;DATE($I$2,J$4,1),DATA!$N:$N,"&lt;="&amp;DATE($I$2,J$4,J$5))</f>
        <v/>
      </c>
      <c r="K283" s="321">
        <f>SUMIFS(DATA!$M:$M,DATA!$C:$C,$B282,DATA!$N:$N,"&gt;="&amp;DATE($I$2,K$4,1),DATA!$N:$N,"&lt;="&amp;DATE($I$2,K$4,K$5))</f>
        <v/>
      </c>
      <c r="L283" s="321">
        <f>SUMIFS(DATA!$M:$M,DATA!$C:$C,$B282,DATA!$N:$N,"&gt;="&amp;DATE($I$2,L$4,1),DATA!$N:$N,"&lt;="&amp;DATE($I$2,L$4,L$5))</f>
        <v/>
      </c>
      <c r="M283" s="321">
        <f>SUMIFS(DATA!$M:$M,DATA!$C:$C,$B282,DATA!$N:$N,"&gt;="&amp;DATE($I$2,M$4,1),DATA!$N:$N,"&lt;="&amp;DATE($I$2,M$4,M$5))</f>
        <v/>
      </c>
      <c r="N283" s="321">
        <f>SUMIFS(DATA!$M:$M,DATA!$C:$C,$B282,DATA!$N:$N,"&gt;="&amp;DATE($I$2,N$4,1),DATA!$N:$N,"&lt;="&amp;DATE($I$2,N$4,N$5))</f>
        <v/>
      </c>
      <c r="O283" s="321">
        <f>SUMIFS(DATA!$M:$M,DATA!$C:$C,$B282,DATA!$N:$N,"&gt;="&amp;DATE($I$2,O$4,1),DATA!$N:$N,"&lt;="&amp;DATE($I$2,O$4,O$5))</f>
        <v/>
      </c>
      <c r="P283" s="322">
        <f>SUM(D283:O283)</f>
        <v/>
      </c>
      <c r="Q283" s="118" t="n"/>
    </row>
    <row r="284" hidden="1" outlineLevel="1" ht="15" customHeight="1">
      <c r="A284" s="269" t="n">
        <v>140</v>
      </c>
      <c r="B284" s="265" t="inlineStr">
        <is>
          <t>BAN QUẢN TRỊ KHU CĂN HỘ INDOCHINA PLAZA HÀ NỘI</t>
        </is>
      </c>
      <c r="C284" s="119" t="inlineStr">
        <is>
          <t>Kế hoạch</t>
        </is>
      </c>
      <c r="D284" s="321">
        <f>SUMIFS(DATA!$I:$I,DATA!$C:$C,$B284,DATA!$J:$J,"&gt;="&amp;DATE($I$2,D$4,1),DATA!$J:$J,"&lt;="&amp;DATE($I$2,D$4,D$5))</f>
        <v/>
      </c>
      <c r="E284" s="321">
        <f>SUMIFS(DATA!$I:$I,DATA!$C:$C,$B284,DATA!$J:$J,"&gt;="&amp;DATE($I$2,E$4,1),DATA!$J:$J,"&lt;="&amp;DATE($I$2,E$4,E$5))</f>
        <v/>
      </c>
      <c r="F284" s="321">
        <f>SUMIFS(DATA!$I:$I,DATA!$C:$C,$B284,DATA!$J:$J,"&gt;="&amp;DATE($I$2,F$4,1),DATA!$J:$J,"&lt;="&amp;DATE($I$2,F$4,F$5))</f>
        <v/>
      </c>
      <c r="G284" s="321">
        <f>SUMIFS(DATA!$I:$I,DATA!$C:$C,$B284,DATA!$J:$J,"&gt;="&amp;DATE($I$2,G$4,1),DATA!$J:$J,"&lt;="&amp;DATE($I$2,G$4,G$5))</f>
        <v/>
      </c>
      <c r="H284" s="321">
        <f>SUMIFS(DATA!$I:$I,DATA!$C:$C,$B284,DATA!$J:$J,"&gt;="&amp;DATE($I$2,H$4,1),DATA!$J:$J,"&lt;="&amp;DATE($I$2,H$4,H$5))</f>
        <v/>
      </c>
      <c r="I284" s="321">
        <f>SUMIFS(DATA!$I:$I,DATA!$C:$C,$B284,DATA!$J:$J,"&gt;="&amp;DATE($I$2,I$4,1),DATA!$J:$J,"&lt;="&amp;DATE($I$2,I$4,I$5))</f>
        <v/>
      </c>
      <c r="J284" s="321">
        <f>SUMIFS(DATA!$I:$I,DATA!$C:$C,$B284,DATA!$J:$J,"&gt;="&amp;DATE($I$2,J$4,1),DATA!$J:$J,"&lt;="&amp;DATE($I$2,J$4,J$5))</f>
        <v/>
      </c>
      <c r="K284" s="321">
        <f>SUMIFS(DATA!$I:$I,DATA!$C:$C,$B284,DATA!$J:$J,"&gt;="&amp;DATE($I$2,K$4,1),DATA!$J:$J,"&lt;="&amp;DATE($I$2,K$4,K$5))</f>
        <v/>
      </c>
      <c r="L284" s="321">
        <f>SUMIFS(DATA!$I:$I,DATA!$C:$C,$B284,DATA!$J:$J,"&gt;="&amp;DATE($I$2,L$4,1),DATA!$J:$J,"&lt;="&amp;DATE($I$2,L$4,L$5))</f>
        <v/>
      </c>
      <c r="M284" s="321">
        <f>SUMIFS(DATA!$I:$I,DATA!$C:$C,$B284,DATA!$J:$J,"&gt;="&amp;DATE($I$2,M$4,1),DATA!$J:$J,"&lt;="&amp;DATE($I$2,M$4,M$5))</f>
        <v/>
      </c>
      <c r="N284" s="321">
        <f>SUMIFS(DATA!$I:$I,DATA!$C:$C,$B284,DATA!$J:$J,"&gt;="&amp;DATE($I$2,N$4,1),DATA!$J:$J,"&lt;="&amp;DATE($I$2,N$4,N$5))</f>
        <v/>
      </c>
      <c r="O284" s="321">
        <f>SUMIFS(DATA!$I:$I,DATA!$C:$C,$B284,DATA!$J:$J,"&gt;="&amp;DATE($I$2,O$4,1),DATA!$J:$J,"&lt;="&amp;DATE($I$2,O$4,O$5))</f>
        <v/>
      </c>
      <c r="P284" s="322">
        <f>SUM(D284:O284)</f>
        <v/>
      </c>
      <c r="Q284" s="118" t="n"/>
    </row>
    <row r="285" hidden="1" outlineLevel="1" ht="15" customHeight="1">
      <c r="A285" s="266" t="n"/>
      <c r="B285" s="266" t="n"/>
      <c r="C285" s="119" t="inlineStr">
        <is>
          <t>Thực tế</t>
        </is>
      </c>
      <c r="D285" s="321">
        <f>SUMIFS(DATA!$M:$M,DATA!$C:$C,$B284,DATA!$N:$N,"&gt;="&amp;DATE($I$2,D$4,1),DATA!$N:$N,"&lt;="&amp;DATE($I$2,D$4,D$5))</f>
        <v/>
      </c>
      <c r="E285" s="321">
        <f>SUMIFS(DATA!$M:$M,DATA!$C:$C,$B284,DATA!$N:$N,"&gt;="&amp;DATE($I$2,E$4,1),DATA!$N:$N,"&lt;="&amp;DATE($I$2,E$4,E$5))</f>
        <v/>
      </c>
      <c r="F285" s="321">
        <f>SUMIFS(DATA!$M:$M,DATA!$C:$C,$B284,DATA!$N:$N,"&gt;="&amp;DATE($I$2,F$4,1),DATA!$N:$N,"&lt;="&amp;DATE($I$2,F$4,F$5))</f>
        <v/>
      </c>
      <c r="G285" s="321">
        <f>SUMIFS(DATA!$M:$M,DATA!$C:$C,$B284,DATA!$N:$N,"&gt;="&amp;DATE($I$2,G$4,1),DATA!$N:$N,"&lt;="&amp;DATE($I$2,G$4,G$5))</f>
        <v/>
      </c>
      <c r="H285" s="321">
        <f>SUMIFS(DATA!$M:$M,DATA!$C:$C,$B284,DATA!$N:$N,"&gt;="&amp;DATE($I$2,H$4,1),DATA!$N:$N,"&lt;="&amp;DATE($I$2,H$4,H$5))</f>
        <v/>
      </c>
      <c r="I285" s="321">
        <f>SUMIFS(DATA!$M:$M,DATA!$C:$C,$B284,DATA!$N:$N,"&gt;="&amp;DATE($I$2,I$4,1),DATA!$N:$N,"&lt;="&amp;DATE($I$2,I$4,I$5))</f>
        <v/>
      </c>
      <c r="J285" s="321">
        <f>SUMIFS(DATA!$M:$M,DATA!$C:$C,$B284,DATA!$N:$N,"&gt;="&amp;DATE($I$2,J$4,1),DATA!$N:$N,"&lt;="&amp;DATE($I$2,J$4,J$5))</f>
        <v/>
      </c>
      <c r="K285" s="321">
        <f>SUMIFS(DATA!$M:$M,DATA!$C:$C,$B284,DATA!$N:$N,"&gt;="&amp;DATE($I$2,K$4,1),DATA!$N:$N,"&lt;="&amp;DATE($I$2,K$4,K$5))</f>
        <v/>
      </c>
      <c r="L285" s="321">
        <f>SUMIFS(DATA!$M:$M,DATA!$C:$C,$B284,DATA!$N:$N,"&gt;="&amp;DATE($I$2,L$4,1),DATA!$N:$N,"&lt;="&amp;DATE($I$2,L$4,L$5))</f>
        <v/>
      </c>
      <c r="M285" s="321">
        <f>SUMIFS(DATA!$M:$M,DATA!$C:$C,$B284,DATA!$N:$N,"&gt;="&amp;DATE($I$2,M$4,1),DATA!$N:$N,"&lt;="&amp;DATE($I$2,M$4,M$5))</f>
        <v/>
      </c>
      <c r="N285" s="321">
        <f>SUMIFS(DATA!$M:$M,DATA!$C:$C,$B284,DATA!$N:$N,"&gt;="&amp;DATE($I$2,N$4,1),DATA!$N:$N,"&lt;="&amp;DATE($I$2,N$4,N$5))</f>
        <v/>
      </c>
      <c r="O285" s="321">
        <f>SUMIFS(DATA!$M:$M,DATA!$C:$C,$B284,DATA!$N:$N,"&gt;="&amp;DATE($I$2,O$4,1),DATA!$N:$N,"&lt;="&amp;DATE($I$2,O$4,O$5))</f>
        <v/>
      </c>
      <c r="P285" s="322">
        <f>SUM(D285:O285)</f>
        <v/>
      </c>
      <c r="Q285" s="118" t="n"/>
    </row>
    <row r="286" hidden="1" outlineLevel="1" ht="15" customHeight="1">
      <c r="A286" s="269" t="n">
        <v>141</v>
      </c>
      <c r="B286" s="265" t="inlineStr">
        <is>
          <t>FAMILLE HANAM</t>
        </is>
      </c>
      <c r="C286" s="119" t="inlineStr">
        <is>
          <t>Kế hoạch</t>
        </is>
      </c>
      <c r="D286" s="321">
        <f>SUMIFS(DATA!$I:$I,DATA!$C:$C,$B286,DATA!$J:$J,"&gt;="&amp;DATE($I$2,D$4,1),DATA!$J:$J,"&lt;="&amp;DATE($I$2,D$4,D$5))</f>
        <v/>
      </c>
      <c r="E286" s="321">
        <f>SUMIFS(DATA!$I:$I,DATA!$C:$C,$B286,DATA!$J:$J,"&gt;="&amp;DATE($I$2,E$4,1),DATA!$J:$J,"&lt;="&amp;DATE($I$2,E$4,E$5))</f>
        <v/>
      </c>
      <c r="F286" s="321">
        <f>SUMIFS(DATA!$I:$I,DATA!$C:$C,$B286,DATA!$J:$J,"&gt;="&amp;DATE($I$2,F$4,1),DATA!$J:$J,"&lt;="&amp;DATE($I$2,F$4,F$5))</f>
        <v/>
      </c>
      <c r="G286" s="321">
        <f>SUMIFS(DATA!$I:$I,DATA!$C:$C,$B286,DATA!$J:$J,"&gt;="&amp;DATE($I$2,G$4,1),DATA!$J:$J,"&lt;="&amp;DATE($I$2,G$4,G$5))</f>
        <v/>
      </c>
      <c r="H286" s="321">
        <f>SUMIFS(DATA!$I:$I,DATA!$C:$C,$B286,DATA!$J:$J,"&gt;="&amp;DATE($I$2,H$4,1),DATA!$J:$J,"&lt;="&amp;DATE($I$2,H$4,H$5))</f>
        <v/>
      </c>
      <c r="I286" s="321">
        <f>SUMIFS(DATA!$I:$I,DATA!$C:$C,$B286,DATA!$J:$J,"&gt;="&amp;DATE($I$2,I$4,1),DATA!$J:$J,"&lt;="&amp;DATE($I$2,I$4,I$5))</f>
        <v/>
      </c>
      <c r="J286" s="321">
        <f>SUMIFS(DATA!$I:$I,DATA!$C:$C,$B286,DATA!$J:$J,"&gt;="&amp;DATE($I$2,J$4,1),DATA!$J:$J,"&lt;="&amp;DATE($I$2,J$4,J$5))</f>
        <v/>
      </c>
      <c r="K286" s="321">
        <f>SUMIFS(DATA!$I:$I,DATA!$C:$C,$B286,DATA!$J:$J,"&gt;="&amp;DATE($I$2,K$4,1),DATA!$J:$J,"&lt;="&amp;DATE($I$2,K$4,K$5))</f>
        <v/>
      </c>
      <c r="L286" s="321">
        <f>SUMIFS(DATA!$I:$I,DATA!$C:$C,$B286,DATA!$J:$J,"&gt;="&amp;DATE($I$2,L$4,1),DATA!$J:$J,"&lt;="&amp;DATE($I$2,L$4,L$5))</f>
        <v/>
      </c>
      <c r="M286" s="321">
        <f>SUMIFS(DATA!$I:$I,DATA!$C:$C,$B286,DATA!$J:$J,"&gt;="&amp;DATE($I$2,M$4,1),DATA!$J:$J,"&lt;="&amp;DATE($I$2,M$4,M$5))</f>
        <v/>
      </c>
      <c r="N286" s="321">
        <f>SUMIFS(DATA!$I:$I,DATA!$C:$C,$B286,DATA!$J:$J,"&gt;="&amp;DATE($I$2,N$4,1),DATA!$J:$J,"&lt;="&amp;DATE($I$2,N$4,N$5))</f>
        <v/>
      </c>
      <c r="O286" s="321">
        <f>SUMIFS(DATA!$I:$I,DATA!$C:$C,$B286,DATA!$J:$J,"&gt;="&amp;DATE($I$2,O$4,1),DATA!$J:$J,"&lt;="&amp;DATE($I$2,O$4,O$5))</f>
        <v/>
      </c>
      <c r="P286" s="322">
        <f>SUM(D286:O286)</f>
        <v/>
      </c>
      <c r="Q286" s="118" t="n"/>
    </row>
    <row r="287" hidden="1" outlineLevel="1" ht="15" customHeight="1">
      <c r="A287" s="266" t="n"/>
      <c r="B287" s="266" t="n"/>
      <c r="C287" s="119" t="inlineStr">
        <is>
          <t>Thực tế</t>
        </is>
      </c>
      <c r="D287" s="321">
        <f>SUMIFS(DATA!$M:$M,DATA!$C:$C,$B286,DATA!$N:$N,"&gt;="&amp;DATE($I$2,D$4,1),DATA!$N:$N,"&lt;="&amp;DATE($I$2,D$4,D$5))</f>
        <v/>
      </c>
      <c r="E287" s="321">
        <f>SUMIFS(DATA!$M:$M,DATA!$C:$C,$B286,DATA!$N:$N,"&gt;="&amp;DATE($I$2,E$4,1),DATA!$N:$N,"&lt;="&amp;DATE($I$2,E$4,E$5))</f>
        <v/>
      </c>
      <c r="F287" s="321">
        <f>SUMIFS(DATA!$M:$M,DATA!$C:$C,$B286,DATA!$N:$N,"&gt;="&amp;DATE($I$2,F$4,1),DATA!$N:$N,"&lt;="&amp;DATE($I$2,F$4,F$5))</f>
        <v/>
      </c>
      <c r="G287" s="321">
        <f>SUMIFS(DATA!$M:$M,DATA!$C:$C,$B286,DATA!$N:$N,"&gt;="&amp;DATE($I$2,G$4,1),DATA!$N:$N,"&lt;="&amp;DATE($I$2,G$4,G$5))</f>
        <v/>
      </c>
      <c r="H287" s="321">
        <f>SUMIFS(DATA!$M:$M,DATA!$C:$C,$B286,DATA!$N:$N,"&gt;="&amp;DATE($I$2,H$4,1),DATA!$N:$N,"&lt;="&amp;DATE($I$2,H$4,H$5))</f>
        <v/>
      </c>
      <c r="I287" s="321">
        <f>SUMIFS(DATA!$M:$M,DATA!$C:$C,$B286,DATA!$N:$N,"&gt;="&amp;DATE($I$2,I$4,1),DATA!$N:$N,"&lt;="&amp;DATE($I$2,I$4,I$5))</f>
        <v/>
      </c>
      <c r="J287" s="321">
        <f>SUMIFS(DATA!$M:$M,DATA!$C:$C,$B286,DATA!$N:$N,"&gt;="&amp;DATE($I$2,J$4,1),DATA!$N:$N,"&lt;="&amp;DATE($I$2,J$4,J$5))</f>
        <v/>
      </c>
      <c r="K287" s="321">
        <f>SUMIFS(DATA!$M:$M,DATA!$C:$C,$B286,DATA!$N:$N,"&gt;="&amp;DATE($I$2,K$4,1),DATA!$N:$N,"&lt;="&amp;DATE($I$2,K$4,K$5))</f>
        <v/>
      </c>
      <c r="L287" s="321">
        <f>SUMIFS(DATA!$M:$M,DATA!$C:$C,$B286,DATA!$N:$N,"&gt;="&amp;DATE($I$2,L$4,1),DATA!$N:$N,"&lt;="&amp;DATE($I$2,L$4,L$5))</f>
        <v/>
      </c>
      <c r="M287" s="321">
        <f>SUMIFS(DATA!$M:$M,DATA!$C:$C,$B286,DATA!$N:$N,"&gt;="&amp;DATE($I$2,M$4,1),DATA!$N:$N,"&lt;="&amp;DATE($I$2,M$4,M$5))</f>
        <v/>
      </c>
      <c r="N287" s="321">
        <f>SUMIFS(DATA!$M:$M,DATA!$C:$C,$B286,DATA!$N:$N,"&gt;="&amp;DATE($I$2,N$4,1),DATA!$N:$N,"&lt;="&amp;DATE($I$2,N$4,N$5))</f>
        <v/>
      </c>
      <c r="O287" s="321">
        <f>SUMIFS(DATA!$M:$M,DATA!$C:$C,$B286,DATA!$N:$N,"&gt;="&amp;DATE($I$2,O$4,1),DATA!$N:$N,"&lt;="&amp;DATE($I$2,O$4,O$5))</f>
        <v/>
      </c>
      <c r="P287" s="322">
        <f>SUM(D287:O287)</f>
        <v/>
      </c>
      <c r="Q287" s="118" t="n"/>
    </row>
    <row r="288" hidden="1" outlineLevel="1" ht="15" customHeight="1">
      <c r="A288" s="269" t="n">
        <v>142</v>
      </c>
      <c r="B288" s="265" t="inlineStr">
        <is>
          <t>MR.TOÀN</t>
        </is>
      </c>
      <c r="C288" s="119" t="inlineStr">
        <is>
          <t>Kế hoạch</t>
        </is>
      </c>
      <c r="D288" s="321">
        <f>SUMIFS(DATA!$I:$I,DATA!$C:$C,$B288,DATA!$J:$J,"&gt;="&amp;DATE($I$2,D$4,1),DATA!$J:$J,"&lt;="&amp;DATE($I$2,D$4,D$5))</f>
        <v/>
      </c>
      <c r="E288" s="321">
        <f>SUMIFS(DATA!$I:$I,DATA!$C:$C,$B288,DATA!$J:$J,"&gt;="&amp;DATE($I$2,E$4,1),DATA!$J:$J,"&lt;="&amp;DATE($I$2,E$4,E$5))</f>
        <v/>
      </c>
      <c r="F288" s="321">
        <f>SUMIFS(DATA!$I:$I,DATA!$C:$C,$B288,DATA!$J:$J,"&gt;="&amp;DATE($I$2,F$4,1),DATA!$J:$J,"&lt;="&amp;DATE($I$2,F$4,F$5))</f>
        <v/>
      </c>
      <c r="G288" s="321">
        <f>SUMIFS(DATA!$I:$I,DATA!$C:$C,$B288,DATA!$J:$J,"&gt;="&amp;DATE($I$2,G$4,1),DATA!$J:$J,"&lt;="&amp;DATE($I$2,G$4,G$5))</f>
        <v/>
      </c>
      <c r="H288" s="321">
        <f>SUMIFS(DATA!$I:$I,DATA!$C:$C,$B288,DATA!$J:$J,"&gt;="&amp;DATE($I$2,H$4,1),DATA!$J:$J,"&lt;="&amp;DATE($I$2,H$4,H$5))</f>
        <v/>
      </c>
      <c r="I288" s="321">
        <f>SUMIFS(DATA!$I:$I,DATA!$C:$C,$B288,DATA!$J:$J,"&gt;="&amp;DATE($I$2,I$4,1),DATA!$J:$J,"&lt;="&amp;DATE($I$2,I$4,I$5))</f>
        <v/>
      </c>
      <c r="J288" s="321">
        <f>SUMIFS(DATA!$I:$I,DATA!$C:$C,$B288,DATA!$J:$J,"&gt;="&amp;DATE($I$2,J$4,1),DATA!$J:$J,"&lt;="&amp;DATE($I$2,J$4,J$5))</f>
        <v/>
      </c>
      <c r="K288" s="321">
        <f>SUMIFS(DATA!$I:$I,DATA!$C:$C,$B288,DATA!$J:$J,"&gt;="&amp;DATE($I$2,K$4,1),DATA!$J:$J,"&lt;="&amp;DATE($I$2,K$4,K$5))</f>
        <v/>
      </c>
      <c r="L288" s="321">
        <f>SUMIFS(DATA!$I:$I,DATA!$C:$C,$B288,DATA!$J:$J,"&gt;="&amp;DATE($I$2,L$4,1),DATA!$J:$J,"&lt;="&amp;DATE($I$2,L$4,L$5))</f>
        <v/>
      </c>
      <c r="M288" s="321">
        <f>SUMIFS(DATA!$I:$I,DATA!$C:$C,$B288,DATA!$J:$J,"&gt;="&amp;DATE($I$2,M$4,1),DATA!$J:$J,"&lt;="&amp;DATE($I$2,M$4,M$5))</f>
        <v/>
      </c>
      <c r="N288" s="321">
        <f>SUMIFS(DATA!$I:$I,DATA!$C:$C,$B288,DATA!$J:$J,"&gt;="&amp;DATE($I$2,N$4,1),DATA!$J:$J,"&lt;="&amp;DATE($I$2,N$4,N$5))</f>
        <v/>
      </c>
      <c r="O288" s="321">
        <f>SUMIFS(DATA!$I:$I,DATA!$C:$C,$B288,DATA!$J:$J,"&gt;="&amp;DATE($I$2,O$4,1),DATA!$J:$J,"&lt;="&amp;DATE($I$2,O$4,O$5))</f>
        <v/>
      </c>
      <c r="P288" s="322">
        <f>SUM(D288:O288)</f>
        <v/>
      </c>
      <c r="Q288" s="118" t="n"/>
    </row>
    <row r="289" hidden="1" outlineLevel="1" ht="15" customHeight="1">
      <c r="A289" s="266" t="n"/>
      <c r="B289" s="266" t="n"/>
      <c r="C289" s="119" t="inlineStr">
        <is>
          <t>Thực tế</t>
        </is>
      </c>
      <c r="D289" s="321">
        <f>SUMIFS(DATA!$M:$M,DATA!$C:$C,$B288,DATA!$N:$N,"&gt;="&amp;DATE($I$2,D$4,1),DATA!$N:$N,"&lt;="&amp;DATE($I$2,D$4,D$5))</f>
        <v/>
      </c>
      <c r="E289" s="321">
        <f>SUMIFS(DATA!$M:$M,DATA!$C:$C,$B288,DATA!$N:$N,"&gt;="&amp;DATE($I$2,E$4,1),DATA!$N:$N,"&lt;="&amp;DATE($I$2,E$4,E$5))</f>
        <v/>
      </c>
      <c r="F289" s="321">
        <f>SUMIFS(DATA!$M:$M,DATA!$C:$C,$B288,DATA!$N:$N,"&gt;="&amp;DATE($I$2,F$4,1),DATA!$N:$N,"&lt;="&amp;DATE($I$2,F$4,F$5))</f>
        <v/>
      </c>
      <c r="G289" s="321">
        <f>SUMIFS(DATA!$M:$M,DATA!$C:$C,$B288,DATA!$N:$N,"&gt;="&amp;DATE($I$2,G$4,1),DATA!$N:$N,"&lt;="&amp;DATE($I$2,G$4,G$5))</f>
        <v/>
      </c>
      <c r="H289" s="321">
        <f>SUMIFS(DATA!$M:$M,DATA!$C:$C,$B288,DATA!$N:$N,"&gt;="&amp;DATE($I$2,H$4,1),DATA!$N:$N,"&lt;="&amp;DATE($I$2,H$4,H$5))</f>
        <v/>
      </c>
      <c r="I289" s="321">
        <f>SUMIFS(DATA!$M:$M,DATA!$C:$C,$B288,DATA!$N:$N,"&gt;="&amp;DATE($I$2,I$4,1),DATA!$N:$N,"&lt;="&amp;DATE($I$2,I$4,I$5))</f>
        <v/>
      </c>
      <c r="J289" s="321">
        <f>SUMIFS(DATA!$M:$M,DATA!$C:$C,$B288,DATA!$N:$N,"&gt;="&amp;DATE($I$2,J$4,1),DATA!$N:$N,"&lt;="&amp;DATE($I$2,J$4,J$5))</f>
        <v/>
      </c>
      <c r="K289" s="321">
        <f>SUMIFS(DATA!$M:$M,DATA!$C:$C,$B288,DATA!$N:$N,"&gt;="&amp;DATE($I$2,K$4,1),DATA!$N:$N,"&lt;="&amp;DATE($I$2,K$4,K$5))</f>
        <v/>
      </c>
      <c r="L289" s="321">
        <f>SUMIFS(DATA!$M:$M,DATA!$C:$C,$B288,DATA!$N:$N,"&gt;="&amp;DATE($I$2,L$4,1),DATA!$N:$N,"&lt;="&amp;DATE($I$2,L$4,L$5))</f>
        <v/>
      </c>
      <c r="M289" s="321">
        <f>SUMIFS(DATA!$M:$M,DATA!$C:$C,$B288,DATA!$N:$N,"&gt;="&amp;DATE($I$2,M$4,1),DATA!$N:$N,"&lt;="&amp;DATE($I$2,M$4,M$5))</f>
        <v/>
      </c>
      <c r="N289" s="321">
        <f>SUMIFS(DATA!$M:$M,DATA!$C:$C,$B288,DATA!$N:$N,"&gt;="&amp;DATE($I$2,N$4,1),DATA!$N:$N,"&lt;="&amp;DATE($I$2,N$4,N$5))</f>
        <v/>
      </c>
      <c r="O289" s="321">
        <f>SUMIFS(DATA!$M:$M,DATA!$C:$C,$B288,DATA!$N:$N,"&gt;="&amp;DATE($I$2,O$4,1),DATA!$N:$N,"&lt;="&amp;DATE($I$2,O$4,O$5))</f>
        <v/>
      </c>
      <c r="P289" s="322">
        <f>SUM(D289:O289)</f>
        <v/>
      </c>
      <c r="Q289" s="118" t="n"/>
    </row>
    <row r="290" hidden="1" outlineLevel="1" ht="15" customHeight="1">
      <c r="A290" s="269" t="n">
        <v>143</v>
      </c>
      <c r="B290" s="265" t="inlineStr">
        <is>
          <t>Mr. Toàn - Hoàng Thạch</t>
        </is>
      </c>
      <c r="C290" s="119" t="inlineStr">
        <is>
          <t>Kế hoạch</t>
        </is>
      </c>
      <c r="D290" s="321">
        <f>SUMIFS(DATA!$I:$I,DATA!$C:$C,$B290,DATA!$J:$J,"&gt;="&amp;DATE($I$2,D$4,1),DATA!$J:$J,"&lt;="&amp;DATE($I$2,D$4,D$5))</f>
        <v/>
      </c>
      <c r="E290" s="321">
        <f>SUMIFS(DATA!$I:$I,DATA!$C:$C,$B290,DATA!$J:$J,"&gt;="&amp;DATE($I$2,E$4,1),DATA!$J:$J,"&lt;="&amp;DATE($I$2,E$4,E$5))</f>
        <v/>
      </c>
      <c r="F290" s="321">
        <f>SUMIFS(DATA!$I:$I,DATA!$C:$C,$B290,DATA!$J:$J,"&gt;="&amp;DATE($I$2,F$4,1),DATA!$J:$J,"&lt;="&amp;DATE($I$2,F$4,F$5))</f>
        <v/>
      </c>
      <c r="G290" s="321">
        <f>SUMIFS(DATA!$I:$I,DATA!$C:$C,$B290,DATA!$J:$J,"&gt;="&amp;DATE($I$2,G$4,1),DATA!$J:$J,"&lt;="&amp;DATE($I$2,G$4,G$5))</f>
        <v/>
      </c>
      <c r="H290" s="321">
        <f>SUMIFS(DATA!$I:$I,DATA!$C:$C,$B290,DATA!$J:$J,"&gt;="&amp;DATE($I$2,H$4,1),DATA!$J:$J,"&lt;="&amp;DATE($I$2,H$4,H$5))</f>
        <v/>
      </c>
      <c r="I290" s="321">
        <f>SUMIFS(DATA!$I:$I,DATA!$C:$C,$B290,DATA!$J:$J,"&gt;="&amp;DATE($I$2,I$4,1),DATA!$J:$J,"&lt;="&amp;DATE($I$2,I$4,I$5))</f>
        <v/>
      </c>
      <c r="J290" s="321">
        <f>SUMIFS(DATA!$I:$I,DATA!$C:$C,$B290,DATA!$J:$J,"&gt;="&amp;DATE($I$2,J$4,1),DATA!$J:$J,"&lt;="&amp;DATE($I$2,J$4,J$5))</f>
        <v/>
      </c>
      <c r="K290" s="321">
        <f>SUMIFS(DATA!$I:$I,DATA!$C:$C,$B290,DATA!$J:$J,"&gt;="&amp;DATE($I$2,K$4,1),DATA!$J:$J,"&lt;="&amp;DATE($I$2,K$4,K$5))</f>
        <v/>
      </c>
      <c r="L290" s="321">
        <f>SUMIFS(DATA!$I:$I,DATA!$C:$C,$B290,DATA!$J:$J,"&gt;="&amp;DATE($I$2,L$4,1),DATA!$J:$J,"&lt;="&amp;DATE($I$2,L$4,L$5))</f>
        <v/>
      </c>
      <c r="M290" s="321">
        <f>SUMIFS(DATA!$I:$I,DATA!$C:$C,$B290,DATA!$J:$J,"&gt;="&amp;DATE($I$2,M$4,1),DATA!$J:$J,"&lt;="&amp;DATE($I$2,M$4,M$5))</f>
        <v/>
      </c>
      <c r="N290" s="321">
        <f>SUMIFS(DATA!$I:$I,DATA!$C:$C,$B290,DATA!$J:$J,"&gt;="&amp;DATE($I$2,N$4,1),DATA!$J:$J,"&lt;="&amp;DATE($I$2,N$4,N$5))</f>
        <v/>
      </c>
      <c r="O290" s="321">
        <f>SUMIFS(DATA!$I:$I,DATA!$C:$C,$B290,DATA!$J:$J,"&gt;="&amp;DATE($I$2,O$4,1),DATA!$J:$J,"&lt;="&amp;DATE($I$2,O$4,O$5))</f>
        <v/>
      </c>
      <c r="P290" s="322">
        <f>SUM(D290:O290)</f>
        <v/>
      </c>
      <c r="Q290" s="118" t="n"/>
    </row>
    <row r="291" hidden="1" outlineLevel="1" ht="15" customHeight="1">
      <c r="A291" s="266" t="n"/>
      <c r="B291" s="266" t="n"/>
      <c r="C291" s="119" t="inlineStr">
        <is>
          <t>Thực tế</t>
        </is>
      </c>
      <c r="D291" s="321">
        <f>SUMIFS(DATA!$M:$M,DATA!$C:$C,$B290,DATA!$N:$N,"&gt;="&amp;DATE($I$2,D$4,1),DATA!$N:$N,"&lt;="&amp;DATE($I$2,D$4,D$5))</f>
        <v/>
      </c>
      <c r="E291" s="321">
        <f>SUMIFS(DATA!$M:$M,DATA!$C:$C,$B290,DATA!$N:$N,"&gt;="&amp;DATE($I$2,E$4,1),DATA!$N:$N,"&lt;="&amp;DATE($I$2,E$4,E$5))</f>
        <v/>
      </c>
      <c r="F291" s="321">
        <f>SUMIFS(DATA!$M:$M,DATA!$C:$C,$B290,DATA!$N:$N,"&gt;="&amp;DATE($I$2,F$4,1),DATA!$N:$N,"&lt;="&amp;DATE($I$2,F$4,F$5))</f>
        <v/>
      </c>
      <c r="G291" s="321">
        <f>SUMIFS(DATA!$M:$M,DATA!$C:$C,$B290,DATA!$N:$N,"&gt;="&amp;DATE($I$2,G$4,1),DATA!$N:$N,"&lt;="&amp;DATE($I$2,G$4,G$5))</f>
        <v/>
      </c>
      <c r="H291" s="321">
        <f>SUMIFS(DATA!$M:$M,DATA!$C:$C,$B290,DATA!$N:$N,"&gt;="&amp;DATE($I$2,H$4,1),DATA!$N:$N,"&lt;="&amp;DATE($I$2,H$4,H$5))</f>
        <v/>
      </c>
      <c r="I291" s="321">
        <f>SUMIFS(DATA!$M:$M,DATA!$C:$C,$B290,DATA!$N:$N,"&gt;="&amp;DATE($I$2,I$4,1),DATA!$N:$N,"&lt;="&amp;DATE($I$2,I$4,I$5))</f>
        <v/>
      </c>
      <c r="J291" s="321">
        <f>SUMIFS(DATA!$M:$M,DATA!$C:$C,$B290,DATA!$N:$N,"&gt;="&amp;DATE($I$2,J$4,1),DATA!$N:$N,"&lt;="&amp;DATE($I$2,J$4,J$5))</f>
        <v/>
      </c>
      <c r="K291" s="321">
        <f>SUMIFS(DATA!$M:$M,DATA!$C:$C,$B290,DATA!$N:$N,"&gt;="&amp;DATE($I$2,K$4,1),DATA!$N:$N,"&lt;="&amp;DATE($I$2,K$4,K$5))</f>
        <v/>
      </c>
      <c r="L291" s="321">
        <f>SUMIFS(DATA!$M:$M,DATA!$C:$C,$B290,DATA!$N:$N,"&gt;="&amp;DATE($I$2,L$4,1),DATA!$N:$N,"&lt;="&amp;DATE($I$2,L$4,L$5))</f>
        <v/>
      </c>
      <c r="M291" s="321">
        <f>SUMIFS(DATA!$M:$M,DATA!$C:$C,$B290,DATA!$N:$N,"&gt;="&amp;DATE($I$2,M$4,1),DATA!$N:$N,"&lt;="&amp;DATE($I$2,M$4,M$5))</f>
        <v/>
      </c>
      <c r="N291" s="321">
        <f>SUMIFS(DATA!$M:$M,DATA!$C:$C,$B290,DATA!$N:$N,"&gt;="&amp;DATE($I$2,N$4,1),DATA!$N:$N,"&lt;="&amp;DATE($I$2,N$4,N$5))</f>
        <v/>
      </c>
      <c r="O291" s="321">
        <f>SUMIFS(DATA!$M:$M,DATA!$C:$C,$B290,DATA!$N:$N,"&gt;="&amp;DATE($I$2,O$4,1),DATA!$N:$N,"&lt;="&amp;DATE($I$2,O$4,O$5))</f>
        <v/>
      </c>
      <c r="P291" s="322">
        <f>SUM(D291:O291)</f>
        <v/>
      </c>
      <c r="Q291" s="118" t="n"/>
    </row>
    <row r="292" hidden="1" outlineLevel="1" ht="15" customHeight="1">
      <c r="A292" s="269" t="n">
        <v>144</v>
      </c>
      <c r="B292" s="265" t="inlineStr">
        <is>
          <t>OSAWA VIỆT NAM</t>
        </is>
      </c>
      <c r="C292" s="119" t="inlineStr">
        <is>
          <t>Kế hoạch</t>
        </is>
      </c>
      <c r="D292" s="321">
        <f>SUMIFS(DATA!$I:$I,DATA!$C:$C,$B292,DATA!$J:$J,"&gt;="&amp;DATE($I$2,D$4,1),DATA!$J:$J,"&lt;="&amp;DATE($I$2,D$4,D$5))</f>
        <v/>
      </c>
      <c r="E292" s="321">
        <f>SUMIFS(DATA!$I:$I,DATA!$C:$C,$B292,DATA!$J:$J,"&gt;="&amp;DATE($I$2,E$4,1),DATA!$J:$J,"&lt;="&amp;DATE($I$2,E$4,E$5))</f>
        <v/>
      </c>
      <c r="F292" s="321">
        <f>SUMIFS(DATA!$I:$I,DATA!$C:$C,$B292,DATA!$J:$J,"&gt;="&amp;DATE($I$2,F$4,1),DATA!$J:$J,"&lt;="&amp;DATE($I$2,F$4,F$5))</f>
        <v/>
      </c>
      <c r="G292" s="321">
        <f>SUMIFS(DATA!$I:$I,DATA!$C:$C,$B292,DATA!$J:$J,"&gt;="&amp;DATE($I$2,G$4,1),DATA!$J:$J,"&lt;="&amp;DATE($I$2,G$4,G$5))</f>
        <v/>
      </c>
      <c r="H292" s="321">
        <f>SUMIFS(DATA!$I:$I,DATA!$C:$C,$B292,DATA!$J:$J,"&gt;="&amp;DATE($I$2,H$4,1),DATA!$J:$J,"&lt;="&amp;DATE($I$2,H$4,H$5))</f>
        <v/>
      </c>
      <c r="I292" s="321">
        <f>SUMIFS(DATA!$I:$I,DATA!$C:$C,$B292,DATA!$J:$J,"&gt;="&amp;DATE($I$2,I$4,1),DATA!$J:$J,"&lt;="&amp;DATE($I$2,I$4,I$5))</f>
        <v/>
      </c>
      <c r="J292" s="321">
        <f>SUMIFS(DATA!$I:$I,DATA!$C:$C,$B292,DATA!$J:$J,"&gt;="&amp;DATE($I$2,J$4,1),DATA!$J:$J,"&lt;="&amp;DATE($I$2,J$4,J$5))</f>
        <v/>
      </c>
      <c r="K292" s="321">
        <f>SUMIFS(DATA!$I:$I,DATA!$C:$C,$B292,DATA!$J:$J,"&gt;="&amp;DATE($I$2,K$4,1),DATA!$J:$J,"&lt;="&amp;DATE($I$2,K$4,K$5))</f>
        <v/>
      </c>
      <c r="L292" s="321">
        <f>SUMIFS(DATA!$I:$I,DATA!$C:$C,$B292,DATA!$J:$J,"&gt;="&amp;DATE($I$2,L$4,1),DATA!$J:$J,"&lt;="&amp;DATE($I$2,L$4,L$5))</f>
        <v/>
      </c>
      <c r="M292" s="321">
        <f>SUMIFS(DATA!$I:$I,DATA!$C:$C,$B292,DATA!$J:$J,"&gt;="&amp;DATE($I$2,M$4,1),DATA!$J:$J,"&lt;="&amp;DATE($I$2,M$4,M$5))</f>
        <v/>
      </c>
      <c r="N292" s="321">
        <f>SUMIFS(DATA!$I:$I,DATA!$C:$C,$B292,DATA!$J:$J,"&gt;="&amp;DATE($I$2,N$4,1),DATA!$J:$J,"&lt;="&amp;DATE($I$2,N$4,N$5))</f>
        <v/>
      </c>
      <c r="O292" s="321">
        <f>SUMIFS(DATA!$I:$I,DATA!$C:$C,$B292,DATA!$J:$J,"&gt;="&amp;DATE($I$2,O$4,1),DATA!$J:$J,"&lt;="&amp;DATE($I$2,O$4,O$5))</f>
        <v/>
      </c>
      <c r="P292" s="322">
        <f>SUM(D292:O292)</f>
        <v/>
      </c>
      <c r="Q292" s="118" t="n"/>
    </row>
    <row r="293" hidden="1" outlineLevel="1" ht="15" customHeight="1">
      <c r="A293" s="266" t="n"/>
      <c r="B293" s="266" t="n"/>
      <c r="C293" s="119" t="inlineStr">
        <is>
          <t>Thực tế</t>
        </is>
      </c>
      <c r="D293" s="321">
        <f>SUMIFS(DATA!$M:$M,DATA!$C:$C,$B292,DATA!$N:$N,"&gt;="&amp;DATE($I$2,D$4,1),DATA!$N:$N,"&lt;="&amp;DATE($I$2,D$4,D$5))</f>
        <v/>
      </c>
      <c r="E293" s="321">
        <f>SUMIFS(DATA!$M:$M,DATA!$C:$C,$B292,DATA!$N:$N,"&gt;="&amp;DATE($I$2,E$4,1),DATA!$N:$N,"&lt;="&amp;DATE($I$2,E$4,E$5))</f>
        <v/>
      </c>
      <c r="F293" s="321">
        <f>SUMIFS(DATA!$M:$M,DATA!$C:$C,$B292,DATA!$N:$N,"&gt;="&amp;DATE($I$2,F$4,1),DATA!$N:$N,"&lt;="&amp;DATE($I$2,F$4,F$5))</f>
        <v/>
      </c>
      <c r="G293" s="321">
        <f>SUMIFS(DATA!$M:$M,DATA!$C:$C,$B292,DATA!$N:$N,"&gt;="&amp;DATE($I$2,G$4,1),DATA!$N:$N,"&lt;="&amp;DATE($I$2,G$4,G$5))</f>
        <v/>
      </c>
      <c r="H293" s="321">
        <f>SUMIFS(DATA!$M:$M,DATA!$C:$C,$B292,DATA!$N:$N,"&gt;="&amp;DATE($I$2,H$4,1),DATA!$N:$N,"&lt;="&amp;DATE($I$2,H$4,H$5))</f>
        <v/>
      </c>
      <c r="I293" s="321">
        <f>SUMIFS(DATA!$M:$M,DATA!$C:$C,$B292,DATA!$N:$N,"&gt;="&amp;DATE($I$2,I$4,1),DATA!$N:$N,"&lt;="&amp;DATE($I$2,I$4,I$5))</f>
        <v/>
      </c>
      <c r="J293" s="321">
        <f>SUMIFS(DATA!$M:$M,DATA!$C:$C,$B292,DATA!$N:$N,"&gt;="&amp;DATE($I$2,J$4,1),DATA!$N:$N,"&lt;="&amp;DATE($I$2,J$4,J$5))</f>
        <v/>
      </c>
      <c r="K293" s="321">
        <f>SUMIFS(DATA!$M:$M,DATA!$C:$C,$B292,DATA!$N:$N,"&gt;="&amp;DATE($I$2,K$4,1),DATA!$N:$N,"&lt;="&amp;DATE($I$2,K$4,K$5))</f>
        <v/>
      </c>
      <c r="L293" s="321">
        <f>SUMIFS(DATA!$M:$M,DATA!$C:$C,$B292,DATA!$N:$N,"&gt;="&amp;DATE($I$2,L$4,1),DATA!$N:$N,"&lt;="&amp;DATE($I$2,L$4,L$5))</f>
        <v/>
      </c>
      <c r="M293" s="321">
        <f>SUMIFS(DATA!$M:$M,DATA!$C:$C,$B292,DATA!$N:$N,"&gt;="&amp;DATE($I$2,M$4,1),DATA!$N:$N,"&lt;="&amp;DATE($I$2,M$4,M$5))</f>
        <v/>
      </c>
      <c r="N293" s="321">
        <f>SUMIFS(DATA!$M:$M,DATA!$C:$C,$B292,DATA!$N:$N,"&gt;="&amp;DATE($I$2,N$4,1),DATA!$N:$N,"&lt;="&amp;DATE($I$2,N$4,N$5))</f>
        <v/>
      </c>
      <c r="O293" s="321">
        <f>SUMIFS(DATA!$M:$M,DATA!$C:$C,$B292,DATA!$N:$N,"&gt;="&amp;DATE($I$2,O$4,1),DATA!$N:$N,"&lt;="&amp;DATE($I$2,O$4,O$5))</f>
        <v/>
      </c>
      <c r="P293" s="322">
        <f>SUM(D293:O293)</f>
        <v/>
      </c>
      <c r="Q293" s="118" t="n"/>
    </row>
    <row r="294" hidden="1" outlineLevel="1" ht="15" customHeight="1">
      <c r="A294" s="269" t="n">
        <v>145</v>
      </c>
      <c r="B294" s="265" t="inlineStr">
        <is>
          <t>PARK KIARA</t>
        </is>
      </c>
      <c r="C294" s="119" t="inlineStr">
        <is>
          <t>Kế hoạch</t>
        </is>
      </c>
      <c r="D294" s="321">
        <f>SUMIFS(DATA!$I:$I,DATA!$C:$C,$B294,DATA!$J:$J,"&gt;="&amp;DATE($I$2,D$4,1),DATA!$J:$J,"&lt;="&amp;DATE($I$2,D$4,D$5))</f>
        <v/>
      </c>
      <c r="E294" s="321">
        <f>SUMIFS(DATA!$I:$I,DATA!$C:$C,$B294,DATA!$J:$J,"&gt;="&amp;DATE($I$2,E$4,1),DATA!$J:$J,"&lt;="&amp;DATE($I$2,E$4,E$5))</f>
        <v/>
      </c>
      <c r="F294" s="321">
        <f>SUMIFS(DATA!$I:$I,DATA!$C:$C,$B294,DATA!$J:$J,"&gt;="&amp;DATE($I$2,F$4,1),DATA!$J:$J,"&lt;="&amp;DATE($I$2,F$4,F$5))</f>
        <v/>
      </c>
      <c r="G294" s="321">
        <f>SUMIFS(DATA!$I:$I,DATA!$C:$C,$B294,DATA!$J:$J,"&gt;="&amp;DATE($I$2,G$4,1),DATA!$J:$J,"&lt;="&amp;DATE($I$2,G$4,G$5))</f>
        <v/>
      </c>
      <c r="H294" s="321">
        <f>SUMIFS(DATA!$I:$I,DATA!$C:$C,$B294,DATA!$J:$J,"&gt;="&amp;DATE($I$2,H$4,1),DATA!$J:$J,"&lt;="&amp;DATE($I$2,H$4,H$5))</f>
        <v/>
      </c>
      <c r="I294" s="321">
        <f>SUMIFS(DATA!$I:$I,DATA!$C:$C,$B294,DATA!$J:$J,"&gt;="&amp;DATE($I$2,I$4,1),DATA!$J:$J,"&lt;="&amp;DATE($I$2,I$4,I$5))</f>
        <v/>
      </c>
      <c r="J294" s="321">
        <f>SUMIFS(DATA!$I:$I,DATA!$C:$C,$B294,DATA!$J:$J,"&gt;="&amp;DATE($I$2,J$4,1),DATA!$J:$J,"&lt;="&amp;DATE($I$2,J$4,J$5))</f>
        <v/>
      </c>
      <c r="K294" s="321">
        <f>SUMIFS(DATA!$I:$I,DATA!$C:$C,$B294,DATA!$J:$J,"&gt;="&amp;DATE($I$2,K$4,1),DATA!$J:$J,"&lt;="&amp;DATE($I$2,K$4,K$5))</f>
        <v/>
      </c>
      <c r="L294" s="321">
        <f>SUMIFS(DATA!$I:$I,DATA!$C:$C,$B294,DATA!$J:$J,"&gt;="&amp;DATE($I$2,L$4,1),DATA!$J:$J,"&lt;="&amp;DATE($I$2,L$4,L$5))</f>
        <v/>
      </c>
      <c r="M294" s="321">
        <f>SUMIFS(DATA!$I:$I,DATA!$C:$C,$B294,DATA!$J:$J,"&gt;="&amp;DATE($I$2,M$4,1),DATA!$J:$J,"&lt;="&amp;DATE($I$2,M$4,M$5))</f>
        <v/>
      </c>
      <c r="N294" s="321">
        <f>SUMIFS(DATA!$I:$I,DATA!$C:$C,$B294,DATA!$J:$J,"&gt;="&amp;DATE($I$2,N$4,1),DATA!$J:$J,"&lt;="&amp;DATE($I$2,N$4,N$5))</f>
        <v/>
      </c>
      <c r="O294" s="321">
        <f>SUMIFS(DATA!$I:$I,DATA!$C:$C,$B294,DATA!$J:$J,"&gt;="&amp;DATE($I$2,O$4,1),DATA!$J:$J,"&lt;="&amp;DATE($I$2,O$4,O$5))</f>
        <v/>
      </c>
      <c r="P294" s="322">
        <f>SUM(D294:O294)</f>
        <v/>
      </c>
      <c r="Q294" s="118" t="n"/>
    </row>
    <row r="295" hidden="1" outlineLevel="1" ht="15" customHeight="1">
      <c r="A295" s="266" t="n"/>
      <c r="B295" s="266" t="n"/>
      <c r="C295" s="119" t="inlineStr">
        <is>
          <t>Thực tế</t>
        </is>
      </c>
      <c r="D295" s="321">
        <f>SUMIFS(DATA!$M:$M,DATA!$C:$C,$B294,DATA!$N:$N,"&gt;="&amp;DATE($I$2,D$4,1),DATA!$N:$N,"&lt;="&amp;DATE($I$2,D$4,D$5))</f>
        <v/>
      </c>
      <c r="E295" s="321">
        <f>SUMIFS(DATA!$M:$M,DATA!$C:$C,$B294,DATA!$N:$N,"&gt;="&amp;DATE($I$2,E$4,1),DATA!$N:$N,"&lt;="&amp;DATE($I$2,E$4,E$5))</f>
        <v/>
      </c>
      <c r="F295" s="321">
        <f>SUMIFS(DATA!$M:$M,DATA!$C:$C,$B294,DATA!$N:$N,"&gt;="&amp;DATE($I$2,F$4,1),DATA!$N:$N,"&lt;="&amp;DATE($I$2,F$4,F$5))</f>
        <v/>
      </c>
      <c r="G295" s="321">
        <f>SUMIFS(DATA!$M:$M,DATA!$C:$C,$B294,DATA!$N:$N,"&gt;="&amp;DATE($I$2,G$4,1),DATA!$N:$N,"&lt;="&amp;DATE($I$2,G$4,G$5))</f>
        <v/>
      </c>
      <c r="H295" s="321">
        <f>SUMIFS(DATA!$M:$M,DATA!$C:$C,$B294,DATA!$N:$N,"&gt;="&amp;DATE($I$2,H$4,1),DATA!$N:$N,"&lt;="&amp;DATE($I$2,H$4,H$5))</f>
        <v/>
      </c>
      <c r="I295" s="321">
        <f>SUMIFS(DATA!$M:$M,DATA!$C:$C,$B294,DATA!$N:$N,"&gt;="&amp;DATE($I$2,I$4,1),DATA!$N:$N,"&lt;="&amp;DATE($I$2,I$4,I$5))</f>
        <v/>
      </c>
      <c r="J295" s="321">
        <f>SUMIFS(DATA!$M:$M,DATA!$C:$C,$B294,DATA!$N:$N,"&gt;="&amp;DATE($I$2,J$4,1),DATA!$N:$N,"&lt;="&amp;DATE($I$2,J$4,J$5))</f>
        <v/>
      </c>
      <c r="K295" s="321">
        <f>SUMIFS(DATA!$M:$M,DATA!$C:$C,$B294,DATA!$N:$N,"&gt;="&amp;DATE($I$2,K$4,1),DATA!$N:$N,"&lt;="&amp;DATE($I$2,K$4,K$5))</f>
        <v/>
      </c>
      <c r="L295" s="321">
        <f>SUMIFS(DATA!$M:$M,DATA!$C:$C,$B294,DATA!$N:$N,"&gt;="&amp;DATE($I$2,L$4,1),DATA!$N:$N,"&lt;="&amp;DATE($I$2,L$4,L$5))</f>
        <v/>
      </c>
      <c r="M295" s="321">
        <f>SUMIFS(DATA!$M:$M,DATA!$C:$C,$B294,DATA!$N:$N,"&gt;="&amp;DATE($I$2,M$4,1),DATA!$N:$N,"&lt;="&amp;DATE($I$2,M$4,M$5))</f>
        <v/>
      </c>
      <c r="N295" s="321">
        <f>SUMIFS(DATA!$M:$M,DATA!$C:$C,$B294,DATA!$N:$N,"&gt;="&amp;DATE($I$2,N$4,1),DATA!$N:$N,"&lt;="&amp;DATE($I$2,N$4,N$5))</f>
        <v/>
      </c>
      <c r="O295" s="321">
        <f>SUMIFS(DATA!$M:$M,DATA!$C:$C,$B294,DATA!$N:$N,"&gt;="&amp;DATE($I$2,O$4,1),DATA!$N:$N,"&lt;="&amp;DATE($I$2,O$4,O$5))</f>
        <v/>
      </c>
      <c r="P295" s="322">
        <f>SUM(D295:O295)</f>
        <v/>
      </c>
      <c r="Q295" s="118" t="n"/>
    </row>
    <row r="296" hidden="1" outlineLevel="1" ht="15" customHeight="1">
      <c r="A296" s="269" t="n">
        <v>146</v>
      </c>
      <c r="B296" s="265" t="inlineStr">
        <is>
          <t>SUNSHINE CITY</t>
        </is>
      </c>
      <c r="C296" s="119" t="inlineStr">
        <is>
          <t>Kế hoạch</t>
        </is>
      </c>
      <c r="D296" s="321">
        <f>SUMIFS(DATA!$I:$I,DATA!$C:$C,$B296,DATA!$J:$J,"&gt;="&amp;DATE($I$2,D$4,1),DATA!$J:$J,"&lt;="&amp;DATE($I$2,D$4,D$5))</f>
        <v/>
      </c>
      <c r="E296" s="321">
        <f>SUMIFS(DATA!$I:$I,DATA!$C:$C,$B296,DATA!$J:$J,"&gt;="&amp;DATE($I$2,E$4,1),DATA!$J:$J,"&lt;="&amp;DATE($I$2,E$4,E$5))</f>
        <v/>
      </c>
      <c r="F296" s="321">
        <f>SUMIFS(DATA!$I:$I,DATA!$C:$C,$B296,DATA!$J:$J,"&gt;="&amp;DATE($I$2,F$4,1),DATA!$J:$J,"&lt;="&amp;DATE($I$2,F$4,F$5))</f>
        <v/>
      </c>
      <c r="G296" s="321">
        <f>SUMIFS(DATA!$I:$I,DATA!$C:$C,$B296,DATA!$J:$J,"&gt;="&amp;DATE($I$2,G$4,1),DATA!$J:$J,"&lt;="&amp;DATE($I$2,G$4,G$5))</f>
        <v/>
      </c>
      <c r="H296" s="321">
        <f>SUMIFS(DATA!$I:$I,DATA!$C:$C,$B296,DATA!$J:$J,"&gt;="&amp;DATE($I$2,H$4,1),DATA!$J:$J,"&lt;="&amp;DATE($I$2,H$4,H$5))</f>
        <v/>
      </c>
      <c r="I296" s="321">
        <f>SUMIFS(DATA!$I:$I,DATA!$C:$C,$B296,DATA!$J:$J,"&gt;="&amp;DATE($I$2,I$4,1),DATA!$J:$J,"&lt;="&amp;DATE($I$2,I$4,I$5))</f>
        <v/>
      </c>
      <c r="J296" s="321">
        <f>SUMIFS(DATA!$I:$I,DATA!$C:$C,$B296,DATA!$J:$J,"&gt;="&amp;DATE($I$2,J$4,1),DATA!$J:$J,"&lt;="&amp;DATE($I$2,J$4,J$5))</f>
        <v/>
      </c>
      <c r="K296" s="321">
        <f>SUMIFS(DATA!$I:$I,DATA!$C:$C,$B296,DATA!$J:$J,"&gt;="&amp;DATE($I$2,K$4,1),DATA!$J:$J,"&lt;="&amp;DATE($I$2,K$4,K$5))</f>
        <v/>
      </c>
      <c r="L296" s="321">
        <f>SUMIFS(DATA!$I:$I,DATA!$C:$C,$B296,DATA!$J:$J,"&gt;="&amp;DATE($I$2,L$4,1),DATA!$J:$J,"&lt;="&amp;DATE($I$2,L$4,L$5))</f>
        <v/>
      </c>
      <c r="M296" s="321">
        <f>SUMIFS(DATA!$I:$I,DATA!$C:$C,$B296,DATA!$J:$J,"&gt;="&amp;DATE($I$2,M$4,1),DATA!$J:$J,"&lt;="&amp;DATE($I$2,M$4,M$5))</f>
        <v/>
      </c>
      <c r="N296" s="321">
        <f>SUMIFS(DATA!$I:$I,DATA!$C:$C,$B296,DATA!$J:$J,"&gt;="&amp;DATE($I$2,N$4,1),DATA!$J:$J,"&lt;="&amp;DATE($I$2,N$4,N$5))</f>
        <v/>
      </c>
      <c r="O296" s="321">
        <f>SUMIFS(DATA!$I:$I,DATA!$C:$C,$B296,DATA!$J:$J,"&gt;="&amp;DATE($I$2,O$4,1),DATA!$J:$J,"&lt;="&amp;DATE($I$2,O$4,O$5))</f>
        <v/>
      </c>
      <c r="P296" s="322">
        <f>SUM(D296:O296)</f>
        <v/>
      </c>
      <c r="Q296" s="118" t="n"/>
    </row>
    <row r="297" hidden="1" outlineLevel="1" ht="15" customHeight="1">
      <c r="A297" s="266" t="n"/>
      <c r="B297" s="266" t="n"/>
      <c r="C297" s="119" t="inlineStr">
        <is>
          <t>Thực tế</t>
        </is>
      </c>
      <c r="D297" s="321">
        <f>SUMIFS(DATA!$M:$M,DATA!$C:$C,$B296,DATA!$N:$N,"&gt;="&amp;DATE($I$2,D$4,1),DATA!$N:$N,"&lt;="&amp;DATE($I$2,D$4,D$5))</f>
        <v/>
      </c>
      <c r="E297" s="321">
        <f>SUMIFS(DATA!$M:$M,DATA!$C:$C,$B296,DATA!$N:$N,"&gt;="&amp;DATE($I$2,E$4,1),DATA!$N:$N,"&lt;="&amp;DATE($I$2,E$4,E$5))</f>
        <v/>
      </c>
      <c r="F297" s="321">
        <f>SUMIFS(DATA!$M:$M,DATA!$C:$C,$B296,DATA!$N:$N,"&gt;="&amp;DATE($I$2,F$4,1),DATA!$N:$N,"&lt;="&amp;DATE($I$2,F$4,F$5))</f>
        <v/>
      </c>
      <c r="G297" s="321">
        <f>SUMIFS(DATA!$M:$M,DATA!$C:$C,$B296,DATA!$N:$N,"&gt;="&amp;DATE($I$2,G$4,1),DATA!$N:$N,"&lt;="&amp;DATE($I$2,G$4,G$5))</f>
        <v/>
      </c>
      <c r="H297" s="321">
        <f>SUMIFS(DATA!$M:$M,DATA!$C:$C,$B296,DATA!$N:$N,"&gt;="&amp;DATE($I$2,H$4,1),DATA!$N:$N,"&lt;="&amp;DATE($I$2,H$4,H$5))</f>
        <v/>
      </c>
      <c r="I297" s="321">
        <f>SUMIFS(DATA!$M:$M,DATA!$C:$C,$B296,DATA!$N:$N,"&gt;="&amp;DATE($I$2,I$4,1),DATA!$N:$N,"&lt;="&amp;DATE($I$2,I$4,I$5))</f>
        <v/>
      </c>
      <c r="J297" s="321">
        <f>SUMIFS(DATA!$M:$M,DATA!$C:$C,$B296,DATA!$N:$N,"&gt;="&amp;DATE($I$2,J$4,1),DATA!$N:$N,"&lt;="&amp;DATE($I$2,J$4,J$5))</f>
        <v/>
      </c>
      <c r="K297" s="321">
        <f>SUMIFS(DATA!$M:$M,DATA!$C:$C,$B296,DATA!$N:$N,"&gt;="&amp;DATE($I$2,K$4,1),DATA!$N:$N,"&lt;="&amp;DATE($I$2,K$4,K$5))</f>
        <v/>
      </c>
      <c r="L297" s="321">
        <f>SUMIFS(DATA!$M:$M,DATA!$C:$C,$B296,DATA!$N:$N,"&gt;="&amp;DATE($I$2,L$4,1),DATA!$N:$N,"&lt;="&amp;DATE($I$2,L$4,L$5))</f>
        <v/>
      </c>
      <c r="M297" s="321">
        <f>SUMIFS(DATA!$M:$M,DATA!$C:$C,$B296,DATA!$N:$N,"&gt;="&amp;DATE($I$2,M$4,1),DATA!$N:$N,"&lt;="&amp;DATE($I$2,M$4,M$5))</f>
        <v/>
      </c>
      <c r="N297" s="321">
        <f>SUMIFS(DATA!$M:$M,DATA!$C:$C,$B296,DATA!$N:$N,"&gt;="&amp;DATE($I$2,N$4,1),DATA!$N:$N,"&lt;="&amp;DATE($I$2,N$4,N$5))</f>
        <v/>
      </c>
      <c r="O297" s="321">
        <f>SUMIFS(DATA!$M:$M,DATA!$C:$C,$B296,DATA!$N:$N,"&gt;="&amp;DATE($I$2,O$4,1),DATA!$N:$N,"&lt;="&amp;DATE($I$2,O$4,O$5))</f>
        <v/>
      </c>
      <c r="P297" s="322">
        <f>SUM(D297:O297)</f>
        <v/>
      </c>
      <c r="Q297" s="118" t="n"/>
    </row>
    <row r="298" hidden="1" outlineLevel="1" ht="15" customHeight="1">
      <c r="A298" s="269" t="n">
        <v>147</v>
      </c>
      <c r="B298" s="265" t="inlineStr">
        <is>
          <t>SECURE CONSTRUCT LTD</t>
        </is>
      </c>
      <c r="C298" s="119" t="inlineStr">
        <is>
          <t>Kế hoạch</t>
        </is>
      </c>
      <c r="D298" s="321">
        <f>SUMIFS(DATA!$I:$I,DATA!$C:$C,$B298,DATA!$J:$J,"&gt;="&amp;DATE($I$2,D$4,1),DATA!$J:$J,"&lt;="&amp;DATE($I$2,D$4,D$5))</f>
        <v/>
      </c>
      <c r="E298" s="321">
        <f>SUMIFS(DATA!$I:$I,DATA!$C:$C,$B298,DATA!$J:$J,"&gt;="&amp;DATE($I$2,E$4,1),DATA!$J:$J,"&lt;="&amp;DATE($I$2,E$4,E$5))</f>
        <v/>
      </c>
      <c r="F298" s="321">
        <f>SUMIFS(DATA!$I:$I,DATA!$C:$C,$B298,DATA!$J:$J,"&gt;="&amp;DATE($I$2,F$4,1),DATA!$J:$J,"&lt;="&amp;DATE($I$2,F$4,F$5))</f>
        <v/>
      </c>
      <c r="G298" s="321">
        <f>SUMIFS(DATA!$I:$I,DATA!$C:$C,$B298,DATA!$J:$J,"&gt;="&amp;DATE($I$2,G$4,1),DATA!$J:$J,"&lt;="&amp;DATE($I$2,G$4,G$5))</f>
        <v/>
      </c>
      <c r="H298" s="321">
        <f>SUMIFS(DATA!$I:$I,DATA!$C:$C,$B298,DATA!$J:$J,"&gt;="&amp;DATE($I$2,H$4,1),DATA!$J:$J,"&lt;="&amp;DATE($I$2,H$4,H$5))</f>
        <v/>
      </c>
      <c r="I298" s="321">
        <f>SUMIFS(DATA!$I:$I,DATA!$C:$C,$B298,DATA!$J:$J,"&gt;="&amp;DATE($I$2,I$4,1),DATA!$J:$J,"&lt;="&amp;DATE($I$2,I$4,I$5))</f>
        <v/>
      </c>
      <c r="J298" s="321">
        <f>SUMIFS(DATA!$I:$I,DATA!$C:$C,$B298,DATA!$J:$J,"&gt;="&amp;DATE($I$2,J$4,1),DATA!$J:$J,"&lt;="&amp;DATE($I$2,J$4,J$5))</f>
        <v/>
      </c>
      <c r="K298" s="321">
        <f>SUMIFS(DATA!$I:$I,DATA!$C:$C,$B298,DATA!$J:$J,"&gt;="&amp;DATE($I$2,K$4,1),DATA!$J:$J,"&lt;="&amp;DATE($I$2,K$4,K$5))</f>
        <v/>
      </c>
      <c r="L298" s="321">
        <f>SUMIFS(DATA!$I:$I,DATA!$C:$C,$B298,DATA!$J:$J,"&gt;="&amp;DATE($I$2,L$4,1),DATA!$J:$J,"&lt;="&amp;DATE($I$2,L$4,L$5))</f>
        <v/>
      </c>
      <c r="M298" s="321">
        <f>SUMIFS(DATA!$I:$I,DATA!$C:$C,$B298,DATA!$J:$J,"&gt;="&amp;DATE($I$2,M$4,1),DATA!$J:$J,"&lt;="&amp;DATE($I$2,M$4,M$5))</f>
        <v/>
      </c>
      <c r="N298" s="321">
        <f>SUMIFS(DATA!$I:$I,DATA!$C:$C,$B298,DATA!$J:$J,"&gt;="&amp;DATE($I$2,N$4,1),DATA!$J:$J,"&lt;="&amp;DATE($I$2,N$4,N$5))</f>
        <v/>
      </c>
      <c r="O298" s="321">
        <f>SUMIFS(DATA!$I:$I,DATA!$C:$C,$B298,DATA!$J:$J,"&gt;="&amp;DATE($I$2,O$4,1),DATA!$J:$J,"&lt;="&amp;DATE($I$2,O$4,O$5))</f>
        <v/>
      </c>
      <c r="P298" s="322">
        <f>SUM(D298:O298)</f>
        <v/>
      </c>
      <c r="Q298" s="118" t="n"/>
    </row>
    <row r="299" hidden="1" outlineLevel="1" ht="15" customHeight="1">
      <c r="A299" s="266" t="n"/>
      <c r="B299" s="266" t="n"/>
      <c r="C299" s="119" t="inlineStr">
        <is>
          <t>Thực tế</t>
        </is>
      </c>
      <c r="D299" s="321">
        <f>SUMIFS(DATA!$M:$M,DATA!$C:$C,$B298,DATA!$N:$N,"&gt;="&amp;DATE($I$2,D$4,1),DATA!$N:$N,"&lt;="&amp;DATE($I$2,D$4,D$5))</f>
        <v/>
      </c>
      <c r="E299" s="321">
        <f>SUMIFS(DATA!$M:$M,DATA!$C:$C,$B298,DATA!$N:$N,"&gt;="&amp;DATE($I$2,E$4,1),DATA!$N:$N,"&lt;="&amp;DATE($I$2,E$4,E$5))</f>
        <v/>
      </c>
      <c r="F299" s="321">
        <f>SUMIFS(DATA!$M:$M,DATA!$C:$C,$B298,DATA!$N:$N,"&gt;="&amp;DATE($I$2,F$4,1),DATA!$N:$N,"&lt;="&amp;DATE($I$2,F$4,F$5))</f>
        <v/>
      </c>
      <c r="G299" s="321">
        <f>SUMIFS(DATA!$M:$M,DATA!$C:$C,$B298,DATA!$N:$N,"&gt;="&amp;DATE($I$2,G$4,1),DATA!$N:$N,"&lt;="&amp;DATE($I$2,G$4,G$5))</f>
        <v/>
      </c>
      <c r="H299" s="321">
        <f>SUMIFS(DATA!$M:$M,DATA!$C:$C,$B298,DATA!$N:$N,"&gt;="&amp;DATE($I$2,H$4,1),DATA!$N:$N,"&lt;="&amp;DATE($I$2,H$4,H$5))</f>
        <v/>
      </c>
      <c r="I299" s="321">
        <f>SUMIFS(DATA!$M:$M,DATA!$C:$C,$B298,DATA!$N:$N,"&gt;="&amp;DATE($I$2,I$4,1),DATA!$N:$N,"&lt;="&amp;DATE($I$2,I$4,I$5))</f>
        <v/>
      </c>
      <c r="J299" s="321">
        <f>SUMIFS(DATA!$M:$M,DATA!$C:$C,$B298,DATA!$N:$N,"&gt;="&amp;DATE($I$2,J$4,1),DATA!$N:$N,"&lt;="&amp;DATE($I$2,J$4,J$5))</f>
        <v/>
      </c>
      <c r="K299" s="321">
        <f>SUMIFS(DATA!$M:$M,DATA!$C:$C,$B298,DATA!$N:$N,"&gt;="&amp;DATE($I$2,K$4,1),DATA!$N:$N,"&lt;="&amp;DATE($I$2,K$4,K$5))</f>
        <v/>
      </c>
      <c r="L299" s="321">
        <f>SUMIFS(DATA!$M:$M,DATA!$C:$C,$B298,DATA!$N:$N,"&gt;="&amp;DATE($I$2,L$4,1),DATA!$N:$N,"&lt;="&amp;DATE($I$2,L$4,L$5))</f>
        <v/>
      </c>
      <c r="M299" s="321">
        <f>SUMIFS(DATA!$M:$M,DATA!$C:$C,$B298,DATA!$N:$N,"&gt;="&amp;DATE($I$2,M$4,1),DATA!$N:$N,"&lt;="&amp;DATE($I$2,M$4,M$5))</f>
        <v/>
      </c>
      <c r="N299" s="321">
        <f>SUMIFS(DATA!$M:$M,DATA!$C:$C,$B298,DATA!$N:$N,"&gt;="&amp;DATE($I$2,N$4,1),DATA!$N:$N,"&lt;="&amp;DATE($I$2,N$4,N$5))</f>
        <v/>
      </c>
      <c r="O299" s="321">
        <f>SUMIFS(DATA!$M:$M,DATA!$C:$C,$B298,DATA!$N:$N,"&gt;="&amp;DATE($I$2,O$4,1),DATA!$N:$N,"&lt;="&amp;DATE($I$2,O$4,O$5))</f>
        <v/>
      </c>
      <c r="P299" s="322">
        <f>SUM(D299:O299)</f>
        <v/>
      </c>
      <c r="Q299" s="118" t="n"/>
    </row>
    <row r="300" hidden="1" outlineLevel="1" ht="15" customHeight="1">
      <c r="A300" s="269" t="n">
        <v>148</v>
      </c>
      <c r="B300" s="265" t="inlineStr">
        <is>
          <t>AEONMALL LONG BIÊN</t>
        </is>
      </c>
      <c r="C300" s="119" t="inlineStr">
        <is>
          <t>Kế hoạch</t>
        </is>
      </c>
      <c r="D300" s="321">
        <f>SUMIFS(DATA!$I:$I,DATA!$C:$C,$B300,DATA!$J:$J,"&gt;="&amp;DATE($I$2,D$4,1),DATA!$J:$J,"&lt;="&amp;DATE($I$2,D$4,D$5))</f>
        <v/>
      </c>
      <c r="E300" s="321">
        <f>SUMIFS(DATA!$I:$I,DATA!$C:$C,$B300,DATA!$J:$J,"&gt;="&amp;DATE($I$2,E$4,1),DATA!$J:$J,"&lt;="&amp;DATE($I$2,E$4,E$5))</f>
        <v/>
      </c>
      <c r="F300" s="321">
        <f>SUMIFS(DATA!$I:$I,DATA!$C:$C,$B300,DATA!$J:$J,"&gt;="&amp;DATE($I$2,F$4,1),DATA!$J:$J,"&lt;="&amp;DATE($I$2,F$4,F$5))</f>
        <v/>
      </c>
      <c r="G300" s="321">
        <f>SUMIFS(DATA!$I:$I,DATA!$C:$C,$B300,DATA!$J:$J,"&gt;="&amp;DATE($I$2,G$4,1),DATA!$J:$J,"&lt;="&amp;DATE($I$2,G$4,G$5))</f>
        <v/>
      </c>
      <c r="H300" s="321">
        <f>SUMIFS(DATA!$I:$I,DATA!$C:$C,$B300,DATA!$J:$J,"&gt;="&amp;DATE($I$2,H$4,1),DATA!$J:$J,"&lt;="&amp;DATE($I$2,H$4,H$5))</f>
        <v/>
      </c>
      <c r="I300" s="321">
        <f>SUMIFS(DATA!$I:$I,DATA!$C:$C,$B300,DATA!$J:$J,"&gt;="&amp;DATE($I$2,I$4,1),DATA!$J:$J,"&lt;="&amp;DATE($I$2,I$4,I$5))</f>
        <v/>
      </c>
      <c r="J300" s="321">
        <f>SUMIFS(DATA!$I:$I,DATA!$C:$C,$B300,DATA!$J:$J,"&gt;="&amp;DATE($I$2,J$4,1),DATA!$J:$J,"&lt;="&amp;DATE($I$2,J$4,J$5))</f>
        <v/>
      </c>
      <c r="K300" s="321">
        <f>SUMIFS(DATA!$I:$I,DATA!$C:$C,$B300,DATA!$J:$J,"&gt;="&amp;DATE($I$2,K$4,1),DATA!$J:$J,"&lt;="&amp;DATE($I$2,K$4,K$5))</f>
        <v/>
      </c>
      <c r="L300" s="321">
        <f>SUMIFS(DATA!$I:$I,DATA!$C:$C,$B300,DATA!$J:$J,"&gt;="&amp;DATE($I$2,L$4,1),DATA!$J:$J,"&lt;="&amp;DATE($I$2,L$4,L$5))</f>
        <v/>
      </c>
      <c r="M300" s="321">
        <f>SUMIFS(DATA!$I:$I,DATA!$C:$C,$B300,DATA!$J:$J,"&gt;="&amp;DATE($I$2,M$4,1),DATA!$J:$J,"&lt;="&amp;DATE($I$2,M$4,M$5))</f>
        <v/>
      </c>
      <c r="N300" s="321">
        <f>SUMIFS(DATA!$I:$I,DATA!$C:$C,$B300,DATA!$J:$J,"&gt;="&amp;DATE($I$2,N$4,1),DATA!$J:$J,"&lt;="&amp;DATE($I$2,N$4,N$5))</f>
        <v/>
      </c>
      <c r="O300" s="321">
        <f>SUMIFS(DATA!$I:$I,DATA!$C:$C,$B300,DATA!$J:$J,"&gt;="&amp;DATE($I$2,O$4,1),DATA!$J:$J,"&lt;="&amp;DATE($I$2,O$4,O$5))</f>
        <v/>
      </c>
      <c r="P300" s="322">
        <f>SUM(D300:O300)</f>
        <v/>
      </c>
      <c r="Q300" s="118" t="n"/>
    </row>
    <row r="301" hidden="1" outlineLevel="1" ht="15" customHeight="1">
      <c r="A301" s="266" t="n"/>
      <c r="B301" s="266" t="n"/>
      <c r="C301" s="119" t="inlineStr">
        <is>
          <t>Thực tế</t>
        </is>
      </c>
      <c r="D301" s="321">
        <f>SUMIFS(DATA!$M:$M,DATA!$C:$C,$B300,DATA!$N:$N,"&gt;="&amp;DATE($I$2,D$4,1),DATA!$N:$N,"&lt;="&amp;DATE($I$2,D$4,D$5))</f>
        <v/>
      </c>
      <c r="E301" s="321">
        <f>SUMIFS(DATA!$M:$M,DATA!$C:$C,$B300,DATA!$N:$N,"&gt;="&amp;DATE($I$2,E$4,1),DATA!$N:$N,"&lt;="&amp;DATE($I$2,E$4,E$5))</f>
        <v/>
      </c>
      <c r="F301" s="321">
        <f>SUMIFS(DATA!$M:$M,DATA!$C:$C,$B300,DATA!$N:$N,"&gt;="&amp;DATE($I$2,F$4,1),DATA!$N:$N,"&lt;="&amp;DATE($I$2,F$4,F$5))</f>
        <v/>
      </c>
      <c r="G301" s="321">
        <f>SUMIFS(DATA!$M:$M,DATA!$C:$C,$B300,DATA!$N:$N,"&gt;="&amp;DATE($I$2,G$4,1),DATA!$N:$N,"&lt;="&amp;DATE($I$2,G$4,G$5))</f>
        <v/>
      </c>
      <c r="H301" s="321">
        <f>SUMIFS(DATA!$M:$M,DATA!$C:$C,$B300,DATA!$N:$N,"&gt;="&amp;DATE($I$2,H$4,1),DATA!$N:$N,"&lt;="&amp;DATE($I$2,H$4,H$5))</f>
        <v/>
      </c>
      <c r="I301" s="321">
        <f>SUMIFS(DATA!$M:$M,DATA!$C:$C,$B300,DATA!$N:$N,"&gt;="&amp;DATE($I$2,I$4,1),DATA!$N:$N,"&lt;="&amp;DATE($I$2,I$4,I$5))</f>
        <v/>
      </c>
      <c r="J301" s="321">
        <f>SUMIFS(DATA!$M:$M,DATA!$C:$C,$B300,DATA!$N:$N,"&gt;="&amp;DATE($I$2,J$4,1),DATA!$N:$N,"&lt;="&amp;DATE($I$2,J$4,J$5))</f>
        <v/>
      </c>
      <c r="K301" s="321">
        <f>SUMIFS(DATA!$M:$M,DATA!$C:$C,$B300,DATA!$N:$N,"&gt;="&amp;DATE($I$2,K$4,1),DATA!$N:$N,"&lt;="&amp;DATE($I$2,K$4,K$5))</f>
        <v/>
      </c>
      <c r="L301" s="321">
        <f>SUMIFS(DATA!$M:$M,DATA!$C:$C,$B300,DATA!$N:$N,"&gt;="&amp;DATE($I$2,L$4,1),DATA!$N:$N,"&lt;="&amp;DATE($I$2,L$4,L$5))</f>
        <v/>
      </c>
      <c r="M301" s="321">
        <f>SUMIFS(DATA!$M:$M,DATA!$C:$C,$B300,DATA!$N:$N,"&gt;="&amp;DATE($I$2,M$4,1),DATA!$N:$N,"&lt;="&amp;DATE($I$2,M$4,M$5))</f>
        <v/>
      </c>
      <c r="N301" s="321">
        <f>SUMIFS(DATA!$M:$M,DATA!$C:$C,$B300,DATA!$N:$N,"&gt;="&amp;DATE($I$2,N$4,1),DATA!$N:$N,"&lt;="&amp;DATE($I$2,N$4,N$5))</f>
        <v/>
      </c>
      <c r="O301" s="321">
        <f>SUMIFS(DATA!$M:$M,DATA!$C:$C,$B300,DATA!$N:$N,"&gt;="&amp;DATE($I$2,O$4,1),DATA!$N:$N,"&lt;="&amp;DATE($I$2,O$4,O$5))</f>
        <v/>
      </c>
      <c r="P301" s="322">
        <f>SUM(D301:O301)</f>
        <v/>
      </c>
      <c r="Q301" s="118" t="n"/>
    </row>
    <row r="302" hidden="1" outlineLevel="1" ht="15" customHeight="1">
      <c r="A302" s="269" t="n">
        <v>149</v>
      </c>
      <c r="B302" s="265" t="inlineStr">
        <is>
          <t>YÊN HÒA PARK VIEW</t>
        </is>
      </c>
      <c r="C302" s="119" t="inlineStr">
        <is>
          <t>Kế hoạch</t>
        </is>
      </c>
      <c r="D302" s="321">
        <f>SUMIFS(DATA!$I:$I,DATA!$C:$C,$B302,DATA!$J:$J,"&gt;="&amp;DATE($I$2,D$4,1),DATA!$J:$J,"&lt;="&amp;DATE($I$2,D$4,D$5))</f>
        <v/>
      </c>
      <c r="E302" s="321">
        <f>SUMIFS(DATA!$I:$I,DATA!$C:$C,$B302,DATA!$J:$J,"&gt;="&amp;DATE($I$2,E$4,1),DATA!$J:$J,"&lt;="&amp;DATE($I$2,E$4,E$5))</f>
        <v/>
      </c>
      <c r="F302" s="321">
        <f>SUMIFS(DATA!$I:$I,DATA!$C:$C,$B302,DATA!$J:$J,"&gt;="&amp;DATE($I$2,F$4,1),DATA!$J:$J,"&lt;="&amp;DATE($I$2,F$4,F$5))</f>
        <v/>
      </c>
      <c r="G302" s="321">
        <f>SUMIFS(DATA!$I:$I,DATA!$C:$C,$B302,DATA!$J:$J,"&gt;="&amp;DATE($I$2,G$4,1),DATA!$J:$J,"&lt;="&amp;DATE($I$2,G$4,G$5))</f>
        <v/>
      </c>
      <c r="H302" s="321">
        <f>SUMIFS(DATA!$I:$I,DATA!$C:$C,$B302,DATA!$J:$J,"&gt;="&amp;DATE($I$2,H$4,1),DATA!$J:$J,"&lt;="&amp;DATE($I$2,H$4,H$5))</f>
        <v/>
      </c>
      <c r="I302" s="321">
        <f>SUMIFS(DATA!$I:$I,DATA!$C:$C,$B302,DATA!$J:$J,"&gt;="&amp;DATE($I$2,I$4,1),DATA!$J:$J,"&lt;="&amp;DATE($I$2,I$4,I$5))</f>
        <v/>
      </c>
      <c r="J302" s="321">
        <f>SUMIFS(DATA!$I:$I,DATA!$C:$C,$B302,DATA!$J:$J,"&gt;="&amp;DATE($I$2,J$4,1),DATA!$J:$J,"&lt;="&amp;DATE($I$2,J$4,J$5))</f>
        <v/>
      </c>
      <c r="K302" s="321">
        <f>SUMIFS(DATA!$I:$I,DATA!$C:$C,$B302,DATA!$J:$J,"&gt;="&amp;DATE($I$2,K$4,1),DATA!$J:$J,"&lt;="&amp;DATE($I$2,K$4,K$5))</f>
        <v/>
      </c>
      <c r="L302" s="321">
        <f>SUMIFS(DATA!$I:$I,DATA!$C:$C,$B302,DATA!$J:$J,"&gt;="&amp;DATE($I$2,L$4,1),DATA!$J:$J,"&lt;="&amp;DATE($I$2,L$4,L$5))</f>
        <v/>
      </c>
      <c r="M302" s="321">
        <f>SUMIFS(DATA!$I:$I,DATA!$C:$C,$B302,DATA!$J:$J,"&gt;="&amp;DATE($I$2,M$4,1),DATA!$J:$J,"&lt;="&amp;DATE($I$2,M$4,M$5))</f>
        <v/>
      </c>
      <c r="N302" s="321">
        <f>SUMIFS(DATA!$I:$I,DATA!$C:$C,$B302,DATA!$J:$J,"&gt;="&amp;DATE($I$2,N$4,1),DATA!$J:$J,"&lt;="&amp;DATE($I$2,N$4,N$5))</f>
        <v/>
      </c>
      <c r="O302" s="321">
        <f>SUMIFS(DATA!$I:$I,DATA!$C:$C,$B302,DATA!$J:$J,"&gt;="&amp;DATE($I$2,O$4,1),DATA!$J:$J,"&lt;="&amp;DATE($I$2,O$4,O$5))</f>
        <v/>
      </c>
      <c r="P302" s="322">
        <f>SUM(D302:O302)</f>
        <v/>
      </c>
      <c r="Q302" s="118" t="n"/>
    </row>
    <row r="303" hidden="1" outlineLevel="1" ht="15" customHeight="1">
      <c r="A303" s="266" t="n"/>
      <c r="B303" s="266" t="n"/>
      <c r="C303" s="119" t="inlineStr">
        <is>
          <t>Thực tế</t>
        </is>
      </c>
      <c r="D303" s="321">
        <f>SUMIFS(DATA!$M:$M,DATA!$C:$C,$B302,DATA!$N:$N,"&gt;="&amp;DATE($I$2,D$4,1),DATA!$N:$N,"&lt;="&amp;DATE($I$2,D$4,D$5))</f>
        <v/>
      </c>
      <c r="E303" s="321">
        <f>SUMIFS(DATA!$M:$M,DATA!$C:$C,$B302,DATA!$N:$N,"&gt;="&amp;DATE($I$2,E$4,1),DATA!$N:$N,"&lt;="&amp;DATE($I$2,E$4,E$5))</f>
        <v/>
      </c>
      <c r="F303" s="321">
        <f>SUMIFS(DATA!$M:$M,DATA!$C:$C,$B302,DATA!$N:$N,"&gt;="&amp;DATE($I$2,F$4,1),DATA!$N:$N,"&lt;="&amp;DATE($I$2,F$4,F$5))</f>
        <v/>
      </c>
      <c r="G303" s="321">
        <f>SUMIFS(DATA!$M:$M,DATA!$C:$C,$B302,DATA!$N:$N,"&gt;="&amp;DATE($I$2,G$4,1),DATA!$N:$N,"&lt;="&amp;DATE($I$2,G$4,G$5))</f>
        <v/>
      </c>
      <c r="H303" s="321">
        <f>SUMIFS(DATA!$M:$M,DATA!$C:$C,$B302,DATA!$N:$N,"&gt;="&amp;DATE($I$2,H$4,1),DATA!$N:$N,"&lt;="&amp;DATE($I$2,H$4,H$5))</f>
        <v/>
      </c>
      <c r="I303" s="321">
        <f>SUMIFS(DATA!$M:$M,DATA!$C:$C,$B302,DATA!$N:$N,"&gt;="&amp;DATE($I$2,I$4,1),DATA!$N:$N,"&lt;="&amp;DATE($I$2,I$4,I$5))</f>
        <v/>
      </c>
      <c r="J303" s="321">
        <f>SUMIFS(DATA!$M:$M,DATA!$C:$C,$B302,DATA!$N:$N,"&gt;="&amp;DATE($I$2,J$4,1),DATA!$N:$N,"&lt;="&amp;DATE($I$2,J$4,J$5))</f>
        <v/>
      </c>
      <c r="K303" s="321">
        <f>SUMIFS(DATA!$M:$M,DATA!$C:$C,$B302,DATA!$N:$N,"&gt;="&amp;DATE($I$2,K$4,1),DATA!$N:$N,"&lt;="&amp;DATE($I$2,K$4,K$5))</f>
        <v/>
      </c>
      <c r="L303" s="321">
        <f>SUMIFS(DATA!$M:$M,DATA!$C:$C,$B302,DATA!$N:$N,"&gt;="&amp;DATE($I$2,L$4,1),DATA!$N:$N,"&lt;="&amp;DATE($I$2,L$4,L$5))</f>
        <v/>
      </c>
      <c r="M303" s="321">
        <f>SUMIFS(DATA!$M:$M,DATA!$C:$C,$B302,DATA!$N:$N,"&gt;="&amp;DATE($I$2,M$4,1),DATA!$N:$N,"&lt;="&amp;DATE($I$2,M$4,M$5))</f>
        <v/>
      </c>
      <c r="N303" s="321">
        <f>SUMIFS(DATA!$M:$M,DATA!$C:$C,$B302,DATA!$N:$N,"&gt;="&amp;DATE($I$2,N$4,1),DATA!$N:$N,"&lt;="&amp;DATE($I$2,N$4,N$5))</f>
        <v/>
      </c>
      <c r="O303" s="321">
        <f>SUMIFS(DATA!$M:$M,DATA!$C:$C,$B302,DATA!$N:$N,"&gt;="&amp;DATE($I$2,O$4,1),DATA!$N:$N,"&lt;="&amp;DATE($I$2,O$4,O$5))</f>
        <v/>
      </c>
      <c r="P303" s="322">
        <f>SUM(D303:O303)</f>
        <v/>
      </c>
      <c r="Q303" s="118" t="n"/>
    </row>
    <row r="304" hidden="1" outlineLevel="1" ht="15" customHeight="1">
      <c r="A304" s="269" t="n">
        <v>150</v>
      </c>
      <c r="B304" s="265" t="inlineStr">
        <is>
          <t>BAN QUẢN TRỊ NHÀ CHUNG CƯ GELEXIMCO - SOURTHERN STAR PHƯỜNG GIÁP BÁT</t>
        </is>
      </c>
      <c r="C304" s="119" t="inlineStr">
        <is>
          <t>Kế hoạch</t>
        </is>
      </c>
      <c r="D304" s="321">
        <f>SUMIFS(DATA!$I:$I,DATA!$C:$C,$B304,DATA!$J:$J,"&gt;="&amp;DATE($I$2,D$4,1),DATA!$J:$J,"&lt;="&amp;DATE($I$2,D$4,D$5))</f>
        <v/>
      </c>
      <c r="E304" s="321">
        <f>SUMIFS(DATA!$I:$I,DATA!$C:$C,$B304,DATA!$J:$J,"&gt;="&amp;DATE($I$2,E$4,1),DATA!$J:$J,"&lt;="&amp;DATE($I$2,E$4,E$5))</f>
        <v/>
      </c>
      <c r="F304" s="321">
        <f>SUMIFS(DATA!$I:$I,DATA!$C:$C,$B304,DATA!$J:$J,"&gt;="&amp;DATE($I$2,F$4,1),DATA!$J:$J,"&lt;="&amp;DATE($I$2,F$4,F$5))</f>
        <v/>
      </c>
      <c r="G304" s="321">
        <f>SUMIFS(DATA!$I:$I,DATA!$C:$C,$B304,DATA!$J:$J,"&gt;="&amp;DATE($I$2,G$4,1),DATA!$J:$J,"&lt;="&amp;DATE($I$2,G$4,G$5))</f>
        <v/>
      </c>
      <c r="H304" s="321">
        <f>SUMIFS(DATA!$I:$I,DATA!$C:$C,$B304,DATA!$J:$J,"&gt;="&amp;DATE($I$2,H$4,1),DATA!$J:$J,"&lt;="&amp;DATE($I$2,H$4,H$5))</f>
        <v/>
      </c>
      <c r="I304" s="321">
        <f>SUMIFS(DATA!$I:$I,DATA!$C:$C,$B304,DATA!$J:$J,"&gt;="&amp;DATE($I$2,I$4,1),DATA!$J:$J,"&lt;="&amp;DATE($I$2,I$4,I$5))</f>
        <v/>
      </c>
      <c r="J304" s="321">
        <f>SUMIFS(DATA!$I:$I,DATA!$C:$C,$B304,DATA!$J:$J,"&gt;="&amp;DATE($I$2,J$4,1),DATA!$J:$J,"&lt;="&amp;DATE($I$2,J$4,J$5))</f>
        <v/>
      </c>
      <c r="K304" s="321">
        <f>SUMIFS(DATA!$I:$I,DATA!$C:$C,$B304,DATA!$J:$J,"&gt;="&amp;DATE($I$2,K$4,1),DATA!$J:$J,"&lt;="&amp;DATE($I$2,K$4,K$5))</f>
        <v/>
      </c>
      <c r="L304" s="321">
        <f>SUMIFS(DATA!$I:$I,DATA!$C:$C,$B304,DATA!$J:$J,"&gt;="&amp;DATE($I$2,L$4,1),DATA!$J:$J,"&lt;="&amp;DATE($I$2,L$4,L$5))</f>
        <v/>
      </c>
      <c r="M304" s="321">
        <f>SUMIFS(DATA!$I:$I,DATA!$C:$C,$B304,DATA!$J:$J,"&gt;="&amp;DATE($I$2,M$4,1),DATA!$J:$J,"&lt;="&amp;DATE($I$2,M$4,M$5))</f>
        <v/>
      </c>
      <c r="N304" s="321">
        <f>SUMIFS(DATA!$I:$I,DATA!$C:$C,$B304,DATA!$J:$J,"&gt;="&amp;DATE($I$2,N$4,1),DATA!$J:$J,"&lt;="&amp;DATE($I$2,N$4,N$5))</f>
        <v/>
      </c>
      <c r="O304" s="321">
        <f>SUMIFS(DATA!$I:$I,DATA!$C:$C,$B304,DATA!$J:$J,"&gt;="&amp;DATE($I$2,O$4,1),DATA!$J:$J,"&lt;="&amp;DATE($I$2,O$4,O$5))</f>
        <v/>
      </c>
      <c r="P304" s="322">
        <f>SUM(D304:O304)</f>
        <v/>
      </c>
      <c r="Q304" s="118" t="n"/>
    </row>
    <row r="305" hidden="1" outlineLevel="1" ht="15" customHeight="1">
      <c r="A305" s="266" t="n"/>
      <c r="B305" s="266" t="n"/>
      <c r="C305" s="119" t="inlineStr">
        <is>
          <t>Thực tế</t>
        </is>
      </c>
      <c r="D305" s="321">
        <f>SUMIFS(DATA!$M:$M,DATA!$C:$C,$B304,DATA!$N:$N,"&gt;="&amp;DATE($I$2,D$4,1),DATA!$N:$N,"&lt;="&amp;DATE($I$2,D$4,D$5))</f>
        <v/>
      </c>
      <c r="E305" s="321">
        <f>SUMIFS(DATA!$M:$M,DATA!$C:$C,$B304,DATA!$N:$N,"&gt;="&amp;DATE($I$2,E$4,1),DATA!$N:$N,"&lt;="&amp;DATE($I$2,E$4,E$5))</f>
        <v/>
      </c>
      <c r="F305" s="321">
        <f>SUMIFS(DATA!$M:$M,DATA!$C:$C,$B304,DATA!$N:$N,"&gt;="&amp;DATE($I$2,F$4,1),DATA!$N:$N,"&lt;="&amp;DATE($I$2,F$4,F$5))</f>
        <v/>
      </c>
      <c r="G305" s="321">
        <f>SUMIFS(DATA!$M:$M,DATA!$C:$C,$B304,DATA!$N:$N,"&gt;="&amp;DATE($I$2,G$4,1),DATA!$N:$N,"&lt;="&amp;DATE($I$2,G$4,G$5))</f>
        <v/>
      </c>
      <c r="H305" s="321">
        <f>SUMIFS(DATA!$M:$M,DATA!$C:$C,$B304,DATA!$N:$N,"&gt;="&amp;DATE($I$2,H$4,1),DATA!$N:$N,"&lt;="&amp;DATE($I$2,H$4,H$5))</f>
        <v/>
      </c>
      <c r="I305" s="321">
        <f>SUMIFS(DATA!$M:$M,DATA!$C:$C,$B304,DATA!$N:$N,"&gt;="&amp;DATE($I$2,I$4,1),DATA!$N:$N,"&lt;="&amp;DATE($I$2,I$4,I$5))</f>
        <v/>
      </c>
      <c r="J305" s="321">
        <f>SUMIFS(DATA!$M:$M,DATA!$C:$C,$B304,DATA!$N:$N,"&gt;="&amp;DATE($I$2,J$4,1),DATA!$N:$N,"&lt;="&amp;DATE($I$2,J$4,J$5))</f>
        <v/>
      </c>
      <c r="K305" s="321">
        <f>SUMIFS(DATA!$M:$M,DATA!$C:$C,$B304,DATA!$N:$N,"&gt;="&amp;DATE($I$2,K$4,1),DATA!$N:$N,"&lt;="&amp;DATE($I$2,K$4,K$5))</f>
        <v/>
      </c>
      <c r="L305" s="321">
        <f>SUMIFS(DATA!$M:$M,DATA!$C:$C,$B304,DATA!$N:$N,"&gt;="&amp;DATE($I$2,L$4,1),DATA!$N:$N,"&lt;="&amp;DATE($I$2,L$4,L$5))</f>
        <v/>
      </c>
      <c r="M305" s="321">
        <f>SUMIFS(DATA!$M:$M,DATA!$C:$C,$B304,DATA!$N:$N,"&gt;="&amp;DATE($I$2,M$4,1),DATA!$N:$N,"&lt;="&amp;DATE($I$2,M$4,M$5))</f>
        <v/>
      </c>
      <c r="N305" s="321">
        <f>SUMIFS(DATA!$M:$M,DATA!$C:$C,$B304,DATA!$N:$N,"&gt;="&amp;DATE($I$2,N$4,1),DATA!$N:$N,"&lt;="&amp;DATE($I$2,N$4,N$5))</f>
        <v/>
      </c>
      <c r="O305" s="321">
        <f>SUMIFS(DATA!$M:$M,DATA!$C:$C,$B304,DATA!$N:$N,"&gt;="&amp;DATE($I$2,O$4,1),DATA!$N:$N,"&lt;="&amp;DATE($I$2,O$4,O$5))</f>
        <v/>
      </c>
      <c r="P305" s="322">
        <f>SUM(D305:O305)</f>
        <v/>
      </c>
      <c r="Q305" s="118" t="n"/>
    </row>
    <row r="306" hidden="1" outlineLevel="1" ht="15" customHeight="1">
      <c r="A306" s="269" t="n">
        <v>151</v>
      </c>
      <c r="B306" s="265" t="inlineStr">
        <is>
          <t>SD VIET NAM</t>
        </is>
      </c>
      <c r="C306" s="119" t="inlineStr">
        <is>
          <t>Kế hoạch</t>
        </is>
      </c>
      <c r="D306" s="321">
        <f>SUMIFS(DATA!$I:$I,DATA!$C:$C,$B306,DATA!$J:$J,"&gt;="&amp;DATE($I$2,D$4,1),DATA!$J:$J,"&lt;="&amp;DATE($I$2,D$4,D$5))</f>
        <v/>
      </c>
      <c r="E306" s="321">
        <f>SUMIFS(DATA!$I:$I,DATA!$C:$C,$B306,DATA!$J:$J,"&gt;="&amp;DATE($I$2,E$4,1),DATA!$J:$J,"&lt;="&amp;DATE($I$2,E$4,E$5))</f>
        <v/>
      </c>
      <c r="F306" s="321">
        <f>SUMIFS(DATA!$I:$I,DATA!$C:$C,$B306,DATA!$J:$J,"&gt;="&amp;DATE($I$2,F$4,1),DATA!$J:$J,"&lt;="&amp;DATE($I$2,F$4,F$5))</f>
        <v/>
      </c>
      <c r="G306" s="321">
        <f>SUMIFS(DATA!$I:$I,DATA!$C:$C,$B306,DATA!$J:$J,"&gt;="&amp;DATE($I$2,G$4,1),DATA!$J:$J,"&lt;="&amp;DATE($I$2,G$4,G$5))</f>
        <v/>
      </c>
      <c r="H306" s="321">
        <f>SUMIFS(DATA!$I:$I,DATA!$C:$C,$B306,DATA!$J:$J,"&gt;="&amp;DATE($I$2,H$4,1),DATA!$J:$J,"&lt;="&amp;DATE($I$2,H$4,H$5))</f>
        <v/>
      </c>
      <c r="I306" s="321">
        <f>SUMIFS(DATA!$I:$I,DATA!$C:$C,$B306,DATA!$J:$J,"&gt;="&amp;DATE($I$2,I$4,1),DATA!$J:$J,"&lt;="&amp;DATE($I$2,I$4,I$5))</f>
        <v/>
      </c>
      <c r="J306" s="321">
        <f>SUMIFS(DATA!$I:$I,DATA!$C:$C,$B306,DATA!$J:$J,"&gt;="&amp;DATE($I$2,J$4,1),DATA!$J:$J,"&lt;="&amp;DATE($I$2,J$4,J$5))</f>
        <v/>
      </c>
      <c r="K306" s="321">
        <f>SUMIFS(DATA!$I:$I,DATA!$C:$C,$B306,DATA!$J:$J,"&gt;="&amp;DATE($I$2,K$4,1),DATA!$J:$J,"&lt;="&amp;DATE($I$2,K$4,K$5))</f>
        <v/>
      </c>
      <c r="L306" s="321">
        <f>SUMIFS(DATA!$I:$I,DATA!$C:$C,$B306,DATA!$J:$J,"&gt;="&amp;DATE($I$2,L$4,1),DATA!$J:$J,"&lt;="&amp;DATE($I$2,L$4,L$5))</f>
        <v/>
      </c>
      <c r="M306" s="321">
        <f>SUMIFS(DATA!$I:$I,DATA!$C:$C,$B306,DATA!$J:$J,"&gt;="&amp;DATE($I$2,M$4,1),DATA!$J:$J,"&lt;="&amp;DATE($I$2,M$4,M$5))</f>
        <v/>
      </c>
      <c r="N306" s="321">
        <f>SUMIFS(DATA!$I:$I,DATA!$C:$C,$B306,DATA!$J:$J,"&gt;="&amp;DATE($I$2,N$4,1),DATA!$J:$J,"&lt;="&amp;DATE($I$2,N$4,N$5))</f>
        <v/>
      </c>
      <c r="O306" s="321">
        <f>SUMIFS(DATA!$I:$I,DATA!$C:$C,$B306,DATA!$J:$J,"&gt;="&amp;DATE($I$2,O$4,1),DATA!$J:$J,"&lt;="&amp;DATE($I$2,O$4,O$5))</f>
        <v/>
      </c>
      <c r="P306" s="322">
        <f>SUM(D306:O306)</f>
        <v/>
      </c>
      <c r="Q306" s="118" t="n"/>
    </row>
    <row r="307" hidden="1" outlineLevel="1" ht="15" customHeight="1">
      <c r="A307" s="266" t="n"/>
      <c r="B307" s="266" t="n"/>
      <c r="C307" s="119" t="inlineStr">
        <is>
          <t>Thực tế</t>
        </is>
      </c>
      <c r="D307" s="321">
        <f>SUMIFS(DATA!$M:$M,DATA!$C:$C,$B306,DATA!$N:$N,"&gt;="&amp;DATE($I$2,D$4,1),DATA!$N:$N,"&lt;="&amp;DATE($I$2,D$4,D$5))</f>
        <v/>
      </c>
      <c r="E307" s="321">
        <f>SUMIFS(DATA!$M:$M,DATA!$C:$C,$B306,DATA!$N:$N,"&gt;="&amp;DATE($I$2,E$4,1),DATA!$N:$N,"&lt;="&amp;DATE($I$2,E$4,E$5))</f>
        <v/>
      </c>
      <c r="F307" s="321">
        <f>SUMIFS(DATA!$M:$M,DATA!$C:$C,$B306,DATA!$N:$N,"&gt;="&amp;DATE($I$2,F$4,1),DATA!$N:$N,"&lt;="&amp;DATE($I$2,F$4,F$5))</f>
        <v/>
      </c>
      <c r="G307" s="321">
        <f>SUMIFS(DATA!$M:$M,DATA!$C:$C,$B306,DATA!$N:$N,"&gt;="&amp;DATE($I$2,G$4,1),DATA!$N:$N,"&lt;="&amp;DATE($I$2,G$4,G$5))</f>
        <v/>
      </c>
      <c r="H307" s="321">
        <f>SUMIFS(DATA!$M:$M,DATA!$C:$C,$B306,DATA!$N:$N,"&gt;="&amp;DATE($I$2,H$4,1),DATA!$N:$N,"&lt;="&amp;DATE($I$2,H$4,H$5))</f>
        <v/>
      </c>
      <c r="I307" s="321">
        <f>SUMIFS(DATA!$M:$M,DATA!$C:$C,$B306,DATA!$N:$N,"&gt;="&amp;DATE($I$2,I$4,1),DATA!$N:$N,"&lt;="&amp;DATE($I$2,I$4,I$5))</f>
        <v/>
      </c>
      <c r="J307" s="321">
        <f>SUMIFS(DATA!$M:$M,DATA!$C:$C,$B306,DATA!$N:$N,"&gt;="&amp;DATE($I$2,J$4,1),DATA!$N:$N,"&lt;="&amp;DATE($I$2,J$4,J$5))</f>
        <v/>
      </c>
      <c r="K307" s="321">
        <f>SUMIFS(DATA!$M:$M,DATA!$C:$C,$B306,DATA!$N:$N,"&gt;="&amp;DATE($I$2,K$4,1),DATA!$N:$N,"&lt;="&amp;DATE($I$2,K$4,K$5))</f>
        <v/>
      </c>
      <c r="L307" s="321">
        <f>SUMIFS(DATA!$M:$M,DATA!$C:$C,$B306,DATA!$N:$N,"&gt;="&amp;DATE($I$2,L$4,1),DATA!$N:$N,"&lt;="&amp;DATE($I$2,L$4,L$5))</f>
        <v/>
      </c>
      <c r="M307" s="321">
        <f>SUMIFS(DATA!$M:$M,DATA!$C:$C,$B306,DATA!$N:$N,"&gt;="&amp;DATE($I$2,M$4,1),DATA!$N:$N,"&lt;="&amp;DATE($I$2,M$4,M$5))</f>
        <v/>
      </c>
      <c r="N307" s="321">
        <f>SUMIFS(DATA!$M:$M,DATA!$C:$C,$B306,DATA!$N:$N,"&gt;="&amp;DATE($I$2,N$4,1),DATA!$N:$N,"&lt;="&amp;DATE($I$2,N$4,N$5))</f>
        <v/>
      </c>
      <c r="O307" s="321">
        <f>SUMIFS(DATA!$M:$M,DATA!$C:$C,$B306,DATA!$N:$N,"&gt;="&amp;DATE($I$2,O$4,1),DATA!$N:$N,"&lt;="&amp;DATE($I$2,O$4,O$5))</f>
        <v/>
      </c>
      <c r="P307" s="322">
        <f>SUM(D307:O307)</f>
        <v/>
      </c>
      <c r="Q307" s="118" t="n"/>
    </row>
    <row r="308" hidden="1" outlineLevel="1" ht="15" customHeight="1">
      <c r="A308" s="269" t="n">
        <v>152</v>
      </c>
      <c r="B308" s="265" t="inlineStr">
        <is>
          <t>CÔNG TY CỔ PHẦN ĐẦU TƯ XÂY DỰNG PHÁT TRIỂN NHÀ SỐ 7 HÀ NỘI</t>
        </is>
      </c>
      <c r="C308" s="119" t="inlineStr">
        <is>
          <t>Kế hoạch</t>
        </is>
      </c>
      <c r="D308" s="321">
        <f>SUMIFS(DATA!$I:$I,DATA!$C:$C,$B308,DATA!$J:$J,"&gt;="&amp;DATE($I$2,D$4,1),DATA!$J:$J,"&lt;="&amp;DATE($I$2,D$4,D$5))</f>
        <v/>
      </c>
      <c r="E308" s="321">
        <f>SUMIFS(DATA!$I:$I,DATA!$C:$C,$B308,DATA!$J:$J,"&gt;="&amp;DATE($I$2,E$4,1),DATA!$J:$J,"&lt;="&amp;DATE($I$2,E$4,E$5))</f>
        <v/>
      </c>
      <c r="F308" s="321">
        <f>SUMIFS(DATA!$I:$I,DATA!$C:$C,$B308,DATA!$J:$J,"&gt;="&amp;DATE($I$2,F$4,1),DATA!$J:$J,"&lt;="&amp;DATE($I$2,F$4,F$5))</f>
        <v/>
      </c>
      <c r="G308" s="321">
        <f>SUMIFS(DATA!$I:$I,DATA!$C:$C,$B308,DATA!$J:$J,"&gt;="&amp;DATE($I$2,G$4,1),DATA!$J:$J,"&lt;="&amp;DATE($I$2,G$4,G$5))</f>
        <v/>
      </c>
      <c r="H308" s="321">
        <f>SUMIFS(DATA!$I:$I,DATA!$C:$C,$B308,DATA!$J:$J,"&gt;="&amp;DATE($I$2,H$4,1),DATA!$J:$J,"&lt;="&amp;DATE($I$2,H$4,H$5))</f>
        <v/>
      </c>
      <c r="I308" s="321">
        <f>SUMIFS(DATA!$I:$I,DATA!$C:$C,$B308,DATA!$J:$J,"&gt;="&amp;DATE($I$2,I$4,1),DATA!$J:$J,"&lt;="&amp;DATE($I$2,I$4,I$5))</f>
        <v/>
      </c>
      <c r="J308" s="321">
        <f>SUMIFS(DATA!$I:$I,DATA!$C:$C,$B308,DATA!$J:$J,"&gt;="&amp;DATE($I$2,J$4,1),DATA!$J:$J,"&lt;="&amp;DATE($I$2,J$4,J$5))</f>
        <v/>
      </c>
      <c r="K308" s="321">
        <f>SUMIFS(DATA!$I:$I,DATA!$C:$C,$B308,DATA!$J:$J,"&gt;="&amp;DATE($I$2,K$4,1),DATA!$J:$J,"&lt;="&amp;DATE($I$2,K$4,K$5))</f>
        <v/>
      </c>
      <c r="L308" s="321">
        <f>SUMIFS(DATA!$I:$I,DATA!$C:$C,$B308,DATA!$J:$J,"&gt;="&amp;DATE($I$2,L$4,1),DATA!$J:$J,"&lt;="&amp;DATE($I$2,L$4,L$5))</f>
        <v/>
      </c>
      <c r="M308" s="321">
        <f>SUMIFS(DATA!$I:$I,DATA!$C:$C,$B308,DATA!$J:$J,"&gt;="&amp;DATE($I$2,M$4,1),DATA!$J:$J,"&lt;="&amp;DATE($I$2,M$4,M$5))</f>
        <v/>
      </c>
      <c r="N308" s="321">
        <f>SUMIFS(DATA!$I:$I,DATA!$C:$C,$B308,DATA!$J:$J,"&gt;="&amp;DATE($I$2,N$4,1),DATA!$J:$J,"&lt;="&amp;DATE($I$2,N$4,N$5))</f>
        <v/>
      </c>
      <c r="O308" s="321">
        <f>SUMIFS(DATA!$I:$I,DATA!$C:$C,$B308,DATA!$J:$J,"&gt;="&amp;DATE($I$2,O$4,1),DATA!$J:$J,"&lt;="&amp;DATE($I$2,O$4,O$5))</f>
        <v/>
      </c>
      <c r="P308" s="322">
        <f>SUM(D308:O308)</f>
        <v/>
      </c>
      <c r="Q308" s="118" t="n"/>
    </row>
    <row r="309" hidden="1" outlineLevel="1" ht="15" customHeight="1">
      <c r="A309" s="266" t="n"/>
      <c r="B309" s="266" t="n"/>
      <c r="C309" s="119" t="inlineStr">
        <is>
          <t>Thực tế</t>
        </is>
      </c>
      <c r="D309" s="321">
        <f>SUMIFS(DATA!$M:$M,DATA!$C:$C,$B308,DATA!$N:$N,"&gt;="&amp;DATE($I$2,D$4,1),DATA!$N:$N,"&lt;="&amp;DATE($I$2,D$4,D$5))</f>
        <v/>
      </c>
      <c r="E309" s="321">
        <f>SUMIFS(DATA!$M:$M,DATA!$C:$C,$B308,DATA!$N:$N,"&gt;="&amp;DATE($I$2,E$4,1),DATA!$N:$N,"&lt;="&amp;DATE($I$2,E$4,E$5))</f>
        <v/>
      </c>
      <c r="F309" s="321">
        <f>SUMIFS(DATA!$M:$M,DATA!$C:$C,$B308,DATA!$N:$N,"&gt;="&amp;DATE($I$2,F$4,1),DATA!$N:$N,"&lt;="&amp;DATE($I$2,F$4,F$5))</f>
        <v/>
      </c>
      <c r="G309" s="321">
        <f>SUMIFS(DATA!$M:$M,DATA!$C:$C,$B308,DATA!$N:$N,"&gt;="&amp;DATE($I$2,G$4,1),DATA!$N:$N,"&lt;="&amp;DATE($I$2,G$4,G$5))</f>
        <v/>
      </c>
      <c r="H309" s="321">
        <f>SUMIFS(DATA!$M:$M,DATA!$C:$C,$B308,DATA!$N:$N,"&gt;="&amp;DATE($I$2,H$4,1),DATA!$N:$N,"&lt;="&amp;DATE($I$2,H$4,H$5))</f>
        <v/>
      </c>
      <c r="I309" s="321">
        <f>SUMIFS(DATA!$M:$M,DATA!$C:$C,$B308,DATA!$N:$N,"&gt;="&amp;DATE($I$2,I$4,1),DATA!$N:$N,"&lt;="&amp;DATE($I$2,I$4,I$5))</f>
        <v/>
      </c>
      <c r="J309" s="321">
        <f>SUMIFS(DATA!$M:$M,DATA!$C:$C,$B308,DATA!$N:$N,"&gt;="&amp;DATE($I$2,J$4,1),DATA!$N:$N,"&lt;="&amp;DATE($I$2,J$4,J$5))</f>
        <v/>
      </c>
      <c r="K309" s="321">
        <f>SUMIFS(DATA!$M:$M,DATA!$C:$C,$B308,DATA!$N:$N,"&gt;="&amp;DATE($I$2,K$4,1),DATA!$N:$N,"&lt;="&amp;DATE($I$2,K$4,K$5))</f>
        <v/>
      </c>
      <c r="L309" s="321">
        <f>SUMIFS(DATA!$M:$M,DATA!$C:$C,$B308,DATA!$N:$N,"&gt;="&amp;DATE($I$2,L$4,1),DATA!$N:$N,"&lt;="&amp;DATE($I$2,L$4,L$5))</f>
        <v/>
      </c>
      <c r="M309" s="321">
        <f>SUMIFS(DATA!$M:$M,DATA!$C:$C,$B308,DATA!$N:$N,"&gt;="&amp;DATE($I$2,M$4,1),DATA!$N:$N,"&lt;="&amp;DATE($I$2,M$4,M$5))</f>
        <v/>
      </c>
      <c r="N309" s="321">
        <f>SUMIFS(DATA!$M:$M,DATA!$C:$C,$B308,DATA!$N:$N,"&gt;="&amp;DATE($I$2,N$4,1),DATA!$N:$N,"&lt;="&amp;DATE($I$2,N$4,N$5))</f>
        <v/>
      </c>
      <c r="O309" s="321">
        <f>SUMIFS(DATA!$M:$M,DATA!$C:$C,$B308,DATA!$N:$N,"&gt;="&amp;DATE($I$2,O$4,1),DATA!$N:$N,"&lt;="&amp;DATE($I$2,O$4,O$5))</f>
        <v/>
      </c>
      <c r="P309" s="322">
        <f>SUM(D309:O309)</f>
        <v/>
      </c>
      <c r="Q309" s="118" t="n"/>
    </row>
    <row r="310" hidden="1" outlineLevel="1" ht="15" customHeight="1">
      <c r="A310" s="269" t="n">
        <v>153</v>
      </c>
      <c r="B310" s="265" t="inlineStr">
        <is>
          <t>MEDLATEC VIỆT NAM</t>
        </is>
      </c>
      <c r="C310" s="119" t="inlineStr">
        <is>
          <t>Kế hoạch</t>
        </is>
      </c>
      <c r="D310" s="321">
        <f>SUMIFS(DATA!$I:$I,DATA!$C:$C,$B310,DATA!$J:$J,"&gt;="&amp;DATE($I$2,D$4,1),DATA!$J:$J,"&lt;="&amp;DATE($I$2,D$4,D$5))</f>
        <v/>
      </c>
      <c r="E310" s="321">
        <f>SUMIFS(DATA!$I:$I,DATA!$C:$C,$B310,DATA!$J:$J,"&gt;="&amp;DATE($I$2,E$4,1),DATA!$J:$J,"&lt;="&amp;DATE($I$2,E$4,E$5))</f>
        <v/>
      </c>
      <c r="F310" s="321">
        <f>SUMIFS(DATA!$I:$I,DATA!$C:$C,$B310,DATA!$J:$J,"&gt;="&amp;DATE($I$2,F$4,1),DATA!$J:$J,"&lt;="&amp;DATE($I$2,F$4,F$5))</f>
        <v/>
      </c>
      <c r="G310" s="321">
        <f>SUMIFS(DATA!$I:$I,DATA!$C:$C,$B310,DATA!$J:$J,"&gt;="&amp;DATE($I$2,G$4,1),DATA!$J:$J,"&lt;="&amp;DATE($I$2,G$4,G$5))</f>
        <v/>
      </c>
      <c r="H310" s="321">
        <f>SUMIFS(DATA!$I:$I,DATA!$C:$C,$B310,DATA!$J:$J,"&gt;="&amp;DATE($I$2,H$4,1),DATA!$J:$J,"&lt;="&amp;DATE($I$2,H$4,H$5))</f>
        <v/>
      </c>
      <c r="I310" s="321">
        <f>SUMIFS(DATA!$I:$I,DATA!$C:$C,$B310,DATA!$J:$J,"&gt;="&amp;DATE($I$2,I$4,1),DATA!$J:$J,"&lt;="&amp;DATE($I$2,I$4,I$5))</f>
        <v/>
      </c>
      <c r="J310" s="321">
        <f>SUMIFS(DATA!$I:$I,DATA!$C:$C,$B310,DATA!$J:$J,"&gt;="&amp;DATE($I$2,J$4,1),DATA!$J:$J,"&lt;="&amp;DATE($I$2,J$4,J$5))</f>
        <v/>
      </c>
      <c r="K310" s="321">
        <f>SUMIFS(DATA!$I:$I,DATA!$C:$C,$B310,DATA!$J:$J,"&gt;="&amp;DATE($I$2,K$4,1),DATA!$J:$J,"&lt;="&amp;DATE($I$2,K$4,K$5))</f>
        <v/>
      </c>
      <c r="L310" s="321">
        <f>SUMIFS(DATA!$I:$I,DATA!$C:$C,$B310,DATA!$J:$J,"&gt;="&amp;DATE($I$2,L$4,1),DATA!$J:$J,"&lt;="&amp;DATE($I$2,L$4,L$5))</f>
        <v/>
      </c>
      <c r="M310" s="321">
        <f>SUMIFS(DATA!$I:$I,DATA!$C:$C,$B310,DATA!$J:$J,"&gt;="&amp;DATE($I$2,M$4,1),DATA!$J:$J,"&lt;="&amp;DATE($I$2,M$4,M$5))</f>
        <v/>
      </c>
      <c r="N310" s="321">
        <f>SUMIFS(DATA!$I:$I,DATA!$C:$C,$B310,DATA!$J:$J,"&gt;="&amp;DATE($I$2,N$4,1),DATA!$J:$J,"&lt;="&amp;DATE($I$2,N$4,N$5))</f>
        <v/>
      </c>
      <c r="O310" s="321">
        <f>SUMIFS(DATA!$I:$I,DATA!$C:$C,$B310,DATA!$J:$J,"&gt;="&amp;DATE($I$2,O$4,1),DATA!$J:$J,"&lt;="&amp;DATE($I$2,O$4,O$5))</f>
        <v/>
      </c>
      <c r="P310" s="322">
        <f>SUM(D310:O310)</f>
        <v/>
      </c>
      <c r="Q310" s="118" t="n"/>
    </row>
    <row r="311" hidden="1" outlineLevel="1" ht="15" customHeight="1">
      <c r="A311" s="266" t="n"/>
      <c r="B311" s="266" t="n"/>
      <c r="C311" s="119" t="inlineStr">
        <is>
          <t>Thực tế</t>
        </is>
      </c>
      <c r="D311" s="321">
        <f>SUMIFS(DATA!$M:$M,DATA!$C:$C,$B310,DATA!$N:$N,"&gt;="&amp;DATE($I$2,D$4,1),DATA!$N:$N,"&lt;="&amp;DATE($I$2,D$4,D$5))</f>
        <v/>
      </c>
      <c r="E311" s="321">
        <f>SUMIFS(DATA!$M:$M,DATA!$C:$C,$B310,DATA!$N:$N,"&gt;="&amp;DATE($I$2,E$4,1),DATA!$N:$N,"&lt;="&amp;DATE($I$2,E$4,E$5))</f>
        <v/>
      </c>
      <c r="F311" s="321">
        <f>SUMIFS(DATA!$M:$M,DATA!$C:$C,$B310,DATA!$N:$N,"&gt;="&amp;DATE($I$2,F$4,1),DATA!$N:$N,"&lt;="&amp;DATE($I$2,F$4,F$5))</f>
        <v/>
      </c>
      <c r="G311" s="321">
        <f>SUMIFS(DATA!$M:$M,DATA!$C:$C,$B310,DATA!$N:$N,"&gt;="&amp;DATE($I$2,G$4,1),DATA!$N:$N,"&lt;="&amp;DATE($I$2,G$4,G$5))</f>
        <v/>
      </c>
      <c r="H311" s="321">
        <f>SUMIFS(DATA!$M:$M,DATA!$C:$C,$B310,DATA!$N:$N,"&gt;="&amp;DATE($I$2,H$4,1),DATA!$N:$N,"&lt;="&amp;DATE($I$2,H$4,H$5))</f>
        <v/>
      </c>
      <c r="I311" s="321">
        <f>SUMIFS(DATA!$M:$M,DATA!$C:$C,$B310,DATA!$N:$N,"&gt;="&amp;DATE($I$2,I$4,1),DATA!$N:$N,"&lt;="&amp;DATE($I$2,I$4,I$5))</f>
        <v/>
      </c>
      <c r="J311" s="321">
        <f>SUMIFS(DATA!$M:$M,DATA!$C:$C,$B310,DATA!$N:$N,"&gt;="&amp;DATE($I$2,J$4,1),DATA!$N:$N,"&lt;="&amp;DATE($I$2,J$4,J$5))</f>
        <v/>
      </c>
      <c r="K311" s="321">
        <f>SUMIFS(DATA!$M:$M,DATA!$C:$C,$B310,DATA!$N:$N,"&gt;="&amp;DATE($I$2,K$4,1),DATA!$N:$N,"&lt;="&amp;DATE($I$2,K$4,K$5))</f>
        <v/>
      </c>
      <c r="L311" s="321">
        <f>SUMIFS(DATA!$M:$M,DATA!$C:$C,$B310,DATA!$N:$N,"&gt;="&amp;DATE($I$2,L$4,1),DATA!$N:$N,"&lt;="&amp;DATE($I$2,L$4,L$5))</f>
        <v/>
      </c>
      <c r="M311" s="321">
        <f>SUMIFS(DATA!$M:$M,DATA!$C:$C,$B310,DATA!$N:$N,"&gt;="&amp;DATE($I$2,M$4,1),DATA!$N:$N,"&lt;="&amp;DATE($I$2,M$4,M$5))</f>
        <v/>
      </c>
      <c r="N311" s="321">
        <f>SUMIFS(DATA!$M:$M,DATA!$C:$C,$B310,DATA!$N:$N,"&gt;="&amp;DATE($I$2,N$4,1),DATA!$N:$N,"&lt;="&amp;DATE($I$2,N$4,N$5))</f>
        <v/>
      </c>
      <c r="O311" s="321">
        <f>SUMIFS(DATA!$M:$M,DATA!$C:$C,$B310,DATA!$N:$N,"&gt;="&amp;DATE($I$2,O$4,1),DATA!$N:$N,"&lt;="&amp;DATE($I$2,O$4,O$5))</f>
        <v/>
      </c>
      <c r="P311" s="322">
        <f>SUM(D311:O311)</f>
        <v/>
      </c>
      <c r="Q311" s="118" t="n"/>
    </row>
    <row r="312" hidden="1" outlineLevel="1" ht="15" customHeight="1">
      <c r="A312" s="269" t="n">
        <v>154</v>
      </c>
      <c r="B312" s="265" t="inlineStr">
        <is>
          <t>HITC ECO DC</t>
        </is>
      </c>
      <c r="C312" s="119" t="inlineStr">
        <is>
          <t>Kế hoạch</t>
        </is>
      </c>
      <c r="D312" s="321">
        <f>SUMIFS(DATA!$I:$I,DATA!$C:$C,$B312,DATA!$J:$J,"&gt;="&amp;DATE($I$2,D$4,1),DATA!$J:$J,"&lt;="&amp;DATE($I$2,D$4,D$5))</f>
        <v/>
      </c>
      <c r="E312" s="321">
        <f>SUMIFS(DATA!$I:$I,DATA!$C:$C,$B312,DATA!$J:$J,"&gt;="&amp;DATE($I$2,E$4,1),DATA!$J:$J,"&lt;="&amp;DATE($I$2,E$4,E$5))</f>
        <v/>
      </c>
      <c r="F312" s="321">
        <f>SUMIFS(DATA!$I:$I,DATA!$C:$C,$B312,DATA!$J:$J,"&gt;="&amp;DATE($I$2,F$4,1),DATA!$J:$J,"&lt;="&amp;DATE($I$2,F$4,F$5))</f>
        <v/>
      </c>
      <c r="G312" s="321">
        <f>SUMIFS(DATA!$I:$I,DATA!$C:$C,$B312,DATA!$J:$J,"&gt;="&amp;DATE($I$2,G$4,1),DATA!$J:$J,"&lt;="&amp;DATE($I$2,G$4,G$5))</f>
        <v/>
      </c>
      <c r="H312" s="321">
        <f>SUMIFS(DATA!$I:$I,DATA!$C:$C,$B312,DATA!$J:$J,"&gt;="&amp;DATE($I$2,H$4,1),DATA!$J:$J,"&lt;="&amp;DATE($I$2,H$4,H$5))</f>
        <v/>
      </c>
      <c r="I312" s="321">
        <f>SUMIFS(DATA!$I:$I,DATA!$C:$C,$B312,DATA!$J:$J,"&gt;="&amp;DATE($I$2,I$4,1),DATA!$J:$J,"&lt;="&amp;DATE($I$2,I$4,I$5))</f>
        <v/>
      </c>
      <c r="J312" s="321">
        <f>SUMIFS(DATA!$I:$I,DATA!$C:$C,$B312,DATA!$J:$J,"&gt;="&amp;DATE($I$2,J$4,1),DATA!$J:$J,"&lt;="&amp;DATE($I$2,J$4,J$5))</f>
        <v/>
      </c>
      <c r="K312" s="321">
        <f>SUMIFS(DATA!$I:$I,DATA!$C:$C,$B312,DATA!$J:$J,"&gt;="&amp;DATE($I$2,K$4,1),DATA!$J:$J,"&lt;="&amp;DATE($I$2,K$4,K$5))</f>
        <v/>
      </c>
      <c r="L312" s="321">
        <f>SUMIFS(DATA!$I:$I,DATA!$C:$C,$B312,DATA!$J:$J,"&gt;="&amp;DATE($I$2,L$4,1),DATA!$J:$J,"&lt;="&amp;DATE($I$2,L$4,L$5))</f>
        <v/>
      </c>
      <c r="M312" s="321">
        <f>SUMIFS(DATA!$I:$I,DATA!$C:$C,$B312,DATA!$J:$J,"&gt;="&amp;DATE($I$2,M$4,1),DATA!$J:$J,"&lt;="&amp;DATE($I$2,M$4,M$5))</f>
        <v/>
      </c>
      <c r="N312" s="321">
        <f>SUMIFS(DATA!$I:$I,DATA!$C:$C,$B312,DATA!$J:$J,"&gt;="&amp;DATE($I$2,N$4,1),DATA!$J:$J,"&lt;="&amp;DATE($I$2,N$4,N$5))</f>
        <v/>
      </c>
      <c r="O312" s="321">
        <f>SUMIFS(DATA!$I:$I,DATA!$C:$C,$B312,DATA!$J:$J,"&gt;="&amp;DATE($I$2,O$4,1),DATA!$J:$J,"&lt;="&amp;DATE($I$2,O$4,O$5))</f>
        <v/>
      </c>
      <c r="P312" s="322">
        <f>SUM(D312:O312)</f>
        <v/>
      </c>
      <c r="Q312" s="118" t="n"/>
    </row>
    <row r="313" hidden="1" outlineLevel="1" ht="15" customHeight="1">
      <c r="A313" s="266" t="n"/>
      <c r="B313" s="266" t="n"/>
      <c r="C313" s="119" t="inlineStr">
        <is>
          <t>Thực tế</t>
        </is>
      </c>
      <c r="D313" s="321">
        <f>SUMIFS(DATA!$M:$M,DATA!$C:$C,$B312,DATA!$N:$N,"&gt;="&amp;DATE($I$2,D$4,1),DATA!$N:$N,"&lt;="&amp;DATE($I$2,D$4,D$5))</f>
        <v/>
      </c>
      <c r="E313" s="321">
        <f>SUMIFS(DATA!$M:$M,DATA!$C:$C,$B312,DATA!$N:$N,"&gt;="&amp;DATE($I$2,E$4,1),DATA!$N:$N,"&lt;="&amp;DATE($I$2,E$4,E$5))</f>
        <v/>
      </c>
      <c r="F313" s="321">
        <f>SUMIFS(DATA!$M:$M,DATA!$C:$C,$B312,DATA!$N:$N,"&gt;="&amp;DATE($I$2,F$4,1),DATA!$N:$N,"&lt;="&amp;DATE($I$2,F$4,F$5))</f>
        <v/>
      </c>
      <c r="G313" s="321">
        <f>SUMIFS(DATA!$M:$M,DATA!$C:$C,$B312,DATA!$N:$N,"&gt;="&amp;DATE($I$2,G$4,1),DATA!$N:$N,"&lt;="&amp;DATE($I$2,G$4,G$5))</f>
        <v/>
      </c>
      <c r="H313" s="321">
        <f>SUMIFS(DATA!$M:$M,DATA!$C:$C,$B312,DATA!$N:$N,"&gt;="&amp;DATE($I$2,H$4,1),DATA!$N:$N,"&lt;="&amp;DATE($I$2,H$4,H$5))</f>
        <v/>
      </c>
      <c r="I313" s="321">
        <f>SUMIFS(DATA!$M:$M,DATA!$C:$C,$B312,DATA!$N:$N,"&gt;="&amp;DATE($I$2,I$4,1),DATA!$N:$N,"&lt;="&amp;DATE($I$2,I$4,I$5))</f>
        <v/>
      </c>
      <c r="J313" s="321">
        <f>SUMIFS(DATA!$M:$M,DATA!$C:$C,$B312,DATA!$N:$N,"&gt;="&amp;DATE($I$2,J$4,1),DATA!$N:$N,"&lt;="&amp;DATE($I$2,J$4,J$5))</f>
        <v/>
      </c>
      <c r="K313" s="321">
        <f>SUMIFS(DATA!$M:$M,DATA!$C:$C,$B312,DATA!$N:$N,"&gt;="&amp;DATE($I$2,K$4,1),DATA!$N:$N,"&lt;="&amp;DATE($I$2,K$4,K$5))</f>
        <v/>
      </c>
      <c r="L313" s="321">
        <f>SUMIFS(DATA!$M:$M,DATA!$C:$C,$B312,DATA!$N:$N,"&gt;="&amp;DATE($I$2,L$4,1),DATA!$N:$N,"&lt;="&amp;DATE($I$2,L$4,L$5))</f>
        <v/>
      </c>
      <c r="M313" s="321">
        <f>SUMIFS(DATA!$M:$M,DATA!$C:$C,$B312,DATA!$N:$N,"&gt;="&amp;DATE($I$2,M$4,1),DATA!$N:$N,"&lt;="&amp;DATE($I$2,M$4,M$5))</f>
        <v/>
      </c>
      <c r="N313" s="321">
        <f>SUMIFS(DATA!$M:$M,DATA!$C:$C,$B312,DATA!$N:$N,"&gt;="&amp;DATE($I$2,N$4,1),DATA!$N:$N,"&lt;="&amp;DATE($I$2,N$4,N$5))</f>
        <v/>
      </c>
      <c r="O313" s="321">
        <f>SUMIFS(DATA!$M:$M,DATA!$C:$C,$B312,DATA!$N:$N,"&gt;="&amp;DATE($I$2,O$4,1),DATA!$N:$N,"&lt;="&amp;DATE($I$2,O$4,O$5))</f>
        <v/>
      </c>
      <c r="P313" s="322">
        <f>SUM(D313:O313)</f>
        <v/>
      </c>
      <c r="Q313" s="118" t="n"/>
    </row>
    <row r="314" hidden="1" outlineLevel="1" ht="15" customHeight="1">
      <c r="A314" s="269" t="n">
        <v>155</v>
      </c>
      <c r="B314" s="265" t="inlineStr">
        <is>
          <t>CÔNG TY CỔ PHẦN VIỄN THÔNG FPT</t>
        </is>
      </c>
      <c r="C314" s="119" t="inlineStr">
        <is>
          <t>Kế hoạch</t>
        </is>
      </c>
      <c r="D314" s="321">
        <f>SUMIFS(DATA!$I:$I,DATA!$C:$C,$B314,DATA!$J:$J,"&gt;="&amp;DATE($I$2,D$4,1),DATA!$J:$J,"&lt;="&amp;DATE($I$2,D$4,D$5))</f>
        <v/>
      </c>
      <c r="E314" s="321">
        <f>SUMIFS(DATA!$I:$I,DATA!$C:$C,$B314,DATA!$J:$J,"&gt;="&amp;DATE($I$2,E$4,1),DATA!$J:$J,"&lt;="&amp;DATE($I$2,E$4,E$5))</f>
        <v/>
      </c>
      <c r="F314" s="321">
        <f>SUMIFS(DATA!$I:$I,DATA!$C:$C,$B314,DATA!$J:$J,"&gt;="&amp;DATE($I$2,F$4,1),DATA!$J:$J,"&lt;="&amp;DATE($I$2,F$4,F$5))</f>
        <v/>
      </c>
      <c r="G314" s="321">
        <f>SUMIFS(DATA!$I:$I,DATA!$C:$C,$B314,DATA!$J:$J,"&gt;="&amp;DATE($I$2,G$4,1),DATA!$J:$J,"&lt;="&amp;DATE($I$2,G$4,G$5))</f>
        <v/>
      </c>
      <c r="H314" s="321">
        <f>SUMIFS(DATA!$I:$I,DATA!$C:$C,$B314,DATA!$J:$J,"&gt;="&amp;DATE($I$2,H$4,1),DATA!$J:$J,"&lt;="&amp;DATE($I$2,H$4,H$5))</f>
        <v/>
      </c>
      <c r="I314" s="321">
        <f>SUMIFS(DATA!$I:$I,DATA!$C:$C,$B314,DATA!$J:$J,"&gt;="&amp;DATE($I$2,I$4,1),DATA!$J:$J,"&lt;="&amp;DATE($I$2,I$4,I$5))</f>
        <v/>
      </c>
      <c r="J314" s="321">
        <f>SUMIFS(DATA!$I:$I,DATA!$C:$C,$B314,DATA!$J:$J,"&gt;="&amp;DATE($I$2,J$4,1),DATA!$J:$J,"&lt;="&amp;DATE($I$2,J$4,J$5))</f>
        <v/>
      </c>
      <c r="K314" s="321">
        <f>SUMIFS(DATA!$I:$I,DATA!$C:$C,$B314,DATA!$J:$J,"&gt;="&amp;DATE($I$2,K$4,1),DATA!$J:$J,"&lt;="&amp;DATE($I$2,K$4,K$5))</f>
        <v/>
      </c>
      <c r="L314" s="321">
        <f>SUMIFS(DATA!$I:$I,DATA!$C:$C,$B314,DATA!$J:$J,"&gt;="&amp;DATE($I$2,L$4,1),DATA!$J:$J,"&lt;="&amp;DATE($I$2,L$4,L$5))</f>
        <v/>
      </c>
      <c r="M314" s="321">
        <f>SUMIFS(DATA!$I:$I,DATA!$C:$C,$B314,DATA!$J:$J,"&gt;="&amp;DATE($I$2,M$4,1),DATA!$J:$J,"&lt;="&amp;DATE($I$2,M$4,M$5))</f>
        <v/>
      </c>
      <c r="N314" s="321">
        <f>SUMIFS(DATA!$I:$I,DATA!$C:$C,$B314,DATA!$J:$J,"&gt;="&amp;DATE($I$2,N$4,1),DATA!$J:$J,"&lt;="&amp;DATE($I$2,N$4,N$5))</f>
        <v/>
      </c>
      <c r="O314" s="321">
        <f>SUMIFS(DATA!$I:$I,DATA!$C:$C,$B314,DATA!$J:$J,"&gt;="&amp;DATE($I$2,O$4,1),DATA!$J:$J,"&lt;="&amp;DATE($I$2,O$4,O$5))</f>
        <v/>
      </c>
      <c r="P314" s="322">
        <f>SUM(D314:O314)</f>
        <v/>
      </c>
      <c r="Q314" s="118" t="n"/>
    </row>
    <row r="315" hidden="1" outlineLevel="1" ht="15" customHeight="1">
      <c r="A315" s="266" t="n"/>
      <c r="B315" s="266" t="n"/>
      <c r="C315" s="119" t="inlineStr">
        <is>
          <t>Thực tế</t>
        </is>
      </c>
      <c r="D315" s="321">
        <f>SUMIFS(DATA!$M:$M,DATA!$C:$C,$B314,DATA!$N:$N,"&gt;="&amp;DATE($I$2,D$4,1),DATA!$N:$N,"&lt;="&amp;DATE($I$2,D$4,D$5))</f>
        <v/>
      </c>
      <c r="E315" s="321">
        <f>SUMIFS(DATA!$M:$M,DATA!$C:$C,$B314,DATA!$N:$N,"&gt;="&amp;DATE($I$2,E$4,1),DATA!$N:$N,"&lt;="&amp;DATE($I$2,E$4,E$5))</f>
        <v/>
      </c>
      <c r="F315" s="321">
        <f>SUMIFS(DATA!$M:$M,DATA!$C:$C,$B314,DATA!$N:$N,"&gt;="&amp;DATE($I$2,F$4,1),DATA!$N:$N,"&lt;="&amp;DATE($I$2,F$4,F$5))</f>
        <v/>
      </c>
      <c r="G315" s="321">
        <f>SUMIFS(DATA!$M:$M,DATA!$C:$C,$B314,DATA!$N:$N,"&gt;="&amp;DATE($I$2,G$4,1),DATA!$N:$N,"&lt;="&amp;DATE($I$2,G$4,G$5))</f>
        <v/>
      </c>
      <c r="H315" s="321">
        <f>SUMIFS(DATA!$M:$M,DATA!$C:$C,$B314,DATA!$N:$N,"&gt;="&amp;DATE($I$2,H$4,1),DATA!$N:$N,"&lt;="&amp;DATE($I$2,H$4,H$5))</f>
        <v/>
      </c>
      <c r="I315" s="321">
        <f>SUMIFS(DATA!$M:$M,DATA!$C:$C,$B314,DATA!$N:$N,"&gt;="&amp;DATE($I$2,I$4,1),DATA!$N:$N,"&lt;="&amp;DATE($I$2,I$4,I$5))</f>
        <v/>
      </c>
      <c r="J315" s="321">
        <f>SUMIFS(DATA!$M:$M,DATA!$C:$C,$B314,DATA!$N:$N,"&gt;="&amp;DATE($I$2,J$4,1),DATA!$N:$N,"&lt;="&amp;DATE($I$2,J$4,J$5))</f>
        <v/>
      </c>
      <c r="K315" s="321">
        <f>SUMIFS(DATA!$M:$M,DATA!$C:$C,$B314,DATA!$N:$N,"&gt;="&amp;DATE($I$2,K$4,1),DATA!$N:$N,"&lt;="&amp;DATE($I$2,K$4,K$5))</f>
        <v/>
      </c>
      <c r="L315" s="321">
        <f>SUMIFS(DATA!$M:$M,DATA!$C:$C,$B314,DATA!$N:$N,"&gt;="&amp;DATE($I$2,L$4,1),DATA!$N:$N,"&lt;="&amp;DATE($I$2,L$4,L$5))</f>
        <v/>
      </c>
      <c r="M315" s="321">
        <f>SUMIFS(DATA!$M:$M,DATA!$C:$C,$B314,DATA!$N:$N,"&gt;="&amp;DATE($I$2,M$4,1),DATA!$N:$N,"&lt;="&amp;DATE($I$2,M$4,M$5))</f>
        <v/>
      </c>
      <c r="N315" s="321">
        <f>SUMIFS(DATA!$M:$M,DATA!$C:$C,$B314,DATA!$N:$N,"&gt;="&amp;DATE($I$2,N$4,1),DATA!$N:$N,"&lt;="&amp;DATE($I$2,N$4,N$5))</f>
        <v/>
      </c>
      <c r="O315" s="321">
        <f>SUMIFS(DATA!$M:$M,DATA!$C:$C,$B314,DATA!$N:$N,"&gt;="&amp;DATE($I$2,O$4,1),DATA!$N:$N,"&lt;="&amp;DATE($I$2,O$4,O$5))</f>
        <v/>
      </c>
      <c r="P315" s="322">
        <f>SUM(D315:O315)</f>
        <v/>
      </c>
      <c r="Q315" s="118" t="n"/>
    </row>
    <row r="316" hidden="1" outlineLevel="1" ht="15" customHeight="1">
      <c r="A316" s="269" t="n">
        <v>156</v>
      </c>
      <c r="B316" s="265" t="inlineStr">
        <is>
          <t>CÔNG TY TNHH TƯ VẤN  &amp; XÂY LẮP PCCC NTK</t>
        </is>
      </c>
      <c r="C316" s="119" t="inlineStr">
        <is>
          <t>Kế hoạch</t>
        </is>
      </c>
      <c r="D316" s="321">
        <f>SUMIFS(DATA!$I:$I,DATA!$C:$C,$B316,DATA!$J:$J,"&gt;="&amp;DATE($I$2,D$4,1),DATA!$J:$J,"&lt;="&amp;DATE($I$2,D$4,D$5))</f>
        <v/>
      </c>
      <c r="E316" s="321">
        <f>SUMIFS(DATA!$I:$I,DATA!$C:$C,$B316,DATA!$J:$J,"&gt;="&amp;DATE($I$2,E$4,1),DATA!$J:$J,"&lt;="&amp;DATE($I$2,E$4,E$5))</f>
        <v/>
      </c>
      <c r="F316" s="321">
        <f>SUMIFS(DATA!$I:$I,DATA!$C:$C,$B316,DATA!$J:$J,"&gt;="&amp;DATE($I$2,F$4,1),DATA!$J:$J,"&lt;="&amp;DATE($I$2,F$4,F$5))</f>
        <v/>
      </c>
      <c r="G316" s="321">
        <f>SUMIFS(DATA!$I:$I,DATA!$C:$C,$B316,DATA!$J:$J,"&gt;="&amp;DATE($I$2,G$4,1),DATA!$J:$J,"&lt;="&amp;DATE($I$2,G$4,G$5))</f>
        <v/>
      </c>
      <c r="H316" s="321">
        <f>SUMIFS(DATA!$I:$I,DATA!$C:$C,$B316,DATA!$J:$J,"&gt;="&amp;DATE($I$2,H$4,1),DATA!$J:$J,"&lt;="&amp;DATE($I$2,H$4,H$5))</f>
        <v/>
      </c>
      <c r="I316" s="321">
        <f>SUMIFS(DATA!$I:$I,DATA!$C:$C,$B316,DATA!$J:$J,"&gt;="&amp;DATE($I$2,I$4,1),DATA!$J:$J,"&lt;="&amp;DATE($I$2,I$4,I$5))</f>
        <v/>
      </c>
      <c r="J316" s="321">
        <f>SUMIFS(DATA!$I:$I,DATA!$C:$C,$B316,DATA!$J:$J,"&gt;="&amp;DATE($I$2,J$4,1),DATA!$J:$J,"&lt;="&amp;DATE($I$2,J$4,J$5))</f>
        <v/>
      </c>
      <c r="K316" s="321">
        <f>SUMIFS(DATA!$I:$I,DATA!$C:$C,$B316,DATA!$J:$J,"&gt;="&amp;DATE($I$2,K$4,1),DATA!$J:$J,"&lt;="&amp;DATE($I$2,K$4,K$5))</f>
        <v/>
      </c>
      <c r="L316" s="321">
        <f>SUMIFS(DATA!$I:$I,DATA!$C:$C,$B316,DATA!$J:$J,"&gt;="&amp;DATE($I$2,L$4,1),DATA!$J:$J,"&lt;="&amp;DATE($I$2,L$4,L$5))</f>
        <v/>
      </c>
      <c r="M316" s="321">
        <f>SUMIFS(DATA!$I:$I,DATA!$C:$C,$B316,DATA!$J:$J,"&gt;="&amp;DATE($I$2,M$4,1),DATA!$J:$J,"&lt;="&amp;DATE($I$2,M$4,M$5))</f>
        <v/>
      </c>
      <c r="N316" s="321">
        <f>SUMIFS(DATA!$I:$I,DATA!$C:$C,$B316,DATA!$J:$J,"&gt;="&amp;DATE($I$2,N$4,1),DATA!$J:$J,"&lt;="&amp;DATE($I$2,N$4,N$5))</f>
        <v/>
      </c>
      <c r="O316" s="321">
        <f>SUMIFS(DATA!$I:$I,DATA!$C:$C,$B316,DATA!$J:$J,"&gt;="&amp;DATE($I$2,O$4,1),DATA!$J:$J,"&lt;="&amp;DATE($I$2,O$4,O$5))</f>
        <v/>
      </c>
      <c r="P316" s="322">
        <f>SUM(D316:O316)</f>
        <v/>
      </c>
      <c r="Q316" s="118" t="n"/>
    </row>
    <row r="317" hidden="1" outlineLevel="1" ht="15" customHeight="1">
      <c r="A317" s="266" t="n"/>
      <c r="B317" s="266" t="n"/>
      <c r="C317" s="119" t="inlineStr">
        <is>
          <t>Thực tế</t>
        </is>
      </c>
      <c r="D317" s="321">
        <f>SUMIFS(DATA!$M:$M,DATA!$C:$C,$B316,DATA!$N:$N,"&gt;="&amp;DATE($I$2,D$4,1),DATA!$N:$N,"&lt;="&amp;DATE($I$2,D$4,D$5))</f>
        <v/>
      </c>
      <c r="E317" s="321">
        <f>SUMIFS(DATA!$M:$M,DATA!$C:$C,$B316,DATA!$N:$N,"&gt;="&amp;DATE($I$2,E$4,1),DATA!$N:$N,"&lt;="&amp;DATE($I$2,E$4,E$5))</f>
        <v/>
      </c>
      <c r="F317" s="321">
        <f>SUMIFS(DATA!$M:$M,DATA!$C:$C,$B316,DATA!$N:$N,"&gt;="&amp;DATE($I$2,F$4,1),DATA!$N:$N,"&lt;="&amp;DATE($I$2,F$4,F$5))</f>
        <v/>
      </c>
      <c r="G317" s="321">
        <f>SUMIFS(DATA!$M:$M,DATA!$C:$C,$B316,DATA!$N:$N,"&gt;="&amp;DATE($I$2,G$4,1),DATA!$N:$N,"&lt;="&amp;DATE($I$2,G$4,G$5))</f>
        <v/>
      </c>
      <c r="H317" s="321">
        <f>SUMIFS(DATA!$M:$M,DATA!$C:$C,$B316,DATA!$N:$N,"&gt;="&amp;DATE($I$2,H$4,1),DATA!$N:$N,"&lt;="&amp;DATE($I$2,H$4,H$5))</f>
        <v/>
      </c>
      <c r="I317" s="321">
        <f>SUMIFS(DATA!$M:$M,DATA!$C:$C,$B316,DATA!$N:$N,"&gt;="&amp;DATE($I$2,I$4,1),DATA!$N:$N,"&lt;="&amp;DATE($I$2,I$4,I$5))</f>
        <v/>
      </c>
      <c r="J317" s="321">
        <f>SUMIFS(DATA!$M:$M,DATA!$C:$C,$B316,DATA!$N:$N,"&gt;="&amp;DATE($I$2,J$4,1),DATA!$N:$N,"&lt;="&amp;DATE($I$2,J$4,J$5))</f>
        <v/>
      </c>
      <c r="K317" s="321">
        <f>SUMIFS(DATA!$M:$M,DATA!$C:$C,$B316,DATA!$N:$N,"&gt;="&amp;DATE($I$2,K$4,1),DATA!$N:$N,"&lt;="&amp;DATE($I$2,K$4,K$5))</f>
        <v/>
      </c>
      <c r="L317" s="321">
        <f>SUMIFS(DATA!$M:$M,DATA!$C:$C,$B316,DATA!$N:$N,"&gt;="&amp;DATE($I$2,L$4,1),DATA!$N:$N,"&lt;="&amp;DATE($I$2,L$4,L$5))</f>
        <v/>
      </c>
      <c r="M317" s="321">
        <f>SUMIFS(DATA!$M:$M,DATA!$C:$C,$B316,DATA!$N:$N,"&gt;="&amp;DATE($I$2,M$4,1),DATA!$N:$N,"&lt;="&amp;DATE($I$2,M$4,M$5))</f>
        <v/>
      </c>
      <c r="N317" s="321">
        <f>SUMIFS(DATA!$M:$M,DATA!$C:$C,$B316,DATA!$N:$N,"&gt;="&amp;DATE($I$2,N$4,1),DATA!$N:$N,"&lt;="&amp;DATE($I$2,N$4,N$5))</f>
        <v/>
      </c>
      <c r="O317" s="321">
        <f>SUMIFS(DATA!$M:$M,DATA!$C:$C,$B316,DATA!$N:$N,"&gt;="&amp;DATE($I$2,O$4,1),DATA!$N:$N,"&lt;="&amp;DATE($I$2,O$4,O$5))</f>
        <v/>
      </c>
      <c r="P317" s="322">
        <f>SUM(D317:O317)</f>
        <v/>
      </c>
      <c r="Q317" s="118" t="n"/>
    </row>
    <row r="318" hidden="1" outlineLevel="1" ht="15" customHeight="1">
      <c r="A318" s="269" t="n">
        <v>157</v>
      </c>
      <c r="B318" s="125" t="n"/>
      <c r="C318" s="119" t="inlineStr">
        <is>
          <t>Kế hoạch</t>
        </is>
      </c>
      <c r="D318" s="321">
        <f>SUMIFS(DATA!$I:$I,DATA!$C:$C,$B318,DATA!$J:$J,"&gt;="&amp;DATE($I$2,D$4,1),DATA!$J:$J,"&lt;="&amp;DATE($I$2,D$4,D$5))</f>
        <v/>
      </c>
      <c r="E318" s="321">
        <f>SUMIFS(DATA!$I:$I,DATA!$C:$C,$B318,DATA!$J:$J,"&gt;="&amp;DATE($I$2,E$4,1),DATA!$J:$J,"&lt;="&amp;DATE($I$2,E$4,E$5))</f>
        <v/>
      </c>
      <c r="F318" s="321">
        <f>SUMIFS(DATA!$I:$I,DATA!$C:$C,$B318,DATA!$J:$J,"&gt;="&amp;DATE($I$2,F$4,1),DATA!$J:$J,"&lt;="&amp;DATE($I$2,F$4,F$5))</f>
        <v/>
      </c>
      <c r="G318" s="321">
        <f>SUMIFS(DATA!$I:$I,DATA!$C:$C,$B318,DATA!$J:$J,"&gt;="&amp;DATE($I$2,G$4,1),DATA!$J:$J,"&lt;="&amp;DATE($I$2,G$4,G$5))</f>
        <v/>
      </c>
      <c r="H318" s="321">
        <f>SUMIFS(DATA!$I:$I,DATA!$C:$C,$B318,DATA!$J:$J,"&gt;="&amp;DATE($I$2,H$4,1),DATA!$J:$J,"&lt;="&amp;DATE($I$2,H$4,H$5))</f>
        <v/>
      </c>
      <c r="I318" s="321">
        <f>SUMIFS(DATA!$I:$I,DATA!$C:$C,$B318,DATA!$J:$J,"&gt;="&amp;DATE($I$2,I$4,1),DATA!$J:$J,"&lt;="&amp;DATE($I$2,I$4,I$5))</f>
        <v/>
      </c>
      <c r="J318" s="321">
        <f>SUMIFS(DATA!$I:$I,DATA!$C:$C,$B318,DATA!$J:$J,"&gt;="&amp;DATE($I$2,J$4,1),DATA!$J:$J,"&lt;="&amp;DATE($I$2,J$4,J$5))</f>
        <v/>
      </c>
      <c r="K318" s="321">
        <f>SUMIFS(DATA!$I:$I,DATA!$C:$C,$B318,DATA!$J:$J,"&gt;="&amp;DATE($I$2,K$4,1),DATA!$J:$J,"&lt;="&amp;DATE($I$2,K$4,K$5))</f>
        <v/>
      </c>
      <c r="L318" s="321">
        <f>SUMIFS(DATA!$I:$I,DATA!$C:$C,$B318,DATA!$J:$J,"&gt;="&amp;DATE($I$2,L$4,1),DATA!$J:$J,"&lt;="&amp;DATE($I$2,L$4,L$5))</f>
        <v/>
      </c>
      <c r="M318" s="321">
        <f>SUMIFS(DATA!$I:$I,DATA!$C:$C,$B318,DATA!$J:$J,"&gt;="&amp;DATE($I$2,M$4,1),DATA!$J:$J,"&lt;="&amp;DATE($I$2,M$4,M$5))</f>
        <v/>
      </c>
      <c r="N318" s="321">
        <f>SUMIFS(DATA!$I:$I,DATA!$C:$C,$B318,DATA!$J:$J,"&gt;="&amp;DATE($I$2,N$4,1),DATA!$J:$J,"&lt;="&amp;DATE($I$2,N$4,N$5))</f>
        <v/>
      </c>
      <c r="O318" s="321">
        <f>SUMIFS(DATA!$I:$I,DATA!$C:$C,$B318,DATA!$J:$J,"&gt;="&amp;DATE($I$2,O$4,1),DATA!$J:$J,"&lt;="&amp;DATE($I$2,O$4,O$5))</f>
        <v/>
      </c>
      <c r="P318" s="322">
        <f>SUM(D318:O318)</f>
        <v/>
      </c>
      <c r="Q318" s="118" t="n"/>
    </row>
    <row r="319" hidden="1" outlineLevel="1" ht="15" customHeight="1">
      <c r="A319" s="266" t="n"/>
      <c r="B319" s="126" t="n"/>
      <c r="C319" s="119" t="inlineStr">
        <is>
          <t>Thực tế</t>
        </is>
      </c>
      <c r="D319" s="321">
        <f>SUMIFS(DATA!$M:$M,DATA!$C:$C,$B318,DATA!$N:$N,"&gt;="&amp;DATE($I$2,D$4,1),DATA!$N:$N,"&lt;="&amp;DATE($I$2,D$4,D$5))</f>
        <v/>
      </c>
      <c r="E319" s="321">
        <f>SUMIFS(DATA!$M:$M,DATA!$C:$C,$B318,DATA!$N:$N,"&gt;="&amp;DATE($I$2,E$4,1),DATA!$N:$N,"&lt;="&amp;DATE($I$2,E$4,E$5))</f>
        <v/>
      </c>
      <c r="F319" s="321">
        <f>SUMIFS(DATA!$M:$M,DATA!$C:$C,$B318,DATA!$N:$N,"&gt;="&amp;DATE($I$2,F$4,1),DATA!$N:$N,"&lt;="&amp;DATE($I$2,F$4,F$5))</f>
        <v/>
      </c>
      <c r="G319" s="321">
        <f>SUMIFS(DATA!$M:$M,DATA!$C:$C,$B318,DATA!$N:$N,"&gt;="&amp;DATE($I$2,G$4,1),DATA!$N:$N,"&lt;="&amp;DATE($I$2,G$4,G$5))</f>
        <v/>
      </c>
      <c r="H319" s="321">
        <f>SUMIFS(DATA!$M:$M,DATA!$C:$C,$B318,DATA!$N:$N,"&gt;="&amp;DATE($I$2,H$4,1),DATA!$N:$N,"&lt;="&amp;DATE($I$2,H$4,H$5))</f>
        <v/>
      </c>
      <c r="I319" s="321">
        <f>SUMIFS(DATA!$M:$M,DATA!$C:$C,$B318,DATA!$N:$N,"&gt;="&amp;DATE($I$2,I$4,1),DATA!$N:$N,"&lt;="&amp;DATE($I$2,I$4,I$5))</f>
        <v/>
      </c>
      <c r="J319" s="321">
        <f>SUMIFS(DATA!$M:$M,DATA!$C:$C,$B318,DATA!$N:$N,"&gt;="&amp;DATE($I$2,J$4,1),DATA!$N:$N,"&lt;="&amp;DATE($I$2,J$4,J$5))</f>
        <v/>
      </c>
      <c r="K319" s="321">
        <f>SUMIFS(DATA!$M:$M,DATA!$C:$C,$B318,DATA!$N:$N,"&gt;="&amp;DATE($I$2,K$4,1),DATA!$N:$N,"&lt;="&amp;DATE($I$2,K$4,K$5))</f>
        <v/>
      </c>
      <c r="L319" s="321">
        <f>SUMIFS(DATA!$M:$M,DATA!$C:$C,$B318,DATA!$N:$N,"&gt;="&amp;DATE($I$2,L$4,1),DATA!$N:$N,"&lt;="&amp;DATE($I$2,L$4,L$5))</f>
        <v/>
      </c>
      <c r="M319" s="321">
        <f>SUMIFS(DATA!$M:$M,DATA!$C:$C,$B318,DATA!$N:$N,"&gt;="&amp;DATE($I$2,M$4,1),DATA!$N:$N,"&lt;="&amp;DATE($I$2,M$4,M$5))</f>
        <v/>
      </c>
      <c r="N319" s="321">
        <f>SUMIFS(DATA!$M:$M,DATA!$C:$C,$B318,DATA!$N:$N,"&gt;="&amp;DATE($I$2,N$4,1),DATA!$N:$N,"&lt;="&amp;DATE($I$2,N$4,N$5))</f>
        <v/>
      </c>
      <c r="O319" s="321">
        <f>SUMIFS(DATA!$M:$M,DATA!$C:$C,$B318,DATA!$N:$N,"&gt;="&amp;DATE($I$2,O$4,1),DATA!$N:$N,"&lt;="&amp;DATE($I$2,O$4,O$5))</f>
        <v/>
      </c>
      <c r="P319" s="322">
        <f>SUM(D319:O319)</f>
        <v/>
      </c>
      <c r="Q319" s="118" t="n"/>
    </row>
    <row r="320" hidden="1" outlineLevel="1" ht="15" customHeight="1">
      <c r="A320" s="269" t="n">
        <v>158</v>
      </c>
      <c r="B320" s="125" t="n"/>
      <c r="C320" s="119" t="inlineStr">
        <is>
          <t>Kế hoạch</t>
        </is>
      </c>
      <c r="D320" s="321">
        <f>SUMIFS(DATA!$I:$I,DATA!$C:$C,$B320,DATA!$J:$J,"&gt;="&amp;DATE($I$2,D$4,1),DATA!$J:$J,"&lt;="&amp;DATE($I$2,D$4,D$5))</f>
        <v/>
      </c>
      <c r="E320" s="321">
        <f>SUMIFS(DATA!$I:$I,DATA!$C:$C,$B320,DATA!$J:$J,"&gt;="&amp;DATE($I$2,E$4,1),DATA!$J:$J,"&lt;="&amp;DATE($I$2,E$4,E$5))</f>
        <v/>
      </c>
      <c r="F320" s="321">
        <f>SUMIFS(DATA!$I:$I,DATA!$C:$C,$B320,DATA!$J:$J,"&gt;="&amp;DATE($I$2,F$4,1),DATA!$J:$J,"&lt;="&amp;DATE($I$2,F$4,F$5))</f>
        <v/>
      </c>
      <c r="G320" s="321">
        <f>SUMIFS(DATA!$I:$I,DATA!$C:$C,$B320,DATA!$J:$J,"&gt;="&amp;DATE($I$2,G$4,1),DATA!$J:$J,"&lt;="&amp;DATE($I$2,G$4,G$5))</f>
        <v/>
      </c>
      <c r="H320" s="321">
        <f>SUMIFS(DATA!$I:$I,DATA!$C:$C,$B320,DATA!$J:$J,"&gt;="&amp;DATE($I$2,H$4,1),DATA!$J:$J,"&lt;="&amp;DATE($I$2,H$4,H$5))</f>
        <v/>
      </c>
      <c r="I320" s="321">
        <f>SUMIFS(DATA!$I:$I,DATA!$C:$C,$B320,DATA!$J:$J,"&gt;="&amp;DATE($I$2,I$4,1),DATA!$J:$J,"&lt;="&amp;DATE($I$2,I$4,I$5))</f>
        <v/>
      </c>
      <c r="J320" s="321">
        <f>SUMIFS(DATA!$I:$I,DATA!$C:$C,$B320,DATA!$J:$J,"&gt;="&amp;DATE($I$2,J$4,1),DATA!$J:$J,"&lt;="&amp;DATE($I$2,J$4,J$5))</f>
        <v/>
      </c>
      <c r="K320" s="321">
        <f>SUMIFS(DATA!$I:$I,DATA!$C:$C,$B320,DATA!$J:$J,"&gt;="&amp;DATE($I$2,K$4,1),DATA!$J:$J,"&lt;="&amp;DATE($I$2,K$4,K$5))</f>
        <v/>
      </c>
      <c r="L320" s="321">
        <f>SUMIFS(DATA!$I:$I,DATA!$C:$C,$B320,DATA!$J:$J,"&gt;="&amp;DATE($I$2,L$4,1),DATA!$J:$J,"&lt;="&amp;DATE($I$2,L$4,L$5))</f>
        <v/>
      </c>
      <c r="M320" s="321">
        <f>SUMIFS(DATA!$I:$I,DATA!$C:$C,$B320,DATA!$J:$J,"&gt;="&amp;DATE($I$2,M$4,1),DATA!$J:$J,"&lt;="&amp;DATE($I$2,M$4,M$5))</f>
        <v/>
      </c>
      <c r="N320" s="321">
        <f>SUMIFS(DATA!$I:$I,DATA!$C:$C,$B320,DATA!$J:$J,"&gt;="&amp;DATE($I$2,N$4,1),DATA!$J:$J,"&lt;="&amp;DATE($I$2,N$4,N$5))</f>
        <v/>
      </c>
      <c r="O320" s="321">
        <f>SUMIFS(DATA!$I:$I,DATA!$C:$C,$B320,DATA!$J:$J,"&gt;="&amp;DATE($I$2,O$4,1),DATA!$J:$J,"&lt;="&amp;DATE($I$2,O$4,O$5))</f>
        <v/>
      </c>
      <c r="P320" s="322">
        <f>SUM(D320:O320)</f>
        <v/>
      </c>
      <c r="Q320" s="118" t="n"/>
    </row>
    <row r="321" hidden="1" outlineLevel="1" ht="15" customHeight="1">
      <c r="A321" s="266" t="n"/>
      <c r="B321" s="126" t="n"/>
      <c r="C321" s="119" t="inlineStr">
        <is>
          <t>Thực tế</t>
        </is>
      </c>
      <c r="D321" s="321">
        <f>SUMIFS(DATA!$M:$M,DATA!$C:$C,$B320,DATA!$N:$N,"&gt;="&amp;DATE($I$2,D$4,1),DATA!$N:$N,"&lt;="&amp;DATE($I$2,D$4,D$5))</f>
        <v/>
      </c>
      <c r="E321" s="321">
        <f>SUMIFS(DATA!$M:$M,DATA!$C:$C,$B320,DATA!$N:$N,"&gt;="&amp;DATE($I$2,E$4,1),DATA!$N:$N,"&lt;="&amp;DATE($I$2,E$4,E$5))</f>
        <v/>
      </c>
      <c r="F321" s="321">
        <f>SUMIFS(DATA!$M:$M,DATA!$C:$C,$B320,DATA!$N:$N,"&gt;="&amp;DATE($I$2,F$4,1),DATA!$N:$N,"&lt;="&amp;DATE($I$2,F$4,F$5))</f>
        <v/>
      </c>
      <c r="G321" s="321">
        <f>SUMIFS(DATA!$M:$M,DATA!$C:$C,$B320,DATA!$N:$N,"&gt;="&amp;DATE($I$2,G$4,1),DATA!$N:$N,"&lt;="&amp;DATE($I$2,G$4,G$5))</f>
        <v/>
      </c>
      <c r="H321" s="321">
        <f>SUMIFS(DATA!$M:$M,DATA!$C:$C,$B320,DATA!$N:$N,"&gt;="&amp;DATE($I$2,H$4,1),DATA!$N:$N,"&lt;="&amp;DATE($I$2,H$4,H$5))</f>
        <v/>
      </c>
      <c r="I321" s="321">
        <f>SUMIFS(DATA!$M:$M,DATA!$C:$C,$B320,DATA!$N:$N,"&gt;="&amp;DATE($I$2,I$4,1),DATA!$N:$N,"&lt;="&amp;DATE($I$2,I$4,I$5))</f>
        <v/>
      </c>
      <c r="J321" s="321">
        <f>SUMIFS(DATA!$M:$M,DATA!$C:$C,$B320,DATA!$N:$N,"&gt;="&amp;DATE($I$2,J$4,1),DATA!$N:$N,"&lt;="&amp;DATE($I$2,J$4,J$5))</f>
        <v/>
      </c>
      <c r="K321" s="321">
        <f>SUMIFS(DATA!$M:$M,DATA!$C:$C,$B320,DATA!$N:$N,"&gt;="&amp;DATE($I$2,K$4,1),DATA!$N:$N,"&lt;="&amp;DATE($I$2,K$4,K$5))</f>
        <v/>
      </c>
      <c r="L321" s="321">
        <f>SUMIFS(DATA!$M:$M,DATA!$C:$C,$B320,DATA!$N:$N,"&gt;="&amp;DATE($I$2,L$4,1),DATA!$N:$N,"&lt;="&amp;DATE($I$2,L$4,L$5))</f>
        <v/>
      </c>
      <c r="M321" s="321">
        <f>SUMIFS(DATA!$M:$M,DATA!$C:$C,$B320,DATA!$N:$N,"&gt;="&amp;DATE($I$2,M$4,1),DATA!$N:$N,"&lt;="&amp;DATE($I$2,M$4,M$5))</f>
        <v/>
      </c>
      <c r="N321" s="321">
        <f>SUMIFS(DATA!$M:$M,DATA!$C:$C,$B320,DATA!$N:$N,"&gt;="&amp;DATE($I$2,N$4,1),DATA!$N:$N,"&lt;="&amp;DATE($I$2,N$4,N$5))</f>
        <v/>
      </c>
      <c r="O321" s="321">
        <f>SUMIFS(DATA!$M:$M,DATA!$C:$C,$B320,DATA!$N:$N,"&gt;="&amp;DATE($I$2,O$4,1),DATA!$N:$N,"&lt;="&amp;DATE($I$2,O$4,O$5))</f>
        <v/>
      </c>
      <c r="P321" s="322">
        <f>SUM(D321:O321)</f>
        <v/>
      </c>
      <c r="Q321" s="118" t="n"/>
    </row>
    <row r="322" hidden="1" outlineLevel="1" ht="15" customHeight="1">
      <c r="A322" s="269" t="n">
        <v>159</v>
      </c>
      <c r="B322" s="125" t="n"/>
      <c r="C322" s="119" t="inlineStr">
        <is>
          <t>Kế hoạch</t>
        </is>
      </c>
      <c r="D322" s="321">
        <f>SUMIFS(DATA!$I:$I,DATA!$C:$C,$B322,DATA!$J:$J,"&gt;="&amp;DATE($I$2,D$4,1),DATA!$J:$J,"&lt;="&amp;DATE($I$2,D$4,D$5))</f>
        <v/>
      </c>
      <c r="E322" s="321">
        <f>SUMIFS(DATA!$I:$I,DATA!$C:$C,$B322,DATA!$J:$J,"&gt;="&amp;DATE($I$2,E$4,1),DATA!$J:$J,"&lt;="&amp;DATE($I$2,E$4,E$5))</f>
        <v/>
      </c>
      <c r="F322" s="321">
        <f>SUMIFS(DATA!$I:$I,DATA!$C:$C,$B322,DATA!$J:$J,"&gt;="&amp;DATE($I$2,F$4,1),DATA!$J:$J,"&lt;="&amp;DATE($I$2,F$4,F$5))</f>
        <v/>
      </c>
      <c r="G322" s="321">
        <f>SUMIFS(DATA!$I:$I,DATA!$C:$C,$B322,DATA!$J:$J,"&gt;="&amp;DATE($I$2,G$4,1),DATA!$J:$J,"&lt;="&amp;DATE($I$2,G$4,G$5))</f>
        <v/>
      </c>
      <c r="H322" s="321">
        <f>SUMIFS(DATA!$I:$I,DATA!$C:$C,$B322,DATA!$J:$J,"&gt;="&amp;DATE($I$2,H$4,1),DATA!$J:$J,"&lt;="&amp;DATE($I$2,H$4,H$5))</f>
        <v/>
      </c>
      <c r="I322" s="321">
        <f>SUMIFS(DATA!$I:$I,DATA!$C:$C,$B322,DATA!$J:$J,"&gt;="&amp;DATE($I$2,I$4,1),DATA!$J:$J,"&lt;="&amp;DATE($I$2,I$4,I$5))</f>
        <v/>
      </c>
      <c r="J322" s="321">
        <f>SUMIFS(DATA!$I:$I,DATA!$C:$C,$B322,DATA!$J:$J,"&gt;="&amp;DATE($I$2,J$4,1),DATA!$J:$J,"&lt;="&amp;DATE($I$2,J$4,J$5))</f>
        <v/>
      </c>
      <c r="K322" s="321">
        <f>SUMIFS(DATA!$I:$I,DATA!$C:$C,$B322,DATA!$J:$J,"&gt;="&amp;DATE($I$2,K$4,1),DATA!$J:$J,"&lt;="&amp;DATE($I$2,K$4,K$5))</f>
        <v/>
      </c>
      <c r="L322" s="321">
        <f>SUMIFS(DATA!$I:$I,DATA!$C:$C,$B322,DATA!$J:$J,"&gt;="&amp;DATE($I$2,L$4,1),DATA!$J:$J,"&lt;="&amp;DATE($I$2,L$4,L$5))</f>
        <v/>
      </c>
      <c r="M322" s="321">
        <f>SUMIFS(DATA!$I:$I,DATA!$C:$C,$B322,DATA!$J:$J,"&gt;="&amp;DATE($I$2,M$4,1),DATA!$J:$J,"&lt;="&amp;DATE($I$2,M$4,M$5))</f>
        <v/>
      </c>
      <c r="N322" s="321">
        <f>SUMIFS(DATA!$I:$I,DATA!$C:$C,$B322,DATA!$J:$J,"&gt;="&amp;DATE($I$2,N$4,1),DATA!$J:$J,"&lt;="&amp;DATE($I$2,N$4,N$5))</f>
        <v/>
      </c>
      <c r="O322" s="321">
        <f>SUMIFS(DATA!$I:$I,DATA!$C:$C,$B322,DATA!$J:$J,"&gt;="&amp;DATE($I$2,O$4,1),DATA!$J:$J,"&lt;="&amp;DATE($I$2,O$4,O$5))</f>
        <v/>
      </c>
      <c r="P322" s="322">
        <f>SUM(D322:O322)</f>
        <v/>
      </c>
      <c r="Q322" s="118" t="n"/>
    </row>
    <row r="323" hidden="1" outlineLevel="1" ht="15" customHeight="1">
      <c r="A323" s="266" t="n"/>
      <c r="B323" s="126" t="n"/>
      <c r="C323" s="119" t="inlineStr">
        <is>
          <t>Thực tế</t>
        </is>
      </c>
      <c r="D323" s="321">
        <f>SUMIFS(DATA!$M:$M,DATA!$C:$C,$B322,DATA!$N:$N,"&gt;="&amp;DATE($I$2,D$4,1),DATA!$N:$N,"&lt;="&amp;DATE($I$2,D$4,D$5))</f>
        <v/>
      </c>
      <c r="E323" s="321">
        <f>SUMIFS(DATA!$M:$M,DATA!$C:$C,$B322,DATA!$N:$N,"&gt;="&amp;DATE($I$2,E$4,1),DATA!$N:$N,"&lt;="&amp;DATE($I$2,E$4,E$5))</f>
        <v/>
      </c>
      <c r="F323" s="321">
        <f>SUMIFS(DATA!$M:$M,DATA!$C:$C,$B322,DATA!$N:$N,"&gt;="&amp;DATE($I$2,F$4,1),DATA!$N:$N,"&lt;="&amp;DATE($I$2,F$4,F$5))</f>
        <v/>
      </c>
      <c r="G323" s="321">
        <f>SUMIFS(DATA!$M:$M,DATA!$C:$C,$B322,DATA!$N:$N,"&gt;="&amp;DATE($I$2,G$4,1),DATA!$N:$N,"&lt;="&amp;DATE($I$2,G$4,G$5))</f>
        <v/>
      </c>
      <c r="H323" s="321">
        <f>SUMIFS(DATA!$M:$M,DATA!$C:$C,$B322,DATA!$N:$N,"&gt;="&amp;DATE($I$2,H$4,1),DATA!$N:$N,"&lt;="&amp;DATE($I$2,H$4,H$5))</f>
        <v/>
      </c>
      <c r="I323" s="321">
        <f>SUMIFS(DATA!$M:$M,DATA!$C:$C,$B322,DATA!$N:$N,"&gt;="&amp;DATE($I$2,I$4,1),DATA!$N:$N,"&lt;="&amp;DATE($I$2,I$4,I$5))</f>
        <v/>
      </c>
      <c r="J323" s="321">
        <f>SUMIFS(DATA!$M:$M,DATA!$C:$C,$B322,DATA!$N:$N,"&gt;="&amp;DATE($I$2,J$4,1),DATA!$N:$N,"&lt;="&amp;DATE($I$2,J$4,J$5))</f>
        <v/>
      </c>
      <c r="K323" s="321">
        <f>SUMIFS(DATA!$M:$M,DATA!$C:$C,$B322,DATA!$N:$N,"&gt;="&amp;DATE($I$2,K$4,1),DATA!$N:$N,"&lt;="&amp;DATE($I$2,K$4,K$5))</f>
        <v/>
      </c>
      <c r="L323" s="321">
        <f>SUMIFS(DATA!$M:$M,DATA!$C:$C,$B322,DATA!$N:$N,"&gt;="&amp;DATE($I$2,L$4,1),DATA!$N:$N,"&lt;="&amp;DATE($I$2,L$4,L$5))</f>
        <v/>
      </c>
      <c r="M323" s="321">
        <f>SUMIFS(DATA!$M:$M,DATA!$C:$C,$B322,DATA!$N:$N,"&gt;="&amp;DATE($I$2,M$4,1),DATA!$N:$N,"&lt;="&amp;DATE($I$2,M$4,M$5))</f>
        <v/>
      </c>
      <c r="N323" s="321">
        <f>SUMIFS(DATA!$M:$M,DATA!$C:$C,$B322,DATA!$N:$N,"&gt;="&amp;DATE($I$2,N$4,1),DATA!$N:$N,"&lt;="&amp;DATE($I$2,N$4,N$5))</f>
        <v/>
      </c>
      <c r="O323" s="321">
        <f>SUMIFS(DATA!$M:$M,DATA!$C:$C,$B322,DATA!$N:$N,"&gt;="&amp;DATE($I$2,O$4,1),DATA!$N:$N,"&lt;="&amp;DATE($I$2,O$4,O$5))</f>
        <v/>
      </c>
      <c r="P323" s="322">
        <f>SUM(D323:O323)</f>
        <v/>
      </c>
      <c r="Q323" s="118" t="n"/>
    </row>
    <row r="324" hidden="1" outlineLevel="1" ht="15" customHeight="1">
      <c r="A324" s="269" t="n">
        <v>160</v>
      </c>
      <c r="B324" s="125" t="n"/>
      <c r="C324" s="119" t="inlineStr">
        <is>
          <t>Kế hoạch</t>
        </is>
      </c>
      <c r="D324" s="321">
        <f>SUMIFS(DATA!$I:$I,DATA!$C:$C,$B324,DATA!$J:$J,"&gt;="&amp;DATE($I$2,D$4,1),DATA!$J:$J,"&lt;="&amp;DATE($I$2,D$4,D$5))</f>
        <v/>
      </c>
      <c r="E324" s="321">
        <f>SUMIFS(DATA!$I:$I,DATA!$C:$C,$B324,DATA!$J:$J,"&gt;="&amp;DATE($I$2,E$4,1),DATA!$J:$J,"&lt;="&amp;DATE($I$2,E$4,E$5))</f>
        <v/>
      </c>
      <c r="F324" s="321">
        <f>SUMIFS(DATA!$I:$I,DATA!$C:$C,$B324,DATA!$J:$J,"&gt;="&amp;DATE($I$2,F$4,1),DATA!$J:$J,"&lt;="&amp;DATE($I$2,F$4,F$5))</f>
        <v/>
      </c>
      <c r="G324" s="321">
        <f>SUMIFS(DATA!$I:$I,DATA!$C:$C,$B324,DATA!$J:$J,"&gt;="&amp;DATE($I$2,G$4,1),DATA!$J:$J,"&lt;="&amp;DATE($I$2,G$4,G$5))</f>
        <v/>
      </c>
      <c r="H324" s="321">
        <f>SUMIFS(DATA!$I:$I,DATA!$C:$C,$B324,DATA!$J:$J,"&gt;="&amp;DATE($I$2,H$4,1),DATA!$J:$J,"&lt;="&amp;DATE($I$2,H$4,H$5))</f>
        <v/>
      </c>
      <c r="I324" s="321">
        <f>SUMIFS(DATA!$I:$I,DATA!$C:$C,$B324,DATA!$J:$J,"&gt;="&amp;DATE($I$2,I$4,1),DATA!$J:$J,"&lt;="&amp;DATE($I$2,I$4,I$5))</f>
        <v/>
      </c>
      <c r="J324" s="321">
        <f>SUMIFS(DATA!$I:$I,DATA!$C:$C,$B324,DATA!$J:$J,"&gt;="&amp;DATE($I$2,J$4,1),DATA!$J:$J,"&lt;="&amp;DATE($I$2,J$4,J$5))</f>
        <v/>
      </c>
      <c r="K324" s="321">
        <f>SUMIFS(DATA!$I:$I,DATA!$C:$C,$B324,DATA!$J:$J,"&gt;="&amp;DATE($I$2,K$4,1),DATA!$J:$J,"&lt;="&amp;DATE($I$2,K$4,K$5))</f>
        <v/>
      </c>
      <c r="L324" s="321">
        <f>SUMIFS(DATA!$I:$I,DATA!$C:$C,$B324,DATA!$J:$J,"&gt;="&amp;DATE($I$2,L$4,1),DATA!$J:$J,"&lt;="&amp;DATE($I$2,L$4,L$5))</f>
        <v/>
      </c>
      <c r="M324" s="321">
        <f>SUMIFS(DATA!$I:$I,DATA!$C:$C,$B324,DATA!$J:$J,"&gt;="&amp;DATE($I$2,M$4,1),DATA!$J:$J,"&lt;="&amp;DATE($I$2,M$4,M$5))</f>
        <v/>
      </c>
      <c r="N324" s="321">
        <f>SUMIFS(DATA!$I:$I,DATA!$C:$C,$B324,DATA!$J:$J,"&gt;="&amp;DATE($I$2,N$4,1),DATA!$J:$J,"&lt;="&amp;DATE($I$2,N$4,N$5))</f>
        <v/>
      </c>
      <c r="O324" s="321">
        <f>SUMIFS(DATA!$I:$I,DATA!$C:$C,$B324,DATA!$J:$J,"&gt;="&amp;DATE($I$2,O$4,1),DATA!$J:$J,"&lt;="&amp;DATE($I$2,O$4,O$5))</f>
        <v/>
      </c>
      <c r="P324" s="322">
        <f>SUM(D324:O324)</f>
        <v/>
      </c>
      <c r="Q324" s="118" t="n"/>
    </row>
    <row r="325" hidden="1" outlineLevel="1" ht="15" customHeight="1">
      <c r="A325" s="266" t="n"/>
      <c r="B325" s="126" t="n"/>
      <c r="C325" s="119" t="inlineStr">
        <is>
          <t>Thực tế</t>
        </is>
      </c>
      <c r="D325" s="321">
        <f>SUMIFS(DATA!$M:$M,DATA!$C:$C,$B324,DATA!$N:$N,"&gt;="&amp;DATE($I$2,D$4,1),DATA!$N:$N,"&lt;="&amp;DATE($I$2,D$4,D$5))</f>
        <v/>
      </c>
      <c r="E325" s="321">
        <f>SUMIFS(DATA!$M:$M,DATA!$C:$C,$B324,DATA!$N:$N,"&gt;="&amp;DATE($I$2,E$4,1),DATA!$N:$N,"&lt;="&amp;DATE($I$2,E$4,E$5))</f>
        <v/>
      </c>
      <c r="F325" s="321">
        <f>SUMIFS(DATA!$M:$M,DATA!$C:$C,$B324,DATA!$N:$N,"&gt;="&amp;DATE($I$2,F$4,1),DATA!$N:$N,"&lt;="&amp;DATE($I$2,F$4,F$5))</f>
        <v/>
      </c>
      <c r="G325" s="321">
        <f>SUMIFS(DATA!$M:$M,DATA!$C:$C,$B324,DATA!$N:$N,"&gt;="&amp;DATE($I$2,G$4,1),DATA!$N:$N,"&lt;="&amp;DATE($I$2,G$4,G$5))</f>
        <v/>
      </c>
      <c r="H325" s="321">
        <f>SUMIFS(DATA!$M:$M,DATA!$C:$C,$B324,DATA!$N:$N,"&gt;="&amp;DATE($I$2,H$4,1),DATA!$N:$N,"&lt;="&amp;DATE($I$2,H$4,H$5))</f>
        <v/>
      </c>
      <c r="I325" s="321">
        <f>SUMIFS(DATA!$M:$M,DATA!$C:$C,$B324,DATA!$N:$N,"&gt;="&amp;DATE($I$2,I$4,1),DATA!$N:$N,"&lt;="&amp;DATE($I$2,I$4,I$5))</f>
        <v/>
      </c>
      <c r="J325" s="321">
        <f>SUMIFS(DATA!$M:$M,DATA!$C:$C,$B324,DATA!$N:$N,"&gt;="&amp;DATE($I$2,J$4,1),DATA!$N:$N,"&lt;="&amp;DATE($I$2,J$4,J$5))</f>
        <v/>
      </c>
      <c r="K325" s="321">
        <f>SUMIFS(DATA!$M:$M,DATA!$C:$C,$B324,DATA!$N:$N,"&gt;="&amp;DATE($I$2,K$4,1),DATA!$N:$N,"&lt;="&amp;DATE($I$2,K$4,K$5))</f>
        <v/>
      </c>
      <c r="L325" s="321">
        <f>SUMIFS(DATA!$M:$M,DATA!$C:$C,$B324,DATA!$N:$N,"&gt;="&amp;DATE($I$2,L$4,1),DATA!$N:$N,"&lt;="&amp;DATE($I$2,L$4,L$5))</f>
        <v/>
      </c>
      <c r="M325" s="321">
        <f>SUMIFS(DATA!$M:$M,DATA!$C:$C,$B324,DATA!$N:$N,"&gt;="&amp;DATE($I$2,M$4,1),DATA!$N:$N,"&lt;="&amp;DATE($I$2,M$4,M$5))</f>
        <v/>
      </c>
      <c r="N325" s="321">
        <f>SUMIFS(DATA!$M:$M,DATA!$C:$C,$B324,DATA!$N:$N,"&gt;="&amp;DATE($I$2,N$4,1),DATA!$N:$N,"&lt;="&amp;DATE($I$2,N$4,N$5))</f>
        <v/>
      </c>
      <c r="O325" s="321">
        <f>SUMIFS(DATA!$M:$M,DATA!$C:$C,$B324,DATA!$N:$N,"&gt;="&amp;DATE($I$2,O$4,1),DATA!$N:$N,"&lt;="&amp;DATE($I$2,O$4,O$5))</f>
        <v/>
      </c>
      <c r="P325" s="322">
        <f>SUM(D325:O325)</f>
        <v/>
      </c>
      <c r="Q325" s="118" t="n"/>
    </row>
    <row r="326" hidden="1" outlineLevel="1" ht="15" customHeight="1">
      <c r="A326" s="269" t="n">
        <v>161</v>
      </c>
      <c r="B326" s="125" t="n"/>
      <c r="C326" s="119" t="inlineStr">
        <is>
          <t>Kế hoạch</t>
        </is>
      </c>
      <c r="D326" s="321">
        <f>SUMIFS(DATA!$I:$I,DATA!$C:$C,$B326,DATA!$J:$J,"&gt;="&amp;DATE($I$2,D$4,1),DATA!$J:$J,"&lt;="&amp;DATE($I$2,D$4,D$5))</f>
        <v/>
      </c>
      <c r="E326" s="321">
        <f>SUMIFS(DATA!$I:$I,DATA!$C:$C,$B326,DATA!$J:$J,"&gt;="&amp;DATE($I$2,E$4,1),DATA!$J:$J,"&lt;="&amp;DATE($I$2,E$4,E$5))</f>
        <v/>
      </c>
      <c r="F326" s="321">
        <f>SUMIFS(DATA!$I:$I,DATA!$C:$C,$B326,DATA!$J:$J,"&gt;="&amp;DATE($I$2,F$4,1),DATA!$J:$J,"&lt;="&amp;DATE($I$2,F$4,F$5))</f>
        <v/>
      </c>
      <c r="G326" s="321">
        <f>SUMIFS(DATA!$I:$I,DATA!$C:$C,$B326,DATA!$J:$J,"&gt;="&amp;DATE($I$2,G$4,1),DATA!$J:$J,"&lt;="&amp;DATE($I$2,G$4,G$5))</f>
        <v/>
      </c>
      <c r="H326" s="321">
        <f>SUMIFS(DATA!$I:$I,DATA!$C:$C,$B326,DATA!$J:$J,"&gt;="&amp;DATE($I$2,H$4,1),DATA!$J:$J,"&lt;="&amp;DATE($I$2,H$4,H$5))</f>
        <v/>
      </c>
      <c r="I326" s="321">
        <f>SUMIFS(DATA!$I:$I,DATA!$C:$C,$B326,DATA!$J:$J,"&gt;="&amp;DATE($I$2,I$4,1),DATA!$J:$J,"&lt;="&amp;DATE($I$2,I$4,I$5))</f>
        <v/>
      </c>
      <c r="J326" s="321">
        <f>SUMIFS(DATA!$I:$I,DATA!$C:$C,$B326,DATA!$J:$J,"&gt;="&amp;DATE($I$2,J$4,1),DATA!$J:$J,"&lt;="&amp;DATE($I$2,J$4,J$5))</f>
        <v/>
      </c>
      <c r="K326" s="321">
        <f>SUMIFS(DATA!$I:$I,DATA!$C:$C,$B326,DATA!$J:$J,"&gt;="&amp;DATE($I$2,K$4,1),DATA!$J:$J,"&lt;="&amp;DATE($I$2,K$4,K$5))</f>
        <v/>
      </c>
      <c r="L326" s="321">
        <f>SUMIFS(DATA!$I:$I,DATA!$C:$C,$B326,DATA!$J:$J,"&gt;="&amp;DATE($I$2,L$4,1),DATA!$J:$J,"&lt;="&amp;DATE($I$2,L$4,L$5))</f>
        <v/>
      </c>
      <c r="M326" s="321">
        <f>SUMIFS(DATA!$I:$I,DATA!$C:$C,$B326,DATA!$J:$J,"&gt;="&amp;DATE($I$2,M$4,1),DATA!$J:$J,"&lt;="&amp;DATE($I$2,M$4,M$5))</f>
        <v/>
      </c>
      <c r="N326" s="321">
        <f>SUMIFS(DATA!$I:$I,DATA!$C:$C,$B326,DATA!$J:$J,"&gt;="&amp;DATE($I$2,N$4,1),DATA!$J:$J,"&lt;="&amp;DATE($I$2,N$4,N$5))</f>
        <v/>
      </c>
      <c r="O326" s="321">
        <f>SUMIFS(DATA!$I:$I,DATA!$C:$C,$B326,DATA!$J:$J,"&gt;="&amp;DATE($I$2,O$4,1),DATA!$J:$J,"&lt;="&amp;DATE($I$2,O$4,O$5))</f>
        <v/>
      </c>
      <c r="P326" s="322">
        <f>SUM(D326:O326)</f>
        <v/>
      </c>
      <c r="Q326" s="118" t="n"/>
    </row>
    <row r="327" hidden="1" outlineLevel="1" ht="15" customHeight="1">
      <c r="A327" s="266" t="n"/>
      <c r="B327" s="126" t="n"/>
      <c r="C327" s="119" t="inlineStr">
        <is>
          <t>Thực tế</t>
        </is>
      </c>
      <c r="D327" s="321">
        <f>SUMIFS(DATA!$M:$M,DATA!$C:$C,$B326,DATA!$N:$N,"&gt;="&amp;DATE($I$2,D$4,1),DATA!$N:$N,"&lt;="&amp;DATE($I$2,D$4,D$5))</f>
        <v/>
      </c>
      <c r="E327" s="321">
        <f>SUMIFS(DATA!$M:$M,DATA!$C:$C,$B326,DATA!$N:$N,"&gt;="&amp;DATE($I$2,E$4,1),DATA!$N:$N,"&lt;="&amp;DATE($I$2,E$4,E$5))</f>
        <v/>
      </c>
      <c r="F327" s="321">
        <f>SUMIFS(DATA!$M:$M,DATA!$C:$C,$B326,DATA!$N:$N,"&gt;="&amp;DATE($I$2,F$4,1),DATA!$N:$N,"&lt;="&amp;DATE($I$2,F$4,F$5))</f>
        <v/>
      </c>
      <c r="G327" s="321">
        <f>SUMIFS(DATA!$M:$M,DATA!$C:$C,$B326,DATA!$N:$N,"&gt;="&amp;DATE($I$2,G$4,1),DATA!$N:$N,"&lt;="&amp;DATE($I$2,G$4,G$5))</f>
        <v/>
      </c>
      <c r="H327" s="321">
        <f>SUMIFS(DATA!$M:$M,DATA!$C:$C,$B326,DATA!$N:$N,"&gt;="&amp;DATE($I$2,H$4,1),DATA!$N:$N,"&lt;="&amp;DATE($I$2,H$4,H$5))</f>
        <v/>
      </c>
      <c r="I327" s="321">
        <f>SUMIFS(DATA!$M:$M,DATA!$C:$C,$B326,DATA!$N:$N,"&gt;="&amp;DATE($I$2,I$4,1),DATA!$N:$N,"&lt;="&amp;DATE($I$2,I$4,I$5))</f>
        <v/>
      </c>
      <c r="J327" s="321">
        <f>SUMIFS(DATA!$M:$M,DATA!$C:$C,$B326,DATA!$N:$N,"&gt;="&amp;DATE($I$2,J$4,1),DATA!$N:$N,"&lt;="&amp;DATE($I$2,J$4,J$5))</f>
        <v/>
      </c>
      <c r="K327" s="321">
        <f>SUMIFS(DATA!$M:$M,DATA!$C:$C,$B326,DATA!$N:$N,"&gt;="&amp;DATE($I$2,K$4,1),DATA!$N:$N,"&lt;="&amp;DATE($I$2,K$4,K$5))</f>
        <v/>
      </c>
      <c r="L327" s="321">
        <f>SUMIFS(DATA!$M:$M,DATA!$C:$C,$B326,DATA!$N:$N,"&gt;="&amp;DATE($I$2,L$4,1),DATA!$N:$N,"&lt;="&amp;DATE($I$2,L$4,L$5))</f>
        <v/>
      </c>
      <c r="M327" s="321">
        <f>SUMIFS(DATA!$M:$M,DATA!$C:$C,$B326,DATA!$N:$N,"&gt;="&amp;DATE($I$2,M$4,1),DATA!$N:$N,"&lt;="&amp;DATE($I$2,M$4,M$5))</f>
        <v/>
      </c>
      <c r="N327" s="321">
        <f>SUMIFS(DATA!$M:$M,DATA!$C:$C,$B326,DATA!$N:$N,"&gt;="&amp;DATE($I$2,N$4,1),DATA!$N:$N,"&lt;="&amp;DATE($I$2,N$4,N$5))</f>
        <v/>
      </c>
      <c r="O327" s="321">
        <f>SUMIFS(DATA!$M:$M,DATA!$C:$C,$B326,DATA!$N:$N,"&gt;="&amp;DATE($I$2,O$4,1),DATA!$N:$N,"&lt;="&amp;DATE($I$2,O$4,O$5))</f>
        <v/>
      </c>
      <c r="P327" s="322">
        <f>SUM(D327:O327)</f>
        <v/>
      </c>
      <c r="Q327" s="118" t="n"/>
    </row>
    <row r="328" hidden="1" outlineLevel="1" ht="15" customHeight="1">
      <c r="A328" s="269" t="n">
        <v>162</v>
      </c>
      <c r="B328" s="125" t="n"/>
      <c r="C328" s="119" t="inlineStr">
        <is>
          <t>Kế hoạch</t>
        </is>
      </c>
      <c r="D328" s="321">
        <f>SUMIFS(DATA!$I:$I,DATA!$C:$C,$B328,DATA!$J:$J,"&gt;="&amp;DATE($I$2,D$4,1),DATA!$J:$J,"&lt;="&amp;DATE($I$2,D$4,D$5))</f>
        <v/>
      </c>
      <c r="E328" s="321">
        <f>SUMIFS(DATA!$I:$I,DATA!$C:$C,$B328,DATA!$J:$J,"&gt;="&amp;DATE($I$2,E$4,1),DATA!$J:$J,"&lt;="&amp;DATE($I$2,E$4,E$5))</f>
        <v/>
      </c>
      <c r="F328" s="321">
        <f>SUMIFS(DATA!$I:$I,DATA!$C:$C,$B328,DATA!$J:$J,"&gt;="&amp;DATE($I$2,F$4,1),DATA!$J:$J,"&lt;="&amp;DATE($I$2,F$4,F$5))</f>
        <v/>
      </c>
      <c r="G328" s="321">
        <f>SUMIFS(DATA!$I:$I,DATA!$C:$C,$B328,DATA!$J:$J,"&gt;="&amp;DATE($I$2,G$4,1),DATA!$J:$J,"&lt;="&amp;DATE($I$2,G$4,G$5))</f>
        <v/>
      </c>
      <c r="H328" s="321">
        <f>SUMIFS(DATA!$I:$I,DATA!$C:$C,$B328,DATA!$J:$J,"&gt;="&amp;DATE($I$2,H$4,1),DATA!$J:$J,"&lt;="&amp;DATE($I$2,H$4,H$5))</f>
        <v/>
      </c>
      <c r="I328" s="321">
        <f>SUMIFS(DATA!$I:$I,DATA!$C:$C,$B328,DATA!$J:$J,"&gt;="&amp;DATE($I$2,I$4,1),DATA!$J:$J,"&lt;="&amp;DATE($I$2,I$4,I$5))</f>
        <v/>
      </c>
      <c r="J328" s="321">
        <f>SUMIFS(DATA!$I:$I,DATA!$C:$C,$B328,DATA!$J:$J,"&gt;="&amp;DATE($I$2,J$4,1),DATA!$J:$J,"&lt;="&amp;DATE($I$2,J$4,J$5))</f>
        <v/>
      </c>
      <c r="K328" s="321">
        <f>SUMIFS(DATA!$I:$I,DATA!$C:$C,$B328,DATA!$J:$J,"&gt;="&amp;DATE($I$2,K$4,1),DATA!$J:$J,"&lt;="&amp;DATE($I$2,K$4,K$5))</f>
        <v/>
      </c>
      <c r="L328" s="321">
        <f>SUMIFS(DATA!$I:$I,DATA!$C:$C,$B328,DATA!$J:$J,"&gt;="&amp;DATE($I$2,L$4,1),DATA!$J:$J,"&lt;="&amp;DATE($I$2,L$4,L$5))</f>
        <v/>
      </c>
      <c r="M328" s="321">
        <f>SUMIFS(DATA!$I:$I,DATA!$C:$C,$B328,DATA!$J:$J,"&gt;="&amp;DATE($I$2,M$4,1),DATA!$J:$J,"&lt;="&amp;DATE($I$2,M$4,M$5))</f>
        <v/>
      </c>
      <c r="N328" s="321">
        <f>SUMIFS(DATA!$I:$I,DATA!$C:$C,$B328,DATA!$J:$J,"&gt;="&amp;DATE($I$2,N$4,1),DATA!$J:$J,"&lt;="&amp;DATE($I$2,N$4,N$5))</f>
        <v/>
      </c>
      <c r="O328" s="321">
        <f>SUMIFS(DATA!$I:$I,DATA!$C:$C,$B328,DATA!$J:$J,"&gt;="&amp;DATE($I$2,O$4,1),DATA!$J:$J,"&lt;="&amp;DATE($I$2,O$4,O$5))</f>
        <v/>
      </c>
      <c r="P328" s="322">
        <f>SUM(D328:O328)</f>
        <v/>
      </c>
      <c r="Q328" s="118" t="n"/>
    </row>
    <row r="329" hidden="1" outlineLevel="1" ht="15" customHeight="1">
      <c r="A329" s="266" t="n"/>
      <c r="B329" s="126" t="n"/>
      <c r="C329" s="119" t="inlineStr">
        <is>
          <t>Thực tế</t>
        </is>
      </c>
      <c r="D329" s="321">
        <f>SUMIFS(DATA!$M:$M,DATA!$C:$C,$B328,DATA!$N:$N,"&gt;="&amp;DATE($I$2,D$4,1),DATA!$N:$N,"&lt;="&amp;DATE($I$2,D$4,D$5))</f>
        <v/>
      </c>
      <c r="E329" s="321">
        <f>SUMIFS(DATA!$M:$M,DATA!$C:$C,$B328,DATA!$N:$N,"&gt;="&amp;DATE($I$2,E$4,1),DATA!$N:$N,"&lt;="&amp;DATE($I$2,E$4,E$5))</f>
        <v/>
      </c>
      <c r="F329" s="321">
        <f>SUMIFS(DATA!$M:$M,DATA!$C:$C,$B328,DATA!$N:$N,"&gt;="&amp;DATE($I$2,F$4,1),DATA!$N:$N,"&lt;="&amp;DATE($I$2,F$4,F$5))</f>
        <v/>
      </c>
      <c r="G329" s="321">
        <f>SUMIFS(DATA!$M:$M,DATA!$C:$C,$B328,DATA!$N:$N,"&gt;="&amp;DATE($I$2,G$4,1),DATA!$N:$N,"&lt;="&amp;DATE($I$2,G$4,G$5))</f>
        <v/>
      </c>
      <c r="H329" s="321">
        <f>SUMIFS(DATA!$M:$M,DATA!$C:$C,$B328,DATA!$N:$N,"&gt;="&amp;DATE($I$2,H$4,1),DATA!$N:$N,"&lt;="&amp;DATE($I$2,H$4,H$5))</f>
        <v/>
      </c>
      <c r="I329" s="321">
        <f>SUMIFS(DATA!$M:$M,DATA!$C:$C,$B328,DATA!$N:$N,"&gt;="&amp;DATE($I$2,I$4,1),DATA!$N:$N,"&lt;="&amp;DATE($I$2,I$4,I$5))</f>
        <v/>
      </c>
      <c r="J329" s="321">
        <f>SUMIFS(DATA!$M:$M,DATA!$C:$C,$B328,DATA!$N:$N,"&gt;="&amp;DATE($I$2,J$4,1),DATA!$N:$N,"&lt;="&amp;DATE($I$2,J$4,J$5))</f>
        <v/>
      </c>
      <c r="K329" s="321">
        <f>SUMIFS(DATA!$M:$M,DATA!$C:$C,$B328,DATA!$N:$N,"&gt;="&amp;DATE($I$2,K$4,1),DATA!$N:$N,"&lt;="&amp;DATE($I$2,K$4,K$5))</f>
        <v/>
      </c>
      <c r="L329" s="321">
        <f>SUMIFS(DATA!$M:$M,DATA!$C:$C,$B328,DATA!$N:$N,"&gt;="&amp;DATE($I$2,L$4,1),DATA!$N:$N,"&lt;="&amp;DATE($I$2,L$4,L$5))</f>
        <v/>
      </c>
      <c r="M329" s="321">
        <f>SUMIFS(DATA!$M:$M,DATA!$C:$C,$B328,DATA!$N:$N,"&gt;="&amp;DATE($I$2,M$4,1),DATA!$N:$N,"&lt;="&amp;DATE($I$2,M$4,M$5))</f>
        <v/>
      </c>
      <c r="N329" s="321">
        <f>SUMIFS(DATA!$M:$M,DATA!$C:$C,$B328,DATA!$N:$N,"&gt;="&amp;DATE($I$2,N$4,1),DATA!$N:$N,"&lt;="&amp;DATE($I$2,N$4,N$5))</f>
        <v/>
      </c>
      <c r="O329" s="321">
        <f>SUMIFS(DATA!$M:$M,DATA!$C:$C,$B328,DATA!$N:$N,"&gt;="&amp;DATE($I$2,O$4,1),DATA!$N:$N,"&lt;="&amp;DATE($I$2,O$4,O$5))</f>
        <v/>
      </c>
      <c r="P329" s="322">
        <f>SUM(D329:O329)</f>
        <v/>
      </c>
      <c r="Q329" s="118" t="n"/>
    </row>
    <row r="330" hidden="1" outlineLevel="1" ht="15" customHeight="1">
      <c r="A330" s="269" t="n">
        <v>163</v>
      </c>
      <c r="B330" s="125" t="n"/>
      <c r="C330" s="119" t="inlineStr">
        <is>
          <t>Kế hoạch</t>
        </is>
      </c>
      <c r="D330" s="321">
        <f>SUMIFS(DATA!$I:$I,DATA!$C:$C,$B330,DATA!$J:$J,"&gt;="&amp;DATE($I$2,D$4,1),DATA!$J:$J,"&lt;="&amp;DATE($I$2,D$4,D$5))</f>
        <v/>
      </c>
      <c r="E330" s="321">
        <f>SUMIFS(DATA!$I:$I,DATA!$C:$C,$B330,DATA!$J:$J,"&gt;="&amp;DATE($I$2,E$4,1),DATA!$J:$J,"&lt;="&amp;DATE($I$2,E$4,E$5))</f>
        <v/>
      </c>
      <c r="F330" s="321">
        <f>SUMIFS(DATA!$I:$I,DATA!$C:$C,$B330,DATA!$J:$J,"&gt;="&amp;DATE($I$2,F$4,1),DATA!$J:$J,"&lt;="&amp;DATE($I$2,F$4,F$5))</f>
        <v/>
      </c>
      <c r="G330" s="321">
        <f>SUMIFS(DATA!$I:$I,DATA!$C:$C,$B330,DATA!$J:$J,"&gt;="&amp;DATE($I$2,G$4,1),DATA!$J:$J,"&lt;="&amp;DATE($I$2,G$4,G$5))</f>
        <v/>
      </c>
      <c r="H330" s="321">
        <f>SUMIFS(DATA!$I:$I,DATA!$C:$C,$B330,DATA!$J:$J,"&gt;="&amp;DATE($I$2,H$4,1),DATA!$J:$J,"&lt;="&amp;DATE($I$2,H$4,H$5))</f>
        <v/>
      </c>
      <c r="I330" s="321">
        <f>SUMIFS(DATA!$I:$I,DATA!$C:$C,$B330,DATA!$J:$J,"&gt;="&amp;DATE($I$2,I$4,1),DATA!$J:$J,"&lt;="&amp;DATE($I$2,I$4,I$5))</f>
        <v/>
      </c>
      <c r="J330" s="321">
        <f>SUMIFS(DATA!$I:$I,DATA!$C:$C,$B330,DATA!$J:$J,"&gt;="&amp;DATE($I$2,J$4,1),DATA!$J:$J,"&lt;="&amp;DATE($I$2,J$4,J$5))</f>
        <v/>
      </c>
      <c r="K330" s="321">
        <f>SUMIFS(DATA!$I:$I,DATA!$C:$C,$B330,DATA!$J:$J,"&gt;="&amp;DATE($I$2,K$4,1),DATA!$J:$J,"&lt;="&amp;DATE($I$2,K$4,K$5))</f>
        <v/>
      </c>
      <c r="L330" s="321">
        <f>SUMIFS(DATA!$I:$I,DATA!$C:$C,$B330,DATA!$J:$J,"&gt;="&amp;DATE($I$2,L$4,1),DATA!$J:$J,"&lt;="&amp;DATE($I$2,L$4,L$5))</f>
        <v/>
      </c>
      <c r="M330" s="321">
        <f>SUMIFS(DATA!$I:$I,DATA!$C:$C,$B330,DATA!$J:$J,"&gt;="&amp;DATE($I$2,M$4,1),DATA!$J:$J,"&lt;="&amp;DATE($I$2,M$4,M$5))</f>
        <v/>
      </c>
      <c r="N330" s="321">
        <f>SUMIFS(DATA!$I:$I,DATA!$C:$C,$B330,DATA!$J:$J,"&gt;="&amp;DATE($I$2,N$4,1),DATA!$J:$J,"&lt;="&amp;DATE($I$2,N$4,N$5))</f>
        <v/>
      </c>
      <c r="O330" s="321">
        <f>SUMIFS(DATA!$I:$I,DATA!$C:$C,$B330,DATA!$J:$J,"&gt;="&amp;DATE($I$2,O$4,1),DATA!$J:$J,"&lt;="&amp;DATE($I$2,O$4,O$5))</f>
        <v/>
      </c>
      <c r="P330" s="322">
        <f>SUM(D330:O330)</f>
        <v/>
      </c>
      <c r="Q330" s="118" t="n"/>
    </row>
    <row r="331" hidden="1" outlineLevel="1" ht="15" customHeight="1">
      <c r="A331" s="266" t="n"/>
      <c r="B331" s="126" t="n"/>
      <c r="C331" s="119" t="inlineStr">
        <is>
          <t>Thực tế</t>
        </is>
      </c>
      <c r="D331" s="321">
        <f>SUMIFS(DATA!$M:$M,DATA!$C:$C,$B330,DATA!$N:$N,"&gt;="&amp;DATE($I$2,D$4,1),DATA!$N:$N,"&lt;="&amp;DATE($I$2,D$4,D$5))</f>
        <v/>
      </c>
      <c r="E331" s="321">
        <f>SUMIFS(DATA!$M:$M,DATA!$C:$C,$B330,DATA!$N:$N,"&gt;="&amp;DATE($I$2,E$4,1),DATA!$N:$N,"&lt;="&amp;DATE($I$2,E$4,E$5))</f>
        <v/>
      </c>
      <c r="F331" s="321">
        <f>SUMIFS(DATA!$M:$M,DATA!$C:$C,$B330,DATA!$N:$N,"&gt;="&amp;DATE($I$2,F$4,1),DATA!$N:$N,"&lt;="&amp;DATE($I$2,F$4,F$5))</f>
        <v/>
      </c>
      <c r="G331" s="321">
        <f>SUMIFS(DATA!$M:$M,DATA!$C:$C,$B330,DATA!$N:$N,"&gt;="&amp;DATE($I$2,G$4,1),DATA!$N:$N,"&lt;="&amp;DATE($I$2,G$4,G$5))</f>
        <v/>
      </c>
      <c r="H331" s="321">
        <f>SUMIFS(DATA!$M:$M,DATA!$C:$C,$B330,DATA!$N:$N,"&gt;="&amp;DATE($I$2,H$4,1),DATA!$N:$N,"&lt;="&amp;DATE($I$2,H$4,H$5))</f>
        <v/>
      </c>
      <c r="I331" s="321">
        <f>SUMIFS(DATA!$M:$M,DATA!$C:$C,$B330,DATA!$N:$N,"&gt;="&amp;DATE($I$2,I$4,1),DATA!$N:$N,"&lt;="&amp;DATE($I$2,I$4,I$5))</f>
        <v/>
      </c>
      <c r="J331" s="321">
        <f>SUMIFS(DATA!$M:$M,DATA!$C:$C,$B330,DATA!$N:$N,"&gt;="&amp;DATE($I$2,J$4,1),DATA!$N:$N,"&lt;="&amp;DATE($I$2,J$4,J$5))</f>
        <v/>
      </c>
      <c r="K331" s="321">
        <f>SUMIFS(DATA!$M:$M,DATA!$C:$C,$B330,DATA!$N:$N,"&gt;="&amp;DATE($I$2,K$4,1),DATA!$N:$N,"&lt;="&amp;DATE($I$2,K$4,K$5))</f>
        <v/>
      </c>
      <c r="L331" s="321">
        <f>SUMIFS(DATA!$M:$M,DATA!$C:$C,$B330,DATA!$N:$N,"&gt;="&amp;DATE($I$2,L$4,1),DATA!$N:$N,"&lt;="&amp;DATE($I$2,L$4,L$5))</f>
        <v/>
      </c>
      <c r="M331" s="321">
        <f>SUMIFS(DATA!$M:$M,DATA!$C:$C,$B330,DATA!$N:$N,"&gt;="&amp;DATE($I$2,M$4,1),DATA!$N:$N,"&lt;="&amp;DATE($I$2,M$4,M$5))</f>
        <v/>
      </c>
      <c r="N331" s="321">
        <f>SUMIFS(DATA!$M:$M,DATA!$C:$C,$B330,DATA!$N:$N,"&gt;="&amp;DATE($I$2,N$4,1),DATA!$N:$N,"&lt;="&amp;DATE($I$2,N$4,N$5))</f>
        <v/>
      </c>
      <c r="O331" s="321">
        <f>SUMIFS(DATA!$M:$M,DATA!$C:$C,$B330,DATA!$N:$N,"&gt;="&amp;DATE($I$2,O$4,1),DATA!$N:$N,"&lt;="&amp;DATE($I$2,O$4,O$5))</f>
        <v/>
      </c>
      <c r="P331" s="322">
        <f>SUM(D331:O331)</f>
        <v/>
      </c>
      <c r="Q331" s="118" t="n"/>
    </row>
    <row r="332" hidden="1" outlineLevel="1" ht="15" customHeight="1">
      <c r="A332" s="269" t="n">
        <v>164</v>
      </c>
      <c r="B332" s="125" t="n"/>
      <c r="C332" s="119" t="inlineStr">
        <is>
          <t>Kế hoạch</t>
        </is>
      </c>
      <c r="D332" s="321">
        <f>SUMIFS(DATA!$I:$I,DATA!$C:$C,$B332,DATA!$J:$J,"&gt;="&amp;DATE($I$2,D$4,1),DATA!$J:$J,"&lt;="&amp;DATE($I$2,D$4,D$5))</f>
        <v/>
      </c>
      <c r="E332" s="321">
        <f>SUMIFS(DATA!$I:$I,DATA!$C:$C,$B332,DATA!$J:$J,"&gt;="&amp;DATE($I$2,E$4,1),DATA!$J:$J,"&lt;="&amp;DATE($I$2,E$4,E$5))</f>
        <v/>
      </c>
      <c r="F332" s="321">
        <f>SUMIFS(DATA!$I:$I,DATA!$C:$C,$B332,DATA!$J:$J,"&gt;="&amp;DATE($I$2,F$4,1),DATA!$J:$J,"&lt;="&amp;DATE($I$2,F$4,F$5))</f>
        <v/>
      </c>
      <c r="G332" s="321">
        <f>SUMIFS(DATA!$I:$I,DATA!$C:$C,$B332,DATA!$J:$J,"&gt;="&amp;DATE($I$2,G$4,1),DATA!$J:$J,"&lt;="&amp;DATE($I$2,G$4,G$5))</f>
        <v/>
      </c>
      <c r="H332" s="321">
        <f>SUMIFS(DATA!$I:$I,DATA!$C:$C,$B332,DATA!$J:$J,"&gt;="&amp;DATE($I$2,H$4,1),DATA!$J:$J,"&lt;="&amp;DATE($I$2,H$4,H$5))</f>
        <v/>
      </c>
      <c r="I332" s="321">
        <f>SUMIFS(DATA!$I:$I,DATA!$C:$C,$B332,DATA!$J:$J,"&gt;="&amp;DATE($I$2,I$4,1),DATA!$J:$J,"&lt;="&amp;DATE($I$2,I$4,I$5))</f>
        <v/>
      </c>
      <c r="J332" s="321">
        <f>SUMIFS(DATA!$I:$I,DATA!$C:$C,$B332,DATA!$J:$J,"&gt;="&amp;DATE($I$2,J$4,1),DATA!$J:$J,"&lt;="&amp;DATE($I$2,J$4,J$5))</f>
        <v/>
      </c>
      <c r="K332" s="321">
        <f>SUMIFS(DATA!$I:$I,DATA!$C:$C,$B332,DATA!$J:$J,"&gt;="&amp;DATE($I$2,K$4,1),DATA!$J:$J,"&lt;="&amp;DATE($I$2,K$4,K$5))</f>
        <v/>
      </c>
      <c r="L332" s="321">
        <f>SUMIFS(DATA!$I:$I,DATA!$C:$C,$B332,DATA!$J:$J,"&gt;="&amp;DATE($I$2,L$4,1),DATA!$J:$J,"&lt;="&amp;DATE($I$2,L$4,L$5))</f>
        <v/>
      </c>
      <c r="M332" s="321">
        <f>SUMIFS(DATA!$I:$I,DATA!$C:$C,$B332,DATA!$J:$J,"&gt;="&amp;DATE($I$2,M$4,1),DATA!$J:$J,"&lt;="&amp;DATE($I$2,M$4,M$5))</f>
        <v/>
      </c>
      <c r="N332" s="321">
        <f>SUMIFS(DATA!$I:$I,DATA!$C:$C,$B332,DATA!$J:$J,"&gt;="&amp;DATE($I$2,N$4,1),DATA!$J:$J,"&lt;="&amp;DATE($I$2,N$4,N$5))</f>
        <v/>
      </c>
      <c r="O332" s="321">
        <f>SUMIFS(DATA!$I:$I,DATA!$C:$C,$B332,DATA!$J:$J,"&gt;="&amp;DATE($I$2,O$4,1),DATA!$J:$J,"&lt;="&amp;DATE($I$2,O$4,O$5))</f>
        <v/>
      </c>
      <c r="P332" s="322">
        <f>SUM(D332:O332)</f>
        <v/>
      </c>
      <c r="Q332" s="118" t="n"/>
    </row>
    <row r="333" hidden="1" outlineLevel="1" ht="15" customHeight="1">
      <c r="A333" s="266" t="n"/>
      <c r="B333" s="126" t="n"/>
      <c r="C333" s="119" t="inlineStr">
        <is>
          <t>Thực tế</t>
        </is>
      </c>
      <c r="D333" s="321">
        <f>SUMIFS(DATA!$M:$M,DATA!$C:$C,$B332,DATA!$N:$N,"&gt;="&amp;DATE($I$2,D$4,1),DATA!$N:$N,"&lt;="&amp;DATE($I$2,D$4,D$5))</f>
        <v/>
      </c>
      <c r="E333" s="321">
        <f>SUMIFS(DATA!$M:$M,DATA!$C:$C,$B332,DATA!$N:$N,"&gt;="&amp;DATE($I$2,E$4,1),DATA!$N:$N,"&lt;="&amp;DATE($I$2,E$4,E$5))</f>
        <v/>
      </c>
      <c r="F333" s="321">
        <f>SUMIFS(DATA!$M:$M,DATA!$C:$C,$B332,DATA!$N:$N,"&gt;="&amp;DATE($I$2,F$4,1),DATA!$N:$N,"&lt;="&amp;DATE($I$2,F$4,F$5))</f>
        <v/>
      </c>
      <c r="G333" s="321">
        <f>SUMIFS(DATA!$M:$M,DATA!$C:$C,$B332,DATA!$N:$N,"&gt;="&amp;DATE($I$2,G$4,1),DATA!$N:$N,"&lt;="&amp;DATE($I$2,G$4,G$5))</f>
        <v/>
      </c>
      <c r="H333" s="321">
        <f>SUMIFS(DATA!$M:$M,DATA!$C:$C,$B332,DATA!$N:$N,"&gt;="&amp;DATE($I$2,H$4,1),DATA!$N:$N,"&lt;="&amp;DATE($I$2,H$4,H$5))</f>
        <v/>
      </c>
      <c r="I333" s="321">
        <f>SUMIFS(DATA!$M:$M,DATA!$C:$C,$B332,DATA!$N:$N,"&gt;="&amp;DATE($I$2,I$4,1),DATA!$N:$N,"&lt;="&amp;DATE($I$2,I$4,I$5))</f>
        <v/>
      </c>
      <c r="J333" s="321">
        <f>SUMIFS(DATA!$M:$M,DATA!$C:$C,$B332,DATA!$N:$N,"&gt;="&amp;DATE($I$2,J$4,1),DATA!$N:$N,"&lt;="&amp;DATE($I$2,J$4,J$5))</f>
        <v/>
      </c>
      <c r="K333" s="321">
        <f>SUMIFS(DATA!$M:$M,DATA!$C:$C,$B332,DATA!$N:$N,"&gt;="&amp;DATE($I$2,K$4,1),DATA!$N:$N,"&lt;="&amp;DATE($I$2,K$4,K$5))</f>
        <v/>
      </c>
      <c r="L333" s="321">
        <f>SUMIFS(DATA!$M:$M,DATA!$C:$C,$B332,DATA!$N:$N,"&gt;="&amp;DATE($I$2,L$4,1),DATA!$N:$N,"&lt;="&amp;DATE($I$2,L$4,L$5))</f>
        <v/>
      </c>
      <c r="M333" s="321">
        <f>SUMIFS(DATA!$M:$M,DATA!$C:$C,$B332,DATA!$N:$N,"&gt;="&amp;DATE($I$2,M$4,1),DATA!$N:$N,"&lt;="&amp;DATE($I$2,M$4,M$5))</f>
        <v/>
      </c>
      <c r="N333" s="321">
        <f>SUMIFS(DATA!$M:$M,DATA!$C:$C,$B332,DATA!$N:$N,"&gt;="&amp;DATE($I$2,N$4,1),DATA!$N:$N,"&lt;="&amp;DATE($I$2,N$4,N$5))</f>
        <v/>
      </c>
      <c r="O333" s="321">
        <f>SUMIFS(DATA!$M:$M,DATA!$C:$C,$B332,DATA!$N:$N,"&gt;="&amp;DATE($I$2,O$4,1),DATA!$N:$N,"&lt;="&amp;DATE($I$2,O$4,O$5))</f>
        <v/>
      </c>
      <c r="P333" s="322">
        <f>SUM(D333:O333)</f>
        <v/>
      </c>
      <c r="Q333" s="118" t="n"/>
    </row>
    <row r="334" hidden="1" outlineLevel="1" ht="15" customHeight="1">
      <c r="A334" s="269" t="n">
        <v>165</v>
      </c>
      <c r="B334" s="125" t="n"/>
      <c r="C334" s="119" t="inlineStr">
        <is>
          <t>Kế hoạch</t>
        </is>
      </c>
      <c r="D334" s="321">
        <f>SUMIFS(DATA!$I:$I,DATA!$C:$C,$B334,DATA!$J:$J,"&gt;="&amp;DATE($I$2,D$4,1),DATA!$J:$J,"&lt;="&amp;DATE($I$2,D$4,D$5))</f>
        <v/>
      </c>
      <c r="E334" s="321">
        <f>SUMIFS(DATA!$I:$I,DATA!$C:$C,$B334,DATA!$J:$J,"&gt;="&amp;DATE($I$2,E$4,1),DATA!$J:$J,"&lt;="&amp;DATE($I$2,E$4,E$5))</f>
        <v/>
      </c>
      <c r="F334" s="321">
        <f>SUMIFS(DATA!$I:$I,DATA!$C:$C,$B334,DATA!$J:$J,"&gt;="&amp;DATE($I$2,F$4,1),DATA!$J:$J,"&lt;="&amp;DATE($I$2,F$4,F$5))</f>
        <v/>
      </c>
      <c r="G334" s="321">
        <f>SUMIFS(DATA!$I:$I,DATA!$C:$C,$B334,DATA!$J:$J,"&gt;="&amp;DATE($I$2,G$4,1),DATA!$J:$J,"&lt;="&amp;DATE($I$2,G$4,G$5))</f>
        <v/>
      </c>
      <c r="H334" s="321">
        <f>SUMIFS(DATA!$I:$I,DATA!$C:$C,$B334,DATA!$J:$J,"&gt;="&amp;DATE($I$2,H$4,1),DATA!$J:$J,"&lt;="&amp;DATE($I$2,H$4,H$5))</f>
        <v/>
      </c>
      <c r="I334" s="321">
        <f>SUMIFS(DATA!$I:$I,DATA!$C:$C,$B334,DATA!$J:$J,"&gt;="&amp;DATE($I$2,I$4,1),DATA!$J:$J,"&lt;="&amp;DATE($I$2,I$4,I$5))</f>
        <v/>
      </c>
      <c r="J334" s="321">
        <f>SUMIFS(DATA!$I:$I,DATA!$C:$C,$B334,DATA!$J:$J,"&gt;="&amp;DATE($I$2,J$4,1),DATA!$J:$J,"&lt;="&amp;DATE($I$2,J$4,J$5))</f>
        <v/>
      </c>
      <c r="K334" s="321">
        <f>SUMIFS(DATA!$I:$I,DATA!$C:$C,$B334,DATA!$J:$J,"&gt;="&amp;DATE($I$2,K$4,1),DATA!$J:$J,"&lt;="&amp;DATE($I$2,K$4,K$5))</f>
        <v/>
      </c>
      <c r="L334" s="321">
        <f>SUMIFS(DATA!$I:$I,DATA!$C:$C,$B334,DATA!$J:$J,"&gt;="&amp;DATE($I$2,L$4,1),DATA!$J:$J,"&lt;="&amp;DATE($I$2,L$4,L$5))</f>
        <v/>
      </c>
      <c r="M334" s="321">
        <f>SUMIFS(DATA!$I:$I,DATA!$C:$C,$B334,DATA!$J:$J,"&gt;="&amp;DATE($I$2,M$4,1),DATA!$J:$J,"&lt;="&amp;DATE($I$2,M$4,M$5))</f>
        <v/>
      </c>
      <c r="N334" s="321">
        <f>SUMIFS(DATA!$I:$I,DATA!$C:$C,$B334,DATA!$J:$J,"&gt;="&amp;DATE($I$2,N$4,1),DATA!$J:$J,"&lt;="&amp;DATE($I$2,N$4,N$5))</f>
        <v/>
      </c>
      <c r="O334" s="321">
        <f>SUMIFS(DATA!$I:$I,DATA!$C:$C,$B334,DATA!$J:$J,"&gt;="&amp;DATE($I$2,O$4,1),DATA!$J:$J,"&lt;="&amp;DATE($I$2,O$4,O$5))</f>
        <v/>
      </c>
      <c r="P334" s="322">
        <f>SUM(D334:O334)</f>
        <v/>
      </c>
      <c r="Q334" s="118" t="n"/>
    </row>
    <row r="335" hidden="1" outlineLevel="1" ht="15" customHeight="1">
      <c r="A335" s="266" t="n"/>
      <c r="B335" s="126" t="n"/>
      <c r="C335" s="119" t="inlineStr">
        <is>
          <t>Thực tế</t>
        </is>
      </c>
      <c r="D335" s="321">
        <f>SUMIFS(DATA!$M:$M,DATA!$C:$C,$B334,DATA!$N:$N,"&gt;="&amp;DATE($I$2,D$4,1),DATA!$N:$N,"&lt;="&amp;DATE($I$2,D$4,D$5))</f>
        <v/>
      </c>
      <c r="E335" s="321">
        <f>SUMIFS(DATA!$M:$M,DATA!$C:$C,$B334,DATA!$N:$N,"&gt;="&amp;DATE($I$2,E$4,1),DATA!$N:$N,"&lt;="&amp;DATE($I$2,E$4,E$5))</f>
        <v/>
      </c>
      <c r="F335" s="321">
        <f>SUMIFS(DATA!$M:$M,DATA!$C:$C,$B334,DATA!$N:$N,"&gt;="&amp;DATE($I$2,F$4,1),DATA!$N:$N,"&lt;="&amp;DATE($I$2,F$4,F$5))</f>
        <v/>
      </c>
      <c r="G335" s="321">
        <f>SUMIFS(DATA!$M:$M,DATA!$C:$C,$B334,DATA!$N:$N,"&gt;="&amp;DATE($I$2,G$4,1),DATA!$N:$N,"&lt;="&amp;DATE($I$2,G$4,G$5))</f>
        <v/>
      </c>
      <c r="H335" s="321">
        <f>SUMIFS(DATA!$M:$M,DATA!$C:$C,$B334,DATA!$N:$N,"&gt;="&amp;DATE($I$2,H$4,1),DATA!$N:$N,"&lt;="&amp;DATE($I$2,H$4,H$5))</f>
        <v/>
      </c>
      <c r="I335" s="321">
        <f>SUMIFS(DATA!$M:$M,DATA!$C:$C,$B334,DATA!$N:$N,"&gt;="&amp;DATE($I$2,I$4,1),DATA!$N:$N,"&lt;="&amp;DATE($I$2,I$4,I$5))</f>
        <v/>
      </c>
      <c r="J335" s="321">
        <f>SUMIFS(DATA!$M:$M,DATA!$C:$C,$B334,DATA!$N:$N,"&gt;="&amp;DATE($I$2,J$4,1),DATA!$N:$N,"&lt;="&amp;DATE($I$2,J$4,J$5))</f>
        <v/>
      </c>
      <c r="K335" s="321">
        <f>SUMIFS(DATA!$M:$M,DATA!$C:$C,$B334,DATA!$N:$N,"&gt;="&amp;DATE($I$2,K$4,1),DATA!$N:$N,"&lt;="&amp;DATE($I$2,K$4,K$5))</f>
        <v/>
      </c>
      <c r="L335" s="321">
        <f>SUMIFS(DATA!$M:$M,DATA!$C:$C,$B334,DATA!$N:$N,"&gt;="&amp;DATE($I$2,L$4,1),DATA!$N:$N,"&lt;="&amp;DATE($I$2,L$4,L$5))</f>
        <v/>
      </c>
      <c r="M335" s="321">
        <f>SUMIFS(DATA!$M:$M,DATA!$C:$C,$B334,DATA!$N:$N,"&gt;="&amp;DATE($I$2,M$4,1),DATA!$N:$N,"&lt;="&amp;DATE($I$2,M$4,M$5))</f>
        <v/>
      </c>
      <c r="N335" s="321">
        <f>SUMIFS(DATA!$M:$M,DATA!$C:$C,$B334,DATA!$N:$N,"&gt;="&amp;DATE($I$2,N$4,1),DATA!$N:$N,"&lt;="&amp;DATE($I$2,N$4,N$5))</f>
        <v/>
      </c>
      <c r="O335" s="321">
        <f>SUMIFS(DATA!$M:$M,DATA!$C:$C,$B334,DATA!$N:$N,"&gt;="&amp;DATE($I$2,O$4,1),DATA!$N:$N,"&lt;="&amp;DATE($I$2,O$4,O$5))</f>
        <v/>
      </c>
      <c r="P335" s="322">
        <f>SUM(D335:O335)</f>
        <v/>
      </c>
      <c r="Q335" s="118" t="n"/>
    </row>
    <row r="336" hidden="1" outlineLevel="1" ht="15" customHeight="1">
      <c r="A336" s="269" t="n">
        <v>166</v>
      </c>
      <c r="B336" s="125" t="n"/>
      <c r="C336" s="119" t="inlineStr">
        <is>
          <t>Kế hoạch</t>
        </is>
      </c>
      <c r="D336" s="321">
        <f>SUMIFS(DATA!$I:$I,DATA!$C:$C,$B336,DATA!$J:$J,"&gt;="&amp;DATE($I$2,D$4,1),DATA!$J:$J,"&lt;="&amp;DATE($I$2,D$4,D$5))</f>
        <v/>
      </c>
      <c r="E336" s="321">
        <f>SUMIFS(DATA!$I:$I,DATA!$C:$C,$B336,DATA!$J:$J,"&gt;="&amp;DATE($I$2,E$4,1),DATA!$J:$J,"&lt;="&amp;DATE($I$2,E$4,E$5))</f>
        <v/>
      </c>
      <c r="F336" s="321">
        <f>SUMIFS(DATA!$I:$I,DATA!$C:$C,$B336,DATA!$J:$J,"&gt;="&amp;DATE($I$2,F$4,1),DATA!$J:$J,"&lt;="&amp;DATE($I$2,F$4,F$5))</f>
        <v/>
      </c>
      <c r="G336" s="321">
        <f>SUMIFS(DATA!$I:$I,DATA!$C:$C,$B336,DATA!$J:$J,"&gt;="&amp;DATE($I$2,G$4,1),DATA!$J:$J,"&lt;="&amp;DATE($I$2,G$4,G$5))</f>
        <v/>
      </c>
      <c r="H336" s="321">
        <f>SUMIFS(DATA!$I:$I,DATA!$C:$C,$B336,DATA!$J:$J,"&gt;="&amp;DATE($I$2,H$4,1),DATA!$J:$J,"&lt;="&amp;DATE($I$2,H$4,H$5))</f>
        <v/>
      </c>
      <c r="I336" s="321">
        <f>SUMIFS(DATA!$I:$I,DATA!$C:$C,$B336,DATA!$J:$J,"&gt;="&amp;DATE($I$2,I$4,1),DATA!$J:$J,"&lt;="&amp;DATE($I$2,I$4,I$5))</f>
        <v/>
      </c>
      <c r="J336" s="321">
        <f>SUMIFS(DATA!$I:$I,DATA!$C:$C,$B336,DATA!$J:$J,"&gt;="&amp;DATE($I$2,J$4,1),DATA!$J:$J,"&lt;="&amp;DATE($I$2,J$4,J$5))</f>
        <v/>
      </c>
      <c r="K336" s="321">
        <f>SUMIFS(DATA!$I:$I,DATA!$C:$C,$B336,DATA!$J:$J,"&gt;="&amp;DATE($I$2,K$4,1),DATA!$J:$J,"&lt;="&amp;DATE($I$2,K$4,K$5))</f>
        <v/>
      </c>
      <c r="L336" s="321">
        <f>SUMIFS(DATA!$I:$I,DATA!$C:$C,$B336,DATA!$J:$J,"&gt;="&amp;DATE($I$2,L$4,1),DATA!$J:$J,"&lt;="&amp;DATE($I$2,L$4,L$5))</f>
        <v/>
      </c>
      <c r="M336" s="321">
        <f>SUMIFS(DATA!$I:$I,DATA!$C:$C,$B336,DATA!$J:$J,"&gt;="&amp;DATE($I$2,M$4,1),DATA!$J:$J,"&lt;="&amp;DATE($I$2,M$4,M$5))</f>
        <v/>
      </c>
      <c r="N336" s="321">
        <f>SUMIFS(DATA!$I:$I,DATA!$C:$C,$B336,DATA!$J:$J,"&gt;="&amp;DATE($I$2,N$4,1),DATA!$J:$J,"&lt;="&amp;DATE($I$2,N$4,N$5))</f>
        <v/>
      </c>
      <c r="O336" s="321">
        <f>SUMIFS(DATA!$I:$I,DATA!$C:$C,$B336,DATA!$J:$J,"&gt;="&amp;DATE($I$2,O$4,1),DATA!$J:$J,"&lt;="&amp;DATE($I$2,O$4,O$5))</f>
        <v/>
      </c>
      <c r="P336" s="322">
        <f>SUM(D336:O336)</f>
        <v/>
      </c>
      <c r="Q336" s="118" t="n"/>
    </row>
    <row r="337" hidden="1" outlineLevel="1" ht="15" customHeight="1">
      <c r="A337" s="266" t="n"/>
      <c r="B337" s="126" t="n"/>
      <c r="C337" s="119" t="inlineStr">
        <is>
          <t>Thực tế</t>
        </is>
      </c>
      <c r="D337" s="321">
        <f>SUMIFS(DATA!$M:$M,DATA!$C:$C,$B336,DATA!$N:$N,"&gt;="&amp;DATE($I$2,D$4,1),DATA!$N:$N,"&lt;="&amp;DATE($I$2,D$4,D$5))</f>
        <v/>
      </c>
      <c r="E337" s="321">
        <f>SUMIFS(DATA!$M:$M,DATA!$C:$C,$B336,DATA!$N:$N,"&gt;="&amp;DATE($I$2,E$4,1),DATA!$N:$N,"&lt;="&amp;DATE($I$2,E$4,E$5))</f>
        <v/>
      </c>
      <c r="F337" s="321">
        <f>SUMIFS(DATA!$M:$M,DATA!$C:$C,$B336,DATA!$N:$N,"&gt;="&amp;DATE($I$2,F$4,1),DATA!$N:$N,"&lt;="&amp;DATE($I$2,F$4,F$5))</f>
        <v/>
      </c>
      <c r="G337" s="321">
        <f>SUMIFS(DATA!$M:$M,DATA!$C:$C,$B336,DATA!$N:$N,"&gt;="&amp;DATE($I$2,G$4,1),DATA!$N:$N,"&lt;="&amp;DATE($I$2,G$4,G$5))</f>
        <v/>
      </c>
      <c r="H337" s="321">
        <f>SUMIFS(DATA!$M:$M,DATA!$C:$C,$B336,DATA!$N:$N,"&gt;="&amp;DATE($I$2,H$4,1),DATA!$N:$N,"&lt;="&amp;DATE($I$2,H$4,H$5))</f>
        <v/>
      </c>
      <c r="I337" s="321">
        <f>SUMIFS(DATA!$M:$M,DATA!$C:$C,$B336,DATA!$N:$N,"&gt;="&amp;DATE($I$2,I$4,1),DATA!$N:$N,"&lt;="&amp;DATE($I$2,I$4,I$5))</f>
        <v/>
      </c>
      <c r="J337" s="321">
        <f>SUMIFS(DATA!$M:$M,DATA!$C:$C,$B336,DATA!$N:$N,"&gt;="&amp;DATE($I$2,J$4,1),DATA!$N:$N,"&lt;="&amp;DATE($I$2,J$4,J$5))</f>
        <v/>
      </c>
      <c r="K337" s="321">
        <f>SUMIFS(DATA!$M:$M,DATA!$C:$C,$B336,DATA!$N:$N,"&gt;="&amp;DATE($I$2,K$4,1),DATA!$N:$N,"&lt;="&amp;DATE($I$2,K$4,K$5))</f>
        <v/>
      </c>
      <c r="L337" s="321">
        <f>SUMIFS(DATA!$M:$M,DATA!$C:$C,$B336,DATA!$N:$N,"&gt;="&amp;DATE($I$2,L$4,1),DATA!$N:$N,"&lt;="&amp;DATE($I$2,L$4,L$5))</f>
        <v/>
      </c>
      <c r="M337" s="321">
        <f>SUMIFS(DATA!$M:$M,DATA!$C:$C,$B336,DATA!$N:$N,"&gt;="&amp;DATE($I$2,M$4,1),DATA!$N:$N,"&lt;="&amp;DATE($I$2,M$4,M$5))</f>
        <v/>
      </c>
      <c r="N337" s="321">
        <f>SUMIFS(DATA!$M:$M,DATA!$C:$C,$B336,DATA!$N:$N,"&gt;="&amp;DATE($I$2,N$4,1),DATA!$N:$N,"&lt;="&amp;DATE($I$2,N$4,N$5))</f>
        <v/>
      </c>
      <c r="O337" s="321">
        <f>SUMIFS(DATA!$M:$M,DATA!$C:$C,$B336,DATA!$N:$N,"&gt;="&amp;DATE($I$2,O$4,1),DATA!$N:$N,"&lt;="&amp;DATE($I$2,O$4,O$5))</f>
        <v/>
      </c>
      <c r="P337" s="322">
        <f>SUM(D337:O337)</f>
        <v/>
      </c>
      <c r="Q337" s="118" t="n"/>
    </row>
    <row r="338" hidden="1" outlineLevel="1" ht="15" customHeight="1">
      <c r="A338" s="269" t="n">
        <v>167</v>
      </c>
      <c r="B338" s="125" t="n"/>
      <c r="C338" s="119" t="inlineStr">
        <is>
          <t>Kế hoạch</t>
        </is>
      </c>
      <c r="D338" s="321">
        <f>SUMIFS(DATA!$I:$I,DATA!$C:$C,$B338,DATA!$J:$J,"&gt;="&amp;DATE($I$2,D$4,1),DATA!$J:$J,"&lt;="&amp;DATE($I$2,D$4,D$5))</f>
        <v/>
      </c>
      <c r="E338" s="321">
        <f>SUMIFS(DATA!$I:$I,DATA!$C:$C,$B338,DATA!$J:$J,"&gt;="&amp;DATE($I$2,E$4,1),DATA!$J:$J,"&lt;="&amp;DATE($I$2,E$4,E$5))</f>
        <v/>
      </c>
      <c r="F338" s="321">
        <f>SUMIFS(DATA!$I:$I,DATA!$C:$C,$B338,DATA!$J:$J,"&gt;="&amp;DATE($I$2,F$4,1),DATA!$J:$J,"&lt;="&amp;DATE($I$2,F$4,F$5))</f>
        <v/>
      </c>
      <c r="G338" s="321">
        <f>SUMIFS(DATA!$I:$I,DATA!$C:$C,$B338,DATA!$J:$J,"&gt;="&amp;DATE($I$2,G$4,1),DATA!$J:$J,"&lt;="&amp;DATE($I$2,G$4,G$5))</f>
        <v/>
      </c>
      <c r="H338" s="321">
        <f>SUMIFS(DATA!$I:$I,DATA!$C:$C,$B338,DATA!$J:$J,"&gt;="&amp;DATE($I$2,H$4,1),DATA!$J:$J,"&lt;="&amp;DATE($I$2,H$4,H$5))</f>
        <v/>
      </c>
      <c r="I338" s="321">
        <f>SUMIFS(DATA!$I:$I,DATA!$C:$C,$B338,DATA!$J:$J,"&gt;="&amp;DATE($I$2,I$4,1),DATA!$J:$J,"&lt;="&amp;DATE($I$2,I$4,I$5))</f>
        <v/>
      </c>
      <c r="J338" s="321">
        <f>SUMIFS(DATA!$I:$I,DATA!$C:$C,$B338,DATA!$J:$J,"&gt;="&amp;DATE($I$2,J$4,1),DATA!$J:$J,"&lt;="&amp;DATE($I$2,J$4,J$5))</f>
        <v/>
      </c>
      <c r="K338" s="321">
        <f>SUMIFS(DATA!$I:$I,DATA!$C:$C,$B338,DATA!$J:$J,"&gt;="&amp;DATE($I$2,K$4,1),DATA!$J:$J,"&lt;="&amp;DATE($I$2,K$4,K$5))</f>
        <v/>
      </c>
      <c r="L338" s="321">
        <f>SUMIFS(DATA!$I:$I,DATA!$C:$C,$B338,DATA!$J:$J,"&gt;="&amp;DATE($I$2,L$4,1),DATA!$J:$J,"&lt;="&amp;DATE($I$2,L$4,L$5))</f>
        <v/>
      </c>
      <c r="M338" s="321">
        <f>SUMIFS(DATA!$I:$I,DATA!$C:$C,$B338,DATA!$J:$J,"&gt;="&amp;DATE($I$2,M$4,1),DATA!$J:$J,"&lt;="&amp;DATE($I$2,M$4,M$5))</f>
        <v/>
      </c>
      <c r="N338" s="321">
        <f>SUMIFS(DATA!$I:$I,DATA!$C:$C,$B338,DATA!$J:$J,"&gt;="&amp;DATE($I$2,N$4,1),DATA!$J:$J,"&lt;="&amp;DATE($I$2,N$4,N$5))</f>
        <v/>
      </c>
      <c r="O338" s="321">
        <f>SUMIFS(DATA!$I:$I,DATA!$C:$C,$B338,DATA!$J:$J,"&gt;="&amp;DATE($I$2,O$4,1),DATA!$J:$J,"&lt;="&amp;DATE($I$2,O$4,O$5))</f>
        <v/>
      </c>
      <c r="P338" s="322">
        <f>SUM(D338:O338)</f>
        <v/>
      </c>
      <c r="Q338" s="118" t="n"/>
    </row>
    <row r="339" hidden="1" outlineLevel="1" ht="15" customHeight="1">
      <c r="A339" s="266" t="n"/>
      <c r="B339" s="126" t="n"/>
      <c r="C339" s="119" t="inlineStr">
        <is>
          <t>Thực tế</t>
        </is>
      </c>
      <c r="D339" s="321">
        <f>SUMIFS(DATA!$M:$M,DATA!$C:$C,$B338,DATA!$N:$N,"&gt;="&amp;DATE($I$2,D$4,1),DATA!$N:$N,"&lt;="&amp;DATE($I$2,D$4,D$5))</f>
        <v/>
      </c>
      <c r="E339" s="321">
        <f>SUMIFS(DATA!$M:$M,DATA!$C:$C,$B338,DATA!$N:$N,"&gt;="&amp;DATE($I$2,E$4,1),DATA!$N:$N,"&lt;="&amp;DATE($I$2,E$4,E$5))</f>
        <v/>
      </c>
      <c r="F339" s="321">
        <f>SUMIFS(DATA!$M:$M,DATA!$C:$C,$B338,DATA!$N:$N,"&gt;="&amp;DATE($I$2,F$4,1),DATA!$N:$N,"&lt;="&amp;DATE($I$2,F$4,F$5))</f>
        <v/>
      </c>
      <c r="G339" s="321">
        <f>SUMIFS(DATA!$M:$M,DATA!$C:$C,$B338,DATA!$N:$N,"&gt;="&amp;DATE($I$2,G$4,1),DATA!$N:$N,"&lt;="&amp;DATE($I$2,G$4,G$5))</f>
        <v/>
      </c>
      <c r="H339" s="321">
        <f>SUMIFS(DATA!$M:$M,DATA!$C:$C,$B338,DATA!$N:$N,"&gt;="&amp;DATE($I$2,H$4,1),DATA!$N:$N,"&lt;="&amp;DATE($I$2,H$4,H$5))</f>
        <v/>
      </c>
      <c r="I339" s="321">
        <f>SUMIFS(DATA!$M:$M,DATA!$C:$C,$B338,DATA!$N:$N,"&gt;="&amp;DATE($I$2,I$4,1),DATA!$N:$N,"&lt;="&amp;DATE($I$2,I$4,I$5))</f>
        <v/>
      </c>
      <c r="J339" s="321">
        <f>SUMIFS(DATA!$M:$M,DATA!$C:$C,$B338,DATA!$N:$N,"&gt;="&amp;DATE($I$2,J$4,1),DATA!$N:$N,"&lt;="&amp;DATE($I$2,J$4,J$5))</f>
        <v/>
      </c>
      <c r="K339" s="321">
        <f>SUMIFS(DATA!$M:$M,DATA!$C:$C,$B338,DATA!$N:$N,"&gt;="&amp;DATE($I$2,K$4,1),DATA!$N:$N,"&lt;="&amp;DATE($I$2,K$4,K$5))</f>
        <v/>
      </c>
      <c r="L339" s="321">
        <f>SUMIFS(DATA!$M:$M,DATA!$C:$C,$B338,DATA!$N:$N,"&gt;="&amp;DATE($I$2,L$4,1),DATA!$N:$N,"&lt;="&amp;DATE($I$2,L$4,L$5))</f>
        <v/>
      </c>
      <c r="M339" s="321">
        <f>SUMIFS(DATA!$M:$M,DATA!$C:$C,$B338,DATA!$N:$N,"&gt;="&amp;DATE($I$2,M$4,1),DATA!$N:$N,"&lt;="&amp;DATE($I$2,M$4,M$5))</f>
        <v/>
      </c>
      <c r="N339" s="321">
        <f>SUMIFS(DATA!$M:$M,DATA!$C:$C,$B338,DATA!$N:$N,"&gt;="&amp;DATE($I$2,N$4,1),DATA!$N:$N,"&lt;="&amp;DATE($I$2,N$4,N$5))</f>
        <v/>
      </c>
      <c r="O339" s="321">
        <f>SUMIFS(DATA!$M:$M,DATA!$C:$C,$B338,DATA!$N:$N,"&gt;="&amp;DATE($I$2,O$4,1),DATA!$N:$N,"&lt;="&amp;DATE($I$2,O$4,O$5))</f>
        <v/>
      </c>
      <c r="P339" s="322">
        <f>SUM(D339:O339)</f>
        <v/>
      </c>
      <c r="Q339" s="118" t="n"/>
    </row>
    <row r="340" hidden="1" outlineLevel="1" ht="15" customHeight="1">
      <c r="A340" s="269" t="n">
        <v>168</v>
      </c>
      <c r="B340" s="125" t="n"/>
      <c r="C340" s="119" t="inlineStr">
        <is>
          <t>Kế hoạch</t>
        </is>
      </c>
      <c r="D340" s="321">
        <f>SUMIFS(DATA!$I:$I,DATA!$C:$C,$B340,DATA!$J:$J,"&gt;="&amp;DATE($I$2,D$4,1),DATA!$J:$J,"&lt;="&amp;DATE($I$2,D$4,D$5))</f>
        <v/>
      </c>
      <c r="E340" s="321">
        <f>SUMIFS(DATA!$I:$I,DATA!$C:$C,$B340,DATA!$J:$J,"&gt;="&amp;DATE($I$2,E$4,1),DATA!$J:$J,"&lt;="&amp;DATE($I$2,E$4,E$5))</f>
        <v/>
      </c>
      <c r="F340" s="321">
        <f>SUMIFS(DATA!$I:$I,DATA!$C:$C,$B340,DATA!$J:$J,"&gt;="&amp;DATE($I$2,F$4,1),DATA!$J:$J,"&lt;="&amp;DATE($I$2,F$4,F$5))</f>
        <v/>
      </c>
      <c r="G340" s="321">
        <f>SUMIFS(DATA!$I:$I,DATA!$C:$C,$B340,DATA!$J:$J,"&gt;="&amp;DATE($I$2,G$4,1),DATA!$J:$J,"&lt;="&amp;DATE($I$2,G$4,G$5))</f>
        <v/>
      </c>
      <c r="H340" s="321">
        <f>SUMIFS(DATA!$I:$I,DATA!$C:$C,$B340,DATA!$J:$J,"&gt;="&amp;DATE($I$2,H$4,1),DATA!$J:$J,"&lt;="&amp;DATE($I$2,H$4,H$5))</f>
        <v/>
      </c>
      <c r="I340" s="321">
        <f>SUMIFS(DATA!$I:$I,DATA!$C:$C,$B340,DATA!$J:$J,"&gt;="&amp;DATE($I$2,I$4,1),DATA!$J:$J,"&lt;="&amp;DATE($I$2,I$4,I$5))</f>
        <v/>
      </c>
      <c r="J340" s="321">
        <f>SUMIFS(DATA!$I:$I,DATA!$C:$C,$B340,DATA!$J:$J,"&gt;="&amp;DATE($I$2,J$4,1),DATA!$J:$J,"&lt;="&amp;DATE($I$2,J$4,J$5))</f>
        <v/>
      </c>
      <c r="K340" s="321">
        <f>SUMIFS(DATA!$I:$I,DATA!$C:$C,$B340,DATA!$J:$J,"&gt;="&amp;DATE($I$2,K$4,1),DATA!$J:$J,"&lt;="&amp;DATE($I$2,K$4,K$5))</f>
        <v/>
      </c>
      <c r="L340" s="321">
        <f>SUMIFS(DATA!$I:$I,DATA!$C:$C,$B340,DATA!$J:$J,"&gt;="&amp;DATE($I$2,L$4,1),DATA!$J:$J,"&lt;="&amp;DATE($I$2,L$4,L$5))</f>
        <v/>
      </c>
      <c r="M340" s="321">
        <f>SUMIFS(DATA!$I:$I,DATA!$C:$C,$B340,DATA!$J:$J,"&gt;="&amp;DATE($I$2,M$4,1),DATA!$J:$J,"&lt;="&amp;DATE($I$2,M$4,M$5))</f>
        <v/>
      </c>
      <c r="N340" s="321">
        <f>SUMIFS(DATA!$I:$I,DATA!$C:$C,$B340,DATA!$J:$J,"&gt;="&amp;DATE($I$2,N$4,1),DATA!$J:$J,"&lt;="&amp;DATE($I$2,N$4,N$5))</f>
        <v/>
      </c>
      <c r="O340" s="321">
        <f>SUMIFS(DATA!$I:$I,DATA!$C:$C,$B340,DATA!$J:$J,"&gt;="&amp;DATE($I$2,O$4,1),DATA!$J:$J,"&lt;="&amp;DATE($I$2,O$4,O$5))</f>
        <v/>
      </c>
      <c r="P340" s="322">
        <f>SUM(D340:O340)</f>
        <v/>
      </c>
      <c r="Q340" s="118" t="n"/>
    </row>
    <row r="341" hidden="1" outlineLevel="1" ht="15" customHeight="1">
      <c r="A341" s="266" t="n"/>
      <c r="B341" s="126" t="n"/>
      <c r="C341" s="119" t="inlineStr">
        <is>
          <t>Thực tế</t>
        </is>
      </c>
      <c r="D341" s="321">
        <f>SUMIFS(DATA!$M:$M,DATA!$C:$C,$B340,DATA!$N:$N,"&gt;="&amp;DATE($I$2,D$4,1),DATA!$N:$N,"&lt;="&amp;DATE($I$2,D$4,D$5))</f>
        <v/>
      </c>
      <c r="E341" s="321">
        <f>SUMIFS(DATA!$M:$M,DATA!$C:$C,$B340,DATA!$N:$N,"&gt;="&amp;DATE($I$2,E$4,1),DATA!$N:$N,"&lt;="&amp;DATE($I$2,E$4,E$5))</f>
        <v/>
      </c>
      <c r="F341" s="321">
        <f>SUMIFS(DATA!$M:$M,DATA!$C:$C,$B340,DATA!$N:$N,"&gt;="&amp;DATE($I$2,F$4,1),DATA!$N:$N,"&lt;="&amp;DATE($I$2,F$4,F$5))</f>
        <v/>
      </c>
      <c r="G341" s="321">
        <f>SUMIFS(DATA!$M:$M,DATA!$C:$C,$B340,DATA!$N:$N,"&gt;="&amp;DATE($I$2,G$4,1),DATA!$N:$N,"&lt;="&amp;DATE($I$2,G$4,G$5))</f>
        <v/>
      </c>
      <c r="H341" s="321">
        <f>SUMIFS(DATA!$M:$M,DATA!$C:$C,$B340,DATA!$N:$N,"&gt;="&amp;DATE($I$2,H$4,1),DATA!$N:$N,"&lt;="&amp;DATE($I$2,H$4,H$5))</f>
        <v/>
      </c>
      <c r="I341" s="321">
        <f>SUMIFS(DATA!$M:$M,DATA!$C:$C,$B340,DATA!$N:$N,"&gt;="&amp;DATE($I$2,I$4,1),DATA!$N:$N,"&lt;="&amp;DATE($I$2,I$4,I$5))</f>
        <v/>
      </c>
      <c r="J341" s="321">
        <f>SUMIFS(DATA!$M:$M,DATA!$C:$C,$B340,DATA!$N:$N,"&gt;="&amp;DATE($I$2,J$4,1),DATA!$N:$N,"&lt;="&amp;DATE($I$2,J$4,J$5))</f>
        <v/>
      </c>
      <c r="K341" s="321">
        <f>SUMIFS(DATA!$M:$M,DATA!$C:$C,$B340,DATA!$N:$N,"&gt;="&amp;DATE($I$2,K$4,1),DATA!$N:$N,"&lt;="&amp;DATE($I$2,K$4,K$5))</f>
        <v/>
      </c>
      <c r="L341" s="321">
        <f>SUMIFS(DATA!$M:$M,DATA!$C:$C,$B340,DATA!$N:$N,"&gt;="&amp;DATE($I$2,L$4,1),DATA!$N:$N,"&lt;="&amp;DATE($I$2,L$4,L$5))</f>
        <v/>
      </c>
      <c r="M341" s="321">
        <f>SUMIFS(DATA!$M:$M,DATA!$C:$C,$B340,DATA!$N:$N,"&gt;="&amp;DATE($I$2,M$4,1),DATA!$N:$N,"&lt;="&amp;DATE($I$2,M$4,M$5))</f>
        <v/>
      </c>
      <c r="N341" s="321">
        <f>SUMIFS(DATA!$M:$M,DATA!$C:$C,$B340,DATA!$N:$N,"&gt;="&amp;DATE($I$2,N$4,1),DATA!$N:$N,"&lt;="&amp;DATE($I$2,N$4,N$5))</f>
        <v/>
      </c>
      <c r="O341" s="321">
        <f>SUMIFS(DATA!$M:$M,DATA!$C:$C,$B340,DATA!$N:$N,"&gt;="&amp;DATE($I$2,O$4,1),DATA!$N:$N,"&lt;="&amp;DATE($I$2,O$4,O$5))</f>
        <v/>
      </c>
      <c r="P341" s="322">
        <f>SUM(D341:O341)</f>
        <v/>
      </c>
      <c r="Q341" s="118" t="n"/>
    </row>
    <row r="342" hidden="1" outlineLevel="1" ht="15" customHeight="1">
      <c r="A342" s="269" t="n">
        <v>169</v>
      </c>
      <c r="B342" s="125" t="n"/>
      <c r="C342" s="119" t="inlineStr">
        <is>
          <t>Kế hoạch</t>
        </is>
      </c>
      <c r="D342" s="321">
        <f>SUMIFS(DATA!$I:$I,DATA!$C:$C,$B342,DATA!$J:$J,"&gt;="&amp;DATE($I$2,D$4,1),DATA!$J:$J,"&lt;="&amp;DATE($I$2,D$4,D$5))</f>
        <v/>
      </c>
      <c r="E342" s="321">
        <f>SUMIFS(DATA!$I:$I,DATA!$C:$C,$B342,DATA!$J:$J,"&gt;="&amp;DATE($I$2,E$4,1),DATA!$J:$J,"&lt;="&amp;DATE($I$2,E$4,E$5))</f>
        <v/>
      </c>
      <c r="F342" s="321">
        <f>SUMIFS(DATA!$I:$I,DATA!$C:$C,$B342,DATA!$J:$J,"&gt;="&amp;DATE($I$2,F$4,1),DATA!$J:$J,"&lt;="&amp;DATE($I$2,F$4,F$5))</f>
        <v/>
      </c>
      <c r="G342" s="321">
        <f>SUMIFS(DATA!$I:$I,DATA!$C:$C,$B342,DATA!$J:$J,"&gt;="&amp;DATE($I$2,G$4,1),DATA!$J:$J,"&lt;="&amp;DATE($I$2,G$4,G$5))</f>
        <v/>
      </c>
      <c r="H342" s="321">
        <f>SUMIFS(DATA!$I:$I,DATA!$C:$C,$B342,DATA!$J:$J,"&gt;="&amp;DATE($I$2,H$4,1),DATA!$J:$J,"&lt;="&amp;DATE($I$2,H$4,H$5))</f>
        <v/>
      </c>
      <c r="I342" s="321">
        <f>SUMIFS(DATA!$I:$I,DATA!$C:$C,$B342,DATA!$J:$J,"&gt;="&amp;DATE($I$2,I$4,1),DATA!$J:$J,"&lt;="&amp;DATE($I$2,I$4,I$5))</f>
        <v/>
      </c>
      <c r="J342" s="321">
        <f>SUMIFS(DATA!$I:$I,DATA!$C:$C,$B342,DATA!$J:$J,"&gt;="&amp;DATE($I$2,J$4,1),DATA!$J:$J,"&lt;="&amp;DATE($I$2,J$4,J$5))</f>
        <v/>
      </c>
      <c r="K342" s="321">
        <f>SUMIFS(DATA!$I:$I,DATA!$C:$C,$B342,DATA!$J:$J,"&gt;="&amp;DATE($I$2,K$4,1),DATA!$J:$J,"&lt;="&amp;DATE($I$2,K$4,K$5))</f>
        <v/>
      </c>
      <c r="L342" s="321">
        <f>SUMIFS(DATA!$I:$I,DATA!$C:$C,$B342,DATA!$J:$J,"&gt;="&amp;DATE($I$2,L$4,1),DATA!$J:$J,"&lt;="&amp;DATE($I$2,L$4,L$5))</f>
        <v/>
      </c>
      <c r="M342" s="321">
        <f>SUMIFS(DATA!$I:$I,DATA!$C:$C,$B342,DATA!$J:$J,"&gt;="&amp;DATE($I$2,M$4,1),DATA!$J:$J,"&lt;="&amp;DATE($I$2,M$4,M$5))</f>
        <v/>
      </c>
      <c r="N342" s="321">
        <f>SUMIFS(DATA!$I:$I,DATA!$C:$C,$B342,DATA!$J:$J,"&gt;="&amp;DATE($I$2,N$4,1),DATA!$J:$J,"&lt;="&amp;DATE($I$2,N$4,N$5))</f>
        <v/>
      </c>
      <c r="O342" s="321">
        <f>SUMIFS(DATA!$I:$I,DATA!$C:$C,$B342,DATA!$J:$J,"&gt;="&amp;DATE($I$2,O$4,1),DATA!$J:$J,"&lt;="&amp;DATE($I$2,O$4,O$5))</f>
        <v/>
      </c>
      <c r="P342" s="322">
        <f>SUM(D342:O342)</f>
        <v/>
      </c>
      <c r="Q342" s="118" t="n"/>
    </row>
    <row r="343" hidden="1" outlineLevel="1" ht="15" customHeight="1">
      <c r="A343" s="266" t="n"/>
      <c r="B343" s="126" t="n"/>
      <c r="C343" s="119" t="inlineStr">
        <is>
          <t>Thực tế</t>
        </is>
      </c>
      <c r="D343" s="321">
        <f>SUMIFS(DATA!$M:$M,DATA!$C:$C,$B342,DATA!$N:$N,"&gt;="&amp;DATE($I$2,D$4,1),DATA!$N:$N,"&lt;="&amp;DATE($I$2,D$4,D$5))</f>
        <v/>
      </c>
      <c r="E343" s="321">
        <f>SUMIFS(DATA!$M:$M,DATA!$C:$C,$B342,DATA!$N:$N,"&gt;="&amp;DATE($I$2,E$4,1),DATA!$N:$N,"&lt;="&amp;DATE($I$2,E$4,E$5))</f>
        <v/>
      </c>
      <c r="F343" s="321">
        <f>SUMIFS(DATA!$M:$M,DATA!$C:$C,$B342,DATA!$N:$N,"&gt;="&amp;DATE($I$2,F$4,1),DATA!$N:$N,"&lt;="&amp;DATE($I$2,F$4,F$5))</f>
        <v/>
      </c>
      <c r="G343" s="321">
        <f>SUMIFS(DATA!$M:$M,DATA!$C:$C,$B342,DATA!$N:$N,"&gt;="&amp;DATE($I$2,G$4,1),DATA!$N:$N,"&lt;="&amp;DATE($I$2,G$4,G$5))</f>
        <v/>
      </c>
      <c r="H343" s="321">
        <f>SUMIFS(DATA!$M:$M,DATA!$C:$C,$B342,DATA!$N:$N,"&gt;="&amp;DATE($I$2,H$4,1),DATA!$N:$N,"&lt;="&amp;DATE($I$2,H$4,H$5))</f>
        <v/>
      </c>
      <c r="I343" s="321">
        <f>SUMIFS(DATA!$M:$M,DATA!$C:$C,$B342,DATA!$N:$N,"&gt;="&amp;DATE($I$2,I$4,1),DATA!$N:$N,"&lt;="&amp;DATE($I$2,I$4,I$5))</f>
        <v/>
      </c>
      <c r="J343" s="321">
        <f>SUMIFS(DATA!$M:$M,DATA!$C:$C,$B342,DATA!$N:$N,"&gt;="&amp;DATE($I$2,J$4,1),DATA!$N:$N,"&lt;="&amp;DATE($I$2,J$4,J$5))</f>
        <v/>
      </c>
      <c r="K343" s="321">
        <f>SUMIFS(DATA!$M:$M,DATA!$C:$C,$B342,DATA!$N:$N,"&gt;="&amp;DATE($I$2,K$4,1),DATA!$N:$N,"&lt;="&amp;DATE($I$2,K$4,K$5))</f>
        <v/>
      </c>
      <c r="L343" s="321">
        <f>SUMIFS(DATA!$M:$M,DATA!$C:$C,$B342,DATA!$N:$N,"&gt;="&amp;DATE($I$2,L$4,1),DATA!$N:$N,"&lt;="&amp;DATE($I$2,L$4,L$5))</f>
        <v/>
      </c>
      <c r="M343" s="321">
        <f>SUMIFS(DATA!$M:$M,DATA!$C:$C,$B342,DATA!$N:$N,"&gt;="&amp;DATE($I$2,M$4,1),DATA!$N:$N,"&lt;="&amp;DATE($I$2,M$4,M$5))</f>
        <v/>
      </c>
      <c r="N343" s="321">
        <f>SUMIFS(DATA!$M:$M,DATA!$C:$C,$B342,DATA!$N:$N,"&gt;="&amp;DATE($I$2,N$4,1),DATA!$N:$N,"&lt;="&amp;DATE($I$2,N$4,N$5))</f>
        <v/>
      </c>
      <c r="O343" s="321">
        <f>SUMIFS(DATA!$M:$M,DATA!$C:$C,$B342,DATA!$N:$N,"&gt;="&amp;DATE($I$2,O$4,1),DATA!$N:$N,"&lt;="&amp;DATE($I$2,O$4,O$5))</f>
        <v/>
      </c>
      <c r="P343" s="322">
        <f>SUM(D343:O343)</f>
        <v/>
      </c>
      <c r="Q343" s="118" t="n"/>
    </row>
    <row r="344" hidden="1" outlineLevel="1" ht="15" customHeight="1">
      <c r="A344" s="269" t="n">
        <v>170</v>
      </c>
      <c r="B344" s="125" t="n"/>
      <c r="C344" s="119" t="inlineStr">
        <is>
          <t>Kế hoạch</t>
        </is>
      </c>
      <c r="D344" s="321">
        <f>SUMIFS(DATA!$I:$I,DATA!$C:$C,$B344,DATA!$J:$J,"&gt;="&amp;DATE($I$2,D$4,1),DATA!$J:$J,"&lt;="&amp;DATE($I$2,D$4,D$5))</f>
        <v/>
      </c>
      <c r="E344" s="321">
        <f>SUMIFS(DATA!$I:$I,DATA!$C:$C,$B344,DATA!$J:$J,"&gt;="&amp;DATE($I$2,E$4,1),DATA!$J:$J,"&lt;="&amp;DATE($I$2,E$4,E$5))</f>
        <v/>
      </c>
      <c r="F344" s="321">
        <f>SUMIFS(DATA!$I:$I,DATA!$C:$C,$B344,DATA!$J:$J,"&gt;="&amp;DATE($I$2,F$4,1),DATA!$J:$J,"&lt;="&amp;DATE($I$2,F$4,F$5))</f>
        <v/>
      </c>
      <c r="G344" s="321">
        <f>SUMIFS(DATA!$I:$I,DATA!$C:$C,$B344,DATA!$J:$J,"&gt;="&amp;DATE($I$2,G$4,1),DATA!$J:$J,"&lt;="&amp;DATE($I$2,G$4,G$5))</f>
        <v/>
      </c>
      <c r="H344" s="321">
        <f>SUMIFS(DATA!$I:$I,DATA!$C:$C,$B344,DATA!$J:$J,"&gt;="&amp;DATE($I$2,H$4,1),DATA!$J:$J,"&lt;="&amp;DATE($I$2,H$4,H$5))</f>
        <v/>
      </c>
      <c r="I344" s="321">
        <f>SUMIFS(DATA!$I:$I,DATA!$C:$C,$B344,DATA!$J:$J,"&gt;="&amp;DATE($I$2,I$4,1),DATA!$J:$J,"&lt;="&amp;DATE($I$2,I$4,I$5))</f>
        <v/>
      </c>
      <c r="J344" s="321">
        <f>SUMIFS(DATA!$I:$I,DATA!$C:$C,$B344,DATA!$J:$J,"&gt;="&amp;DATE($I$2,J$4,1),DATA!$J:$J,"&lt;="&amp;DATE($I$2,J$4,J$5))</f>
        <v/>
      </c>
      <c r="K344" s="321">
        <f>SUMIFS(DATA!$I:$I,DATA!$C:$C,$B344,DATA!$J:$J,"&gt;="&amp;DATE($I$2,K$4,1),DATA!$J:$J,"&lt;="&amp;DATE($I$2,K$4,K$5))</f>
        <v/>
      </c>
      <c r="L344" s="321">
        <f>SUMIFS(DATA!$I:$I,DATA!$C:$C,$B344,DATA!$J:$J,"&gt;="&amp;DATE($I$2,L$4,1),DATA!$J:$J,"&lt;="&amp;DATE($I$2,L$4,L$5))</f>
        <v/>
      </c>
      <c r="M344" s="321">
        <f>SUMIFS(DATA!$I:$I,DATA!$C:$C,$B344,DATA!$J:$J,"&gt;="&amp;DATE($I$2,M$4,1),DATA!$J:$J,"&lt;="&amp;DATE($I$2,M$4,M$5))</f>
        <v/>
      </c>
      <c r="N344" s="321">
        <f>SUMIFS(DATA!$I:$I,DATA!$C:$C,$B344,DATA!$J:$J,"&gt;="&amp;DATE($I$2,N$4,1),DATA!$J:$J,"&lt;="&amp;DATE($I$2,N$4,N$5))</f>
        <v/>
      </c>
      <c r="O344" s="321">
        <f>SUMIFS(DATA!$I:$I,DATA!$C:$C,$B344,DATA!$J:$J,"&gt;="&amp;DATE($I$2,O$4,1),DATA!$J:$J,"&lt;="&amp;DATE($I$2,O$4,O$5))</f>
        <v/>
      </c>
      <c r="P344" s="322">
        <f>SUM(D344:O344)</f>
        <v/>
      </c>
      <c r="Q344" s="118" t="n"/>
    </row>
    <row r="345" hidden="1" outlineLevel="1" ht="15" customHeight="1">
      <c r="A345" s="266" t="n"/>
      <c r="B345" s="126" t="n"/>
      <c r="C345" s="119" t="inlineStr">
        <is>
          <t>Thực tế</t>
        </is>
      </c>
      <c r="D345" s="321">
        <f>SUMIFS(DATA!$M:$M,DATA!$C:$C,$B344,DATA!$N:$N,"&gt;="&amp;DATE($I$2,D$4,1),DATA!$N:$N,"&lt;="&amp;DATE($I$2,D$4,D$5))</f>
        <v/>
      </c>
      <c r="E345" s="321">
        <f>SUMIFS(DATA!$M:$M,DATA!$C:$C,$B344,DATA!$N:$N,"&gt;="&amp;DATE($I$2,E$4,1),DATA!$N:$N,"&lt;="&amp;DATE($I$2,E$4,E$5))</f>
        <v/>
      </c>
      <c r="F345" s="321">
        <f>SUMIFS(DATA!$M:$M,DATA!$C:$C,$B344,DATA!$N:$N,"&gt;="&amp;DATE($I$2,F$4,1),DATA!$N:$N,"&lt;="&amp;DATE($I$2,F$4,F$5))</f>
        <v/>
      </c>
      <c r="G345" s="321">
        <f>SUMIFS(DATA!$M:$M,DATA!$C:$C,$B344,DATA!$N:$N,"&gt;="&amp;DATE($I$2,G$4,1),DATA!$N:$N,"&lt;="&amp;DATE($I$2,G$4,G$5))</f>
        <v/>
      </c>
      <c r="H345" s="321">
        <f>SUMIFS(DATA!$M:$M,DATA!$C:$C,$B344,DATA!$N:$N,"&gt;="&amp;DATE($I$2,H$4,1),DATA!$N:$N,"&lt;="&amp;DATE($I$2,H$4,H$5))</f>
        <v/>
      </c>
      <c r="I345" s="321">
        <f>SUMIFS(DATA!$M:$M,DATA!$C:$C,$B344,DATA!$N:$N,"&gt;="&amp;DATE($I$2,I$4,1),DATA!$N:$N,"&lt;="&amp;DATE($I$2,I$4,I$5))</f>
        <v/>
      </c>
      <c r="J345" s="321">
        <f>SUMIFS(DATA!$M:$M,DATA!$C:$C,$B344,DATA!$N:$N,"&gt;="&amp;DATE($I$2,J$4,1),DATA!$N:$N,"&lt;="&amp;DATE($I$2,J$4,J$5))</f>
        <v/>
      </c>
      <c r="K345" s="321">
        <f>SUMIFS(DATA!$M:$M,DATA!$C:$C,$B344,DATA!$N:$N,"&gt;="&amp;DATE($I$2,K$4,1),DATA!$N:$N,"&lt;="&amp;DATE($I$2,K$4,K$5))</f>
        <v/>
      </c>
      <c r="L345" s="321">
        <f>SUMIFS(DATA!$M:$M,DATA!$C:$C,$B344,DATA!$N:$N,"&gt;="&amp;DATE($I$2,L$4,1),DATA!$N:$N,"&lt;="&amp;DATE($I$2,L$4,L$5))</f>
        <v/>
      </c>
      <c r="M345" s="321">
        <f>SUMIFS(DATA!$M:$M,DATA!$C:$C,$B344,DATA!$N:$N,"&gt;="&amp;DATE($I$2,M$4,1),DATA!$N:$N,"&lt;="&amp;DATE($I$2,M$4,M$5))</f>
        <v/>
      </c>
      <c r="N345" s="321">
        <f>SUMIFS(DATA!$M:$M,DATA!$C:$C,$B344,DATA!$N:$N,"&gt;="&amp;DATE($I$2,N$4,1),DATA!$N:$N,"&lt;="&amp;DATE($I$2,N$4,N$5))</f>
        <v/>
      </c>
      <c r="O345" s="321">
        <f>SUMIFS(DATA!$M:$M,DATA!$C:$C,$B344,DATA!$N:$N,"&gt;="&amp;DATE($I$2,O$4,1),DATA!$N:$N,"&lt;="&amp;DATE($I$2,O$4,O$5))</f>
        <v/>
      </c>
      <c r="P345" s="322">
        <f>SUM(D345:O345)</f>
        <v/>
      </c>
      <c r="Q345" s="118" t="n"/>
    </row>
    <row r="346" hidden="1" outlineLevel="1" ht="15" customHeight="1">
      <c r="A346" s="269" t="n">
        <v>171</v>
      </c>
      <c r="B346" s="125" t="n"/>
      <c r="C346" s="119" t="inlineStr">
        <is>
          <t>Kế hoạch</t>
        </is>
      </c>
      <c r="D346" s="321">
        <f>SUMIFS(DATA!$I:$I,DATA!$C:$C,$B346,DATA!$J:$J,"&gt;="&amp;DATE($I$2,D$4,1),DATA!$J:$J,"&lt;="&amp;DATE($I$2,D$4,D$5))</f>
        <v/>
      </c>
      <c r="E346" s="321">
        <f>SUMIFS(DATA!$I:$I,DATA!$C:$C,$B346,DATA!$J:$J,"&gt;="&amp;DATE($I$2,E$4,1),DATA!$J:$J,"&lt;="&amp;DATE($I$2,E$4,E$5))</f>
        <v/>
      </c>
      <c r="F346" s="321">
        <f>SUMIFS(DATA!$I:$I,DATA!$C:$C,$B346,DATA!$J:$J,"&gt;="&amp;DATE($I$2,F$4,1),DATA!$J:$J,"&lt;="&amp;DATE($I$2,F$4,F$5))</f>
        <v/>
      </c>
      <c r="G346" s="321">
        <f>SUMIFS(DATA!$I:$I,DATA!$C:$C,$B346,DATA!$J:$J,"&gt;="&amp;DATE($I$2,G$4,1),DATA!$J:$J,"&lt;="&amp;DATE($I$2,G$4,G$5))</f>
        <v/>
      </c>
      <c r="H346" s="321">
        <f>SUMIFS(DATA!$I:$I,DATA!$C:$C,$B346,DATA!$J:$J,"&gt;="&amp;DATE($I$2,H$4,1),DATA!$J:$J,"&lt;="&amp;DATE($I$2,H$4,H$5))</f>
        <v/>
      </c>
      <c r="I346" s="321">
        <f>SUMIFS(DATA!$I:$I,DATA!$C:$C,$B346,DATA!$J:$J,"&gt;="&amp;DATE($I$2,I$4,1),DATA!$J:$J,"&lt;="&amp;DATE($I$2,I$4,I$5))</f>
        <v/>
      </c>
      <c r="J346" s="321">
        <f>SUMIFS(DATA!$I:$I,DATA!$C:$C,$B346,DATA!$J:$J,"&gt;="&amp;DATE($I$2,J$4,1),DATA!$J:$J,"&lt;="&amp;DATE($I$2,J$4,J$5))</f>
        <v/>
      </c>
      <c r="K346" s="321">
        <f>SUMIFS(DATA!$I:$I,DATA!$C:$C,$B346,DATA!$J:$J,"&gt;="&amp;DATE($I$2,K$4,1),DATA!$J:$J,"&lt;="&amp;DATE($I$2,K$4,K$5))</f>
        <v/>
      </c>
      <c r="L346" s="321">
        <f>SUMIFS(DATA!$I:$I,DATA!$C:$C,$B346,DATA!$J:$J,"&gt;="&amp;DATE($I$2,L$4,1),DATA!$J:$J,"&lt;="&amp;DATE($I$2,L$4,L$5))</f>
        <v/>
      </c>
      <c r="M346" s="321">
        <f>SUMIFS(DATA!$I:$I,DATA!$C:$C,$B346,DATA!$J:$J,"&gt;="&amp;DATE($I$2,M$4,1),DATA!$J:$J,"&lt;="&amp;DATE($I$2,M$4,M$5))</f>
        <v/>
      </c>
      <c r="N346" s="321">
        <f>SUMIFS(DATA!$I:$I,DATA!$C:$C,$B346,DATA!$J:$J,"&gt;="&amp;DATE($I$2,N$4,1),DATA!$J:$J,"&lt;="&amp;DATE($I$2,N$4,N$5))</f>
        <v/>
      </c>
      <c r="O346" s="321">
        <f>SUMIFS(DATA!$I:$I,DATA!$C:$C,$B346,DATA!$J:$J,"&gt;="&amp;DATE($I$2,O$4,1),DATA!$J:$J,"&lt;="&amp;DATE($I$2,O$4,O$5))</f>
        <v/>
      </c>
      <c r="P346" s="322">
        <f>SUM(D346:O346)</f>
        <v/>
      </c>
      <c r="Q346" s="118" t="n"/>
    </row>
    <row r="347" hidden="1" outlineLevel="1" ht="15" customHeight="1">
      <c r="A347" s="266" t="n"/>
      <c r="B347" s="126" t="n"/>
      <c r="C347" s="119" t="inlineStr">
        <is>
          <t>Thực tế</t>
        </is>
      </c>
      <c r="D347" s="321">
        <f>SUMIFS(DATA!$M:$M,DATA!$C:$C,$B346,DATA!$N:$N,"&gt;="&amp;DATE($I$2,D$4,1),DATA!$N:$N,"&lt;="&amp;DATE($I$2,D$4,D$5))</f>
        <v/>
      </c>
      <c r="E347" s="321">
        <f>SUMIFS(DATA!$M:$M,DATA!$C:$C,$B346,DATA!$N:$N,"&gt;="&amp;DATE($I$2,E$4,1),DATA!$N:$N,"&lt;="&amp;DATE($I$2,E$4,E$5))</f>
        <v/>
      </c>
      <c r="F347" s="321">
        <f>SUMIFS(DATA!$M:$M,DATA!$C:$C,$B346,DATA!$N:$N,"&gt;="&amp;DATE($I$2,F$4,1),DATA!$N:$N,"&lt;="&amp;DATE($I$2,F$4,F$5))</f>
        <v/>
      </c>
      <c r="G347" s="321">
        <f>SUMIFS(DATA!$M:$M,DATA!$C:$C,$B346,DATA!$N:$N,"&gt;="&amp;DATE($I$2,G$4,1),DATA!$N:$N,"&lt;="&amp;DATE($I$2,G$4,G$5))</f>
        <v/>
      </c>
      <c r="H347" s="321">
        <f>SUMIFS(DATA!$M:$M,DATA!$C:$C,$B346,DATA!$N:$N,"&gt;="&amp;DATE($I$2,H$4,1),DATA!$N:$N,"&lt;="&amp;DATE($I$2,H$4,H$5))</f>
        <v/>
      </c>
      <c r="I347" s="321">
        <f>SUMIFS(DATA!$M:$M,DATA!$C:$C,$B346,DATA!$N:$N,"&gt;="&amp;DATE($I$2,I$4,1),DATA!$N:$N,"&lt;="&amp;DATE($I$2,I$4,I$5))</f>
        <v/>
      </c>
      <c r="J347" s="321">
        <f>SUMIFS(DATA!$M:$M,DATA!$C:$C,$B346,DATA!$N:$N,"&gt;="&amp;DATE($I$2,J$4,1),DATA!$N:$N,"&lt;="&amp;DATE($I$2,J$4,J$5))</f>
        <v/>
      </c>
      <c r="K347" s="321">
        <f>SUMIFS(DATA!$M:$M,DATA!$C:$C,$B346,DATA!$N:$N,"&gt;="&amp;DATE($I$2,K$4,1),DATA!$N:$N,"&lt;="&amp;DATE($I$2,K$4,K$5))</f>
        <v/>
      </c>
      <c r="L347" s="321">
        <f>SUMIFS(DATA!$M:$M,DATA!$C:$C,$B346,DATA!$N:$N,"&gt;="&amp;DATE($I$2,L$4,1),DATA!$N:$N,"&lt;="&amp;DATE($I$2,L$4,L$5))</f>
        <v/>
      </c>
      <c r="M347" s="321">
        <f>SUMIFS(DATA!$M:$M,DATA!$C:$C,$B346,DATA!$N:$N,"&gt;="&amp;DATE($I$2,M$4,1),DATA!$N:$N,"&lt;="&amp;DATE($I$2,M$4,M$5))</f>
        <v/>
      </c>
      <c r="N347" s="321">
        <f>SUMIFS(DATA!$M:$M,DATA!$C:$C,$B346,DATA!$N:$N,"&gt;="&amp;DATE($I$2,N$4,1),DATA!$N:$N,"&lt;="&amp;DATE($I$2,N$4,N$5))</f>
        <v/>
      </c>
      <c r="O347" s="321">
        <f>SUMIFS(DATA!$M:$M,DATA!$C:$C,$B346,DATA!$N:$N,"&gt;="&amp;DATE($I$2,O$4,1),DATA!$N:$N,"&lt;="&amp;DATE($I$2,O$4,O$5))</f>
        <v/>
      </c>
      <c r="P347" s="322">
        <f>SUM(D347:O347)</f>
        <v/>
      </c>
      <c r="Q347" s="118" t="n"/>
    </row>
    <row r="348" hidden="1" outlineLevel="1" ht="15" customHeight="1">
      <c r="A348" s="269" t="n">
        <v>172</v>
      </c>
      <c r="B348" s="125" t="n"/>
      <c r="C348" s="119" t="inlineStr">
        <is>
          <t>Kế hoạch</t>
        </is>
      </c>
      <c r="D348" s="321">
        <f>SUMIFS(DATA!$I:$I,DATA!$C:$C,$B348,DATA!$J:$J,"&gt;="&amp;DATE($I$2,D$4,1),DATA!$J:$J,"&lt;="&amp;DATE($I$2,D$4,D$5))</f>
        <v/>
      </c>
      <c r="E348" s="321">
        <f>SUMIFS(DATA!$I:$I,DATA!$C:$C,$B348,DATA!$J:$J,"&gt;="&amp;DATE($I$2,E$4,1),DATA!$J:$J,"&lt;="&amp;DATE($I$2,E$4,E$5))</f>
        <v/>
      </c>
      <c r="F348" s="321">
        <f>SUMIFS(DATA!$I:$I,DATA!$C:$C,$B348,DATA!$J:$J,"&gt;="&amp;DATE($I$2,F$4,1),DATA!$J:$J,"&lt;="&amp;DATE($I$2,F$4,F$5))</f>
        <v/>
      </c>
      <c r="G348" s="321">
        <f>SUMIFS(DATA!$I:$I,DATA!$C:$C,$B348,DATA!$J:$J,"&gt;="&amp;DATE($I$2,G$4,1),DATA!$J:$J,"&lt;="&amp;DATE($I$2,G$4,G$5))</f>
        <v/>
      </c>
      <c r="H348" s="321">
        <f>SUMIFS(DATA!$I:$I,DATA!$C:$C,$B348,DATA!$J:$J,"&gt;="&amp;DATE($I$2,H$4,1),DATA!$J:$J,"&lt;="&amp;DATE($I$2,H$4,H$5))</f>
        <v/>
      </c>
      <c r="I348" s="321">
        <f>SUMIFS(DATA!$I:$I,DATA!$C:$C,$B348,DATA!$J:$J,"&gt;="&amp;DATE($I$2,I$4,1),DATA!$J:$J,"&lt;="&amp;DATE($I$2,I$4,I$5))</f>
        <v/>
      </c>
      <c r="J348" s="321">
        <f>SUMIFS(DATA!$I:$I,DATA!$C:$C,$B348,DATA!$J:$J,"&gt;="&amp;DATE($I$2,J$4,1),DATA!$J:$J,"&lt;="&amp;DATE($I$2,J$4,J$5))</f>
        <v/>
      </c>
      <c r="K348" s="321">
        <f>SUMIFS(DATA!$I:$I,DATA!$C:$C,$B348,DATA!$J:$J,"&gt;="&amp;DATE($I$2,K$4,1),DATA!$J:$J,"&lt;="&amp;DATE($I$2,K$4,K$5))</f>
        <v/>
      </c>
      <c r="L348" s="321">
        <f>SUMIFS(DATA!$I:$I,DATA!$C:$C,$B348,DATA!$J:$J,"&gt;="&amp;DATE($I$2,L$4,1),DATA!$J:$J,"&lt;="&amp;DATE($I$2,L$4,L$5))</f>
        <v/>
      </c>
      <c r="M348" s="321">
        <f>SUMIFS(DATA!$I:$I,DATA!$C:$C,$B348,DATA!$J:$J,"&gt;="&amp;DATE($I$2,M$4,1),DATA!$J:$J,"&lt;="&amp;DATE($I$2,M$4,M$5))</f>
        <v/>
      </c>
      <c r="N348" s="321">
        <f>SUMIFS(DATA!$I:$I,DATA!$C:$C,$B348,DATA!$J:$J,"&gt;="&amp;DATE($I$2,N$4,1),DATA!$J:$J,"&lt;="&amp;DATE($I$2,N$4,N$5))</f>
        <v/>
      </c>
      <c r="O348" s="321">
        <f>SUMIFS(DATA!$I:$I,DATA!$C:$C,$B348,DATA!$J:$J,"&gt;="&amp;DATE($I$2,O$4,1),DATA!$J:$J,"&lt;="&amp;DATE($I$2,O$4,O$5))</f>
        <v/>
      </c>
      <c r="P348" s="322">
        <f>SUM(D348:O348)</f>
        <v/>
      </c>
      <c r="Q348" s="118" t="n"/>
    </row>
    <row r="349" hidden="1" outlineLevel="1" ht="15" customHeight="1">
      <c r="A349" s="266" t="n"/>
      <c r="B349" s="126" t="n"/>
      <c r="C349" s="119" t="inlineStr">
        <is>
          <t>Thực tế</t>
        </is>
      </c>
      <c r="D349" s="321">
        <f>SUMIFS(DATA!$M:$M,DATA!$C:$C,$B348,DATA!$N:$N,"&gt;="&amp;DATE($I$2,D$4,1),DATA!$N:$N,"&lt;="&amp;DATE($I$2,D$4,D$5))</f>
        <v/>
      </c>
      <c r="E349" s="321">
        <f>SUMIFS(DATA!$M:$M,DATA!$C:$C,$B348,DATA!$N:$N,"&gt;="&amp;DATE($I$2,E$4,1),DATA!$N:$N,"&lt;="&amp;DATE($I$2,E$4,E$5))</f>
        <v/>
      </c>
      <c r="F349" s="321">
        <f>SUMIFS(DATA!$M:$M,DATA!$C:$C,$B348,DATA!$N:$N,"&gt;="&amp;DATE($I$2,F$4,1),DATA!$N:$N,"&lt;="&amp;DATE($I$2,F$4,F$5))</f>
        <v/>
      </c>
      <c r="G349" s="321">
        <f>SUMIFS(DATA!$M:$M,DATA!$C:$C,$B348,DATA!$N:$N,"&gt;="&amp;DATE($I$2,G$4,1),DATA!$N:$N,"&lt;="&amp;DATE($I$2,G$4,G$5))</f>
        <v/>
      </c>
      <c r="H349" s="321">
        <f>SUMIFS(DATA!$M:$M,DATA!$C:$C,$B348,DATA!$N:$N,"&gt;="&amp;DATE($I$2,H$4,1),DATA!$N:$N,"&lt;="&amp;DATE($I$2,H$4,H$5))</f>
        <v/>
      </c>
      <c r="I349" s="321">
        <f>SUMIFS(DATA!$M:$M,DATA!$C:$C,$B348,DATA!$N:$N,"&gt;="&amp;DATE($I$2,I$4,1),DATA!$N:$N,"&lt;="&amp;DATE($I$2,I$4,I$5))</f>
        <v/>
      </c>
      <c r="J349" s="321">
        <f>SUMIFS(DATA!$M:$M,DATA!$C:$C,$B348,DATA!$N:$N,"&gt;="&amp;DATE($I$2,J$4,1),DATA!$N:$N,"&lt;="&amp;DATE($I$2,J$4,J$5))</f>
        <v/>
      </c>
      <c r="K349" s="321">
        <f>SUMIFS(DATA!$M:$M,DATA!$C:$C,$B348,DATA!$N:$N,"&gt;="&amp;DATE($I$2,K$4,1),DATA!$N:$N,"&lt;="&amp;DATE($I$2,K$4,K$5))</f>
        <v/>
      </c>
      <c r="L349" s="321">
        <f>SUMIFS(DATA!$M:$M,DATA!$C:$C,$B348,DATA!$N:$N,"&gt;="&amp;DATE($I$2,L$4,1),DATA!$N:$N,"&lt;="&amp;DATE($I$2,L$4,L$5))</f>
        <v/>
      </c>
      <c r="M349" s="321">
        <f>SUMIFS(DATA!$M:$M,DATA!$C:$C,$B348,DATA!$N:$N,"&gt;="&amp;DATE($I$2,M$4,1),DATA!$N:$N,"&lt;="&amp;DATE($I$2,M$4,M$5))</f>
        <v/>
      </c>
      <c r="N349" s="321">
        <f>SUMIFS(DATA!$M:$M,DATA!$C:$C,$B348,DATA!$N:$N,"&gt;="&amp;DATE($I$2,N$4,1),DATA!$N:$N,"&lt;="&amp;DATE($I$2,N$4,N$5))</f>
        <v/>
      </c>
      <c r="O349" s="321">
        <f>SUMIFS(DATA!$M:$M,DATA!$C:$C,$B348,DATA!$N:$N,"&gt;="&amp;DATE($I$2,O$4,1),DATA!$N:$N,"&lt;="&amp;DATE($I$2,O$4,O$5))</f>
        <v/>
      </c>
      <c r="P349" s="322">
        <f>SUM(D349:O349)</f>
        <v/>
      </c>
      <c r="Q349" s="118" t="n"/>
    </row>
    <row r="350" hidden="1" outlineLevel="1" ht="15" customHeight="1">
      <c r="A350" s="269" t="n">
        <v>173</v>
      </c>
      <c r="B350" s="125" t="n"/>
      <c r="C350" s="119" t="inlineStr">
        <is>
          <t>Kế hoạch</t>
        </is>
      </c>
      <c r="D350" s="321">
        <f>SUMIFS(DATA!$I:$I,DATA!$C:$C,$B350,DATA!$J:$J,"&gt;="&amp;DATE($I$2,D$4,1),DATA!$J:$J,"&lt;="&amp;DATE($I$2,D$4,D$5))</f>
        <v/>
      </c>
      <c r="E350" s="321">
        <f>SUMIFS(DATA!$I:$I,DATA!$C:$C,$B350,DATA!$J:$J,"&gt;="&amp;DATE($I$2,E$4,1),DATA!$J:$J,"&lt;="&amp;DATE($I$2,E$4,E$5))</f>
        <v/>
      </c>
      <c r="F350" s="321">
        <f>SUMIFS(DATA!$I:$I,DATA!$C:$C,$B350,DATA!$J:$J,"&gt;="&amp;DATE($I$2,F$4,1),DATA!$J:$J,"&lt;="&amp;DATE($I$2,F$4,F$5))</f>
        <v/>
      </c>
      <c r="G350" s="321">
        <f>SUMIFS(DATA!$I:$I,DATA!$C:$C,$B350,DATA!$J:$J,"&gt;="&amp;DATE($I$2,G$4,1),DATA!$J:$J,"&lt;="&amp;DATE($I$2,G$4,G$5))</f>
        <v/>
      </c>
      <c r="H350" s="321">
        <f>SUMIFS(DATA!$I:$I,DATA!$C:$C,$B350,DATA!$J:$J,"&gt;="&amp;DATE($I$2,H$4,1),DATA!$J:$J,"&lt;="&amp;DATE($I$2,H$4,H$5))</f>
        <v/>
      </c>
      <c r="I350" s="321">
        <f>SUMIFS(DATA!$I:$I,DATA!$C:$C,$B350,DATA!$J:$J,"&gt;="&amp;DATE($I$2,I$4,1),DATA!$J:$J,"&lt;="&amp;DATE($I$2,I$4,I$5))</f>
        <v/>
      </c>
      <c r="J350" s="321">
        <f>SUMIFS(DATA!$I:$I,DATA!$C:$C,$B350,DATA!$J:$J,"&gt;="&amp;DATE($I$2,J$4,1),DATA!$J:$J,"&lt;="&amp;DATE($I$2,J$4,J$5))</f>
        <v/>
      </c>
      <c r="K350" s="321">
        <f>SUMIFS(DATA!$I:$I,DATA!$C:$C,$B350,DATA!$J:$J,"&gt;="&amp;DATE($I$2,K$4,1),DATA!$J:$J,"&lt;="&amp;DATE($I$2,K$4,K$5))</f>
        <v/>
      </c>
      <c r="L350" s="321">
        <f>SUMIFS(DATA!$I:$I,DATA!$C:$C,$B350,DATA!$J:$J,"&gt;="&amp;DATE($I$2,L$4,1),DATA!$J:$J,"&lt;="&amp;DATE($I$2,L$4,L$5))</f>
        <v/>
      </c>
      <c r="M350" s="321">
        <f>SUMIFS(DATA!$I:$I,DATA!$C:$C,$B350,DATA!$J:$J,"&gt;="&amp;DATE($I$2,M$4,1),DATA!$J:$J,"&lt;="&amp;DATE($I$2,M$4,M$5))</f>
        <v/>
      </c>
      <c r="N350" s="321">
        <f>SUMIFS(DATA!$I:$I,DATA!$C:$C,$B350,DATA!$J:$J,"&gt;="&amp;DATE($I$2,N$4,1),DATA!$J:$J,"&lt;="&amp;DATE($I$2,N$4,N$5))</f>
        <v/>
      </c>
      <c r="O350" s="321">
        <f>SUMIFS(DATA!$I:$I,DATA!$C:$C,$B350,DATA!$J:$J,"&gt;="&amp;DATE($I$2,O$4,1),DATA!$J:$J,"&lt;="&amp;DATE($I$2,O$4,O$5))</f>
        <v/>
      </c>
      <c r="P350" s="322">
        <f>SUM(D350:O350)</f>
        <v/>
      </c>
      <c r="Q350" s="118" t="n"/>
    </row>
    <row r="351" hidden="1" outlineLevel="1" ht="15" customHeight="1">
      <c r="A351" s="266" t="n"/>
      <c r="B351" s="126" t="n"/>
      <c r="C351" s="119" t="inlineStr">
        <is>
          <t>Thực tế</t>
        </is>
      </c>
      <c r="D351" s="321">
        <f>SUMIFS(DATA!$M:$M,DATA!$C:$C,$B350,DATA!$N:$N,"&gt;="&amp;DATE($I$2,D$4,1),DATA!$N:$N,"&lt;="&amp;DATE($I$2,D$4,D$5))</f>
        <v/>
      </c>
      <c r="E351" s="321">
        <f>SUMIFS(DATA!$M:$M,DATA!$C:$C,$B350,DATA!$N:$N,"&gt;="&amp;DATE($I$2,E$4,1),DATA!$N:$N,"&lt;="&amp;DATE($I$2,E$4,E$5))</f>
        <v/>
      </c>
      <c r="F351" s="321">
        <f>SUMIFS(DATA!$M:$M,DATA!$C:$C,$B350,DATA!$N:$N,"&gt;="&amp;DATE($I$2,F$4,1),DATA!$N:$N,"&lt;="&amp;DATE($I$2,F$4,F$5))</f>
        <v/>
      </c>
      <c r="G351" s="321">
        <f>SUMIFS(DATA!$M:$M,DATA!$C:$C,$B350,DATA!$N:$N,"&gt;="&amp;DATE($I$2,G$4,1),DATA!$N:$N,"&lt;="&amp;DATE($I$2,G$4,G$5))</f>
        <v/>
      </c>
      <c r="H351" s="321">
        <f>SUMIFS(DATA!$M:$M,DATA!$C:$C,$B350,DATA!$N:$N,"&gt;="&amp;DATE($I$2,H$4,1),DATA!$N:$N,"&lt;="&amp;DATE($I$2,H$4,H$5))</f>
        <v/>
      </c>
      <c r="I351" s="321">
        <f>SUMIFS(DATA!$M:$M,DATA!$C:$C,$B350,DATA!$N:$N,"&gt;="&amp;DATE($I$2,I$4,1),DATA!$N:$N,"&lt;="&amp;DATE($I$2,I$4,I$5))</f>
        <v/>
      </c>
      <c r="J351" s="321">
        <f>SUMIFS(DATA!$M:$M,DATA!$C:$C,$B350,DATA!$N:$N,"&gt;="&amp;DATE($I$2,J$4,1),DATA!$N:$N,"&lt;="&amp;DATE($I$2,J$4,J$5))</f>
        <v/>
      </c>
      <c r="K351" s="321">
        <f>SUMIFS(DATA!$M:$M,DATA!$C:$C,$B350,DATA!$N:$N,"&gt;="&amp;DATE($I$2,K$4,1),DATA!$N:$N,"&lt;="&amp;DATE($I$2,K$4,K$5))</f>
        <v/>
      </c>
      <c r="L351" s="321">
        <f>SUMIFS(DATA!$M:$M,DATA!$C:$C,$B350,DATA!$N:$N,"&gt;="&amp;DATE($I$2,L$4,1),DATA!$N:$N,"&lt;="&amp;DATE($I$2,L$4,L$5))</f>
        <v/>
      </c>
      <c r="M351" s="321">
        <f>SUMIFS(DATA!$M:$M,DATA!$C:$C,$B350,DATA!$N:$N,"&gt;="&amp;DATE($I$2,M$4,1),DATA!$N:$N,"&lt;="&amp;DATE($I$2,M$4,M$5))</f>
        <v/>
      </c>
      <c r="N351" s="321">
        <f>SUMIFS(DATA!$M:$M,DATA!$C:$C,$B350,DATA!$N:$N,"&gt;="&amp;DATE($I$2,N$4,1),DATA!$N:$N,"&lt;="&amp;DATE($I$2,N$4,N$5))</f>
        <v/>
      </c>
      <c r="O351" s="321">
        <f>SUMIFS(DATA!$M:$M,DATA!$C:$C,$B350,DATA!$N:$N,"&gt;="&amp;DATE($I$2,O$4,1),DATA!$N:$N,"&lt;="&amp;DATE($I$2,O$4,O$5))</f>
        <v/>
      </c>
      <c r="P351" s="322">
        <f>SUM(D351:O351)</f>
        <v/>
      </c>
      <c r="Q351" s="118" t="n"/>
    </row>
    <row r="352" hidden="1" outlineLevel="1" ht="15" customHeight="1">
      <c r="A352" s="269" t="n">
        <v>174</v>
      </c>
      <c r="B352" s="125" t="n"/>
      <c r="C352" s="119" t="inlineStr">
        <is>
          <t>Kế hoạch</t>
        </is>
      </c>
      <c r="D352" s="321">
        <f>SUMIFS(DATA!$I:$I,DATA!$C:$C,$B352,DATA!$J:$J,"&gt;="&amp;DATE($I$2,D$4,1),DATA!$J:$J,"&lt;="&amp;DATE($I$2,D$4,D$5))</f>
        <v/>
      </c>
      <c r="E352" s="321">
        <f>SUMIFS(DATA!$I:$I,DATA!$C:$C,$B352,DATA!$J:$J,"&gt;="&amp;DATE($I$2,E$4,1),DATA!$J:$J,"&lt;="&amp;DATE($I$2,E$4,E$5))</f>
        <v/>
      </c>
      <c r="F352" s="321">
        <f>SUMIFS(DATA!$I:$I,DATA!$C:$C,$B352,DATA!$J:$J,"&gt;="&amp;DATE($I$2,F$4,1),DATA!$J:$J,"&lt;="&amp;DATE($I$2,F$4,F$5))</f>
        <v/>
      </c>
      <c r="G352" s="321">
        <f>SUMIFS(DATA!$I:$I,DATA!$C:$C,$B352,DATA!$J:$J,"&gt;="&amp;DATE($I$2,G$4,1),DATA!$J:$J,"&lt;="&amp;DATE($I$2,G$4,G$5))</f>
        <v/>
      </c>
      <c r="H352" s="321">
        <f>SUMIFS(DATA!$I:$I,DATA!$C:$C,$B352,DATA!$J:$J,"&gt;="&amp;DATE($I$2,H$4,1),DATA!$J:$J,"&lt;="&amp;DATE($I$2,H$4,H$5))</f>
        <v/>
      </c>
      <c r="I352" s="321">
        <f>SUMIFS(DATA!$I:$I,DATA!$C:$C,$B352,DATA!$J:$J,"&gt;="&amp;DATE($I$2,I$4,1),DATA!$J:$J,"&lt;="&amp;DATE($I$2,I$4,I$5))</f>
        <v/>
      </c>
      <c r="J352" s="321">
        <f>SUMIFS(DATA!$I:$I,DATA!$C:$C,$B352,DATA!$J:$J,"&gt;="&amp;DATE($I$2,J$4,1),DATA!$J:$J,"&lt;="&amp;DATE($I$2,J$4,J$5))</f>
        <v/>
      </c>
      <c r="K352" s="321">
        <f>SUMIFS(DATA!$I:$I,DATA!$C:$C,$B352,DATA!$J:$J,"&gt;="&amp;DATE($I$2,K$4,1),DATA!$J:$J,"&lt;="&amp;DATE($I$2,K$4,K$5))</f>
        <v/>
      </c>
      <c r="L352" s="321">
        <f>SUMIFS(DATA!$I:$I,DATA!$C:$C,$B352,DATA!$J:$J,"&gt;="&amp;DATE($I$2,L$4,1),DATA!$J:$J,"&lt;="&amp;DATE($I$2,L$4,L$5))</f>
        <v/>
      </c>
      <c r="M352" s="321">
        <f>SUMIFS(DATA!$I:$I,DATA!$C:$C,$B352,DATA!$J:$J,"&gt;="&amp;DATE($I$2,M$4,1),DATA!$J:$J,"&lt;="&amp;DATE($I$2,M$4,M$5))</f>
        <v/>
      </c>
      <c r="N352" s="321">
        <f>SUMIFS(DATA!$I:$I,DATA!$C:$C,$B352,DATA!$J:$J,"&gt;="&amp;DATE($I$2,N$4,1),DATA!$J:$J,"&lt;="&amp;DATE($I$2,N$4,N$5))</f>
        <v/>
      </c>
      <c r="O352" s="321">
        <f>SUMIFS(DATA!$I:$I,DATA!$C:$C,$B352,DATA!$J:$J,"&gt;="&amp;DATE($I$2,O$4,1),DATA!$J:$J,"&lt;="&amp;DATE($I$2,O$4,O$5))</f>
        <v/>
      </c>
      <c r="P352" s="322">
        <f>SUM(D352:O352)</f>
        <v/>
      </c>
      <c r="Q352" s="118" t="n"/>
    </row>
    <row r="353" hidden="1" outlineLevel="1" ht="15" customHeight="1">
      <c r="A353" s="266" t="n"/>
      <c r="B353" s="126" t="n"/>
      <c r="C353" s="119" t="inlineStr">
        <is>
          <t>Thực tế</t>
        </is>
      </c>
      <c r="D353" s="321">
        <f>SUMIFS(DATA!$M:$M,DATA!$C:$C,$B352,DATA!$N:$N,"&gt;="&amp;DATE($I$2,D$4,1),DATA!$N:$N,"&lt;="&amp;DATE($I$2,D$4,D$5))</f>
        <v/>
      </c>
      <c r="E353" s="321">
        <f>SUMIFS(DATA!$M:$M,DATA!$C:$C,$B352,DATA!$N:$N,"&gt;="&amp;DATE($I$2,E$4,1),DATA!$N:$N,"&lt;="&amp;DATE($I$2,E$4,E$5))</f>
        <v/>
      </c>
      <c r="F353" s="321">
        <f>SUMIFS(DATA!$M:$M,DATA!$C:$C,$B352,DATA!$N:$N,"&gt;="&amp;DATE($I$2,F$4,1),DATA!$N:$N,"&lt;="&amp;DATE($I$2,F$4,F$5))</f>
        <v/>
      </c>
      <c r="G353" s="321">
        <f>SUMIFS(DATA!$M:$M,DATA!$C:$C,$B352,DATA!$N:$N,"&gt;="&amp;DATE($I$2,G$4,1),DATA!$N:$N,"&lt;="&amp;DATE($I$2,G$4,G$5))</f>
        <v/>
      </c>
      <c r="H353" s="321">
        <f>SUMIFS(DATA!$M:$M,DATA!$C:$C,$B352,DATA!$N:$N,"&gt;="&amp;DATE($I$2,H$4,1),DATA!$N:$N,"&lt;="&amp;DATE($I$2,H$4,H$5))</f>
        <v/>
      </c>
      <c r="I353" s="321">
        <f>SUMIFS(DATA!$M:$M,DATA!$C:$C,$B352,DATA!$N:$N,"&gt;="&amp;DATE($I$2,I$4,1),DATA!$N:$N,"&lt;="&amp;DATE($I$2,I$4,I$5))</f>
        <v/>
      </c>
      <c r="J353" s="321">
        <f>SUMIFS(DATA!$M:$M,DATA!$C:$C,$B352,DATA!$N:$N,"&gt;="&amp;DATE($I$2,J$4,1),DATA!$N:$N,"&lt;="&amp;DATE($I$2,J$4,J$5))</f>
        <v/>
      </c>
      <c r="K353" s="321">
        <f>SUMIFS(DATA!$M:$M,DATA!$C:$C,$B352,DATA!$N:$N,"&gt;="&amp;DATE($I$2,K$4,1),DATA!$N:$N,"&lt;="&amp;DATE($I$2,K$4,K$5))</f>
        <v/>
      </c>
      <c r="L353" s="321">
        <f>SUMIFS(DATA!$M:$M,DATA!$C:$C,$B352,DATA!$N:$N,"&gt;="&amp;DATE($I$2,L$4,1),DATA!$N:$N,"&lt;="&amp;DATE($I$2,L$4,L$5))</f>
        <v/>
      </c>
      <c r="M353" s="321">
        <f>SUMIFS(DATA!$M:$M,DATA!$C:$C,$B352,DATA!$N:$N,"&gt;="&amp;DATE($I$2,M$4,1),DATA!$N:$N,"&lt;="&amp;DATE($I$2,M$4,M$5))</f>
        <v/>
      </c>
      <c r="N353" s="321">
        <f>SUMIFS(DATA!$M:$M,DATA!$C:$C,$B352,DATA!$N:$N,"&gt;="&amp;DATE($I$2,N$4,1),DATA!$N:$N,"&lt;="&amp;DATE($I$2,N$4,N$5))</f>
        <v/>
      </c>
      <c r="O353" s="321">
        <f>SUMIFS(DATA!$M:$M,DATA!$C:$C,$B352,DATA!$N:$N,"&gt;="&amp;DATE($I$2,O$4,1),DATA!$N:$N,"&lt;="&amp;DATE($I$2,O$4,O$5))</f>
        <v/>
      </c>
      <c r="P353" s="322">
        <f>SUM(D353:O353)</f>
        <v/>
      </c>
      <c r="Q353" s="118" t="n"/>
    </row>
    <row r="354" hidden="1" outlineLevel="1" ht="15" customHeight="1">
      <c r="A354" s="269" t="n">
        <v>175</v>
      </c>
      <c r="B354" s="125" t="n"/>
      <c r="C354" s="119" t="inlineStr">
        <is>
          <t>Kế hoạch</t>
        </is>
      </c>
      <c r="D354" s="321">
        <f>SUMIFS(DATA!$I:$I,DATA!$C:$C,$B354,DATA!$J:$J,"&gt;="&amp;DATE($I$2,D$4,1),DATA!$J:$J,"&lt;="&amp;DATE($I$2,D$4,D$5))</f>
        <v/>
      </c>
      <c r="E354" s="321">
        <f>SUMIFS(DATA!$I:$I,DATA!$C:$C,$B354,DATA!$J:$J,"&gt;="&amp;DATE($I$2,E$4,1),DATA!$J:$J,"&lt;="&amp;DATE($I$2,E$4,E$5))</f>
        <v/>
      </c>
      <c r="F354" s="321">
        <f>SUMIFS(DATA!$I:$I,DATA!$C:$C,$B354,DATA!$J:$J,"&gt;="&amp;DATE($I$2,F$4,1),DATA!$J:$J,"&lt;="&amp;DATE($I$2,F$4,F$5))</f>
        <v/>
      </c>
      <c r="G354" s="321">
        <f>SUMIFS(DATA!$I:$I,DATA!$C:$C,$B354,DATA!$J:$J,"&gt;="&amp;DATE($I$2,G$4,1),DATA!$J:$J,"&lt;="&amp;DATE($I$2,G$4,G$5))</f>
        <v/>
      </c>
      <c r="H354" s="321">
        <f>SUMIFS(DATA!$I:$I,DATA!$C:$C,$B354,DATA!$J:$J,"&gt;="&amp;DATE($I$2,H$4,1),DATA!$J:$J,"&lt;="&amp;DATE($I$2,H$4,H$5))</f>
        <v/>
      </c>
      <c r="I354" s="321">
        <f>SUMIFS(DATA!$I:$I,DATA!$C:$C,$B354,DATA!$J:$J,"&gt;="&amp;DATE($I$2,I$4,1),DATA!$J:$J,"&lt;="&amp;DATE($I$2,I$4,I$5))</f>
        <v/>
      </c>
      <c r="J354" s="321">
        <f>SUMIFS(DATA!$I:$I,DATA!$C:$C,$B354,DATA!$J:$J,"&gt;="&amp;DATE($I$2,J$4,1),DATA!$J:$J,"&lt;="&amp;DATE($I$2,J$4,J$5))</f>
        <v/>
      </c>
      <c r="K354" s="321">
        <f>SUMIFS(DATA!$I:$I,DATA!$C:$C,$B354,DATA!$J:$J,"&gt;="&amp;DATE($I$2,K$4,1),DATA!$J:$J,"&lt;="&amp;DATE($I$2,K$4,K$5))</f>
        <v/>
      </c>
      <c r="L354" s="321">
        <f>SUMIFS(DATA!$I:$I,DATA!$C:$C,$B354,DATA!$J:$J,"&gt;="&amp;DATE($I$2,L$4,1),DATA!$J:$J,"&lt;="&amp;DATE($I$2,L$4,L$5))</f>
        <v/>
      </c>
      <c r="M354" s="321">
        <f>SUMIFS(DATA!$I:$I,DATA!$C:$C,$B354,DATA!$J:$J,"&gt;="&amp;DATE($I$2,M$4,1),DATA!$J:$J,"&lt;="&amp;DATE($I$2,M$4,M$5))</f>
        <v/>
      </c>
      <c r="N354" s="321">
        <f>SUMIFS(DATA!$I:$I,DATA!$C:$C,$B354,DATA!$J:$J,"&gt;="&amp;DATE($I$2,N$4,1),DATA!$J:$J,"&lt;="&amp;DATE($I$2,N$4,N$5))</f>
        <v/>
      </c>
      <c r="O354" s="321">
        <f>SUMIFS(DATA!$I:$I,DATA!$C:$C,$B354,DATA!$J:$J,"&gt;="&amp;DATE($I$2,O$4,1),DATA!$J:$J,"&lt;="&amp;DATE($I$2,O$4,O$5))</f>
        <v/>
      </c>
      <c r="P354" s="322">
        <f>SUM(D354:O354)</f>
        <v/>
      </c>
      <c r="Q354" s="118" t="n"/>
    </row>
    <row r="355" hidden="1" outlineLevel="1" ht="15" customHeight="1">
      <c r="A355" s="266" t="n"/>
      <c r="B355" s="126" t="n"/>
      <c r="C355" s="119" t="inlineStr">
        <is>
          <t>Thực tế</t>
        </is>
      </c>
      <c r="D355" s="321">
        <f>SUMIFS(DATA!$M:$M,DATA!$C:$C,$B354,DATA!$N:$N,"&gt;="&amp;DATE($I$2,D$4,1),DATA!$N:$N,"&lt;="&amp;DATE($I$2,D$4,D$5))</f>
        <v/>
      </c>
      <c r="E355" s="321">
        <f>SUMIFS(DATA!$M:$M,DATA!$C:$C,$B354,DATA!$N:$N,"&gt;="&amp;DATE($I$2,E$4,1),DATA!$N:$N,"&lt;="&amp;DATE($I$2,E$4,E$5))</f>
        <v/>
      </c>
      <c r="F355" s="321">
        <f>SUMIFS(DATA!$M:$M,DATA!$C:$C,$B354,DATA!$N:$N,"&gt;="&amp;DATE($I$2,F$4,1),DATA!$N:$N,"&lt;="&amp;DATE($I$2,F$4,F$5))</f>
        <v/>
      </c>
      <c r="G355" s="321">
        <f>SUMIFS(DATA!$M:$M,DATA!$C:$C,$B354,DATA!$N:$N,"&gt;="&amp;DATE($I$2,G$4,1),DATA!$N:$N,"&lt;="&amp;DATE($I$2,G$4,G$5))</f>
        <v/>
      </c>
      <c r="H355" s="321">
        <f>SUMIFS(DATA!$M:$M,DATA!$C:$C,$B354,DATA!$N:$N,"&gt;="&amp;DATE($I$2,H$4,1),DATA!$N:$N,"&lt;="&amp;DATE($I$2,H$4,H$5))</f>
        <v/>
      </c>
      <c r="I355" s="321">
        <f>SUMIFS(DATA!$M:$M,DATA!$C:$C,$B354,DATA!$N:$N,"&gt;="&amp;DATE($I$2,I$4,1),DATA!$N:$N,"&lt;="&amp;DATE($I$2,I$4,I$5))</f>
        <v/>
      </c>
      <c r="J355" s="321">
        <f>SUMIFS(DATA!$M:$M,DATA!$C:$C,$B354,DATA!$N:$N,"&gt;="&amp;DATE($I$2,J$4,1),DATA!$N:$N,"&lt;="&amp;DATE($I$2,J$4,J$5))</f>
        <v/>
      </c>
      <c r="K355" s="321">
        <f>SUMIFS(DATA!$M:$M,DATA!$C:$C,$B354,DATA!$N:$N,"&gt;="&amp;DATE($I$2,K$4,1),DATA!$N:$N,"&lt;="&amp;DATE($I$2,K$4,K$5))</f>
        <v/>
      </c>
      <c r="L355" s="321">
        <f>SUMIFS(DATA!$M:$M,DATA!$C:$C,$B354,DATA!$N:$N,"&gt;="&amp;DATE($I$2,L$4,1),DATA!$N:$N,"&lt;="&amp;DATE($I$2,L$4,L$5))</f>
        <v/>
      </c>
      <c r="M355" s="321">
        <f>SUMIFS(DATA!$M:$M,DATA!$C:$C,$B354,DATA!$N:$N,"&gt;="&amp;DATE($I$2,M$4,1),DATA!$N:$N,"&lt;="&amp;DATE($I$2,M$4,M$5))</f>
        <v/>
      </c>
      <c r="N355" s="321">
        <f>SUMIFS(DATA!$M:$M,DATA!$C:$C,$B354,DATA!$N:$N,"&gt;="&amp;DATE($I$2,N$4,1),DATA!$N:$N,"&lt;="&amp;DATE($I$2,N$4,N$5))</f>
        <v/>
      </c>
      <c r="O355" s="321">
        <f>SUMIFS(DATA!$M:$M,DATA!$C:$C,$B354,DATA!$N:$N,"&gt;="&amp;DATE($I$2,O$4,1),DATA!$N:$N,"&lt;="&amp;DATE($I$2,O$4,O$5))</f>
        <v/>
      </c>
      <c r="P355" s="322">
        <f>SUM(D355:O355)</f>
        <v/>
      </c>
      <c r="Q355" s="118" t="n"/>
    </row>
    <row r="356" hidden="1" outlineLevel="1" ht="15" customHeight="1">
      <c r="A356" s="269" t="n">
        <v>176</v>
      </c>
      <c r="B356" s="125" t="n"/>
      <c r="C356" s="119" t="inlineStr">
        <is>
          <t>Kế hoạch</t>
        </is>
      </c>
      <c r="D356" s="321">
        <f>SUMIFS(DATA!$I:$I,DATA!$C:$C,$B356,DATA!$J:$J,"&gt;="&amp;DATE($I$2,D$4,1),DATA!$J:$J,"&lt;="&amp;DATE($I$2,D$4,D$5))</f>
        <v/>
      </c>
      <c r="E356" s="321">
        <f>SUMIFS(DATA!$I:$I,DATA!$C:$C,$B356,DATA!$J:$J,"&gt;="&amp;DATE($I$2,E$4,1),DATA!$J:$J,"&lt;="&amp;DATE($I$2,E$4,E$5))</f>
        <v/>
      </c>
      <c r="F356" s="321">
        <f>SUMIFS(DATA!$I:$I,DATA!$C:$C,$B356,DATA!$J:$J,"&gt;="&amp;DATE($I$2,F$4,1),DATA!$J:$J,"&lt;="&amp;DATE($I$2,F$4,F$5))</f>
        <v/>
      </c>
      <c r="G356" s="321">
        <f>SUMIFS(DATA!$I:$I,DATA!$C:$C,$B356,DATA!$J:$J,"&gt;="&amp;DATE($I$2,G$4,1),DATA!$J:$J,"&lt;="&amp;DATE($I$2,G$4,G$5))</f>
        <v/>
      </c>
      <c r="H356" s="321">
        <f>SUMIFS(DATA!$I:$I,DATA!$C:$C,$B356,DATA!$J:$J,"&gt;="&amp;DATE($I$2,H$4,1),DATA!$J:$J,"&lt;="&amp;DATE($I$2,H$4,H$5))</f>
        <v/>
      </c>
      <c r="I356" s="321">
        <f>SUMIFS(DATA!$I:$I,DATA!$C:$C,$B356,DATA!$J:$J,"&gt;="&amp;DATE($I$2,I$4,1),DATA!$J:$J,"&lt;="&amp;DATE($I$2,I$4,I$5))</f>
        <v/>
      </c>
      <c r="J356" s="321">
        <f>SUMIFS(DATA!$I:$I,DATA!$C:$C,$B356,DATA!$J:$J,"&gt;="&amp;DATE($I$2,J$4,1),DATA!$J:$J,"&lt;="&amp;DATE($I$2,J$4,J$5))</f>
        <v/>
      </c>
      <c r="K356" s="321">
        <f>SUMIFS(DATA!$I:$I,DATA!$C:$C,$B356,DATA!$J:$J,"&gt;="&amp;DATE($I$2,K$4,1),DATA!$J:$J,"&lt;="&amp;DATE($I$2,K$4,K$5))</f>
        <v/>
      </c>
      <c r="L356" s="321">
        <f>SUMIFS(DATA!$I:$I,DATA!$C:$C,$B356,DATA!$J:$J,"&gt;="&amp;DATE($I$2,L$4,1),DATA!$J:$J,"&lt;="&amp;DATE($I$2,L$4,L$5))</f>
        <v/>
      </c>
      <c r="M356" s="321">
        <f>SUMIFS(DATA!$I:$I,DATA!$C:$C,$B356,DATA!$J:$J,"&gt;="&amp;DATE($I$2,M$4,1),DATA!$J:$J,"&lt;="&amp;DATE($I$2,M$4,M$5))</f>
        <v/>
      </c>
      <c r="N356" s="321">
        <f>SUMIFS(DATA!$I:$I,DATA!$C:$C,$B356,DATA!$J:$J,"&gt;="&amp;DATE($I$2,N$4,1),DATA!$J:$J,"&lt;="&amp;DATE($I$2,N$4,N$5))</f>
        <v/>
      </c>
      <c r="O356" s="321">
        <f>SUMIFS(DATA!$I:$I,DATA!$C:$C,$B356,DATA!$J:$J,"&gt;="&amp;DATE($I$2,O$4,1),DATA!$J:$J,"&lt;="&amp;DATE($I$2,O$4,O$5))</f>
        <v/>
      </c>
      <c r="P356" s="322">
        <f>SUM(D356:O356)</f>
        <v/>
      </c>
      <c r="Q356" s="118" t="n"/>
    </row>
    <row r="357" hidden="1" outlineLevel="1" ht="15" customHeight="1">
      <c r="A357" s="266" t="n"/>
      <c r="B357" s="126" t="n"/>
      <c r="C357" s="119" t="inlineStr">
        <is>
          <t>Thực tế</t>
        </is>
      </c>
      <c r="D357" s="321">
        <f>SUMIFS(DATA!$M:$M,DATA!$C:$C,$B356,DATA!$N:$N,"&gt;="&amp;DATE($I$2,D$4,1),DATA!$N:$N,"&lt;="&amp;DATE($I$2,D$4,D$5))</f>
        <v/>
      </c>
      <c r="E357" s="321">
        <f>SUMIFS(DATA!$M:$M,DATA!$C:$C,$B356,DATA!$N:$N,"&gt;="&amp;DATE($I$2,E$4,1),DATA!$N:$N,"&lt;="&amp;DATE($I$2,E$4,E$5))</f>
        <v/>
      </c>
      <c r="F357" s="321">
        <f>SUMIFS(DATA!$M:$M,DATA!$C:$C,$B356,DATA!$N:$N,"&gt;="&amp;DATE($I$2,F$4,1),DATA!$N:$N,"&lt;="&amp;DATE($I$2,F$4,F$5))</f>
        <v/>
      </c>
      <c r="G357" s="321">
        <f>SUMIFS(DATA!$M:$M,DATA!$C:$C,$B356,DATA!$N:$N,"&gt;="&amp;DATE($I$2,G$4,1),DATA!$N:$N,"&lt;="&amp;DATE($I$2,G$4,G$5))</f>
        <v/>
      </c>
      <c r="H357" s="321">
        <f>SUMIFS(DATA!$M:$M,DATA!$C:$C,$B356,DATA!$N:$N,"&gt;="&amp;DATE($I$2,H$4,1),DATA!$N:$N,"&lt;="&amp;DATE($I$2,H$4,H$5))</f>
        <v/>
      </c>
      <c r="I357" s="321">
        <f>SUMIFS(DATA!$M:$M,DATA!$C:$C,$B356,DATA!$N:$N,"&gt;="&amp;DATE($I$2,I$4,1),DATA!$N:$N,"&lt;="&amp;DATE($I$2,I$4,I$5))</f>
        <v/>
      </c>
      <c r="J357" s="321">
        <f>SUMIFS(DATA!$M:$M,DATA!$C:$C,$B356,DATA!$N:$N,"&gt;="&amp;DATE($I$2,J$4,1),DATA!$N:$N,"&lt;="&amp;DATE($I$2,J$4,J$5))</f>
        <v/>
      </c>
      <c r="K357" s="321">
        <f>SUMIFS(DATA!$M:$M,DATA!$C:$C,$B356,DATA!$N:$N,"&gt;="&amp;DATE($I$2,K$4,1),DATA!$N:$N,"&lt;="&amp;DATE($I$2,K$4,K$5))</f>
        <v/>
      </c>
      <c r="L357" s="321">
        <f>SUMIFS(DATA!$M:$M,DATA!$C:$C,$B356,DATA!$N:$N,"&gt;="&amp;DATE($I$2,L$4,1),DATA!$N:$N,"&lt;="&amp;DATE($I$2,L$4,L$5))</f>
        <v/>
      </c>
      <c r="M357" s="321">
        <f>SUMIFS(DATA!$M:$M,DATA!$C:$C,$B356,DATA!$N:$N,"&gt;="&amp;DATE($I$2,M$4,1),DATA!$N:$N,"&lt;="&amp;DATE($I$2,M$4,M$5))</f>
        <v/>
      </c>
      <c r="N357" s="321">
        <f>SUMIFS(DATA!$M:$M,DATA!$C:$C,$B356,DATA!$N:$N,"&gt;="&amp;DATE($I$2,N$4,1),DATA!$N:$N,"&lt;="&amp;DATE($I$2,N$4,N$5))</f>
        <v/>
      </c>
      <c r="O357" s="321">
        <f>SUMIFS(DATA!$M:$M,DATA!$C:$C,$B356,DATA!$N:$N,"&gt;="&amp;DATE($I$2,O$4,1),DATA!$N:$N,"&lt;="&amp;DATE($I$2,O$4,O$5))</f>
        <v/>
      </c>
      <c r="P357" s="322">
        <f>SUM(D357:O357)</f>
        <v/>
      </c>
      <c r="Q357" s="118" t="n"/>
    </row>
    <row r="358" hidden="1" outlineLevel="1" ht="15" customHeight="1">
      <c r="A358" s="269" t="n">
        <v>177</v>
      </c>
      <c r="B358" s="125" t="n"/>
      <c r="C358" s="119" t="inlineStr">
        <is>
          <t>Kế hoạch</t>
        </is>
      </c>
      <c r="D358" s="321">
        <f>SUMIFS(DATA!$I:$I,DATA!$C:$C,$B358,DATA!$J:$J,"&gt;="&amp;DATE($I$2,D$4,1),DATA!$J:$J,"&lt;="&amp;DATE($I$2,D$4,D$5))</f>
        <v/>
      </c>
      <c r="E358" s="321">
        <f>SUMIFS(DATA!$I:$I,DATA!$C:$C,$B358,DATA!$J:$J,"&gt;="&amp;DATE($I$2,E$4,1),DATA!$J:$J,"&lt;="&amp;DATE($I$2,E$4,E$5))</f>
        <v/>
      </c>
      <c r="F358" s="321">
        <f>SUMIFS(DATA!$I:$I,DATA!$C:$C,$B358,DATA!$J:$J,"&gt;="&amp;DATE($I$2,F$4,1),DATA!$J:$J,"&lt;="&amp;DATE($I$2,F$4,F$5))</f>
        <v/>
      </c>
      <c r="G358" s="321">
        <f>SUMIFS(DATA!$I:$I,DATA!$C:$C,$B358,DATA!$J:$J,"&gt;="&amp;DATE($I$2,G$4,1),DATA!$J:$J,"&lt;="&amp;DATE($I$2,G$4,G$5))</f>
        <v/>
      </c>
      <c r="H358" s="321">
        <f>SUMIFS(DATA!$I:$I,DATA!$C:$C,$B358,DATA!$J:$J,"&gt;="&amp;DATE($I$2,H$4,1),DATA!$J:$J,"&lt;="&amp;DATE($I$2,H$4,H$5))</f>
        <v/>
      </c>
      <c r="I358" s="321">
        <f>SUMIFS(DATA!$I:$I,DATA!$C:$C,$B358,DATA!$J:$J,"&gt;="&amp;DATE($I$2,I$4,1),DATA!$J:$J,"&lt;="&amp;DATE($I$2,I$4,I$5))</f>
        <v/>
      </c>
      <c r="J358" s="321">
        <f>SUMIFS(DATA!$I:$I,DATA!$C:$C,$B358,DATA!$J:$J,"&gt;="&amp;DATE($I$2,J$4,1),DATA!$J:$J,"&lt;="&amp;DATE($I$2,J$4,J$5))</f>
        <v/>
      </c>
      <c r="K358" s="321">
        <f>SUMIFS(DATA!$I:$I,DATA!$C:$C,$B358,DATA!$J:$J,"&gt;="&amp;DATE($I$2,K$4,1),DATA!$J:$J,"&lt;="&amp;DATE($I$2,K$4,K$5))</f>
        <v/>
      </c>
      <c r="L358" s="321">
        <f>SUMIFS(DATA!$I:$I,DATA!$C:$C,$B358,DATA!$J:$J,"&gt;="&amp;DATE($I$2,L$4,1),DATA!$J:$J,"&lt;="&amp;DATE($I$2,L$4,L$5))</f>
        <v/>
      </c>
      <c r="M358" s="321">
        <f>SUMIFS(DATA!$I:$I,DATA!$C:$C,$B358,DATA!$J:$J,"&gt;="&amp;DATE($I$2,M$4,1),DATA!$J:$J,"&lt;="&amp;DATE($I$2,M$4,M$5))</f>
        <v/>
      </c>
      <c r="N358" s="321">
        <f>SUMIFS(DATA!$I:$I,DATA!$C:$C,$B358,DATA!$J:$J,"&gt;="&amp;DATE($I$2,N$4,1),DATA!$J:$J,"&lt;="&amp;DATE($I$2,N$4,N$5))</f>
        <v/>
      </c>
      <c r="O358" s="321">
        <f>SUMIFS(DATA!$I:$I,DATA!$C:$C,$B358,DATA!$J:$J,"&gt;="&amp;DATE($I$2,O$4,1),DATA!$J:$J,"&lt;="&amp;DATE($I$2,O$4,O$5))</f>
        <v/>
      </c>
      <c r="P358" s="322">
        <f>SUM(D358:O358)</f>
        <v/>
      </c>
      <c r="Q358" s="118" t="n"/>
    </row>
    <row r="359" hidden="1" outlineLevel="1" ht="15" customHeight="1">
      <c r="A359" s="266" t="n"/>
      <c r="B359" s="126" t="n"/>
      <c r="C359" s="119" t="inlineStr">
        <is>
          <t>Thực tế</t>
        </is>
      </c>
      <c r="D359" s="321">
        <f>SUMIFS(DATA!$M:$M,DATA!$C:$C,$B358,DATA!$N:$N,"&gt;="&amp;DATE($I$2,D$4,1),DATA!$N:$N,"&lt;="&amp;DATE($I$2,D$4,D$5))</f>
        <v/>
      </c>
      <c r="E359" s="321">
        <f>SUMIFS(DATA!$M:$M,DATA!$C:$C,$B358,DATA!$N:$N,"&gt;="&amp;DATE($I$2,E$4,1),DATA!$N:$N,"&lt;="&amp;DATE($I$2,E$4,E$5))</f>
        <v/>
      </c>
      <c r="F359" s="321">
        <f>SUMIFS(DATA!$M:$M,DATA!$C:$C,$B358,DATA!$N:$N,"&gt;="&amp;DATE($I$2,F$4,1),DATA!$N:$N,"&lt;="&amp;DATE($I$2,F$4,F$5))</f>
        <v/>
      </c>
      <c r="G359" s="321">
        <f>SUMIFS(DATA!$M:$M,DATA!$C:$C,$B358,DATA!$N:$N,"&gt;="&amp;DATE($I$2,G$4,1),DATA!$N:$N,"&lt;="&amp;DATE($I$2,G$4,G$5))</f>
        <v/>
      </c>
      <c r="H359" s="321">
        <f>SUMIFS(DATA!$M:$M,DATA!$C:$C,$B358,DATA!$N:$N,"&gt;="&amp;DATE($I$2,H$4,1),DATA!$N:$N,"&lt;="&amp;DATE($I$2,H$4,H$5))</f>
        <v/>
      </c>
      <c r="I359" s="321">
        <f>SUMIFS(DATA!$M:$M,DATA!$C:$C,$B358,DATA!$N:$N,"&gt;="&amp;DATE($I$2,I$4,1),DATA!$N:$N,"&lt;="&amp;DATE($I$2,I$4,I$5))</f>
        <v/>
      </c>
      <c r="J359" s="321">
        <f>SUMIFS(DATA!$M:$M,DATA!$C:$C,$B358,DATA!$N:$N,"&gt;="&amp;DATE($I$2,J$4,1),DATA!$N:$N,"&lt;="&amp;DATE($I$2,J$4,J$5))</f>
        <v/>
      </c>
      <c r="K359" s="321">
        <f>SUMIFS(DATA!$M:$M,DATA!$C:$C,$B358,DATA!$N:$N,"&gt;="&amp;DATE($I$2,K$4,1),DATA!$N:$N,"&lt;="&amp;DATE($I$2,K$4,K$5))</f>
        <v/>
      </c>
      <c r="L359" s="321">
        <f>SUMIFS(DATA!$M:$M,DATA!$C:$C,$B358,DATA!$N:$N,"&gt;="&amp;DATE($I$2,L$4,1),DATA!$N:$N,"&lt;="&amp;DATE($I$2,L$4,L$5))</f>
        <v/>
      </c>
      <c r="M359" s="321">
        <f>SUMIFS(DATA!$M:$M,DATA!$C:$C,$B358,DATA!$N:$N,"&gt;="&amp;DATE($I$2,M$4,1),DATA!$N:$N,"&lt;="&amp;DATE($I$2,M$4,M$5))</f>
        <v/>
      </c>
      <c r="N359" s="321">
        <f>SUMIFS(DATA!$M:$M,DATA!$C:$C,$B358,DATA!$N:$N,"&gt;="&amp;DATE($I$2,N$4,1),DATA!$N:$N,"&lt;="&amp;DATE($I$2,N$4,N$5))</f>
        <v/>
      </c>
      <c r="O359" s="321">
        <f>SUMIFS(DATA!$M:$M,DATA!$C:$C,$B358,DATA!$N:$N,"&gt;="&amp;DATE($I$2,O$4,1),DATA!$N:$N,"&lt;="&amp;DATE($I$2,O$4,O$5))</f>
        <v/>
      </c>
      <c r="P359" s="322">
        <f>SUM(D359:O359)</f>
        <v/>
      </c>
      <c r="Q359" s="118" t="n"/>
    </row>
    <row r="360" hidden="1" outlineLevel="1" ht="15" customHeight="1">
      <c r="A360" s="269" t="n">
        <v>178</v>
      </c>
      <c r="B360" s="125" t="n"/>
      <c r="C360" s="119" t="inlineStr">
        <is>
          <t>Kế hoạch</t>
        </is>
      </c>
      <c r="D360" s="321">
        <f>SUMIFS(DATA!$I:$I,DATA!$C:$C,$B360,DATA!$J:$J,"&gt;="&amp;DATE($I$2,D$4,1),DATA!$J:$J,"&lt;="&amp;DATE($I$2,D$4,D$5))</f>
        <v/>
      </c>
      <c r="E360" s="321">
        <f>SUMIFS(DATA!$I:$I,DATA!$C:$C,$B360,DATA!$J:$J,"&gt;="&amp;DATE($I$2,E$4,1),DATA!$J:$J,"&lt;="&amp;DATE($I$2,E$4,E$5))</f>
        <v/>
      </c>
      <c r="F360" s="321">
        <f>SUMIFS(DATA!$I:$I,DATA!$C:$C,$B360,DATA!$J:$J,"&gt;="&amp;DATE($I$2,F$4,1),DATA!$J:$J,"&lt;="&amp;DATE($I$2,F$4,F$5))</f>
        <v/>
      </c>
      <c r="G360" s="321">
        <f>SUMIFS(DATA!$I:$I,DATA!$C:$C,$B360,DATA!$J:$J,"&gt;="&amp;DATE($I$2,G$4,1),DATA!$J:$J,"&lt;="&amp;DATE($I$2,G$4,G$5))</f>
        <v/>
      </c>
      <c r="H360" s="321">
        <f>SUMIFS(DATA!$I:$I,DATA!$C:$C,$B360,DATA!$J:$J,"&gt;="&amp;DATE($I$2,H$4,1),DATA!$J:$J,"&lt;="&amp;DATE($I$2,H$4,H$5))</f>
        <v/>
      </c>
      <c r="I360" s="321">
        <f>SUMIFS(DATA!$I:$I,DATA!$C:$C,$B360,DATA!$J:$J,"&gt;="&amp;DATE($I$2,I$4,1),DATA!$J:$J,"&lt;="&amp;DATE($I$2,I$4,I$5))</f>
        <v/>
      </c>
      <c r="J360" s="321">
        <f>SUMIFS(DATA!$I:$I,DATA!$C:$C,$B360,DATA!$J:$J,"&gt;="&amp;DATE($I$2,J$4,1),DATA!$J:$J,"&lt;="&amp;DATE($I$2,J$4,J$5))</f>
        <v/>
      </c>
      <c r="K360" s="321">
        <f>SUMIFS(DATA!$I:$I,DATA!$C:$C,$B360,DATA!$J:$J,"&gt;="&amp;DATE($I$2,K$4,1),DATA!$J:$J,"&lt;="&amp;DATE($I$2,K$4,K$5))</f>
        <v/>
      </c>
      <c r="L360" s="321">
        <f>SUMIFS(DATA!$I:$I,DATA!$C:$C,$B360,DATA!$J:$J,"&gt;="&amp;DATE($I$2,L$4,1),DATA!$J:$J,"&lt;="&amp;DATE($I$2,L$4,L$5))</f>
        <v/>
      </c>
      <c r="M360" s="321">
        <f>SUMIFS(DATA!$I:$I,DATA!$C:$C,$B360,DATA!$J:$J,"&gt;="&amp;DATE($I$2,M$4,1),DATA!$J:$J,"&lt;="&amp;DATE($I$2,M$4,M$5))</f>
        <v/>
      </c>
      <c r="N360" s="321">
        <f>SUMIFS(DATA!$I:$I,DATA!$C:$C,$B360,DATA!$J:$J,"&gt;="&amp;DATE($I$2,N$4,1),DATA!$J:$J,"&lt;="&amp;DATE($I$2,N$4,N$5))</f>
        <v/>
      </c>
      <c r="O360" s="321">
        <f>SUMIFS(DATA!$I:$I,DATA!$C:$C,$B360,DATA!$J:$J,"&gt;="&amp;DATE($I$2,O$4,1),DATA!$J:$J,"&lt;="&amp;DATE($I$2,O$4,O$5))</f>
        <v/>
      </c>
      <c r="P360" s="322">
        <f>SUM(D360:O360)</f>
        <v/>
      </c>
      <c r="Q360" s="118" t="n"/>
    </row>
    <row r="361" hidden="1" outlineLevel="1" ht="15" customHeight="1">
      <c r="A361" s="266" t="n"/>
      <c r="B361" s="126" t="n"/>
      <c r="C361" s="119" t="inlineStr">
        <is>
          <t>Thực tế</t>
        </is>
      </c>
      <c r="D361" s="321">
        <f>SUMIFS(DATA!$M:$M,DATA!$C:$C,$B360,DATA!$N:$N,"&gt;="&amp;DATE($I$2,D$4,1),DATA!$N:$N,"&lt;="&amp;DATE($I$2,D$4,D$5))</f>
        <v/>
      </c>
      <c r="E361" s="321">
        <f>SUMIFS(DATA!$M:$M,DATA!$C:$C,$B360,DATA!$N:$N,"&gt;="&amp;DATE($I$2,E$4,1),DATA!$N:$N,"&lt;="&amp;DATE($I$2,E$4,E$5))</f>
        <v/>
      </c>
      <c r="F361" s="321">
        <f>SUMIFS(DATA!$M:$M,DATA!$C:$C,$B360,DATA!$N:$N,"&gt;="&amp;DATE($I$2,F$4,1),DATA!$N:$N,"&lt;="&amp;DATE($I$2,F$4,F$5))</f>
        <v/>
      </c>
      <c r="G361" s="321">
        <f>SUMIFS(DATA!$M:$M,DATA!$C:$C,$B360,DATA!$N:$N,"&gt;="&amp;DATE($I$2,G$4,1),DATA!$N:$N,"&lt;="&amp;DATE($I$2,G$4,G$5))</f>
        <v/>
      </c>
      <c r="H361" s="321">
        <f>SUMIFS(DATA!$M:$M,DATA!$C:$C,$B360,DATA!$N:$N,"&gt;="&amp;DATE($I$2,H$4,1),DATA!$N:$N,"&lt;="&amp;DATE($I$2,H$4,H$5))</f>
        <v/>
      </c>
      <c r="I361" s="321">
        <f>SUMIFS(DATA!$M:$M,DATA!$C:$C,$B360,DATA!$N:$N,"&gt;="&amp;DATE($I$2,I$4,1),DATA!$N:$N,"&lt;="&amp;DATE($I$2,I$4,I$5))</f>
        <v/>
      </c>
      <c r="J361" s="321">
        <f>SUMIFS(DATA!$M:$M,DATA!$C:$C,$B360,DATA!$N:$N,"&gt;="&amp;DATE($I$2,J$4,1),DATA!$N:$N,"&lt;="&amp;DATE($I$2,J$4,J$5))</f>
        <v/>
      </c>
      <c r="K361" s="321">
        <f>SUMIFS(DATA!$M:$M,DATA!$C:$C,$B360,DATA!$N:$N,"&gt;="&amp;DATE($I$2,K$4,1),DATA!$N:$N,"&lt;="&amp;DATE($I$2,K$4,K$5))</f>
        <v/>
      </c>
      <c r="L361" s="321">
        <f>SUMIFS(DATA!$M:$M,DATA!$C:$C,$B360,DATA!$N:$N,"&gt;="&amp;DATE($I$2,L$4,1),DATA!$N:$N,"&lt;="&amp;DATE($I$2,L$4,L$5))</f>
        <v/>
      </c>
      <c r="M361" s="321">
        <f>SUMIFS(DATA!$M:$M,DATA!$C:$C,$B360,DATA!$N:$N,"&gt;="&amp;DATE($I$2,M$4,1),DATA!$N:$N,"&lt;="&amp;DATE($I$2,M$4,M$5))</f>
        <v/>
      </c>
      <c r="N361" s="321">
        <f>SUMIFS(DATA!$M:$M,DATA!$C:$C,$B360,DATA!$N:$N,"&gt;="&amp;DATE($I$2,N$4,1),DATA!$N:$N,"&lt;="&amp;DATE($I$2,N$4,N$5))</f>
        <v/>
      </c>
      <c r="O361" s="321">
        <f>SUMIFS(DATA!$M:$M,DATA!$C:$C,$B360,DATA!$N:$N,"&gt;="&amp;DATE($I$2,O$4,1),DATA!$N:$N,"&lt;="&amp;DATE($I$2,O$4,O$5))</f>
        <v/>
      </c>
      <c r="P361" s="322">
        <f>SUM(D361:O361)</f>
        <v/>
      </c>
      <c r="Q361" s="118" t="n"/>
    </row>
    <row r="362" hidden="1" outlineLevel="1" ht="15" customHeight="1">
      <c r="A362" s="269" t="n">
        <v>179</v>
      </c>
      <c r="B362" s="125" t="n"/>
      <c r="C362" s="119" t="inlineStr">
        <is>
          <t>Kế hoạch</t>
        </is>
      </c>
      <c r="D362" s="321">
        <f>SUMIFS(DATA!$I:$I,DATA!$C:$C,$B362,DATA!$J:$J,"&gt;="&amp;DATE($I$2,D$4,1),DATA!$J:$J,"&lt;="&amp;DATE($I$2,D$4,D$5))</f>
        <v/>
      </c>
      <c r="E362" s="321">
        <f>SUMIFS(DATA!$I:$I,DATA!$C:$C,$B362,DATA!$J:$J,"&gt;="&amp;DATE($I$2,E$4,1),DATA!$J:$J,"&lt;="&amp;DATE($I$2,E$4,E$5))</f>
        <v/>
      </c>
      <c r="F362" s="321">
        <f>SUMIFS(DATA!$I:$I,DATA!$C:$C,$B362,DATA!$J:$J,"&gt;="&amp;DATE($I$2,F$4,1),DATA!$J:$J,"&lt;="&amp;DATE($I$2,F$4,F$5))</f>
        <v/>
      </c>
      <c r="G362" s="321">
        <f>SUMIFS(DATA!$I:$I,DATA!$C:$C,$B362,DATA!$J:$J,"&gt;="&amp;DATE($I$2,G$4,1),DATA!$J:$J,"&lt;="&amp;DATE($I$2,G$4,G$5))</f>
        <v/>
      </c>
      <c r="H362" s="321">
        <f>SUMIFS(DATA!$I:$I,DATA!$C:$C,$B362,DATA!$J:$J,"&gt;="&amp;DATE($I$2,H$4,1),DATA!$J:$J,"&lt;="&amp;DATE($I$2,H$4,H$5))</f>
        <v/>
      </c>
      <c r="I362" s="321">
        <f>SUMIFS(DATA!$I:$I,DATA!$C:$C,$B362,DATA!$J:$J,"&gt;="&amp;DATE($I$2,I$4,1),DATA!$J:$J,"&lt;="&amp;DATE($I$2,I$4,I$5))</f>
        <v/>
      </c>
      <c r="J362" s="321">
        <f>SUMIFS(DATA!$I:$I,DATA!$C:$C,$B362,DATA!$J:$J,"&gt;="&amp;DATE($I$2,J$4,1),DATA!$J:$J,"&lt;="&amp;DATE($I$2,J$4,J$5))</f>
        <v/>
      </c>
      <c r="K362" s="321">
        <f>SUMIFS(DATA!$I:$I,DATA!$C:$C,$B362,DATA!$J:$J,"&gt;="&amp;DATE($I$2,K$4,1),DATA!$J:$J,"&lt;="&amp;DATE($I$2,K$4,K$5))</f>
        <v/>
      </c>
      <c r="L362" s="321">
        <f>SUMIFS(DATA!$I:$I,DATA!$C:$C,$B362,DATA!$J:$J,"&gt;="&amp;DATE($I$2,L$4,1),DATA!$J:$J,"&lt;="&amp;DATE($I$2,L$4,L$5))</f>
        <v/>
      </c>
      <c r="M362" s="321">
        <f>SUMIFS(DATA!$I:$I,DATA!$C:$C,$B362,DATA!$J:$J,"&gt;="&amp;DATE($I$2,M$4,1),DATA!$J:$J,"&lt;="&amp;DATE($I$2,M$4,M$5))</f>
        <v/>
      </c>
      <c r="N362" s="321">
        <f>SUMIFS(DATA!$I:$I,DATA!$C:$C,$B362,DATA!$J:$J,"&gt;="&amp;DATE($I$2,N$4,1),DATA!$J:$J,"&lt;="&amp;DATE($I$2,N$4,N$5))</f>
        <v/>
      </c>
      <c r="O362" s="321">
        <f>SUMIFS(DATA!$I:$I,DATA!$C:$C,$B362,DATA!$J:$J,"&gt;="&amp;DATE($I$2,O$4,1),DATA!$J:$J,"&lt;="&amp;DATE($I$2,O$4,O$5))</f>
        <v/>
      </c>
      <c r="P362" s="322">
        <f>SUM(D362:O362)</f>
        <v/>
      </c>
      <c r="Q362" s="118" t="n"/>
    </row>
    <row r="363" hidden="1" outlineLevel="1" ht="15" customHeight="1">
      <c r="A363" s="266" t="n"/>
      <c r="B363" s="126" t="n"/>
      <c r="C363" s="119" t="inlineStr">
        <is>
          <t>Thực tế</t>
        </is>
      </c>
      <c r="D363" s="321">
        <f>SUMIFS(DATA!$M:$M,DATA!$C:$C,$B362,DATA!$N:$N,"&gt;="&amp;DATE($I$2,D$4,1),DATA!$N:$N,"&lt;="&amp;DATE($I$2,D$4,D$5))</f>
        <v/>
      </c>
      <c r="E363" s="321">
        <f>SUMIFS(DATA!$M:$M,DATA!$C:$C,$B362,DATA!$N:$N,"&gt;="&amp;DATE($I$2,E$4,1),DATA!$N:$N,"&lt;="&amp;DATE($I$2,E$4,E$5))</f>
        <v/>
      </c>
      <c r="F363" s="321">
        <f>SUMIFS(DATA!$M:$M,DATA!$C:$C,$B362,DATA!$N:$N,"&gt;="&amp;DATE($I$2,F$4,1),DATA!$N:$N,"&lt;="&amp;DATE($I$2,F$4,F$5))</f>
        <v/>
      </c>
      <c r="G363" s="321">
        <f>SUMIFS(DATA!$M:$M,DATA!$C:$C,$B362,DATA!$N:$N,"&gt;="&amp;DATE($I$2,G$4,1),DATA!$N:$N,"&lt;="&amp;DATE($I$2,G$4,G$5))</f>
        <v/>
      </c>
      <c r="H363" s="321">
        <f>SUMIFS(DATA!$M:$M,DATA!$C:$C,$B362,DATA!$N:$N,"&gt;="&amp;DATE($I$2,H$4,1),DATA!$N:$N,"&lt;="&amp;DATE($I$2,H$4,H$5))</f>
        <v/>
      </c>
      <c r="I363" s="321">
        <f>SUMIFS(DATA!$M:$M,DATA!$C:$C,$B362,DATA!$N:$N,"&gt;="&amp;DATE($I$2,I$4,1),DATA!$N:$N,"&lt;="&amp;DATE($I$2,I$4,I$5))</f>
        <v/>
      </c>
      <c r="J363" s="321">
        <f>SUMIFS(DATA!$M:$M,DATA!$C:$C,$B362,DATA!$N:$N,"&gt;="&amp;DATE($I$2,J$4,1),DATA!$N:$N,"&lt;="&amp;DATE($I$2,J$4,J$5))</f>
        <v/>
      </c>
      <c r="K363" s="321">
        <f>SUMIFS(DATA!$M:$M,DATA!$C:$C,$B362,DATA!$N:$N,"&gt;="&amp;DATE($I$2,K$4,1),DATA!$N:$N,"&lt;="&amp;DATE($I$2,K$4,K$5))</f>
        <v/>
      </c>
      <c r="L363" s="321">
        <f>SUMIFS(DATA!$M:$M,DATA!$C:$C,$B362,DATA!$N:$N,"&gt;="&amp;DATE($I$2,L$4,1),DATA!$N:$N,"&lt;="&amp;DATE($I$2,L$4,L$5))</f>
        <v/>
      </c>
      <c r="M363" s="321">
        <f>SUMIFS(DATA!$M:$M,DATA!$C:$C,$B362,DATA!$N:$N,"&gt;="&amp;DATE($I$2,M$4,1),DATA!$N:$N,"&lt;="&amp;DATE($I$2,M$4,M$5))</f>
        <v/>
      </c>
      <c r="N363" s="321">
        <f>SUMIFS(DATA!$M:$M,DATA!$C:$C,$B362,DATA!$N:$N,"&gt;="&amp;DATE($I$2,N$4,1),DATA!$N:$N,"&lt;="&amp;DATE($I$2,N$4,N$5))</f>
        <v/>
      </c>
      <c r="O363" s="321">
        <f>SUMIFS(DATA!$M:$M,DATA!$C:$C,$B362,DATA!$N:$N,"&gt;="&amp;DATE($I$2,O$4,1),DATA!$N:$N,"&lt;="&amp;DATE($I$2,O$4,O$5))</f>
        <v/>
      </c>
      <c r="P363" s="322">
        <f>SUM(D363:O363)</f>
        <v/>
      </c>
      <c r="Q363" s="118" t="n"/>
    </row>
    <row r="364" hidden="1" outlineLevel="1" ht="15" customHeight="1">
      <c r="A364" s="269" t="n">
        <v>180</v>
      </c>
      <c r="B364" s="125" t="n"/>
      <c r="C364" s="119" t="inlineStr">
        <is>
          <t>Kế hoạch</t>
        </is>
      </c>
      <c r="D364" s="321">
        <f>SUMIFS(DATA!$I:$I,DATA!$C:$C,$B364,DATA!$J:$J,"&gt;="&amp;DATE($I$2,D$4,1),DATA!$J:$J,"&lt;="&amp;DATE($I$2,D$4,D$5))</f>
        <v/>
      </c>
      <c r="E364" s="321">
        <f>SUMIFS(DATA!$I:$I,DATA!$C:$C,$B364,DATA!$J:$J,"&gt;="&amp;DATE($I$2,E$4,1),DATA!$J:$J,"&lt;="&amp;DATE($I$2,E$4,E$5))</f>
        <v/>
      </c>
      <c r="F364" s="321">
        <f>SUMIFS(DATA!$I:$I,DATA!$C:$C,$B364,DATA!$J:$J,"&gt;="&amp;DATE($I$2,F$4,1),DATA!$J:$J,"&lt;="&amp;DATE($I$2,F$4,F$5))</f>
        <v/>
      </c>
      <c r="G364" s="321">
        <f>SUMIFS(DATA!$I:$I,DATA!$C:$C,$B364,DATA!$J:$J,"&gt;="&amp;DATE($I$2,G$4,1),DATA!$J:$J,"&lt;="&amp;DATE($I$2,G$4,G$5))</f>
        <v/>
      </c>
      <c r="H364" s="321">
        <f>SUMIFS(DATA!$I:$I,DATA!$C:$C,$B364,DATA!$J:$J,"&gt;="&amp;DATE($I$2,H$4,1),DATA!$J:$J,"&lt;="&amp;DATE($I$2,H$4,H$5))</f>
        <v/>
      </c>
      <c r="I364" s="321">
        <f>SUMIFS(DATA!$I:$I,DATA!$C:$C,$B364,DATA!$J:$J,"&gt;="&amp;DATE($I$2,I$4,1),DATA!$J:$J,"&lt;="&amp;DATE($I$2,I$4,I$5))</f>
        <v/>
      </c>
      <c r="J364" s="321">
        <f>SUMIFS(DATA!$I:$I,DATA!$C:$C,$B364,DATA!$J:$J,"&gt;="&amp;DATE($I$2,J$4,1),DATA!$J:$J,"&lt;="&amp;DATE($I$2,J$4,J$5))</f>
        <v/>
      </c>
      <c r="K364" s="321">
        <f>SUMIFS(DATA!$I:$I,DATA!$C:$C,$B364,DATA!$J:$J,"&gt;="&amp;DATE($I$2,K$4,1),DATA!$J:$J,"&lt;="&amp;DATE($I$2,K$4,K$5))</f>
        <v/>
      </c>
      <c r="L364" s="321">
        <f>SUMIFS(DATA!$I:$I,DATA!$C:$C,$B364,DATA!$J:$J,"&gt;="&amp;DATE($I$2,L$4,1),DATA!$J:$J,"&lt;="&amp;DATE($I$2,L$4,L$5))</f>
        <v/>
      </c>
      <c r="M364" s="321">
        <f>SUMIFS(DATA!$I:$I,DATA!$C:$C,$B364,DATA!$J:$J,"&gt;="&amp;DATE($I$2,M$4,1),DATA!$J:$J,"&lt;="&amp;DATE($I$2,M$4,M$5))</f>
        <v/>
      </c>
      <c r="N364" s="321">
        <f>SUMIFS(DATA!$I:$I,DATA!$C:$C,$B364,DATA!$J:$J,"&gt;="&amp;DATE($I$2,N$4,1),DATA!$J:$J,"&lt;="&amp;DATE($I$2,N$4,N$5))</f>
        <v/>
      </c>
      <c r="O364" s="321">
        <f>SUMIFS(DATA!$I:$I,DATA!$C:$C,$B364,DATA!$J:$J,"&gt;="&amp;DATE($I$2,O$4,1),DATA!$J:$J,"&lt;="&amp;DATE($I$2,O$4,O$5))</f>
        <v/>
      </c>
      <c r="P364" s="322">
        <f>SUM(D364:O364)</f>
        <v/>
      </c>
      <c r="Q364" s="118" t="n"/>
    </row>
    <row r="365" hidden="1" outlineLevel="1" ht="15" customHeight="1">
      <c r="A365" s="266" t="n"/>
      <c r="B365" s="126" t="n"/>
      <c r="C365" s="119" t="inlineStr">
        <is>
          <t>Thực tế</t>
        </is>
      </c>
      <c r="D365" s="321">
        <f>SUMIFS(DATA!$M:$M,DATA!$C:$C,$B364,DATA!$N:$N,"&gt;="&amp;DATE($I$2,D$4,1),DATA!$N:$N,"&lt;="&amp;DATE($I$2,D$4,D$5))</f>
        <v/>
      </c>
      <c r="E365" s="321">
        <f>SUMIFS(DATA!$M:$M,DATA!$C:$C,$B364,DATA!$N:$N,"&gt;="&amp;DATE($I$2,E$4,1),DATA!$N:$N,"&lt;="&amp;DATE($I$2,E$4,E$5))</f>
        <v/>
      </c>
      <c r="F365" s="321">
        <f>SUMIFS(DATA!$M:$M,DATA!$C:$C,$B364,DATA!$N:$N,"&gt;="&amp;DATE($I$2,F$4,1),DATA!$N:$N,"&lt;="&amp;DATE($I$2,F$4,F$5))</f>
        <v/>
      </c>
      <c r="G365" s="321">
        <f>SUMIFS(DATA!$M:$M,DATA!$C:$C,$B364,DATA!$N:$N,"&gt;="&amp;DATE($I$2,G$4,1),DATA!$N:$N,"&lt;="&amp;DATE($I$2,G$4,G$5))</f>
        <v/>
      </c>
      <c r="H365" s="321">
        <f>SUMIFS(DATA!$M:$M,DATA!$C:$C,$B364,DATA!$N:$N,"&gt;="&amp;DATE($I$2,H$4,1),DATA!$N:$N,"&lt;="&amp;DATE($I$2,H$4,H$5))</f>
        <v/>
      </c>
      <c r="I365" s="321">
        <f>SUMIFS(DATA!$M:$M,DATA!$C:$C,$B364,DATA!$N:$N,"&gt;="&amp;DATE($I$2,I$4,1),DATA!$N:$N,"&lt;="&amp;DATE($I$2,I$4,I$5))</f>
        <v/>
      </c>
      <c r="J365" s="321">
        <f>SUMIFS(DATA!$M:$M,DATA!$C:$C,$B364,DATA!$N:$N,"&gt;="&amp;DATE($I$2,J$4,1),DATA!$N:$N,"&lt;="&amp;DATE($I$2,J$4,J$5))</f>
        <v/>
      </c>
      <c r="K365" s="321">
        <f>SUMIFS(DATA!$M:$M,DATA!$C:$C,$B364,DATA!$N:$N,"&gt;="&amp;DATE($I$2,K$4,1),DATA!$N:$N,"&lt;="&amp;DATE($I$2,K$4,K$5))</f>
        <v/>
      </c>
      <c r="L365" s="321">
        <f>SUMIFS(DATA!$M:$M,DATA!$C:$C,$B364,DATA!$N:$N,"&gt;="&amp;DATE($I$2,L$4,1),DATA!$N:$N,"&lt;="&amp;DATE($I$2,L$4,L$5))</f>
        <v/>
      </c>
      <c r="M365" s="321">
        <f>SUMIFS(DATA!$M:$M,DATA!$C:$C,$B364,DATA!$N:$N,"&gt;="&amp;DATE($I$2,M$4,1),DATA!$N:$N,"&lt;="&amp;DATE($I$2,M$4,M$5))</f>
        <v/>
      </c>
      <c r="N365" s="321">
        <f>SUMIFS(DATA!$M:$M,DATA!$C:$C,$B364,DATA!$N:$N,"&gt;="&amp;DATE($I$2,N$4,1),DATA!$N:$N,"&lt;="&amp;DATE($I$2,N$4,N$5))</f>
        <v/>
      </c>
      <c r="O365" s="321">
        <f>SUMIFS(DATA!$M:$M,DATA!$C:$C,$B364,DATA!$N:$N,"&gt;="&amp;DATE($I$2,O$4,1),DATA!$N:$N,"&lt;="&amp;DATE($I$2,O$4,O$5))</f>
        <v/>
      </c>
      <c r="P365" s="322">
        <f>SUM(D365:O365)</f>
        <v/>
      </c>
      <c r="Q365" s="118" t="n"/>
    </row>
    <row r="366" hidden="1" outlineLevel="1" ht="15" customHeight="1">
      <c r="A366" s="269" t="n">
        <v>181</v>
      </c>
      <c r="B366" s="125" t="n"/>
      <c r="C366" s="119" t="inlineStr">
        <is>
          <t>Kế hoạch</t>
        </is>
      </c>
      <c r="D366" s="321">
        <f>SUMIFS(DATA!$I:$I,DATA!$C:$C,$B366,DATA!$J:$J,"&gt;="&amp;DATE($I$2,D$4,1),DATA!$J:$J,"&lt;="&amp;DATE($I$2,D$4,D$5))</f>
        <v/>
      </c>
      <c r="E366" s="321">
        <f>SUMIFS(DATA!$I:$I,DATA!$C:$C,$B366,DATA!$J:$J,"&gt;="&amp;DATE($I$2,E$4,1),DATA!$J:$J,"&lt;="&amp;DATE($I$2,E$4,E$5))</f>
        <v/>
      </c>
      <c r="F366" s="321">
        <f>SUMIFS(DATA!$I:$I,DATA!$C:$C,$B366,DATA!$J:$J,"&gt;="&amp;DATE($I$2,F$4,1),DATA!$J:$J,"&lt;="&amp;DATE($I$2,F$4,F$5))</f>
        <v/>
      </c>
      <c r="G366" s="321">
        <f>SUMIFS(DATA!$I:$I,DATA!$C:$C,$B366,DATA!$J:$J,"&gt;="&amp;DATE($I$2,G$4,1),DATA!$J:$J,"&lt;="&amp;DATE($I$2,G$4,G$5))</f>
        <v/>
      </c>
      <c r="H366" s="321">
        <f>SUMIFS(DATA!$I:$I,DATA!$C:$C,$B366,DATA!$J:$J,"&gt;="&amp;DATE($I$2,H$4,1),DATA!$J:$J,"&lt;="&amp;DATE($I$2,H$4,H$5))</f>
        <v/>
      </c>
      <c r="I366" s="321">
        <f>SUMIFS(DATA!$I:$I,DATA!$C:$C,$B366,DATA!$J:$J,"&gt;="&amp;DATE($I$2,I$4,1),DATA!$J:$J,"&lt;="&amp;DATE($I$2,I$4,I$5))</f>
        <v/>
      </c>
      <c r="J366" s="321">
        <f>SUMIFS(DATA!$I:$I,DATA!$C:$C,$B366,DATA!$J:$J,"&gt;="&amp;DATE($I$2,J$4,1),DATA!$J:$J,"&lt;="&amp;DATE($I$2,J$4,J$5))</f>
        <v/>
      </c>
      <c r="K366" s="321">
        <f>SUMIFS(DATA!$I:$I,DATA!$C:$C,$B366,DATA!$J:$J,"&gt;="&amp;DATE($I$2,K$4,1),DATA!$J:$J,"&lt;="&amp;DATE($I$2,K$4,K$5))</f>
        <v/>
      </c>
      <c r="L366" s="321">
        <f>SUMIFS(DATA!$I:$I,DATA!$C:$C,$B366,DATA!$J:$J,"&gt;="&amp;DATE($I$2,L$4,1),DATA!$J:$J,"&lt;="&amp;DATE($I$2,L$4,L$5))</f>
        <v/>
      </c>
      <c r="M366" s="321">
        <f>SUMIFS(DATA!$I:$I,DATA!$C:$C,$B366,DATA!$J:$J,"&gt;="&amp;DATE($I$2,M$4,1),DATA!$J:$J,"&lt;="&amp;DATE($I$2,M$4,M$5))</f>
        <v/>
      </c>
      <c r="N366" s="321">
        <f>SUMIFS(DATA!$I:$I,DATA!$C:$C,$B366,DATA!$J:$J,"&gt;="&amp;DATE($I$2,N$4,1),DATA!$J:$J,"&lt;="&amp;DATE($I$2,N$4,N$5))</f>
        <v/>
      </c>
      <c r="O366" s="321">
        <f>SUMIFS(DATA!$I:$I,DATA!$C:$C,$B366,DATA!$J:$J,"&gt;="&amp;DATE($I$2,O$4,1),DATA!$J:$J,"&lt;="&amp;DATE($I$2,O$4,O$5))</f>
        <v/>
      </c>
      <c r="P366" s="322">
        <f>SUM(D366:O366)</f>
        <v/>
      </c>
      <c r="Q366" s="118" t="n"/>
    </row>
    <row r="367" hidden="1" outlineLevel="1" ht="15" customHeight="1">
      <c r="A367" s="266" t="n"/>
      <c r="B367" s="126" t="n"/>
      <c r="C367" s="119" t="inlineStr">
        <is>
          <t>Thực tế</t>
        </is>
      </c>
      <c r="D367" s="321">
        <f>SUMIFS(DATA!$M:$M,DATA!$C:$C,$B366,DATA!$N:$N,"&gt;="&amp;DATE($I$2,D$4,1),DATA!$N:$N,"&lt;="&amp;DATE($I$2,D$4,D$5))</f>
        <v/>
      </c>
      <c r="E367" s="321">
        <f>SUMIFS(DATA!$M:$M,DATA!$C:$C,$B366,DATA!$N:$N,"&gt;="&amp;DATE($I$2,E$4,1),DATA!$N:$N,"&lt;="&amp;DATE($I$2,E$4,E$5))</f>
        <v/>
      </c>
      <c r="F367" s="321">
        <f>SUMIFS(DATA!$M:$M,DATA!$C:$C,$B366,DATA!$N:$N,"&gt;="&amp;DATE($I$2,F$4,1),DATA!$N:$N,"&lt;="&amp;DATE($I$2,F$4,F$5))</f>
        <v/>
      </c>
      <c r="G367" s="321">
        <f>SUMIFS(DATA!$M:$M,DATA!$C:$C,$B366,DATA!$N:$N,"&gt;="&amp;DATE($I$2,G$4,1),DATA!$N:$N,"&lt;="&amp;DATE($I$2,G$4,G$5))</f>
        <v/>
      </c>
      <c r="H367" s="321">
        <f>SUMIFS(DATA!$M:$M,DATA!$C:$C,$B366,DATA!$N:$N,"&gt;="&amp;DATE($I$2,H$4,1),DATA!$N:$N,"&lt;="&amp;DATE($I$2,H$4,H$5))</f>
        <v/>
      </c>
      <c r="I367" s="321">
        <f>SUMIFS(DATA!$M:$M,DATA!$C:$C,$B366,DATA!$N:$N,"&gt;="&amp;DATE($I$2,I$4,1),DATA!$N:$N,"&lt;="&amp;DATE($I$2,I$4,I$5))</f>
        <v/>
      </c>
      <c r="J367" s="321">
        <f>SUMIFS(DATA!$M:$M,DATA!$C:$C,$B366,DATA!$N:$N,"&gt;="&amp;DATE($I$2,J$4,1),DATA!$N:$N,"&lt;="&amp;DATE($I$2,J$4,J$5))</f>
        <v/>
      </c>
      <c r="K367" s="321">
        <f>SUMIFS(DATA!$M:$M,DATA!$C:$C,$B366,DATA!$N:$N,"&gt;="&amp;DATE($I$2,K$4,1),DATA!$N:$N,"&lt;="&amp;DATE($I$2,K$4,K$5))</f>
        <v/>
      </c>
      <c r="L367" s="321">
        <f>SUMIFS(DATA!$M:$M,DATA!$C:$C,$B366,DATA!$N:$N,"&gt;="&amp;DATE($I$2,L$4,1),DATA!$N:$N,"&lt;="&amp;DATE($I$2,L$4,L$5))</f>
        <v/>
      </c>
      <c r="M367" s="321">
        <f>SUMIFS(DATA!$M:$M,DATA!$C:$C,$B366,DATA!$N:$N,"&gt;="&amp;DATE($I$2,M$4,1),DATA!$N:$N,"&lt;="&amp;DATE($I$2,M$4,M$5))</f>
        <v/>
      </c>
      <c r="N367" s="321">
        <f>SUMIFS(DATA!$M:$M,DATA!$C:$C,$B366,DATA!$N:$N,"&gt;="&amp;DATE($I$2,N$4,1),DATA!$N:$N,"&lt;="&amp;DATE($I$2,N$4,N$5))</f>
        <v/>
      </c>
      <c r="O367" s="321">
        <f>SUMIFS(DATA!$M:$M,DATA!$C:$C,$B366,DATA!$N:$N,"&gt;="&amp;DATE($I$2,O$4,1),DATA!$N:$N,"&lt;="&amp;DATE($I$2,O$4,O$5))</f>
        <v/>
      </c>
      <c r="P367" s="322">
        <f>SUM(D367:O367)</f>
        <v/>
      </c>
      <c r="Q367" s="118" t="n"/>
    </row>
    <row r="368" hidden="1" outlineLevel="1" ht="15" customHeight="1">
      <c r="A368" s="269" t="n">
        <v>182</v>
      </c>
      <c r="B368" s="125" t="n"/>
      <c r="C368" s="119" t="inlineStr">
        <is>
          <t>Kế hoạch</t>
        </is>
      </c>
      <c r="D368" s="321">
        <f>SUMIFS(DATA!$I:$I,DATA!$C:$C,$B368,DATA!$J:$J,"&gt;="&amp;DATE($I$2,D$4,1),DATA!$J:$J,"&lt;="&amp;DATE($I$2,D$4,D$5))</f>
        <v/>
      </c>
      <c r="E368" s="321">
        <f>SUMIFS(DATA!$I:$I,DATA!$C:$C,$B368,DATA!$J:$J,"&gt;="&amp;DATE($I$2,E$4,1),DATA!$J:$J,"&lt;="&amp;DATE($I$2,E$4,E$5))</f>
        <v/>
      </c>
      <c r="F368" s="321">
        <f>SUMIFS(DATA!$I:$I,DATA!$C:$C,$B368,DATA!$J:$J,"&gt;="&amp;DATE($I$2,F$4,1),DATA!$J:$J,"&lt;="&amp;DATE($I$2,F$4,F$5))</f>
        <v/>
      </c>
      <c r="G368" s="321">
        <f>SUMIFS(DATA!$I:$I,DATA!$C:$C,$B368,DATA!$J:$J,"&gt;="&amp;DATE($I$2,G$4,1),DATA!$J:$J,"&lt;="&amp;DATE($I$2,G$4,G$5))</f>
        <v/>
      </c>
      <c r="H368" s="321">
        <f>SUMIFS(DATA!$I:$I,DATA!$C:$C,$B368,DATA!$J:$J,"&gt;="&amp;DATE($I$2,H$4,1),DATA!$J:$J,"&lt;="&amp;DATE($I$2,H$4,H$5))</f>
        <v/>
      </c>
      <c r="I368" s="321">
        <f>SUMIFS(DATA!$I:$I,DATA!$C:$C,$B368,DATA!$J:$J,"&gt;="&amp;DATE($I$2,I$4,1),DATA!$J:$J,"&lt;="&amp;DATE($I$2,I$4,I$5))</f>
        <v/>
      </c>
      <c r="J368" s="321">
        <f>SUMIFS(DATA!$I:$I,DATA!$C:$C,$B368,DATA!$J:$J,"&gt;="&amp;DATE($I$2,J$4,1),DATA!$J:$J,"&lt;="&amp;DATE($I$2,J$4,J$5))</f>
        <v/>
      </c>
      <c r="K368" s="321">
        <f>SUMIFS(DATA!$I:$I,DATA!$C:$C,$B368,DATA!$J:$J,"&gt;="&amp;DATE($I$2,K$4,1),DATA!$J:$J,"&lt;="&amp;DATE($I$2,K$4,K$5))</f>
        <v/>
      </c>
      <c r="L368" s="321">
        <f>SUMIFS(DATA!$I:$I,DATA!$C:$C,$B368,DATA!$J:$J,"&gt;="&amp;DATE($I$2,L$4,1),DATA!$J:$J,"&lt;="&amp;DATE($I$2,L$4,L$5))</f>
        <v/>
      </c>
      <c r="M368" s="321">
        <f>SUMIFS(DATA!$I:$I,DATA!$C:$C,$B368,DATA!$J:$J,"&gt;="&amp;DATE($I$2,M$4,1),DATA!$J:$J,"&lt;="&amp;DATE($I$2,M$4,M$5))</f>
        <v/>
      </c>
      <c r="N368" s="321">
        <f>SUMIFS(DATA!$I:$I,DATA!$C:$C,$B368,DATA!$J:$J,"&gt;="&amp;DATE($I$2,N$4,1),DATA!$J:$J,"&lt;="&amp;DATE($I$2,N$4,N$5))</f>
        <v/>
      </c>
      <c r="O368" s="321">
        <f>SUMIFS(DATA!$I:$I,DATA!$C:$C,$B368,DATA!$J:$J,"&gt;="&amp;DATE($I$2,O$4,1),DATA!$J:$J,"&lt;="&amp;DATE($I$2,O$4,O$5))</f>
        <v/>
      </c>
      <c r="P368" s="322">
        <f>SUM(D368:O368)</f>
        <v/>
      </c>
      <c r="Q368" s="118" t="n"/>
    </row>
    <row r="369" hidden="1" outlineLevel="1" ht="15" customHeight="1">
      <c r="A369" s="266" t="n"/>
      <c r="B369" s="126" t="n"/>
      <c r="C369" s="119" t="inlineStr">
        <is>
          <t>Thực tế</t>
        </is>
      </c>
      <c r="D369" s="321">
        <f>SUMIFS(DATA!$M:$M,DATA!$C:$C,$B368,DATA!$N:$N,"&gt;="&amp;DATE($I$2,D$4,1),DATA!$N:$N,"&lt;="&amp;DATE($I$2,D$4,D$5))</f>
        <v/>
      </c>
      <c r="E369" s="321">
        <f>SUMIFS(DATA!$M:$M,DATA!$C:$C,$B368,DATA!$N:$N,"&gt;="&amp;DATE($I$2,E$4,1),DATA!$N:$N,"&lt;="&amp;DATE($I$2,E$4,E$5))</f>
        <v/>
      </c>
      <c r="F369" s="321">
        <f>SUMIFS(DATA!$M:$M,DATA!$C:$C,$B368,DATA!$N:$N,"&gt;="&amp;DATE($I$2,F$4,1),DATA!$N:$N,"&lt;="&amp;DATE($I$2,F$4,F$5))</f>
        <v/>
      </c>
      <c r="G369" s="321">
        <f>SUMIFS(DATA!$M:$M,DATA!$C:$C,$B368,DATA!$N:$N,"&gt;="&amp;DATE($I$2,G$4,1),DATA!$N:$N,"&lt;="&amp;DATE($I$2,G$4,G$5))</f>
        <v/>
      </c>
      <c r="H369" s="321">
        <f>SUMIFS(DATA!$M:$M,DATA!$C:$C,$B368,DATA!$N:$N,"&gt;="&amp;DATE($I$2,H$4,1),DATA!$N:$N,"&lt;="&amp;DATE($I$2,H$4,H$5))</f>
        <v/>
      </c>
      <c r="I369" s="321">
        <f>SUMIFS(DATA!$M:$M,DATA!$C:$C,$B368,DATA!$N:$N,"&gt;="&amp;DATE($I$2,I$4,1),DATA!$N:$N,"&lt;="&amp;DATE($I$2,I$4,I$5))</f>
        <v/>
      </c>
      <c r="J369" s="321">
        <f>SUMIFS(DATA!$M:$M,DATA!$C:$C,$B368,DATA!$N:$N,"&gt;="&amp;DATE($I$2,J$4,1),DATA!$N:$N,"&lt;="&amp;DATE($I$2,J$4,J$5))</f>
        <v/>
      </c>
      <c r="K369" s="321">
        <f>SUMIFS(DATA!$M:$M,DATA!$C:$C,$B368,DATA!$N:$N,"&gt;="&amp;DATE($I$2,K$4,1),DATA!$N:$N,"&lt;="&amp;DATE($I$2,K$4,K$5))</f>
        <v/>
      </c>
      <c r="L369" s="321">
        <f>SUMIFS(DATA!$M:$M,DATA!$C:$C,$B368,DATA!$N:$N,"&gt;="&amp;DATE($I$2,L$4,1),DATA!$N:$N,"&lt;="&amp;DATE($I$2,L$4,L$5))</f>
        <v/>
      </c>
      <c r="M369" s="321">
        <f>SUMIFS(DATA!$M:$M,DATA!$C:$C,$B368,DATA!$N:$N,"&gt;="&amp;DATE($I$2,M$4,1),DATA!$N:$N,"&lt;="&amp;DATE($I$2,M$4,M$5))</f>
        <v/>
      </c>
      <c r="N369" s="321">
        <f>SUMIFS(DATA!$M:$M,DATA!$C:$C,$B368,DATA!$N:$N,"&gt;="&amp;DATE($I$2,N$4,1),DATA!$N:$N,"&lt;="&amp;DATE($I$2,N$4,N$5))</f>
        <v/>
      </c>
      <c r="O369" s="321">
        <f>SUMIFS(DATA!$M:$M,DATA!$C:$C,$B368,DATA!$N:$N,"&gt;="&amp;DATE($I$2,O$4,1),DATA!$N:$N,"&lt;="&amp;DATE($I$2,O$4,O$5))</f>
        <v/>
      </c>
      <c r="P369" s="322">
        <f>SUM(D369:O369)</f>
        <v/>
      </c>
      <c r="Q369" s="118" t="n"/>
    </row>
    <row r="370" hidden="1" outlineLevel="1" ht="15" customHeight="1">
      <c r="A370" s="269" t="n">
        <v>183</v>
      </c>
      <c r="B370" s="125" t="n"/>
      <c r="C370" s="119" t="inlineStr">
        <is>
          <t>Kế hoạch</t>
        </is>
      </c>
      <c r="D370" s="321">
        <f>SUMIFS(DATA!$I:$I,DATA!$C:$C,$B370,DATA!$J:$J,"&gt;="&amp;DATE($I$2,D$4,1),DATA!$J:$J,"&lt;="&amp;DATE($I$2,D$4,D$5))</f>
        <v/>
      </c>
      <c r="E370" s="321">
        <f>SUMIFS(DATA!$I:$I,DATA!$C:$C,$B370,DATA!$J:$J,"&gt;="&amp;DATE($I$2,E$4,1),DATA!$J:$J,"&lt;="&amp;DATE($I$2,E$4,E$5))</f>
        <v/>
      </c>
      <c r="F370" s="321">
        <f>SUMIFS(DATA!$I:$I,DATA!$C:$C,$B370,DATA!$J:$J,"&gt;="&amp;DATE($I$2,F$4,1),DATA!$J:$J,"&lt;="&amp;DATE($I$2,F$4,F$5))</f>
        <v/>
      </c>
      <c r="G370" s="321">
        <f>SUMIFS(DATA!$I:$I,DATA!$C:$C,$B370,DATA!$J:$J,"&gt;="&amp;DATE($I$2,G$4,1),DATA!$J:$J,"&lt;="&amp;DATE($I$2,G$4,G$5))</f>
        <v/>
      </c>
      <c r="H370" s="321">
        <f>SUMIFS(DATA!$I:$I,DATA!$C:$C,$B370,DATA!$J:$J,"&gt;="&amp;DATE($I$2,H$4,1),DATA!$J:$J,"&lt;="&amp;DATE($I$2,H$4,H$5))</f>
        <v/>
      </c>
      <c r="I370" s="321">
        <f>SUMIFS(DATA!$I:$I,DATA!$C:$C,$B370,DATA!$J:$J,"&gt;="&amp;DATE($I$2,I$4,1),DATA!$J:$J,"&lt;="&amp;DATE($I$2,I$4,I$5))</f>
        <v/>
      </c>
      <c r="J370" s="321">
        <f>SUMIFS(DATA!$I:$I,DATA!$C:$C,$B370,DATA!$J:$J,"&gt;="&amp;DATE($I$2,J$4,1),DATA!$J:$J,"&lt;="&amp;DATE($I$2,J$4,J$5))</f>
        <v/>
      </c>
      <c r="K370" s="321">
        <f>SUMIFS(DATA!$I:$I,DATA!$C:$C,$B370,DATA!$J:$J,"&gt;="&amp;DATE($I$2,K$4,1),DATA!$J:$J,"&lt;="&amp;DATE($I$2,K$4,K$5))</f>
        <v/>
      </c>
      <c r="L370" s="321">
        <f>SUMIFS(DATA!$I:$I,DATA!$C:$C,$B370,DATA!$J:$J,"&gt;="&amp;DATE($I$2,L$4,1),DATA!$J:$J,"&lt;="&amp;DATE($I$2,L$4,L$5))</f>
        <v/>
      </c>
      <c r="M370" s="321">
        <f>SUMIFS(DATA!$I:$I,DATA!$C:$C,$B370,DATA!$J:$J,"&gt;="&amp;DATE($I$2,M$4,1),DATA!$J:$J,"&lt;="&amp;DATE($I$2,M$4,M$5))</f>
        <v/>
      </c>
      <c r="N370" s="321">
        <f>SUMIFS(DATA!$I:$I,DATA!$C:$C,$B370,DATA!$J:$J,"&gt;="&amp;DATE($I$2,N$4,1),DATA!$J:$J,"&lt;="&amp;DATE($I$2,N$4,N$5))</f>
        <v/>
      </c>
      <c r="O370" s="321">
        <f>SUMIFS(DATA!$I:$I,DATA!$C:$C,$B370,DATA!$J:$J,"&gt;="&amp;DATE($I$2,O$4,1),DATA!$J:$J,"&lt;="&amp;DATE($I$2,O$4,O$5))</f>
        <v/>
      </c>
      <c r="P370" s="322">
        <f>SUM(D370:O370)</f>
        <v/>
      </c>
      <c r="Q370" s="118" t="n"/>
    </row>
    <row r="371" hidden="1" outlineLevel="1" ht="15" customHeight="1">
      <c r="A371" s="266" t="n"/>
      <c r="B371" s="126" t="n"/>
      <c r="C371" s="119" t="inlineStr">
        <is>
          <t>Thực tế</t>
        </is>
      </c>
      <c r="D371" s="321">
        <f>SUMIFS(DATA!$M:$M,DATA!$C:$C,$B370,DATA!$N:$N,"&gt;="&amp;DATE($I$2,D$4,1),DATA!$N:$N,"&lt;="&amp;DATE($I$2,D$4,D$5))</f>
        <v/>
      </c>
      <c r="E371" s="321">
        <f>SUMIFS(DATA!$M:$M,DATA!$C:$C,$B370,DATA!$N:$N,"&gt;="&amp;DATE($I$2,E$4,1),DATA!$N:$N,"&lt;="&amp;DATE($I$2,E$4,E$5))</f>
        <v/>
      </c>
      <c r="F371" s="321">
        <f>SUMIFS(DATA!$M:$M,DATA!$C:$C,$B370,DATA!$N:$N,"&gt;="&amp;DATE($I$2,F$4,1),DATA!$N:$N,"&lt;="&amp;DATE($I$2,F$4,F$5))</f>
        <v/>
      </c>
      <c r="G371" s="321">
        <f>SUMIFS(DATA!$M:$M,DATA!$C:$C,$B370,DATA!$N:$N,"&gt;="&amp;DATE($I$2,G$4,1),DATA!$N:$N,"&lt;="&amp;DATE($I$2,G$4,G$5))</f>
        <v/>
      </c>
      <c r="H371" s="321">
        <f>SUMIFS(DATA!$M:$M,DATA!$C:$C,$B370,DATA!$N:$N,"&gt;="&amp;DATE($I$2,H$4,1),DATA!$N:$N,"&lt;="&amp;DATE($I$2,H$4,H$5))</f>
        <v/>
      </c>
      <c r="I371" s="321">
        <f>SUMIFS(DATA!$M:$M,DATA!$C:$C,$B370,DATA!$N:$N,"&gt;="&amp;DATE($I$2,I$4,1),DATA!$N:$N,"&lt;="&amp;DATE($I$2,I$4,I$5))</f>
        <v/>
      </c>
      <c r="J371" s="321">
        <f>SUMIFS(DATA!$M:$M,DATA!$C:$C,$B370,DATA!$N:$N,"&gt;="&amp;DATE($I$2,J$4,1),DATA!$N:$N,"&lt;="&amp;DATE($I$2,J$4,J$5))</f>
        <v/>
      </c>
      <c r="K371" s="321">
        <f>SUMIFS(DATA!$M:$M,DATA!$C:$C,$B370,DATA!$N:$N,"&gt;="&amp;DATE($I$2,K$4,1),DATA!$N:$N,"&lt;="&amp;DATE($I$2,K$4,K$5))</f>
        <v/>
      </c>
      <c r="L371" s="321">
        <f>SUMIFS(DATA!$M:$M,DATA!$C:$C,$B370,DATA!$N:$N,"&gt;="&amp;DATE($I$2,L$4,1),DATA!$N:$N,"&lt;="&amp;DATE($I$2,L$4,L$5))</f>
        <v/>
      </c>
      <c r="M371" s="321">
        <f>SUMIFS(DATA!$M:$M,DATA!$C:$C,$B370,DATA!$N:$N,"&gt;="&amp;DATE($I$2,M$4,1),DATA!$N:$N,"&lt;="&amp;DATE($I$2,M$4,M$5))</f>
        <v/>
      </c>
      <c r="N371" s="321">
        <f>SUMIFS(DATA!$M:$M,DATA!$C:$C,$B370,DATA!$N:$N,"&gt;="&amp;DATE($I$2,N$4,1),DATA!$N:$N,"&lt;="&amp;DATE($I$2,N$4,N$5))</f>
        <v/>
      </c>
      <c r="O371" s="321">
        <f>SUMIFS(DATA!$M:$M,DATA!$C:$C,$B370,DATA!$N:$N,"&gt;="&amp;DATE($I$2,O$4,1),DATA!$N:$N,"&lt;="&amp;DATE($I$2,O$4,O$5))</f>
        <v/>
      </c>
      <c r="P371" s="322">
        <f>SUM(D371:O371)</f>
        <v/>
      </c>
      <c r="Q371" s="118" t="n"/>
    </row>
    <row r="372" hidden="1" outlineLevel="1" ht="15" customHeight="1">
      <c r="A372" s="269" t="n">
        <v>184</v>
      </c>
      <c r="B372" s="125" t="n"/>
      <c r="C372" s="119" t="inlineStr">
        <is>
          <t>Kế hoạch</t>
        </is>
      </c>
      <c r="D372" s="321">
        <f>SUMIFS(DATA!$I:$I,DATA!$C:$C,$B372,DATA!$J:$J,"&gt;="&amp;DATE($I$2,D$4,1),DATA!$J:$J,"&lt;="&amp;DATE($I$2,D$4,D$5))</f>
        <v/>
      </c>
      <c r="E372" s="321">
        <f>SUMIFS(DATA!$I:$I,DATA!$C:$C,$B372,DATA!$J:$J,"&gt;="&amp;DATE($I$2,E$4,1),DATA!$J:$J,"&lt;="&amp;DATE($I$2,E$4,E$5))</f>
        <v/>
      </c>
      <c r="F372" s="321">
        <f>SUMIFS(DATA!$I:$I,DATA!$C:$C,$B372,DATA!$J:$J,"&gt;="&amp;DATE($I$2,F$4,1),DATA!$J:$J,"&lt;="&amp;DATE($I$2,F$4,F$5))</f>
        <v/>
      </c>
      <c r="G372" s="321">
        <f>SUMIFS(DATA!$I:$I,DATA!$C:$C,$B372,DATA!$J:$J,"&gt;="&amp;DATE($I$2,G$4,1),DATA!$J:$J,"&lt;="&amp;DATE($I$2,G$4,G$5))</f>
        <v/>
      </c>
      <c r="H372" s="321">
        <f>SUMIFS(DATA!$I:$I,DATA!$C:$C,$B372,DATA!$J:$J,"&gt;="&amp;DATE($I$2,H$4,1),DATA!$J:$J,"&lt;="&amp;DATE($I$2,H$4,H$5))</f>
        <v/>
      </c>
      <c r="I372" s="321">
        <f>SUMIFS(DATA!$I:$I,DATA!$C:$C,$B372,DATA!$J:$J,"&gt;="&amp;DATE($I$2,I$4,1),DATA!$J:$J,"&lt;="&amp;DATE($I$2,I$4,I$5))</f>
        <v/>
      </c>
      <c r="J372" s="321">
        <f>SUMIFS(DATA!$I:$I,DATA!$C:$C,$B372,DATA!$J:$J,"&gt;="&amp;DATE($I$2,J$4,1),DATA!$J:$J,"&lt;="&amp;DATE($I$2,J$4,J$5))</f>
        <v/>
      </c>
      <c r="K372" s="321">
        <f>SUMIFS(DATA!$I:$I,DATA!$C:$C,$B372,DATA!$J:$J,"&gt;="&amp;DATE($I$2,K$4,1),DATA!$J:$J,"&lt;="&amp;DATE($I$2,K$4,K$5))</f>
        <v/>
      </c>
      <c r="L372" s="321">
        <f>SUMIFS(DATA!$I:$I,DATA!$C:$C,$B372,DATA!$J:$J,"&gt;="&amp;DATE($I$2,L$4,1),DATA!$J:$J,"&lt;="&amp;DATE($I$2,L$4,L$5))</f>
        <v/>
      </c>
      <c r="M372" s="321">
        <f>SUMIFS(DATA!$I:$I,DATA!$C:$C,$B372,DATA!$J:$J,"&gt;="&amp;DATE($I$2,M$4,1),DATA!$J:$J,"&lt;="&amp;DATE($I$2,M$4,M$5))</f>
        <v/>
      </c>
      <c r="N372" s="321">
        <f>SUMIFS(DATA!$I:$I,DATA!$C:$C,$B372,DATA!$J:$J,"&gt;="&amp;DATE($I$2,N$4,1),DATA!$J:$J,"&lt;="&amp;DATE($I$2,N$4,N$5))</f>
        <v/>
      </c>
      <c r="O372" s="321">
        <f>SUMIFS(DATA!$I:$I,DATA!$C:$C,$B372,DATA!$J:$J,"&gt;="&amp;DATE($I$2,O$4,1),DATA!$J:$J,"&lt;="&amp;DATE($I$2,O$4,O$5))</f>
        <v/>
      </c>
      <c r="P372" s="322">
        <f>SUM(D372:O372)</f>
        <v/>
      </c>
      <c r="Q372" s="118" t="n"/>
    </row>
    <row r="373" hidden="1" outlineLevel="1" ht="15" customHeight="1">
      <c r="A373" s="266" t="n"/>
      <c r="B373" s="126" t="n"/>
      <c r="C373" s="119" t="inlineStr">
        <is>
          <t>Thực tế</t>
        </is>
      </c>
      <c r="D373" s="321">
        <f>SUMIFS(DATA!$M:$M,DATA!$C:$C,$B372,DATA!$N:$N,"&gt;="&amp;DATE($I$2,D$4,1),DATA!$N:$N,"&lt;="&amp;DATE($I$2,D$4,D$5))</f>
        <v/>
      </c>
      <c r="E373" s="321">
        <f>SUMIFS(DATA!$M:$M,DATA!$C:$C,$B372,DATA!$N:$N,"&gt;="&amp;DATE($I$2,E$4,1),DATA!$N:$N,"&lt;="&amp;DATE($I$2,E$4,E$5))</f>
        <v/>
      </c>
      <c r="F373" s="321">
        <f>SUMIFS(DATA!$M:$M,DATA!$C:$C,$B372,DATA!$N:$N,"&gt;="&amp;DATE($I$2,F$4,1),DATA!$N:$N,"&lt;="&amp;DATE($I$2,F$4,F$5))</f>
        <v/>
      </c>
      <c r="G373" s="321">
        <f>SUMIFS(DATA!$M:$M,DATA!$C:$C,$B372,DATA!$N:$N,"&gt;="&amp;DATE($I$2,G$4,1),DATA!$N:$N,"&lt;="&amp;DATE($I$2,G$4,G$5))</f>
        <v/>
      </c>
      <c r="H373" s="321">
        <f>SUMIFS(DATA!$M:$M,DATA!$C:$C,$B372,DATA!$N:$N,"&gt;="&amp;DATE($I$2,H$4,1),DATA!$N:$N,"&lt;="&amp;DATE($I$2,H$4,H$5))</f>
        <v/>
      </c>
      <c r="I373" s="321">
        <f>SUMIFS(DATA!$M:$M,DATA!$C:$C,$B372,DATA!$N:$N,"&gt;="&amp;DATE($I$2,I$4,1),DATA!$N:$N,"&lt;="&amp;DATE($I$2,I$4,I$5))</f>
        <v/>
      </c>
      <c r="J373" s="321">
        <f>SUMIFS(DATA!$M:$M,DATA!$C:$C,$B372,DATA!$N:$N,"&gt;="&amp;DATE($I$2,J$4,1),DATA!$N:$N,"&lt;="&amp;DATE($I$2,J$4,J$5))</f>
        <v/>
      </c>
      <c r="K373" s="321">
        <f>SUMIFS(DATA!$M:$M,DATA!$C:$C,$B372,DATA!$N:$N,"&gt;="&amp;DATE($I$2,K$4,1),DATA!$N:$N,"&lt;="&amp;DATE($I$2,K$4,K$5))</f>
        <v/>
      </c>
      <c r="L373" s="321">
        <f>SUMIFS(DATA!$M:$M,DATA!$C:$C,$B372,DATA!$N:$N,"&gt;="&amp;DATE($I$2,L$4,1),DATA!$N:$N,"&lt;="&amp;DATE($I$2,L$4,L$5))</f>
        <v/>
      </c>
      <c r="M373" s="321">
        <f>SUMIFS(DATA!$M:$M,DATA!$C:$C,$B372,DATA!$N:$N,"&gt;="&amp;DATE($I$2,M$4,1),DATA!$N:$N,"&lt;="&amp;DATE($I$2,M$4,M$5))</f>
        <v/>
      </c>
      <c r="N373" s="321">
        <f>SUMIFS(DATA!$M:$M,DATA!$C:$C,$B372,DATA!$N:$N,"&gt;="&amp;DATE($I$2,N$4,1),DATA!$N:$N,"&lt;="&amp;DATE($I$2,N$4,N$5))</f>
        <v/>
      </c>
      <c r="O373" s="321">
        <f>SUMIFS(DATA!$M:$M,DATA!$C:$C,$B372,DATA!$N:$N,"&gt;="&amp;DATE($I$2,O$4,1),DATA!$N:$N,"&lt;="&amp;DATE($I$2,O$4,O$5))</f>
        <v/>
      </c>
      <c r="P373" s="322">
        <f>SUM(D373:O373)</f>
        <v/>
      </c>
      <c r="Q373" s="118" t="n"/>
    </row>
    <row r="374" hidden="1" outlineLevel="1" ht="15" customHeight="1">
      <c r="A374" s="269" t="n">
        <v>185</v>
      </c>
      <c r="B374" s="125" t="n"/>
      <c r="C374" s="119" t="inlineStr">
        <is>
          <t>Kế hoạch</t>
        </is>
      </c>
      <c r="D374" s="321">
        <f>SUMIFS(DATA!$I:$I,DATA!$C:$C,$B374,DATA!$J:$J,"&gt;="&amp;DATE($I$2,D$4,1),DATA!$J:$J,"&lt;="&amp;DATE($I$2,D$4,D$5))</f>
        <v/>
      </c>
      <c r="E374" s="321">
        <f>SUMIFS(DATA!$I:$I,DATA!$C:$C,$B374,DATA!$J:$J,"&gt;="&amp;DATE($I$2,E$4,1),DATA!$J:$J,"&lt;="&amp;DATE($I$2,E$4,E$5))</f>
        <v/>
      </c>
      <c r="F374" s="321">
        <f>SUMIFS(DATA!$I:$I,DATA!$C:$C,$B374,DATA!$J:$J,"&gt;="&amp;DATE($I$2,F$4,1),DATA!$J:$J,"&lt;="&amp;DATE($I$2,F$4,F$5))</f>
        <v/>
      </c>
      <c r="G374" s="321">
        <f>SUMIFS(DATA!$I:$I,DATA!$C:$C,$B374,DATA!$J:$J,"&gt;="&amp;DATE($I$2,G$4,1),DATA!$J:$J,"&lt;="&amp;DATE($I$2,G$4,G$5))</f>
        <v/>
      </c>
      <c r="H374" s="321">
        <f>SUMIFS(DATA!$I:$I,DATA!$C:$C,$B374,DATA!$J:$J,"&gt;="&amp;DATE($I$2,H$4,1),DATA!$J:$J,"&lt;="&amp;DATE($I$2,H$4,H$5))</f>
        <v/>
      </c>
      <c r="I374" s="321">
        <f>SUMIFS(DATA!$I:$I,DATA!$C:$C,$B374,DATA!$J:$J,"&gt;="&amp;DATE($I$2,I$4,1),DATA!$J:$J,"&lt;="&amp;DATE($I$2,I$4,I$5))</f>
        <v/>
      </c>
      <c r="J374" s="321">
        <f>SUMIFS(DATA!$I:$I,DATA!$C:$C,$B374,DATA!$J:$J,"&gt;="&amp;DATE($I$2,J$4,1),DATA!$J:$J,"&lt;="&amp;DATE($I$2,J$4,J$5))</f>
        <v/>
      </c>
      <c r="K374" s="321">
        <f>SUMIFS(DATA!$I:$I,DATA!$C:$C,$B374,DATA!$J:$J,"&gt;="&amp;DATE($I$2,K$4,1),DATA!$J:$J,"&lt;="&amp;DATE($I$2,K$4,K$5))</f>
        <v/>
      </c>
      <c r="L374" s="321">
        <f>SUMIFS(DATA!$I:$I,DATA!$C:$C,$B374,DATA!$J:$J,"&gt;="&amp;DATE($I$2,L$4,1),DATA!$J:$J,"&lt;="&amp;DATE($I$2,L$4,L$5))</f>
        <v/>
      </c>
      <c r="M374" s="321">
        <f>SUMIFS(DATA!$I:$I,DATA!$C:$C,$B374,DATA!$J:$J,"&gt;="&amp;DATE($I$2,M$4,1),DATA!$J:$J,"&lt;="&amp;DATE($I$2,M$4,M$5))</f>
        <v/>
      </c>
      <c r="N374" s="321">
        <f>SUMIFS(DATA!$I:$I,DATA!$C:$C,$B374,DATA!$J:$J,"&gt;="&amp;DATE($I$2,N$4,1),DATA!$J:$J,"&lt;="&amp;DATE($I$2,N$4,N$5))</f>
        <v/>
      </c>
      <c r="O374" s="321">
        <f>SUMIFS(DATA!$I:$I,DATA!$C:$C,$B374,DATA!$J:$J,"&gt;="&amp;DATE($I$2,O$4,1),DATA!$J:$J,"&lt;="&amp;DATE($I$2,O$4,O$5))</f>
        <v/>
      </c>
      <c r="P374" s="322">
        <f>SUM(D374:O374)</f>
        <v/>
      </c>
      <c r="Q374" s="118" t="n"/>
    </row>
    <row r="375" hidden="1" outlineLevel="1" ht="15" customHeight="1">
      <c r="A375" s="266" t="n"/>
      <c r="B375" s="126" t="n"/>
      <c r="C375" s="119" t="inlineStr">
        <is>
          <t>Thực tế</t>
        </is>
      </c>
      <c r="D375" s="321">
        <f>SUMIFS(DATA!$M:$M,DATA!$C:$C,$B374,DATA!$N:$N,"&gt;="&amp;DATE($I$2,D$4,1),DATA!$N:$N,"&lt;="&amp;DATE($I$2,D$4,D$5))</f>
        <v/>
      </c>
      <c r="E375" s="321">
        <f>SUMIFS(DATA!$M:$M,DATA!$C:$C,$B374,DATA!$N:$N,"&gt;="&amp;DATE($I$2,E$4,1),DATA!$N:$N,"&lt;="&amp;DATE($I$2,E$4,E$5))</f>
        <v/>
      </c>
      <c r="F375" s="321">
        <f>SUMIFS(DATA!$M:$M,DATA!$C:$C,$B374,DATA!$N:$N,"&gt;="&amp;DATE($I$2,F$4,1),DATA!$N:$N,"&lt;="&amp;DATE($I$2,F$4,F$5))</f>
        <v/>
      </c>
      <c r="G375" s="321">
        <f>SUMIFS(DATA!$M:$M,DATA!$C:$C,$B374,DATA!$N:$N,"&gt;="&amp;DATE($I$2,G$4,1),DATA!$N:$N,"&lt;="&amp;DATE($I$2,G$4,G$5))</f>
        <v/>
      </c>
      <c r="H375" s="321">
        <f>SUMIFS(DATA!$M:$M,DATA!$C:$C,$B374,DATA!$N:$N,"&gt;="&amp;DATE($I$2,H$4,1),DATA!$N:$N,"&lt;="&amp;DATE($I$2,H$4,H$5))</f>
        <v/>
      </c>
      <c r="I375" s="321">
        <f>SUMIFS(DATA!$M:$M,DATA!$C:$C,$B374,DATA!$N:$N,"&gt;="&amp;DATE($I$2,I$4,1),DATA!$N:$N,"&lt;="&amp;DATE($I$2,I$4,I$5))</f>
        <v/>
      </c>
      <c r="J375" s="321">
        <f>SUMIFS(DATA!$M:$M,DATA!$C:$C,$B374,DATA!$N:$N,"&gt;="&amp;DATE($I$2,J$4,1),DATA!$N:$N,"&lt;="&amp;DATE($I$2,J$4,J$5))</f>
        <v/>
      </c>
      <c r="K375" s="321">
        <f>SUMIFS(DATA!$M:$M,DATA!$C:$C,$B374,DATA!$N:$N,"&gt;="&amp;DATE($I$2,K$4,1),DATA!$N:$N,"&lt;="&amp;DATE($I$2,K$4,K$5))</f>
        <v/>
      </c>
      <c r="L375" s="321">
        <f>SUMIFS(DATA!$M:$M,DATA!$C:$C,$B374,DATA!$N:$N,"&gt;="&amp;DATE($I$2,L$4,1),DATA!$N:$N,"&lt;="&amp;DATE($I$2,L$4,L$5))</f>
        <v/>
      </c>
      <c r="M375" s="321">
        <f>SUMIFS(DATA!$M:$M,DATA!$C:$C,$B374,DATA!$N:$N,"&gt;="&amp;DATE($I$2,M$4,1),DATA!$N:$N,"&lt;="&amp;DATE($I$2,M$4,M$5))</f>
        <v/>
      </c>
      <c r="N375" s="321">
        <f>SUMIFS(DATA!$M:$M,DATA!$C:$C,$B374,DATA!$N:$N,"&gt;="&amp;DATE($I$2,N$4,1),DATA!$N:$N,"&lt;="&amp;DATE($I$2,N$4,N$5))</f>
        <v/>
      </c>
      <c r="O375" s="321">
        <f>SUMIFS(DATA!$M:$M,DATA!$C:$C,$B374,DATA!$N:$N,"&gt;="&amp;DATE($I$2,O$4,1),DATA!$N:$N,"&lt;="&amp;DATE($I$2,O$4,O$5))</f>
        <v/>
      </c>
      <c r="P375" s="322">
        <f>SUM(D375:O375)</f>
        <v/>
      </c>
      <c r="Q375" s="118" t="n"/>
    </row>
    <row r="376" hidden="1" outlineLevel="1" ht="15" customHeight="1">
      <c r="A376" s="269" t="n">
        <v>186</v>
      </c>
      <c r="B376" s="125" t="n"/>
      <c r="C376" s="119" t="inlineStr">
        <is>
          <t>Kế hoạch</t>
        </is>
      </c>
      <c r="D376" s="321">
        <f>SUMIFS(DATA!$I:$I,DATA!$C:$C,$B376,DATA!$J:$J,"&gt;="&amp;DATE($I$2,D$4,1),DATA!$J:$J,"&lt;="&amp;DATE($I$2,D$4,D$5))</f>
        <v/>
      </c>
      <c r="E376" s="321">
        <f>SUMIFS(DATA!$I:$I,DATA!$C:$C,$B376,DATA!$J:$J,"&gt;="&amp;DATE($I$2,E$4,1),DATA!$J:$J,"&lt;="&amp;DATE($I$2,E$4,E$5))</f>
        <v/>
      </c>
      <c r="F376" s="321">
        <f>SUMIFS(DATA!$I:$I,DATA!$C:$C,$B376,DATA!$J:$J,"&gt;="&amp;DATE($I$2,F$4,1),DATA!$J:$J,"&lt;="&amp;DATE($I$2,F$4,F$5))</f>
        <v/>
      </c>
      <c r="G376" s="321">
        <f>SUMIFS(DATA!$I:$I,DATA!$C:$C,$B376,DATA!$J:$J,"&gt;="&amp;DATE($I$2,G$4,1),DATA!$J:$J,"&lt;="&amp;DATE($I$2,G$4,G$5))</f>
        <v/>
      </c>
      <c r="H376" s="321">
        <f>SUMIFS(DATA!$I:$I,DATA!$C:$C,$B376,DATA!$J:$J,"&gt;="&amp;DATE($I$2,H$4,1),DATA!$J:$J,"&lt;="&amp;DATE($I$2,H$4,H$5))</f>
        <v/>
      </c>
      <c r="I376" s="321">
        <f>SUMIFS(DATA!$I:$I,DATA!$C:$C,$B376,DATA!$J:$J,"&gt;="&amp;DATE($I$2,I$4,1),DATA!$J:$J,"&lt;="&amp;DATE($I$2,I$4,I$5))</f>
        <v/>
      </c>
      <c r="J376" s="321">
        <f>SUMIFS(DATA!$I:$I,DATA!$C:$C,$B376,DATA!$J:$J,"&gt;="&amp;DATE($I$2,J$4,1),DATA!$J:$J,"&lt;="&amp;DATE($I$2,J$4,J$5))</f>
        <v/>
      </c>
      <c r="K376" s="321">
        <f>SUMIFS(DATA!$I:$I,DATA!$C:$C,$B376,DATA!$J:$J,"&gt;="&amp;DATE($I$2,K$4,1),DATA!$J:$J,"&lt;="&amp;DATE($I$2,K$4,K$5))</f>
        <v/>
      </c>
      <c r="L376" s="321">
        <f>SUMIFS(DATA!$I:$I,DATA!$C:$C,$B376,DATA!$J:$J,"&gt;="&amp;DATE($I$2,L$4,1),DATA!$J:$J,"&lt;="&amp;DATE($I$2,L$4,L$5))</f>
        <v/>
      </c>
      <c r="M376" s="321">
        <f>SUMIFS(DATA!$I:$I,DATA!$C:$C,$B376,DATA!$J:$J,"&gt;="&amp;DATE($I$2,M$4,1),DATA!$J:$J,"&lt;="&amp;DATE($I$2,M$4,M$5))</f>
        <v/>
      </c>
      <c r="N376" s="321">
        <f>SUMIFS(DATA!$I:$I,DATA!$C:$C,$B376,DATA!$J:$J,"&gt;="&amp;DATE($I$2,N$4,1),DATA!$J:$J,"&lt;="&amp;DATE($I$2,N$4,N$5))</f>
        <v/>
      </c>
      <c r="O376" s="321">
        <f>SUMIFS(DATA!$I:$I,DATA!$C:$C,$B376,DATA!$J:$J,"&gt;="&amp;DATE($I$2,O$4,1),DATA!$J:$J,"&lt;="&amp;DATE($I$2,O$4,O$5))</f>
        <v/>
      </c>
      <c r="P376" s="322">
        <f>SUM(D376:O376)</f>
        <v/>
      </c>
      <c r="Q376" s="118" t="n"/>
    </row>
    <row r="377" hidden="1" outlineLevel="1" ht="15" customHeight="1">
      <c r="A377" s="266" t="n"/>
      <c r="B377" s="126" t="n"/>
      <c r="C377" s="119" t="inlineStr">
        <is>
          <t>Thực tế</t>
        </is>
      </c>
      <c r="D377" s="321">
        <f>SUMIFS(DATA!$M:$M,DATA!$C:$C,$B376,DATA!$N:$N,"&gt;="&amp;DATE($I$2,D$4,1),DATA!$N:$N,"&lt;="&amp;DATE($I$2,D$4,D$5))</f>
        <v/>
      </c>
      <c r="E377" s="321">
        <f>SUMIFS(DATA!$M:$M,DATA!$C:$C,$B376,DATA!$N:$N,"&gt;="&amp;DATE($I$2,E$4,1),DATA!$N:$N,"&lt;="&amp;DATE($I$2,E$4,E$5))</f>
        <v/>
      </c>
      <c r="F377" s="321">
        <f>SUMIFS(DATA!$M:$M,DATA!$C:$C,$B376,DATA!$N:$N,"&gt;="&amp;DATE($I$2,F$4,1),DATA!$N:$N,"&lt;="&amp;DATE($I$2,F$4,F$5))</f>
        <v/>
      </c>
      <c r="G377" s="321">
        <f>SUMIFS(DATA!$M:$M,DATA!$C:$C,$B376,DATA!$N:$N,"&gt;="&amp;DATE($I$2,G$4,1),DATA!$N:$N,"&lt;="&amp;DATE($I$2,G$4,G$5))</f>
        <v/>
      </c>
      <c r="H377" s="321">
        <f>SUMIFS(DATA!$M:$M,DATA!$C:$C,$B376,DATA!$N:$N,"&gt;="&amp;DATE($I$2,H$4,1),DATA!$N:$N,"&lt;="&amp;DATE($I$2,H$4,H$5))</f>
        <v/>
      </c>
      <c r="I377" s="321">
        <f>SUMIFS(DATA!$M:$M,DATA!$C:$C,$B376,DATA!$N:$N,"&gt;="&amp;DATE($I$2,I$4,1),DATA!$N:$N,"&lt;="&amp;DATE($I$2,I$4,I$5))</f>
        <v/>
      </c>
      <c r="J377" s="321">
        <f>SUMIFS(DATA!$M:$M,DATA!$C:$C,$B376,DATA!$N:$N,"&gt;="&amp;DATE($I$2,J$4,1),DATA!$N:$N,"&lt;="&amp;DATE($I$2,J$4,J$5))</f>
        <v/>
      </c>
      <c r="K377" s="321">
        <f>SUMIFS(DATA!$M:$M,DATA!$C:$C,$B376,DATA!$N:$N,"&gt;="&amp;DATE($I$2,K$4,1),DATA!$N:$N,"&lt;="&amp;DATE($I$2,K$4,K$5))</f>
        <v/>
      </c>
      <c r="L377" s="321">
        <f>SUMIFS(DATA!$M:$M,DATA!$C:$C,$B376,DATA!$N:$N,"&gt;="&amp;DATE($I$2,L$4,1),DATA!$N:$N,"&lt;="&amp;DATE($I$2,L$4,L$5))</f>
        <v/>
      </c>
      <c r="M377" s="321">
        <f>SUMIFS(DATA!$M:$M,DATA!$C:$C,$B376,DATA!$N:$N,"&gt;="&amp;DATE($I$2,M$4,1),DATA!$N:$N,"&lt;="&amp;DATE($I$2,M$4,M$5))</f>
        <v/>
      </c>
      <c r="N377" s="321">
        <f>SUMIFS(DATA!$M:$M,DATA!$C:$C,$B376,DATA!$N:$N,"&gt;="&amp;DATE($I$2,N$4,1),DATA!$N:$N,"&lt;="&amp;DATE($I$2,N$4,N$5))</f>
        <v/>
      </c>
      <c r="O377" s="321">
        <f>SUMIFS(DATA!$M:$M,DATA!$C:$C,$B376,DATA!$N:$N,"&gt;="&amp;DATE($I$2,O$4,1),DATA!$N:$N,"&lt;="&amp;DATE($I$2,O$4,O$5))</f>
        <v/>
      </c>
      <c r="P377" s="322">
        <f>SUM(D377:O377)</f>
        <v/>
      </c>
      <c r="Q377" s="118" t="n"/>
    </row>
    <row r="378" hidden="1" outlineLevel="1" ht="15" customHeight="1">
      <c r="A378" s="269" t="n">
        <v>187</v>
      </c>
      <c r="B378" s="125" t="n"/>
      <c r="C378" s="119" t="inlineStr">
        <is>
          <t>Kế hoạch</t>
        </is>
      </c>
      <c r="D378" s="321">
        <f>SUMIFS(DATA!$I:$I,DATA!$C:$C,$B378,DATA!$J:$J,"&gt;="&amp;DATE($I$2,D$4,1),DATA!$J:$J,"&lt;="&amp;DATE($I$2,D$4,D$5))</f>
        <v/>
      </c>
      <c r="E378" s="321">
        <f>SUMIFS(DATA!$I:$I,DATA!$C:$C,$B378,DATA!$J:$J,"&gt;="&amp;DATE($I$2,E$4,1),DATA!$J:$J,"&lt;="&amp;DATE($I$2,E$4,E$5))</f>
        <v/>
      </c>
      <c r="F378" s="321">
        <f>SUMIFS(DATA!$I:$I,DATA!$C:$C,$B378,DATA!$J:$J,"&gt;="&amp;DATE($I$2,F$4,1),DATA!$J:$J,"&lt;="&amp;DATE($I$2,F$4,F$5))</f>
        <v/>
      </c>
      <c r="G378" s="321">
        <f>SUMIFS(DATA!$I:$I,DATA!$C:$C,$B378,DATA!$J:$J,"&gt;="&amp;DATE($I$2,G$4,1),DATA!$J:$J,"&lt;="&amp;DATE($I$2,G$4,G$5))</f>
        <v/>
      </c>
      <c r="H378" s="321">
        <f>SUMIFS(DATA!$I:$I,DATA!$C:$C,$B378,DATA!$J:$J,"&gt;="&amp;DATE($I$2,H$4,1),DATA!$J:$J,"&lt;="&amp;DATE($I$2,H$4,H$5))</f>
        <v/>
      </c>
      <c r="I378" s="321">
        <f>SUMIFS(DATA!$I:$I,DATA!$C:$C,$B378,DATA!$J:$J,"&gt;="&amp;DATE($I$2,I$4,1),DATA!$J:$J,"&lt;="&amp;DATE($I$2,I$4,I$5))</f>
        <v/>
      </c>
      <c r="J378" s="321">
        <f>SUMIFS(DATA!$I:$I,DATA!$C:$C,$B378,DATA!$J:$J,"&gt;="&amp;DATE($I$2,J$4,1),DATA!$J:$J,"&lt;="&amp;DATE($I$2,J$4,J$5))</f>
        <v/>
      </c>
      <c r="K378" s="321">
        <f>SUMIFS(DATA!$I:$I,DATA!$C:$C,$B378,DATA!$J:$J,"&gt;="&amp;DATE($I$2,K$4,1),DATA!$J:$J,"&lt;="&amp;DATE($I$2,K$4,K$5))</f>
        <v/>
      </c>
      <c r="L378" s="321">
        <f>SUMIFS(DATA!$I:$I,DATA!$C:$C,$B378,DATA!$J:$J,"&gt;="&amp;DATE($I$2,L$4,1),DATA!$J:$J,"&lt;="&amp;DATE($I$2,L$4,L$5))</f>
        <v/>
      </c>
      <c r="M378" s="321">
        <f>SUMIFS(DATA!$I:$I,DATA!$C:$C,$B378,DATA!$J:$J,"&gt;="&amp;DATE($I$2,M$4,1),DATA!$J:$J,"&lt;="&amp;DATE($I$2,M$4,M$5))</f>
        <v/>
      </c>
      <c r="N378" s="321">
        <f>SUMIFS(DATA!$I:$I,DATA!$C:$C,$B378,DATA!$J:$J,"&gt;="&amp;DATE($I$2,N$4,1),DATA!$J:$J,"&lt;="&amp;DATE($I$2,N$4,N$5))</f>
        <v/>
      </c>
      <c r="O378" s="321">
        <f>SUMIFS(DATA!$I:$I,DATA!$C:$C,$B378,DATA!$J:$J,"&gt;="&amp;DATE($I$2,O$4,1),DATA!$J:$J,"&lt;="&amp;DATE($I$2,O$4,O$5))</f>
        <v/>
      </c>
      <c r="P378" s="322">
        <f>SUM(D378:O378)</f>
        <v/>
      </c>
      <c r="Q378" s="118" t="n"/>
    </row>
    <row r="379" hidden="1" outlineLevel="1" ht="15" customHeight="1">
      <c r="A379" s="266" t="n"/>
      <c r="B379" s="126" t="n"/>
      <c r="C379" s="119" t="inlineStr">
        <is>
          <t>Thực tế</t>
        </is>
      </c>
      <c r="D379" s="321">
        <f>SUMIFS(DATA!$M:$M,DATA!$C:$C,$B378,DATA!$N:$N,"&gt;="&amp;DATE($I$2,D$4,1),DATA!$N:$N,"&lt;="&amp;DATE($I$2,D$4,D$5))</f>
        <v/>
      </c>
      <c r="E379" s="321">
        <f>SUMIFS(DATA!$M:$M,DATA!$C:$C,$B378,DATA!$N:$N,"&gt;="&amp;DATE($I$2,E$4,1),DATA!$N:$N,"&lt;="&amp;DATE($I$2,E$4,E$5))</f>
        <v/>
      </c>
      <c r="F379" s="321">
        <f>SUMIFS(DATA!$M:$M,DATA!$C:$C,$B378,DATA!$N:$N,"&gt;="&amp;DATE($I$2,F$4,1),DATA!$N:$N,"&lt;="&amp;DATE($I$2,F$4,F$5))</f>
        <v/>
      </c>
      <c r="G379" s="321">
        <f>SUMIFS(DATA!$M:$M,DATA!$C:$C,$B378,DATA!$N:$N,"&gt;="&amp;DATE($I$2,G$4,1),DATA!$N:$N,"&lt;="&amp;DATE($I$2,G$4,G$5))</f>
        <v/>
      </c>
      <c r="H379" s="321">
        <f>SUMIFS(DATA!$M:$M,DATA!$C:$C,$B378,DATA!$N:$N,"&gt;="&amp;DATE($I$2,H$4,1),DATA!$N:$N,"&lt;="&amp;DATE($I$2,H$4,H$5))</f>
        <v/>
      </c>
      <c r="I379" s="321">
        <f>SUMIFS(DATA!$M:$M,DATA!$C:$C,$B378,DATA!$N:$N,"&gt;="&amp;DATE($I$2,I$4,1),DATA!$N:$N,"&lt;="&amp;DATE($I$2,I$4,I$5))</f>
        <v/>
      </c>
      <c r="J379" s="321">
        <f>SUMIFS(DATA!$M:$M,DATA!$C:$C,$B378,DATA!$N:$N,"&gt;="&amp;DATE($I$2,J$4,1),DATA!$N:$N,"&lt;="&amp;DATE($I$2,J$4,J$5))</f>
        <v/>
      </c>
      <c r="K379" s="321">
        <f>SUMIFS(DATA!$M:$M,DATA!$C:$C,$B378,DATA!$N:$N,"&gt;="&amp;DATE($I$2,K$4,1),DATA!$N:$N,"&lt;="&amp;DATE($I$2,K$4,K$5))</f>
        <v/>
      </c>
      <c r="L379" s="321">
        <f>SUMIFS(DATA!$M:$M,DATA!$C:$C,$B378,DATA!$N:$N,"&gt;="&amp;DATE($I$2,L$4,1),DATA!$N:$N,"&lt;="&amp;DATE($I$2,L$4,L$5))</f>
        <v/>
      </c>
      <c r="M379" s="321">
        <f>SUMIFS(DATA!$M:$M,DATA!$C:$C,$B378,DATA!$N:$N,"&gt;="&amp;DATE($I$2,M$4,1),DATA!$N:$N,"&lt;="&amp;DATE($I$2,M$4,M$5))</f>
        <v/>
      </c>
      <c r="N379" s="321">
        <f>SUMIFS(DATA!$M:$M,DATA!$C:$C,$B378,DATA!$N:$N,"&gt;="&amp;DATE($I$2,N$4,1),DATA!$N:$N,"&lt;="&amp;DATE($I$2,N$4,N$5))</f>
        <v/>
      </c>
      <c r="O379" s="321">
        <f>SUMIFS(DATA!$M:$M,DATA!$C:$C,$B378,DATA!$N:$N,"&gt;="&amp;DATE($I$2,O$4,1),DATA!$N:$N,"&lt;="&amp;DATE($I$2,O$4,O$5))</f>
        <v/>
      </c>
      <c r="P379" s="322">
        <f>SUM(D379:O379)</f>
        <v/>
      </c>
      <c r="Q379" s="118" t="n"/>
    </row>
    <row r="380" hidden="1" outlineLevel="1" ht="15" customHeight="1">
      <c r="A380" s="269" t="n">
        <v>188</v>
      </c>
      <c r="B380" s="125" t="n"/>
      <c r="C380" s="119" t="inlineStr">
        <is>
          <t>Kế hoạch</t>
        </is>
      </c>
      <c r="D380" s="321">
        <f>SUMIFS(DATA!$I:$I,DATA!$C:$C,$B380,DATA!$J:$J,"&gt;="&amp;DATE($I$2,D$4,1),DATA!$J:$J,"&lt;="&amp;DATE($I$2,D$4,D$5))</f>
        <v/>
      </c>
      <c r="E380" s="321">
        <f>SUMIFS(DATA!$I:$I,DATA!$C:$C,$B380,DATA!$J:$J,"&gt;="&amp;DATE($I$2,E$4,1),DATA!$J:$J,"&lt;="&amp;DATE($I$2,E$4,E$5))</f>
        <v/>
      </c>
      <c r="F380" s="321">
        <f>SUMIFS(DATA!$I:$I,DATA!$C:$C,$B380,DATA!$J:$J,"&gt;="&amp;DATE($I$2,F$4,1),DATA!$J:$J,"&lt;="&amp;DATE($I$2,F$4,F$5))</f>
        <v/>
      </c>
      <c r="G380" s="321">
        <f>SUMIFS(DATA!$I:$I,DATA!$C:$C,$B380,DATA!$J:$J,"&gt;="&amp;DATE($I$2,G$4,1),DATA!$J:$J,"&lt;="&amp;DATE($I$2,G$4,G$5))</f>
        <v/>
      </c>
      <c r="H380" s="321">
        <f>SUMIFS(DATA!$I:$I,DATA!$C:$C,$B380,DATA!$J:$J,"&gt;="&amp;DATE($I$2,H$4,1),DATA!$J:$J,"&lt;="&amp;DATE($I$2,H$4,H$5))</f>
        <v/>
      </c>
      <c r="I380" s="321">
        <f>SUMIFS(DATA!$I:$I,DATA!$C:$C,$B380,DATA!$J:$J,"&gt;="&amp;DATE($I$2,I$4,1),DATA!$J:$J,"&lt;="&amp;DATE($I$2,I$4,I$5))</f>
        <v/>
      </c>
      <c r="J380" s="321">
        <f>SUMIFS(DATA!$I:$I,DATA!$C:$C,$B380,DATA!$J:$J,"&gt;="&amp;DATE($I$2,J$4,1),DATA!$J:$J,"&lt;="&amp;DATE($I$2,J$4,J$5))</f>
        <v/>
      </c>
      <c r="K380" s="321">
        <f>SUMIFS(DATA!$I:$I,DATA!$C:$C,$B380,DATA!$J:$J,"&gt;="&amp;DATE($I$2,K$4,1),DATA!$J:$J,"&lt;="&amp;DATE($I$2,K$4,K$5))</f>
        <v/>
      </c>
      <c r="L380" s="321">
        <f>SUMIFS(DATA!$I:$I,DATA!$C:$C,$B380,DATA!$J:$J,"&gt;="&amp;DATE($I$2,L$4,1),DATA!$J:$J,"&lt;="&amp;DATE($I$2,L$4,L$5))</f>
        <v/>
      </c>
      <c r="M380" s="321">
        <f>SUMIFS(DATA!$I:$I,DATA!$C:$C,$B380,DATA!$J:$J,"&gt;="&amp;DATE($I$2,M$4,1),DATA!$J:$J,"&lt;="&amp;DATE($I$2,M$4,M$5))</f>
        <v/>
      </c>
      <c r="N380" s="321">
        <f>SUMIFS(DATA!$I:$I,DATA!$C:$C,$B380,DATA!$J:$J,"&gt;="&amp;DATE($I$2,N$4,1),DATA!$J:$J,"&lt;="&amp;DATE($I$2,N$4,N$5))</f>
        <v/>
      </c>
      <c r="O380" s="321">
        <f>SUMIFS(DATA!$I:$I,DATA!$C:$C,$B380,DATA!$J:$J,"&gt;="&amp;DATE($I$2,O$4,1),DATA!$J:$J,"&lt;="&amp;DATE($I$2,O$4,O$5))</f>
        <v/>
      </c>
      <c r="P380" s="322">
        <f>SUM(D380:O380)</f>
        <v/>
      </c>
      <c r="Q380" s="118" t="n"/>
    </row>
    <row r="381" hidden="1" outlineLevel="1" ht="15" customHeight="1">
      <c r="A381" s="266" t="n"/>
      <c r="B381" s="126" t="n"/>
      <c r="C381" s="119" t="inlineStr">
        <is>
          <t>Thực tế</t>
        </is>
      </c>
      <c r="D381" s="321">
        <f>SUMIFS(DATA!$M:$M,DATA!$C:$C,$B380,DATA!$N:$N,"&gt;="&amp;DATE($I$2,D$4,1),DATA!$N:$N,"&lt;="&amp;DATE($I$2,D$4,D$5))</f>
        <v/>
      </c>
      <c r="E381" s="321">
        <f>SUMIFS(DATA!$M:$M,DATA!$C:$C,$B380,DATA!$N:$N,"&gt;="&amp;DATE($I$2,E$4,1),DATA!$N:$N,"&lt;="&amp;DATE($I$2,E$4,E$5))</f>
        <v/>
      </c>
      <c r="F381" s="321">
        <f>SUMIFS(DATA!$M:$M,DATA!$C:$C,$B380,DATA!$N:$N,"&gt;="&amp;DATE($I$2,F$4,1),DATA!$N:$N,"&lt;="&amp;DATE($I$2,F$4,F$5))</f>
        <v/>
      </c>
      <c r="G381" s="321">
        <f>SUMIFS(DATA!$M:$M,DATA!$C:$C,$B380,DATA!$N:$N,"&gt;="&amp;DATE($I$2,G$4,1),DATA!$N:$N,"&lt;="&amp;DATE($I$2,G$4,G$5))</f>
        <v/>
      </c>
      <c r="H381" s="321">
        <f>SUMIFS(DATA!$M:$M,DATA!$C:$C,$B380,DATA!$N:$N,"&gt;="&amp;DATE($I$2,H$4,1),DATA!$N:$N,"&lt;="&amp;DATE($I$2,H$4,H$5))</f>
        <v/>
      </c>
      <c r="I381" s="321">
        <f>SUMIFS(DATA!$M:$M,DATA!$C:$C,$B380,DATA!$N:$N,"&gt;="&amp;DATE($I$2,I$4,1),DATA!$N:$N,"&lt;="&amp;DATE($I$2,I$4,I$5))</f>
        <v/>
      </c>
      <c r="J381" s="321">
        <f>SUMIFS(DATA!$M:$M,DATA!$C:$C,$B380,DATA!$N:$N,"&gt;="&amp;DATE($I$2,J$4,1),DATA!$N:$N,"&lt;="&amp;DATE($I$2,J$4,J$5))</f>
        <v/>
      </c>
      <c r="K381" s="321">
        <f>SUMIFS(DATA!$M:$M,DATA!$C:$C,$B380,DATA!$N:$N,"&gt;="&amp;DATE($I$2,K$4,1),DATA!$N:$N,"&lt;="&amp;DATE($I$2,K$4,K$5))</f>
        <v/>
      </c>
      <c r="L381" s="321">
        <f>SUMIFS(DATA!$M:$M,DATA!$C:$C,$B380,DATA!$N:$N,"&gt;="&amp;DATE($I$2,L$4,1),DATA!$N:$N,"&lt;="&amp;DATE($I$2,L$4,L$5))</f>
        <v/>
      </c>
      <c r="M381" s="321">
        <f>SUMIFS(DATA!$M:$M,DATA!$C:$C,$B380,DATA!$N:$N,"&gt;="&amp;DATE($I$2,M$4,1),DATA!$N:$N,"&lt;="&amp;DATE($I$2,M$4,M$5))</f>
        <v/>
      </c>
      <c r="N381" s="321">
        <f>SUMIFS(DATA!$M:$M,DATA!$C:$C,$B380,DATA!$N:$N,"&gt;="&amp;DATE($I$2,N$4,1),DATA!$N:$N,"&lt;="&amp;DATE($I$2,N$4,N$5))</f>
        <v/>
      </c>
      <c r="O381" s="321">
        <f>SUMIFS(DATA!$M:$M,DATA!$C:$C,$B380,DATA!$N:$N,"&gt;="&amp;DATE($I$2,O$4,1),DATA!$N:$N,"&lt;="&amp;DATE($I$2,O$4,O$5))</f>
        <v/>
      </c>
      <c r="P381" s="322">
        <f>SUM(D381:O381)</f>
        <v/>
      </c>
      <c r="Q381" s="118" t="n"/>
    </row>
    <row r="382" hidden="1" outlineLevel="1" ht="15" customHeight="1">
      <c r="A382" s="269" t="n">
        <v>189</v>
      </c>
      <c r="B382" s="125" t="n"/>
      <c r="C382" s="119" t="inlineStr">
        <is>
          <t>Kế hoạch</t>
        </is>
      </c>
      <c r="D382" s="321">
        <f>SUMIFS(DATA!$I:$I,DATA!$C:$C,$B382,DATA!$J:$J,"&gt;="&amp;DATE($I$2,D$4,1),DATA!$J:$J,"&lt;="&amp;DATE($I$2,D$4,D$5))</f>
        <v/>
      </c>
      <c r="E382" s="321">
        <f>SUMIFS(DATA!$I:$I,DATA!$C:$C,$B382,DATA!$J:$J,"&gt;="&amp;DATE($I$2,E$4,1),DATA!$J:$J,"&lt;="&amp;DATE($I$2,E$4,E$5))</f>
        <v/>
      </c>
      <c r="F382" s="321">
        <f>SUMIFS(DATA!$I:$I,DATA!$C:$C,$B382,DATA!$J:$J,"&gt;="&amp;DATE($I$2,F$4,1),DATA!$J:$J,"&lt;="&amp;DATE($I$2,F$4,F$5))</f>
        <v/>
      </c>
      <c r="G382" s="321">
        <f>SUMIFS(DATA!$I:$I,DATA!$C:$C,$B382,DATA!$J:$J,"&gt;="&amp;DATE($I$2,G$4,1),DATA!$J:$J,"&lt;="&amp;DATE($I$2,G$4,G$5))</f>
        <v/>
      </c>
      <c r="H382" s="321">
        <f>SUMIFS(DATA!$I:$I,DATA!$C:$C,$B382,DATA!$J:$J,"&gt;="&amp;DATE($I$2,H$4,1),DATA!$J:$J,"&lt;="&amp;DATE($I$2,H$4,H$5))</f>
        <v/>
      </c>
      <c r="I382" s="321">
        <f>SUMIFS(DATA!$I:$I,DATA!$C:$C,$B382,DATA!$J:$J,"&gt;="&amp;DATE($I$2,I$4,1),DATA!$J:$J,"&lt;="&amp;DATE($I$2,I$4,I$5))</f>
        <v/>
      </c>
      <c r="J382" s="321">
        <f>SUMIFS(DATA!$I:$I,DATA!$C:$C,$B382,DATA!$J:$J,"&gt;="&amp;DATE($I$2,J$4,1),DATA!$J:$J,"&lt;="&amp;DATE($I$2,J$4,J$5))</f>
        <v/>
      </c>
      <c r="K382" s="321">
        <f>SUMIFS(DATA!$I:$I,DATA!$C:$C,$B382,DATA!$J:$J,"&gt;="&amp;DATE($I$2,K$4,1),DATA!$J:$J,"&lt;="&amp;DATE($I$2,K$4,K$5))</f>
        <v/>
      </c>
      <c r="L382" s="321">
        <f>SUMIFS(DATA!$I:$I,DATA!$C:$C,$B382,DATA!$J:$J,"&gt;="&amp;DATE($I$2,L$4,1),DATA!$J:$J,"&lt;="&amp;DATE($I$2,L$4,L$5))</f>
        <v/>
      </c>
      <c r="M382" s="321">
        <f>SUMIFS(DATA!$I:$I,DATA!$C:$C,$B382,DATA!$J:$J,"&gt;="&amp;DATE($I$2,M$4,1),DATA!$J:$J,"&lt;="&amp;DATE($I$2,M$4,M$5))</f>
        <v/>
      </c>
      <c r="N382" s="321">
        <f>SUMIFS(DATA!$I:$I,DATA!$C:$C,$B382,DATA!$J:$J,"&gt;="&amp;DATE($I$2,N$4,1),DATA!$J:$J,"&lt;="&amp;DATE($I$2,N$4,N$5))</f>
        <v/>
      </c>
      <c r="O382" s="321">
        <f>SUMIFS(DATA!$I:$I,DATA!$C:$C,$B382,DATA!$J:$J,"&gt;="&amp;DATE($I$2,O$4,1),DATA!$J:$J,"&lt;="&amp;DATE($I$2,O$4,O$5))</f>
        <v/>
      </c>
      <c r="P382" s="322">
        <f>SUM(D382:O382)</f>
        <v/>
      </c>
      <c r="Q382" s="118" t="n"/>
    </row>
    <row r="383" hidden="1" outlineLevel="1" ht="15" customHeight="1">
      <c r="A383" s="266" t="n"/>
      <c r="B383" s="126" t="n"/>
      <c r="C383" s="119" t="inlineStr">
        <is>
          <t>Thực tế</t>
        </is>
      </c>
      <c r="D383" s="321">
        <f>SUMIFS(DATA!$M:$M,DATA!$C:$C,$B382,DATA!$N:$N,"&gt;="&amp;DATE($I$2,D$4,1),DATA!$N:$N,"&lt;="&amp;DATE($I$2,D$4,D$5))</f>
        <v/>
      </c>
      <c r="E383" s="321">
        <f>SUMIFS(DATA!$M:$M,DATA!$C:$C,$B382,DATA!$N:$N,"&gt;="&amp;DATE($I$2,E$4,1),DATA!$N:$N,"&lt;="&amp;DATE($I$2,E$4,E$5))</f>
        <v/>
      </c>
      <c r="F383" s="321">
        <f>SUMIFS(DATA!$M:$M,DATA!$C:$C,$B382,DATA!$N:$N,"&gt;="&amp;DATE($I$2,F$4,1),DATA!$N:$N,"&lt;="&amp;DATE($I$2,F$4,F$5))</f>
        <v/>
      </c>
      <c r="G383" s="321">
        <f>SUMIFS(DATA!$M:$M,DATA!$C:$C,$B382,DATA!$N:$N,"&gt;="&amp;DATE($I$2,G$4,1),DATA!$N:$N,"&lt;="&amp;DATE($I$2,G$4,G$5))</f>
        <v/>
      </c>
      <c r="H383" s="321">
        <f>SUMIFS(DATA!$M:$M,DATA!$C:$C,$B382,DATA!$N:$N,"&gt;="&amp;DATE($I$2,H$4,1),DATA!$N:$N,"&lt;="&amp;DATE($I$2,H$4,H$5))</f>
        <v/>
      </c>
      <c r="I383" s="321">
        <f>SUMIFS(DATA!$M:$M,DATA!$C:$C,$B382,DATA!$N:$N,"&gt;="&amp;DATE($I$2,I$4,1),DATA!$N:$N,"&lt;="&amp;DATE($I$2,I$4,I$5))</f>
        <v/>
      </c>
      <c r="J383" s="321">
        <f>SUMIFS(DATA!$M:$M,DATA!$C:$C,$B382,DATA!$N:$N,"&gt;="&amp;DATE($I$2,J$4,1),DATA!$N:$N,"&lt;="&amp;DATE($I$2,J$4,J$5))</f>
        <v/>
      </c>
      <c r="K383" s="321">
        <f>SUMIFS(DATA!$M:$M,DATA!$C:$C,$B382,DATA!$N:$N,"&gt;="&amp;DATE($I$2,K$4,1),DATA!$N:$N,"&lt;="&amp;DATE($I$2,K$4,K$5))</f>
        <v/>
      </c>
      <c r="L383" s="321">
        <f>SUMIFS(DATA!$M:$M,DATA!$C:$C,$B382,DATA!$N:$N,"&gt;="&amp;DATE($I$2,L$4,1),DATA!$N:$N,"&lt;="&amp;DATE($I$2,L$4,L$5))</f>
        <v/>
      </c>
      <c r="M383" s="321">
        <f>SUMIFS(DATA!$M:$M,DATA!$C:$C,$B382,DATA!$N:$N,"&gt;="&amp;DATE($I$2,M$4,1),DATA!$N:$N,"&lt;="&amp;DATE($I$2,M$4,M$5))</f>
        <v/>
      </c>
      <c r="N383" s="321">
        <f>SUMIFS(DATA!$M:$M,DATA!$C:$C,$B382,DATA!$N:$N,"&gt;="&amp;DATE($I$2,N$4,1),DATA!$N:$N,"&lt;="&amp;DATE($I$2,N$4,N$5))</f>
        <v/>
      </c>
      <c r="O383" s="321">
        <f>SUMIFS(DATA!$M:$M,DATA!$C:$C,$B382,DATA!$N:$N,"&gt;="&amp;DATE($I$2,O$4,1),DATA!$N:$N,"&lt;="&amp;DATE($I$2,O$4,O$5))</f>
        <v/>
      </c>
      <c r="P383" s="322">
        <f>SUM(D383:O383)</f>
        <v/>
      </c>
      <c r="Q383" s="118" t="n"/>
    </row>
    <row r="384" hidden="1" outlineLevel="1" ht="15" customHeight="1">
      <c r="A384" s="269" t="n">
        <v>190</v>
      </c>
      <c r="B384" s="125" t="n"/>
      <c r="C384" s="119" t="inlineStr">
        <is>
          <t>Kế hoạch</t>
        </is>
      </c>
      <c r="D384" s="321">
        <f>SUMIFS(DATA!$I:$I,DATA!$C:$C,$B384,DATA!$J:$J,"&gt;="&amp;DATE($I$2,D$4,1),DATA!$J:$J,"&lt;="&amp;DATE($I$2,D$4,D$5))</f>
        <v/>
      </c>
      <c r="E384" s="321">
        <f>SUMIFS(DATA!$I:$I,DATA!$C:$C,$B384,DATA!$J:$J,"&gt;="&amp;DATE($I$2,E$4,1),DATA!$J:$J,"&lt;="&amp;DATE($I$2,E$4,E$5))</f>
        <v/>
      </c>
      <c r="F384" s="321">
        <f>SUMIFS(DATA!$I:$I,DATA!$C:$C,$B384,DATA!$J:$J,"&gt;="&amp;DATE($I$2,F$4,1),DATA!$J:$J,"&lt;="&amp;DATE($I$2,F$4,F$5))</f>
        <v/>
      </c>
      <c r="G384" s="321">
        <f>SUMIFS(DATA!$I:$I,DATA!$C:$C,$B384,DATA!$J:$J,"&gt;="&amp;DATE($I$2,G$4,1),DATA!$J:$J,"&lt;="&amp;DATE($I$2,G$4,G$5))</f>
        <v/>
      </c>
      <c r="H384" s="321">
        <f>SUMIFS(DATA!$I:$I,DATA!$C:$C,$B384,DATA!$J:$J,"&gt;="&amp;DATE($I$2,H$4,1),DATA!$J:$J,"&lt;="&amp;DATE($I$2,H$4,H$5))</f>
        <v/>
      </c>
      <c r="I384" s="321">
        <f>SUMIFS(DATA!$I:$I,DATA!$C:$C,$B384,DATA!$J:$J,"&gt;="&amp;DATE($I$2,I$4,1),DATA!$J:$J,"&lt;="&amp;DATE($I$2,I$4,I$5))</f>
        <v/>
      </c>
      <c r="J384" s="321">
        <f>SUMIFS(DATA!$I:$I,DATA!$C:$C,$B384,DATA!$J:$J,"&gt;="&amp;DATE($I$2,J$4,1),DATA!$J:$J,"&lt;="&amp;DATE($I$2,J$4,J$5))</f>
        <v/>
      </c>
      <c r="K384" s="321">
        <f>SUMIFS(DATA!$I:$I,DATA!$C:$C,$B384,DATA!$J:$J,"&gt;="&amp;DATE($I$2,K$4,1),DATA!$J:$J,"&lt;="&amp;DATE($I$2,K$4,K$5))</f>
        <v/>
      </c>
      <c r="L384" s="321">
        <f>SUMIFS(DATA!$I:$I,DATA!$C:$C,$B384,DATA!$J:$J,"&gt;="&amp;DATE($I$2,L$4,1),DATA!$J:$J,"&lt;="&amp;DATE($I$2,L$4,L$5))</f>
        <v/>
      </c>
      <c r="M384" s="321">
        <f>SUMIFS(DATA!$I:$I,DATA!$C:$C,$B384,DATA!$J:$J,"&gt;="&amp;DATE($I$2,M$4,1),DATA!$J:$J,"&lt;="&amp;DATE($I$2,M$4,M$5))</f>
        <v/>
      </c>
      <c r="N384" s="321">
        <f>SUMIFS(DATA!$I:$I,DATA!$C:$C,$B384,DATA!$J:$J,"&gt;="&amp;DATE($I$2,N$4,1),DATA!$J:$J,"&lt;="&amp;DATE($I$2,N$4,N$5))</f>
        <v/>
      </c>
      <c r="O384" s="321">
        <f>SUMIFS(DATA!$I:$I,DATA!$C:$C,$B384,DATA!$J:$J,"&gt;="&amp;DATE($I$2,O$4,1),DATA!$J:$J,"&lt;="&amp;DATE($I$2,O$4,O$5))</f>
        <v/>
      </c>
      <c r="P384" s="322">
        <f>SUM(D384:O384)</f>
        <v/>
      </c>
      <c r="Q384" s="118" t="n"/>
    </row>
    <row r="385" hidden="1" outlineLevel="1" ht="15" customHeight="1">
      <c r="A385" s="266" t="n"/>
      <c r="B385" s="126" t="n"/>
      <c r="C385" s="119" t="inlineStr">
        <is>
          <t>Thực tế</t>
        </is>
      </c>
      <c r="D385" s="321">
        <f>SUMIFS(DATA!$M:$M,DATA!$C:$C,$B384,DATA!$N:$N,"&gt;="&amp;DATE($I$2,D$4,1),DATA!$N:$N,"&lt;="&amp;DATE($I$2,D$4,D$5))</f>
        <v/>
      </c>
      <c r="E385" s="321">
        <f>SUMIFS(DATA!$M:$M,DATA!$C:$C,$B384,DATA!$N:$N,"&gt;="&amp;DATE($I$2,E$4,1),DATA!$N:$N,"&lt;="&amp;DATE($I$2,E$4,E$5))</f>
        <v/>
      </c>
      <c r="F385" s="321">
        <f>SUMIFS(DATA!$M:$M,DATA!$C:$C,$B384,DATA!$N:$N,"&gt;="&amp;DATE($I$2,F$4,1),DATA!$N:$N,"&lt;="&amp;DATE($I$2,F$4,F$5))</f>
        <v/>
      </c>
      <c r="G385" s="321">
        <f>SUMIFS(DATA!$M:$M,DATA!$C:$C,$B384,DATA!$N:$N,"&gt;="&amp;DATE($I$2,G$4,1),DATA!$N:$N,"&lt;="&amp;DATE($I$2,G$4,G$5))</f>
        <v/>
      </c>
      <c r="H385" s="321">
        <f>SUMIFS(DATA!$M:$M,DATA!$C:$C,$B384,DATA!$N:$N,"&gt;="&amp;DATE($I$2,H$4,1),DATA!$N:$N,"&lt;="&amp;DATE($I$2,H$4,H$5))</f>
        <v/>
      </c>
      <c r="I385" s="321">
        <f>SUMIFS(DATA!$M:$M,DATA!$C:$C,$B384,DATA!$N:$N,"&gt;="&amp;DATE($I$2,I$4,1),DATA!$N:$N,"&lt;="&amp;DATE($I$2,I$4,I$5))</f>
        <v/>
      </c>
      <c r="J385" s="321">
        <f>SUMIFS(DATA!$M:$M,DATA!$C:$C,$B384,DATA!$N:$N,"&gt;="&amp;DATE($I$2,J$4,1),DATA!$N:$N,"&lt;="&amp;DATE($I$2,J$4,J$5))</f>
        <v/>
      </c>
      <c r="K385" s="321">
        <f>SUMIFS(DATA!$M:$M,DATA!$C:$C,$B384,DATA!$N:$N,"&gt;="&amp;DATE($I$2,K$4,1),DATA!$N:$N,"&lt;="&amp;DATE($I$2,K$4,K$5))</f>
        <v/>
      </c>
      <c r="L385" s="321">
        <f>SUMIFS(DATA!$M:$M,DATA!$C:$C,$B384,DATA!$N:$N,"&gt;="&amp;DATE($I$2,L$4,1),DATA!$N:$N,"&lt;="&amp;DATE($I$2,L$4,L$5))</f>
        <v/>
      </c>
      <c r="M385" s="321">
        <f>SUMIFS(DATA!$M:$M,DATA!$C:$C,$B384,DATA!$N:$N,"&gt;="&amp;DATE($I$2,M$4,1),DATA!$N:$N,"&lt;="&amp;DATE($I$2,M$4,M$5))</f>
        <v/>
      </c>
      <c r="N385" s="321">
        <f>SUMIFS(DATA!$M:$M,DATA!$C:$C,$B384,DATA!$N:$N,"&gt;="&amp;DATE($I$2,N$4,1),DATA!$N:$N,"&lt;="&amp;DATE($I$2,N$4,N$5))</f>
        <v/>
      </c>
      <c r="O385" s="321">
        <f>SUMIFS(DATA!$M:$M,DATA!$C:$C,$B384,DATA!$N:$N,"&gt;="&amp;DATE($I$2,O$4,1),DATA!$N:$N,"&lt;="&amp;DATE($I$2,O$4,O$5))</f>
        <v/>
      </c>
      <c r="P385" s="322">
        <f>SUM(D385:O385)</f>
        <v/>
      </c>
      <c r="Q385" s="118" t="n"/>
    </row>
    <row r="386" hidden="1" outlineLevel="1" ht="15" customHeight="1">
      <c r="A386" s="269" t="n">
        <v>191</v>
      </c>
      <c r="B386" s="125" t="n"/>
      <c r="C386" s="119" t="inlineStr">
        <is>
          <t>Kế hoạch</t>
        </is>
      </c>
      <c r="D386" s="321">
        <f>SUMIFS(DATA!$I:$I,DATA!$C:$C,$B386,DATA!$J:$J,"&gt;="&amp;DATE($I$2,D$4,1),DATA!$J:$J,"&lt;="&amp;DATE($I$2,D$4,D$5))</f>
        <v/>
      </c>
      <c r="E386" s="321">
        <f>SUMIFS(DATA!$I:$I,DATA!$C:$C,$B386,DATA!$J:$J,"&gt;="&amp;DATE($I$2,E$4,1),DATA!$J:$J,"&lt;="&amp;DATE($I$2,E$4,E$5))</f>
        <v/>
      </c>
      <c r="F386" s="321">
        <f>SUMIFS(DATA!$I:$I,DATA!$C:$C,$B386,DATA!$J:$J,"&gt;="&amp;DATE($I$2,F$4,1),DATA!$J:$J,"&lt;="&amp;DATE($I$2,F$4,F$5))</f>
        <v/>
      </c>
      <c r="G386" s="321">
        <f>SUMIFS(DATA!$I:$I,DATA!$C:$C,$B386,DATA!$J:$J,"&gt;="&amp;DATE($I$2,G$4,1),DATA!$J:$J,"&lt;="&amp;DATE($I$2,G$4,G$5))</f>
        <v/>
      </c>
      <c r="H386" s="321">
        <f>SUMIFS(DATA!$I:$I,DATA!$C:$C,$B386,DATA!$J:$J,"&gt;="&amp;DATE($I$2,H$4,1),DATA!$J:$J,"&lt;="&amp;DATE($I$2,H$4,H$5))</f>
        <v/>
      </c>
      <c r="I386" s="321">
        <f>SUMIFS(DATA!$I:$I,DATA!$C:$C,$B386,DATA!$J:$J,"&gt;="&amp;DATE($I$2,I$4,1),DATA!$J:$J,"&lt;="&amp;DATE($I$2,I$4,I$5))</f>
        <v/>
      </c>
      <c r="J386" s="321">
        <f>SUMIFS(DATA!$I:$I,DATA!$C:$C,$B386,DATA!$J:$J,"&gt;="&amp;DATE($I$2,J$4,1),DATA!$J:$J,"&lt;="&amp;DATE($I$2,J$4,J$5))</f>
        <v/>
      </c>
      <c r="K386" s="321">
        <f>SUMIFS(DATA!$I:$I,DATA!$C:$C,$B386,DATA!$J:$J,"&gt;="&amp;DATE($I$2,K$4,1),DATA!$J:$J,"&lt;="&amp;DATE($I$2,K$4,K$5))</f>
        <v/>
      </c>
      <c r="L386" s="321">
        <f>SUMIFS(DATA!$I:$I,DATA!$C:$C,$B386,DATA!$J:$J,"&gt;="&amp;DATE($I$2,L$4,1),DATA!$J:$J,"&lt;="&amp;DATE($I$2,L$4,L$5))</f>
        <v/>
      </c>
      <c r="M386" s="321">
        <f>SUMIFS(DATA!$I:$I,DATA!$C:$C,$B386,DATA!$J:$J,"&gt;="&amp;DATE($I$2,M$4,1),DATA!$J:$J,"&lt;="&amp;DATE($I$2,M$4,M$5))</f>
        <v/>
      </c>
      <c r="N386" s="321">
        <f>SUMIFS(DATA!$I:$I,DATA!$C:$C,$B386,DATA!$J:$J,"&gt;="&amp;DATE($I$2,N$4,1),DATA!$J:$J,"&lt;="&amp;DATE($I$2,N$4,N$5))</f>
        <v/>
      </c>
      <c r="O386" s="321">
        <f>SUMIFS(DATA!$I:$I,DATA!$C:$C,$B386,DATA!$J:$J,"&gt;="&amp;DATE($I$2,O$4,1),DATA!$J:$J,"&lt;="&amp;DATE($I$2,O$4,O$5))</f>
        <v/>
      </c>
      <c r="P386" s="322">
        <f>SUM(D386:O386)</f>
        <v/>
      </c>
      <c r="Q386" s="118" t="n"/>
    </row>
    <row r="387" hidden="1" outlineLevel="1" ht="15" customHeight="1">
      <c r="A387" s="266" t="n"/>
      <c r="B387" s="126" t="n"/>
      <c r="C387" s="119" t="inlineStr">
        <is>
          <t>Thực tế</t>
        </is>
      </c>
      <c r="D387" s="321">
        <f>SUMIFS(DATA!$M:$M,DATA!$C:$C,$B386,DATA!$N:$N,"&gt;="&amp;DATE($I$2,D$4,1),DATA!$N:$N,"&lt;="&amp;DATE($I$2,D$4,D$5))</f>
        <v/>
      </c>
      <c r="E387" s="321">
        <f>SUMIFS(DATA!$M:$M,DATA!$C:$C,$B386,DATA!$N:$N,"&gt;="&amp;DATE($I$2,E$4,1),DATA!$N:$N,"&lt;="&amp;DATE($I$2,E$4,E$5))</f>
        <v/>
      </c>
      <c r="F387" s="321">
        <f>SUMIFS(DATA!$M:$M,DATA!$C:$C,$B386,DATA!$N:$N,"&gt;="&amp;DATE($I$2,F$4,1),DATA!$N:$N,"&lt;="&amp;DATE($I$2,F$4,F$5))</f>
        <v/>
      </c>
      <c r="G387" s="321">
        <f>SUMIFS(DATA!$M:$M,DATA!$C:$C,$B386,DATA!$N:$N,"&gt;="&amp;DATE($I$2,G$4,1),DATA!$N:$N,"&lt;="&amp;DATE($I$2,G$4,G$5))</f>
        <v/>
      </c>
      <c r="H387" s="321">
        <f>SUMIFS(DATA!$M:$M,DATA!$C:$C,$B386,DATA!$N:$N,"&gt;="&amp;DATE($I$2,H$4,1),DATA!$N:$N,"&lt;="&amp;DATE($I$2,H$4,H$5))</f>
        <v/>
      </c>
      <c r="I387" s="321">
        <f>SUMIFS(DATA!$M:$M,DATA!$C:$C,$B386,DATA!$N:$N,"&gt;="&amp;DATE($I$2,I$4,1),DATA!$N:$N,"&lt;="&amp;DATE($I$2,I$4,I$5))</f>
        <v/>
      </c>
      <c r="J387" s="321">
        <f>SUMIFS(DATA!$M:$M,DATA!$C:$C,$B386,DATA!$N:$N,"&gt;="&amp;DATE($I$2,J$4,1),DATA!$N:$N,"&lt;="&amp;DATE($I$2,J$4,J$5))</f>
        <v/>
      </c>
      <c r="K387" s="321">
        <f>SUMIFS(DATA!$M:$M,DATA!$C:$C,$B386,DATA!$N:$N,"&gt;="&amp;DATE($I$2,K$4,1),DATA!$N:$N,"&lt;="&amp;DATE($I$2,K$4,K$5))</f>
        <v/>
      </c>
      <c r="L387" s="321">
        <f>SUMIFS(DATA!$M:$M,DATA!$C:$C,$B386,DATA!$N:$N,"&gt;="&amp;DATE($I$2,L$4,1),DATA!$N:$N,"&lt;="&amp;DATE($I$2,L$4,L$5))</f>
        <v/>
      </c>
      <c r="M387" s="321">
        <f>SUMIFS(DATA!$M:$M,DATA!$C:$C,$B386,DATA!$N:$N,"&gt;="&amp;DATE($I$2,M$4,1),DATA!$N:$N,"&lt;="&amp;DATE($I$2,M$4,M$5))</f>
        <v/>
      </c>
      <c r="N387" s="321">
        <f>SUMIFS(DATA!$M:$M,DATA!$C:$C,$B386,DATA!$N:$N,"&gt;="&amp;DATE($I$2,N$4,1),DATA!$N:$N,"&lt;="&amp;DATE($I$2,N$4,N$5))</f>
        <v/>
      </c>
      <c r="O387" s="321">
        <f>SUMIFS(DATA!$M:$M,DATA!$C:$C,$B386,DATA!$N:$N,"&gt;="&amp;DATE($I$2,O$4,1),DATA!$N:$N,"&lt;="&amp;DATE($I$2,O$4,O$5))</f>
        <v/>
      </c>
      <c r="P387" s="322">
        <f>SUM(D387:O387)</f>
        <v/>
      </c>
      <c r="Q387" s="118" t="n"/>
    </row>
    <row r="388" hidden="1" outlineLevel="1" ht="15" customHeight="1">
      <c r="A388" s="269" t="n">
        <v>192</v>
      </c>
      <c r="B388" s="125" t="n"/>
      <c r="C388" s="119" t="inlineStr">
        <is>
          <t>Kế hoạch</t>
        </is>
      </c>
      <c r="D388" s="321">
        <f>SUMIFS(DATA!$I:$I,DATA!$C:$C,$B388,DATA!$J:$J,"&gt;="&amp;DATE($I$2,D$4,1),DATA!$J:$J,"&lt;="&amp;DATE($I$2,D$4,D$5))</f>
        <v/>
      </c>
      <c r="E388" s="321">
        <f>SUMIFS(DATA!$I:$I,DATA!$C:$C,$B388,DATA!$J:$J,"&gt;="&amp;DATE($I$2,E$4,1),DATA!$J:$J,"&lt;="&amp;DATE($I$2,E$4,E$5))</f>
        <v/>
      </c>
      <c r="F388" s="321">
        <f>SUMIFS(DATA!$I:$I,DATA!$C:$C,$B388,DATA!$J:$J,"&gt;="&amp;DATE($I$2,F$4,1),DATA!$J:$J,"&lt;="&amp;DATE($I$2,F$4,F$5))</f>
        <v/>
      </c>
      <c r="G388" s="321">
        <f>SUMIFS(DATA!$I:$I,DATA!$C:$C,$B388,DATA!$J:$J,"&gt;="&amp;DATE($I$2,G$4,1),DATA!$J:$J,"&lt;="&amp;DATE($I$2,G$4,G$5))</f>
        <v/>
      </c>
      <c r="H388" s="321">
        <f>SUMIFS(DATA!$I:$I,DATA!$C:$C,$B388,DATA!$J:$J,"&gt;="&amp;DATE($I$2,H$4,1),DATA!$J:$J,"&lt;="&amp;DATE($I$2,H$4,H$5))</f>
        <v/>
      </c>
      <c r="I388" s="321">
        <f>SUMIFS(DATA!$I:$I,DATA!$C:$C,$B388,DATA!$J:$J,"&gt;="&amp;DATE($I$2,I$4,1),DATA!$J:$J,"&lt;="&amp;DATE($I$2,I$4,I$5))</f>
        <v/>
      </c>
      <c r="J388" s="321">
        <f>SUMIFS(DATA!$I:$I,DATA!$C:$C,$B388,DATA!$J:$J,"&gt;="&amp;DATE($I$2,J$4,1),DATA!$J:$J,"&lt;="&amp;DATE($I$2,J$4,J$5))</f>
        <v/>
      </c>
      <c r="K388" s="321">
        <f>SUMIFS(DATA!$I:$I,DATA!$C:$C,$B388,DATA!$J:$J,"&gt;="&amp;DATE($I$2,K$4,1),DATA!$J:$J,"&lt;="&amp;DATE($I$2,K$4,K$5))</f>
        <v/>
      </c>
      <c r="L388" s="321">
        <f>SUMIFS(DATA!$I:$I,DATA!$C:$C,$B388,DATA!$J:$J,"&gt;="&amp;DATE($I$2,L$4,1),DATA!$J:$J,"&lt;="&amp;DATE($I$2,L$4,L$5))</f>
        <v/>
      </c>
      <c r="M388" s="321">
        <f>SUMIFS(DATA!$I:$I,DATA!$C:$C,$B388,DATA!$J:$J,"&gt;="&amp;DATE($I$2,M$4,1),DATA!$J:$J,"&lt;="&amp;DATE($I$2,M$4,M$5))</f>
        <v/>
      </c>
      <c r="N388" s="321">
        <f>SUMIFS(DATA!$I:$I,DATA!$C:$C,$B388,DATA!$J:$J,"&gt;="&amp;DATE($I$2,N$4,1),DATA!$J:$J,"&lt;="&amp;DATE($I$2,N$4,N$5))</f>
        <v/>
      </c>
      <c r="O388" s="321">
        <f>SUMIFS(DATA!$I:$I,DATA!$C:$C,$B388,DATA!$J:$J,"&gt;="&amp;DATE($I$2,O$4,1),DATA!$J:$J,"&lt;="&amp;DATE($I$2,O$4,O$5))</f>
        <v/>
      </c>
      <c r="P388" s="322">
        <f>SUM(D388:O388)</f>
        <v/>
      </c>
      <c r="Q388" s="118" t="n"/>
    </row>
    <row r="389" hidden="1" outlineLevel="1" ht="15" customHeight="1">
      <c r="A389" s="266" t="n"/>
      <c r="B389" s="126" t="n"/>
      <c r="C389" s="119" t="inlineStr">
        <is>
          <t>Thực tế</t>
        </is>
      </c>
      <c r="D389" s="321">
        <f>SUMIFS(DATA!$M:$M,DATA!$C:$C,$B388,DATA!$N:$N,"&gt;="&amp;DATE($I$2,D$4,1),DATA!$N:$N,"&lt;="&amp;DATE($I$2,D$4,D$5))</f>
        <v/>
      </c>
      <c r="E389" s="321">
        <f>SUMIFS(DATA!$M:$M,DATA!$C:$C,$B388,DATA!$N:$N,"&gt;="&amp;DATE($I$2,E$4,1),DATA!$N:$N,"&lt;="&amp;DATE($I$2,E$4,E$5))</f>
        <v/>
      </c>
      <c r="F389" s="321">
        <f>SUMIFS(DATA!$M:$M,DATA!$C:$C,$B388,DATA!$N:$N,"&gt;="&amp;DATE($I$2,F$4,1),DATA!$N:$N,"&lt;="&amp;DATE($I$2,F$4,F$5))</f>
        <v/>
      </c>
      <c r="G389" s="321">
        <f>SUMIFS(DATA!$M:$M,DATA!$C:$C,$B388,DATA!$N:$N,"&gt;="&amp;DATE($I$2,G$4,1),DATA!$N:$N,"&lt;="&amp;DATE($I$2,G$4,G$5))</f>
        <v/>
      </c>
      <c r="H389" s="321">
        <f>SUMIFS(DATA!$M:$M,DATA!$C:$C,$B388,DATA!$N:$N,"&gt;="&amp;DATE($I$2,H$4,1),DATA!$N:$N,"&lt;="&amp;DATE($I$2,H$4,H$5))</f>
        <v/>
      </c>
      <c r="I389" s="321">
        <f>SUMIFS(DATA!$M:$M,DATA!$C:$C,$B388,DATA!$N:$N,"&gt;="&amp;DATE($I$2,I$4,1),DATA!$N:$N,"&lt;="&amp;DATE($I$2,I$4,I$5))</f>
        <v/>
      </c>
      <c r="J389" s="321">
        <f>SUMIFS(DATA!$M:$M,DATA!$C:$C,$B388,DATA!$N:$N,"&gt;="&amp;DATE($I$2,J$4,1),DATA!$N:$N,"&lt;="&amp;DATE($I$2,J$4,J$5))</f>
        <v/>
      </c>
      <c r="K389" s="321">
        <f>SUMIFS(DATA!$M:$M,DATA!$C:$C,$B388,DATA!$N:$N,"&gt;="&amp;DATE($I$2,K$4,1),DATA!$N:$N,"&lt;="&amp;DATE($I$2,K$4,K$5))</f>
        <v/>
      </c>
      <c r="L389" s="321">
        <f>SUMIFS(DATA!$M:$M,DATA!$C:$C,$B388,DATA!$N:$N,"&gt;="&amp;DATE($I$2,L$4,1),DATA!$N:$N,"&lt;="&amp;DATE($I$2,L$4,L$5))</f>
        <v/>
      </c>
      <c r="M389" s="321">
        <f>SUMIFS(DATA!$M:$M,DATA!$C:$C,$B388,DATA!$N:$N,"&gt;="&amp;DATE($I$2,M$4,1),DATA!$N:$N,"&lt;="&amp;DATE($I$2,M$4,M$5))</f>
        <v/>
      </c>
      <c r="N389" s="321">
        <f>SUMIFS(DATA!$M:$M,DATA!$C:$C,$B388,DATA!$N:$N,"&gt;="&amp;DATE($I$2,N$4,1),DATA!$N:$N,"&lt;="&amp;DATE($I$2,N$4,N$5))</f>
        <v/>
      </c>
      <c r="O389" s="321">
        <f>SUMIFS(DATA!$M:$M,DATA!$C:$C,$B388,DATA!$N:$N,"&gt;="&amp;DATE($I$2,O$4,1),DATA!$N:$N,"&lt;="&amp;DATE($I$2,O$4,O$5))</f>
        <v/>
      </c>
      <c r="P389" s="322">
        <f>SUM(D389:O389)</f>
        <v/>
      </c>
      <c r="Q389" s="118" t="n"/>
    </row>
    <row r="390" hidden="1" outlineLevel="1" ht="15" customHeight="1">
      <c r="A390" s="269" t="n">
        <v>193</v>
      </c>
      <c r="B390" s="125" t="n"/>
      <c r="C390" s="119" t="inlineStr">
        <is>
          <t>Kế hoạch</t>
        </is>
      </c>
      <c r="D390" s="321">
        <f>SUMIFS(DATA!$I:$I,DATA!$C:$C,$B390,DATA!$J:$J,"&gt;="&amp;DATE($I$2,D$4,1),DATA!$J:$J,"&lt;="&amp;DATE($I$2,D$4,D$5))</f>
        <v/>
      </c>
      <c r="E390" s="321">
        <f>SUMIFS(DATA!$I:$I,DATA!$C:$C,$B390,DATA!$J:$J,"&gt;="&amp;DATE($I$2,E$4,1),DATA!$J:$J,"&lt;="&amp;DATE($I$2,E$4,E$5))</f>
        <v/>
      </c>
      <c r="F390" s="321">
        <f>SUMIFS(DATA!$I:$I,DATA!$C:$C,$B390,DATA!$J:$J,"&gt;="&amp;DATE($I$2,F$4,1),DATA!$J:$J,"&lt;="&amp;DATE($I$2,F$4,F$5))</f>
        <v/>
      </c>
      <c r="G390" s="321">
        <f>SUMIFS(DATA!$I:$I,DATA!$C:$C,$B390,DATA!$J:$J,"&gt;="&amp;DATE($I$2,G$4,1),DATA!$J:$J,"&lt;="&amp;DATE($I$2,G$4,G$5))</f>
        <v/>
      </c>
      <c r="H390" s="321">
        <f>SUMIFS(DATA!$I:$I,DATA!$C:$C,$B390,DATA!$J:$J,"&gt;="&amp;DATE($I$2,H$4,1),DATA!$J:$J,"&lt;="&amp;DATE($I$2,H$4,H$5))</f>
        <v/>
      </c>
      <c r="I390" s="321">
        <f>SUMIFS(DATA!$I:$I,DATA!$C:$C,$B390,DATA!$J:$J,"&gt;="&amp;DATE($I$2,I$4,1),DATA!$J:$J,"&lt;="&amp;DATE($I$2,I$4,I$5))</f>
        <v/>
      </c>
      <c r="J390" s="321">
        <f>SUMIFS(DATA!$I:$I,DATA!$C:$C,$B390,DATA!$J:$J,"&gt;="&amp;DATE($I$2,J$4,1),DATA!$J:$J,"&lt;="&amp;DATE($I$2,J$4,J$5))</f>
        <v/>
      </c>
      <c r="K390" s="321">
        <f>SUMIFS(DATA!$I:$I,DATA!$C:$C,$B390,DATA!$J:$J,"&gt;="&amp;DATE($I$2,K$4,1),DATA!$J:$J,"&lt;="&amp;DATE($I$2,K$4,K$5))</f>
        <v/>
      </c>
      <c r="L390" s="321">
        <f>SUMIFS(DATA!$I:$I,DATA!$C:$C,$B390,DATA!$J:$J,"&gt;="&amp;DATE($I$2,L$4,1),DATA!$J:$J,"&lt;="&amp;DATE($I$2,L$4,L$5))</f>
        <v/>
      </c>
      <c r="M390" s="321">
        <f>SUMIFS(DATA!$I:$I,DATA!$C:$C,$B390,DATA!$J:$J,"&gt;="&amp;DATE($I$2,M$4,1),DATA!$J:$J,"&lt;="&amp;DATE($I$2,M$4,M$5))</f>
        <v/>
      </c>
      <c r="N390" s="321">
        <f>SUMIFS(DATA!$I:$I,DATA!$C:$C,$B390,DATA!$J:$J,"&gt;="&amp;DATE($I$2,N$4,1),DATA!$J:$J,"&lt;="&amp;DATE($I$2,N$4,N$5))</f>
        <v/>
      </c>
      <c r="O390" s="321">
        <f>SUMIFS(DATA!$I:$I,DATA!$C:$C,$B390,DATA!$J:$J,"&gt;="&amp;DATE($I$2,O$4,1),DATA!$J:$J,"&lt;="&amp;DATE($I$2,O$4,O$5))</f>
        <v/>
      </c>
      <c r="P390" s="322">
        <f>SUM(D390:O390)</f>
        <v/>
      </c>
      <c r="Q390" s="118" t="n"/>
    </row>
    <row r="391" hidden="1" outlineLevel="1" ht="15" customHeight="1">
      <c r="A391" s="266" t="n"/>
      <c r="B391" s="126" t="n"/>
      <c r="C391" s="119" t="inlineStr">
        <is>
          <t>Thực tế</t>
        </is>
      </c>
      <c r="D391" s="321">
        <f>SUMIFS(DATA!$M:$M,DATA!$C:$C,$B390,DATA!$N:$N,"&gt;="&amp;DATE($I$2,D$4,1),DATA!$N:$N,"&lt;="&amp;DATE($I$2,D$4,D$5))</f>
        <v/>
      </c>
      <c r="E391" s="321">
        <f>SUMIFS(DATA!$M:$M,DATA!$C:$C,$B390,DATA!$N:$N,"&gt;="&amp;DATE($I$2,E$4,1),DATA!$N:$N,"&lt;="&amp;DATE($I$2,E$4,E$5))</f>
        <v/>
      </c>
      <c r="F391" s="321">
        <f>SUMIFS(DATA!$M:$M,DATA!$C:$C,$B390,DATA!$N:$N,"&gt;="&amp;DATE($I$2,F$4,1),DATA!$N:$N,"&lt;="&amp;DATE($I$2,F$4,F$5))</f>
        <v/>
      </c>
      <c r="G391" s="321">
        <f>SUMIFS(DATA!$M:$M,DATA!$C:$C,$B390,DATA!$N:$N,"&gt;="&amp;DATE($I$2,G$4,1),DATA!$N:$N,"&lt;="&amp;DATE($I$2,G$4,G$5))</f>
        <v/>
      </c>
      <c r="H391" s="321">
        <f>SUMIFS(DATA!$M:$M,DATA!$C:$C,$B390,DATA!$N:$N,"&gt;="&amp;DATE($I$2,H$4,1),DATA!$N:$N,"&lt;="&amp;DATE($I$2,H$4,H$5))</f>
        <v/>
      </c>
      <c r="I391" s="321">
        <f>SUMIFS(DATA!$M:$M,DATA!$C:$C,$B390,DATA!$N:$N,"&gt;="&amp;DATE($I$2,I$4,1),DATA!$N:$N,"&lt;="&amp;DATE($I$2,I$4,I$5))</f>
        <v/>
      </c>
      <c r="J391" s="321">
        <f>SUMIFS(DATA!$M:$M,DATA!$C:$C,$B390,DATA!$N:$N,"&gt;="&amp;DATE($I$2,J$4,1),DATA!$N:$N,"&lt;="&amp;DATE($I$2,J$4,J$5))</f>
        <v/>
      </c>
      <c r="K391" s="321">
        <f>SUMIFS(DATA!$M:$M,DATA!$C:$C,$B390,DATA!$N:$N,"&gt;="&amp;DATE($I$2,K$4,1),DATA!$N:$N,"&lt;="&amp;DATE($I$2,K$4,K$5))</f>
        <v/>
      </c>
      <c r="L391" s="321">
        <f>SUMIFS(DATA!$M:$M,DATA!$C:$C,$B390,DATA!$N:$N,"&gt;="&amp;DATE($I$2,L$4,1),DATA!$N:$N,"&lt;="&amp;DATE($I$2,L$4,L$5))</f>
        <v/>
      </c>
      <c r="M391" s="321">
        <f>SUMIFS(DATA!$M:$M,DATA!$C:$C,$B390,DATA!$N:$N,"&gt;="&amp;DATE($I$2,M$4,1),DATA!$N:$N,"&lt;="&amp;DATE($I$2,M$4,M$5))</f>
        <v/>
      </c>
      <c r="N391" s="321">
        <f>SUMIFS(DATA!$M:$M,DATA!$C:$C,$B390,DATA!$N:$N,"&gt;="&amp;DATE($I$2,N$4,1),DATA!$N:$N,"&lt;="&amp;DATE($I$2,N$4,N$5))</f>
        <v/>
      </c>
      <c r="O391" s="321">
        <f>SUMIFS(DATA!$M:$M,DATA!$C:$C,$B390,DATA!$N:$N,"&gt;="&amp;DATE($I$2,O$4,1),DATA!$N:$N,"&lt;="&amp;DATE($I$2,O$4,O$5))</f>
        <v/>
      </c>
      <c r="P391" s="322">
        <f>SUM(D391:O391)</f>
        <v/>
      </c>
      <c r="Q391" s="118" t="n"/>
    </row>
    <row r="392" hidden="1" outlineLevel="1" ht="15" customHeight="1">
      <c r="A392" s="269" t="n">
        <v>194</v>
      </c>
      <c r="B392" s="125" t="n"/>
      <c r="C392" s="119" t="inlineStr">
        <is>
          <t>Kế hoạch</t>
        </is>
      </c>
      <c r="D392" s="321">
        <f>SUMIFS(DATA!$I:$I,DATA!$C:$C,$B392,DATA!$J:$J,"&gt;="&amp;DATE($I$2,D$4,1),DATA!$J:$J,"&lt;="&amp;DATE($I$2,D$4,D$5))</f>
        <v/>
      </c>
      <c r="E392" s="321">
        <f>SUMIFS(DATA!$I:$I,DATA!$C:$C,$B392,DATA!$J:$J,"&gt;="&amp;DATE($I$2,E$4,1),DATA!$J:$J,"&lt;="&amp;DATE($I$2,E$4,E$5))</f>
        <v/>
      </c>
      <c r="F392" s="321">
        <f>SUMIFS(DATA!$I:$I,DATA!$C:$C,$B392,DATA!$J:$J,"&gt;="&amp;DATE($I$2,F$4,1),DATA!$J:$J,"&lt;="&amp;DATE($I$2,F$4,F$5))</f>
        <v/>
      </c>
      <c r="G392" s="321">
        <f>SUMIFS(DATA!$I:$I,DATA!$C:$C,$B392,DATA!$J:$J,"&gt;="&amp;DATE($I$2,G$4,1),DATA!$J:$J,"&lt;="&amp;DATE($I$2,G$4,G$5))</f>
        <v/>
      </c>
      <c r="H392" s="321">
        <f>SUMIFS(DATA!$I:$I,DATA!$C:$C,$B392,DATA!$J:$J,"&gt;="&amp;DATE($I$2,H$4,1),DATA!$J:$J,"&lt;="&amp;DATE($I$2,H$4,H$5))</f>
        <v/>
      </c>
      <c r="I392" s="321">
        <f>SUMIFS(DATA!$I:$I,DATA!$C:$C,$B392,DATA!$J:$J,"&gt;="&amp;DATE($I$2,I$4,1),DATA!$J:$J,"&lt;="&amp;DATE($I$2,I$4,I$5))</f>
        <v/>
      </c>
      <c r="J392" s="321">
        <f>SUMIFS(DATA!$I:$I,DATA!$C:$C,$B392,DATA!$J:$J,"&gt;="&amp;DATE($I$2,J$4,1),DATA!$J:$J,"&lt;="&amp;DATE($I$2,J$4,J$5))</f>
        <v/>
      </c>
      <c r="K392" s="321">
        <f>SUMIFS(DATA!$I:$I,DATA!$C:$C,$B392,DATA!$J:$J,"&gt;="&amp;DATE($I$2,K$4,1),DATA!$J:$J,"&lt;="&amp;DATE($I$2,K$4,K$5))</f>
        <v/>
      </c>
      <c r="L392" s="321">
        <f>SUMIFS(DATA!$I:$I,DATA!$C:$C,$B392,DATA!$J:$J,"&gt;="&amp;DATE($I$2,L$4,1),DATA!$J:$J,"&lt;="&amp;DATE($I$2,L$4,L$5))</f>
        <v/>
      </c>
      <c r="M392" s="321">
        <f>SUMIFS(DATA!$I:$I,DATA!$C:$C,$B392,DATA!$J:$J,"&gt;="&amp;DATE($I$2,M$4,1),DATA!$J:$J,"&lt;="&amp;DATE($I$2,M$4,M$5))</f>
        <v/>
      </c>
      <c r="N392" s="321">
        <f>SUMIFS(DATA!$I:$I,DATA!$C:$C,$B392,DATA!$J:$J,"&gt;="&amp;DATE($I$2,N$4,1),DATA!$J:$J,"&lt;="&amp;DATE($I$2,N$4,N$5))</f>
        <v/>
      </c>
      <c r="O392" s="321">
        <f>SUMIFS(DATA!$I:$I,DATA!$C:$C,$B392,DATA!$J:$J,"&gt;="&amp;DATE($I$2,O$4,1),DATA!$J:$J,"&lt;="&amp;DATE($I$2,O$4,O$5))</f>
        <v/>
      </c>
      <c r="P392" s="322">
        <f>SUM(D392:O392)</f>
        <v/>
      </c>
      <c r="Q392" s="118" t="n"/>
    </row>
    <row r="393" hidden="1" outlineLevel="1" ht="15" customHeight="1">
      <c r="A393" s="266" t="n"/>
      <c r="B393" s="126" t="n"/>
      <c r="C393" s="119" t="inlineStr">
        <is>
          <t>Thực tế</t>
        </is>
      </c>
      <c r="D393" s="321">
        <f>SUMIFS(DATA!$M:$M,DATA!$C:$C,$B392,DATA!$N:$N,"&gt;="&amp;DATE($I$2,D$4,1),DATA!$N:$N,"&lt;="&amp;DATE($I$2,D$4,D$5))</f>
        <v/>
      </c>
      <c r="E393" s="321">
        <f>SUMIFS(DATA!$M:$M,DATA!$C:$C,$B392,DATA!$N:$N,"&gt;="&amp;DATE($I$2,E$4,1),DATA!$N:$N,"&lt;="&amp;DATE($I$2,E$4,E$5))</f>
        <v/>
      </c>
      <c r="F393" s="321">
        <f>SUMIFS(DATA!$M:$M,DATA!$C:$C,$B392,DATA!$N:$N,"&gt;="&amp;DATE($I$2,F$4,1),DATA!$N:$N,"&lt;="&amp;DATE($I$2,F$4,F$5))</f>
        <v/>
      </c>
      <c r="G393" s="321">
        <f>SUMIFS(DATA!$M:$M,DATA!$C:$C,$B392,DATA!$N:$N,"&gt;="&amp;DATE($I$2,G$4,1),DATA!$N:$N,"&lt;="&amp;DATE($I$2,G$4,G$5))</f>
        <v/>
      </c>
      <c r="H393" s="321">
        <f>SUMIFS(DATA!$M:$M,DATA!$C:$C,$B392,DATA!$N:$N,"&gt;="&amp;DATE($I$2,H$4,1),DATA!$N:$N,"&lt;="&amp;DATE($I$2,H$4,H$5))</f>
        <v/>
      </c>
      <c r="I393" s="321">
        <f>SUMIFS(DATA!$M:$M,DATA!$C:$C,$B392,DATA!$N:$N,"&gt;="&amp;DATE($I$2,I$4,1),DATA!$N:$N,"&lt;="&amp;DATE($I$2,I$4,I$5))</f>
        <v/>
      </c>
      <c r="J393" s="321">
        <f>SUMIFS(DATA!$M:$M,DATA!$C:$C,$B392,DATA!$N:$N,"&gt;="&amp;DATE($I$2,J$4,1),DATA!$N:$N,"&lt;="&amp;DATE($I$2,J$4,J$5))</f>
        <v/>
      </c>
      <c r="K393" s="321">
        <f>SUMIFS(DATA!$M:$M,DATA!$C:$C,$B392,DATA!$N:$N,"&gt;="&amp;DATE($I$2,K$4,1),DATA!$N:$N,"&lt;="&amp;DATE($I$2,K$4,K$5))</f>
        <v/>
      </c>
      <c r="L393" s="321">
        <f>SUMIFS(DATA!$M:$M,DATA!$C:$C,$B392,DATA!$N:$N,"&gt;="&amp;DATE($I$2,L$4,1),DATA!$N:$N,"&lt;="&amp;DATE($I$2,L$4,L$5))</f>
        <v/>
      </c>
      <c r="M393" s="321">
        <f>SUMIFS(DATA!$M:$M,DATA!$C:$C,$B392,DATA!$N:$N,"&gt;="&amp;DATE($I$2,M$4,1),DATA!$N:$N,"&lt;="&amp;DATE($I$2,M$4,M$5))</f>
        <v/>
      </c>
      <c r="N393" s="321">
        <f>SUMIFS(DATA!$M:$M,DATA!$C:$C,$B392,DATA!$N:$N,"&gt;="&amp;DATE($I$2,N$4,1),DATA!$N:$N,"&lt;="&amp;DATE($I$2,N$4,N$5))</f>
        <v/>
      </c>
      <c r="O393" s="321">
        <f>SUMIFS(DATA!$M:$M,DATA!$C:$C,$B392,DATA!$N:$N,"&gt;="&amp;DATE($I$2,O$4,1),DATA!$N:$N,"&lt;="&amp;DATE($I$2,O$4,O$5))</f>
        <v/>
      </c>
      <c r="P393" s="322">
        <f>SUM(D393:O393)</f>
        <v/>
      </c>
      <c r="Q393" s="118" t="n"/>
    </row>
    <row r="394" hidden="1" outlineLevel="1" ht="15" customHeight="1">
      <c r="A394" s="269" t="n">
        <v>195</v>
      </c>
      <c r="B394" s="125" t="n"/>
      <c r="C394" s="119" t="inlineStr">
        <is>
          <t>Kế hoạch</t>
        </is>
      </c>
      <c r="D394" s="321">
        <f>SUMIFS(DATA!$I:$I,DATA!$C:$C,$B394,DATA!$J:$J,"&gt;="&amp;DATE($I$2,D$4,1),DATA!$J:$J,"&lt;="&amp;DATE($I$2,D$4,D$5))</f>
        <v/>
      </c>
      <c r="E394" s="321">
        <f>SUMIFS(DATA!$I:$I,DATA!$C:$C,$B394,DATA!$J:$J,"&gt;="&amp;DATE($I$2,E$4,1),DATA!$J:$J,"&lt;="&amp;DATE($I$2,E$4,E$5))</f>
        <v/>
      </c>
      <c r="F394" s="321">
        <f>SUMIFS(DATA!$I:$I,DATA!$C:$C,$B394,DATA!$J:$J,"&gt;="&amp;DATE($I$2,F$4,1),DATA!$J:$J,"&lt;="&amp;DATE($I$2,F$4,F$5))</f>
        <v/>
      </c>
      <c r="G394" s="321">
        <f>SUMIFS(DATA!$I:$I,DATA!$C:$C,$B394,DATA!$J:$J,"&gt;="&amp;DATE($I$2,G$4,1),DATA!$J:$J,"&lt;="&amp;DATE($I$2,G$4,G$5))</f>
        <v/>
      </c>
      <c r="H394" s="321">
        <f>SUMIFS(DATA!$I:$I,DATA!$C:$C,$B394,DATA!$J:$J,"&gt;="&amp;DATE($I$2,H$4,1),DATA!$J:$J,"&lt;="&amp;DATE($I$2,H$4,H$5))</f>
        <v/>
      </c>
      <c r="I394" s="321">
        <f>SUMIFS(DATA!$I:$I,DATA!$C:$C,$B394,DATA!$J:$J,"&gt;="&amp;DATE($I$2,I$4,1),DATA!$J:$J,"&lt;="&amp;DATE($I$2,I$4,I$5))</f>
        <v/>
      </c>
      <c r="J394" s="321">
        <f>SUMIFS(DATA!$I:$I,DATA!$C:$C,$B394,DATA!$J:$J,"&gt;="&amp;DATE($I$2,J$4,1),DATA!$J:$J,"&lt;="&amp;DATE($I$2,J$4,J$5))</f>
        <v/>
      </c>
      <c r="K394" s="321">
        <f>SUMIFS(DATA!$I:$I,DATA!$C:$C,$B394,DATA!$J:$J,"&gt;="&amp;DATE($I$2,K$4,1),DATA!$J:$J,"&lt;="&amp;DATE($I$2,K$4,K$5))</f>
        <v/>
      </c>
      <c r="L394" s="321">
        <f>SUMIFS(DATA!$I:$I,DATA!$C:$C,$B394,DATA!$J:$J,"&gt;="&amp;DATE($I$2,L$4,1),DATA!$J:$J,"&lt;="&amp;DATE($I$2,L$4,L$5))</f>
        <v/>
      </c>
      <c r="M394" s="321">
        <f>SUMIFS(DATA!$I:$I,DATA!$C:$C,$B394,DATA!$J:$J,"&gt;="&amp;DATE($I$2,M$4,1),DATA!$J:$J,"&lt;="&amp;DATE($I$2,M$4,M$5))</f>
        <v/>
      </c>
      <c r="N394" s="321">
        <f>SUMIFS(DATA!$I:$I,DATA!$C:$C,$B394,DATA!$J:$J,"&gt;="&amp;DATE($I$2,N$4,1),DATA!$J:$J,"&lt;="&amp;DATE($I$2,N$4,N$5))</f>
        <v/>
      </c>
      <c r="O394" s="321">
        <f>SUMIFS(DATA!$I:$I,DATA!$C:$C,$B394,DATA!$J:$J,"&gt;="&amp;DATE($I$2,O$4,1),DATA!$J:$J,"&lt;="&amp;DATE($I$2,O$4,O$5))</f>
        <v/>
      </c>
      <c r="P394" s="322">
        <f>SUM(D394:O394)</f>
        <v/>
      </c>
      <c r="Q394" s="118" t="n"/>
    </row>
    <row r="395" hidden="1" outlineLevel="1" ht="15" customHeight="1">
      <c r="A395" s="266" t="n"/>
      <c r="B395" s="126" t="n"/>
      <c r="C395" s="119" t="inlineStr">
        <is>
          <t>Thực tế</t>
        </is>
      </c>
      <c r="D395" s="321">
        <f>SUMIFS(DATA!$M:$M,DATA!$C:$C,$B394,DATA!$N:$N,"&gt;="&amp;DATE($I$2,D$4,1),DATA!$N:$N,"&lt;="&amp;DATE($I$2,D$4,D$5))</f>
        <v/>
      </c>
      <c r="E395" s="321">
        <f>SUMIFS(DATA!$M:$M,DATA!$C:$C,$B394,DATA!$N:$N,"&gt;="&amp;DATE($I$2,E$4,1),DATA!$N:$N,"&lt;="&amp;DATE($I$2,E$4,E$5))</f>
        <v/>
      </c>
      <c r="F395" s="321">
        <f>SUMIFS(DATA!$M:$M,DATA!$C:$C,$B394,DATA!$N:$N,"&gt;="&amp;DATE($I$2,F$4,1),DATA!$N:$N,"&lt;="&amp;DATE($I$2,F$4,F$5))</f>
        <v/>
      </c>
      <c r="G395" s="321">
        <f>SUMIFS(DATA!$M:$M,DATA!$C:$C,$B394,DATA!$N:$N,"&gt;="&amp;DATE($I$2,G$4,1),DATA!$N:$N,"&lt;="&amp;DATE($I$2,G$4,G$5))</f>
        <v/>
      </c>
      <c r="H395" s="321">
        <f>SUMIFS(DATA!$M:$M,DATA!$C:$C,$B394,DATA!$N:$N,"&gt;="&amp;DATE($I$2,H$4,1),DATA!$N:$N,"&lt;="&amp;DATE($I$2,H$4,H$5))</f>
        <v/>
      </c>
      <c r="I395" s="321">
        <f>SUMIFS(DATA!$M:$M,DATA!$C:$C,$B394,DATA!$N:$N,"&gt;="&amp;DATE($I$2,I$4,1),DATA!$N:$N,"&lt;="&amp;DATE($I$2,I$4,I$5))</f>
        <v/>
      </c>
      <c r="J395" s="321">
        <f>SUMIFS(DATA!$M:$M,DATA!$C:$C,$B394,DATA!$N:$N,"&gt;="&amp;DATE($I$2,J$4,1),DATA!$N:$N,"&lt;="&amp;DATE($I$2,J$4,J$5))</f>
        <v/>
      </c>
      <c r="K395" s="321">
        <f>SUMIFS(DATA!$M:$M,DATA!$C:$C,$B394,DATA!$N:$N,"&gt;="&amp;DATE($I$2,K$4,1),DATA!$N:$N,"&lt;="&amp;DATE($I$2,K$4,K$5))</f>
        <v/>
      </c>
      <c r="L395" s="321">
        <f>SUMIFS(DATA!$M:$M,DATA!$C:$C,$B394,DATA!$N:$N,"&gt;="&amp;DATE($I$2,L$4,1),DATA!$N:$N,"&lt;="&amp;DATE($I$2,L$4,L$5))</f>
        <v/>
      </c>
      <c r="M395" s="321">
        <f>SUMIFS(DATA!$M:$M,DATA!$C:$C,$B394,DATA!$N:$N,"&gt;="&amp;DATE($I$2,M$4,1),DATA!$N:$N,"&lt;="&amp;DATE($I$2,M$4,M$5))</f>
        <v/>
      </c>
      <c r="N395" s="321">
        <f>SUMIFS(DATA!$M:$M,DATA!$C:$C,$B394,DATA!$N:$N,"&gt;="&amp;DATE($I$2,N$4,1),DATA!$N:$N,"&lt;="&amp;DATE($I$2,N$4,N$5))</f>
        <v/>
      </c>
      <c r="O395" s="321">
        <f>SUMIFS(DATA!$M:$M,DATA!$C:$C,$B394,DATA!$N:$N,"&gt;="&amp;DATE($I$2,O$4,1),DATA!$N:$N,"&lt;="&amp;DATE($I$2,O$4,O$5))</f>
        <v/>
      </c>
      <c r="P395" s="322">
        <f>SUM(D395:O395)</f>
        <v/>
      </c>
      <c r="Q395" s="118" t="n"/>
    </row>
    <row r="396" hidden="1" outlineLevel="1" ht="15" customHeight="1">
      <c r="A396" s="269" t="n">
        <v>196</v>
      </c>
      <c r="B396" s="125" t="n"/>
      <c r="C396" s="119" t="inlineStr">
        <is>
          <t>Kế hoạch</t>
        </is>
      </c>
      <c r="D396" s="321">
        <f>SUMIFS(DATA!$I:$I,DATA!$C:$C,$B396,DATA!$J:$J,"&gt;="&amp;DATE($I$2,D$4,1),DATA!$J:$J,"&lt;="&amp;DATE($I$2,D$4,D$5))</f>
        <v/>
      </c>
      <c r="E396" s="321">
        <f>SUMIFS(DATA!$I:$I,DATA!$C:$C,$B396,DATA!$J:$J,"&gt;="&amp;DATE($I$2,E$4,1),DATA!$J:$J,"&lt;="&amp;DATE($I$2,E$4,E$5))</f>
        <v/>
      </c>
      <c r="F396" s="321">
        <f>SUMIFS(DATA!$I:$I,DATA!$C:$C,$B396,DATA!$J:$J,"&gt;="&amp;DATE($I$2,F$4,1),DATA!$J:$J,"&lt;="&amp;DATE($I$2,F$4,F$5))</f>
        <v/>
      </c>
      <c r="G396" s="321">
        <f>SUMIFS(DATA!$I:$I,DATA!$C:$C,$B396,DATA!$J:$J,"&gt;="&amp;DATE($I$2,G$4,1),DATA!$J:$J,"&lt;="&amp;DATE($I$2,G$4,G$5))</f>
        <v/>
      </c>
      <c r="H396" s="321">
        <f>SUMIFS(DATA!$I:$I,DATA!$C:$C,$B396,DATA!$J:$J,"&gt;="&amp;DATE($I$2,H$4,1),DATA!$J:$J,"&lt;="&amp;DATE($I$2,H$4,H$5))</f>
        <v/>
      </c>
      <c r="I396" s="321">
        <f>SUMIFS(DATA!$I:$I,DATA!$C:$C,$B396,DATA!$J:$J,"&gt;="&amp;DATE($I$2,I$4,1),DATA!$J:$J,"&lt;="&amp;DATE($I$2,I$4,I$5))</f>
        <v/>
      </c>
      <c r="J396" s="321">
        <f>SUMIFS(DATA!$I:$I,DATA!$C:$C,$B396,DATA!$J:$J,"&gt;="&amp;DATE($I$2,J$4,1),DATA!$J:$J,"&lt;="&amp;DATE($I$2,J$4,J$5))</f>
        <v/>
      </c>
      <c r="K396" s="321">
        <f>SUMIFS(DATA!$I:$I,DATA!$C:$C,$B396,DATA!$J:$J,"&gt;="&amp;DATE($I$2,K$4,1),DATA!$J:$J,"&lt;="&amp;DATE($I$2,K$4,K$5))</f>
        <v/>
      </c>
      <c r="L396" s="321">
        <f>SUMIFS(DATA!$I:$I,DATA!$C:$C,$B396,DATA!$J:$J,"&gt;="&amp;DATE($I$2,L$4,1),DATA!$J:$J,"&lt;="&amp;DATE($I$2,L$4,L$5))</f>
        <v/>
      </c>
      <c r="M396" s="321">
        <f>SUMIFS(DATA!$I:$I,DATA!$C:$C,$B396,DATA!$J:$J,"&gt;="&amp;DATE($I$2,M$4,1),DATA!$J:$J,"&lt;="&amp;DATE($I$2,M$4,M$5))</f>
        <v/>
      </c>
      <c r="N396" s="321">
        <f>SUMIFS(DATA!$I:$I,DATA!$C:$C,$B396,DATA!$J:$J,"&gt;="&amp;DATE($I$2,N$4,1),DATA!$J:$J,"&lt;="&amp;DATE($I$2,N$4,N$5))</f>
        <v/>
      </c>
      <c r="O396" s="321">
        <f>SUMIFS(DATA!$I:$I,DATA!$C:$C,$B396,DATA!$J:$J,"&gt;="&amp;DATE($I$2,O$4,1),DATA!$J:$J,"&lt;="&amp;DATE($I$2,O$4,O$5))</f>
        <v/>
      </c>
      <c r="P396" s="322">
        <f>SUM(D396:O396)</f>
        <v/>
      </c>
      <c r="Q396" s="118" t="n"/>
    </row>
    <row r="397" hidden="1" outlineLevel="1" ht="15" customHeight="1">
      <c r="A397" s="266" t="n"/>
      <c r="B397" s="126" t="n"/>
      <c r="C397" s="119" t="inlineStr">
        <is>
          <t>Thực tế</t>
        </is>
      </c>
      <c r="D397" s="321">
        <f>SUMIFS(DATA!$M:$M,DATA!$C:$C,$B396,DATA!$N:$N,"&gt;="&amp;DATE($I$2,D$4,1),DATA!$N:$N,"&lt;="&amp;DATE($I$2,D$4,D$5))</f>
        <v/>
      </c>
      <c r="E397" s="321">
        <f>SUMIFS(DATA!$M:$M,DATA!$C:$C,$B396,DATA!$N:$N,"&gt;="&amp;DATE($I$2,E$4,1),DATA!$N:$N,"&lt;="&amp;DATE($I$2,E$4,E$5))</f>
        <v/>
      </c>
      <c r="F397" s="321">
        <f>SUMIFS(DATA!$M:$M,DATA!$C:$C,$B396,DATA!$N:$N,"&gt;="&amp;DATE($I$2,F$4,1),DATA!$N:$N,"&lt;="&amp;DATE($I$2,F$4,F$5))</f>
        <v/>
      </c>
      <c r="G397" s="321">
        <f>SUMIFS(DATA!$M:$M,DATA!$C:$C,$B396,DATA!$N:$N,"&gt;="&amp;DATE($I$2,G$4,1),DATA!$N:$N,"&lt;="&amp;DATE($I$2,G$4,G$5))</f>
        <v/>
      </c>
      <c r="H397" s="321">
        <f>SUMIFS(DATA!$M:$M,DATA!$C:$C,$B396,DATA!$N:$N,"&gt;="&amp;DATE($I$2,H$4,1),DATA!$N:$N,"&lt;="&amp;DATE($I$2,H$4,H$5))</f>
        <v/>
      </c>
      <c r="I397" s="321">
        <f>SUMIFS(DATA!$M:$M,DATA!$C:$C,$B396,DATA!$N:$N,"&gt;="&amp;DATE($I$2,I$4,1),DATA!$N:$N,"&lt;="&amp;DATE($I$2,I$4,I$5))</f>
        <v/>
      </c>
      <c r="J397" s="321">
        <f>SUMIFS(DATA!$M:$M,DATA!$C:$C,$B396,DATA!$N:$N,"&gt;="&amp;DATE($I$2,J$4,1),DATA!$N:$N,"&lt;="&amp;DATE($I$2,J$4,J$5))</f>
        <v/>
      </c>
      <c r="K397" s="321">
        <f>SUMIFS(DATA!$M:$M,DATA!$C:$C,$B396,DATA!$N:$N,"&gt;="&amp;DATE($I$2,K$4,1),DATA!$N:$N,"&lt;="&amp;DATE($I$2,K$4,K$5))</f>
        <v/>
      </c>
      <c r="L397" s="321">
        <f>SUMIFS(DATA!$M:$M,DATA!$C:$C,$B396,DATA!$N:$N,"&gt;="&amp;DATE($I$2,L$4,1),DATA!$N:$N,"&lt;="&amp;DATE($I$2,L$4,L$5))</f>
        <v/>
      </c>
      <c r="M397" s="321">
        <f>SUMIFS(DATA!$M:$M,DATA!$C:$C,$B396,DATA!$N:$N,"&gt;="&amp;DATE($I$2,M$4,1),DATA!$N:$N,"&lt;="&amp;DATE($I$2,M$4,M$5))</f>
        <v/>
      </c>
      <c r="N397" s="321">
        <f>SUMIFS(DATA!$M:$M,DATA!$C:$C,$B396,DATA!$N:$N,"&gt;="&amp;DATE($I$2,N$4,1),DATA!$N:$N,"&lt;="&amp;DATE($I$2,N$4,N$5))</f>
        <v/>
      </c>
      <c r="O397" s="321">
        <f>SUMIFS(DATA!$M:$M,DATA!$C:$C,$B396,DATA!$N:$N,"&gt;="&amp;DATE($I$2,O$4,1),DATA!$N:$N,"&lt;="&amp;DATE($I$2,O$4,O$5))</f>
        <v/>
      </c>
      <c r="P397" s="322">
        <f>SUM(D397:O397)</f>
        <v/>
      </c>
      <c r="Q397" s="118" t="n"/>
    </row>
    <row r="398" hidden="1" outlineLevel="1" ht="15" customHeight="1">
      <c r="A398" s="269" t="n">
        <v>197</v>
      </c>
      <c r="B398" s="125" t="n"/>
      <c r="C398" s="119" t="inlineStr">
        <is>
          <t>Kế hoạch</t>
        </is>
      </c>
      <c r="D398" s="321">
        <f>SUMIFS(DATA!$I:$I,DATA!$C:$C,$B398,DATA!$J:$J,"&gt;="&amp;DATE($I$2,D$4,1),DATA!$J:$J,"&lt;="&amp;DATE($I$2,D$4,D$5))</f>
        <v/>
      </c>
      <c r="E398" s="321">
        <f>SUMIFS(DATA!$I:$I,DATA!$C:$C,$B398,DATA!$J:$J,"&gt;="&amp;DATE($I$2,E$4,1),DATA!$J:$J,"&lt;="&amp;DATE($I$2,E$4,E$5))</f>
        <v/>
      </c>
      <c r="F398" s="321">
        <f>SUMIFS(DATA!$I:$I,DATA!$C:$C,$B398,DATA!$J:$J,"&gt;="&amp;DATE($I$2,F$4,1),DATA!$J:$J,"&lt;="&amp;DATE($I$2,F$4,F$5))</f>
        <v/>
      </c>
      <c r="G398" s="321">
        <f>SUMIFS(DATA!$I:$I,DATA!$C:$C,$B398,DATA!$J:$J,"&gt;="&amp;DATE($I$2,G$4,1),DATA!$J:$J,"&lt;="&amp;DATE($I$2,G$4,G$5))</f>
        <v/>
      </c>
      <c r="H398" s="321">
        <f>SUMIFS(DATA!$I:$I,DATA!$C:$C,$B398,DATA!$J:$J,"&gt;="&amp;DATE($I$2,H$4,1),DATA!$J:$J,"&lt;="&amp;DATE($I$2,H$4,H$5))</f>
        <v/>
      </c>
      <c r="I398" s="321">
        <f>SUMIFS(DATA!$I:$I,DATA!$C:$C,$B398,DATA!$J:$J,"&gt;="&amp;DATE($I$2,I$4,1),DATA!$J:$J,"&lt;="&amp;DATE($I$2,I$4,I$5))</f>
        <v/>
      </c>
      <c r="J398" s="321">
        <f>SUMIFS(DATA!$I:$I,DATA!$C:$C,$B398,DATA!$J:$J,"&gt;="&amp;DATE($I$2,J$4,1),DATA!$J:$J,"&lt;="&amp;DATE($I$2,J$4,J$5))</f>
        <v/>
      </c>
      <c r="K398" s="321">
        <f>SUMIFS(DATA!$I:$I,DATA!$C:$C,$B398,DATA!$J:$J,"&gt;="&amp;DATE($I$2,K$4,1),DATA!$J:$J,"&lt;="&amp;DATE($I$2,K$4,K$5))</f>
        <v/>
      </c>
      <c r="L398" s="321">
        <f>SUMIFS(DATA!$I:$I,DATA!$C:$C,$B398,DATA!$J:$J,"&gt;="&amp;DATE($I$2,L$4,1),DATA!$J:$J,"&lt;="&amp;DATE($I$2,L$4,L$5))</f>
        <v/>
      </c>
      <c r="M398" s="321">
        <f>SUMIFS(DATA!$I:$I,DATA!$C:$C,$B398,DATA!$J:$J,"&gt;="&amp;DATE($I$2,M$4,1),DATA!$J:$J,"&lt;="&amp;DATE($I$2,M$4,M$5))</f>
        <v/>
      </c>
      <c r="N398" s="321">
        <f>SUMIFS(DATA!$I:$I,DATA!$C:$C,$B398,DATA!$J:$J,"&gt;="&amp;DATE($I$2,N$4,1),DATA!$J:$J,"&lt;="&amp;DATE($I$2,N$4,N$5))</f>
        <v/>
      </c>
      <c r="O398" s="321">
        <f>SUMIFS(DATA!$I:$I,DATA!$C:$C,$B398,DATA!$J:$J,"&gt;="&amp;DATE($I$2,O$4,1),DATA!$J:$J,"&lt;="&amp;DATE($I$2,O$4,O$5))</f>
        <v/>
      </c>
      <c r="P398" s="322">
        <f>SUM(D398:O398)</f>
        <v/>
      </c>
      <c r="Q398" s="118" t="n"/>
    </row>
    <row r="399" hidden="1" outlineLevel="1" ht="15" customHeight="1">
      <c r="A399" s="266" t="n"/>
      <c r="B399" s="126" t="n"/>
      <c r="C399" s="119" t="inlineStr">
        <is>
          <t>Thực tế</t>
        </is>
      </c>
      <c r="D399" s="321">
        <f>SUMIFS(DATA!$M:$M,DATA!$C:$C,$B398,DATA!$N:$N,"&gt;="&amp;DATE($I$2,D$4,1),DATA!$N:$N,"&lt;="&amp;DATE($I$2,D$4,D$5))</f>
        <v/>
      </c>
      <c r="E399" s="321">
        <f>SUMIFS(DATA!$M:$M,DATA!$C:$C,$B398,DATA!$N:$N,"&gt;="&amp;DATE($I$2,E$4,1),DATA!$N:$N,"&lt;="&amp;DATE($I$2,E$4,E$5))</f>
        <v/>
      </c>
      <c r="F399" s="321">
        <f>SUMIFS(DATA!$M:$M,DATA!$C:$C,$B398,DATA!$N:$N,"&gt;="&amp;DATE($I$2,F$4,1),DATA!$N:$N,"&lt;="&amp;DATE($I$2,F$4,F$5))</f>
        <v/>
      </c>
      <c r="G399" s="321">
        <f>SUMIFS(DATA!$M:$M,DATA!$C:$C,$B398,DATA!$N:$N,"&gt;="&amp;DATE($I$2,G$4,1),DATA!$N:$N,"&lt;="&amp;DATE($I$2,G$4,G$5))</f>
        <v/>
      </c>
      <c r="H399" s="321">
        <f>SUMIFS(DATA!$M:$M,DATA!$C:$C,$B398,DATA!$N:$N,"&gt;="&amp;DATE($I$2,H$4,1),DATA!$N:$N,"&lt;="&amp;DATE($I$2,H$4,H$5))</f>
        <v/>
      </c>
      <c r="I399" s="321">
        <f>SUMIFS(DATA!$M:$M,DATA!$C:$C,$B398,DATA!$N:$N,"&gt;="&amp;DATE($I$2,I$4,1),DATA!$N:$N,"&lt;="&amp;DATE($I$2,I$4,I$5))</f>
        <v/>
      </c>
      <c r="J399" s="321">
        <f>SUMIFS(DATA!$M:$M,DATA!$C:$C,$B398,DATA!$N:$N,"&gt;="&amp;DATE($I$2,J$4,1),DATA!$N:$N,"&lt;="&amp;DATE($I$2,J$4,J$5))</f>
        <v/>
      </c>
      <c r="K399" s="321">
        <f>SUMIFS(DATA!$M:$M,DATA!$C:$C,$B398,DATA!$N:$N,"&gt;="&amp;DATE($I$2,K$4,1),DATA!$N:$N,"&lt;="&amp;DATE($I$2,K$4,K$5))</f>
        <v/>
      </c>
      <c r="L399" s="321">
        <f>SUMIFS(DATA!$M:$M,DATA!$C:$C,$B398,DATA!$N:$N,"&gt;="&amp;DATE($I$2,L$4,1),DATA!$N:$N,"&lt;="&amp;DATE($I$2,L$4,L$5))</f>
        <v/>
      </c>
      <c r="M399" s="321">
        <f>SUMIFS(DATA!$M:$M,DATA!$C:$C,$B398,DATA!$N:$N,"&gt;="&amp;DATE($I$2,M$4,1),DATA!$N:$N,"&lt;="&amp;DATE($I$2,M$4,M$5))</f>
        <v/>
      </c>
      <c r="N399" s="321">
        <f>SUMIFS(DATA!$M:$M,DATA!$C:$C,$B398,DATA!$N:$N,"&gt;="&amp;DATE($I$2,N$4,1),DATA!$N:$N,"&lt;="&amp;DATE($I$2,N$4,N$5))</f>
        <v/>
      </c>
      <c r="O399" s="321">
        <f>SUMIFS(DATA!$M:$M,DATA!$C:$C,$B398,DATA!$N:$N,"&gt;="&amp;DATE($I$2,O$4,1),DATA!$N:$N,"&lt;="&amp;DATE($I$2,O$4,O$5))</f>
        <v/>
      </c>
      <c r="P399" s="322">
        <f>SUM(D399:O399)</f>
        <v/>
      </c>
      <c r="Q399" s="118" t="n"/>
    </row>
    <row r="400" hidden="1" outlineLevel="1" ht="15" customHeight="1">
      <c r="A400" s="269" t="n">
        <v>198</v>
      </c>
      <c r="B400" s="125" t="n"/>
      <c r="C400" s="119" t="inlineStr">
        <is>
          <t>Kế hoạch</t>
        </is>
      </c>
      <c r="D400" s="321">
        <f>SUMIFS(DATA!$I:$I,DATA!$C:$C,$B400,DATA!$J:$J,"&gt;="&amp;DATE($I$2,D$4,1),DATA!$J:$J,"&lt;="&amp;DATE($I$2,D$4,D$5))</f>
        <v/>
      </c>
      <c r="E400" s="321">
        <f>SUMIFS(DATA!$I:$I,DATA!$C:$C,$B400,DATA!$J:$J,"&gt;="&amp;DATE($I$2,E$4,1),DATA!$J:$J,"&lt;="&amp;DATE($I$2,E$4,E$5))</f>
        <v/>
      </c>
      <c r="F400" s="321">
        <f>SUMIFS(DATA!$I:$I,DATA!$C:$C,$B400,DATA!$J:$J,"&gt;="&amp;DATE($I$2,F$4,1),DATA!$J:$J,"&lt;="&amp;DATE($I$2,F$4,F$5))</f>
        <v/>
      </c>
      <c r="G400" s="321">
        <f>SUMIFS(DATA!$I:$I,DATA!$C:$C,$B400,DATA!$J:$J,"&gt;="&amp;DATE($I$2,G$4,1),DATA!$J:$J,"&lt;="&amp;DATE($I$2,G$4,G$5))</f>
        <v/>
      </c>
      <c r="H400" s="321">
        <f>SUMIFS(DATA!$I:$I,DATA!$C:$C,$B400,DATA!$J:$J,"&gt;="&amp;DATE($I$2,H$4,1),DATA!$J:$J,"&lt;="&amp;DATE($I$2,H$4,H$5))</f>
        <v/>
      </c>
      <c r="I400" s="321">
        <f>SUMIFS(DATA!$I:$I,DATA!$C:$C,$B400,DATA!$J:$J,"&gt;="&amp;DATE($I$2,I$4,1),DATA!$J:$J,"&lt;="&amp;DATE($I$2,I$4,I$5))</f>
        <v/>
      </c>
      <c r="J400" s="321">
        <f>SUMIFS(DATA!$I:$I,DATA!$C:$C,$B400,DATA!$J:$J,"&gt;="&amp;DATE($I$2,J$4,1),DATA!$J:$J,"&lt;="&amp;DATE($I$2,J$4,J$5))</f>
        <v/>
      </c>
      <c r="K400" s="321">
        <f>SUMIFS(DATA!$I:$I,DATA!$C:$C,$B400,DATA!$J:$J,"&gt;="&amp;DATE($I$2,K$4,1),DATA!$J:$J,"&lt;="&amp;DATE($I$2,K$4,K$5))</f>
        <v/>
      </c>
      <c r="L400" s="321">
        <f>SUMIFS(DATA!$I:$I,DATA!$C:$C,$B400,DATA!$J:$J,"&gt;="&amp;DATE($I$2,L$4,1),DATA!$J:$J,"&lt;="&amp;DATE($I$2,L$4,L$5))</f>
        <v/>
      </c>
      <c r="M400" s="321">
        <f>SUMIFS(DATA!$I:$I,DATA!$C:$C,$B400,DATA!$J:$J,"&gt;="&amp;DATE($I$2,M$4,1),DATA!$J:$J,"&lt;="&amp;DATE($I$2,M$4,M$5))</f>
        <v/>
      </c>
      <c r="N400" s="321">
        <f>SUMIFS(DATA!$I:$I,DATA!$C:$C,$B400,DATA!$J:$J,"&gt;="&amp;DATE($I$2,N$4,1),DATA!$J:$J,"&lt;="&amp;DATE($I$2,N$4,N$5))</f>
        <v/>
      </c>
      <c r="O400" s="321">
        <f>SUMIFS(DATA!$I:$I,DATA!$C:$C,$B400,DATA!$J:$J,"&gt;="&amp;DATE($I$2,O$4,1),DATA!$J:$J,"&lt;="&amp;DATE($I$2,O$4,O$5))</f>
        <v/>
      </c>
      <c r="P400" s="322">
        <f>SUM(D400:O400)</f>
        <v/>
      </c>
      <c r="Q400" s="118" t="n"/>
    </row>
    <row r="401" hidden="1" outlineLevel="1" ht="15" customHeight="1">
      <c r="A401" s="266" t="n"/>
      <c r="B401" s="126" t="n"/>
      <c r="C401" s="119" t="inlineStr">
        <is>
          <t>Thực tế</t>
        </is>
      </c>
      <c r="D401" s="321">
        <f>SUMIFS(DATA!$M:$M,DATA!$C:$C,$B400,DATA!$N:$N,"&gt;="&amp;DATE($I$2,D$4,1),DATA!$N:$N,"&lt;="&amp;DATE($I$2,D$4,D$5))</f>
        <v/>
      </c>
      <c r="E401" s="321">
        <f>SUMIFS(DATA!$M:$M,DATA!$C:$C,$B400,DATA!$N:$N,"&gt;="&amp;DATE($I$2,E$4,1),DATA!$N:$N,"&lt;="&amp;DATE($I$2,E$4,E$5))</f>
        <v/>
      </c>
      <c r="F401" s="321">
        <f>SUMIFS(DATA!$M:$M,DATA!$C:$C,$B400,DATA!$N:$N,"&gt;="&amp;DATE($I$2,F$4,1),DATA!$N:$N,"&lt;="&amp;DATE($I$2,F$4,F$5))</f>
        <v/>
      </c>
      <c r="G401" s="321">
        <f>SUMIFS(DATA!$M:$M,DATA!$C:$C,$B400,DATA!$N:$N,"&gt;="&amp;DATE($I$2,G$4,1),DATA!$N:$N,"&lt;="&amp;DATE($I$2,G$4,G$5))</f>
        <v/>
      </c>
      <c r="H401" s="321">
        <f>SUMIFS(DATA!$M:$M,DATA!$C:$C,$B400,DATA!$N:$N,"&gt;="&amp;DATE($I$2,H$4,1),DATA!$N:$N,"&lt;="&amp;DATE($I$2,H$4,H$5))</f>
        <v/>
      </c>
      <c r="I401" s="321">
        <f>SUMIFS(DATA!$M:$M,DATA!$C:$C,$B400,DATA!$N:$N,"&gt;="&amp;DATE($I$2,I$4,1),DATA!$N:$N,"&lt;="&amp;DATE($I$2,I$4,I$5))</f>
        <v/>
      </c>
      <c r="J401" s="321">
        <f>SUMIFS(DATA!$M:$M,DATA!$C:$C,$B400,DATA!$N:$N,"&gt;="&amp;DATE($I$2,J$4,1),DATA!$N:$N,"&lt;="&amp;DATE($I$2,J$4,J$5))</f>
        <v/>
      </c>
      <c r="K401" s="321">
        <f>SUMIFS(DATA!$M:$M,DATA!$C:$C,$B400,DATA!$N:$N,"&gt;="&amp;DATE($I$2,K$4,1),DATA!$N:$N,"&lt;="&amp;DATE($I$2,K$4,K$5))</f>
        <v/>
      </c>
      <c r="L401" s="321">
        <f>SUMIFS(DATA!$M:$M,DATA!$C:$C,$B400,DATA!$N:$N,"&gt;="&amp;DATE($I$2,L$4,1),DATA!$N:$N,"&lt;="&amp;DATE($I$2,L$4,L$5))</f>
        <v/>
      </c>
      <c r="M401" s="321">
        <f>SUMIFS(DATA!$M:$M,DATA!$C:$C,$B400,DATA!$N:$N,"&gt;="&amp;DATE($I$2,M$4,1),DATA!$N:$N,"&lt;="&amp;DATE($I$2,M$4,M$5))</f>
        <v/>
      </c>
      <c r="N401" s="321">
        <f>SUMIFS(DATA!$M:$M,DATA!$C:$C,$B400,DATA!$N:$N,"&gt;="&amp;DATE($I$2,N$4,1),DATA!$N:$N,"&lt;="&amp;DATE($I$2,N$4,N$5))</f>
        <v/>
      </c>
      <c r="O401" s="321">
        <f>SUMIFS(DATA!$M:$M,DATA!$C:$C,$B400,DATA!$N:$N,"&gt;="&amp;DATE($I$2,O$4,1),DATA!$N:$N,"&lt;="&amp;DATE($I$2,O$4,O$5))</f>
        <v/>
      </c>
      <c r="P401" s="322">
        <f>SUM(D401:O401)</f>
        <v/>
      </c>
      <c r="Q401" s="118" t="n"/>
    </row>
    <row r="402" hidden="1" outlineLevel="1" ht="15" customHeight="1">
      <c r="A402" s="269" t="n">
        <v>199</v>
      </c>
      <c r="B402" s="125" t="n"/>
      <c r="C402" s="119" t="inlineStr">
        <is>
          <t>Kế hoạch</t>
        </is>
      </c>
      <c r="D402" s="321">
        <f>SUMIFS(DATA!$I:$I,DATA!$C:$C,$B402,DATA!$J:$J,"&gt;="&amp;DATE($I$2,D$4,1),DATA!$J:$J,"&lt;="&amp;DATE($I$2,D$4,D$5))</f>
        <v/>
      </c>
      <c r="E402" s="321">
        <f>SUMIFS(DATA!$I:$I,DATA!$C:$C,$B402,DATA!$J:$J,"&gt;="&amp;DATE($I$2,E$4,1),DATA!$J:$J,"&lt;="&amp;DATE($I$2,E$4,E$5))</f>
        <v/>
      </c>
      <c r="F402" s="321">
        <f>SUMIFS(DATA!$I:$I,DATA!$C:$C,$B402,DATA!$J:$J,"&gt;="&amp;DATE($I$2,F$4,1),DATA!$J:$J,"&lt;="&amp;DATE($I$2,F$4,F$5))</f>
        <v/>
      </c>
      <c r="G402" s="321">
        <f>SUMIFS(DATA!$I:$I,DATA!$C:$C,$B402,DATA!$J:$J,"&gt;="&amp;DATE($I$2,G$4,1),DATA!$J:$J,"&lt;="&amp;DATE($I$2,G$4,G$5))</f>
        <v/>
      </c>
      <c r="H402" s="321">
        <f>SUMIFS(DATA!$I:$I,DATA!$C:$C,$B402,DATA!$J:$J,"&gt;="&amp;DATE($I$2,H$4,1),DATA!$J:$J,"&lt;="&amp;DATE($I$2,H$4,H$5))</f>
        <v/>
      </c>
      <c r="I402" s="321">
        <f>SUMIFS(DATA!$I:$I,DATA!$C:$C,$B402,DATA!$J:$J,"&gt;="&amp;DATE($I$2,I$4,1),DATA!$J:$J,"&lt;="&amp;DATE($I$2,I$4,I$5))</f>
        <v/>
      </c>
      <c r="J402" s="321">
        <f>SUMIFS(DATA!$I:$I,DATA!$C:$C,$B402,DATA!$J:$J,"&gt;="&amp;DATE($I$2,J$4,1),DATA!$J:$J,"&lt;="&amp;DATE($I$2,J$4,J$5))</f>
        <v/>
      </c>
      <c r="K402" s="321">
        <f>SUMIFS(DATA!$I:$I,DATA!$C:$C,$B402,DATA!$J:$J,"&gt;="&amp;DATE($I$2,K$4,1),DATA!$J:$J,"&lt;="&amp;DATE($I$2,K$4,K$5))</f>
        <v/>
      </c>
      <c r="L402" s="321">
        <f>SUMIFS(DATA!$I:$I,DATA!$C:$C,$B402,DATA!$J:$J,"&gt;="&amp;DATE($I$2,L$4,1),DATA!$J:$J,"&lt;="&amp;DATE($I$2,L$4,L$5))</f>
        <v/>
      </c>
      <c r="M402" s="321">
        <f>SUMIFS(DATA!$I:$I,DATA!$C:$C,$B402,DATA!$J:$J,"&gt;="&amp;DATE($I$2,M$4,1),DATA!$J:$J,"&lt;="&amp;DATE($I$2,M$4,M$5))</f>
        <v/>
      </c>
      <c r="N402" s="321">
        <f>SUMIFS(DATA!$I:$I,DATA!$C:$C,$B402,DATA!$J:$J,"&gt;="&amp;DATE($I$2,N$4,1),DATA!$J:$J,"&lt;="&amp;DATE($I$2,N$4,N$5))</f>
        <v/>
      </c>
      <c r="O402" s="321">
        <f>SUMIFS(DATA!$I:$I,DATA!$C:$C,$B402,DATA!$J:$J,"&gt;="&amp;DATE($I$2,O$4,1),DATA!$J:$J,"&lt;="&amp;DATE($I$2,O$4,O$5))</f>
        <v/>
      </c>
      <c r="P402" s="322">
        <f>SUM(D402:O402)</f>
        <v/>
      </c>
      <c r="Q402" s="118" t="n"/>
    </row>
    <row r="403" hidden="1" outlineLevel="1" ht="15" customHeight="1">
      <c r="A403" s="266" t="n"/>
      <c r="B403" s="126" t="n"/>
      <c r="C403" s="119" t="inlineStr">
        <is>
          <t>Thực tế</t>
        </is>
      </c>
      <c r="D403" s="321">
        <f>SUMIFS(DATA!$M:$M,DATA!$C:$C,$B402,DATA!$N:$N,"&gt;="&amp;DATE($I$2,D$4,1),DATA!$N:$N,"&lt;="&amp;DATE($I$2,D$4,D$5))</f>
        <v/>
      </c>
      <c r="E403" s="321">
        <f>SUMIFS(DATA!$M:$M,DATA!$C:$C,$B402,DATA!$N:$N,"&gt;="&amp;DATE($I$2,E$4,1),DATA!$N:$N,"&lt;="&amp;DATE($I$2,E$4,E$5))</f>
        <v/>
      </c>
      <c r="F403" s="321">
        <f>SUMIFS(DATA!$M:$M,DATA!$C:$C,$B402,DATA!$N:$N,"&gt;="&amp;DATE($I$2,F$4,1),DATA!$N:$N,"&lt;="&amp;DATE($I$2,F$4,F$5))</f>
        <v/>
      </c>
      <c r="G403" s="321">
        <f>SUMIFS(DATA!$M:$M,DATA!$C:$C,$B402,DATA!$N:$N,"&gt;="&amp;DATE($I$2,G$4,1),DATA!$N:$N,"&lt;="&amp;DATE($I$2,G$4,G$5))</f>
        <v/>
      </c>
      <c r="H403" s="321">
        <f>SUMIFS(DATA!$M:$M,DATA!$C:$C,$B402,DATA!$N:$N,"&gt;="&amp;DATE($I$2,H$4,1),DATA!$N:$N,"&lt;="&amp;DATE($I$2,H$4,H$5))</f>
        <v/>
      </c>
      <c r="I403" s="321">
        <f>SUMIFS(DATA!$M:$M,DATA!$C:$C,$B402,DATA!$N:$N,"&gt;="&amp;DATE($I$2,I$4,1),DATA!$N:$N,"&lt;="&amp;DATE($I$2,I$4,I$5))</f>
        <v/>
      </c>
      <c r="J403" s="321">
        <f>SUMIFS(DATA!$M:$M,DATA!$C:$C,$B402,DATA!$N:$N,"&gt;="&amp;DATE($I$2,J$4,1),DATA!$N:$N,"&lt;="&amp;DATE($I$2,J$4,J$5))</f>
        <v/>
      </c>
      <c r="K403" s="321">
        <f>SUMIFS(DATA!$M:$M,DATA!$C:$C,$B402,DATA!$N:$N,"&gt;="&amp;DATE($I$2,K$4,1),DATA!$N:$N,"&lt;="&amp;DATE($I$2,K$4,K$5))</f>
        <v/>
      </c>
      <c r="L403" s="321">
        <f>SUMIFS(DATA!$M:$M,DATA!$C:$C,$B402,DATA!$N:$N,"&gt;="&amp;DATE($I$2,L$4,1),DATA!$N:$N,"&lt;="&amp;DATE($I$2,L$4,L$5))</f>
        <v/>
      </c>
      <c r="M403" s="321">
        <f>SUMIFS(DATA!$M:$M,DATA!$C:$C,$B402,DATA!$N:$N,"&gt;="&amp;DATE($I$2,M$4,1),DATA!$N:$N,"&lt;="&amp;DATE($I$2,M$4,M$5))</f>
        <v/>
      </c>
      <c r="N403" s="321">
        <f>SUMIFS(DATA!$M:$M,DATA!$C:$C,$B402,DATA!$N:$N,"&gt;="&amp;DATE($I$2,N$4,1),DATA!$N:$N,"&lt;="&amp;DATE($I$2,N$4,N$5))</f>
        <v/>
      </c>
      <c r="O403" s="321">
        <f>SUMIFS(DATA!$M:$M,DATA!$C:$C,$B402,DATA!$N:$N,"&gt;="&amp;DATE($I$2,O$4,1),DATA!$N:$N,"&lt;="&amp;DATE($I$2,O$4,O$5))</f>
        <v/>
      </c>
      <c r="P403" s="322">
        <f>SUM(D403:O403)</f>
        <v/>
      </c>
      <c r="Q403" s="118" t="n"/>
    </row>
    <row r="404" hidden="1" outlineLevel="1" ht="15" customHeight="1">
      <c r="A404" s="269" t="n">
        <v>200</v>
      </c>
      <c r="B404" s="125" t="n"/>
      <c r="C404" s="119" t="inlineStr">
        <is>
          <t>Kế hoạch</t>
        </is>
      </c>
      <c r="D404" s="321">
        <f>SUMIFS(DATA!$I:$I,DATA!$C:$C,$B404,DATA!$J:$J,"&gt;="&amp;DATE($I$2,D$4,1),DATA!$J:$J,"&lt;="&amp;DATE($I$2,D$4,D$5))</f>
        <v/>
      </c>
      <c r="E404" s="321">
        <f>SUMIFS(DATA!$I:$I,DATA!$C:$C,$B404,DATA!$J:$J,"&gt;="&amp;DATE($I$2,E$4,1),DATA!$J:$J,"&lt;="&amp;DATE($I$2,E$4,E$5))</f>
        <v/>
      </c>
      <c r="F404" s="321">
        <f>SUMIFS(DATA!$I:$I,DATA!$C:$C,$B404,DATA!$J:$J,"&gt;="&amp;DATE($I$2,F$4,1),DATA!$J:$J,"&lt;="&amp;DATE($I$2,F$4,F$5))</f>
        <v/>
      </c>
      <c r="G404" s="321">
        <f>SUMIFS(DATA!$I:$I,DATA!$C:$C,$B404,DATA!$J:$J,"&gt;="&amp;DATE($I$2,G$4,1),DATA!$J:$J,"&lt;="&amp;DATE($I$2,G$4,G$5))</f>
        <v/>
      </c>
      <c r="H404" s="321">
        <f>SUMIFS(DATA!$I:$I,DATA!$C:$C,$B404,DATA!$J:$J,"&gt;="&amp;DATE($I$2,H$4,1),DATA!$J:$J,"&lt;="&amp;DATE($I$2,H$4,H$5))</f>
        <v/>
      </c>
      <c r="I404" s="321">
        <f>SUMIFS(DATA!$I:$I,DATA!$C:$C,$B404,DATA!$J:$J,"&gt;="&amp;DATE($I$2,I$4,1),DATA!$J:$J,"&lt;="&amp;DATE($I$2,I$4,I$5))</f>
        <v/>
      </c>
      <c r="J404" s="321">
        <f>SUMIFS(DATA!$I:$I,DATA!$C:$C,$B404,DATA!$J:$J,"&gt;="&amp;DATE($I$2,J$4,1),DATA!$J:$J,"&lt;="&amp;DATE($I$2,J$4,J$5))</f>
        <v/>
      </c>
      <c r="K404" s="321">
        <f>SUMIFS(DATA!$I:$I,DATA!$C:$C,$B404,DATA!$J:$J,"&gt;="&amp;DATE($I$2,K$4,1),DATA!$J:$J,"&lt;="&amp;DATE($I$2,K$4,K$5))</f>
        <v/>
      </c>
      <c r="L404" s="321">
        <f>SUMIFS(DATA!$I:$I,DATA!$C:$C,$B404,DATA!$J:$J,"&gt;="&amp;DATE($I$2,L$4,1),DATA!$J:$J,"&lt;="&amp;DATE($I$2,L$4,L$5))</f>
        <v/>
      </c>
      <c r="M404" s="321">
        <f>SUMIFS(DATA!$I:$I,DATA!$C:$C,$B404,DATA!$J:$J,"&gt;="&amp;DATE($I$2,M$4,1),DATA!$J:$J,"&lt;="&amp;DATE($I$2,M$4,M$5))</f>
        <v/>
      </c>
      <c r="N404" s="321">
        <f>SUMIFS(DATA!$I:$I,DATA!$C:$C,$B404,DATA!$J:$J,"&gt;="&amp;DATE($I$2,N$4,1),DATA!$J:$J,"&lt;="&amp;DATE($I$2,N$4,N$5))</f>
        <v/>
      </c>
      <c r="O404" s="321">
        <f>SUMIFS(DATA!$I:$I,DATA!$C:$C,$B404,DATA!$J:$J,"&gt;="&amp;DATE($I$2,O$4,1),DATA!$J:$J,"&lt;="&amp;DATE($I$2,O$4,O$5))</f>
        <v/>
      </c>
      <c r="P404" s="322">
        <f>SUM(D404:O404)</f>
        <v/>
      </c>
      <c r="Q404" s="118" t="n"/>
    </row>
    <row r="405" hidden="1" outlineLevel="1" ht="15" customHeight="1">
      <c r="A405" s="266" t="n"/>
      <c r="B405" s="126" t="n"/>
      <c r="C405" s="119" t="inlineStr">
        <is>
          <t>Thực tế</t>
        </is>
      </c>
      <c r="D405" s="321">
        <f>SUMIFS(DATA!$M:$M,DATA!$C:$C,$B404,DATA!$N:$N,"&gt;="&amp;DATE($I$2,D$4,1),DATA!$N:$N,"&lt;="&amp;DATE($I$2,D$4,D$5))</f>
        <v/>
      </c>
      <c r="E405" s="321">
        <f>SUMIFS(DATA!$M:$M,DATA!$C:$C,$B404,DATA!$N:$N,"&gt;="&amp;DATE($I$2,E$4,1),DATA!$N:$N,"&lt;="&amp;DATE($I$2,E$4,E$5))</f>
        <v/>
      </c>
      <c r="F405" s="321">
        <f>SUMIFS(DATA!$M:$M,DATA!$C:$C,$B404,DATA!$N:$N,"&gt;="&amp;DATE($I$2,F$4,1),DATA!$N:$N,"&lt;="&amp;DATE($I$2,F$4,F$5))</f>
        <v/>
      </c>
      <c r="G405" s="321">
        <f>SUMIFS(DATA!$M:$M,DATA!$C:$C,$B404,DATA!$N:$N,"&gt;="&amp;DATE($I$2,G$4,1),DATA!$N:$N,"&lt;="&amp;DATE($I$2,G$4,G$5))</f>
        <v/>
      </c>
      <c r="H405" s="321">
        <f>SUMIFS(DATA!$M:$M,DATA!$C:$C,$B404,DATA!$N:$N,"&gt;="&amp;DATE($I$2,H$4,1),DATA!$N:$N,"&lt;="&amp;DATE($I$2,H$4,H$5))</f>
        <v/>
      </c>
      <c r="I405" s="321">
        <f>SUMIFS(DATA!$M:$M,DATA!$C:$C,$B404,DATA!$N:$N,"&gt;="&amp;DATE($I$2,I$4,1),DATA!$N:$N,"&lt;="&amp;DATE($I$2,I$4,I$5))</f>
        <v/>
      </c>
      <c r="J405" s="321">
        <f>SUMIFS(DATA!$M:$M,DATA!$C:$C,$B404,DATA!$N:$N,"&gt;="&amp;DATE($I$2,J$4,1),DATA!$N:$N,"&lt;="&amp;DATE($I$2,J$4,J$5))</f>
        <v/>
      </c>
      <c r="K405" s="321">
        <f>SUMIFS(DATA!$M:$M,DATA!$C:$C,$B404,DATA!$N:$N,"&gt;="&amp;DATE($I$2,K$4,1),DATA!$N:$N,"&lt;="&amp;DATE($I$2,K$4,K$5))</f>
        <v/>
      </c>
      <c r="L405" s="321">
        <f>SUMIFS(DATA!$M:$M,DATA!$C:$C,$B404,DATA!$N:$N,"&gt;="&amp;DATE($I$2,L$4,1),DATA!$N:$N,"&lt;="&amp;DATE($I$2,L$4,L$5))</f>
        <v/>
      </c>
      <c r="M405" s="321">
        <f>SUMIFS(DATA!$M:$M,DATA!$C:$C,$B404,DATA!$N:$N,"&gt;="&amp;DATE($I$2,M$4,1),DATA!$N:$N,"&lt;="&amp;DATE($I$2,M$4,M$5))</f>
        <v/>
      </c>
      <c r="N405" s="321">
        <f>SUMIFS(DATA!$M:$M,DATA!$C:$C,$B404,DATA!$N:$N,"&gt;="&amp;DATE($I$2,N$4,1),DATA!$N:$N,"&lt;="&amp;DATE($I$2,N$4,N$5))</f>
        <v/>
      </c>
      <c r="O405" s="321">
        <f>SUMIFS(DATA!$M:$M,DATA!$C:$C,$B404,DATA!$N:$N,"&gt;="&amp;DATE($I$2,O$4,1),DATA!$N:$N,"&lt;="&amp;DATE($I$2,O$4,O$5))</f>
        <v/>
      </c>
      <c r="P405" s="322">
        <f>SUM(D405:O405)</f>
        <v/>
      </c>
      <c r="Q405" s="118" t="n"/>
    </row>
    <row r="406" hidden="1" outlineLevel="1" ht="15" customHeight="1">
      <c r="A406" s="269" t="n">
        <v>201</v>
      </c>
      <c r="B406" s="125" t="n"/>
      <c r="C406" s="119" t="inlineStr">
        <is>
          <t>Kế hoạch</t>
        </is>
      </c>
      <c r="D406" s="321">
        <f>SUMIFS(DATA!$I:$I,DATA!$C:$C,$B406,DATA!$J:$J,"&gt;="&amp;DATE($I$2,D$4,1),DATA!$J:$J,"&lt;="&amp;DATE($I$2,D$4,D$5))</f>
        <v/>
      </c>
      <c r="E406" s="321">
        <f>SUMIFS(DATA!$I:$I,DATA!$C:$C,$B406,DATA!$J:$J,"&gt;="&amp;DATE($I$2,E$4,1),DATA!$J:$J,"&lt;="&amp;DATE($I$2,E$4,E$5))</f>
        <v/>
      </c>
      <c r="F406" s="321">
        <f>SUMIFS(DATA!$I:$I,DATA!$C:$C,$B406,DATA!$J:$J,"&gt;="&amp;DATE($I$2,F$4,1),DATA!$J:$J,"&lt;="&amp;DATE($I$2,F$4,F$5))</f>
        <v/>
      </c>
      <c r="G406" s="321">
        <f>SUMIFS(DATA!$I:$I,DATA!$C:$C,$B406,DATA!$J:$J,"&gt;="&amp;DATE($I$2,G$4,1),DATA!$J:$J,"&lt;="&amp;DATE($I$2,G$4,G$5))</f>
        <v/>
      </c>
      <c r="H406" s="321">
        <f>SUMIFS(DATA!$I:$I,DATA!$C:$C,$B406,DATA!$J:$J,"&gt;="&amp;DATE($I$2,H$4,1),DATA!$J:$J,"&lt;="&amp;DATE($I$2,H$4,H$5))</f>
        <v/>
      </c>
      <c r="I406" s="321">
        <f>SUMIFS(DATA!$I:$I,DATA!$C:$C,$B406,DATA!$J:$J,"&gt;="&amp;DATE($I$2,I$4,1),DATA!$J:$J,"&lt;="&amp;DATE($I$2,I$4,I$5))</f>
        <v/>
      </c>
      <c r="J406" s="321">
        <f>SUMIFS(DATA!$I:$I,DATA!$C:$C,$B406,DATA!$J:$J,"&gt;="&amp;DATE($I$2,J$4,1),DATA!$J:$J,"&lt;="&amp;DATE($I$2,J$4,J$5))</f>
        <v/>
      </c>
      <c r="K406" s="321">
        <f>SUMIFS(DATA!$I:$I,DATA!$C:$C,$B406,DATA!$J:$J,"&gt;="&amp;DATE($I$2,K$4,1),DATA!$J:$J,"&lt;="&amp;DATE($I$2,K$4,K$5))</f>
        <v/>
      </c>
      <c r="L406" s="321">
        <f>SUMIFS(DATA!$I:$I,DATA!$C:$C,$B406,DATA!$J:$J,"&gt;="&amp;DATE($I$2,L$4,1),DATA!$J:$J,"&lt;="&amp;DATE($I$2,L$4,L$5))</f>
        <v/>
      </c>
      <c r="M406" s="321">
        <f>SUMIFS(DATA!$I:$I,DATA!$C:$C,$B406,DATA!$J:$J,"&gt;="&amp;DATE($I$2,M$4,1),DATA!$J:$J,"&lt;="&amp;DATE($I$2,M$4,M$5))</f>
        <v/>
      </c>
      <c r="N406" s="321">
        <f>SUMIFS(DATA!$I:$I,DATA!$C:$C,$B406,DATA!$J:$J,"&gt;="&amp;DATE($I$2,N$4,1),DATA!$J:$J,"&lt;="&amp;DATE($I$2,N$4,N$5))</f>
        <v/>
      </c>
      <c r="O406" s="321">
        <f>SUMIFS(DATA!$I:$I,DATA!$C:$C,$B406,DATA!$J:$J,"&gt;="&amp;DATE($I$2,O$4,1),DATA!$J:$J,"&lt;="&amp;DATE($I$2,O$4,O$5))</f>
        <v/>
      </c>
      <c r="P406" s="322">
        <f>SUM(D406:O406)</f>
        <v/>
      </c>
      <c r="Q406" s="118" t="n"/>
    </row>
    <row r="407" hidden="1" outlineLevel="1" ht="15" customHeight="1">
      <c r="A407" s="266" t="n"/>
      <c r="B407" s="126" t="n"/>
      <c r="C407" s="119" t="inlineStr">
        <is>
          <t>Thực tế</t>
        </is>
      </c>
      <c r="D407" s="321">
        <f>SUMIFS(DATA!$M:$M,DATA!$C:$C,$B406,DATA!$N:$N,"&gt;="&amp;DATE($I$2,D$4,1),DATA!$N:$N,"&lt;="&amp;DATE($I$2,D$4,D$5))</f>
        <v/>
      </c>
      <c r="E407" s="321">
        <f>SUMIFS(DATA!$M:$M,DATA!$C:$C,$B406,DATA!$N:$N,"&gt;="&amp;DATE($I$2,E$4,1),DATA!$N:$N,"&lt;="&amp;DATE($I$2,E$4,E$5))</f>
        <v/>
      </c>
      <c r="F407" s="321">
        <f>SUMIFS(DATA!$M:$M,DATA!$C:$C,$B406,DATA!$N:$N,"&gt;="&amp;DATE($I$2,F$4,1),DATA!$N:$N,"&lt;="&amp;DATE($I$2,F$4,F$5))</f>
        <v/>
      </c>
      <c r="G407" s="321">
        <f>SUMIFS(DATA!$M:$M,DATA!$C:$C,$B406,DATA!$N:$N,"&gt;="&amp;DATE($I$2,G$4,1),DATA!$N:$N,"&lt;="&amp;DATE($I$2,G$4,G$5))</f>
        <v/>
      </c>
      <c r="H407" s="321">
        <f>SUMIFS(DATA!$M:$M,DATA!$C:$C,$B406,DATA!$N:$N,"&gt;="&amp;DATE($I$2,H$4,1),DATA!$N:$N,"&lt;="&amp;DATE($I$2,H$4,H$5))</f>
        <v/>
      </c>
      <c r="I407" s="321">
        <f>SUMIFS(DATA!$M:$M,DATA!$C:$C,$B406,DATA!$N:$N,"&gt;="&amp;DATE($I$2,I$4,1),DATA!$N:$N,"&lt;="&amp;DATE($I$2,I$4,I$5))</f>
        <v/>
      </c>
      <c r="J407" s="321">
        <f>SUMIFS(DATA!$M:$M,DATA!$C:$C,$B406,DATA!$N:$N,"&gt;="&amp;DATE($I$2,J$4,1),DATA!$N:$N,"&lt;="&amp;DATE($I$2,J$4,J$5))</f>
        <v/>
      </c>
      <c r="K407" s="321">
        <f>SUMIFS(DATA!$M:$M,DATA!$C:$C,$B406,DATA!$N:$N,"&gt;="&amp;DATE($I$2,K$4,1),DATA!$N:$N,"&lt;="&amp;DATE($I$2,K$4,K$5))</f>
        <v/>
      </c>
      <c r="L407" s="321">
        <f>SUMIFS(DATA!$M:$M,DATA!$C:$C,$B406,DATA!$N:$N,"&gt;="&amp;DATE($I$2,L$4,1),DATA!$N:$N,"&lt;="&amp;DATE($I$2,L$4,L$5))</f>
        <v/>
      </c>
      <c r="M407" s="321">
        <f>SUMIFS(DATA!$M:$M,DATA!$C:$C,$B406,DATA!$N:$N,"&gt;="&amp;DATE($I$2,M$4,1),DATA!$N:$N,"&lt;="&amp;DATE($I$2,M$4,M$5))</f>
        <v/>
      </c>
      <c r="N407" s="321">
        <f>SUMIFS(DATA!$M:$M,DATA!$C:$C,$B406,DATA!$N:$N,"&gt;="&amp;DATE($I$2,N$4,1),DATA!$N:$N,"&lt;="&amp;DATE($I$2,N$4,N$5))</f>
        <v/>
      </c>
      <c r="O407" s="321">
        <f>SUMIFS(DATA!$M:$M,DATA!$C:$C,$B406,DATA!$N:$N,"&gt;="&amp;DATE($I$2,O$4,1),DATA!$N:$N,"&lt;="&amp;DATE($I$2,O$4,O$5))</f>
        <v/>
      </c>
      <c r="P407" s="322">
        <f>SUM(D407:O407)</f>
        <v/>
      </c>
      <c r="Q407" s="118" t="n"/>
    </row>
    <row r="408" hidden="1" outlineLevel="1" ht="15" customHeight="1">
      <c r="A408" s="269" t="n">
        <v>202</v>
      </c>
      <c r="B408" s="125" t="n"/>
      <c r="C408" s="119" t="inlineStr">
        <is>
          <t>Kế hoạch</t>
        </is>
      </c>
      <c r="D408" s="321">
        <f>SUMIFS(DATA!$I:$I,DATA!$C:$C,$B408,DATA!$J:$J,"&gt;="&amp;DATE($I$2,D$4,1),DATA!$J:$J,"&lt;="&amp;DATE($I$2,D$4,D$5))</f>
        <v/>
      </c>
      <c r="E408" s="321">
        <f>SUMIFS(DATA!$I:$I,DATA!$C:$C,$B408,DATA!$J:$J,"&gt;="&amp;DATE($I$2,E$4,1),DATA!$J:$J,"&lt;="&amp;DATE($I$2,E$4,E$5))</f>
        <v/>
      </c>
      <c r="F408" s="321">
        <f>SUMIFS(DATA!$I:$I,DATA!$C:$C,$B408,DATA!$J:$J,"&gt;="&amp;DATE($I$2,F$4,1),DATA!$J:$J,"&lt;="&amp;DATE($I$2,F$4,F$5))</f>
        <v/>
      </c>
      <c r="G408" s="321">
        <f>SUMIFS(DATA!$I:$I,DATA!$C:$C,$B408,DATA!$J:$J,"&gt;="&amp;DATE($I$2,G$4,1),DATA!$J:$J,"&lt;="&amp;DATE($I$2,G$4,G$5))</f>
        <v/>
      </c>
      <c r="H408" s="321">
        <f>SUMIFS(DATA!$I:$I,DATA!$C:$C,$B408,DATA!$J:$J,"&gt;="&amp;DATE($I$2,H$4,1),DATA!$J:$J,"&lt;="&amp;DATE($I$2,H$4,H$5))</f>
        <v/>
      </c>
      <c r="I408" s="321">
        <f>SUMIFS(DATA!$I:$I,DATA!$C:$C,$B408,DATA!$J:$J,"&gt;="&amp;DATE($I$2,I$4,1),DATA!$J:$J,"&lt;="&amp;DATE($I$2,I$4,I$5))</f>
        <v/>
      </c>
      <c r="J408" s="321">
        <f>SUMIFS(DATA!$I:$I,DATA!$C:$C,$B408,DATA!$J:$J,"&gt;="&amp;DATE($I$2,J$4,1),DATA!$J:$J,"&lt;="&amp;DATE($I$2,J$4,J$5))</f>
        <v/>
      </c>
      <c r="K408" s="321">
        <f>SUMIFS(DATA!$I:$I,DATA!$C:$C,$B408,DATA!$J:$J,"&gt;="&amp;DATE($I$2,K$4,1),DATA!$J:$J,"&lt;="&amp;DATE($I$2,K$4,K$5))</f>
        <v/>
      </c>
      <c r="L408" s="321">
        <f>SUMIFS(DATA!$I:$I,DATA!$C:$C,$B408,DATA!$J:$J,"&gt;="&amp;DATE($I$2,L$4,1),DATA!$J:$J,"&lt;="&amp;DATE($I$2,L$4,L$5))</f>
        <v/>
      </c>
      <c r="M408" s="321">
        <f>SUMIFS(DATA!$I:$I,DATA!$C:$C,$B408,DATA!$J:$J,"&gt;="&amp;DATE($I$2,M$4,1),DATA!$J:$J,"&lt;="&amp;DATE($I$2,M$4,M$5))</f>
        <v/>
      </c>
      <c r="N408" s="321">
        <f>SUMIFS(DATA!$I:$I,DATA!$C:$C,$B408,DATA!$J:$J,"&gt;="&amp;DATE($I$2,N$4,1),DATA!$J:$J,"&lt;="&amp;DATE($I$2,N$4,N$5))</f>
        <v/>
      </c>
      <c r="O408" s="321">
        <f>SUMIFS(DATA!$I:$I,DATA!$C:$C,$B408,DATA!$J:$J,"&gt;="&amp;DATE($I$2,O$4,1),DATA!$J:$J,"&lt;="&amp;DATE($I$2,O$4,O$5))</f>
        <v/>
      </c>
      <c r="P408" s="322">
        <f>SUM(D408:O408)</f>
        <v/>
      </c>
      <c r="Q408" s="118" t="n"/>
    </row>
    <row r="409" hidden="1" outlineLevel="1" ht="15" customHeight="1">
      <c r="A409" s="266" t="n"/>
      <c r="B409" s="126" t="n"/>
      <c r="C409" s="119" t="inlineStr">
        <is>
          <t>Thực tế</t>
        </is>
      </c>
      <c r="D409" s="321">
        <f>SUMIFS(DATA!$M:$M,DATA!$C:$C,$B408,DATA!$N:$N,"&gt;="&amp;DATE($I$2,D$4,1),DATA!$N:$N,"&lt;="&amp;DATE($I$2,D$4,D$5))</f>
        <v/>
      </c>
      <c r="E409" s="321">
        <f>SUMIFS(DATA!$M:$M,DATA!$C:$C,$B408,DATA!$N:$N,"&gt;="&amp;DATE($I$2,E$4,1),DATA!$N:$N,"&lt;="&amp;DATE($I$2,E$4,E$5))</f>
        <v/>
      </c>
      <c r="F409" s="321">
        <f>SUMIFS(DATA!$M:$M,DATA!$C:$C,$B408,DATA!$N:$N,"&gt;="&amp;DATE($I$2,F$4,1),DATA!$N:$N,"&lt;="&amp;DATE($I$2,F$4,F$5))</f>
        <v/>
      </c>
      <c r="G409" s="321">
        <f>SUMIFS(DATA!$M:$M,DATA!$C:$C,$B408,DATA!$N:$N,"&gt;="&amp;DATE($I$2,G$4,1),DATA!$N:$N,"&lt;="&amp;DATE($I$2,G$4,G$5))</f>
        <v/>
      </c>
      <c r="H409" s="321">
        <f>SUMIFS(DATA!$M:$M,DATA!$C:$C,$B408,DATA!$N:$N,"&gt;="&amp;DATE($I$2,H$4,1),DATA!$N:$N,"&lt;="&amp;DATE($I$2,H$4,H$5))</f>
        <v/>
      </c>
      <c r="I409" s="321">
        <f>SUMIFS(DATA!$M:$M,DATA!$C:$C,$B408,DATA!$N:$N,"&gt;="&amp;DATE($I$2,I$4,1),DATA!$N:$N,"&lt;="&amp;DATE($I$2,I$4,I$5))</f>
        <v/>
      </c>
      <c r="J409" s="321">
        <f>SUMIFS(DATA!$M:$M,DATA!$C:$C,$B408,DATA!$N:$N,"&gt;="&amp;DATE($I$2,J$4,1),DATA!$N:$N,"&lt;="&amp;DATE($I$2,J$4,J$5))</f>
        <v/>
      </c>
      <c r="K409" s="321">
        <f>SUMIFS(DATA!$M:$M,DATA!$C:$C,$B408,DATA!$N:$N,"&gt;="&amp;DATE($I$2,K$4,1),DATA!$N:$N,"&lt;="&amp;DATE($I$2,K$4,K$5))</f>
        <v/>
      </c>
      <c r="L409" s="321">
        <f>SUMIFS(DATA!$M:$M,DATA!$C:$C,$B408,DATA!$N:$N,"&gt;="&amp;DATE($I$2,L$4,1),DATA!$N:$N,"&lt;="&amp;DATE($I$2,L$4,L$5))</f>
        <v/>
      </c>
      <c r="M409" s="321">
        <f>SUMIFS(DATA!$M:$M,DATA!$C:$C,$B408,DATA!$N:$N,"&gt;="&amp;DATE($I$2,M$4,1),DATA!$N:$N,"&lt;="&amp;DATE($I$2,M$4,M$5))</f>
        <v/>
      </c>
      <c r="N409" s="321">
        <f>SUMIFS(DATA!$M:$M,DATA!$C:$C,$B408,DATA!$N:$N,"&gt;="&amp;DATE($I$2,N$4,1),DATA!$N:$N,"&lt;="&amp;DATE($I$2,N$4,N$5))</f>
        <v/>
      </c>
      <c r="O409" s="321">
        <f>SUMIFS(DATA!$M:$M,DATA!$C:$C,$B408,DATA!$N:$N,"&gt;="&amp;DATE($I$2,O$4,1),DATA!$N:$N,"&lt;="&amp;DATE($I$2,O$4,O$5))</f>
        <v/>
      </c>
      <c r="P409" s="322">
        <f>SUM(D409:O409)</f>
        <v/>
      </c>
      <c r="Q409" s="118" t="n"/>
    </row>
    <row r="410" hidden="1" outlineLevel="1" ht="15" customHeight="1">
      <c r="A410" s="269" t="n">
        <v>203</v>
      </c>
      <c r="B410" s="125" t="n"/>
      <c r="C410" s="119" t="inlineStr">
        <is>
          <t>Kế hoạch</t>
        </is>
      </c>
      <c r="D410" s="321">
        <f>SUMIFS(DATA!$I:$I,DATA!$C:$C,$B410,DATA!$J:$J,"&gt;="&amp;DATE($I$2,D$4,1),DATA!$J:$J,"&lt;="&amp;DATE($I$2,D$4,D$5))</f>
        <v/>
      </c>
      <c r="E410" s="321">
        <f>SUMIFS(DATA!$I:$I,DATA!$C:$C,$B410,DATA!$J:$J,"&gt;="&amp;DATE($I$2,E$4,1),DATA!$J:$J,"&lt;="&amp;DATE($I$2,E$4,E$5))</f>
        <v/>
      </c>
      <c r="F410" s="321">
        <f>SUMIFS(DATA!$I:$I,DATA!$C:$C,$B410,DATA!$J:$J,"&gt;="&amp;DATE($I$2,F$4,1),DATA!$J:$J,"&lt;="&amp;DATE($I$2,F$4,F$5))</f>
        <v/>
      </c>
      <c r="G410" s="321">
        <f>SUMIFS(DATA!$I:$I,DATA!$C:$C,$B410,DATA!$J:$J,"&gt;="&amp;DATE($I$2,G$4,1),DATA!$J:$J,"&lt;="&amp;DATE($I$2,G$4,G$5))</f>
        <v/>
      </c>
      <c r="H410" s="321">
        <f>SUMIFS(DATA!$I:$I,DATA!$C:$C,$B410,DATA!$J:$J,"&gt;="&amp;DATE($I$2,H$4,1),DATA!$J:$J,"&lt;="&amp;DATE($I$2,H$4,H$5))</f>
        <v/>
      </c>
      <c r="I410" s="321">
        <f>SUMIFS(DATA!$I:$I,DATA!$C:$C,$B410,DATA!$J:$J,"&gt;="&amp;DATE($I$2,I$4,1),DATA!$J:$J,"&lt;="&amp;DATE($I$2,I$4,I$5))</f>
        <v/>
      </c>
      <c r="J410" s="321">
        <f>SUMIFS(DATA!$I:$I,DATA!$C:$C,$B410,DATA!$J:$J,"&gt;="&amp;DATE($I$2,J$4,1),DATA!$J:$J,"&lt;="&amp;DATE($I$2,J$4,J$5))</f>
        <v/>
      </c>
      <c r="K410" s="321">
        <f>SUMIFS(DATA!$I:$I,DATA!$C:$C,$B410,DATA!$J:$J,"&gt;="&amp;DATE($I$2,K$4,1),DATA!$J:$J,"&lt;="&amp;DATE($I$2,K$4,K$5))</f>
        <v/>
      </c>
      <c r="L410" s="321">
        <f>SUMIFS(DATA!$I:$I,DATA!$C:$C,$B410,DATA!$J:$J,"&gt;="&amp;DATE($I$2,L$4,1),DATA!$J:$J,"&lt;="&amp;DATE($I$2,L$4,L$5))</f>
        <v/>
      </c>
      <c r="M410" s="321">
        <f>SUMIFS(DATA!$I:$I,DATA!$C:$C,$B410,DATA!$J:$J,"&gt;="&amp;DATE($I$2,M$4,1),DATA!$J:$J,"&lt;="&amp;DATE($I$2,M$4,M$5))</f>
        <v/>
      </c>
      <c r="N410" s="321">
        <f>SUMIFS(DATA!$I:$I,DATA!$C:$C,$B410,DATA!$J:$J,"&gt;="&amp;DATE($I$2,N$4,1),DATA!$J:$J,"&lt;="&amp;DATE($I$2,N$4,N$5))</f>
        <v/>
      </c>
      <c r="O410" s="321">
        <f>SUMIFS(DATA!$I:$I,DATA!$C:$C,$B410,DATA!$J:$J,"&gt;="&amp;DATE($I$2,O$4,1),DATA!$J:$J,"&lt;="&amp;DATE($I$2,O$4,O$5))</f>
        <v/>
      </c>
      <c r="P410" s="322">
        <f>SUM(D410:O410)</f>
        <v/>
      </c>
      <c r="Q410" s="118" t="n"/>
    </row>
    <row r="411" hidden="1" outlineLevel="1" ht="15" customHeight="1">
      <c r="A411" s="266" t="n"/>
      <c r="B411" s="126" t="n"/>
      <c r="C411" s="119" t="inlineStr">
        <is>
          <t>Thực tế</t>
        </is>
      </c>
      <c r="D411" s="321">
        <f>SUMIFS(DATA!$M:$M,DATA!$C:$C,$B410,DATA!$N:$N,"&gt;="&amp;DATE($I$2,D$4,1),DATA!$N:$N,"&lt;="&amp;DATE($I$2,D$4,D$5))</f>
        <v/>
      </c>
      <c r="E411" s="321">
        <f>SUMIFS(DATA!$M:$M,DATA!$C:$C,$B410,DATA!$N:$N,"&gt;="&amp;DATE($I$2,E$4,1),DATA!$N:$N,"&lt;="&amp;DATE($I$2,E$4,E$5))</f>
        <v/>
      </c>
      <c r="F411" s="321">
        <f>SUMIFS(DATA!$M:$M,DATA!$C:$C,$B410,DATA!$N:$N,"&gt;="&amp;DATE($I$2,F$4,1),DATA!$N:$N,"&lt;="&amp;DATE($I$2,F$4,F$5))</f>
        <v/>
      </c>
      <c r="G411" s="321">
        <f>SUMIFS(DATA!$M:$M,DATA!$C:$C,$B410,DATA!$N:$N,"&gt;="&amp;DATE($I$2,G$4,1),DATA!$N:$N,"&lt;="&amp;DATE($I$2,G$4,G$5))</f>
        <v/>
      </c>
      <c r="H411" s="321">
        <f>SUMIFS(DATA!$M:$M,DATA!$C:$C,$B410,DATA!$N:$N,"&gt;="&amp;DATE($I$2,H$4,1),DATA!$N:$N,"&lt;="&amp;DATE($I$2,H$4,H$5))</f>
        <v/>
      </c>
      <c r="I411" s="321">
        <f>SUMIFS(DATA!$M:$M,DATA!$C:$C,$B410,DATA!$N:$N,"&gt;="&amp;DATE($I$2,I$4,1),DATA!$N:$N,"&lt;="&amp;DATE($I$2,I$4,I$5))</f>
        <v/>
      </c>
      <c r="J411" s="321">
        <f>SUMIFS(DATA!$M:$M,DATA!$C:$C,$B410,DATA!$N:$N,"&gt;="&amp;DATE($I$2,J$4,1),DATA!$N:$N,"&lt;="&amp;DATE($I$2,J$4,J$5))</f>
        <v/>
      </c>
      <c r="K411" s="321">
        <f>SUMIFS(DATA!$M:$M,DATA!$C:$C,$B410,DATA!$N:$N,"&gt;="&amp;DATE($I$2,K$4,1),DATA!$N:$N,"&lt;="&amp;DATE($I$2,K$4,K$5))</f>
        <v/>
      </c>
      <c r="L411" s="321">
        <f>SUMIFS(DATA!$M:$M,DATA!$C:$C,$B410,DATA!$N:$N,"&gt;="&amp;DATE($I$2,L$4,1),DATA!$N:$N,"&lt;="&amp;DATE($I$2,L$4,L$5))</f>
        <v/>
      </c>
      <c r="M411" s="321">
        <f>SUMIFS(DATA!$M:$M,DATA!$C:$C,$B410,DATA!$N:$N,"&gt;="&amp;DATE($I$2,M$4,1),DATA!$N:$N,"&lt;="&amp;DATE($I$2,M$4,M$5))</f>
        <v/>
      </c>
      <c r="N411" s="321">
        <f>SUMIFS(DATA!$M:$M,DATA!$C:$C,$B410,DATA!$N:$N,"&gt;="&amp;DATE($I$2,N$4,1),DATA!$N:$N,"&lt;="&amp;DATE($I$2,N$4,N$5))</f>
        <v/>
      </c>
      <c r="O411" s="321">
        <f>SUMIFS(DATA!$M:$M,DATA!$C:$C,$B410,DATA!$N:$N,"&gt;="&amp;DATE($I$2,O$4,1),DATA!$N:$N,"&lt;="&amp;DATE($I$2,O$4,O$5))</f>
        <v/>
      </c>
      <c r="P411" s="322">
        <f>SUM(D411:O411)</f>
        <v/>
      </c>
      <c r="Q411" s="118" t="n"/>
    </row>
    <row r="412" hidden="1" outlineLevel="1" ht="15" customHeight="1">
      <c r="A412" s="269" t="n">
        <v>204</v>
      </c>
      <c r="B412" s="125" t="n"/>
      <c r="C412" s="119" t="inlineStr">
        <is>
          <t>Kế hoạch</t>
        </is>
      </c>
      <c r="D412" s="321">
        <f>SUMIFS(DATA!$I:$I,DATA!$C:$C,$B412,DATA!$J:$J,"&gt;="&amp;DATE($I$2,D$4,1),DATA!$J:$J,"&lt;="&amp;DATE($I$2,D$4,D$5))</f>
        <v/>
      </c>
      <c r="E412" s="321">
        <f>SUMIFS(DATA!$I:$I,DATA!$C:$C,$B412,DATA!$J:$J,"&gt;="&amp;DATE($I$2,E$4,1),DATA!$J:$J,"&lt;="&amp;DATE($I$2,E$4,E$5))</f>
        <v/>
      </c>
      <c r="F412" s="321">
        <f>SUMIFS(DATA!$I:$I,DATA!$C:$C,$B412,DATA!$J:$J,"&gt;="&amp;DATE($I$2,F$4,1),DATA!$J:$J,"&lt;="&amp;DATE($I$2,F$4,F$5))</f>
        <v/>
      </c>
      <c r="G412" s="321">
        <f>SUMIFS(DATA!$I:$I,DATA!$C:$C,$B412,DATA!$J:$J,"&gt;="&amp;DATE($I$2,G$4,1),DATA!$J:$J,"&lt;="&amp;DATE($I$2,G$4,G$5))</f>
        <v/>
      </c>
      <c r="H412" s="321">
        <f>SUMIFS(DATA!$I:$I,DATA!$C:$C,$B412,DATA!$J:$J,"&gt;="&amp;DATE($I$2,H$4,1),DATA!$J:$J,"&lt;="&amp;DATE($I$2,H$4,H$5))</f>
        <v/>
      </c>
      <c r="I412" s="321">
        <f>SUMIFS(DATA!$I:$I,DATA!$C:$C,$B412,DATA!$J:$J,"&gt;="&amp;DATE($I$2,I$4,1),DATA!$J:$J,"&lt;="&amp;DATE($I$2,I$4,I$5))</f>
        <v/>
      </c>
      <c r="J412" s="321">
        <f>SUMIFS(DATA!$I:$I,DATA!$C:$C,$B412,DATA!$J:$J,"&gt;="&amp;DATE($I$2,J$4,1),DATA!$J:$J,"&lt;="&amp;DATE($I$2,J$4,J$5))</f>
        <v/>
      </c>
      <c r="K412" s="321">
        <f>SUMIFS(DATA!$I:$I,DATA!$C:$C,$B412,DATA!$J:$J,"&gt;="&amp;DATE($I$2,K$4,1),DATA!$J:$J,"&lt;="&amp;DATE($I$2,K$4,K$5))</f>
        <v/>
      </c>
      <c r="L412" s="321">
        <f>SUMIFS(DATA!$I:$I,DATA!$C:$C,$B412,DATA!$J:$J,"&gt;="&amp;DATE($I$2,L$4,1),DATA!$J:$J,"&lt;="&amp;DATE($I$2,L$4,L$5))</f>
        <v/>
      </c>
      <c r="M412" s="321">
        <f>SUMIFS(DATA!$I:$I,DATA!$C:$C,$B412,DATA!$J:$J,"&gt;="&amp;DATE($I$2,M$4,1),DATA!$J:$J,"&lt;="&amp;DATE($I$2,M$4,M$5))</f>
        <v/>
      </c>
      <c r="N412" s="321">
        <f>SUMIFS(DATA!$I:$I,DATA!$C:$C,$B412,DATA!$J:$J,"&gt;="&amp;DATE($I$2,N$4,1),DATA!$J:$J,"&lt;="&amp;DATE($I$2,N$4,N$5))</f>
        <v/>
      </c>
      <c r="O412" s="321">
        <f>SUMIFS(DATA!$I:$I,DATA!$C:$C,$B412,DATA!$J:$J,"&gt;="&amp;DATE($I$2,O$4,1),DATA!$J:$J,"&lt;="&amp;DATE($I$2,O$4,O$5))</f>
        <v/>
      </c>
      <c r="P412" s="322">
        <f>SUM(D412:O412)</f>
        <v/>
      </c>
      <c r="Q412" s="118" t="n"/>
    </row>
    <row r="413" hidden="1" outlineLevel="1" ht="15" customHeight="1">
      <c r="A413" s="266" t="n"/>
      <c r="B413" s="126" t="n"/>
      <c r="C413" s="119" t="inlineStr">
        <is>
          <t>Thực tế</t>
        </is>
      </c>
      <c r="D413" s="321">
        <f>SUMIFS(DATA!$M:$M,DATA!$C:$C,$B412,DATA!$N:$N,"&gt;="&amp;DATE($I$2,D$4,1),DATA!$N:$N,"&lt;="&amp;DATE($I$2,D$4,D$5))</f>
        <v/>
      </c>
      <c r="E413" s="321">
        <f>SUMIFS(DATA!$M:$M,DATA!$C:$C,$B412,DATA!$N:$N,"&gt;="&amp;DATE($I$2,E$4,1),DATA!$N:$N,"&lt;="&amp;DATE($I$2,E$4,E$5))</f>
        <v/>
      </c>
      <c r="F413" s="321">
        <f>SUMIFS(DATA!$M:$M,DATA!$C:$C,$B412,DATA!$N:$N,"&gt;="&amp;DATE($I$2,F$4,1),DATA!$N:$N,"&lt;="&amp;DATE($I$2,F$4,F$5))</f>
        <v/>
      </c>
      <c r="G413" s="321">
        <f>SUMIFS(DATA!$M:$M,DATA!$C:$C,$B412,DATA!$N:$N,"&gt;="&amp;DATE($I$2,G$4,1),DATA!$N:$N,"&lt;="&amp;DATE($I$2,G$4,G$5))</f>
        <v/>
      </c>
      <c r="H413" s="321">
        <f>SUMIFS(DATA!$M:$M,DATA!$C:$C,$B412,DATA!$N:$N,"&gt;="&amp;DATE($I$2,H$4,1),DATA!$N:$N,"&lt;="&amp;DATE($I$2,H$4,H$5))</f>
        <v/>
      </c>
      <c r="I413" s="321">
        <f>SUMIFS(DATA!$M:$M,DATA!$C:$C,$B412,DATA!$N:$N,"&gt;="&amp;DATE($I$2,I$4,1),DATA!$N:$N,"&lt;="&amp;DATE($I$2,I$4,I$5))</f>
        <v/>
      </c>
      <c r="J413" s="321">
        <f>SUMIFS(DATA!$M:$M,DATA!$C:$C,$B412,DATA!$N:$N,"&gt;="&amp;DATE($I$2,J$4,1),DATA!$N:$N,"&lt;="&amp;DATE($I$2,J$4,J$5))</f>
        <v/>
      </c>
      <c r="K413" s="321">
        <f>SUMIFS(DATA!$M:$M,DATA!$C:$C,$B412,DATA!$N:$N,"&gt;="&amp;DATE($I$2,K$4,1),DATA!$N:$N,"&lt;="&amp;DATE($I$2,K$4,K$5))</f>
        <v/>
      </c>
      <c r="L413" s="321">
        <f>SUMIFS(DATA!$M:$M,DATA!$C:$C,$B412,DATA!$N:$N,"&gt;="&amp;DATE($I$2,L$4,1),DATA!$N:$N,"&lt;="&amp;DATE($I$2,L$4,L$5))</f>
        <v/>
      </c>
      <c r="M413" s="321">
        <f>SUMIFS(DATA!$M:$M,DATA!$C:$C,$B412,DATA!$N:$N,"&gt;="&amp;DATE($I$2,M$4,1),DATA!$N:$N,"&lt;="&amp;DATE($I$2,M$4,M$5))</f>
        <v/>
      </c>
      <c r="N413" s="321">
        <f>SUMIFS(DATA!$M:$M,DATA!$C:$C,$B412,DATA!$N:$N,"&gt;="&amp;DATE($I$2,N$4,1),DATA!$N:$N,"&lt;="&amp;DATE($I$2,N$4,N$5))</f>
        <v/>
      </c>
      <c r="O413" s="321">
        <f>SUMIFS(DATA!$M:$M,DATA!$C:$C,$B412,DATA!$N:$N,"&gt;="&amp;DATE($I$2,O$4,1),DATA!$N:$N,"&lt;="&amp;DATE($I$2,O$4,O$5))</f>
        <v/>
      </c>
      <c r="P413" s="322">
        <f>SUM(D413:O413)</f>
        <v/>
      </c>
      <c r="Q413" s="118" t="n"/>
    </row>
    <row r="414" hidden="1" outlineLevel="1" ht="15" customHeight="1">
      <c r="A414" s="269" t="n">
        <v>205</v>
      </c>
      <c r="B414" s="125" t="n"/>
      <c r="C414" s="119" t="inlineStr">
        <is>
          <t>Kế hoạch</t>
        </is>
      </c>
      <c r="D414" s="321">
        <f>SUMIFS(DATA!$I:$I,DATA!$C:$C,$B414,DATA!$J:$J,"&gt;="&amp;DATE($I$2,D$4,1),DATA!$J:$J,"&lt;="&amp;DATE($I$2,D$4,D$5))</f>
        <v/>
      </c>
      <c r="E414" s="321">
        <f>SUMIFS(DATA!$I:$I,DATA!$C:$C,$B414,DATA!$J:$J,"&gt;="&amp;DATE($I$2,E$4,1),DATA!$J:$J,"&lt;="&amp;DATE($I$2,E$4,E$5))</f>
        <v/>
      </c>
      <c r="F414" s="321">
        <f>SUMIFS(DATA!$I:$I,DATA!$C:$C,$B414,DATA!$J:$J,"&gt;="&amp;DATE($I$2,F$4,1),DATA!$J:$J,"&lt;="&amp;DATE($I$2,F$4,F$5))</f>
        <v/>
      </c>
      <c r="G414" s="321">
        <f>SUMIFS(DATA!$I:$I,DATA!$C:$C,$B414,DATA!$J:$J,"&gt;="&amp;DATE($I$2,G$4,1),DATA!$J:$J,"&lt;="&amp;DATE($I$2,G$4,G$5))</f>
        <v/>
      </c>
      <c r="H414" s="321">
        <f>SUMIFS(DATA!$I:$I,DATA!$C:$C,$B414,DATA!$J:$J,"&gt;="&amp;DATE($I$2,H$4,1),DATA!$J:$J,"&lt;="&amp;DATE($I$2,H$4,H$5))</f>
        <v/>
      </c>
      <c r="I414" s="321">
        <f>SUMIFS(DATA!$I:$I,DATA!$C:$C,$B414,DATA!$J:$J,"&gt;="&amp;DATE($I$2,I$4,1),DATA!$J:$J,"&lt;="&amp;DATE($I$2,I$4,I$5))</f>
        <v/>
      </c>
      <c r="J414" s="321">
        <f>SUMIFS(DATA!$I:$I,DATA!$C:$C,$B414,DATA!$J:$J,"&gt;="&amp;DATE($I$2,J$4,1),DATA!$J:$J,"&lt;="&amp;DATE($I$2,J$4,J$5))</f>
        <v/>
      </c>
      <c r="K414" s="321">
        <f>SUMIFS(DATA!$I:$I,DATA!$C:$C,$B414,DATA!$J:$J,"&gt;="&amp;DATE($I$2,K$4,1),DATA!$J:$J,"&lt;="&amp;DATE($I$2,K$4,K$5))</f>
        <v/>
      </c>
      <c r="L414" s="321">
        <f>SUMIFS(DATA!$I:$I,DATA!$C:$C,$B414,DATA!$J:$J,"&gt;="&amp;DATE($I$2,L$4,1),DATA!$J:$J,"&lt;="&amp;DATE($I$2,L$4,L$5))</f>
        <v/>
      </c>
      <c r="M414" s="321">
        <f>SUMIFS(DATA!$I:$I,DATA!$C:$C,$B414,DATA!$J:$J,"&gt;="&amp;DATE($I$2,M$4,1),DATA!$J:$J,"&lt;="&amp;DATE($I$2,M$4,M$5))</f>
        <v/>
      </c>
      <c r="N414" s="321">
        <f>SUMIFS(DATA!$I:$I,DATA!$C:$C,$B414,DATA!$J:$J,"&gt;="&amp;DATE($I$2,N$4,1),DATA!$J:$J,"&lt;="&amp;DATE($I$2,N$4,N$5))</f>
        <v/>
      </c>
      <c r="O414" s="321">
        <f>SUMIFS(DATA!$I:$I,DATA!$C:$C,$B414,DATA!$J:$J,"&gt;="&amp;DATE($I$2,O$4,1),DATA!$J:$J,"&lt;="&amp;DATE($I$2,O$4,O$5))</f>
        <v/>
      </c>
      <c r="P414" s="322">
        <f>SUM(D414:O414)</f>
        <v/>
      </c>
      <c r="Q414" s="118" t="n"/>
    </row>
    <row r="415" hidden="1" outlineLevel="1" ht="15" customHeight="1">
      <c r="A415" s="266" t="n"/>
      <c r="B415" s="126" t="n"/>
      <c r="C415" s="119" t="inlineStr">
        <is>
          <t>Thực tế</t>
        </is>
      </c>
      <c r="D415" s="321">
        <f>SUMIFS(DATA!$M:$M,DATA!$C:$C,$B414,DATA!$N:$N,"&gt;="&amp;DATE($I$2,D$4,1),DATA!$N:$N,"&lt;="&amp;DATE($I$2,D$4,D$5))</f>
        <v/>
      </c>
      <c r="E415" s="321">
        <f>SUMIFS(DATA!$M:$M,DATA!$C:$C,$B414,DATA!$N:$N,"&gt;="&amp;DATE($I$2,E$4,1),DATA!$N:$N,"&lt;="&amp;DATE($I$2,E$4,E$5))</f>
        <v/>
      </c>
      <c r="F415" s="321">
        <f>SUMIFS(DATA!$M:$M,DATA!$C:$C,$B414,DATA!$N:$N,"&gt;="&amp;DATE($I$2,F$4,1),DATA!$N:$N,"&lt;="&amp;DATE($I$2,F$4,F$5))</f>
        <v/>
      </c>
      <c r="G415" s="321">
        <f>SUMIFS(DATA!$M:$M,DATA!$C:$C,$B414,DATA!$N:$N,"&gt;="&amp;DATE($I$2,G$4,1),DATA!$N:$N,"&lt;="&amp;DATE($I$2,G$4,G$5))</f>
        <v/>
      </c>
      <c r="H415" s="321">
        <f>SUMIFS(DATA!$M:$M,DATA!$C:$C,$B414,DATA!$N:$N,"&gt;="&amp;DATE($I$2,H$4,1),DATA!$N:$N,"&lt;="&amp;DATE($I$2,H$4,H$5))</f>
        <v/>
      </c>
      <c r="I415" s="321">
        <f>SUMIFS(DATA!$M:$M,DATA!$C:$C,$B414,DATA!$N:$N,"&gt;="&amp;DATE($I$2,I$4,1),DATA!$N:$N,"&lt;="&amp;DATE($I$2,I$4,I$5))</f>
        <v/>
      </c>
      <c r="J415" s="321">
        <f>SUMIFS(DATA!$M:$M,DATA!$C:$C,$B414,DATA!$N:$N,"&gt;="&amp;DATE($I$2,J$4,1),DATA!$N:$N,"&lt;="&amp;DATE($I$2,J$4,J$5))</f>
        <v/>
      </c>
      <c r="K415" s="321">
        <f>SUMIFS(DATA!$M:$M,DATA!$C:$C,$B414,DATA!$N:$N,"&gt;="&amp;DATE($I$2,K$4,1),DATA!$N:$N,"&lt;="&amp;DATE($I$2,K$4,K$5))</f>
        <v/>
      </c>
      <c r="L415" s="321">
        <f>SUMIFS(DATA!$M:$M,DATA!$C:$C,$B414,DATA!$N:$N,"&gt;="&amp;DATE($I$2,L$4,1),DATA!$N:$N,"&lt;="&amp;DATE($I$2,L$4,L$5))</f>
        <v/>
      </c>
      <c r="M415" s="321">
        <f>SUMIFS(DATA!$M:$M,DATA!$C:$C,$B414,DATA!$N:$N,"&gt;="&amp;DATE($I$2,M$4,1),DATA!$N:$N,"&lt;="&amp;DATE($I$2,M$4,M$5))</f>
        <v/>
      </c>
      <c r="N415" s="321">
        <f>SUMIFS(DATA!$M:$M,DATA!$C:$C,$B414,DATA!$N:$N,"&gt;="&amp;DATE($I$2,N$4,1),DATA!$N:$N,"&lt;="&amp;DATE($I$2,N$4,N$5))</f>
        <v/>
      </c>
      <c r="O415" s="321">
        <f>SUMIFS(DATA!$M:$M,DATA!$C:$C,$B414,DATA!$N:$N,"&gt;="&amp;DATE($I$2,O$4,1),DATA!$N:$N,"&lt;="&amp;DATE($I$2,O$4,O$5))</f>
        <v/>
      </c>
      <c r="P415" s="322">
        <f>SUM(D415:O415)</f>
        <v/>
      </c>
      <c r="Q415" s="118" t="n"/>
    </row>
    <row r="416" hidden="1" outlineLevel="1" ht="15" customHeight="1">
      <c r="A416" s="269" t="n">
        <v>206</v>
      </c>
      <c r="B416" s="125" t="n"/>
      <c r="C416" s="119" t="inlineStr">
        <is>
          <t>Kế hoạch</t>
        </is>
      </c>
      <c r="D416" s="321">
        <f>SUMIFS(DATA!$I:$I,DATA!$C:$C,$B416,DATA!$J:$J,"&gt;="&amp;DATE($I$2,D$4,1),DATA!$J:$J,"&lt;="&amp;DATE($I$2,D$4,D$5))</f>
        <v/>
      </c>
      <c r="E416" s="321">
        <f>SUMIFS(DATA!$I:$I,DATA!$C:$C,$B416,DATA!$J:$J,"&gt;="&amp;DATE($I$2,E$4,1),DATA!$J:$J,"&lt;="&amp;DATE($I$2,E$4,E$5))</f>
        <v/>
      </c>
      <c r="F416" s="321">
        <f>SUMIFS(DATA!$I:$I,DATA!$C:$C,$B416,DATA!$J:$J,"&gt;="&amp;DATE($I$2,F$4,1),DATA!$J:$J,"&lt;="&amp;DATE($I$2,F$4,F$5))</f>
        <v/>
      </c>
      <c r="G416" s="321">
        <f>SUMIFS(DATA!$I:$I,DATA!$C:$C,$B416,DATA!$J:$J,"&gt;="&amp;DATE($I$2,G$4,1),DATA!$J:$J,"&lt;="&amp;DATE($I$2,G$4,G$5))</f>
        <v/>
      </c>
      <c r="H416" s="321">
        <f>SUMIFS(DATA!$I:$I,DATA!$C:$C,$B416,DATA!$J:$J,"&gt;="&amp;DATE($I$2,H$4,1),DATA!$J:$J,"&lt;="&amp;DATE($I$2,H$4,H$5))</f>
        <v/>
      </c>
      <c r="I416" s="321">
        <f>SUMIFS(DATA!$I:$I,DATA!$C:$C,$B416,DATA!$J:$J,"&gt;="&amp;DATE($I$2,I$4,1),DATA!$J:$J,"&lt;="&amp;DATE($I$2,I$4,I$5))</f>
        <v/>
      </c>
      <c r="J416" s="321">
        <f>SUMIFS(DATA!$I:$I,DATA!$C:$C,$B416,DATA!$J:$J,"&gt;="&amp;DATE($I$2,J$4,1),DATA!$J:$J,"&lt;="&amp;DATE($I$2,J$4,J$5))</f>
        <v/>
      </c>
      <c r="K416" s="321">
        <f>SUMIFS(DATA!$I:$I,DATA!$C:$C,$B416,DATA!$J:$J,"&gt;="&amp;DATE($I$2,K$4,1),DATA!$J:$J,"&lt;="&amp;DATE($I$2,K$4,K$5))</f>
        <v/>
      </c>
      <c r="L416" s="321">
        <f>SUMIFS(DATA!$I:$I,DATA!$C:$C,$B416,DATA!$J:$J,"&gt;="&amp;DATE($I$2,L$4,1),DATA!$J:$J,"&lt;="&amp;DATE($I$2,L$4,L$5))</f>
        <v/>
      </c>
      <c r="M416" s="321">
        <f>SUMIFS(DATA!$I:$I,DATA!$C:$C,$B416,DATA!$J:$J,"&gt;="&amp;DATE($I$2,M$4,1),DATA!$J:$J,"&lt;="&amp;DATE($I$2,M$4,M$5))</f>
        <v/>
      </c>
      <c r="N416" s="321">
        <f>SUMIFS(DATA!$I:$I,DATA!$C:$C,$B416,DATA!$J:$J,"&gt;="&amp;DATE($I$2,N$4,1),DATA!$J:$J,"&lt;="&amp;DATE($I$2,N$4,N$5))</f>
        <v/>
      </c>
      <c r="O416" s="321">
        <f>SUMIFS(DATA!$I:$I,DATA!$C:$C,$B416,DATA!$J:$J,"&gt;="&amp;DATE($I$2,O$4,1),DATA!$J:$J,"&lt;="&amp;DATE($I$2,O$4,O$5))</f>
        <v/>
      </c>
      <c r="P416" s="322">
        <f>SUM(D416:O416)</f>
        <v/>
      </c>
      <c r="Q416" s="118" t="n"/>
    </row>
    <row r="417" hidden="1" outlineLevel="1" ht="15" customHeight="1">
      <c r="A417" s="266" t="n"/>
      <c r="B417" s="126" t="n"/>
      <c r="C417" s="119" t="inlineStr">
        <is>
          <t>Thực tế</t>
        </is>
      </c>
      <c r="D417" s="321">
        <f>SUMIFS(DATA!$M:$M,DATA!$C:$C,$B416,DATA!$N:$N,"&gt;="&amp;DATE($I$2,D$4,1),DATA!$N:$N,"&lt;="&amp;DATE($I$2,D$4,D$5))</f>
        <v/>
      </c>
      <c r="E417" s="321">
        <f>SUMIFS(DATA!$M:$M,DATA!$C:$C,$B416,DATA!$N:$N,"&gt;="&amp;DATE($I$2,E$4,1),DATA!$N:$N,"&lt;="&amp;DATE($I$2,E$4,E$5))</f>
        <v/>
      </c>
      <c r="F417" s="321">
        <f>SUMIFS(DATA!$M:$M,DATA!$C:$C,$B416,DATA!$N:$N,"&gt;="&amp;DATE($I$2,F$4,1),DATA!$N:$N,"&lt;="&amp;DATE($I$2,F$4,F$5))</f>
        <v/>
      </c>
      <c r="G417" s="321">
        <f>SUMIFS(DATA!$M:$M,DATA!$C:$C,$B416,DATA!$N:$N,"&gt;="&amp;DATE($I$2,G$4,1),DATA!$N:$N,"&lt;="&amp;DATE($I$2,G$4,G$5))</f>
        <v/>
      </c>
      <c r="H417" s="321">
        <f>SUMIFS(DATA!$M:$M,DATA!$C:$C,$B416,DATA!$N:$N,"&gt;="&amp;DATE($I$2,H$4,1),DATA!$N:$N,"&lt;="&amp;DATE($I$2,H$4,H$5))</f>
        <v/>
      </c>
      <c r="I417" s="321">
        <f>SUMIFS(DATA!$M:$M,DATA!$C:$C,$B416,DATA!$N:$N,"&gt;="&amp;DATE($I$2,I$4,1),DATA!$N:$N,"&lt;="&amp;DATE($I$2,I$4,I$5))</f>
        <v/>
      </c>
      <c r="J417" s="321">
        <f>SUMIFS(DATA!$M:$M,DATA!$C:$C,$B416,DATA!$N:$N,"&gt;="&amp;DATE($I$2,J$4,1),DATA!$N:$N,"&lt;="&amp;DATE($I$2,J$4,J$5))</f>
        <v/>
      </c>
      <c r="K417" s="321">
        <f>SUMIFS(DATA!$M:$M,DATA!$C:$C,$B416,DATA!$N:$N,"&gt;="&amp;DATE($I$2,K$4,1),DATA!$N:$N,"&lt;="&amp;DATE($I$2,K$4,K$5))</f>
        <v/>
      </c>
      <c r="L417" s="321">
        <f>SUMIFS(DATA!$M:$M,DATA!$C:$C,$B416,DATA!$N:$N,"&gt;="&amp;DATE($I$2,L$4,1),DATA!$N:$N,"&lt;="&amp;DATE($I$2,L$4,L$5))</f>
        <v/>
      </c>
      <c r="M417" s="321">
        <f>SUMIFS(DATA!$M:$M,DATA!$C:$C,$B416,DATA!$N:$N,"&gt;="&amp;DATE($I$2,M$4,1),DATA!$N:$N,"&lt;="&amp;DATE($I$2,M$4,M$5))</f>
        <v/>
      </c>
      <c r="N417" s="321">
        <f>SUMIFS(DATA!$M:$M,DATA!$C:$C,$B416,DATA!$N:$N,"&gt;="&amp;DATE($I$2,N$4,1),DATA!$N:$N,"&lt;="&amp;DATE($I$2,N$4,N$5))</f>
        <v/>
      </c>
      <c r="O417" s="321">
        <f>SUMIFS(DATA!$M:$M,DATA!$C:$C,$B416,DATA!$N:$N,"&gt;="&amp;DATE($I$2,O$4,1),DATA!$N:$N,"&lt;="&amp;DATE($I$2,O$4,O$5))</f>
        <v/>
      </c>
      <c r="P417" s="322">
        <f>SUM(D417:O417)</f>
        <v/>
      </c>
      <c r="Q417" s="118" t="n"/>
    </row>
    <row r="418" hidden="1" outlineLevel="1" ht="15" customHeight="1">
      <c r="A418" s="269" t="n">
        <v>207</v>
      </c>
      <c r="B418" s="125" t="n"/>
      <c r="C418" s="119" t="inlineStr">
        <is>
          <t>Kế hoạch</t>
        </is>
      </c>
      <c r="D418" s="321">
        <f>SUMIFS(DATA!$I:$I,DATA!$C:$C,$B418,DATA!$J:$J,"&gt;="&amp;DATE($I$2,D$4,1),DATA!$J:$J,"&lt;="&amp;DATE($I$2,D$4,D$5))</f>
        <v/>
      </c>
      <c r="E418" s="321">
        <f>SUMIFS(DATA!$I:$I,DATA!$C:$C,$B418,DATA!$J:$J,"&gt;="&amp;DATE($I$2,E$4,1),DATA!$J:$J,"&lt;="&amp;DATE($I$2,E$4,E$5))</f>
        <v/>
      </c>
      <c r="F418" s="321">
        <f>SUMIFS(DATA!$I:$I,DATA!$C:$C,$B418,DATA!$J:$J,"&gt;="&amp;DATE($I$2,F$4,1),DATA!$J:$J,"&lt;="&amp;DATE($I$2,F$4,F$5))</f>
        <v/>
      </c>
      <c r="G418" s="321">
        <f>SUMIFS(DATA!$I:$I,DATA!$C:$C,$B418,DATA!$J:$J,"&gt;="&amp;DATE($I$2,G$4,1),DATA!$J:$J,"&lt;="&amp;DATE($I$2,G$4,G$5))</f>
        <v/>
      </c>
      <c r="H418" s="321">
        <f>SUMIFS(DATA!$I:$I,DATA!$C:$C,$B418,DATA!$J:$J,"&gt;="&amp;DATE($I$2,H$4,1),DATA!$J:$J,"&lt;="&amp;DATE($I$2,H$4,H$5))</f>
        <v/>
      </c>
      <c r="I418" s="321">
        <f>SUMIFS(DATA!$I:$I,DATA!$C:$C,$B418,DATA!$J:$J,"&gt;="&amp;DATE($I$2,I$4,1),DATA!$J:$J,"&lt;="&amp;DATE($I$2,I$4,I$5))</f>
        <v/>
      </c>
      <c r="J418" s="321">
        <f>SUMIFS(DATA!$I:$I,DATA!$C:$C,$B418,DATA!$J:$J,"&gt;="&amp;DATE($I$2,J$4,1),DATA!$J:$J,"&lt;="&amp;DATE($I$2,J$4,J$5))</f>
        <v/>
      </c>
      <c r="K418" s="321">
        <f>SUMIFS(DATA!$I:$I,DATA!$C:$C,$B418,DATA!$J:$J,"&gt;="&amp;DATE($I$2,K$4,1),DATA!$J:$J,"&lt;="&amp;DATE($I$2,K$4,K$5))</f>
        <v/>
      </c>
      <c r="L418" s="321">
        <f>SUMIFS(DATA!$I:$I,DATA!$C:$C,$B418,DATA!$J:$J,"&gt;="&amp;DATE($I$2,L$4,1),DATA!$J:$J,"&lt;="&amp;DATE($I$2,L$4,L$5))</f>
        <v/>
      </c>
      <c r="M418" s="321">
        <f>SUMIFS(DATA!$I:$I,DATA!$C:$C,$B418,DATA!$J:$J,"&gt;="&amp;DATE($I$2,M$4,1),DATA!$J:$J,"&lt;="&amp;DATE($I$2,M$4,M$5))</f>
        <v/>
      </c>
      <c r="N418" s="321">
        <f>SUMIFS(DATA!$I:$I,DATA!$C:$C,$B418,DATA!$J:$J,"&gt;="&amp;DATE($I$2,N$4,1),DATA!$J:$J,"&lt;="&amp;DATE($I$2,N$4,N$5))</f>
        <v/>
      </c>
      <c r="O418" s="321">
        <f>SUMIFS(DATA!$I:$I,DATA!$C:$C,$B418,DATA!$J:$J,"&gt;="&amp;DATE($I$2,O$4,1),DATA!$J:$J,"&lt;="&amp;DATE($I$2,O$4,O$5))</f>
        <v/>
      </c>
      <c r="P418" s="322">
        <f>SUM(D418:O418)</f>
        <v/>
      </c>
      <c r="Q418" s="118" t="n"/>
    </row>
    <row r="419" hidden="1" outlineLevel="1" ht="15" customHeight="1">
      <c r="A419" s="266" t="n"/>
      <c r="B419" s="126" t="n"/>
      <c r="C419" s="119" t="inlineStr">
        <is>
          <t>Thực tế</t>
        </is>
      </c>
      <c r="D419" s="321">
        <f>SUMIFS(DATA!$M:$M,DATA!$C:$C,$B418,DATA!$N:$N,"&gt;="&amp;DATE($I$2,D$4,1),DATA!$N:$N,"&lt;="&amp;DATE($I$2,D$4,D$5))</f>
        <v/>
      </c>
      <c r="E419" s="321">
        <f>SUMIFS(DATA!$M:$M,DATA!$C:$C,$B418,DATA!$N:$N,"&gt;="&amp;DATE($I$2,E$4,1),DATA!$N:$N,"&lt;="&amp;DATE($I$2,E$4,E$5))</f>
        <v/>
      </c>
      <c r="F419" s="321">
        <f>SUMIFS(DATA!$M:$M,DATA!$C:$C,$B418,DATA!$N:$N,"&gt;="&amp;DATE($I$2,F$4,1),DATA!$N:$N,"&lt;="&amp;DATE($I$2,F$4,F$5))</f>
        <v/>
      </c>
      <c r="G419" s="321">
        <f>SUMIFS(DATA!$M:$M,DATA!$C:$C,$B418,DATA!$N:$N,"&gt;="&amp;DATE($I$2,G$4,1),DATA!$N:$N,"&lt;="&amp;DATE($I$2,G$4,G$5))</f>
        <v/>
      </c>
      <c r="H419" s="321">
        <f>SUMIFS(DATA!$M:$M,DATA!$C:$C,$B418,DATA!$N:$N,"&gt;="&amp;DATE($I$2,H$4,1),DATA!$N:$N,"&lt;="&amp;DATE($I$2,H$4,H$5))</f>
        <v/>
      </c>
      <c r="I419" s="321">
        <f>SUMIFS(DATA!$M:$M,DATA!$C:$C,$B418,DATA!$N:$N,"&gt;="&amp;DATE($I$2,I$4,1),DATA!$N:$N,"&lt;="&amp;DATE($I$2,I$4,I$5))</f>
        <v/>
      </c>
      <c r="J419" s="321">
        <f>SUMIFS(DATA!$M:$M,DATA!$C:$C,$B418,DATA!$N:$N,"&gt;="&amp;DATE($I$2,J$4,1),DATA!$N:$N,"&lt;="&amp;DATE($I$2,J$4,J$5))</f>
        <v/>
      </c>
      <c r="K419" s="321">
        <f>SUMIFS(DATA!$M:$M,DATA!$C:$C,$B418,DATA!$N:$N,"&gt;="&amp;DATE($I$2,K$4,1),DATA!$N:$N,"&lt;="&amp;DATE($I$2,K$4,K$5))</f>
        <v/>
      </c>
      <c r="L419" s="321">
        <f>SUMIFS(DATA!$M:$M,DATA!$C:$C,$B418,DATA!$N:$N,"&gt;="&amp;DATE($I$2,L$4,1),DATA!$N:$N,"&lt;="&amp;DATE($I$2,L$4,L$5))</f>
        <v/>
      </c>
      <c r="M419" s="321">
        <f>SUMIFS(DATA!$M:$M,DATA!$C:$C,$B418,DATA!$N:$N,"&gt;="&amp;DATE($I$2,M$4,1),DATA!$N:$N,"&lt;="&amp;DATE($I$2,M$4,M$5))</f>
        <v/>
      </c>
      <c r="N419" s="321">
        <f>SUMIFS(DATA!$M:$M,DATA!$C:$C,$B418,DATA!$N:$N,"&gt;="&amp;DATE($I$2,N$4,1),DATA!$N:$N,"&lt;="&amp;DATE($I$2,N$4,N$5))</f>
        <v/>
      </c>
      <c r="O419" s="321">
        <f>SUMIFS(DATA!$M:$M,DATA!$C:$C,$B418,DATA!$N:$N,"&gt;="&amp;DATE($I$2,O$4,1),DATA!$N:$N,"&lt;="&amp;DATE($I$2,O$4,O$5))</f>
        <v/>
      </c>
      <c r="P419" s="322">
        <f>SUM(D419:O419)</f>
        <v/>
      </c>
      <c r="Q419" s="118" t="n"/>
    </row>
    <row r="420" hidden="1" outlineLevel="1" ht="15" customHeight="1">
      <c r="A420" s="269" t="n">
        <v>208</v>
      </c>
      <c r="B420" s="125" t="n"/>
      <c r="C420" s="119" t="inlineStr">
        <is>
          <t>Kế hoạch</t>
        </is>
      </c>
      <c r="D420" s="321">
        <f>SUMIFS(DATA!$I:$I,DATA!$C:$C,$B420,DATA!$J:$J,"&gt;="&amp;DATE($I$2,D$4,1),DATA!$J:$J,"&lt;="&amp;DATE($I$2,D$4,D$5))</f>
        <v/>
      </c>
      <c r="E420" s="321">
        <f>SUMIFS(DATA!$I:$I,DATA!$C:$C,$B420,DATA!$J:$J,"&gt;="&amp;DATE($I$2,E$4,1),DATA!$J:$J,"&lt;="&amp;DATE($I$2,E$4,E$5))</f>
        <v/>
      </c>
      <c r="F420" s="321">
        <f>SUMIFS(DATA!$I:$I,DATA!$C:$C,$B420,DATA!$J:$J,"&gt;="&amp;DATE($I$2,F$4,1),DATA!$J:$J,"&lt;="&amp;DATE($I$2,F$4,F$5))</f>
        <v/>
      </c>
      <c r="G420" s="321">
        <f>SUMIFS(DATA!$I:$I,DATA!$C:$C,$B420,DATA!$J:$J,"&gt;="&amp;DATE($I$2,G$4,1),DATA!$J:$J,"&lt;="&amp;DATE($I$2,G$4,G$5))</f>
        <v/>
      </c>
      <c r="H420" s="321">
        <f>SUMIFS(DATA!$I:$I,DATA!$C:$C,$B420,DATA!$J:$J,"&gt;="&amp;DATE($I$2,H$4,1),DATA!$J:$J,"&lt;="&amp;DATE($I$2,H$4,H$5))</f>
        <v/>
      </c>
      <c r="I420" s="321">
        <f>SUMIFS(DATA!$I:$I,DATA!$C:$C,$B420,DATA!$J:$J,"&gt;="&amp;DATE($I$2,I$4,1),DATA!$J:$J,"&lt;="&amp;DATE($I$2,I$4,I$5))</f>
        <v/>
      </c>
      <c r="J420" s="321">
        <f>SUMIFS(DATA!$I:$I,DATA!$C:$C,$B420,DATA!$J:$J,"&gt;="&amp;DATE($I$2,J$4,1),DATA!$J:$J,"&lt;="&amp;DATE($I$2,J$4,J$5))</f>
        <v/>
      </c>
      <c r="K420" s="321">
        <f>SUMIFS(DATA!$I:$I,DATA!$C:$C,$B420,DATA!$J:$J,"&gt;="&amp;DATE($I$2,K$4,1),DATA!$J:$J,"&lt;="&amp;DATE($I$2,K$4,K$5))</f>
        <v/>
      </c>
      <c r="L420" s="321">
        <f>SUMIFS(DATA!$I:$I,DATA!$C:$C,$B420,DATA!$J:$J,"&gt;="&amp;DATE($I$2,L$4,1),DATA!$J:$J,"&lt;="&amp;DATE($I$2,L$4,L$5))</f>
        <v/>
      </c>
      <c r="M420" s="321">
        <f>SUMIFS(DATA!$I:$I,DATA!$C:$C,$B420,DATA!$J:$J,"&gt;="&amp;DATE($I$2,M$4,1),DATA!$J:$J,"&lt;="&amp;DATE($I$2,M$4,M$5))</f>
        <v/>
      </c>
      <c r="N420" s="321">
        <f>SUMIFS(DATA!$I:$I,DATA!$C:$C,$B420,DATA!$J:$J,"&gt;="&amp;DATE($I$2,N$4,1),DATA!$J:$J,"&lt;="&amp;DATE($I$2,N$4,N$5))</f>
        <v/>
      </c>
      <c r="O420" s="321">
        <f>SUMIFS(DATA!$I:$I,DATA!$C:$C,$B420,DATA!$J:$J,"&gt;="&amp;DATE($I$2,O$4,1),DATA!$J:$J,"&lt;="&amp;DATE($I$2,O$4,O$5))</f>
        <v/>
      </c>
      <c r="P420" s="322">
        <f>SUM(D420:O420)</f>
        <v/>
      </c>
      <c r="Q420" s="118" t="n"/>
    </row>
    <row r="421" hidden="1" outlineLevel="1" ht="15" customHeight="1">
      <c r="A421" s="266" t="n"/>
      <c r="B421" s="126" t="n"/>
      <c r="C421" s="119" t="inlineStr">
        <is>
          <t>Thực tế</t>
        </is>
      </c>
      <c r="D421" s="321">
        <f>SUMIFS(DATA!$M:$M,DATA!$C:$C,$B420,DATA!$N:$N,"&gt;="&amp;DATE($I$2,D$4,1),DATA!$N:$N,"&lt;="&amp;DATE($I$2,D$4,D$5))</f>
        <v/>
      </c>
      <c r="E421" s="321">
        <f>SUMIFS(DATA!$M:$M,DATA!$C:$C,$B420,DATA!$N:$N,"&gt;="&amp;DATE($I$2,E$4,1),DATA!$N:$N,"&lt;="&amp;DATE($I$2,E$4,E$5))</f>
        <v/>
      </c>
      <c r="F421" s="321">
        <f>SUMIFS(DATA!$M:$M,DATA!$C:$C,$B420,DATA!$N:$N,"&gt;="&amp;DATE($I$2,F$4,1),DATA!$N:$N,"&lt;="&amp;DATE($I$2,F$4,F$5))</f>
        <v/>
      </c>
      <c r="G421" s="321">
        <f>SUMIFS(DATA!$M:$M,DATA!$C:$C,$B420,DATA!$N:$N,"&gt;="&amp;DATE($I$2,G$4,1),DATA!$N:$N,"&lt;="&amp;DATE($I$2,G$4,G$5))</f>
        <v/>
      </c>
      <c r="H421" s="321">
        <f>SUMIFS(DATA!$M:$M,DATA!$C:$C,$B420,DATA!$N:$N,"&gt;="&amp;DATE($I$2,H$4,1),DATA!$N:$N,"&lt;="&amp;DATE($I$2,H$4,H$5))</f>
        <v/>
      </c>
      <c r="I421" s="321">
        <f>SUMIFS(DATA!$M:$M,DATA!$C:$C,$B420,DATA!$N:$N,"&gt;="&amp;DATE($I$2,I$4,1),DATA!$N:$N,"&lt;="&amp;DATE($I$2,I$4,I$5))</f>
        <v/>
      </c>
      <c r="J421" s="321">
        <f>SUMIFS(DATA!$M:$M,DATA!$C:$C,$B420,DATA!$N:$N,"&gt;="&amp;DATE($I$2,J$4,1),DATA!$N:$N,"&lt;="&amp;DATE($I$2,J$4,J$5))</f>
        <v/>
      </c>
      <c r="K421" s="321">
        <f>SUMIFS(DATA!$M:$M,DATA!$C:$C,$B420,DATA!$N:$N,"&gt;="&amp;DATE($I$2,K$4,1),DATA!$N:$N,"&lt;="&amp;DATE($I$2,K$4,K$5))</f>
        <v/>
      </c>
      <c r="L421" s="321">
        <f>SUMIFS(DATA!$M:$M,DATA!$C:$C,$B420,DATA!$N:$N,"&gt;="&amp;DATE($I$2,L$4,1),DATA!$N:$N,"&lt;="&amp;DATE($I$2,L$4,L$5))</f>
        <v/>
      </c>
      <c r="M421" s="321">
        <f>SUMIFS(DATA!$M:$M,DATA!$C:$C,$B420,DATA!$N:$N,"&gt;="&amp;DATE($I$2,M$4,1),DATA!$N:$N,"&lt;="&amp;DATE($I$2,M$4,M$5))</f>
        <v/>
      </c>
      <c r="N421" s="321">
        <f>SUMIFS(DATA!$M:$M,DATA!$C:$C,$B420,DATA!$N:$N,"&gt;="&amp;DATE($I$2,N$4,1),DATA!$N:$N,"&lt;="&amp;DATE($I$2,N$4,N$5))</f>
        <v/>
      </c>
      <c r="O421" s="321">
        <f>SUMIFS(DATA!$M:$M,DATA!$C:$C,$B420,DATA!$N:$N,"&gt;="&amp;DATE($I$2,O$4,1),DATA!$N:$N,"&lt;="&amp;DATE($I$2,O$4,O$5))</f>
        <v/>
      </c>
      <c r="P421" s="322">
        <f>SUM(D421:O421)</f>
        <v/>
      </c>
      <c r="Q421" s="118" t="n"/>
    </row>
    <row r="422" hidden="1" outlineLevel="1" ht="15" customHeight="1">
      <c r="A422" s="269" t="n">
        <v>209</v>
      </c>
      <c r="B422" s="125" t="n"/>
      <c r="C422" s="119" t="inlineStr">
        <is>
          <t>Kế hoạch</t>
        </is>
      </c>
      <c r="D422" s="321">
        <f>SUMIFS(DATA!$I:$I,DATA!$C:$C,$B422,DATA!$J:$J,"&gt;="&amp;DATE($I$2,D$4,1),DATA!$J:$J,"&lt;="&amp;DATE($I$2,D$4,D$5))</f>
        <v/>
      </c>
      <c r="E422" s="321">
        <f>SUMIFS(DATA!$I:$I,DATA!$C:$C,$B422,DATA!$J:$J,"&gt;="&amp;DATE($I$2,E$4,1),DATA!$J:$J,"&lt;="&amp;DATE($I$2,E$4,E$5))</f>
        <v/>
      </c>
      <c r="F422" s="321">
        <f>SUMIFS(DATA!$I:$I,DATA!$C:$C,$B422,DATA!$J:$J,"&gt;="&amp;DATE($I$2,F$4,1),DATA!$J:$J,"&lt;="&amp;DATE($I$2,F$4,F$5))</f>
        <v/>
      </c>
      <c r="G422" s="321">
        <f>SUMIFS(DATA!$I:$I,DATA!$C:$C,$B422,DATA!$J:$J,"&gt;="&amp;DATE($I$2,G$4,1),DATA!$J:$J,"&lt;="&amp;DATE($I$2,G$4,G$5))</f>
        <v/>
      </c>
      <c r="H422" s="321">
        <f>SUMIFS(DATA!$I:$I,DATA!$C:$C,$B422,DATA!$J:$J,"&gt;="&amp;DATE($I$2,H$4,1),DATA!$J:$J,"&lt;="&amp;DATE($I$2,H$4,H$5))</f>
        <v/>
      </c>
      <c r="I422" s="321">
        <f>SUMIFS(DATA!$I:$I,DATA!$C:$C,$B422,DATA!$J:$J,"&gt;="&amp;DATE($I$2,I$4,1),DATA!$J:$J,"&lt;="&amp;DATE($I$2,I$4,I$5))</f>
        <v/>
      </c>
      <c r="J422" s="321">
        <f>SUMIFS(DATA!$I:$I,DATA!$C:$C,$B422,DATA!$J:$J,"&gt;="&amp;DATE($I$2,J$4,1),DATA!$J:$J,"&lt;="&amp;DATE($I$2,J$4,J$5))</f>
        <v/>
      </c>
      <c r="K422" s="321">
        <f>SUMIFS(DATA!$I:$I,DATA!$C:$C,$B422,DATA!$J:$J,"&gt;="&amp;DATE($I$2,K$4,1),DATA!$J:$J,"&lt;="&amp;DATE($I$2,K$4,K$5))</f>
        <v/>
      </c>
      <c r="L422" s="321">
        <f>SUMIFS(DATA!$I:$I,DATA!$C:$C,$B422,DATA!$J:$J,"&gt;="&amp;DATE($I$2,L$4,1),DATA!$J:$J,"&lt;="&amp;DATE($I$2,L$4,L$5))</f>
        <v/>
      </c>
      <c r="M422" s="321">
        <f>SUMIFS(DATA!$I:$I,DATA!$C:$C,$B422,DATA!$J:$J,"&gt;="&amp;DATE($I$2,M$4,1),DATA!$J:$J,"&lt;="&amp;DATE($I$2,M$4,M$5))</f>
        <v/>
      </c>
      <c r="N422" s="321">
        <f>SUMIFS(DATA!$I:$I,DATA!$C:$C,$B422,DATA!$J:$J,"&gt;="&amp;DATE($I$2,N$4,1),DATA!$J:$J,"&lt;="&amp;DATE($I$2,N$4,N$5))</f>
        <v/>
      </c>
      <c r="O422" s="321">
        <f>SUMIFS(DATA!$I:$I,DATA!$C:$C,$B422,DATA!$J:$J,"&gt;="&amp;DATE($I$2,O$4,1),DATA!$J:$J,"&lt;="&amp;DATE($I$2,O$4,O$5))</f>
        <v/>
      </c>
      <c r="P422" s="322">
        <f>SUM(D422:O422)</f>
        <v/>
      </c>
      <c r="Q422" s="118" t="n"/>
    </row>
    <row r="423" hidden="1" outlineLevel="1" ht="15" customHeight="1">
      <c r="A423" s="266" t="n"/>
      <c r="B423" s="126" t="n"/>
      <c r="C423" s="119" t="inlineStr">
        <is>
          <t>Thực tế</t>
        </is>
      </c>
      <c r="D423" s="321">
        <f>SUMIFS(DATA!$M:$M,DATA!$C:$C,$B422,DATA!$N:$N,"&gt;="&amp;DATE($I$2,D$4,1),DATA!$N:$N,"&lt;="&amp;DATE($I$2,D$4,D$5))</f>
        <v/>
      </c>
      <c r="E423" s="321">
        <f>SUMIFS(DATA!$M:$M,DATA!$C:$C,$B422,DATA!$N:$N,"&gt;="&amp;DATE($I$2,E$4,1),DATA!$N:$N,"&lt;="&amp;DATE($I$2,E$4,E$5))</f>
        <v/>
      </c>
      <c r="F423" s="321">
        <f>SUMIFS(DATA!$M:$M,DATA!$C:$C,$B422,DATA!$N:$N,"&gt;="&amp;DATE($I$2,F$4,1),DATA!$N:$N,"&lt;="&amp;DATE($I$2,F$4,F$5))</f>
        <v/>
      </c>
      <c r="G423" s="321">
        <f>SUMIFS(DATA!$M:$M,DATA!$C:$C,$B422,DATA!$N:$N,"&gt;="&amp;DATE($I$2,G$4,1),DATA!$N:$N,"&lt;="&amp;DATE($I$2,G$4,G$5))</f>
        <v/>
      </c>
      <c r="H423" s="321">
        <f>SUMIFS(DATA!$M:$M,DATA!$C:$C,$B422,DATA!$N:$N,"&gt;="&amp;DATE($I$2,H$4,1),DATA!$N:$N,"&lt;="&amp;DATE($I$2,H$4,H$5))</f>
        <v/>
      </c>
      <c r="I423" s="321">
        <f>SUMIFS(DATA!$M:$M,DATA!$C:$C,$B422,DATA!$N:$N,"&gt;="&amp;DATE($I$2,I$4,1),DATA!$N:$N,"&lt;="&amp;DATE($I$2,I$4,I$5))</f>
        <v/>
      </c>
      <c r="J423" s="321">
        <f>SUMIFS(DATA!$M:$M,DATA!$C:$C,$B422,DATA!$N:$N,"&gt;="&amp;DATE($I$2,J$4,1),DATA!$N:$N,"&lt;="&amp;DATE($I$2,J$4,J$5))</f>
        <v/>
      </c>
      <c r="K423" s="321">
        <f>SUMIFS(DATA!$M:$M,DATA!$C:$C,$B422,DATA!$N:$N,"&gt;="&amp;DATE($I$2,K$4,1),DATA!$N:$N,"&lt;="&amp;DATE($I$2,K$4,K$5))</f>
        <v/>
      </c>
      <c r="L423" s="321">
        <f>SUMIFS(DATA!$M:$M,DATA!$C:$C,$B422,DATA!$N:$N,"&gt;="&amp;DATE($I$2,L$4,1),DATA!$N:$N,"&lt;="&amp;DATE($I$2,L$4,L$5))</f>
        <v/>
      </c>
      <c r="M423" s="321">
        <f>SUMIFS(DATA!$M:$M,DATA!$C:$C,$B422,DATA!$N:$N,"&gt;="&amp;DATE($I$2,M$4,1),DATA!$N:$N,"&lt;="&amp;DATE($I$2,M$4,M$5))</f>
        <v/>
      </c>
      <c r="N423" s="321">
        <f>SUMIFS(DATA!$M:$M,DATA!$C:$C,$B422,DATA!$N:$N,"&gt;="&amp;DATE($I$2,N$4,1),DATA!$N:$N,"&lt;="&amp;DATE($I$2,N$4,N$5))</f>
        <v/>
      </c>
      <c r="O423" s="321">
        <f>SUMIFS(DATA!$M:$M,DATA!$C:$C,$B422,DATA!$N:$N,"&gt;="&amp;DATE($I$2,O$4,1),DATA!$N:$N,"&lt;="&amp;DATE($I$2,O$4,O$5))</f>
        <v/>
      </c>
      <c r="P423" s="322">
        <f>SUM(D423:O423)</f>
        <v/>
      </c>
      <c r="Q423" s="118" t="n"/>
    </row>
    <row r="424" hidden="1" outlineLevel="1" ht="15" customHeight="1">
      <c r="A424" s="269" t="n">
        <v>210</v>
      </c>
      <c r="B424" s="125" t="n"/>
      <c r="C424" s="119" t="inlineStr">
        <is>
          <t>Kế hoạch</t>
        </is>
      </c>
      <c r="D424" s="321">
        <f>SUMIFS(DATA!$I:$I,DATA!$C:$C,$B424,DATA!$J:$J,"&gt;="&amp;DATE($I$2,D$4,1),DATA!$J:$J,"&lt;="&amp;DATE($I$2,D$4,D$5))</f>
        <v/>
      </c>
      <c r="E424" s="321">
        <f>SUMIFS(DATA!$I:$I,DATA!$C:$C,$B424,DATA!$J:$J,"&gt;="&amp;DATE($I$2,E$4,1),DATA!$J:$J,"&lt;="&amp;DATE($I$2,E$4,E$5))</f>
        <v/>
      </c>
      <c r="F424" s="321">
        <f>SUMIFS(DATA!$I:$I,DATA!$C:$C,$B424,DATA!$J:$J,"&gt;="&amp;DATE($I$2,F$4,1),DATA!$J:$J,"&lt;="&amp;DATE($I$2,F$4,F$5))</f>
        <v/>
      </c>
      <c r="G424" s="321">
        <f>SUMIFS(DATA!$I:$I,DATA!$C:$C,$B424,DATA!$J:$J,"&gt;="&amp;DATE($I$2,G$4,1),DATA!$J:$J,"&lt;="&amp;DATE($I$2,G$4,G$5))</f>
        <v/>
      </c>
      <c r="H424" s="321">
        <f>SUMIFS(DATA!$I:$I,DATA!$C:$C,$B424,DATA!$J:$J,"&gt;="&amp;DATE($I$2,H$4,1),DATA!$J:$J,"&lt;="&amp;DATE($I$2,H$4,H$5))</f>
        <v/>
      </c>
      <c r="I424" s="321">
        <f>SUMIFS(DATA!$I:$I,DATA!$C:$C,$B424,DATA!$J:$J,"&gt;="&amp;DATE($I$2,I$4,1),DATA!$J:$J,"&lt;="&amp;DATE($I$2,I$4,I$5))</f>
        <v/>
      </c>
      <c r="J424" s="321">
        <f>SUMIFS(DATA!$I:$I,DATA!$C:$C,$B424,DATA!$J:$J,"&gt;="&amp;DATE($I$2,J$4,1),DATA!$J:$J,"&lt;="&amp;DATE($I$2,J$4,J$5))</f>
        <v/>
      </c>
      <c r="K424" s="321">
        <f>SUMIFS(DATA!$I:$I,DATA!$C:$C,$B424,DATA!$J:$J,"&gt;="&amp;DATE($I$2,K$4,1),DATA!$J:$J,"&lt;="&amp;DATE($I$2,K$4,K$5))</f>
        <v/>
      </c>
      <c r="L424" s="321">
        <f>SUMIFS(DATA!$I:$I,DATA!$C:$C,$B424,DATA!$J:$J,"&gt;="&amp;DATE($I$2,L$4,1),DATA!$J:$J,"&lt;="&amp;DATE($I$2,L$4,L$5))</f>
        <v/>
      </c>
      <c r="M424" s="321">
        <f>SUMIFS(DATA!$I:$I,DATA!$C:$C,$B424,DATA!$J:$J,"&gt;="&amp;DATE($I$2,M$4,1),DATA!$J:$J,"&lt;="&amp;DATE($I$2,M$4,M$5))</f>
        <v/>
      </c>
      <c r="N424" s="321">
        <f>SUMIFS(DATA!$I:$I,DATA!$C:$C,$B424,DATA!$J:$J,"&gt;="&amp;DATE($I$2,N$4,1),DATA!$J:$J,"&lt;="&amp;DATE($I$2,N$4,N$5))</f>
        <v/>
      </c>
      <c r="O424" s="321">
        <f>SUMIFS(DATA!$I:$I,DATA!$C:$C,$B424,DATA!$J:$J,"&gt;="&amp;DATE($I$2,O$4,1),DATA!$J:$J,"&lt;="&amp;DATE($I$2,O$4,O$5))</f>
        <v/>
      </c>
      <c r="P424" s="322">
        <f>SUM(D424:O424)</f>
        <v/>
      </c>
      <c r="Q424" s="118" t="n"/>
    </row>
    <row r="425" hidden="1" outlineLevel="1" ht="15" customHeight="1">
      <c r="A425" s="266" t="n"/>
      <c r="B425" s="126" t="n"/>
      <c r="C425" s="119" t="inlineStr">
        <is>
          <t>Thực tế</t>
        </is>
      </c>
      <c r="D425" s="321">
        <f>SUMIFS(DATA!$M:$M,DATA!$C:$C,$B424,DATA!$N:$N,"&gt;="&amp;DATE($I$2,D$4,1),DATA!$N:$N,"&lt;="&amp;DATE($I$2,D$4,D$5))</f>
        <v/>
      </c>
      <c r="E425" s="321">
        <f>SUMIFS(DATA!$M:$M,DATA!$C:$C,$B424,DATA!$N:$N,"&gt;="&amp;DATE($I$2,E$4,1),DATA!$N:$N,"&lt;="&amp;DATE($I$2,E$4,E$5))</f>
        <v/>
      </c>
      <c r="F425" s="321">
        <f>SUMIFS(DATA!$M:$M,DATA!$C:$C,$B424,DATA!$N:$N,"&gt;="&amp;DATE($I$2,F$4,1),DATA!$N:$N,"&lt;="&amp;DATE($I$2,F$4,F$5))</f>
        <v/>
      </c>
      <c r="G425" s="321">
        <f>SUMIFS(DATA!$M:$M,DATA!$C:$C,$B424,DATA!$N:$N,"&gt;="&amp;DATE($I$2,G$4,1),DATA!$N:$N,"&lt;="&amp;DATE($I$2,G$4,G$5))</f>
        <v/>
      </c>
      <c r="H425" s="321">
        <f>SUMIFS(DATA!$M:$M,DATA!$C:$C,$B424,DATA!$N:$N,"&gt;="&amp;DATE($I$2,H$4,1),DATA!$N:$N,"&lt;="&amp;DATE($I$2,H$4,H$5))</f>
        <v/>
      </c>
      <c r="I425" s="321">
        <f>SUMIFS(DATA!$M:$M,DATA!$C:$C,$B424,DATA!$N:$N,"&gt;="&amp;DATE($I$2,I$4,1),DATA!$N:$N,"&lt;="&amp;DATE($I$2,I$4,I$5))</f>
        <v/>
      </c>
      <c r="J425" s="321">
        <f>SUMIFS(DATA!$M:$M,DATA!$C:$C,$B424,DATA!$N:$N,"&gt;="&amp;DATE($I$2,J$4,1),DATA!$N:$N,"&lt;="&amp;DATE($I$2,J$4,J$5))</f>
        <v/>
      </c>
      <c r="K425" s="321">
        <f>SUMIFS(DATA!$M:$M,DATA!$C:$C,$B424,DATA!$N:$N,"&gt;="&amp;DATE($I$2,K$4,1),DATA!$N:$N,"&lt;="&amp;DATE($I$2,K$4,K$5))</f>
        <v/>
      </c>
      <c r="L425" s="321">
        <f>SUMIFS(DATA!$M:$M,DATA!$C:$C,$B424,DATA!$N:$N,"&gt;="&amp;DATE($I$2,L$4,1),DATA!$N:$N,"&lt;="&amp;DATE($I$2,L$4,L$5))</f>
        <v/>
      </c>
      <c r="M425" s="321">
        <f>SUMIFS(DATA!$M:$M,DATA!$C:$C,$B424,DATA!$N:$N,"&gt;="&amp;DATE($I$2,M$4,1),DATA!$N:$N,"&lt;="&amp;DATE($I$2,M$4,M$5))</f>
        <v/>
      </c>
      <c r="N425" s="321">
        <f>SUMIFS(DATA!$M:$M,DATA!$C:$C,$B424,DATA!$N:$N,"&gt;="&amp;DATE($I$2,N$4,1),DATA!$N:$N,"&lt;="&amp;DATE($I$2,N$4,N$5))</f>
        <v/>
      </c>
      <c r="O425" s="321">
        <f>SUMIFS(DATA!$M:$M,DATA!$C:$C,$B424,DATA!$N:$N,"&gt;="&amp;DATE($I$2,O$4,1),DATA!$N:$N,"&lt;="&amp;DATE($I$2,O$4,O$5))</f>
        <v/>
      </c>
      <c r="P425" s="322">
        <f>SUM(D425:O425)</f>
        <v/>
      </c>
      <c r="Q425" s="118" t="n"/>
    </row>
    <row r="426" hidden="1" outlineLevel="1" ht="15" customHeight="1">
      <c r="A426" s="269" t="n">
        <v>211</v>
      </c>
      <c r="B426" s="125" t="n"/>
      <c r="C426" s="119" t="inlineStr">
        <is>
          <t>Kế hoạch</t>
        </is>
      </c>
      <c r="D426" s="321">
        <f>SUMIFS(DATA!$I:$I,DATA!$C:$C,$B426,DATA!$J:$J,"&gt;="&amp;DATE($I$2,D$4,1),DATA!$J:$J,"&lt;="&amp;DATE($I$2,D$4,D$5))</f>
        <v/>
      </c>
      <c r="E426" s="321">
        <f>SUMIFS(DATA!$I:$I,DATA!$C:$C,$B426,DATA!$J:$J,"&gt;="&amp;DATE($I$2,E$4,1),DATA!$J:$J,"&lt;="&amp;DATE($I$2,E$4,E$5))</f>
        <v/>
      </c>
      <c r="F426" s="321">
        <f>SUMIFS(DATA!$I:$I,DATA!$C:$C,$B426,DATA!$J:$J,"&gt;="&amp;DATE($I$2,F$4,1),DATA!$J:$J,"&lt;="&amp;DATE($I$2,F$4,F$5))</f>
        <v/>
      </c>
      <c r="G426" s="321">
        <f>SUMIFS(DATA!$I:$I,DATA!$C:$C,$B426,DATA!$J:$J,"&gt;="&amp;DATE($I$2,G$4,1),DATA!$J:$J,"&lt;="&amp;DATE($I$2,G$4,G$5))</f>
        <v/>
      </c>
      <c r="H426" s="321">
        <f>SUMIFS(DATA!$I:$I,DATA!$C:$C,$B426,DATA!$J:$J,"&gt;="&amp;DATE($I$2,H$4,1),DATA!$J:$J,"&lt;="&amp;DATE($I$2,H$4,H$5))</f>
        <v/>
      </c>
      <c r="I426" s="321">
        <f>SUMIFS(DATA!$I:$I,DATA!$C:$C,$B426,DATA!$J:$J,"&gt;="&amp;DATE($I$2,I$4,1),DATA!$J:$J,"&lt;="&amp;DATE($I$2,I$4,I$5))</f>
        <v/>
      </c>
      <c r="J426" s="321">
        <f>SUMIFS(DATA!$I:$I,DATA!$C:$C,$B426,DATA!$J:$J,"&gt;="&amp;DATE($I$2,J$4,1),DATA!$J:$J,"&lt;="&amp;DATE($I$2,J$4,J$5))</f>
        <v/>
      </c>
      <c r="K426" s="321">
        <f>SUMIFS(DATA!$I:$I,DATA!$C:$C,$B426,DATA!$J:$J,"&gt;="&amp;DATE($I$2,K$4,1),DATA!$J:$J,"&lt;="&amp;DATE($I$2,K$4,K$5))</f>
        <v/>
      </c>
      <c r="L426" s="321">
        <f>SUMIFS(DATA!$I:$I,DATA!$C:$C,$B426,DATA!$J:$J,"&gt;="&amp;DATE($I$2,L$4,1),DATA!$J:$J,"&lt;="&amp;DATE($I$2,L$4,L$5))</f>
        <v/>
      </c>
      <c r="M426" s="321">
        <f>SUMIFS(DATA!$I:$I,DATA!$C:$C,$B426,DATA!$J:$J,"&gt;="&amp;DATE($I$2,M$4,1),DATA!$J:$J,"&lt;="&amp;DATE($I$2,M$4,M$5))</f>
        <v/>
      </c>
      <c r="N426" s="321">
        <f>SUMIFS(DATA!$I:$I,DATA!$C:$C,$B426,DATA!$J:$J,"&gt;="&amp;DATE($I$2,N$4,1),DATA!$J:$J,"&lt;="&amp;DATE($I$2,N$4,N$5))</f>
        <v/>
      </c>
      <c r="O426" s="321">
        <f>SUMIFS(DATA!$I:$I,DATA!$C:$C,$B426,DATA!$J:$J,"&gt;="&amp;DATE($I$2,O$4,1),DATA!$J:$J,"&lt;="&amp;DATE($I$2,O$4,O$5))</f>
        <v/>
      </c>
      <c r="P426" s="322">
        <f>SUM(D426:O426)</f>
        <v/>
      </c>
      <c r="Q426" s="118" t="n"/>
    </row>
    <row r="427" hidden="1" outlineLevel="1" ht="15" customHeight="1">
      <c r="A427" s="266" t="n"/>
      <c r="B427" s="126" t="n"/>
      <c r="C427" s="119" t="inlineStr">
        <is>
          <t>Thực tế</t>
        </is>
      </c>
      <c r="D427" s="321">
        <f>SUMIFS(DATA!$M:$M,DATA!$C:$C,$B426,DATA!$N:$N,"&gt;="&amp;DATE($I$2,D$4,1),DATA!$N:$N,"&lt;="&amp;DATE($I$2,D$4,D$5))</f>
        <v/>
      </c>
      <c r="E427" s="321">
        <f>SUMIFS(DATA!$M:$M,DATA!$C:$C,$B426,DATA!$N:$N,"&gt;="&amp;DATE($I$2,E$4,1),DATA!$N:$N,"&lt;="&amp;DATE($I$2,E$4,E$5))</f>
        <v/>
      </c>
      <c r="F427" s="321">
        <f>SUMIFS(DATA!$M:$M,DATA!$C:$C,$B426,DATA!$N:$N,"&gt;="&amp;DATE($I$2,F$4,1),DATA!$N:$N,"&lt;="&amp;DATE($I$2,F$4,F$5))</f>
        <v/>
      </c>
      <c r="G427" s="321">
        <f>SUMIFS(DATA!$M:$M,DATA!$C:$C,$B426,DATA!$N:$N,"&gt;="&amp;DATE($I$2,G$4,1),DATA!$N:$N,"&lt;="&amp;DATE($I$2,G$4,G$5))</f>
        <v/>
      </c>
      <c r="H427" s="321">
        <f>SUMIFS(DATA!$M:$M,DATA!$C:$C,$B426,DATA!$N:$N,"&gt;="&amp;DATE($I$2,H$4,1),DATA!$N:$N,"&lt;="&amp;DATE($I$2,H$4,H$5))</f>
        <v/>
      </c>
      <c r="I427" s="321">
        <f>SUMIFS(DATA!$M:$M,DATA!$C:$C,$B426,DATA!$N:$N,"&gt;="&amp;DATE($I$2,I$4,1),DATA!$N:$N,"&lt;="&amp;DATE($I$2,I$4,I$5))</f>
        <v/>
      </c>
      <c r="J427" s="321">
        <f>SUMIFS(DATA!$M:$M,DATA!$C:$C,$B426,DATA!$N:$N,"&gt;="&amp;DATE($I$2,J$4,1),DATA!$N:$N,"&lt;="&amp;DATE($I$2,J$4,J$5))</f>
        <v/>
      </c>
      <c r="K427" s="321">
        <f>SUMIFS(DATA!$M:$M,DATA!$C:$C,$B426,DATA!$N:$N,"&gt;="&amp;DATE($I$2,K$4,1),DATA!$N:$N,"&lt;="&amp;DATE($I$2,K$4,K$5))</f>
        <v/>
      </c>
      <c r="L427" s="321">
        <f>SUMIFS(DATA!$M:$M,DATA!$C:$C,$B426,DATA!$N:$N,"&gt;="&amp;DATE($I$2,L$4,1),DATA!$N:$N,"&lt;="&amp;DATE($I$2,L$4,L$5))</f>
        <v/>
      </c>
      <c r="M427" s="321">
        <f>SUMIFS(DATA!$M:$M,DATA!$C:$C,$B426,DATA!$N:$N,"&gt;="&amp;DATE($I$2,M$4,1),DATA!$N:$N,"&lt;="&amp;DATE($I$2,M$4,M$5))</f>
        <v/>
      </c>
      <c r="N427" s="321">
        <f>SUMIFS(DATA!$M:$M,DATA!$C:$C,$B426,DATA!$N:$N,"&gt;="&amp;DATE($I$2,N$4,1),DATA!$N:$N,"&lt;="&amp;DATE($I$2,N$4,N$5))</f>
        <v/>
      </c>
      <c r="O427" s="321">
        <f>SUMIFS(DATA!$M:$M,DATA!$C:$C,$B426,DATA!$N:$N,"&gt;="&amp;DATE($I$2,O$4,1),DATA!$N:$N,"&lt;="&amp;DATE($I$2,O$4,O$5))</f>
        <v/>
      </c>
      <c r="P427" s="322">
        <f>SUM(D427:O427)</f>
        <v/>
      </c>
      <c r="Q427" s="118" t="n"/>
    </row>
    <row r="428" hidden="1" outlineLevel="1" ht="15" customHeight="1">
      <c r="A428" s="269" t="n">
        <v>212</v>
      </c>
      <c r="B428" s="125" t="n"/>
      <c r="C428" s="119" t="inlineStr">
        <is>
          <t>Kế hoạch</t>
        </is>
      </c>
      <c r="D428" s="321">
        <f>SUMIFS(DATA!$I:$I,DATA!$C:$C,$B428,DATA!$J:$J,"&gt;="&amp;DATE($I$2,D$4,1),DATA!$J:$J,"&lt;="&amp;DATE($I$2,D$4,D$5))</f>
        <v/>
      </c>
      <c r="E428" s="321">
        <f>SUMIFS(DATA!$I:$I,DATA!$C:$C,$B428,DATA!$J:$J,"&gt;="&amp;DATE($I$2,E$4,1),DATA!$J:$J,"&lt;="&amp;DATE($I$2,E$4,E$5))</f>
        <v/>
      </c>
      <c r="F428" s="321">
        <f>SUMIFS(DATA!$I:$I,DATA!$C:$C,$B428,DATA!$J:$J,"&gt;="&amp;DATE($I$2,F$4,1),DATA!$J:$J,"&lt;="&amp;DATE($I$2,F$4,F$5))</f>
        <v/>
      </c>
      <c r="G428" s="321">
        <f>SUMIFS(DATA!$I:$I,DATA!$C:$C,$B428,DATA!$J:$J,"&gt;="&amp;DATE($I$2,G$4,1),DATA!$J:$J,"&lt;="&amp;DATE($I$2,G$4,G$5))</f>
        <v/>
      </c>
      <c r="H428" s="321">
        <f>SUMIFS(DATA!$I:$I,DATA!$C:$C,$B428,DATA!$J:$J,"&gt;="&amp;DATE($I$2,H$4,1),DATA!$J:$J,"&lt;="&amp;DATE($I$2,H$4,H$5))</f>
        <v/>
      </c>
      <c r="I428" s="321">
        <f>SUMIFS(DATA!$I:$I,DATA!$C:$C,$B428,DATA!$J:$J,"&gt;="&amp;DATE($I$2,I$4,1),DATA!$J:$J,"&lt;="&amp;DATE($I$2,I$4,I$5))</f>
        <v/>
      </c>
      <c r="J428" s="321">
        <f>SUMIFS(DATA!$I:$I,DATA!$C:$C,$B428,DATA!$J:$J,"&gt;="&amp;DATE($I$2,J$4,1),DATA!$J:$J,"&lt;="&amp;DATE($I$2,J$4,J$5))</f>
        <v/>
      </c>
      <c r="K428" s="321">
        <f>SUMIFS(DATA!$I:$I,DATA!$C:$C,$B428,DATA!$J:$J,"&gt;="&amp;DATE($I$2,K$4,1),DATA!$J:$J,"&lt;="&amp;DATE($I$2,K$4,K$5))</f>
        <v/>
      </c>
      <c r="L428" s="321">
        <f>SUMIFS(DATA!$I:$I,DATA!$C:$C,$B428,DATA!$J:$J,"&gt;="&amp;DATE($I$2,L$4,1),DATA!$J:$J,"&lt;="&amp;DATE($I$2,L$4,L$5))</f>
        <v/>
      </c>
      <c r="M428" s="321">
        <f>SUMIFS(DATA!$I:$I,DATA!$C:$C,$B428,DATA!$J:$J,"&gt;="&amp;DATE($I$2,M$4,1),DATA!$J:$J,"&lt;="&amp;DATE($I$2,M$4,M$5))</f>
        <v/>
      </c>
      <c r="N428" s="321">
        <f>SUMIFS(DATA!$I:$I,DATA!$C:$C,$B428,DATA!$J:$J,"&gt;="&amp;DATE($I$2,N$4,1),DATA!$J:$J,"&lt;="&amp;DATE($I$2,N$4,N$5))</f>
        <v/>
      </c>
      <c r="O428" s="321">
        <f>SUMIFS(DATA!$I:$I,DATA!$C:$C,$B428,DATA!$J:$J,"&gt;="&amp;DATE($I$2,O$4,1),DATA!$J:$J,"&lt;="&amp;DATE($I$2,O$4,O$5))</f>
        <v/>
      </c>
      <c r="P428" s="322">
        <f>SUM(D428:O428)</f>
        <v/>
      </c>
      <c r="Q428" s="118" t="n"/>
    </row>
    <row r="429" hidden="1" outlineLevel="1" ht="15" customHeight="1">
      <c r="A429" s="266" t="n"/>
      <c r="B429" s="126" t="n"/>
      <c r="C429" s="119" t="inlineStr">
        <is>
          <t>Thực tế</t>
        </is>
      </c>
      <c r="D429" s="321">
        <f>SUMIFS(DATA!$M:$M,DATA!$C:$C,$B428,DATA!$N:$N,"&gt;="&amp;DATE($I$2,D$4,1),DATA!$N:$N,"&lt;="&amp;DATE($I$2,D$4,D$5))</f>
        <v/>
      </c>
      <c r="E429" s="321">
        <f>SUMIFS(DATA!$M:$M,DATA!$C:$C,$B428,DATA!$N:$N,"&gt;="&amp;DATE($I$2,E$4,1),DATA!$N:$N,"&lt;="&amp;DATE($I$2,E$4,E$5))</f>
        <v/>
      </c>
      <c r="F429" s="321">
        <f>SUMIFS(DATA!$M:$M,DATA!$C:$C,$B428,DATA!$N:$N,"&gt;="&amp;DATE($I$2,F$4,1),DATA!$N:$N,"&lt;="&amp;DATE($I$2,F$4,F$5))</f>
        <v/>
      </c>
      <c r="G429" s="321">
        <f>SUMIFS(DATA!$M:$M,DATA!$C:$C,$B428,DATA!$N:$N,"&gt;="&amp;DATE($I$2,G$4,1),DATA!$N:$N,"&lt;="&amp;DATE($I$2,G$4,G$5))</f>
        <v/>
      </c>
      <c r="H429" s="321">
        <f>SUMIFS(DATA!$M:$M,DATA!$C:$C,$B428,DATA!$N:$N,"&gt;="&amp;DATE($I$2,H$4,1),DATA!$N:$N,"&lt;="&amp;DATE($I$2,H$4,H$5))</f>
        <v/>
      </c>
      <c r="I429" s="321">
        <f>SUMIFS(DATA!$M:$M,DATA!$C:$C,$B428,DATA!$N:$N,"&gt;="&amp;DATE($I$2,I$4,1),DATA!$N:$N,"&lt;="&amp;DATE($I$2,I$4,I$5))</f>
        <v/>
      </c>
      <c r="J429" s="321">
        <f>SUMIFS(DATA!$M:$M,DATA!$C:$C,$B428,DATA!$N:$N,"&gt;="&amp;DATE($I$2,J$4,1),DATA!$N:$N,"&lt;="&amp;DATE($I$2,J$4,J$5))</f>
        <v/>
      </c>
      <c r="K429" s="321">
        <f>SUMIFS(DATA!$M:$M,DATA!$C:$C,$B428,DATA!$N:$N,"&gt;="&amp;DATE($I$2,K$4,1),DATA!$N:$N,"&lt;="&amp;DATE($I$2,K$4,K$5))</f>
        <v/>
      </c>
      <c r="L429" s="321">
        <f>SUMIFS(DATA!$M:$M,DATA!$C:$C,$B428,DATA!$N:$N,"&gt;="&amp;DATE($I$2,L$4,1),DATA!$N:$N,"&lt;="&amp;DATE($I$2,L$4,L$5))</f>
        <v/>
      </c>
      <c r="M429" s="321">
        <f>SUMIFS(DATA!$M:$M,DATA!$C:$C,$B428,DATA!$N:$N,"&gt;="&amp;DATE($I$2,M$4,1),DATA!$N:$N,"&lt;="&amp;DATE($I$2,M$4,M$5))</f>
        <v/>
      </c>
      <c r="N429" s="321">
        <f>SUMIFS(DATA!$M:$M,DATA!$C:$C,$B428,DATA!$N:$N,"&gt;="&amp;DATE($I$2,N$4,1),DATA!$N:$N,"&lt;="&amp;DATE($I$2,N$4,N$5))</f>
        <v/>
      </c>
      <c r="O429" s="321">
        <f>SUMIFS(DATA!$M:$M,DATA!$C:$C,$B428,DATA!$N:$N,"&gt;="&amp;DATE($I$2,O$4,1),DATA!$N:$N,"&lt;="&amp;DATE($I$2,O$4,O$5))</f>
        <v/>
      </c>
      <c r="P429" s="322">
        <f>SUM(D429:O429)</f>
        <v/>
      </c>
      <c r="Q429" s="118" t="n"/>
    </row>
    <row r="430" hidden="1" outlineLevel="1" ht="15" customHeight="1">
      <c r="A430" s="269" t="n">
        <v>213</v>
      </c>
      <c r="B430" s="125" t="n"/>
      <c r="C430" s="119" t="inlineStr">
        <is>
          <t>Kế hoạch</t>
        </is>
      </c>
      <c r="D430" s="321">
        <f>SUMIFS(DATA!$I:$I,DATA!$C:$C,$B430,DATA!$J:$J,"&gt;="&amp;DATE($I$2,D$4,1),DATA!$J:$J,"&lt;="&amp;DATE($I$2,D$4,D$5))</f>
        <v/>
      </c>
      <c r="E430" s="321">
        <f>SUMIFS(DATA!$I:$I,DATA!$C:$C,$B430,DATA!$J:$J,"&gt;="&amp;DATE($I$2,E$4,1),DATA!$J:$J,"&lt;="&amp;DATE($I$2,E$4,E$5))</f>
        <v/>
      </c>
      <c r="F430" s="321">
        <f>SUMIFS(DATA!$I:$I,DATA!$C:$C,$B430,DATA!$J:$J,"&gt;="&amp;DATE($I$2,F$4,1),DATA!$J:$J,"&lt;="&amp;DATE($I$2,F$4,F$5))</f>
        <v/>
      </c>
      <c r="G430" s="321">
        <f>SUMIFS(DATA!$I:$I,DATA!$C:$C,$B430,DATA!$J:$J,"&gt;="&amp;DATE($I$2,G$4,1),DATA!$J:$J,"&lt;="&amp;DATE($I$2,G$4,G$5))</f>
        <v/>
      </c>
      <c r="H430" s="321">
        <f>SUMIFS(DATA!$I:$I,DATA!$C:$C,$B430,DATA!$J:$J,"&gt;="&amp;DATE($I$2,H$4,1),DATA!$J:$J,"&lt;="&amp;DATE($I$2,H$4,H$5))</f>
        <v/>
      </c>
      <c r="I430" s="321">
        <f>SUMIFS(DATA!$I:$I,DATA!$C:$C,$B430,DATA!$J:$J,"&gt;="&amp;DATE($I$2,I$4,1),DATA!$J:$J,"&lt;="&amp;DATE($I$2,I$4,I$5))</f>
        <v/>
      </c>
      <c r="J430" s="321">
        <f>SUMIFS(DATA!$I:$I,DATA!$C:$C,$B430,DATA!$J:$J,"&gt;="&amp;DATE($I$2,J$4,1),DATA!$J:$J,"&lt;="&amp;DATE($I$2,J$4,J$5))</f>
        <v/>
      </c>
      <c r="K430" s="321">
        <f>SUMIFS(DATA!$I:$I,DATA!$C:$C,$B430,DATA!$J:$J,"&gt;="&amp;DATE($I$2,K$4,1),DATA!$J:$J,"&lt;="&amp;DATE($I$2,K$4,K$5))</f>
        <v/>
      </c>
      <c r="L430" s="321">
        <f>SUMIFS(DATA!$I:$I,DATA!$C:$C,$B430,DATA!$J:$J,"&gt;="&amp;DATE($I$2,L$4,1),DATA!$J:$J,"&lt;="&amp;DATE($I$2,L$4,L$5))</f>
        <v/>
      </c>
      <c r="M430" s="321">
        <f>SUMIFS(DATA!$I:$I,DATA!$C:$C,$B430,DATA!$J:$J,"&gt;="&amp;DATE($I$2,M$4,1),DATA!$J:$J,"&lt;="&amp;DATE($I$2,M$4,M$5))</f>
        <v/>
      </c>
      <c r="N430" s="321">
        <f>SUMIFS(DATA!$I:$I,DATA!$C:$C,$B430,DATA!$J:$J,"&gt;="&amp;DATE($I$2,N$4,1),DATA!$J:$J,"&lt;="&amp;DATE($I$2,N$4,N$5))</f>
        <v/>
      </c>
      <c r="O430" s="321">
        <f>SUMIFS(DATA!$I:$I,DATA!$C:$C,$B430,DATA!$J:$J,"&gt;="&amp;DATE($I$2,O$4,1),DATA!$J:$J,"&lt;="&amp;DATE($I$2,O$4,O$5))</f>
        <v/>
      </c>
      <c r="P430" s="322">
        <f>SUM(D430:O430)</f>
        <v/>
      </c>
      <c r="Q430" s="118" t="n"/>
    </row>
    <row r="431" hidden="1" outlineLevel="1" ht="15" customHeight="1">
      <c r="A431" s="266" t="n"/>
      <c r="B431" s="126" t="n"/>
      <c r="C431" s="119" t="inlineStr">
        <is>
          <t>Thực tế</t>
        </is>
      </c>
      <c r="D431" s="321">
        <f>SUMIFS(DATA!$M:$M,DATA!$C:$C,$B430,DATA!$N:$N,"&gt;="&amp;DATE($I$2,D$4,1),DATA!$N:$N,"&lt;="&amp;DATE($I$2,D$4,D$5))</f>
        <v/>
      </c>
      <c r="E431" s="321">
        <f>SUMIFS(DATA!$M:$M,DATA!$C:$C,$B430,DATA!$N:$N,"&gt;="&amp;DATE($I$2,E$4,1),DATA!$N:$N,"&lt;="&amp;DATE($I$2,E$4,E$5))</f>
        <v/>
      </c>
      <c r="F431" s="321">
        <f>SUMIFS(DATA!$M:$M,DATA!$C:$C,$B430,DATA!$N:$N,"&gt;="&amp;DATE($I$2,F$4,1),DATA!$N:$N,"&lt;="&amp;DATE($I$2,F$4,F$5))</f>
        <v/>
      </c>
      <c r="G431" s="321">
        <f>SUMIFS(DATA!$M:$M,DATA!$C:$C,$B430,DATA!$N:$N,"&gt;="&amp;DATE($I$2,G$4,1),DATA!$N:$N,"&lt;="&amp;DATE($I$2,G$4,G$5))</f>
        <v/>
      </c>
      <c r="H431" s="321">
        <f>SUMIFS(DATA!$M:$M,DATA!$C:$C,$B430,DATA!$N:$N,"&gt;="&amp;DATE($I$2,H$4,1),DATA!$N:$N,"&lt;="&amp;DATE($I$2,H$4,H$5))</f>
        <v/>
      </c>
      <c r="I431" s="321">
        <f>SUMIFS(DATA!$M:$M,DATA!$C:$C,$B430,DATA!$N:$N,"&gt;="&amp;DATE($I$2,I$4,1),DATA!$N:$N,"&lt;="&amp;DATE($I$2,I$4,I$5))</f>
        <v/>
      </c>
      <c r="J431" s="321">
        <f>SUMIFS(DATA!$M:$M,DATA!$C:$C,$B430,DATA!$N:$N,"&gt;="&amp;DATE($I$2,J$4,1),DATA!$N:$N,"&lt;="&amp;DATE($I$2,J$4,J$5))</f>
        <v/>
      </c>
      <c r="K431" s="321">
        <f>SUMIFS(DATA!$M:$M,DATA!$C:$C,$B430,DATA!$N:$N,"&gt;="&amp;DATE($I$2,K$4,1),DATA!$N:$N,"&lt;="&amp;DATE($I$2,K$4,K$5))</f>
        <v/>
      </c>
      <c r="L431" s="321">
        <f>SUMIFS(DATA!$M:$M,DATA!$C:$C,$B430,DATA!$N:$N,"&gt;="&amp;DATE($I$2,L$4,1),DATA!$N:$N,"&lt;="&amp;DATE($I$2,L$4,L$5))</f>
        <v/>
      </c>
      <c r="M431" s="321">
        <f>SUMIFS(DATA!$M:$M,DATA!$C:$C,$B430,DATA!$N:$N,"&gt;="&amp;DATE($I$2,M$4,1),DATA!$N:$N,"&lt;="&amp;DATE($I$2,M$4,M$5))</f>
        <v/>
      </c>
      <c r="N431" s="321">
        <f>SUMIFS(DATA!$M:$M,DATA!$C:$C,$B430,DATA!$N:$N,"&gt;="&amp;DATE($I$2,N$4,1),DATA!$N:$N,"&lt;="&amp;DATE($I$2,N$4,N$5))</f>
        <v/>
      </c>
      <c r="O431" s="321">
        <f>SUMIFS(DATA!$M:$M,DATA!$C:$C,$B430,DATA!$N:$N,"&gt;="&amp;DATE($I$2,O$4,1),DATA!$N:$N,"&lt;="&amp;DATE($I$2,O$4,O$5))</f>
        <v/>
      </c>
      <c r="P431" s="322">
        <f>SUM(D431:O431)</f>
        <v/>
      </c>
      <c r="Q431" s="118" t="n"/>
    </row>
    <row r="432" hidden="1" outlineLevel="1" ht="15" customHeight="1">
      <c r="A432" s="269" t="n">
        <v>214</v>
      </c>
      <c r="B432" s="125" t="n"/>
      <c r="C432" s="119" t="inlineStr">
        <is>
          <t>Kế hoạch</t>
        </is>
      </c>
      <c r="D432" s="321">
        <f>SUMIFS(DATA!$I:$I,DATA!$C:$C,$B432,DATA!$J:$J,"&gt;="&amp;DATE($I$2,D$4,1),DATA!$J:$J,"&lt;="&amp;DATE($I$2,D$4,D$5))</f>
        <v/>
      </c>
      <c r="E432" s="321">
        <f>SUMIFS(DATA!$I:$I,DATA!$C:$C,$B432,DATA!$J:$J,"&gt;="&amp;DATE($I$2,E$4,1),DATA!$J:$J,"&lt;="&amp;DATE($I$2,E$4,E$5))</f>
        <v/>
      </c>
      <c r="F432" s="321">
        <f>SUMIFS(DATA!$I:$I,DATA!$C:$C,$B432,DATA!$J:$J,"&gt;="&amp;DATE($I$2,F$4,1),DATA!$J:$J,"&lt;="&amp;DATE($I$2,F$4,F$5))</f>
        <v/>
      </c>
      <c r="G432" s="321">
        <f>SUMIFS(DATA!$I:$I,DATA!$C:$C,$B432,DATA!$J:$J,"&gt;="&amp;DATE($I$2,G$4,1),DATA!$J:$J,"&lt;="&amp;DATE($I$2,G$4,G$5))</f>
        <v/>
      </c>
      <c r="H432" s="321">
        <f>SUMIFS(DATA!$I:$I,DATA!$C:$C,$B432,DATA!$J:$J,"&gt;="&amp;DATE($I$2,H$4,1),DATA!$J:$J,"&lt;="&amp;DATE($I$2,H$4,H$5))</f>
        <v/>
      </c>
      <c r="I432" s="321">
        <f>SUMIFS(DATA!$I:$I,DATA!$C:$C,$B432,DATA!$J:$J,"&gt;="&amp;DATE($I$2,I$4,1),DATA!$J:$J,"&lt;="&amp;DATE($I$2,I$4,I$5))</f>
        <v/>
      </c>
      <c r="J432" s="321">
        <f>SUMIFS(DATA!$I:$I,DATA!$C:$C,$B432,DATA!$J:$J,"&gt;="&amp;DATE($I$2,J$4,1),DATA!$J:$J,"&lt;="&amp;DATE($I$2,J$4,J$5))</f>
        <v/>
      </c>
      <c r="K432" s="321">
        <f>SUMIFS(DATA!$I:$I,DATA!$C:$C,$B432,DATA!$J:$J,"&gt;="&amp;DATE($I$2,K$4,1),DATA!$J:$J,"&lt;="&amp;DATE($I$2,K$4,K$5))</f>
        <v/>
      </c>
      <c r="L432" s="321">
        <f>SUMIFS(DATA!$I:$I,DATA!$C:$C,$B432,DATA!$J:$J,"&gt;="&amp;DATE($I$2,L$4,1),DATA!$J:$J,"&lt;="&amp;DATE($I$2,L$4,L$5))</f>
        <v/>
      </c>
      <c r="M432" s="321">
        <f>SUMIFS(DATA!$I:$I,DATA!$C:$C,$B432,DATA!$J:$J,"&gt;="&amp;DATE($I$2,M$4,1),DATA!$J:$J,"&lt;="&amp;DATE($I$2,M$4,M$5))</f>
        <v/>
      </c>
      <c r="N432" s="321">
        <f>SUMIFS(DATA!$I:$I,DATA!$C:$C,$B432,DATA!$J:$J,"&gt;="&amp;DATE($I$2,N$4,1),DATA!$J:$J,"&lt;="&amp;DATE($I$2,N$4,N$5))</f>
        <v/>
      </c>
      <c r="O432" s="321">
        <f>SUMIFS(DATA!$I:$I,DATA!$C:$C,$B432,DATA!$J:$J,"&gt;="&amp;DATE($I$2,O$4,1),DATA!$J:$J,"&lt;="&amp;DATE($I$2,O$4,O$5))</f>
        <v/>
      </c>
      <c r="P432" s="322">
        <f>SUM(D432:O432)</f>
        <v/>
      </c>
      <c r="Q432" s="118" t="n"/>
    </row>
    <row r="433" hidden="1" outlineLevel="1" ht="15" customHeight="1">
      <c r="A433" s="266" t="n"/>
      <c r="B433" s="126" t="n"/>
      <c r="C433" s="119" t="inlineStr">
        <is>
          <t>Thực tế</t>
        </is>
      </c>
      <c r="D433" s="321">
        <f>SUMIFS(DATA!$M:$M,DATA!$C:$C,$B432,DATA!$N:$N,"&gt;="&amp;DATE($I$2,D$4,1),DATA!$N:$N,"&lt;="&amp;DATE($I$2,D$4,D$5))</f>
        <v/>
      </c>
      <c r="E433" s="321">
        <f>SUMIFS(DATA!$M:$M,DATA!$C:$C,$B432,DATA!$N:$N,"&gt;="&amp;DATE($I$2,E$4,1),DATA!$N:$N,"&lt;="&amp;DATE($I$2,E$4,E$5))</f>
        <v/>
      </c>
      <c r="F433" s="321">
        <f>SUMIFS(DATA!$M:$M,DATA!$C:$C,$B432,DATA!$N:$N,"&gt;="&amp;DATE($I$2,F$4,1),DATA!$N:$N,"&lt;="&amp;DATE($I$2,F$4,F$5))</f>
        <v/>
      </c>
      <c r="G433" s="321">
        <f>SUMIFS(DATA!$M:$M,DATA!$C:$C,$B432,DATA!$N:$N,"&gt;="&amp;DATE($I$2,G$4,1),DATA!$N:$N,"&lt;="&amp;DATE($I$2,G$4,G$5))</f>
        <v/>
      </c>
      <c r="H433" s="321">
        <f>SUMIFS(DATA!$M:$M,DATA!$C:$C,$B432,DATA!$N:$N,"&gt;="&amp;DATE($I$2,H$4,1),DATA!$N:$N,"&lt;="&amp;DATE($I$2,H$4,H$5))</f>
        <v/>
      </c>
      <c r="I433" s="321">
        <f>SUMIFS(DATA!$M:$M,DATA!$C:$C,$B432,DATA!$N:$N,"&gt;="&amp;DATE($I$2,I$4,1),DATA!$N:$N,"&lt;="&amp;DATE($I$2,I$4,I$5))</f>
        <v/>
      </c>
      <c r="J433" s="321">
        <f>SUMIFS(DATA!$M:$M,DATA!$C:$C,$B432,DATA!$N:$N,"&gt;="&amp;DATE($I$2,J$4,1),DATA!$N:$N,"&lt;="&amp;DATE($I$2,J$4,J$5))</f>
        <v/>
      </c>
      <c r="K433" s="321">
        <f>SUMIFS(DATA!$M:$M,DATA!$C:$C,$B432,DATA!$N:$N,"&gt;="&amp;DATE($I$2,K$4,1),DATA!$N:$N,"&lt;="&amp;DATE($I$2,K$4,K$5))</f>
        <v/>
      </c>
      <c r="L433" s="321">
        <f>SUMIFS(DATA!$M:$M,DATA!$C:$C,$B432,DATA!$N:$N,"&gt;="&amp;DATE($I$2,L$4,1),DATA!$N:$N,"&lt;="&amp;DATE($I$2,L$4,L$5))</f>
        <v/>
      </c>
      <c r="M433" s="321">
        <f>SUMIFS(DATA!$M:$M,DATA!$C:$C,$B432,DATA!$N:$N,"&gt;="&amp;DATE($I$2,M$4,1),DATA!$N:$N,"&lt;="&amp;DATE($I$2,M$4,M$5))</f>
        <v/>
      </c>
      <c r="N433" s="321">
        <f>SUMIFS(DATA!$M:$M,DATA!$C:$C,$B432,DATA!$N:$N,"&gt;="&amp;DATE($I$2,N$4,1),DATA!$N:$N,"&lt;="&amp;DATE($I$2,N$4,N$5))</f>
        <v/>
      </c>
      <c r="O433" s="321">
        <f>SUMIFS(DATA!$M:$M,DATA!$C:$C,$B432,DATA!$N:$N,"&gt;="&amp;DATE($I$2,O$4,1),DATA!$N:$N,"&lt;="&amp;DATE($I$2,O$4,O$5))</f>
        <v/>
      </c>
      <c r="P433" s="322">
        <f>SUM(D433:O433)</f>
        <v/>
      </c>
      <c r="Q433" s="118" t="n"/>
    </row>
    <row r="434" hidden="1" outlineLevel="1" ht="15" customHeight="1">
      <c r="A434" s="269" t="n">
        <v>215</v>
      </c>
      <c r="B434" s="125" t="n"/>
      <c r="C434" s="119" t="inlineStr">
        <is>
          <t>Kế hoạch</t>
        </is>
      </c>
      <c r="D434" s="321">
        <f>SUMIFS(DATA!$I:$I,DATA!$C:$C,$B434,DATA!$J:$J,"&gt;="&amp;DATE($I$2,D$4,1),DATA!$J:$J,"&lt;="&amp;DATE($I$2,D$4,D$5))</f>
        <v/>
      </c>
      <c r="E434" s="321">
        <f>SUMIFS(DATA!$I:$I,DATA!$C:$C,$B434,DATA!$J:$J,"&gt;="&amp;DATE($I$2,E$4,1),DATA!$J:$J,"&lt;="&amp;DATE($I$2,E$4,E$5))</f>
        <v/>
      </c>
      <c r="F434" s="321">
        <f>SUMIFS(DATA!$I:$I,DATA!$C:$C,$B434,DATA!$J:$J,"&gt;="&amp;DATE($I$2,F$4,1),DATA!$J:$J,"&lt;="&amp;DATE($I$2,F$4,F$5))</f>
        <v/>
      </c>
      <c r="G434" s="321">
        <f>SUMIFS(DATA!$I:$I,DATA!$C:$C,$B434,DATA!$J:$J,"&gt;="&amp;DATE($I$2,G$4,1),DATA!$J:$J,"&lt;="&amp;DATE($I$2,G$4,G$5))</f>
        <v/>
      </c>
      <c r="H434" s="321">
        <f>SUMIFS(DATA!$I:$I,DATA!$C:$C,$B434,DATA!$J:$J,"&gt;="&amp;DATE($I$2,H$4,1),DATA!$J:$J,"&lt;="&amp;DATE($I$2,H$4,H$5))</f>
        <v/>
      </c>
      <c r="I434" s="321">
        <f>SUMIFS(DATA!$I:$I,DATA!$C:$C,$B434,DATA!$J:$J,"&gt;="&amp;DATE($I$2,I$4,1),DATA!$J:$J,"&lt;="&amp;DATE($I$2,I$4,I$5))</f>
        <v/>
      </c>
      <c r="J434" s="321">
        <f>SUMIFS(DATA!$I:$I,DATA!$C:$C,$B434,DATA!$J:$J,"&gt;="&amp;DATE($I$2,J$4,1),DATA!$J:$J,"&lt;="&amp;DATE($I$2,J$4,J$5))</f>
        <v/>
      </c>
      <c r="K434" s="321">
        <f>SUMIFS(DATA!$I:$I,DATA!$C:$C,$B434,DATA!$J:$J,"&gt;="&amp;DATE($I$2,K$4,1),DATA!$J:$J,"&lt;="&amp;DATE($I$2,K$4,K$5))</f>
        <v/>
      </c>
      <c r="L434" s="321">
        <f>SUMIFS(DATA!$I:$I,DATA!$C:$C,$B434,DATA!$J:$J,"&gt;="&amp;DATE($I$2,L$4,1),DATA!$J:$J,"&lt;="&amp;DATE($I$2,L$4,L$5))</f>
        <v/>
      </c>
      <c r="M434" s="321">
        <f>SUMIFS(DATA!$I:$I,DATA!$C:$C,$B434,DATA!$J:$J,"&gt;="&amp;DATE($I$2,M$4,1),DATA!$J:$J,"&lt;="&amp;DATE($I$2,M$4,M$5))</f>
        <v/>
      </c>
      <c r="N434" s="321">
        <f>SUMIFS(DATA!$I:$I,DATA!$C:$C,$B434,DATA!$J:$J,"&gt;="&amp;DATE($I$2,N$4,1),DATA!$J:$J,"&lt;="&amp;DATE($I$2,N$4,N$5))</f>
        <v/>
      </c>
      <c r="O434" s="321">
        <f>SUMIFS(DATA!$I:$I,DATA!$C:$C,$B434,DATA!$J:$J,"&gt;="&amp;DATE($I$2,O$4,1),DATA!$J:$J,"&lt;="&amp;DATE($I$2,O$4,O$5))</f>
        <v/>
      </c>
      <c r="P434" s="322">
        <f>SUM(D434:O434)</f>
        <v/>
      </c>
      <c r="Q434" s="118" t="n"/>
    </row>
    <row r="435" hidden="1" outlineLevel="1" ht="15" customHeight="1">
      <c r="A435" s="266" t="n"/>
      <c r="B435" s="126" t="n"/>
      <c r="C435" s="119" t="inlineStr">
        <is>
          <t>Thực tế</t>
        </is>
      </c>
      <c r="D435" s="321">
        <f>SUMIFS(DATA!$M:$M,DATA!$C:$C,$B434,DATA!$N:$N,"&gt;="&amp;DATE($I$2,D$4,1),DATA!$N:$N,"&lt;="&amp;DATE($I$2,D$4,D$5))</f>
        <v/>
      </c>
      <c r="E435" s="321">
        <f>SUMIFS(DATA!$M:$M,DATA!$C:$C,$B434,DATA!$N:$N,"&gt;="&amp;DATE($I$2,E$4,1),DATA!$N:$N,"&lt;="&amp;DATE($I$2,E$4,E$5))</f>
        <v/>
      </c>
      <c r="F435" s="321">
        <f>SUMIFS(DATA!$M:$M,DATA!$C:$C,$B434,DATA!$N:$N,"&gt;="&amp;DATE($I$2,F$4,1),DATA!$N:$N,"&lt;="&amp;DATE($I$2,F$4,F$5))</f>
        <v/>
      </c>
      <c r="G435" s="321">
        <f>SUMIFS(DATA!$M:$M,DATA!$C:$C,$B434,DATA!$N:$N,"&gt;="&amp;DATE($I$2,G$4,1),DATA!$N:$N,"&lt;="&amp;DATE($I$2,G$4,G$5))</f>
        <v/>
      </c>
      <c r="H435" s="321">
        <f>SUMIFS(DATA!$M:$M,DATA!$C:$C,$B434,DATA!$N:$N,"&gt;="&amp;DATE($I$2,H$4,1),DATA!$N:$N,"&lt;="&amp;DATE($I$2,H$4,H$5))</f>
        <v/>
      </c>
      <c r="I435" s="321">
        <f>SUMIFS(DATA!$M:$M,DATA!$C:$C,$B434,DATA!$N:$N,"&gt;="&amp;DATE($I$2,I$4,1),DATA!$N:$N,"&lt;="&amp;DATE($I$2,I$4,I$5))</f>
        <v/>
      </c>
      <c r="J435" s="321">
        <f>SUMIFS(DATA!$M:$M,DATA!$C:$C,$B434,DATA!$N:$N,"&gt;="&amp;DATE($I$2,J$4,1),DATA!$N:$N,"&lt;="&amp;DATE($I$2,J$4,J$5))</f>
        <v/>
      </c>
      <c r="K435" s="321">
        <f>SUMIFS(DATA!$M:$M,DATA!$C:$C,$B434,DATA!$N:$N,"&gt;="&amp;DATE($I$2,K$4,1),DATA!$N:$N,"&lt;="&amp;DATE($I$2,K$4,K$5))</f>
        <v/>
      </c>
      <c r="L435" s="321">
        <f>SUMIFS(DATA!$M:$M,DATA!$C:$C,$B434,DATA!$N:$N,"&gt;="&amp;DATE($I$2,L$4,1),DATA!$N:$N,"&lt;="&amp;DATE($I$2,L$4,L$5))</f>
        <v/>
      </c>
      <c r="M435" s="321">
        <f>SUMIFS(DATA!$M:$M,DATA!$C:$C,$B434,DATA!$N:$N,"&gt;="&amp;DATE($I$2,M$4,1),DATA!$N:$N,"&lt;="&amp;DATE($I$2,M$4,M$5))</f>
        <v/>
      </c>
      <c r="N435" s="321">
        <f>SUMIFS(DATA!$M:$M,DATA!$C:$C,$B434,DATA!$N:$N,"&gt;="&amp;DATE($I$2,N$4,1),DATA!$N:$N,"&lt;="&amp;DATE($I$2,N$4,N$5))</f>
        <v/>
      </c>
      <c r="O435" s="321">
        <f>SUMIFS(DATA!$M:$M,DATA!$C:$C,$B434,DATA!$N:$N,"&gt;="&amp;DATE($I$2,O$4,1),DATA!$N:$N,"&lt;="&amp;DATE($I$2,O$4,O$5))</f>
        <v/>
      </c>
      <c r="P435" s="322">
        <f>SUM(D435:O435)</f>
        <v/>
      </c>
      <c r="Q435" s="118" t="n"/>
    </row>
    <row r="436" hidden="1" outlineLevel="1" ht="15" customHeight="1">
      <c r="A436" s="269" t="n">
        <v>216</v>
      </c>
      <c r="B436" s="125" t="n"/>
      <c r="C436" s="119" t="inlineStr">
        <is>
          <t>Kế hoạch</t>
        </is>
      </c>
      <c r="D436" s="321">
        <f>SUMIFS(DATA!$I:$I,DATA!$C:$C,$B436,DATA!$J:$J,"&gt;="&amp;DATE($I$2,D$4,1),DATA!$J:$J,"&lt;="&amp;DATE($I$2,D$4,D$5))</f>
        <v/>
      </c>
      <c r="E436" s="321">
        <f>SUMIFS(DATA!$I:$I,DATA!$C:$C,$B436,DATA!$J:$J,"&gt;="&amp;DATE($I$2,E$4,1),DATA!$J:$J,"&lt;="&amp;DATE($I$2,E$4,E$5))</f>
        <v/>
      </c>
      <c r="F436" s="321">
        <f>SUMIFS(DATA!$I:$I,DATA!$C:$C,$B436,DATA!$J:$J,"&gt;="&amp;DATE($I$2,F$4,1),DATA!$J:$J,"&lt;="&amp;DATE($I$2,F$4,F$5))</f>
        <v/>
      </c>
      <c r="G436" s="321">
        <f>SUMIFS(DATA!$I:$I,DATA!$C:$C,$B436,DATA!$J:$J,"&gt;="&amp;DATE($I$2,G$4,1),DATA!$J:$J,"&lt;="&amp;DATE($I$2,G$4,G$5))</f>
        <v/>
      </c>
      <c r="H436" s="321">
        <f>SUMIFS(DATA!$I:$I,DATA!$C:$C,$B436,DATA!$J:$J,"&gt;="&amp;DATE($I$2,H$4,1),DATA!$J:$J,"&lt;="&amp;DATE($I$2,H$4,H$5))</f>
        <v/>
      </c>
      <c r="I436" s="321">
        <f>SUMIFS(DATA!$I:$I,DATA!$C:$C,$B436,DATA!$J:$J,"&gt;="&amp;DATE($I$2,I$4,1),DATA!$J:$J,"&lt;="&amp;DATE($I$2,I$4,I$5))</f>
        <v/>
      </c>
      <c r="J436" s="321">
        <f>SUMIFS(DATA!$I:$I,DATA!$C:$C,$B436,DATA!$J:$J,"&gt;="&amp;DATE($I$2,J$4,1),DATA!$J:$J,"&lt;="&amp;DATE($I$2,J$4,J$5))</f>
        <v/>
      </c>
      <c r="K436" s="321">
        <f>SUMIFS(DATA!$I:$I,DATA!$C:$C,$B436,DATA!$J:$J,"&gt;="&amp;DATE($I$2,K$4,1),DATA!$J:$J,"&lt;="&amp;DATE($I$2,K$4,K$5))</f>
        <v/>
      </c>
      <c r="L436" s="321">
        <f>SUMIFS(DATA!$I:$I,DATA!$C:$C,$B436,DATA!$J:$J,"&gt;="&amp;DATE($I$2,L$4,1),DATA!$J:$J,"&lt;="&amp;DATE($I$2,L$4,L$5))</f>
        <v/>
      </c>
      <c r="M436" s="321">
        <f>SUMIFS(DATA!$I:$I,DATA!$C:$C,$B436,DATA!$J:$J,"&gt;="&amp;DATE($I$2,M$4,1),DATA!$J:$J,"&lt;="&amp;DATE($I$2,M$4,M$5))</f>
        <v/>
      </c>
      <c r="N436" s="321">
        <f>SUMIFS(DATA!$I:$I,DATA!$C:$C,$B436,DATA!$J:$J,"&gt;="&amp;DATE($I$2,N$4,1),DATA!$J:$J,"&lt;="&amp;DATE($I$2,N$4,N$5))</f>
        <v/>
      </c>
      <c r="O436" s="321">
        <f>SUMIFS(DATA!$I:$I,DATA!$C:$C,$B436,DATA!$J:$J,"&gt;="&amp;DATE($I$2,O$4,1),DATA!$J:$J,"&lt;="&amp;DATE($I$2,O$4,O$5))</f>
        <v/>
      </c>
      <c r="P436" s="322">
        <f>SUM(D436:O436)</f>
        <v/>
      </c>
      <c r="Q436" s="118" t="n"/>
    </row>
    <row r="437" hidden="1" outlineLevel="1" ht="15" customHeight="1">
      <c r="A437" s="266" t="n"/>
      <c r="B437" s="126" t="n"/>
      <c r="C437" s="119" t="inlineStr">
        <is>
          <t>Thực tế</t>
        </is>
      </c>
      <c r="D437" s="321">
        <f>SUMIFS(DATA!$M:$M,DATA!$C:$C,$B436,DATA!$N:$N,"&gt;="&amp;DATE($I$2,D$4,1),DATA!$N:$N,"&lt;="&amp;DATE($I$2,D$4,D$5))</f>
        <v/>
      </c>
      <c r="E437" s="321">
        <f>SUMIFS(DATA!$M:$M,DATA!$C:$C,$B436,DATA!$N:$N,"&gt;="&amp;DATE($I$2,E$4,1),DATA!$N:$N,"&lt;="&amp;DATE($I$2,E$4,E$5))</f>
        <v/>
      </c>
      <c r="F437" s="321">
        <f>SUMIFS(DATA!$M:$M,DATA!$C:$C,$B436,DATA!$N:$N,"&gt;="&amp;DATE($I$2,F$4,1),DATA!$N:$N,"&lt;="&amp;DATE($I$2,F$4,F$5))</f>
        <v/>
      </c>
      <c r="G437" s="321">
        <f>SUMIFS(DATA!$M:$M,DATA!$C:$C,$B436,DATA!$N:$N,"&gt;="&amp;DATE($I$2,G$4,1),DATA!$N:$N,"&lt;="&amp;DATE($I$2,G$4,G$5))</f>
        <v/>
      </c>
      <c r="H437" s="321">
        <f>SUMIFS(DATA!$M:$M,DATA!$C:$C,$B436,DATA!$N:$N,"&gt;="&amp;DATE($I$2,H$4,1),DATA!$N:$N,"&lt;="&amp;DATE($I$2,H$4,H$5))</f>
        <v/>
      </c>
      <c r="I437" s="321">
        <f>SUMIFS(DATA!$M:$M,DATA!$C:$C,$B436,DATA!$N:$N,"&gt;="&amp;DATE($I$2,I$4,1),DATA!$N:$N,"&lt;="&amp;DATE($I$2,I$4,I$5))</f>
        <v/>
      </c>
      <c r="J437" s="321">
        <f>SUMIFS(DATA!$M:$M,DATA!$C:$C,$B436,DATA!$N:$N,"&gt;="&amp;DATE($I$2,J$4,1),DATA!$N:$N,"&lt;="&amp;DATE($I$2,J$4,J$5))</f>
        <v/>
      </c>
      <c r="K437" s="321">
        <f>SUMIFS(DATA!$M:$M,DATA!$C:$C,$B436,DATA!$N:$N,"&gt;="&amp;DATE($I$2,K$4,1),DATA!$N:$N,"&lt;="&amp;DATE($I$2,K$4,K$5))</f>
        <v/>
      </c>
      <c r="L437" s="321">
        <f>SUMIFS(DATA!$M:$M,DATA!$C:$C,$B436,DATA!$N:$N,"&gt;="&amp;DATE($I$2,L$4,1),DATA!$N:$N,"&lt;="&amp;DATE($I$2,L$4,L$5))</f>
        <v/>
      </c>
      <c r="M437" s="321">
        <f>SUMIFS(DATA!$M:$M,DATA!$C:$C,$B436,DATA!$N:$N,"&gt;="&amp;DATE($I$2,M$4,1),DATA!$N:$N,"&lt;="&amp;DATE($I$2,M$4,M$5))</f>
        <v/>
      </c>
      <c r="N437" s="321">
        <f>SUMIFS(DATA!$M:$M,DATA!$C:$C,$B436,DATA!$N:$N,"&gt;="&amp;DATE($I$2,N$4,1),DATA!$N:$N,"&lt;="&amp;DATE($I$2,N$4,N$5))</f>
        <v/>
      </c>
      <c r="O437" s="321">
        <f>SUMIFS(DATA!$M:$M,DATA!$C:$C,$B436,DATA!$N:$N,"&gt;="&amp;DATE($I$2,O$4,1),DATA!$N:$N,"&lt;="&amp;DATE($I$2,O$4,O$5))</f>
        <v/>
      </c>
      <c r="P437" s="322">
        <f>SUM(D437:O437)</f>
        <v/>
      </c>
      <c r="Q437" s="118" t="n"/>
    </row>
    <row r="438" hidden="1" outlineLevel="1" ht="15" customHeight="1">
      <c r="A438" s="269" t="n">
        <v>217</v>
      </c>
      <c r="B438" s="125" t="n"/>
      <c r="C438" s="119" t="inlineStr">
        <is>
          <t>Kế hoạch</t>
        </is>
      </c>
      <c r="D438" s="321">
        <f>SUMIFS(DATA!$I:$I,DATA!$C:$C,$B438,DATA!$J:$J,"&gt;="&amp;DATE($I$2,D$4,1),DATA!$J:$J,"&lt;="&amp;DATE($I$2,D$4,D$5))</f>
        <v/>
      </c>
      <c r="E438" s="321">
        <f>SUMIFS(DATA!$I:$I,DATA!$C:$C,$B438,DATA!$J:$J,"&gt;="&amp;DATE($I$2,E$4,1),DATA!$J:$J,"&lt;="&amp;DATE($I$2,E$4,E$5))</f>
        <v/>
      </c>
      <c r="F438" s="321">
        <f>SUMIFS(DATA!$I:$I,DATA!$C:$C,$B438,DATA!$J:$J,"&gt;="&amp;DATE($I$2,F$4,1),DATA!$J:$J,"&lt;="&amp;DATE($I$2,F$4,F$5))</f>
        <v/>
      </c>
      <c r="G438" s="321">
        <f>SUMIFS(DATA!$I:$I,DATA!$C:$C,$B438,DATA!$J:$J,"&gt;="&amp;DATE($I$2,G$4,1),DATA!$J:$J,"&lt;="&amp;DATE($I$2,G$4,G$5))</f>
        <v/>
      </c>
      <c r="H438" s="321">
        <f>SUMIFS(DATA!$I:$I,DATA!$C:$C,$B438,DATA!$J:$J,"&gt;="&amp;DATE($I$2,H$4,1),DATA!$J:$J,"&lt;="&amp;DATE($I$2,H$4,H$5))</f>
        <v/>
      </c>
      <c r="I438" s="321">
        <f>SUMIFS(DATA!$I:$I,DATA!$C:$C,$B438,DATA!$J:$J,"&gt;="&amp;DATE($I$2,I$4,1),DATA!$J:$J,"&lt;="&amp;DATE($I$2,I$4,I$5))</f>
        <v/>
      </c>
      <c r="J438" s="321">
        <f>SUMIFS(DATA!$I:$I,DATA!$C:$C,$B438,DATA!$J:$J,"&gt;="&amp;DATE($I$2,J$4,1),DATA!$J:$J,"&lt;="&amp;DATE($I$2,J$4,J$5))</f>
        <v/>
      </c>
      <c r="K438" s="321">
        <f>SUMIFS(DATA!$I:$I,DATA!$C:$C,$B438,DATA!$J:$J,"&gt;="&amp;DATE($I$2,K$4,1),DATA!$J:$J,"&lt;="&amp;DATE($I$2,K$4,K$5))</f>
        <v/>
      </c>
      <c r="L438" s="321">
        <f>SUMIFS(DATA!$I:$I,DATA!$C:$C,$B438,DATA!$J:$J,"&gt;="&amp;DATE($I$2,L$4,1),DATA!$J:$J,"&lt;="&amp;DATE($I$2,L$4,L$5))</f>
        <v/>
      </c>
      <c r="M438" s="321">
        <f>SUMIFS(DATA!$I:$I,DATA!$C:$C,$B438,DATA!$J:$J,"&gt;="&amp;DATE($I$2,M$4,1),DATA!$J:$J,"&lt;="&amp;DATE($I$2,M$4,M$5))</f>
        <v/>
      </c>
      <c r="N438" s="321">
        <f>SUMIFS(DATA!$I:$I,DATA!$C:$C,$B438,DATA!$J:$J,"&gt;="&amp;DATE($I$2,N$4,1),DATA!$J:$J,"&lt;="&amp;DATE($I$2,N$4,N$5))</f>
        <v/>
      </c>
      <c r="O438" s="321">
        <f>SUMIFS(DATA!$I:$I,DATA!$C:$C,$B438,DATA!$J:$J,"&gt;="&amp;DATE($I$2,O$4,1),DATA!$J:$J,"&lt;="&amp;DATE($I$2,O$4,O$5))</f>
        <v/>
      </c>
      <c r="P438" s="322">
        <f>SUM(D438:O438)</f>
        <v/>
      </c>
      <c r="Q438" s="118" t="n"/>
    </row>
    <row r="439" hidden="1" outlineLevel="1" ht="15" customHeight="1">
      <c r="A439" s="266" t="n"/>
      <c r="B439" s="126" t="n"/>
      <c r="C439" s="119" t="inlineStr">
        <is>
          <t>Thực tế</t>
        </is>
      </c>
      <c r="D439" s="321">
        <f>SUMIFS(DATA!$M:$M,DATA!$C:$C,$B438,DATA!$N:$N,"&gt;="&amp;DATE($I$2,D$4,1),DATA!$N:$N,"&lt;="&amp;DATE($I$2,D$4,D$5))</f>
        <v/>
      </c>
      <c r="E439" s="321">
        <f>SUMIFS(DATA!$M:$M,DATA!$C:$C,$B438,DATA!$N:$N,"&gt;="&amp;DATE($I$2,E$4,1),DATA!$N:$N,"&lt;="&amp;DATE($I$2,E$4,E$5))</f>
        <v/>
      </c>
      <c r="F439" s="321">
        <f>SUMIFS(DATA!$M:$M,DATA!$C:$C,$B438,DATA!$N:$N,"&gt;="&amp;DATE($I$2,F$4,1),DATA!$N:$N,"&lt;="&amp;DATE($I$2,F$4,F$5))</f>
        <v/>
      </c>
      <c r="G439" s="321">
        <f>SUMIFS(DATA!$M:$M,DATA!$C:$C,$B438,DATA!$N:$N,"&gt;="&amp;DATE($I$2,G$4,1),DATA!$N:$N,"&lt;="&amp;DATE($I$2,G$4,G$5))</f>
        <v/>
      </c>
      <c r="H439" s="321">
        <f>SUMIFS(DATA!$M:$M,DATA!$C:$C,$B438,DATA!$N:$N,"&gt;="&amp;DATE($I$2,H$4,1),DATA!$N:$N,"&lt;="&amp;DATE($I$2,H$4,H$5))</f>
        <v/>
      </c>
      <c r="I439" s="321">
        <f>SUMIFS(DATA!$M:$M,DATA!$C:$C,$B438,DATA!$N:$N,"&gt;="&amp;DATE($I$2,I$4,1),DATA!$N:$N,"&lt;="&amp;DATE($I$2,I$4,I$5))</f>
        <v/>
      </c>
      <c r="J439" s="321">
        <f>SUMIFS(DATA!$M:$M,DATA!$C:$C,$B438,DATA!$N:$N,"&gt;="&amp;DATE($I$2,J$4,1),DATA!$N:$N,"&lt;="&amp;DATE($I$2,J$4,J$5))</f>
        <v/>
      </c>
      <c r="K439" s="321">
        <f>SUMIFS(DATA!$M:$M,DATA!$C:$C,$B438,DATA!$N:$N,"&gt;="&amp;DATE($I$2,K$4,1),DATA!$N:$N,"&lt;="&amp;DATE($I$2,K$4,K$5))</f>
        <v/>
      </c>
      <c r="L439" s="321">
        <f>SUMIFS(DATA!$M:$M,DATA!$C:$C,$B438,DATA!$N:$N,"&gt;="&amp;DATE($I$2,L$4,1),DATA!$N:$N,"&lt;="&amp;DATE($I$2,L$4,L$5))</f>
        <v/>
      </c>
      <c r="M439" s="321">
        <f>SUMIFS(DATA!$M:$M,DATA!$C:$C,$B438,DATA!$N:$N,"&gt;="&amp;DATE($I$2,M$4,1),DATA!$N:$N,"&lt;="&amp;DATE($I$2,M$4,M$5))</f>
        <v/>
      </c>
      <c r="N439" s="321">
        <f>SUMIFS(DATA!$M:$M,DATA!$C:$C,$B438,DATA!$N:$N,"&gt;="&amp;DATE($I$2,N$4,1),DATA!$N:$N,"&lt;="&amp;DATE($I$2,N$4,N$5))</f>
        <v/>
      </c>
      <c r="O439" s="321">
        <f>SUMIFS(DATA!$M:$M,DATA!$C:$C,$B438,DATA!$N:$N,"&gt;="&amp;DATE($I$2,O$4,1),DATA!$N:$N,"&lt;="&amp;DATE($I$2,O$4,O$5))</f>
        <v/>
      </c>
      <c r="P439" s="322">
        <f>SUM(D439:O439)</f>
        <v/>
      </c>
      <c r="Q439" s="118" t="n"/>
    </row>
    <row r="440" hidden="1" outlineLevel="1" ht="15" customHeight="1">
      <c r="A440" s="269" t="n">
        <v>218</v>
      </c>
      <c r="B440" s="125" t="n"/>
      <c r="C440" s="119" t="inlineStr">
        <is>
          <t>Kế hoạch</t>
        </is>
      </c>
      <c r="D440" s="321">
        <f>SUMIFS(DATA!$I:$I,DATA!$C:$C,$B440,DATA!$J:$J,"&gt;="&amp;DATE($I$2,D$4,1),DATA!$J:$J,"&lt;="&amp;DATE($I$2,D$4,D$5))</f>
        <v/>
      </c>
      <c r="E440" s="321">
        <f>SUMIFS(DATA!$I:$I,DATA!$C:$C,$B440,DATA!$J:$J,"&gt;="&amp;DATE($I$2,E$4,1),DATA!$J:$J,"&lt;="&amp;DATE($I$2,E$4,E$5))</f>
        <v/>
      </c>
      <c r="F440" s="321">
        <f>SUMIFS(DATA!$I:$I,DATA!$C:$C,$B440,DATA!$J:$J,"&gt;="&amp;DATE($I$2,F$4,1),DATA!$J:$J,"&lt;="&amp;DATE($I$2,F$4,F$5))</f>
        <v/>
      </c>
      <c r="G440" s="321">
        <f>SUMIFS(DATA!$I:$I,DATA!$C:$C,$B440,DATA!$J:$J,"&gt;="&amp;DATE($I$2,G$4,1),DATA!$J:$J,"&lt;="&amp;DATE($I$2,G$4,G$5))</f>
        <v/>
      </c>
      <c r="H440" s="321">
        <f>SUMIFS(DATA!$I:$I,DATA!$C:$C,$B440,DATA!$J:$J,"&gt;="&amp;DATE($I$2,H$4,1),DATA!$J:$J,"&lt;="&amp;DATE($I$2,H$4,H$5))</f>
        <v/>
      </c>
      <c r="I440" s="321">
        <f>SUMIFS(DATA!$I:$I,DATA!$C:$C,$B440,DATA!$J:$J,"&gt;="&amp;DATE($I$2,I$4,1),DATA!$J:$J,"&lt;="&amp;DATE($I$2,I$4,I$5))</f>
        <v/>
      </c>
      <c r="J440" s="321">
        <f>SUMIFS(DATA!$I:$I,DATA!$C:$C,$B440,DATA!$J:$J,"&gt;="&amp;DATE($I$2,J$4,1),DATA!$J:$J,"&lt;="&amp;DATE($I$2,J$4,J$5))</f>
        <v/>
      </c>
      <c r="K440" s="321">
        <f>SUMIFS(DATA!$I:$I,DATA!$C:$C,$B440,DATA!$J:$J,"&gt;="&amp;DATE($I$2,K$4,1),DATA!$J:$J,"&lt;="&amp;DATE($I$2,K$4,K$5))</f>
        <v/>
      </c>
      <c r="L440" s="321">
        <f>SUMIFS(DATA!$I:$I,DATA!$C:$C,$B440,DATA!$J:$J,"&gt;="&amp;DATE($I$2,L$4,1),DATA!$J:$J,"&lt;="&amp;DATE($I$2,L$4,L$5))</f>
        <v/>
      </c>
      <c r="M440" s="321">
        <f>SUMIFS(DATA!$I:$I,DATA!$C:$C,$B440,DATA!$J:$J,"&gt;="&amp;DATE($I$2,M$4,1),DATA!$J:$J,"&lt;="&amp;DATE($I$2,M$4,M$5))</f>
        <v/>
      </c>
      <c r="N440" s="321">
        <f>SUMIFS(DATA!$I:$I,DATA!$C:$C,$B440,DATA!$J:$J,"&gt;="&amp;DATE($I$2,N$4,1),DATA!$J:$J,"&lt;="&amp;DATE($I$2,N$4,N$5))</f>
        <v/>
      </c>
      <c r="O440" s="321">
        <f>SUMIFS(DATA!$I:$I,DATA!$C:$C,$B440,DATA!$J:$J,"&gt;="&amp;DATE($I$2,O$4,1),DATA!$J:$J,"&lt;="&amp;DATE($I$2,O$4,O$5))</f>
        <v/>
      </c>
      <c r="P440" s="322">
        <f>SUM(D440:O440)</f>
        <v/>
      </c>
      <c r="Q440" s="118" t="n"/>
    </row>
    <row r="441" hidden="1" outlineLevel="1" ht="15" customHeight="1">
      <c r="A441" s="266" t="n"/>
      <c r="B441" s="126" t="n"/>
      <c r="C441" s="119" t="inlineStr">
        <is>
          <t>Thực tế</t>
        </is>
      </c>
      <c r="D441" s="321">
        <f>SUMIFS(DATA!$M:$M,DATA!$C:$C,$B440,DATA!$N:$N,"&gt;="&amp;DATE($I$2,D$4,1),DATA!$N:$N,"&lt;="&amp;DATE($I$2,D$4,D$5))</f>
        <v/>
      </c>
      <c r="E441" s="321">
        <f>SUMIFS(DATA!$M:$M,DATA!$C:$C,$B440,DATA!$N:$N,"&gt;="&amp;DATE($I$2,E$4,1),DATA!$N:$N,"&lt;="&amp;DATE($I$2,E$4,E$5))</f>
        <v/>
      </c>
      <c r="F441" s="321">
        <f>SUMIFS(DATA!$M:$M,DATA!$C:$C,$B440,DATA!$N:$N,"&gt;="&amp;DATE($I$2,F$4,1),DATA!$N:$N,"&lt;="&amp;DATE($I$2,F$4,F$5))</f>
        <v/>
      </c>
      <c r="G441" s="321">
        <f>SUMIFS(DATA!$M:$M,DATA!$C:$C,$B440,DATA!$N:$N,"&gt;="&amp;DATE($I$2,G$4,1),DATA!$N:$N,"&lt;="&amp;DATE($I$2,G$4,G$5))</f>
        <v/>
      </c>
      <c r="H441" s="321">
        <f>SUMIFS(DATA!$M:$M,DATA!$C:$C,$B440,DATA!$N:$N,"&gt;="&amp;DATE($I$2,H$4,1),DATA!$N:$N,"&lt;="&amp;DATE($I$2,H$4,H$5))</f>
        <v/>
      </c>
      <c r="I441" s="321">
        <f>SUMIFS(DATA!$M:$M,DATA!$C:$C,$B440,DATA!$N:$N,"&gt;="&amp;DATE($I$2,I$4,1),DATA!$N:$N,"&lt;="&amp;DATE($I$2,I$4,I$5))</f>
        <v/>
      </c>
      <c r="J441" s="321">
        <f>SUMIFS(DATA!$M:$M,DATA!$C:$C,$B440,DATA!$N:$N,"&gt;="&amp;DATE($I$2,J$4,1),DATA!$N:$N,"&lt;="&amp;DATE($I$2,J$4,J$5))</f>
        <v/>
      </c>
      <c r="K441" s="321">
        <f>SUMIFS(DATA!$M:$M,DATA!$C:$C,$B440,DATA!$N:$N,"&gt;="&amp;DATE($I$2,K$4,1),DATA!$N:$N,"&lt;="&amp;DATE($I$2,K$4,K$5))</f>
        <v/>
      </c>
      <c r="L441" s="321">
        <f>SUMIFS(DATA!$M:$M,DATA!$C:$C,$B440,DATA!$N:$N,"&gt;="&amp;DATE($I$2,L$4,1),DATA!$N:$N,"&lt;="&amp;DATE($I$2,L$4,L$5))</f>
        <v/>
      </c>
      <c r="M441" s="321">
        <f>SUMIFS(DATA!$M:$M,DATA!$C:$C,$B440,DATA!$N:$N,"&gt;="&amp;DATE($I$2,M$4,1),DATA!$N:$N,"&lt;="&amp;DATE($I$2,M$4,M$5))</f>
        <v/>
      </c>
      <c r="N441" s="321">
        <f>SUMIFS(DATA!$M:$M,DATA!$C:$C,$B440,DATA!$N:$N,"&gt;="&amp;DATE($I$2,N$4,1),DATA!$N:$N,"&lt;="&amp;DATE($I$2,N$4,N$5))</f>
        <v/>
      </c>
      <c r="O441" s="321">
        <f>SUMIFS(DATA!$M:$M,DATA!$C:$C,$B440,DATA!$N:$N,"&gt;="&amp;DATE($I$2,O$4,1),DATA!$N:$N,"&lt;="&amp;DATE($I$2,O$4,O$5))</f>
        <v/>
      </c>
      <c r="P441" s="322">
        <f>SUM(D441:O441)</f>
        <v/>
      </c>
      <c r="Q441" s="118" t="n"/>
    </row>
    <row r="442" hidden="1" outlineLevel="1" ht="15" customHeight="1">
      <c r="A442" s="269" t="n">
        <v>219</v>
      </c>
      <c r="B442" s="125" t="n"/>
      <c r="C442" s="119" t="inlineStr">
        <is>
          <t>Kế hoạch</t>
        </is>
      </c>
      <c r="D442" s="321">
        <f>SUMIFS(DATA!$I:$I,DATA!$C:$C,$B442,DATA!$J:$J,"&gt;="&amp;DATE($I$2,D$4,1),DATA!$J:$J,"&lt;="&amp;DATE($I$2,D$4,D$5))</f>
        <v/>
      </c>
      <c r="E442" s="321">
        <f>SUMIFS(DATA!$I:$I,DATA!$C:$C,$B442,DATA!$J:$J,"&gt;="&amp;DATE($I$2,E$4,1),DATA!$J:$J,"&lt;="&amp;DATE($I$2,E$4,E$5))</f>
        <v/>
      </c>
      <c r="F442" s="321">
        <f>SUMIFS(DATA!$I:$I,DATA!$C:$C,$B442,DATA!$J:$J,"&gt;="&amp;DATE($I$2,F$4,1),DATA!$J:$J,"&lt;="&amp;DATE($I$2,F$4,F$5))</f>
        <v/>
      </c>
      <c r="G442" s="321">
        <f>SUMIFS(DATA!$I:$I,DATA!$C:$C,$B442,DATA!$J:$J,"&gt;="&amp;DATE($I$2,G$4,1),DATA!$J:$J,"&lt;="&amp;DATE($I$2,G$4,G$5))</f>
        <v/>
      </c>
      <c r="H442" s="321">
        <f>SUMIFS(DATA!$I:$I,DATA!$C:$C,$B442,DATA!$J:$J,"&gt;="&amp;DATE($I$2,H$4,1),DATA!$J:$J,"&lt;="&amp;DATE($I$2,H$4,H$5))</f>
        <v/>
      </c>
      <c r="I442" s="321">
        <f>SUMIFS(DATA!$I:$I,DATA!$C:$C,$B442,DATA!$J:$J,"&gt;="&amp;DATE($I$2,I$4,1),DATA!$J:$J,"&lt;="&amp;DATE($I$2,I$4,I$5))</f>
        <v/>
      </c>
      <c r="J442" s="321">
        <f>SUMIFS(DATA!$I:$I,DATA!$C:$C,$B442,DATA!$J:$J,"&gt;="&amp;DATE($I$2,J$4,1),DATA!$J:$J,"&lt;="&amp;DATE($I$2,J$4,J$5))</f>
        <v/>
      </c>
      <c r="K442" s="321">
        <f>SUMIFS(DATA!$I:$I,DATA!$C:$C,$B442,DATA!$J:$J,"&gt;="&amp;DATE($I$2,K$4,1),DATA!$J:$J,"&lt;="&amp;DATE($I$2,K$4,K$5))</f>
        <v/>
      </c>
      <c r="L442" s="321">
        <f>SUMIFS(DATA!$I:$I,DATA!$C:$C,$B442,DATA!$J:$J,"&gt;="&amp;DATE($I$2,L$4,1),DATA!$J:$J,"&lt;="&amp;DATE($I$2,L$4,L$5))</f>
        <v/>
      </c>
      <c r="M442" s="321">
        <f>SUMIFS(DATA!$I:$I,DATA!$C:$C,$B442,DATA!$J:$J,"&gt;="&amp;DATE($I$2,M$4,1),DATA!$J:$J,"&lt;="&amp;DATE($I$2,M$4,M$5))</f>
        <v/>
      </c>
      <c r="N442" s="321">
        <f>SUMIFS(DATA!$I:$I,DATA!$C:$C,$B442,DATA!$J:$J,"&gt;="&amp;DATE($I$2,N$4,1),DATA!$J:$J,"&lt;="&amp;DATE($I$2,N$4,N$5))</f>
        <v/>
      </c>
      <c r="O442" s="321">
        <f>SUMIFS(DATA!$I:$I,DATA!$C:$C,$B442,DATA!$J:$J,"&gt;="&amp;DATE($I$2,O$4,1),DATA!$J:$J,"&lt;="&amp;DATE($I$2,O$4,O$5))</f>
        <v/>
      </c>
      <c r="P442" s="322">
        <f>SUM(D442:O442)</f>
        <v/>
      </c>
      <c r="Q442" s="118" t="n"/>
    </row>
    <row r="443" hidden="1" outlineLevel="1" ht="15" customHeight="1">
      <c r="A443" s="266" t="n"/>
      <c r="B443" s="126" t="n"/>
      <c r="C443" s="119" t="inlineStr">
        <is>
          <t>Thực tế</t>
        </is>
      </c>
      <c r="D443" s="321">
        <f>SUMIFS(DATA!$M:$M,DATA!$C:$C,$B442,DATA!$N:$N,"&gt;="&amp;DATE($I$2,D$4,1),DATA!$N:$N,"&lt;="&amp;DATE($I$2,D$4,D$5))</f>
        <v/>
      </c>
      <c r="E443" s="321">
        <f>SUMIFS(DATA!$M:$M,DATA!$C:$C,$B442,DATA!$N:$N,"&gt;="&amp;DATE($I$2,E$4,1),DATA!$N:$N,"&lt;="&amp;DATE($I$2,E$4,E$5))</f>
        <v/>
      </c>
      <c r="F443" s="321">
        <f>SUMIFS(DATA!$M:$M,DATA!$C:$C,$B442,DATA!$N:$N,"&gt;="&amp;DATE($I$2,F$4,1),DATA!$N:$N,"&lt;="&amp;DATE($I$2,F$4,F$5))</f>
        <v/>
      </c>
      <c r="G443" s="321">
        <f>SUMIFS(DATA!$M:$M,DATA!$C:$C,$B442,DATA!$N:$N,"&gt;="&amp;DATE($I$2,G$4,1),DATA!$N:$N,"&lt;="&amp;DATE($I$2,G$4,G$5))</f>
        <v/>
      </c>
      <c r="H443" s="321">
        <f>SUMIFS(DATA!$M:$M,DATA!$C:$C,$B442,DATA!$N:$N,"&gt;="&amp;DATE($I$2,H$4,1),DATA!$N:$N,"&lt;="&amp;DATE($I$2,H$4,H$5))</f>
        <v/>
      </c>
      <c r="I443" s="321">
        <f>SUMIFS(DATA!$M:$M,DATA!$C:$C,$B442,DATA!$N:$N,"&gt;="&amp;DATE($I$2,I$4,1),DATA!$N:$N,"&lt;="&amp;DATE($I$2,I$4,I$5))</f>
        <v/>
      </c>
      <c r="J443" s="321">
        <f>SUMIFS(DATA!$M:$M,DATA!$C:$C,$B442,DATA!$N:$N,"&gt;="&amp;DATE($I$2,J$4,1),DATA!$N:$N,"&lt;="&amp;DATE($I$2,J$4,J$5))</f>
        <v/>
      </c>
      <c r="K443" s="321">
        <f>SUMIFS(DATA!$M:$M,DATA!$C:$C,$B442,DATA!$N:$N,"&gt;="&amp;DATE($I$2,K$4,1),DATA!$N:$N,"&lt;="&amp;DATE($I$2,K$4,K$5))</f>
        <v/>
      </c>
      <c r="L443" s="321">
        <f>SUMIFS(DATA!$M:$M,DATA!$C:$C,$B442,DATA!$N:$N,"&gt;="&amp;DATE($I$2,L$4,1),DATA!$N:$N,"&lt;="&amp;DATE($I$2,L$4,L$5))</f>
        <v/>
      </c>
      <c r="M443" s="321">
        <f>SUMIFS(DATA!$M:$M,DATA!$C:$C,$B442,DATA!$N:$N,"&gt;="&amp;DATE($I$2,M$4,1),DATA!$N:$N,"&lt;="&amp;DATE($I$2,M$4,M$5))</f>
        <v/>
      </c>
      <c r="N443" s="321">
        <f>SUMIFS(DATA!$M:$M,DATA!$C:$C,$B442,DATA!$N:$N,"&gt;="&amp;DATE($I$2,N$4,1),DATA!$N:$N,"&lt;="&amp;DATE($I$2,N$4,N$5))</f>
        <v/>
      </c>
      <c r="O443" s="321">
        <f>SUMIFS(DATA!$M:$M,DATA!$C:$C,$B442,DATA!$N:$N,"&gt;="&amp;DATE($I$2,O$4,1),DATA!$N:$N,"&lt;="&amp;DATE($I$2,O$4,O$5))</f>
        <v/>
      </c>
      <c r="P443" s="322">
        <f>SUM(D443:O443)</f>
        <v/>
      </c>
      <c r="Q443" s="118" t="n"/>
    </row>
    <row r="444" hidden="1" outlineLevel="1" ht="15" customHeight="1">
      <c r="A444" s="269" t="n">
        <v>220</v>
      </c>
      <c r="B444" s="125" t="n"/>
      <c r="C444" s="119" t="inlineStr">
        <is>
          <t>Kế hoạch</t>
        </is>
      </c>
      <c r="D444" s="321">
        <f>SUMIFS(DATA!$I:$I,DATA!$C:$C,$B444,DATA!$J:$J,"&gt;="&amp;DATE($I$2,D$4,1),DATA!$J:$J,"&lt;="&amp;DATE($I$2,D$4,D$5))</f>
        <v/>
      </c>
      <c r="E444" s="321">
        <f>SUMIFS(DATA!$I:$I,DATA!$C:$C,$B444,DATA!$J:$J,"&gt;="&amp;DATE($I$2,E$4,1),DATA!$J:$J,"&lt;="&amp;DATE($I$2,E$4,E$5))</f>
        <v/>
      </c>
      <c r="F444" s="321">
        <f>SUMIFS(DATA!$I:$I,DATA!$C:$C,$B444,DATA!$J:$J,"&gt;="&amp;DATE($I$2,F$4,1),DATA!$J:$J,"&lt;="&amp;DATE($I$2,F$4,F$5))</f>
        <v/>
      </c>
      <c r="G444" s="321">
        <f>SUMIFS(DATA!$I:$I,DATA!$C:$C,$B444,DATA!$J:$J,"&gt;="&amp;DATE($I$2,G$4,1),DATA!$J:$J,"&lt;="&amp;DATE($I$2,G$4,G$5))</f>
        <v/>
      </c>
      <c r="H444" s="321">
        <f>SUMIFS(DATA!$I:$I,DATA!$C:$C,$B444,DATA!$J:$J,"&gt;="&amp;DATE($I$2,H$4,1),DATA!$J:$J,"&lt;="&amp;DATE($I$2,H$4,H$5))</f>
        <v/>
      </c>
      <c r="I444" s="321">
        <f>SUMIFS(DATA!$I:$I,DATA!$C:$C,$B444,DATA!$J:$J,"&gt;="&amp;DATE($I$2,I$4,1),DATA!$J:$J,"&lt;="&amp;DATE($I$2,I$4,I$5))</f>
        <v/>
      </c>
      <c r="J444" s="321">
        <f>SUMIFS(DATA!$I:$I,DATA!$C:$C,$B444,DATA!$J:$J,"&gt;="&amp;DATE($I$2,J$4,1),DATA!$J:$J,"&lt;="&amp;DATE($I$2,J$4,J$5))</f>
        <v/>
      </c>
      <c r="K444" s="321">
        <f>SUMIFS(DATA!$I:$I,DATA!$C:$C,$B444,DATA!$J:$J,"&gt;="&amp;DATE($I$2,K$4,1),DATA!$J:$J,"&lt;="&amp;DATE($I$2,K$4,K$5))</f>
        <v/>
      </c>
      <c r="L444" s="321">
        <f>SUMIFS(DATA!$I:$I,DATA!$C:$C,$B444,DATA!$J:$J,"&gt;="&amp;DATE($I$2,L$4,1),DATA!$J:$J,"&lt;="&amp;DATE($I$2,L$4,L$5))</f>
        <v/>
      </c>
      <c r="M444" s="321">
        <f>SUMIFS(DATA!$I:$I,DATA!$C:$C,$B444,DATA!$J:$J,"&gt;="&amp;DATE($I$2,M$4,1),DATA!$J:$J,"&lt;="&amp;DATE($I$2,M$4,M$5))</f>
        <v/>
      </c>
      <c r="N444" s="321">
        <f>SUMIFS(DATA!$I:$I,DATA!$C:$C,$B444,DATA!$J:$J,"&gt;="&amp;DATE($I$2,N$4,1),DATA!$J:$J,"&lt;="&amp;DATE($I$2,N$4,N$5))</f>
        <v/>
      </c>
      <c r="O444" s="321">
        <f>SUMIFS(DATA!$I:$I,DATA!$C:$C,$B444,DATA!$J:$J,"&gt;="&amp;DATE($I$2,O$4,1),DATA!$J:$J,"&lt;="&amp;DATE($I$2,O$4,O$5))</f>
        <v/>
      </c>
      <c r="P444" s="322">
        <f>SUM(D444:O444)</f>
        <v/>
      </c>
      <c r="Q444" s="118" t="n"/>
    </row>
    <row r="445" hidden="1" outlineLevel="1" ht="15" customHeight="1">
      <c r="A445" s="266" t="n"/>
      <c r="B445" s="126" t="n"/>
      <c r="C445" s="119" t="inlineStr">
        <is>
          <t>Thực tế</t>
        </is>
      </c>
      <c r="D445" s="321">
        <f>SUMIFS(DATA!$M:$M,DATA!$C:$C,$B444,DATA!$N:$N,"&gt;="&amp;DATE($I$2,D$4,1),DATA!$N:$N,"&lt;="&amp;DATE($I$2,D$4,D$5))</f>
        <v/>
      </c>
      <c r="E445" s="321">
        <f>SUMIFS(DATA!$M:$M,DATA!$C:$C,$B444,DATA!$N:$N,"&gt;="&amp;DATE($I$2,E$4,1),DATA!$N:$N,"&lt;="&amp;DATE($I$2,E$4,E$5))</f>
        <v/>
      </c>
      <c r="F445" s="321">
        <f>SUMIFS(DATA!$M:$M,DATA!$C:$C,$B444,DATA!$N:$N,"&gt;="&amp;DATE($I$2,F$4,1),DATA!$N:$N,"&lt;="&amp;DATE($I$2,F$4,F$5))</f>
        <v/>
      </c>
      <c r="G445" s="321">
        <f>SUMIFS(DATA!$M:$M,DATA!$C:$C,$B444,DATA!$N:$N,"&gt;="&amp;DATE($I$2,G$4,1),DATA!$N:$N,"&lt;="&amp;DATE($I$2,G$4,G$5))</f>
        <v/>
      </c>
      <c r="H445" s="321">
        <f>SUMIFS(DATA!$M:$M,DATA!$C:$C,$B444,DATA!$N:$N,"&gt;="&amp;DATE($I$2,H$4,1),DATA!$N:$N,"&lt;="&amp;DATE($I$2,H$4,H$5))</f>
        <v/>
      </c>
      <c r="I445" s="321">
        <f>SUMIFS(DATA!$M:$M,DATA!$C:$C,$B444,DATA!$N:$N,"&gt;="&amp;DATE($I$2,I$4,1),DATA!$N:$N,"&lt;="&amp;DATE($I$2,I$4,I$5))</f>
        <v/>
      </c>
      <c r="J445" s="321">
        <f>SUMIFS(DATA!$M:$M,DATA!$C:$C,$B444,DATA!$N:$N,"&gt;="&amp;DATE($I$2,J$4,1),DATA!$N:$N,"&lt;="&amp;DATE($I$2,J$4,J$5))</f>
        <v/>
      </c>
      <c r="K445" s="321">
        <f>SUMIFS(DATA!$M:$M,DATA!$C:$C,$B444,DATA!$N:$N,"&gt;="&amp;DATE($I$2,K$4,1),DATA!$N:$N,"&lt;="&amp;DATE($I$2,K$4,K$5))</f>
        <v/>
      </c>
      <c r="L445" s="321">
        <f>SUMIFS(DATA!$M:$M,DATA!$C:$C,$B444,DATA!$N:$N,"&gt;="&amp;DATE($I$2,L$4,1),DATA!$N:$N,"&lt;="&amp;DATE($I$2,L$4,L$5))</f>
        <v/>
      </c>
      <c r="M445" s="321">
        <f>SUMIFS(DATA!$M:$M,DATA!$C:$C,$B444,DATA!$N:$N,"&gt;="&amp;DATE($I$2,M$4,1),DATA!$N:$N,"&lt;="&amp;DATE($I$2,M$4,M$5))</f>
        <v/>
      </c>
      <c r="N445" s="321">
        <f>SUMIFS(DATA!$M:$M,DATA!$C:$C,$B444,DATA!$N:$N,"&gt;="&amp;DATE($I$2,N$4,1),DATA!$N:$N,"&lt;="&amp;DATE($I$2,N$4,N$5))</f>
        <v/>
      </c>
      <c r="O445" s="321">
        <f>SUMIFS(DATA!$M:$M,DATA!$C:$C,$B444,DATA!$N:$N,"&gt;="&amp;DATE($I$2,O$4,1),DATA!$N:$N,"&lt;="&amp;DATE($I$2,O$4,O$5))</f>
        <v/>
      </c>
      <c r="P445" s="322">
        <f>SUM(D445:O445)</f>
        <v/>
      </c>
      <c r="Q445" s="118" t="n"/>
    </row>
    <row r="446" hidden="1" outlineLevel="1" ht="15" customHeight="1">
      <c r="A446" s="269" t="n">
        <v>221</v>
      </c>
      <c r="B446" s="125" t="n"/>
      <c r="C446" s="119" t="inlineStr">
        <is>
          <t>Kế hoạch</t>
        </is>
      </c>
      <c r="D446" s="321">
        <f>SUMIFS(DATA!$I:$I,DATA!$C:$C,$B446,DATA!$J:$J,"&gt;="&amp;DATE($I$2,D$4,1),DATA!$J:$J,"&lt;="&amp;DATE($I$2,D$4,D$5))</f>
        <v/>
      </c>
      <c r="E446" s="321">
        <f>SUMIFS(DATA!$I:$I,DATA!$C:$C,$B446,DATA!$J:$J,"&gt;="&amp;DATE($I$2,E$4,1),DATA!$J:$J,"&lt;="&amp;DATE($I$2,E$4,E$5))</f>
        <v/>
      </c>
      <c r="F446" s="321">
        <f>SUMIFS(DATA!$I:$I,DATA!$C:$C,$B446,DATA!$J:$J,"&gt;="&amp;DATE($I$2,F$4,1),DATA!$J:$J,"&lt;="&amp;DATE($I$2,F$4,F$5))</f>
        <v/>
      </c>
      <c r="G446" s="321">
        <f>SUMIFS(DATA!$I:$I,DATA!$C:$C,$B446,DATA!$J:$J,"&gt;="&amp;DATE($I$2,G$4,1),DATA!$J:$J,"&lt;="&amp;DATE($I$2,G$4,G$5))</f>
        <v/>
      </c>
      <c r="H446" s="321">
        <f>SUMIFS(DATA!$I:$I,DATA!$C:$C,$B446,DATA!$J:$J,"&gt;="&amp;DATE($I$2,H$4,1),DATA!$J:$J,"&lt;="&amp;DATE($I$2,H$4,H$5))</f>
        <v/>
      </c>
      <c r="I446" s="321">
        <f>SUMIFS(DATA!$I:$I,DATA!$C:$C,$B446,DATA!$J:$J,"&gt;="&amp;DATE($I$2,I$4,1),DATA!$J:$J,"&lt;="&amp;DATE($I$2,I$4,I$5))</f>
        <v/>
      </c>
      <c r="J446" s="321">
        <f>SUMIFS(DATA!$I:$I,DATA!$C:$C,$B446,DATA!$J:$J,"&gt;="&amp;DATE($I$2,J$4,1),DATA!$J:$J,"&lt;="&amp;DATE($I$2,J$4,J$5))</f>
        <v/>
      </c>
      <c r="K446" s="321">
        <f>SUMIFS(DATA!$I:$I,DATA!$C:$C,$B446,DATA!$J:$J,"&gt;="&amp;DATE($I$2,K$4,1),DATA!$J:$J,"&lt;="&amp;DATE($I$2,K$4,K$5))</f>
        <v/>
      </c>
      <c r="L446" s="321">
        <f>SUMIFS(DATA!$I:$I,DATA!$C:$C,$B446,DATA!$J:$J,"&gt;="&amp;DATE($I$2,L$4,1),DATA!$J:$J,"&lt;="&amp;DATE($I$2,L$4,L$5))</f>
        <v/>
      </c>
      <c r="M446" s="321">
        <f>SUMIFS(DATA!$I:$I,DATA!$C:$C,$B446,DATA!$J:$J,"&gt;="&amp;DATE($I$2,M$4,1),DATA!$J:$J,"&lt;="&amp;DATE($I$2,M$4,M$5))</f>
        <v/>
      </c>
      <c r="N446" s="321">
        <f>SUMIFS(DATA!$I:$I,DATA!$C:$C,$B446,DATA!$J:$J,"&gt;="&amp;DATE($I$2,N$4,1),DATA!$J:$J,"&lt;="&amp;DATE($I$2,N$4,N$5))</f>
        <v/>
      </c>
      <c r="O446" s="321">
        <f>SUMIFS(DATA!$I:$I,DATA!$C:$C,$B446,DATA!$J:$J,"&gt;="&amp;DATE($I$2,O$4,1),DATA!$J:$J,"&lt;="&amp;DATE($I$2,O$4,O$5))</f>
        <v/>
      </c>
      <c r="P446" s="322">
        <f>SUM(D446:O446)</f>
        <v/>
      </c>
      <c r="Q446" s="118" t="n"/>
    </row>
    <row r="447" hidden="1" outlineLevel="1" ht="15" customHeight="1">
      <c r="A447" s="266" t="n"/>
      <c r="B447" s="126" t="n"/>
      <c r="C447" s="119" t="inlineStr">
        <is>
          <t>Thực tế</t>
        </is>
      </c>
      <c r="D447" s="321">
        <f>SUMIFS(DATA!$M:$M,DATA!$C:$C,$B446,DATA!$N:$N,"&gt;="&amp;DATE($I$2,D$4,1),DATA!$N:$N,"&lt;="&amp;DATE($I$2,D$4,D$5))</f>
        <v/>
      </c>
      <c r="E447" s="321">
        <f>SUMIFS(DATA!$M:$M,DATA!$C:$C,$B446,DATA!$N:$N,"&gt;="&amp;DATE($I$2,E$4,1),DATA!$N:$N,"&lt;="&amp;DATE($I$2,E$4,E$5))</f>
        <v/>
      </c>
      <c r="F447" s="321">
        <f>SUMIFS(DATA!$M:$M,DATA!$C:$C,$B446,DATA!$N:$N,"&gt;="&amp;DATE($I$2,F$4,1),DATA!$N:$N,"&lt;="&amp;DATE($I$2,F$4,F$5))</f>
        <v/>
      </c>
      <c r="G447" s="321">
        <f>SUMIFS(DATA!$M:$M,DATA!$C:$C,$B446,DATA!$N:$N,"&gt;="&amp;DATE($I$2,G$4,1),DATA!$N:$N,"&lt;="&amp;DATE($I$2,G$4,G$5))</f>
        <v/>
      </c>
      <c r="H447" s="321">
        <f>SUMIFS(DATA!$M:$M,DATA!$C:$C,$B446,DATA!$N:$N,"&gt;="&amp;DATE($I$2,H$4,1),DATA!$N:$N,"&lt;="&amp;DATE($I$2,H$4,H$5))</f>
        <v/>
      </c>
      <c r="I447" s="321">
        <f>SUMIFS(DATA!$M:$M,DATA!$C:$C,$B446,DATA!$N:$N,"&gt;="&amp;DATE($I$2,I$4,1),DATA!$N:$N,"&lt;="&amp;DATE($I$2,I$4,I$5))</f>
        <v/>
      </c>
      <c r="J447" s="321">
        <f>SUMIFS(DATA!$M:$M,DATA!$C:$C,$B446,DATA!$N:$N,"&gt;="&amp;DATE($I$2,J$4,1),DATA!$N:$N,"&lt;="&amp;DATE($I$2,J$4,J$5))</f>
        <v/>
      </c>
      <c r="K447" s="321">
        <f>SUMIFS(DATA!$M:$M,DATA!$C:$C,$B446,DATA!$N:$N,"&gt;="&amp;DATE($I$2,K$4,1),DATA!$N:$N,"&lt;="&amp;DATE($I$2,K$4,K$5))</f>
        <v/>
      </c>
      <c r="L447" s="321">
        <f>SUMIFS(DATA!$M:$M,DATA!$C:$C,$B446,DATA!$N:$N,"&gt;="&amp;DATE($I$2,L$4,1),DATA!$N:$N,"&lt;="&amp;DATE($I$2,L$4,L$5))</f>
        <v/>
      </c>
      <c r="M447" s="321">
        <f>SUMIFS(DATA!$M:$M,DATA!$C:$C,$B446,DATA!$N:$N,"&gt;="&amp;DATE($I$2,M$4,1),DATA!$N:$N,"&lt;="&amp;DATE($I$2,M$4,M$5))</f>
        <v/>
      </c>
      <c r="N447" s="321">
        <f>SUMIFS(DATA!$M:$M,DATA!$C:$C,$B446,DATA!$N:$N,"&gt;="&amp;DATE($I$2,N$4,1),DATA!$N:$N,"&lt;="&amp;DATE($I$2,N$4,N$5))</f>
        <v/>
      </c>
      <c r="O447" s="321">
        <f>SUMIFS(DATA!$M:$M,DATA!$C:$C,$B446,DATA!$N:$N,"&gt;="&amp;DATE($I$2,O$4,1),DATA!$N:$N,"&lt;="&amp;DATE($I$2,O$4,O$5))</f>
        <v/>
      </c>
      <c r="P447" s="322">
        <f>SUM(D447:O447)</f>
        <v/>
      </c>
      <c r="Q447" s="118" t="n"/>
    </row>
    <row r="448" hidden="1" outlineLevel="1" ht="15" customHeight="1">
      <c r="A448" s="269" t="n">
        <v>222</v>
      </c>
      <c r="B448" s="125" t="n"/>
      <c r="C448" s="119" t="inlineStr">
        <is>
          <t>Kế hoạch</t>
        </is>
      </c>
      <c r="D448" s="321">
        <f>SUMIFS(DATA!$I:$I,DATA!$C:$C,$B448,DATA!$J:$J,"&gt;="&amp;DATE($I$2,D$4,1),DATA!$J:$J,"&lt;="&amp;DATE($I$2,D$4,D$5))</f>
        <v/>
      </c>
      <c r="E448" s="321">
        <f>SUMIFS(DATA!$I:$I,DATA!$C:$C,$B448,DATA!$J:$J,"&gt;="&amp;DATE($I$2,E$4,1),DATA!$J:$J,"&lt;="&amp;DATE($I$2,E$4,E$5))</f>
        <v/>
      </c>
      <c r="F448" s="321">
        <f>SUMIFS(DATA!$I:$I,DATA!$C:$C,$B448,DATA!$J:$J,"&gt;="&amp;DATE($I$2,F$4,1),DATA!$J:$J,"&lt;="&amp;DATE($I$2,F$4,F$5))</f>
        <v/>
      </c>
      <c r="G448" s="321">
        <f>SUMIFS(DATA!$I:$I,DATA!$C:$C,$B448,DATA!$J:$J,"&gt;="&amp;DATE($I$2,G$4,1),DATA!$J:$J,"&lt;="&amp;DATE($I$2,G$4,G$5))</f>
        <v/>
      </c>
      <c r="H448" s="321">
        <f>SUMIFS(DATA!$I:$I,DATA!$C:$C,$B448,DATA!$J:$J,"&gt;="&amp;DATE($I$2,H$4,1),DATA!$J:$J,"&lt;="&amp;DATE($I$2,H$4,H$5))</f>
        <v/>
      </c>
      <c r="I448" s="321">
        <f>SUMIFS(DATA!$I:$I,DATA!$C:$C,$B448,DATA!$J:$J,"&gt;="&amp;DATE($I$2,I$4,1),DATA!$J:$J,"&lt;="&amp;DATE($I$2,I$4,I$5))</f>
        <v/>
      </c>
      <c r="J448" s="321">
        <f>SUMIFS(DATA!$I:$I,DATA!$C:$C,$B448,DATA!$J:$J,"&gt;="&amp;DATE($I$2,J$4,1),DATA!$J:$J,"&lt;="&amp;DATE($I$2,J$4,J$5))</f>
        <v/>
      </c>
      <c r="K448" s="321">
        <f>SUMIFS(DATA!$I:$I,DATA!$C:$C,$B448,DATA!$J:$J,"&gt;="&amp;DATE($I$2,K$4,1),DATA!$J:$J,"&lt;="&amp;DATE($I$2,K$4,K$5))</f>
        <v/>
      </c>
      <c r="L448" s="321">
        <f>SUMIFS(DATA!$I:$I,DATA!$C:$C,$B448,DATA!$J:$J,"&gt;="&amp;DATE($I$2,L$4,1),DATA!$J:$J,"&lt;="&amp;DATE($I$2,L$4,L$5))</f>
        <v/>
      </c>
      <c r="M448" s="321">
        <f>SUMIFS(DATA!$I:$I,DATA!$C:$C,$B448,DATA!$J:$J,"&gt;="&amp;DATE($I$2,M$4,1),DATA!$J:$J,"&lt;="&amp;DATE($I$2,M$4,M$5))</f>
        <v/>
      </c>
      <c r="N448" s="321">
        <f>SUMIFS(DATA!$I:$I,DATA!$C:$C,$B448,DATA!$J:$J,"&gt;="&amp;DATE($I$2,N$4,1),DATA!$J:$J,"&lt;="&amp;DATE($I$2,N$4,N$5))</f>
        <v/>
      </c>
      <c r="O448" s="321">
        <f>SUMIFS(DATA!$I:$I,DATA!$C:$C,$B448,DATA!$J:$J,"&gt;="&amp;DATE($I$2,O$4,1),DATA!$J:$J,"&lt;="&amp;DATE($I$2,O$4,O$5))</f>
        <v/>
      </c>
      <c r="P448" s="322">
        <f>SUM(D448:O448)</f>
        <v/>
      </c>
      <c r="Q448" s="118" t="n"/>
    </row>
    <row r="449" hidden="1" outlineLevel="1" ht="15" customHeight="1">
      <c r="A449" s="266" t="n"/>
      <c r="B449" s="126" t="n"/>
      <c r="C449" s="119" t="inlineStr">
        <is>
          <t>Thực tế</t>
        </is>
      </c>
      <c r="D449" s="321">
        <f>SUMIFS(DATA!$M:$M,DATA!$C:$C,$B448,DATA!$N:$N,"&gt;="&amp;DATE($I$2,D$4,1),DATA!$N:$N,"&lt;="&amp;DATE($I$2,D$4,D$5))</f>
        <v/>
      </c>
      <c r="E449" s="321">
        <f>SUMIFS(DATA!$M:$M,DATA!$C:$C,$B448,DATA!$N:$N,"&gt;="&amp;DATE($I$2,E$4,1),DATA!$N:$N,"&lt;="&amp;DATE($I$2,E$4,E$5))</f>
        <v/>
      </c>
      <c r="F449" s="321">
        <f>SUMIFS(DATA!$M:$M,DATA!$C:$C,$B448,DATA!$N:$N,"&gt;="&amp;DATE($I$2,F$4,1),DATA!$N:$N,"&lt;="&amp;DATE($I$2,F$4,F$5))</f>
        <v/>
      </c>
      <c r="G449" s="321">
        <f>SUMIFS(DATA!$M:$M,DATA!$C:$C,$B448,DATA!$N:$N,"&gt;="&amp;DATE($I$2,G$4,1),DATA!$N:$N,"&lt;="&amp;DATE($I$2,G$4,G$5))</f>
        <v/>
      </c>
      <c r="H449" s="321">
        <f>SUMIFS(DATA!$M:$M,DATA!$C:$C,$B448,DATA!$N:$N,"&gt;="&amp;DATE($I$2,H$4,1),DATA!$N:$N,"&lt;="&amp;DATE($I$2,H$4,H$5))</f>
        <v/>
      </c>
      <c r="I449" s="321">
        <f>SUMIFS(DATA!$M:$M,DATA!$C:$C,$B448,DATA!$N:$N,"&gt;="&amp;DATE($I$2,I$4,1),DATA!$N:$N,"&lt;="&amp;DATE($I$2,I$4,I$5))</f>
        <v/>
      </c>
      <c r="J449" s="321">
        <f>SUMIFS(DATA!$M:$M,DATA!$C:$C,$B448,DATA!$N:$N,"&gt;="&amp;DATE($I$2,J$4,1),DATA!$N:$N,"&lt;="&amp;DATE($I$2,J$4,J$5))</f>
        <v/>
      </c>
      <c r="K449" s="321">
        <f>SUMIFS(DATA!$M:$M,DATA!$C:$C,$B448,DATA!$N:$N,"&gt;="&amp;DATE($I$2,K$4,1),DATA!$N:$N,"&lt;="&amp;DATE($I$2,K$4,K$5))</f>
        <v/>
      </c>
      <c r="L449" s="321">
        <f>SUMIFS(DATA!$M:$M,DATA!$C:$C,$B448,DATA!$N:$N,"&gt;="&amp;DATE($I$2,L$4,1),DATA!$N:$N,"&lt;="&amp;DATE($I$2,L$4,L$5))</f>
        <v/>
      </c>
      <c r="M449" s="321">
        <f>SUMIFS(DATA!$M:$M,DATA!$C:$C,$B448,DATA!$N:$N,"&gt;="&amp;DATE($I$2,M$4,1),DATA!$N:$N,"&lt;="&amp;DATE($I$2,M$4,M$5))</f>
        <v/>
      </c>
      <c r="N449" s="321">
        <f>SUMIFS(DATA!$M:$M,DATA!$C:$C,$B448,DATA!$N:$N,"&gt;="&amp;DATE($I$2,N$4,1),DATA!$N:$N,"&lt;="&amp;DATE($I$2,N$4,N$5))</f>
        <v/>
      </c>
      <c r="O449" s="321">
        <f>SUMIFS(DATA!$M:$M,DATA!$C:$C,$B448,DATA!$N:$N,"&gt;="&amp;DATE($I$2,O$4,1),DATA!$N:$N,"&lt;="&amp;DATE($I$2,O$4,O$5))</f>
        <v/>
      </c>
      <c r="P449" s="322">
        <f>SUM(D449:O449)</f>
        <v/>
      </c>
      <c r="Q449" s="118" t="n"/>
    </row>
    <row r="450" hidden="1" outlineLevel="1" ht="15" customHeight="1">
      <c r="A450" s="269" t="n">
        <v>223</v>
      </c>
      <c r="B450" s="125" t="n"/>
      <c r="C450" s="119" t="inlineStr">
        <is>
          <t>Kế hoạch</t>
        </is>
      </c>
      <c r="D450" s="321">
        <f>SUMIFS(DATA!$I:$I,DATA!$C:$C,$B450,DATA!$J:$J,"&gt;="&amp;DATE($I$2,D$4,1),DATA!$J:$J,"&lt;="&amp;DATE($I$2,D$4,D$5))</f>
        <v/>
      </c>
      <c r="E450" s="321">
        <f>SUMIFS(DATA!$I:$I,DATA!$C:$C,$B450,DATA!$J:$J,"&gt;="&amp;DATE($I$2,E$4,1),DATA!$J:$J,"&lt;="&amp;DATE($I$2,E$4,E$5))</f>
        <v/>
      </c>
      <c r="F450" s="321">
        <f>SUMIFS(DATA!$I:$I,DATA!$C:$C,$B450,DATA!$J:$J,"&gt;="&amp;DATE($I$2,F$4,1),DATA!$J:$J,"&lt;="&amp;DATE($I$2,F$4,F$5))</f>
        <v/>
      </c>
      <c r="G450" s="321">
        <f>SUMIFS(DATA!$I:$I,DATA!$C:$C,$B450,DATA!$J:$J,"&gt;="&amp;DATE($I$2,G$4,1),DATA!$J:$J,"&lt;="&amp;DATE($I$2,G$4,G$5))</f>
        <v/>
      </c>
      <c r="H450" s="321">
        <f>SUMIFS(DATA!$I:$I,DATA!$C:$C,$B450,DATA!$J:$J,"&gt;="&amp;DATE($I$2,H$4,1),DATA!$J:$J,"&lt;="&amp;DATE($I$2,H$4,H$5))</f>
        <v/>
      </c>
      <c r="I450" s="321">
        <f>SUMIFS(DATA!$I:$I,DATA!$C:$C,$B450,DATA!$J:$J,"&gt;="&amp;DATE($I$2,I$4,1),DATA!$J:$J,"&lt;="&amp;DATE($I$2,I$4,I$5))</f>
        <v/>
      </c>
      <c r="J450" s="321">
        <f>SUMIFS(DATA!$I:$I,DATA!$C:$C,$B450,DATA!$J:$J,"&gt;="&amp;DATE($I$2,J$4,1),DATA!$J:$J,"&lt;="&amp;DATE($I$2,J$4,J$5))</f>
        <v/>
      </c>
      <c r="K450" s="321">
        <f>SUMIFS(DATA!$I:$I,DATA!$C:$C,$B450,DATA!$J:$J,"&gt;="&amp;DATE($I$2,K$4,1),DATA!$J:$J,"&lt;="&amp;DATE($I$2,K$4,K$5))</f>
        <v/>
      </c>
      <c r="L450" s="321">
        <f>SUMIFS(DATA!$I:$I,DATA!$C:$C,$B450,DATA!$J:$J,"&gt;="&amp;DATE($I$2,L$4,1),DATA!$J:$J,"&lt;="&amp;DATE($I$2,L$4,L$5))</f>
        <v/>
      </c>
      <c r="M450" s="321">
        <f>SUMIFS(DATA!$I:$I,DATA!$C:$C,$B450,DATA!$J:$J,"&gt;="&amp;DATE($I$2,M$4,1),DATA!$J:$J,"&lt;="&amp;DATE($I$2,M$4,M$5))</f>
        <v/>
      </c>
      <c r="N450" s="321">
        <f>SUMIFS(DATA!$I:$I,DATA!$C:$C,$B450,DATA!$J:$J,"&gt;="&amp;DATE($I$2,N$4,1),DATA!$J:$J,"&lt;="&amp;DATE($I$2,N$4,N$5))</f>
        <v/>
      </c>
      <c r="O450" s="321">
        <f>SUMIFS(DATA!$I:$I,DATA!$C:$C,$B450,DATA!$J:$J,"&gt;="&amp;DATE($I$2,O$4,1),DATA!$J:$J,"&lt;="&amp;DATE($I$2,O$4,O$5))</f>
        <v/>
      </c>
      <c r="P450" s="322">
        <f>SUM(D450:O450)</f>
        <v/>
      </c>
      <c r="Q450" s="118" t="n"/>
    </row>
    <row r="451" hidden="1" outlineLevel="1" ht="15" customHeight="1">
      <c r="A451" s="266" t="n"/>
      <c r="B451" s="126" t="n"/>
      <c r="C451" s="119" t="inlineStr">
        <is>
          <t>Thực tế</t>
        </is>
      </c>
      <c r="D451" s="321">
        <f>SUMIFS(DATA!$M:$M,DATA!$C:$C,$B450,DATA!$N:$N,"&gt;="&amp;DATE($I$2,D$4,1),DATA!$N:$N,"&lt;="&amp;DATE($I$2,D$4,D$5))</f>
        <v/>
      </c>
      <c r="E451" s="321">
        <f>SUMIFS(DATA!$M:$M,DATA!$C:$C,$B450,DATA!$N:$N,"&gt;="&amp;DATE($I$2,E$4,1),DATA!$N:$N,"&lt;="&amp;DATE($I$2,E$4,E$5))</f>
        <v/>
      </c>
      <c r="F451" s="321">
        <f>SUMIFS(DATA!$M:$M,DATA!$C:$C,$B450,DATA!$N:$N,"&gt;="&amp;DATE($I$2,F$4,1),DATA!$N:$N,"&lt;="&amp;DATE($I$2,F$4,F$5))</f>
        <v/>
      </c>
      <c r="G451" s="321">
        <f>SUMIFS(DATA!$M:$M,DATA!$C:$C,$B450,DATA!$N:$N,"&gt;="&amp;DATE($I$2,G$4,1),DATA!$N:$N,"&lt;="&amp;DATE($I$2,G$4,G$5))</f>
        <v/>
      </c>
      <c r="H451" s="321">
        <f>SUMIFS(DATA!$M:$M,DATA!$C:$C,$B450,DATA!$N:$N,"&gt;="&amp;DATE($I$2,H$4,1),DATA!$N:$N,"&lt;="&amp;DATE($I$2,H$4,H$5))</f>
        <v/>
      </c>
      <c r="I451" s="321">
        <f>SUMIFS(DATA!$M:$M,DATA!$C:$C,$B450,DATA!$N:$N,"&gt;="&amp;DATE($I$2,I$4,1),DATA!$N:$N,"&lt;="&amp;DATE($I$2,I$4,I$5))</f>
        <v/>
      </c>
      <c r="J451" s="321">
        <f>SUMIFS(DATA!$M:$M,DATA!$C:$C,$B450,DATA!$N:$N,"&gt;="&amp;DATE($I$2,J$4,1),DATA!$N:$N,"&lt;="&amp;DATE($I$2,J$4,J$5))</f>
        <v/>
      </c>
      <c r="K451" s="321">
        <f>SUMIFS(DATA!$M:$M,DATA!$C:$C,$B450,DATA!$N:$N,"&gt;="&amp;DATE($I$2,K$4,1),DATA!$N:$N,"&lt;="&amp;DATE($I$2,K$4,K$5))</f>
        <v/>
      </c>
      <c r="L451" s="321">
        <f>SUMIFS(DATA!$M:$M,DATA!$C:$C,$B450,DATA!$N:$N,"&gt;="&amp;DATE($I$2,L$4,1),DATA!$N:$N,"&lt;="&amp;DATE($I$2,L$4,L$5))</f>
        <v/>
      </c>
      <c r="M451" s="321">
        <f>SUMIFS(DATA!$M:$M,DATA!$C:$C,$B450,DATA!$N:$N,"&gt;="&amp;DATE($I$2,M$4,1),DATA!$N:$N,"&lt;="&amp;DATE($I$2,M$4,M$5))</f>
        <v/>
      </c>
      <c r="N451" s="321">
        <f>SUMIFS(DATA!$M:$M,DATA!$C:$C,$B450,DATA!$N:$N,"&gt;="&amp;DATE($I$2,N$4,1),DATA!$N:$N,"&lt;="&amp;DATE($I$2,N$4,N$5))</f>
        <v/>
      </c>
      <c r="O451" s="321">
        <f>SUMIFS(DATA!$M:$M,DATA!$C:$C,$B450,DATA!$N:$N,"&gt;="&amp;DATE($I$2,O$4,1),DATA!$N:$N,"&lt;="&amp;DATE($I$2,O$4,O$5))</f>
        <v/>
      </c>
      <c r="P451" s="322">
        <f>SUM(D451:O451)</f>
        <v/>
      </c>
      <c r="Q451" s="118" t="n"/>
    </row>
    <row r="452" hidden="1" outlineLevel="1" ht="15" customHeight="1">
      <c r="A452" s="269" t="n">
        <v>224</v>
      </c>
      <c r="B452" s="125" t="n"/>
      <c r="C452" s="119" t="inlineStr">
        <is>
          <t>Kế hoạch</t>
        </is>
      </c>
      <c r="D452" s="321">
        <f>SUMIFS(DATA!$I:$I,DATA!$C:$C,$B452,DATA!$J:$J,"&gt;="&amp;DATE($I$2,D$4,1),DATA!$J:$J,"&lt;="&amp;DATE($I$2,D$4,D$5))</f>
        <v/>
      </c>
      <c r="E452" s="321">
        <f>SUMIFS(DATA!$I:$I,DATA!$C:$C,$B452,DATA!$J:$J,"&gt;="&amp;DATE($I$2,E$4,1),DATA!$J:$J,"&lt;="&amp;DATE($I$2,E$4,E$5))</f>
        <v/>
      </c>
      <c r="F452" s="321">
        <f>SUMIFS(DATA!$I:$I,DATA!$C:$C,$B452,DATA!$J:$J,"&gt;="&amp;DATE($I$2,F$4,1),DATA!$J:$J,"&lt;="&amp;DATE($I$2,F$4,F$5))</f>
        <v/>
      </c>
      <c r="G452" s="321">
        <f>SUMIFS(DATA!$I:$I,DATA!$C:$C,$B452,DATA!$J:$J,"&gt;="&amp;DATE($I$2,G$4,1),DATA!$J:$J,"&lt;="&amp;DATE($I$2,G$4,G$5))</f>
        <v/>
      </c>
      <c r="H452" s="321">
        <f>SUMIFS(DATA!$I:$I,DATA!$C:$C,$B452,DATA!$J:$J,"&gt;="&amp;DATE($I$2,H$4,1),DATA!$J:$J,"&lt;="&amp;DATE($I$2,H$4,H$5))</f>
        <v/>
      </c>
      <c r="I452" s="321">
        <f>SUMIFS(DATA!$I:$I,DATA!$C:$C,$B452,DATA!$J:$J,"&gt;="&amp;DATE($I$2,I$4,1),DATA!$J:$J,"&lt;="&amp;DATE($I$2,I$4,I$5))</f>
        <v/>
      </c>
      <c r="J452" s="321">
        <f>SUMIFS(DATA!$I:$I,DATA!$C:$C,$B452,DATA!$J:$J,"&gt;="&amp;DATE($I$2,J$4,1),DATA!$J:$J,"&lt;="&amp;DATE($I$2,J$4,J$5))</f>
        <v/>
      </c>
      <c r="K452" s="321">
        <f>SUMIFS(DATA!$I:$I,DATA!$C:$C,$B452,DATA!$J:$J,"&gt;="&amp;DATE($I$2,K$4,1),DATA!$J:$J,"&lt;="&amp;DATE($I$2,K$4,K$5))</f>
        <v/>
      </c>
      <c r="L452" s="321">
        <f>SUMIFS(DATA!$I:$I,DATA!$C:$C,$B452,DATA!$J:$J,"&gt;="&amp;DATE($I$2,L$4,1),DATA!$J:$J,"&lt;="&amp;DATE($I$2,L$4,L$5))</f>
        <v/>
      </c>
      <c r="M452" s="321">
        <f>SUMIFS(DATA!$I:$I,DATA!$C:$C,$B452,DATA!$J:$J,"&gt;="&amp;DATE($I$2,M$4,1),DATA!$J:$J,"&lt;="&amp;DATE($I$2,M$4,M$5))</f>
        <v/>
      </c>
      <c r="N452" s="321">
        <f>SUMIFS(DATA!$I:$I,DATA!$C:$C,$B452,DATA!$J:$J,"&gt;="&amp;DATE($I$2,N$4,1),DATA!$J:$J,"&lt;="&amp;DATE($I$2,N$4,N$5))</f>
        <v/>
      </c>
      <c r="O452" s="321">
        <f>SUMIFS(DATA!$I:$I,DATA!$C:$C,$B452,DATA!$J:$J,"&gt;="&amp;DATE($I$2,O$4,1),DATA!$J:$J,"&lt;="&amp;DATE($I$2,O$4,O$5))</f>
        <v/>
      </c>
      <c r="P452" s="322">
        <f>SUM(D452:O452)</f>
        <v/>
      </c>
      <c r="Q452" s="118" t="n"/>
    </row>
    <row r="453" hidden="1" outlineLevel="1" ht="15" customHeight="1">
      <c r="A453" s="266" t="n"/>
      <c r="B453" s="126" t="n"/>
      <c r="C453" s="119" t="inlineStr">
        <is>
          <t>Thực tế</t>
        </is>
      </c>
      <c r="D453" s="321">
        <f>SUMIFS(DATA!$M:$M,DATA!$C:$C,$B452,DATA!$N:$N,"&gt;="&amp;DATE($I$2,D$4,1),DATA!$N:$N,"&lt;="&amp;DATE($I$2,D$4,D$5))</f>
        <v/>
      </c>
      <c r="E453" s="321">
        <f>SUMIFS(DATA!$M:$M,DATA!$C:$C,$B452,DATA!$N:$N,"&gt;="&amp;DATE($I$2,E$4,1),DATA!$N:$N,"&lt;="&amp;DATE($I$2,E$4,E$5))</f>
        <v/>
      </c>
      <c r="F453" s="321">
        <f>SUMIFS(DATA!$M:$M,DATA!$C:$C,$B452,DATA!$N:$N,"&gt;="&amp;DATE($I$2,F$4,1),DATA!$N:$N,"&lt;="&amp;DATE($I$2,F$4,F$5))</f>
        <v/>
      </c>
      <c r="G453" s="321">
        <f>SUMIFS(DATA!$M:$M,DATA!$C:$C,$B452,DATA!$N:$N,"&gt;="&amp;DATE($I$2,G$4,1),DATA!$N:$N,"&lt;="&amp;DATE($I$2,G$4,G$5))</f>
        <v/>
      </c>
      <c r="H453" s="321">
        <f>SUMIFS(DATA!$M:$M,DATA!$C:$C,$B452,DATA!$N:$N,"&gt;="&amp;DATE($I$2,H$4,1),DATA!$N:$N,"&lt;="&amp;DATE($I$2,H$4,H$5))</f>
        <v/>
      </c>
      <c r="I453" s="321">
        <f>SUMIFS(DATA!$M:$M,DATA!$C:$C,$B452,DATA!$N:$N,"&gt;="&amp;DATE($I$2,I$4,1),DATA!$N:$N,"&lt;="&amp;DATE($I$2,I$4,I$5))</f>
        <v/>
      </c>
      <c r="J453" s="321">
        <f>SUMIFS(DATA!$M:$M,DATA!$C:$C,$B452,DATA!$N:$N,"&gt;="&amp;DATE($I$2,J$4,1),DATA!$N:$N,"&lt;="&amp;DATE($I$2,J$4,J$5))</f>
        <v/>
      </c>
      <c r="K453" s="321">
        <f>SUMIFS(DATA!$M:$M,DATA!$C:$C,$B452,DATA!$N:$N,"&gt;="&amp;DATE($I$2,K$4,1),DATA!$N:$N,"&lt;="&amp;DATE($I$2,K$4,K$5))</f>
        <v/>
      </c>
      <c r="L453" s="321">
        <f>SUMIFS(DATA!$M:$M,DATA!$C:$C,$B452,DATA!$N:$N,"&gt;="&amp;DATE($I$2,L$4,1),DATA!$N:$N,"&lt;="&amp;DATE($I$2,L$4,L$5))</f>
        <v/>
      </c>
      <c r="M453" s="321">
        <f>SUMIFS(DATA!$M:$M,DATA!$C:$C,$B452,DATA!$N:$N,"&gt;="&amp;DATE($I$2,M$4,1),DATA!$N:$N,"&lt;="&amp;DATE($I$2,M$4,M$5))</f>
        <v/>
      </c>
      <c r="N453" s="321">
        <f>SUMIFS(DATA!$M:$M,DATA!$C:$C,$B452,DATA!$N:$N,"&gt;="&amp;DATE($I$2,N$4,1),DATA!$N:$N,"&lt;="&amp;DATE($I$2,N$4,N$5))</f>
        <v/>
      </c>
      <c r="O453" s="321">
        <f>SUMIFS(DATA!$M:$M,DATA!$C:$C,$B452,DATA!$N:$N,"&gt;="&amp;DATE($I$2,O$4,1),DATA!$N:$N,"&lt;="&amp;DATE($I$2,O$4,O$5))</f>
        <v/>
      </c>
      <c r="P453" s="322">
        <f>SUM(D453:O453)</f>
        <v/>
      </c>
      <c r="Q453" s="118" t="n"/>
    </row>
    <row r="454" hidden="1" outlineLevel="1" ht="15" customHeight="1">
      <c r="A454" s="269" t="n">
        <v>225</v>
      </c>
      <c r="B454" s="125" t="n"/>
      <c r="C454" s="119" t="inlineStr">
        <is>
          <t>Kế hoạch</t>
        </is>
      </c>
      <c r="D454" s="321">
        <f>SUMIFS(DATA!$I:$I,DATA!$C:$C,$B454,DATA!$J:$J,"&gt;="&amp;DATE($I$2,D$4,1),DATA!$J:$J,"&lt;="&amp;DATE($I$2,D$4,D$5))</f>
        <v/>
      </c>
      <c r="E454" s="321">
        <f>SUMIFS(DATA!$I:$I,DATA!$C:$C,$B454,DATA!$J:$J,"&gt;="&amp;DATE($I$2,E$4,1),DATA!$J:$J,"&lt;="&amp;DATE($I$2,E$4,E$5))</f>
        <v/>
      </c>
      <c r="F454" s="321">
        <f>SUMIFS(DATA!$I:$I,DATA!$C:$C,$B454,DATA!$J:$J,"&gt;="&amp;DATE($I$2,F$4,1),DATA!$J:$J,"&lt;="&amp;DATE($I$2,F$4,F$5))</f>
        <v/>
      </c>
      <c r="G454" s="321">
        <f>SUMIFS(DATA!$I:$I,DATA!$C:$C,$B454,DATA!$J:$J,"&gt;="&amp;DATE($I$2,G$4,1),DATA!$J:$J,"&lt;="&amp;DATE($I$2,G$4,G$5))</f>
        <v/>
      </c>
      <c r="H454" s="321">
        <f>SUMIFS(DATA!$I:$I,DATA!$C:$C,$B454,DATA!$J:$J,"&gt;="&amp;DATE($I$2,H$4,1),DATA!$J:$J,"&lt;="&amp;DATE($I$2,H$4,H$5))</f>
        <v/>
      </c>
      <c r="I454" s="321">
        <f>SUMIFS(DATA!$I:$I,DATA!$C:$C,$B454,DATA!$J:$J,"&gt;="&amp;DATE($I$2,I$4,1),DATA!$J:$J,"&lt;="&amp;DATE($I$2,I$4,I$5))</f>
        <v/>
      </c>
      <c r="J454" s="321">
        <f>SUMIFS(DATA!$I:$I,DATA!$C:$C,$B454,DATA!$J:$J,"&gt;="&amp;DATE($I$2,J$4,1),DATA!$J:$J,"&lt;="&amp;DATE($I$2,J$4,J$5))</f>
        <v/>
      </c>
      <c r="K454" s="321">
        <f>SUMIFS(DATA!$I:$I,DATA!$C:$C,$B454,DATA!$J:$J,"&gt;="&amp;DATE($I$2,K$4,1),DATA!$J:$J,"&lt;="&amp;DATE($I$2,K$4,K$5))</f>
        <v/>
      </c>
      <c r="L454" s="321">
        <f>SUMIFS(DATA!$I:$I,DATA!$C:$C,$B454,DATA!$J:$J,"&gt;="&amp;DATE($I$2,L$4,1),DATA!$J:$J,"&lt;="&amp;DATE($I$2,L$4,L$5))</f>
        <v/>
      </c>
      <c r="M454" s="321">
        <f>SUMIFS(DATA!$I:$I,DATA!$C:$C,$B454,DATA!$J:$J,"&gt;="&amp;DATE($I$2,M$4,1),DATA!$J:$J,"&lt;="&amp;DATE($I$2,M$4,M$5))</f>
        <v/>
      </c>
      <c r="N454" s="321">
        <f>SUMIFS(DATA!$I:$I,DATA!$C:$C,$B454,DATA!$J:$J,"&gt;="&amp;DATE($I$2,N$4,1),DATA!$J:$J,"&lt;="&amp;DATE($I$2,N$4,N$5))</f>
        <v/>
      </c>
      <c r="O454" s="321">
        <f>SUMIFS(DATA!$I:$I,DATA!$C:$C,$B454,DATA!$J:$J,"&gt;="&amp;DATE($I$2,O$4,1),DATA!$J:$J,"&lt;="&amp;DATE($I$2,O$4,O$5))</f>
        <v/>
      </c>
      <c r="P454" s="322">
        <f>SUM(D454:O454)</f>
        <v/>
      </c>
      <c r="Q454" s="118" t="n"/>
    </row>
    <row r="455" hidden="1" outlineLevel="1" ht="15" customHeight="1">
      <c r="A455" s="266" t="n"/>
      <c r="B455" s="126" t="n"/>
      <c r="C455" s="119" t="inlineStr">
        <is>
          <t>Thực tế</t>
        </is>
      </c>
      <c r="D455" s="321">
        <f>SUMIFS(DATA!$M:$M,DATA!$C:$C,$B454,DATA!$N:$N,"&gt;="&amp;DATE($I$2,D$4,1),DATA!$N:$N,"&lt;="&amp;DATE($I$2,D$4,D$5))</f>
        <v/>
      </c>
      <c r="E455" s="321">
        <f>SUMIFS(DATA!$M:$M,DATA!$C:$C,$B454,DATA!$N:$N,"&gt;="&amp;DATE($I$2,E$4,1),DATA!$N:$N,"&lt;="&amp;DATE($I$2,E$4,E$5))</f>
        <v/>
      </c>
      <c r="F455" s="321">
        <f>SUMIFS(DATA!$M:$M,DATA!$C:$C,$B454,DATA!$N:$N,"&gt;="&amp;DATE($I$2,F$4,1),DATA!$N:$N,"&lt;="&amp;DATE($I$2,F$4,F$5))</f>
        <v/>
      </c>
      <c r="G455" s="321">
        <f>SUMIFS(DATA!$M:$M,DATA!$C:$C,$B454,DATA!$N:$N,"&gt;="&amp;DATE($I$2,G$4,1),DATA!$N:$N,"&lt;="&amp;DATE($I$2,G$4,G$5))</f>
        <v/>
      </c>
      <c r="H455" s="321">
        <f>SUMIFS(DATA!$M:$M,DATA!$C:$C,$B454,DATA!$N:$N,"&gt;="&amp;DATE($I$2,H$4,1),DATA!$N:$N,"&lt;="&amp;DATE($I$2,H$4,H$5))</f>
        <v/>
      </c>
      <c r="I455" s="321">
        <f>SUMIFS(DATA!$M:$M,DATA!$C:$C,$B454,DATA!$N:$N,"&gt;="&amp;DATE($I$2,I$4,1),DATA!$N:$N,"&lt;="&amp;DATE($I$2,I$4,I$5))</f>
        <v/>
      </c>
      <c r="J455" s="321">
        <f>SUMIFS(DATA!$M:$M,DATA!$C:$C,$B454,DATA!$N:$N,"&gt;="&amp;DATE($I$2,J$4,1),DATA!$N:$N,"&lt;="&amp;DATE($I$2,J$4,J$5))</f>
        <v/>
      </c>
      <c r="K455" s="321">
        <f>SUMIFS(DATA!$M:$M,DATA!$C:$C,$B454,DATA!$N:$N,"&gt;="&amp;DATE($I$2,K$4,1),DATA!$N:$N,"&lt;="&amp;DATE($I$2,K$4,K$5))</f>
        <v/>
      </c>
      <c r="L455" s="321">
        <f>SUMIFS(DATA!$M:$M,DATA!$C:$C,$B454,DATA!$N:$N,"&gt;="&amp;DATE($I$2,L$4,1),DATA!$N:$N,"&lt;="&amp;DATE($I$2,L$4,L$5))</f>
        <v/>
      </c>
      <c r="M455" s="321">
        <f>SUMIFS(DATA!$M:$M,DATA!$C:$C,$B454,DATA!$N:$N,"&gt;="&amp;DATE($I$2,M$4,1),DATA!$N:$N,"&lt;="&amp;DATE($I$2,M$4,M$5))</f>
        <v/>
      </c>
      <c r="N455" s="321">
        <f>SUMIFS(DATA!$M:$M,DATA!$C:$C,$B454,DATA!$N:$N,"&gt;="&amp;DATE($I$2,N$4,1),DATA!$N:$N,"&lt;="&amp;DATE($I$2,N$4,N$5))</f>
        <v/>
      </c>
      <c r="O455" s="321">
        <f>SUMIFS(DATA!$M:$M,DATA!$C:$C,$B454,DATA!$N:$N,"&gt;="&amp;DATE($I$2,O$4,1),DATA!$N:$N,"&lt;="&amp;DATE($I$2,O$4,O$5))</f>
        <v/>
      </c>
      <c r="P455" s="322">
        <f>SUM(D455:O455)</f>
        <v/>
      </c>
      <c r="Q455" s="118" t="n"/>
    </row>
    <row r="456" hidden="1" outlineLevel="1" ht="15" customHeight="1">
      <c r="A456" s="269" t="n">
        <v>226</v>
      </c>
      <c r="B456" s="125" t="n"/>
      <c r="C456" s="119" t="inlineStr">
        <is>
          <t>Kế hoạch</t>
        </is>
      </c>
      <c r="D456" s="321">
        <f>SUMIFS(DATA!$I:$I,DATA!$C:$C,$B456,DATA!$J:$J,"&gt;="&amp;DATE($I$2,D$4,1),DATA!$J:$J,"&lt;="&amp;DATE($I$2,D$4,D$5))</f>
        <v/>
      </c>
      <c r="E456" s="321">
        <f>SUMIFS(DATA!$I:$I,DATA!$C:$C,$B456,DATA!$J:$J,"&gt;="&amp;DATE($I$2,E$4,1),DATA!$J:$J,"&lt;="&amp;DATE($I$2,E$4,E$5))</f>
        <v/>
      </c>
      <c r="F456" s="321">
        <f>SUMIFS(DATA!$I:$I,DATA!$C:$C,$B456,DATA!$J:$J,"&gt;="&amp;DATE($I$2,F$4,1),DATA!$J:$J,"&lt;="&amp;DATE($I$2,F$4,F$5))</f>
        <v/>
      </c>
      <c r="G456" s="321">
        <f>SUMIFS(DATA!$I:$I,DATA!$C:$C,$B456,DATA!$J:$J,"&gt;="&amp;DATE($I$2,G$4,1),DATA!$J:$J,"&lt;="&amp;DATE($I$2,G$4,G$5))</f>
        <v/>
      </c>
      <c r="H456" s="321">
        <f>SUMIFS(DATA!$I:$I,DATA!$C:$C,$B456,DATA!$J:$J,"&gt;="&amp;DATE($I$2,H$4,1),DATA!$J:$J,"&lt;="&amp;DATE($I$2,H$4,H$5))</f>
        <v/>
      </c>
      <c r="I456" s="321">
        <f>SUMIFS(DATA!$I:$I,DATA!$C:$C,$B456,DATA!$J:$J,"&gt;="&amp;DATE($I$2,I$4,1),DATA!$J:$J,"&lt;="&amp;DATE($I$2,I$4,I$5))</f>
        <v/>
      </c>
      <c r="J456" s="321">
        <f>SUMIFS(DATA!$I:$I,DATA!$C:$C,$B456,DATA!$J:$J,"&gt;="&amp;DATE($I$2,J$4,1),DATA!$J:$J,"&lt;="&amp;DATE($I$2,J$4,J$5))</f>
        <v/>
      </c>
      <c r="K456" s="321">
        <f>SUMIFS(DATA!$I:$I,DATA!$C:$C,$B456,DATA!$J:$J,"&gt;="&amp;DATE($I$2,K$4,1),DATA!$J:$J,"&lt;="&amp;DATE($I$2,K$4,K$5))</f>
        <v/>
      </c>
      <c r="L456" s="321">
        <f>SUMIFS(DATA!$I:$I,DATA!$C:$C,$B456,DATA!$J:$J,"&gt;="&amp;DATE($I$2,L$4,1),DATA!$J:$J,"&lt;="&amp;DATE($I$2,L$4,L$5))</f>
        <v/>
      </c>
      <c r="M456" s="321">
        <f>SUMIFS(DATA!$I:$I,DATA!$C:$C,$B456,DATA!$J:$J,"&gt;="&amp;DATE($I$2,M$4,1),DATA!$J:$J,"&lt;="&amp;DATE($I$2,M$4,M$5))</f>
        <v/>
      </c>
      <c r="N456" s="321">
        <f>SUMIFS(DATA!$I:$I,DATA!$C:$C,$B456,DATA!$J:$J,"&gt;="&amp;DATE($I$2,N$4,1),DATA!$J:$J,"&lt;="&amp;DATE($I$2,N$4,N$5))</f>
        <v/>
      </c>
      <c r="O456" s="321">
        <f>SUMIFS(DATA!$I:$I,DATA!$C:$C,$B456,DATA!$J:$J,"&gt;="&amp;DATE($I$2,O$4,1),DATA!$J:$J,"&lt;="&amp;DATE($I$2,O$4,O$5))</f>
        <v/>
      </c>
      <c r="P456" s="322">
        <f>SUM(D456:O456)</f>
        <v/>
      </c>
      <c r="Q456" s="118" t="n"/>
    </row>
    <row r="457" hidden="1" outlineLevel="1" ht="15" customHeight="1">
      <c r="A457" s="266" t="n"/>
      <c r="B457" s="126" t="n"/>
      <c r="C457" s="119" t="inlineStr">
        <is>
          <t>Thực tế</t>
        </is>
      </c>
      <c r="D457" s="321">
        <f>SUMIFS(DATA!$M:$M,DATA!$C:$C,$B456,DATA!$N:$N,"&gt;="&amp;DATE($I$2,D$4,1),DATA!$N:$N,"&lt;="&amp;DATE($I$2,D$4,D$5))</f>
        <v/>
      </c>
      <c r="E457" s="321">
        <f>SUMIFS(DATA!$M:$M,DATA!$C:$C,$B456,DATA!$N:$N,"&gt;="&amp;DATE($I$2,E$4,1),DATA!$N:$N,"&lt;="&amp;DATE($I$2,E$4,E$5))</f>
        <v/>
      </c>
      <c r="F457" s="321">
        <f>SUMIFS(DATA!$M:$M,DATA!$C:$C,$B456,DATA!$N:$N,"&gt;="&amp;DATE($I$2,F$4,1),DATA!$N:$N,"&lt;="&amp;DATE($I$2,F$4,F$5))</f>
        <v/>
      </c>
      <c r="G457" s="321">
        <f>SUMIFS(DATA!$M:$M,DATA!$C:$C,$B456,DATA!$N:$N,"&gt;="&amp;DATE($I$2,G$4,1),DATA!$N:$N,"&lt;="&amp;DATE($I$2,G$4,G$5))</f>
        <v/>
      </c>
      <c r="H457" s="321">
        <f>SUMIFS(DATA!$M:$M,DATA!$C:$C,$B456,DATA!$N:$N,"&gt;="&amp;DATE($I$2,H$4,1),DATA!$N:$N,"&lt;="&amp;DATE($I$2,H$4,H$5))</f>
        <v/>
      </c>
      <c r="I457" s="321">
        <f>SUMIFS(DATA!$M:$M,DATA!$C:$C,$B456,DATA!$N:$N,"&gt;="&amp;DATE($I$2,I$4,1),DATA!$N:$N,"&lt;="&amp;DATE($I$2,I$4,I$5))</f>
        <v/>
      </c>
      <c r="J457" s="321">
        <f>SUMIFS(DATA!$M:$M,DATA!$C:$C,$B456,DATA!$N:$N,"&gt;="&amp;DATE($I$2,J$4,1),DATA!$N:$N,"&lt;="&amp;DATE($I$2,J$4,J$5))</f>
        <v/>
      </c>
      <c r="K457" s="321">
        <f>SUMIFS(DATA!$M:$M,DATA!$C:$C,$B456,DATA!$N:$N,"&gt;="&amp;DATE($I$2,K$4,1),DATA!$N:$N,"&lt;="&amp;DATE($I$2,K$4,K$5))</f>
        <v/>
      </c>
      <c r="L457" s="321">
        <f>SUMIFS(DATA!$M:$M,DATA!$C:$C,$B456,DATA!$N:$N,"&gt;="&amp;DATE($I$2,L$4,1),DATA!$N:$N,"&lt;="&amp;DATE($I$2,L$4,L$5))</f>
        <v/>
      </c>
      <c r="M457" s="321">
        <f>SUMIFS(DATA!$M:$M,DATA!$C:$C,$B456,DATA!$N:$N,"&gt;="&amp;DATE($I$2,M$4,1),DATA!$N:$N,"&lt;="&amp;DATE($I$2,M$4,M$5))</f>
        <v/>
      </c>
      <c r="N457" s="321">
        <f>SUMIFS(DATA!$M:$M,DATA!$C:$C,$B456,DATA!$N:$N,"&gt;="&amp;DATE($I$2,N$4,1),DATA!$N:$N,"&lt;="&amp;DATE($I$2,N$4,N$5))</f>
        <v/>
      </c>
      <c r="O457" s="321">
        <f>SUMIFS(DATA!$M:$M,DATA!$C:$C,$B456,DATA!$N:$N,"&gt;="&amp;DATE($I$2,O$4,1),DATA!$N:$N,"&lt;="&amp;DATE($I$2,O$4,O$5))</f>
        <v/>
      </c>
      <c r="P457" s="322">
        <f>SUM(D457:O457)</f>
        <v/>
      </c>
      <c r="Q457" s="118" t="n"/>
    </row>
    <row r="458" hidden="1" outlineLevel="1" ht="15" customHeight="1">
      <c r="A458" s="269" t="n">
        <v>227</v>
      </c>
      <c r="B458" s="125" t="n"/>
      <c r="C458" s="119" t="inlineStr">
        <is>
          <t>Kế hoạch</t>
        </is>
      </c>
      <c r="D458" s="321">
        <f>SUMIFS(DATA!$I:$I,DATA!$C:$C,$B458,DATA!$J:$J,"&gt;="&amp;DATE($I$2,D$4,1),DATA!$J:$J,"&lt;="&amp;DATE($I$2,D$4,D$5))</f>
        <v/>
      </c>
      <c r="E458" s="321">
        <f>SUMIFS(DATA!$I:$I,DATA!$C:$C,$B458,DATA!$J:$J,"&gt;="&amp;DATE($I$2,E$4,1),DATA!$J:$J,"&lt;="&amp;DATE($I$2,E$4,E$5))</f>
        <v/>
      </c>
      <c r="F458" s="321">
        <f>SUMIFS(DATA!$I:$I,DATA!$C:$C,$B458,DATA!$J:$J,"&gt;="&amp;DATE($I$2,F$4,1),DATA!$J:$J,"&lt;="&amp;DATE($I$2,F$4,F$5))</f>
        <v/>
      </c>
      <c r="G458" s="321">
        <f>SUMIFS(DATA!$I:$I,DATA!$C:$C,$B458,DATA!$J:$J,"&gt;="&amp;DATE($I$2,G$4,1),DATA!$J:$J,"&lt;="&amp;DATE($I$2,G$4,G$5))</f>
        <v/>
      </c>
      <c r="H458" s="321">
        <f>SUMIFS(DATA!$I:$I,DATA!$C:$C,$B458,DATA!$J:$J,"&gt;="&amp;DATE($I$2,H$4,1),DATA!$J:$J,"&lt;="&amp;DATE($I$2,H$4,H$5))</f>
        <v/>
      </c>
      <c r="I458" s="321">
        <f>SUMIFS(DATA!$I:$I,DATA!$C:$C,$B458,DATA!$J:$J,"&gt;="&amp;DATE($I$2,I$4,1),DATA!$J:$J,"&lt;="&amp;DATE($I$2,I$4,I$5))</f>
        <v/>
      </c>
      <c r="J458" s="321">
        <f>SUMIFS(DATA!$I:$I,DATA!$C:$C,$B458,DATA!$J:$J,"&gt;="&amp;DATE($I$2,J$4,1),DATA!$J:$J,"&lt;="&amp;DATE($I$2,J$4,J$5))</f>
        <v/>
      </c>
      <c r="K458" s="321">
        <f>SUMIFS(DATA!$I:$I,DATA!$C:$C,$B458,DATA!$J:$J,"&gt;="&amp;DATE($I$2,K$4,1),DATA!$J:$J,"&lt;="&amp;DATE($I$2,K$4,K$5))</f>
        <v/>
      </c>
      <c r="L458" s="321">
        <f>SUMIFS(DATA!$I:$I,DATA!$C:$C,$B458,DATA!$J:$J,"&gt;="&amp;DATE($I$2,L$4,1),DATA!$J:$J,"&lt;="&amp;DATE($I$2,L$4,L$5))</f>
        <v/>
      </c>
      <c r="M458" s="321">
        <f>SUMIFS(DATA!$I:$I,DATA!$C:$C,$B458,DATA!$J:$J,"&gt;="&amp;DATE($I$2,M$4,1),DATA!$J:$J,"&lt;="&amp;DATE($I$2,M$4,M$5))</f>
        <v/>
      </c>
      <c r="N458" s="321">
        <f>SUMIFS(DATA!$I:$I,DATA!$C:$C,$B458,DATA!$J:$J,"&gt;="&amp;DATE($I$2,N$4,1),DATA!$J:$J,"&lt;="&amp;DATE($I$2,N$4,N$5))</f>
        <v/>
      </c>
      <c r="O458" s="321">
        <f>SUMIFS(DATA!$I:$I,DATA!$C:$C,$B458,DATA!$J:$J,"&gt;="&amp;DATE($I$2,O$4,1),DATA!$J:$J,"&lt;="&amp;DATE($I$2,O$4,O$5))</f>
        <v/>
      </c>
      <c r="P458" s="322">
        <f>SUM(D458:O458)</f>
        <v/>
      </c>
      <c r="Q458" s="118" t="n"/>
    </row>
    <row r="459" hidden="1" outlineLevel="1" ht="15" customHeight="1">
      <c r="A459" s="266" t="n"/>
      <c r="B459" s="126" t="n"/>
      <c r="C459" s="119" t="inlineStr">
        <is>
          <t>Thực tế</t>
        </is>
      </c>
      <c r="D459" s="321">
        <f>SUMIFS(DATA!$M:$M,DATA!$C:$C,$B458,DATA!$N:$N,"&gt;="&amp;DATE($I$2,D$4,1),DATA!$N:$N,"&lt;="&amp;DATE($I$2,D$4,D$5))</f>
        <v/>
      </c>
      <c r="E459" s="321">
        <f>SUMIFS(DATA!$M:$M,DATA!$C:$C,$B458,DATA!$N:$N,"&gt;="&amp;DATE($I$2,E$4,1),DATA!$N:$N,"&lt;="&amp;DATE($I$2,E$4,E$5))</f>
        <v/>
      </c>
      <c r="F459" s="321">
        <f>SUMIFS(DATA!$M:$M,DATA!$C:$C,$B458,DATA!$N:$N,"&gt;="&amp;DATE($I$2,F$4,1),DATA!$N:$N,"&lt;="&amp;DATE($I$2,F$4,F$5))</f>
        <v/>
      </c>
      <c r="G459" s="321">
        <f>SUMIFS(DATA!$M:$M,DATA!$C:$C,$B458,DATA!$N:$N,"&gt;="&amp;DATE($I$2,G$4,1),DATA!$N:$N,"&lt;="&amp;DATE($I$2,G$4,G$5))</f>
        <v/>
      </c>
      <c r="H459" s="321">
        <f>SUMIFS(DATA!$M:$M,DATA!$C:$C,$B458,DATA!$N:$N,"&gt;="&amp;DATE($I$2,H$4,1),DATA!$N:$N,"&lt;="&amp;DATE($I$2,H$4,H$5))</f>
        <v/>
      </c>
      <c r="I459" s="321">
        <f>SUMIFS(DATA!$M:$M,DATA!$C:$C,$B458,DATA!$N:$N,"&gt;="&amp;DATE($I$2,I$4,1),DATA!$N:$N,"&lt;="&amp;DATE($I$2,I$4,I$5))</f>
        <v/>
      </c>
      <c r="J459" s="321">
        <f>SUMIFS(DATA!$M:$M,DATA!$C:$C,$B458,DATA!$N:$N,"&gt;="&amp;DATE($I$2,J$4,1),DATA!$N:$N,"&lt;="&amp;DATE($I$2,J$4,J$5))</f>
        <v/>
      </c>
      <c r="K459" s="321">
        <f>SUMIFS(DATA!$M:$M,DATA!$C:$C,$B458,DATA!$N:$N,"&gt;="&amp;DATE($I$2,K$4,1),DATA!$N:$N,"&lt;="&amp;DATE($I$2,K$4,K$5))</f>
        <v/>
      </c>
      <c r="L459" s="321">
        <f>SUMIFS(DATA!$M:$M,DATA!$C:$C,$B458,DATA!$N:$N,"&gt;="&amp;DATE($I$2,L$4,1),DATA!$N:$N,"&lt;="&amp;DATE($I$2,L$4,L$5))</f>
        <v/>
      </c>
      <c r="M459" s="321">
        <f>SUMIFS(DATA!$M:$M,DATA!$C:$C,$B458,DATA!$N:$N,"&gt;="&amp;DATE($I$2,M$4,1),DATA!$N:$N,"&lt;="&amp;DATE($I$2,M$4,M$5))</f>
        <v/>
      </c>
      <c r="N459" s="321">
        <f>SUMIFS(DATA!$M:$M,DATA!$C:$C,$B458,DATA!$N:$N,"&gt;="&amp;DATE($I$2,N$4,1),DATA!$N:$N,"&lt;="&amp;DATE($I$2,N$4,N$5))</f>
        <v/>
      </c>
      <c r="O459" s="321">
        <f>SUMIFS(DATA!$M:$M,DATA!$C:$C,$B458,DATA!$N:$N,"&gt;="&amp;DATE($I$2,O$4,1),DATA!$N:$N,"&lt;="&amp;DATE($I$2,O$4,O$5))</f>
        <v/>
      </c>
      <c r="P459" s="322">
        <f>SUM(D459:O459)</f>
        <v/>
      </c>
      <c r="Q459" s="118" t="n"/>
    </row>
    <row r="460" hidden="1" outlineLevel="1" ht="15" customHeight="1">
      <c r="A460" s="269" t="n">
        <v>228</v>
      </c>
      <c r="B460" s="125" t="n"/>
      <c r="C460" s="119" t="inlineStr">
        <is>
          <t>Kế hoạch</t>
        </is>
      </c>
      <c r="D460" s="321">
        <f>SUMIFS(DATA!$I:$I,DATA!$C:$C,$B460,DATA!$J:$J,"&gt;="&amp;DATE($I$2,D$4,1),DATA!$J:$J,"&lt;="&amp;DATE($I$2,D$4,D$5))</f>
        <v/>
      </c>
      <c r="E460" s="321">
        <f>SUMIFS(DATA!$I:$I,DATA!$C:$C,$B460,DATA!$J:$J,"&gt;="&amp;DATE($I$2,E$4,1),DATA!$J:$J,"&lt;="&amp;DATE($I$2,E$4,E$5))</f>
        <v/>
      </c>
      <c r="F460" s="321">
        <f>SUMIFS(DATA!$I:$I,DATA!$C:$C,$B460,DATA!$J:$J,"&gt;="&amp;DATE($I$2,F$4,1),DATA!$J:$J,"&lt;="&amp;DATE($I$2,F$4,F$5))</f>
        <v/>
      </c>
      <c r="G460" s="321">
        <f>SUMIFS(DATA!$I:$I,DATA!$C:$C,$B460,DATA!$J:$J,"&gt;="&amp;DATE($I$2,G$4,1),DATA!$J:$J,"&lt;="&amp;DATE($I$2,G$4,G$5))</f>
        <v/>
      </c>
      <c r="H460" s="321">
        <f>SUMIFS(DATA!$I:$I,DATA!$C:$C,$B460,DATA!$J:$J,"&gt;="&amp;DATE($I$2,H$4,1),DATA!$J:$J,"&lt;="&amp;DATE($I$2,H$4,H$5))</f>
        <v/>
      </c>
      <c r="I460" s="321">
        <f>SUMIFS(DATA!$I:$I,DATA!$C:$C,$B460,DATA!$J:$J,"&gt;="&amp;DATE($I$2,I$4,1),DATA!$J:$J,"&lt;="&amp;DATE($I$2,I$4,I$5))</f>
        <v/>
      </c>
      <c r="J460" s="321">
        <f>SUMIFS(DATA!$I:$I,DATA!$C:$C,$B460,DATA!$J:$J,"&gt;="&amp;DATE($I$2,J$4,1),DATA!$J:$J,"&lt;="&amp;DATE($I$2,J$4,J$5))</f>
        <v/>
      </c>
      <c r="K460" s="321">
        <f>SUMIFS(DATA!$I:$I,DATA!$C:$C,$B460,DATA!$J:$J,"&gt;="&amp;DATE($I$2,K$4,1),DATA!$J:$J,"&lt;="&amp;DATE($I$2,K$4,K$5))</f>
        <v/>
      </c>
      <c r="L460" s="321">
        <f>SUMIFS(DATA!$I:$I,DATA!$C:$C,$B460,DATA!$J:$J,"&gt;="&amp;DATE($I$2,L$4,1),DATA!$J:$J,"&lt;="&amp;DATE($I$2,L$4,L$5))</f>
        <v/>
      </c>
      <c r="M460" s="321">
        <f>SUMIFS(DATA!$I:$I,DATA!$C:$C,$B460,DATA!$J:$J,"&gt;="&amp;DATE($I$2,M$4,1),DATA!$J:$J,"&lt;="&amp;DATE($I$2,M$4,M$5))</f>
        <v/>
      </c>
      <c r="N460" s="321">
        <f>SUMIFS(DATA!$I:$I,DATA!$C:$C,$B460,DATA!$J:$J,"&gt;="&amp;DATE($I$2,N$4,1),DATA!$J:$J,"&lt;="&amp;DATE($I$2,N$4,N$5))</f>
        <v/>
      </c>
      <c r="O460" s="321">
        <f>SUMIFS(DATA!$I:$I,DATA!$C:$C,$B460,DATA!$J:$J,"&gt;="&amp;DATE($I$2,O$4,1),DATA!$J:$J,"&lt;="&amp;DATE($I$2,O$4,O$5))</f>
        <v/>
      </c>
      <c r="P460" s="322">
        <f>SUM(D460:O460)</f>
        <v/>
      </c>
      <c r="Q460" s="118" t="n"/>
    </row>
    <row r="461" hidden="1" outlineLevel="1" ht="15" customHeight="1">
      <c r="A461" s="266" t="n"/>
      <c r="B461" s="126" t="n"/>
      <c r="C461" s="119" t="inlineStr">
        <is>
          <t>Thực tế</t>
        </is>
      </c>
      <c r="D461" s="321">
        <f>SUMIFS(DATA!$M:$M,DATA!$C:$C,$B460,DATA!$N:$N,"&gt;="&amp;DATE($I$2,D$4,1),DATA!$N:$N,"&lt;="&amp;DATE($I$2,D$4,D$5))</f>
        <v/>
      </c>
      <c r="E461" s="321">
        <f>SUMIFS(DATA!$M:$M,DATA!$C:$C,$B460,DATA!$N:$N,"&gt;="&amp;DATE($I$2,E$4,1),DATA!$N:$N,"&lt;="&amp;DATE($I$2,E$4,E$5))</f>
        <v/>
      </c>
      <c r="F461" s="321">
        <f>SUMIFS(DATA!$M:$M,DATA!$C:$C,$B460,DATA!$N:$N,"&gt;="&amp;DATE($I$2,F$4,1),DATA!$N:$N,"&lt;="&amp;DATE($I$2,F$4,F$5))</f>
        <v/>
      </c>
      <c r="G461" s="321">
        <f>SUMIFS(DATA!$M:$M,DATA!$C:$C,$B460,DATA!$N:$N,"&gt;="&amp;DATE($I$2,G$4,1),DATA!$N:$N,"&lt;="&amp;DATE($I$2,G$4,G$5))</f>
        <v/>
      </c>
      <c r="H461" s="321">
        <f>SUMIFS(DATA!$M:$M,DATA!$C:$C,$B460,DATA!$N:$N,"&gt;="&amp;DATE($I$2,H$4,1),DATA!$N:$N,"&lt;="&amp;DATE($I$2,H$4,H$5))</f>
        <v/>
      </c>
      <c r="I461" s="321">
        <f>SUMIFS(DATA!$M:$M,DATA!$C:$C,$B460,DATA!$N:$N,"&gt;="&amp;DATE($I$2,I$4,1),DATA!$N:$N,"&lt;="&amp;DATE($I$2,I$4,I$5))</f>
        <v/>
      </c>
      <c r="J461" s="321">
        <f>SUMIFS(DATA!$M:$M,DATA!$C:$C,$B460,DATA!$N:$N,"&gt;="&amp;DATE($I$2,J$4,1),DATA!$N:$N,"&lt;="&amp;DATE($I$2,J$4,J$5))</f>
        <v/>
      </c>
      <c r="K461" s="321">
        <f>SUMIFS(DATA!$M:$M,DATA!$C:$C,$B460,DATA!$N:$N,"&gt;="&amp;DATE($I$2,K$4,1),DATA!$N:$N,"&lt;="&amp;DATE($I$2,K$4,K$5))</f>
        <v/>
      </c>
      <c r="L461" s="321">
        <f>SUMIFS(DATA!$M:$M,DATA!$C:$C,$B460,DATA!$N:$N,"&gt;="&amp;DATE($I$2,L$4,1),DATA!$N:$N,"&lt;="&amp;DATE($I$2,L$4,L$5))</f>
        <v/>
      </c>
      <c r="M461" s="321">
        <f>SUMIFS(DATA!$M:$M,DATA!$C:$C,$B460,DATA!$N:$N,"&gt;="&amp;DATE($I$2,M$4,1),DATA!$N:$N,"&lt;="&amp;DATE($I$2,M$4,M$5))</f>
        <v/>
      </c>
      <c r="N461" s="321">
        <f>SUMIFS(DATA!$M:$M,DATA!$C:$C,$B460,DATA!$N:$N,"&gt;="&amp;DATE($I$2,N$4,1),DATA!$N:$N,"&lt;="&amp;DATE($I$2,N$4,N$5))</f>
        <v/>
      </c>
      <c r="O461" s="321">
        <f>SUMIFS(DATA!$M:$M,DATA!$C:$C,$B460,DATA!$N:$N,"&gt;="&amp;DATE($I$2,O$4,1),DATA!$N:$N,"&lt;="&amp;DATE($I$2,O$4,O$5))</f>
        <v/>
      </c>
      <c r="P461" s="322">
        <f>SUM(D461:O461)</f>
        <v/>
      </c>
      <c r="Q461" s="118" t="n"/>
    </row>
    <row r="462" hidden="1" outlineLevel="1" ht="15" customHeight="1">
      <c r="A462" s="269" t="n">
        <v>229</v>
      </c>
      <c r="B462" s="125" t="n"/>
      <c r="C462" s="119" t="inlineStr">
        <is>
          <t>Kế hoạch</t>
        </is>
      </c>
      <c r="D462" s="321">
        <f>SUMIFS(DATA!$I:$I,DATA!$C:$C,$B462,DATA!$J:$J,"&gt;="&amp;DATE($I$2,D$4,1),DATA!$J:$J,"&lt;="&amp;DATE($I$2,D$4,D$5))</f>
        <v/>
      </c>
      <c r="E462" s="321">
        <f>SUMIFS(DATA!$I:$I,DATA!$C:$C,$B462,DATA!$J:$J,"&gt;="&amp;DATE($I$2,E$4,1),DATA!$J:$J,"&lt;="&amp;DATE($I$2,E$4,E$5))</f>
        <v/>
      </c>
      <c r="F462" s="321">
        <f>SUMIFS(DATA!$I:$I,DATA!$C:$C,$B462,DATA!$J:$J,"&gt;="&amp;DATE($I$2,F$4,1),DATA!$J:$J,"&lt;="&amp;DATE($I$2,F$4,F$5))</f>
        <v/>
      </c>
      <c r="G462" s="321">
        <f>SUMIFS(DATA!$I:$I,DATA!$C:$C,$B462,DATA!$J:$J,"&gt;="&amp;DATE($I$2,G$4,1),DATA!$J:$J,"&lt;="&amp;DATE($I$2,G$4,G$5))</f>
        <v/>
      </c>
      <c r="H462" s="321">
        <f>SUMIFS(DATA!$I:$I,DATA!$C:$C,$B462,DATA!$J:$J,"&gt;="&amp;DATE($I$2,H$4,1),DATA!$J:$J,"&lt;="&amp;DATE($I$2,H$4,H$5))</f>
        <v/>
      </c>
      <c r="I462" s="321">
        <f>SUMIFS(DATA!$I:$I,DATA!$C:$C,$B462,DATA!$J:$J,"&gt;="&amp;DATE($I$2,I$4,1),DATA!$J:$J,"&lt;="&amp;DATE($I$2,I$4,I$5))</f>
        <v/>
      </c>
      <c r="J462" s="321">
        <f>SUMIFS(DATA!$I:$I,DATA!$C:$C,$B462,DATA!$J:$J,"&gt;="&amp;DATE($I$2,J$4,1),DATA!$J:$J,"&lt;="&amp;DATE($I$2,J$4,J$5))</f>
        <v/>
      </c>
      <c r="K462" s="321">
        <f>SUMIFS(DATA!$I:$I,DATA!$C:$C,$B462,DATA!$J:$J,"&gt;="&amp;DATE($I$2,K$4,1),DATA!$J:$J,"&lt;="&amp;DATE($I$2,K$4,K$5))</f>
        <v/>
      </c>
      <c r="L462" s="321">
        <f>SUMIFS(DATA!$I:$I,DATA!$C:$C,$B462,DATA!$J:$J,"&gt;="&amp;DATE($I$2,L$4,1),DATA!$J:$J,"&lt;="&amp;DATE($I$2,L$4,L$5))</f>
        <v/>
      </c>
      <c r="M462" s="321">
        <f>SUMIFS(DATA!$I:$I,DATA!$C:$C,$B462,DATA!$J:$J,"&gt;="&amp;DATE($I$2,M$4,1),DATA!$J:$J,"&lt;="&amp;DATE($I$2,M$4,M$5))</f>
        <v/>
      </c>
      <c r="N462" s="321">
        <f>SUMIFS(DATA!$I:$I,DATA!$C:$C,$B462,DATA!$J:$J,"&gt;="&amp;DATE($I$2,N$4,1),DATA!$J:$J,"&lt;="&amp;DATE($I$2,N$4,N$5))</f>
        <v/>
      </c>
      <c r="O462" s="321">
        <f>SUMIFS(DATA!$I:$I,DATA!$C:$C,$B462,DATA!$J:$J,"&gt;="&amp;DATE($I$2,O$4,1),DATA!$J:$J,"&lt;="&amp;DATE($I$2,O$4,O$5))</f>
        <v/>
      </c>
      <c r="P462" s="322">
        <f>SUM(D462:O462)</f>
        <v/>
      </c>
      <c r="Q462" s="118" t="n"/>
    </row>
    <row r="463" hidden="1" outlineLevel="1" ht="15" customHeight="1">
      <c r="A463" s="266" t="n"/>
      <c r="B463" s="126" t="n"/>
      <c r="C463" s="119" t="inlineStr">
        <is>
          <t>Thực tế</t>
        </is>
      </c>
      <c r="D463" s="321">
        <f>SUMIFS(DATA!$M:$M,DATA!$C:$C,$B462,DATA!$N:$N,"&gt;="&amp;DATE($I$2,D$4,1),DATA!$N:$N,"&lt;="&amp;DATE($I$2,D$4,D$5))</f>
        <v/>
      </c>
      <c r="E463" s="321">
        <f>SUMIFS(DATA!$M:$M,DATA!$C:$C,$B462,DATA!$N:$N,"&gt;="&amp;DATE($I$2,E$4,1),DATA!$N:$N,"&lt;="&amp;DATE($I$2,E$4,E$5))</f>
        <v/>
      </c>
      <c r="F463" s="321">
        <f>SUMIFS(DATA!$M:$M,DATA!$C:$C,$B462,DATA!$N:$N,"&gt;="&amp;DATE($I$2,F$4,1),DATA!$N:$N,"&lt;="&amp;DATE($I$2,F$4,F$5))</f>
        <v/>
      </c>
      <c r="G463" s="321">
        <f>SUMIFS(DATA!$M:$M,DATA!$C:$C,$B462,DATA!$N:$N,"&gt;="&amp;DATE($I$2,G$4,1),DATA!$N:$N,"&lt;="&amp;DATE($I$2,G$4,G$5))</f>
        <v/>
      </c>
      <c r="H463" s="321">
        <f>SUMIFS(DATA!$M:$M,DATA!$C:$C,$B462,DATA!$N:$N,"&gt;="&amp;DATE($I$2,H$4,1),DATA!$N:$N,"&lt;="&amp;DATE($I$2,H$4,H$5))</f>
        <v/>
      </c>
      <c r="I463" s="321">
        <f>SUMIFS(DATA!$M:$M,DATA!$C:$C,$B462,DATA!$N:$N,"&gt;="&amp;DATE($I$2,I$4,1),DATA!$N:$N,"&lt;="&amp;DATE($I$2,I$4,I$5))</f>
        <v/>
      </c>
      <c r="J463" s="321">
        <f>SUMIFS(DATA!$M:$M,DATA!$C:$C,$B462,DATA!$N:$N,"&gt;="&amp;DATE($I$2,J$4,1),DATA!$N:$N,"&lt;="&amp;DATE($I$2,J$4,J$5))</f>
        <v/>
      </c>
      <c r="K463" s="321">
        <f>SUMIFS(DATA!$M:$M,DATA!$C:$C,$B462,DATA!$N:$N,"&gt;="&amp;DATE($I$2,K$4,1),DATA!$N:$N,"&lt;="&amp;DATE($I$2,K$4,K$5))</f>
        <v/>
      </c>
      <c r="L463" s="321">
        <f>SUMIFS(DATA!$M:$M,DATA!$C:$C,$B462,DATA!$N:$N,"&gt;="&amp;DATE($I$2,L$4,1),DATA!$N:$N,"&lt;="&amp;DATE($I$2,L$4,L$5))</f>
        <v/>
      </c>
      <c r="M463" s="321">
        <f>SUMIFS(DATA!$M:$M,DATA!$C:$C,$B462,DATA!$N:$N,"&gt;="&amp;DATE($I$2,M$4,1),DATA!$N:$N,"&lt;="&amp;DATE($I$2,M$4,M$5))</f>
        <v/>
      </c>
      <c r="N463" s="321">
        <f>SUMIFS(DATA!$M:$M,DATA!$C:$C,$B462,DATA!$N:$N,"&gt;="&amp;DATE($I$2,N$4,1),DATA!$N:$N,"&lt;="&amp;DATE($I$2,N$4,N$5))</f>
        <v/>
      </c>
      <c r="O463" s="321">
        <f>SUMIFS(DATA!$M:$M,DATA!$C:$C,$B462,DATA!$N:$N,"&gt;="&amp;DATE($I$2,O$4,1),DATA!$N:$N,"&lt;="&amp;DATE($I$2,O$4,O$5))</f>
        <v/>
      </c>
      <c r="P463" s="322">
        <f>SUM(D463:O463)</f>
        <v/>
      </c>
      <c r="Q463" s="118" t="n"/>
    </row>
    <row r="464" hidden="1" outlineLevel="1" ht="15" customHeight="1">
      <c r="A464" s="269" t="n">
        <v>230</v>
      </c>
      <c r="B464" s="125" t="n"/>
      <c r="C464" s="119" t="inlineStr">
        <is>
          <t>Kế hoạch</t>
        </is>
      </c>
      <c r="D464" s="321">
        <f>SUMIFS(DATA!$I:$I,DATA!$C:$C,$B464,DATA!$J:$J,"&gt;="&amp;DATE($I$2,D$4,1),DATA!$J:$J,"&lt;="&amp;DATE($I$2,D$4,D$5))</f>
        <v/>
      </c>
      <c r="E464" s="321">
        <f>SUMIFS(DATA!$I:$I,DATA!$C:$C,$B464,DATA!$J:$J,"&gt;="&amp;DATE($I$2,E$4,1),DATA!$J:$J,"&lt;="&amp;DATE($I$2,E$4,E$5))</f>
        <v/>
      </c>
      <c r="F464" s="321">
        <f>SUMIFS(DATA!$I:$I,DATA!$C:$C,$B464,DATA!$J:$J,"&gt;="&amp;DATE($I$2,F$4,1),DATA!$J:$J,"&lt;="&amp;DATE($I$2,F$4,F$5))</f>
        <v/>
      </c>
      <c r="G464" s="321">
        <f>SUMIFS(DATA!$I:$I,DATA!$C:$C,$B464,DATA!$J:$J,"&gt;="&amp;DATE($I$2,G$4,1),DATA!$J:$J,"&lt;="&amp;DATE($I$2,G$4,G$5))</f>
        <v/>
      </c>
      <c r="H464" s="321">
        <f>SUMIFS(DATA!$I:$I,DATA!$C:$C,$B464,DATA!$J:$J,"&gt;="&amp;DATE($I$2,H$4,1),DATA!$J:$J,"&lt;="&amp;DATE($I$2,H$4,H$5))</f>
        <v/>
      </c>
      <c r="I464" s="321">
        <f>SUMIFS(DATA!$I:$I,DATA!$C:$C,$B464,DATA!$J:$J,"&gt;="&amp;DATE($I$2,I$4,1),DATA!$J:$J,"&lt;="&amp;DATE($I$2,I$4,I$5))</f>
        <v/>
      </c>
      <c r="J464" s="321">
        <f>SUMIFS(DATA!$I:$I,DATA!$C:$C,$B464,DATA!$J:$J,"&gt;="&amp;DATE($I$2,J$4,1),DATA!$J:$J,"&lt;="&amp;DATE($I$2,J$4,J$5))</f>
        <v/>
      </c>
      <c r="K464" s="321">
        <f>SUMIFS(DATA!$I:$I,DATA!$C:$C,$B464,DATA!$J:$J,"&gt;="&amp;DATE($I$2,K$4,1),DATA!$J:$J,"&lt;="&amp;DATE($I$2,K$4,K$5))</f>
        <v/>
      </c>
      <c r="L464" s="321">
        <f>SUMIFS(DATA!$I:$I,DATA!$C:$C,$B464,DATA!$J:$J,"&gt;="&amp;DATE($I$2,L$4,1),DATA!$J:$J,"&lt;="&amp;DATE($I$2,L$4,L$5))</f>
        <v/>
      </c>
      <c r="M464" s="321">
        <f>SUMIFS(DATA!$I:$I,DATA!$C:$C,$B464,DATA!$J:$J,"&gt;="&amp;DATE($I$2,M$4,1),DATA!$J:$J,"&lt;="&amp;DATE($I$2,M$4,M$5))</f>
        <v/>
      </c>
      <c r="N464" s="321">
        <f>SUMIFS(DATA!$I:$I,DATA!$C:$C,$B464,DATA!$J:$J,"&gt;="&amp;DATE($I$2,N$4,1),DATA!$J:$J,"&lt;="&amp;DATE($I$2,N$4,N$5))</f>
        <v/>
      </c>
      <c r="O464" s="321">
        <f>SUMIFS(DATA!$I:$I,DATA!$C:$C,$B464,DATA!$J:$J,"&gt;="&amp;DATE($I$2,O$4,1),DATA!$J:$J,"&lt;="&amp;DATE($I$2,O$4,O$5))</f>
        <v/>
      </c>
      <c r="P464" s="322">
        <f>SUM(D464:O464)</f>
        <v/>
      </c>
      <c r="Q464" s="118" t="n"/>
    </row>
    <row r="465" hidden="1" outlineLevel="1" ht="15" customHeight="1">
      <c r="A465" s="266" t="n"/>
      <c r="B465" s="126" t="n"/>
      <c r="C465" s="119" t="inlineStr">
        <is>
          <t>Thực tế</t>
        </is>
      </c>
      <c r="D465" s="321">
        <f>SUMIFS(DATA!$M:$M,DATA!$C:$C,$B464,DATA!$N:$N,"&gt;="&amp;DATE($I$2,D$4,1),DATA!$N:$N,"&lt;="&amp;DATE($I$2,D$4,D$5))</f>
        <v/>
      </c>
      <c r="E465" s="321">
        <f>SUMIFS(DATA!$M:$M,DATA!$C:$C,$B464,DATA!$N:$N,"&gt;="&amp;DATE($I$2,E$4,1),DATA!$N:$N,"&lt;="&amp;DATE($I$2,E$4,E$5))</f>
        <v/>
      </c>
      <c r="F465" s="321">
        <f>SUMIFS(DATA!$M:$M,DATA!$C:$C,$B464,DATA!$N:$N,"&gt;="&amp;DATE($I$2,F$4,1),DATA!$N:$N,"&lt;="&amp;DATE($I$2,F$4,F$5))</f>
        <v/>
      </c>
      <c r="G465" s="321">
        <f>SUMIFS(DATA!$M:$M,DATA!$C:$C,$B464,DATA!$N:$N,"&gt;="&amp;DATE($I$2,G$4,1),DATA!$N:$N,"&lt;="&amp;DATE($I$2,G$4,G$5))</f>
        <v/>
      </c>
      <c r="H465" s="321">
        <f>SUMIFS(DATA!$M:$M,DATA!$C:$C,$B464,DATA!$N:$N,"&gt;="&amp;DATE($I$2,H$4,1),DATA!$N:$N,"&lt;="&amp;DATE($I$2,H$4,H$5))</f>
        <v/>
      </c>
      <c r="I465" s="321">
        <f>SUMIFS(DATA!$M:$M,DATA!$C:$C,$B464,DATA!$N:$N,"&gt;="&amp;DATE($I$2,I$4,1),DATA!$N:$N,"&lt;="&amp;DATE($I$2,I$4,I$5))</f>
        <v/>
      </c>
      <c r="J465" s="321">
        <f>SUMIFS(DATA!$M:$M,DATA!$C:$C,$B464,DATA!$N:$N,"&gt;="&amp;DATE($I$2,J$4,1),DATA!$N:$N,"&lt;="&amp;DATE($I$2,J$4,J$5))</f>
        <v/>
      </c>
      <c r="K465" s="321">
        <f>SUMIFS(DATA!$M:$M,DATA!$C:$C,$B464,DATA!$N:$N,"&gt;="&amp;DATE($I$2,K$4,1),DATA!$N:$N,"&lt;="&amp;DATE($I$2,K$4,K$5))</f>
        <v/>
      </c>
      <c r="L465" s="321">
        <f>SUMIFS(DATA!$M:$M,DATA!$C:$C,$B464,DATA!$N:$N,"&gt;="&amp;DATE($I$2,L$4,1),DATA!$N:$N,"&lt;="&amp;DATE($I$2,L$4,L$5))</f>
        <v/>
      </c>
      <c r="M465" s="321">
        <f>SUMIFS(DATA!$M:$M,DATA!$C:$C,$B464,DATA!$N:$N,"&gt;="&amp;DATE($I$2,M$4,1),DATA!$N:$N,"&lt;="&amp;DATE($I$2,M$4,M$5))</f>
        <v/>
      </c>
      <c r="N465" s="321">
        <f>SUMIFS(DATA!$M:$M,DATA!$C:$C,$B464,DATA!$N:$N,"&gt;="&amp;DATE($I$2,N$4,1),DATA!$N:$N,"&lt;="&amp;DATE($I$2,N$4,N$5))</f>
        <v/>
      </c>
      <c r="O465" s="321">
        <f>SUMIFS(DATA!$M:$M,DATA!$C:$C,$B464,DATA!$N:$N,"&gt;="&amp;DATE($I$2,O$4,1),DATA!$N:$N,"&lt;="&amp;DATE($I$2,O$4,O$5))</f>
        <v/>
      </c>
      <c r="P465" s="322">
        <f>SUM(D465:O465)</f>
        <v/>
      </c>
      <c r="Q465" s="118" t="n"/>
    </row>
    <row r="466" hidden="1" outlineLevel="1" ht="15" customHeight="1">
      <c r="A466" s="269" t="n">
        <v>231</v>
      </c>
      <c r="B466" s="125" t="n"/>
      <c r="C466" s="119" t="inlineStr">
        <is>
          <t>Kế hoạch</t>
        </is>
      </c>
      <c r="D466" s="321">
        <f>SUMIFS(DATA!$I:$I,DATA!$C:$C,$B466,DATA!$J:$J,"&gt;="&amp;DATE($I$2,D$4,1),DATA!$J:$J,"&lt;="&amp;DATE($I$2,D$4,D$5))</f>
        <v/>
      </c>
      <c r="E466" s="321">
        <f>SUMIFS(DATA!$I:$I,DATA!$C:$C,$B466,DATA!$J:$J,"&gt;="&amp;DATE($I$2,E$4,1),DATA!$J:$J,"&lt;="&amp;DATE($I$2,E$4,E$5))</f>
        <v/>
      </c>
      <c r="F466" s="321">
        <f>SUMIFS(DATA!$I:$I,DATA!$C:$C,$B466,DATA!$J:$J,"&gt;="&amp;DATE($I$2,F$4,1),DATA!$J:$J,"&lt;="&amp;DATE($I$2,F$4,F$5))</f>
        <v/>
      </c>
      <c r="G466" s="321">
        <f>SUMIFS(DATA!$I:$I,DATA!$C:$C,$B466,DATA!$J:$J,"&gt;="&amp;DATE($I$2,G$4,1),DATA!$J:$J,"&lt;="&amp;DATE($I$2,G$4,G$5))</f>
        <v/>
      </c>
      <c r="H466" s="321">
        <f>SUMIFS(DATA!$I:$I,DATA!$C:$C,$B466,DATA!$J:$J,"&gt;="&amp;DATE($I$2,H$4,1),DATA!$J:$J,"&lt;="&amp;DATE($I$2,H$4,H$5))</f>
        <v/>
      </c>
      <c r="I466" s="321">
        <f>SUMIFS(DATA!$I:$I,DATA!$C:$C,$B466,DATA!$J:$J,"&gt;="&amp;DATE($I$2,I$4,1),DATA!$J:$J,"&lt;="&amp;DATE($I$2,I$4,I$5))</f>
        <v/>
      </c>
      <c r="J466" s="321">
        <f>SUMIFS(DATA!$I:$I,DATA!$C:$C,$B466,DATA!$J:$J,"&gt;="&amp;DATE($I$2,J$4,1),DATA!$J:$J,"&lt;="&amp;DATE($I$2,J$4,J$5))</f>
        <v/>
      </c>
      <c r="K466" s="321">
        <f>SUMIFS(DATA!$I:$I,DATA!$C:$C,$B466,DATA!$J:$J,"&gt;="&amp;DATE($I$2,K$4,1),DATA!$J:$J,"&lt;="&amp;DATE($I$2,K$4,K$5))</f>
        <v/>
      </c>
      <c r="L466" s="321">
        <f>SUMIFS(DATA!$I:$I,DATA!$C:$C,$B466,DATA!$J:$J,"&gt;="&amp;DATE($I$2,L$4,1),DATA!$J:$J,"&lt;="&amp;DATE($I$2,L$4,L$5))</f>
        <v/>
      </c>
      <c r="M466" s="321">
        <f>SUMIFS(DATA!$I:$I,DATA!$C:$C,$B466,DATA!$J:$J,"&gt;="&amp;DATE($I$2,M$4,1),DATA!$J:$J,"&lt;="&amp;DATE($I$2,M$4,M$5))</f>
        <v/>
      </c>
      <c r="N466" s="321">
        <f>SUMIFS(DATA!$I:$I,DATA!$C:$C,$B466,DATA!$J:$J,"&gt;="&amp;DATE($I$2,N$4,1),DATA!$J:$J,"&lt;="&amp;DATE($I$2,N$4,N$5))</f>
        <v/>
      </c>
      <c r="O466" s="321">
        <f>SUMIFS(DATA!$I:$I,DATA!$C:$C,$B466,DATA!$J:$J,"&gt;="&amp;DATE($I$2,O$4,1),DATA!$J:$J,"&lt;="&amp;DATE($I$2,O$4,O$5))</f>
        <v/>
      </c>
      <c r="P466" s="322">
        <f>SUM(D466:O466)</f>
        <v/>
      </c>
      <c r="Q466" s="118" t="n"/>
    </row>
    <row r="467" hidden="1" outlineLevel="1" ht="15" customHeight="1">
      <c r="A467" s="266" t="n"/>
      <c r="B467" s="126" t="n"/>
      <c r="C467" s="119" t="inlineStr">
        <is>
          <t>Thực tế</t>
        </is>
      </c>
      <c r="D467" s="321">
        <f>SUMIFS(DATA!$M:$M,DATA!$C:$C,$B466,DATA!$N:$N,"&gt;="&amp;DATE($I$2,D$4,1),DATA!$N:$N,"&lt;="&amp;DATE($I$2,D$4,D$5))</f>
        <v/>
      </c>
      <c r="E467" s="321">
        <f>SUMIFS(DATA!$M:$M,DATA!$C:$C,$B466,DATA!$N:$N,"&gt;="&amp;DATE($I$2,E$4,1),DATA!$N:$N,"&lt;="&amp;DATE($I$2,E$4,E$5))</f>
        <v/>
      </c>
      <c r="F467" s="321">
        <f>SUMIFS(DATA!$M:$M,DATA!$C:$C,$B466,DATA!$N:$N,"&gt;="&amp;DATE($I$2,F$4,1),DATA!$N:$N,"&lt;="&amp;DATE($I$2,F$4,F$5))</f>
        <v/>
      </c>
      <c r="G467" s="321">
        <f>SUMIFS(DATA!$M:$M,DATA!$C:$C,$B466,DATA!$N:$N,"&gt;="&amp;DATE($I$2,G$4,1),DATA!$N:$N,"&lt;="&amp;DATE($I$2,G$4,G$5))</f>
        <v/>
      </c>
      <c r="H467" s="321">
        <f>SUMIFS(DATA!$M:$M,DATA!$C:$C,$B466,DATA!$N:$N,"&gt;="&amp;DATE($I$2,H$4,1),DATA!$N:$N,"&lt;="&amp;DATE($I$2,H$4,H$5))</f>
        <v/>
      </c>
      <c r="I467" s="321">
        <f>SUMIFS(DATA!$M:$M,DATA!$C:$C,$B466,DATA!$N:$N,"&gt;="&amp;DATE($I$2,I$4,1),DATA!$N:$N,"&lt;="&amp;DATE($I$2,I$4,I$5))</f>
        <v/>
      </c>
      <c r="J467" s="321">
        <f>SUMIFS(DATA!$M:$M,DATA!$C:$C,$B466,DATA!$N:$N,"&gt;="&amp;DATE($I$2,J$4,1),DATA!$N:$N,"&lt;="&amp;DATE($I$2,J$4,J$5))</f>
        <v/>
      </c>
      <c r="K467" s="321">
        <f>SUMIFS(DATA!$M:$M,DATA!$C:$C,$B466,DATA!$N:$N,"&gt;="&amp;DATE($I$2,K$4,1),DATA!$N:$N,"&lt;="&amp;DATE($I$2,K$4,K$5))</f>
        <v/>
      </c>
      <c r="L467" s="321">
        <f>SUMIFS(DATA!$M:$M,DATA!$C:$C,$B466,DATA!$N:$N,"&gt;="&amp;DATE($I$2,L$4,1),DATA!$N:$N,"&lt;="&amp;DATE($I$2,L$4,L$5))</f>
        <v/>
      </c>
      <c r="M467" s="321">
        <f>SUMIFS(DATA!$M:$M,DATA!$C:$C,$B466,DATA!$N:$N,"&gt;="&amp;DATE($I$2,M$4,1),DATA!$N:$N,"&lt;="&amp;DATE($I$2,M$4,M$5))</f>
        <v/>
      </c>
      <c r="N467" s="321">
        <f>SUMIFS(DATA!$M:$M,DATA!$C:$C,$B466,DATA!$N:$N,"&gt;="&amp;DATE($I$2,N$4,1),DATA!$N:$N,"&lt;="&amp;DATE($I$2,N$4,N$5))</f>
        <v/>
      </c>
      <c r="O467" s="321">
        <f>SUMIFS(DATA!$M:$M,DATA!$C:$C,$B466,DATA!$N:$N,"&gt;="&amp;DATE($I$2,O$4,1),DATA!$N:$N,"&lt;="&amp;DATE($I$2,O$4,O$5))</f>
        <v/>
      </c>
      <c r="P467" s="322">
        <f>SUM(D467:O467)</f>
        <v/>
      </c>
      <c r="Q467" s="118" t="n"/>
    </row>
    <row r="468" hidden="1" outlineLevel="1" ht="15" customHeight="1">
      <c r="A468" s="269" t="n">
        <v>232</v>
      </c>
      <c r="B468" s="125" t="n"/>
      <c r="C468" s="119" t="inlineStr">
        <is>
          <t>Kế hoạch</t>
        </is>
      </c>
      <c r="D468" s="321">
        <f>SUMIFS(DATA!$I:$I,DATA!$C:$C,$B468,DATA!$J:$J,"&gt;="&amp;DATE($I$2,D$4,1),DATA!$J:$J,"&lt;="&amp;DATE($I$2,D$4,D$5))</f>
        <v/>
      </c>
      <c r="E468" s="321">
        <f>SUMIFS(DATA!$I:$I,DATA!$C:$C,$B468,DATA!$J:$J,"&gt;="&amp;DATE($I$2,E$4,1),DATA!$J:$J,"&lt;="&amp;DATE($I$2,E$4,E$5))</f>
        <v/>
      </c>
      <c r="F468" s="321">
        <f>SUMIFS(DATA!$I:$I,DATA!$C:$C,$B468,DATA!$J:$J,"&gt;="&amp;DATE($I$2,F$4,1),DATA!$J:$J,"&lt;="&amp;DATE($I$2,F$4,F$5))</f>
        <v/>
      </c>
      <c r="G468" s="321">
        <f>SUMIFS(DATA!$I:$I,DATA!$C:$C,$B468,DATA!$J:$J,"&gt;="&amp;DATE($I$2,G$4,1),DATA!$J:$J,"&lt;="&amp;DATE($I$2,G$4,G$5))</f>
        <v/>
      </c>
      <c r="H468" s="321">
        <f>SUMIFS(DATA!$I:$I,DATA!$C:$C,$B468,DATA!$J:$J,"&gt;="&amp;DATE($I$2,H$4,1),DATA!$J:$J,"&lt;="&amp;DATE($I$2,H$4,H$5))</f>
        <v/>
      </c>
      <c r="I468" s="321">
        <f>SUMIFS(DATA!$I:$I,DATA!$C:$C,$B468,DATA!$J:$J,"&gt;="&amp;DATE($I$2,I$4,1),DATA!$J:$J,"&lt;="&amp;DATE($I$2,I$4,I$5))</f>
        <v/>
      </c>
      <c r="J468" s="321">
        <f>SUMIFS(DATA!$I:$I,DATA!$C:$C,$B468,DATA!$J:$J,"&gt;="&amp;DATE($I$2,J$4,1),DATA!$J:$J,"&lt;="&amp;DATE($I$2,J$4,J$5))</f>
        <v/>
      </c>
      <c r="K468" s="321">
        <f>SUMIFS(DATA!$I:$I,DATA!$C:$C,$B468,DATA!$J:$J,"&gt;="&amp;DATE($I$2,K$4,1),DATA!$J:$J,"&lt;="&amp;DATE($I$2,K$4,K$5))</f>
        <v/>
      </c>
      <c r="L468" s="321">
        <f>SUMIFS(DATA!$I:$I,DATA!$C:$C,$B468,DATA!$J:$J,"&gt;="&amp;DATE($I$2,L$4,1),DATA!$J:$J,"&lt;="&amp;DATE($I$2,L$4,L$5))</f>
        <v/>
      </c>
      <c r="M468" s="321">
        <f>SUMIFS(DATA!$I:$I,DATA!$C:$C,$B468,DATA!$J:$J,"&gt;="&amp;DATE($I$2,M$4,1),DATA!$J:$J,"&lt;="&amp;DATE($I$2,M$4,M$5))</f>
        <v/>
      </c>
      <c r="N468" s="321">
        <f>SUMIFS(DATA!$I:$I,DATA!$C:$C,$B468,DATA!$J:$J,"&gt;="&amp;DATE($I$2,N$4,1),DATA!$J:$J,"&lt;="&amp;DATE($I$2,N$4,N$5))</f>
        <v/>
      </c>
      <c r="O468" s="321">
        <f>SUMIFS(DATA!$I:$I,DATA!$C:$C,$B468,DATA!$J:$J,"&gt;="&amp;DATE($I$2,O$4,1),DATA!$J:$J,"&lt;="&amp;DATE($I$2,O$4,O$5))</f>
        <v/>
      </c>
      <c r="P468" s="322">
        <f>SUM(D468:O468)</f>
        <v/>
      </c>
      <c r="Q468" s="118" t="n"/>
    </row>
    <row r="469" hidden="1" outlineLevel="1" ht="15" customHeight="1">
      <c r="A469" s="266" t="n"/>
      <c r="B469" s="126" t="n"/>
      <c r="C469" s="119" t="inlineStr">
        <is>
          <t>Thực tế</t>
        </is>
      </c>
      <c r="D469" s="321">
        <f>SUMIFS(DATA!$M:$M,DATA!$C:$C,$B468,DATA!$N:$N,"&gt;="&amp;DATE($I$2,D$4,1),DATA!$N:$N,"&lt;="&amp;DATE($I$2,D$4,D$5))</f>
        <v/>
      </c>
      <c r="E469" s="321">
        <f>SUMIFS(DATA!$M:$M,DATA!$C:$C,$B468,DATA!$N:$N,"&gt;="&amp;DATE($I$2,E$4,1),DATA!$N:$N,"&lt;="&amp;DATE($I$2,E$4,E$5))</f>
        <v/>
      </c>
      <c r="F469" s="321">
        <f>SUMIFS(DATA!$M:$M,DATA!$C:$C,$B468,DATA!$N:$N,"&gt;="&amp;DATE($I$2,F$4,1),DATA!$N:$N,"&lt;="&amp;DATE($I$2,F$4,F$5))</f>
        <v/>
      </c>
      <c r="G469" s="321">
        <f>SUMIFS(DATA!$M:$M,DATA!$C:$C,$B468,DATA!$N:$N,"&gt;="&amp;DATE($I$2,G$4,1),DATA!$N:$N,"&lt;="&amp;DATE($I$2,G$4,G$5))</f>
        <v/>
      </c>
      <c r="H469" s="321">
        <f>SUMIFS(DATA!$M:$M,DATA!$C:$C,$B468,DATA!$N:$N,"&gt;="&amp;DATE($I$2,H$4,1),DATA!$N:$N,"&lt;="&amp;DATE($I$2,H$4,H$5))</f>
        <v/>
      </c>
      <c r="I469" s="321">
        <f>SUMIFS(DATA!$M:$M,DATA!$C:$C,$B468,DATA!$N:$N,"&gt;="&amp;DATE($I$2,I$4,1),DATA!$N:$N,"&lt;="&amp;DATE($I$2,I$4,I$5))</f>
        <v/>
      </c>
      <c r="J469" s="321">
        <f>SUMIFS(DATA!$M:$M,DATA!$C:$C,$B468,DATA!$N:$N,"&gt;="&amp;DATE($I$2,J$4,1),DATA!$N:$N,"&lt;="&amp;DATE($I$2,J$4,J$5))</f>
        <v/>
      </c>
      <c r="K469" s="321">
        <f>SUMIFS(DATA!$M:$M,DATA!$C:$C,$B468,DATA!$N:$N,"&gt;="&amp;DATE($I$2,K$4,1),DATA!$N:$N,"&lt;="&amp;DATE($I$2,K$4,K$5))</f>
        <v/>
      </c>
      <c r="L469" s="321">
        <f>SUMIFS(DATA!$M:$M,DATA!$C:$C,$B468,DATA!$N:$N,"&gt;="&amp;DATE($I$2,L$4,1),DATA!$N:$N,"&lt;="&amp;DATE($I$2,L$4,L$5))</f>
        <v/>
      </c>
      <c r="M469" s="321">
        <f>SUMIFS(DATA!$M:$M,DATA!$C:$C,$B468,DATA!$N:$N,"&gt;="&amp;DATE($I$2,M$4,1),DATA!$N:$N,"&lt;="&amp;DATE($I$2,M$4,M$5))</f>
        <v/>
      </c>
      <c r="N469" s="321">
        <f>SUMIFS(DATA!$M:$M,DATA!$C:$C,$B468,DATA!$N:$N,"&gt;="&amp;DATE($I$2,N$4,1),DATA!$N:$N,"&lt;="&amp;DATE($I$2,N$4,N$5))</f>
        <v/>
      </c>
      <c r="O469" s="321">
        <f>SUMIFS(DATA!$M:$M,DATA!$C:$C,$B468,DATA!$N:$N,"&gt;="&amp;DATE($I$2,O$4,1),DATA!$N:$N,"&lt;="&amp;DATE($I$2,O$4,O$5))</f>
        <v/>
      </c>
      <c r="P469" s="322">
        <f>SUM(D469:O469)</f>
        <v/>
      </c>
      <c r="Q469" s="118" t="n"/>
    </row>
    <row r="470" hidden="1" outlineLevel="1" ht="15" customHeight="1">
      <c r="A470" s="269" t="n">
        <v>233</v>
      </c>
      <c r="B470" s="125" t="n"/>
      <c r="C470" s="119" t="inlineStr">
        <is>
          <t>Kế hoạch</t>
        </is>
      </c>
      <c r="D470" s="321">
        <f>SUMIFS(DATA!$I:$I,DATA!$C:$C,$B470,DATA!$J:$J,"&gt;="&amp;DATE($I$2,D$4,1),DATA!$J:$J,"&lt;="&amp;DATE($I$2,D$4,D$5))</f>
        <v/>
      </c>
      <c r="E470" s="321">
        <f>SUMIFS(DATA!$I:$I,DATA!$C:$C,$B470,DATA!$J:$J,"&gt;="&amp;DATE($I$2,E$4,1),DATA!$J:$J,"&lt;="&amp;DATE($I$2,E$4,E$5))</f>
        <v/>
      </c>
      <c r="F470" s="321">
        <f>SUMIFS(DATA!$I:$I,DATA!$C:$C,$B470,DATA!$J:$J,"&gt;="&amp;DATE($I$2,F$4,1),DATA!$J:$J,"&lt;="&amp;DATE($I$2,F$4,F$5))</f>
        <v/>
      </c>
      <c r="G470" s="321">
        <f>SUMIFS(DATA!$I:$I,DATA!$C:$C,$B470,DATA!$J:$J,"&gt;="&amp;DATE($I$2,G$4,1),DATA!$J:$J,"&lt;="&amp;DATE($I$2,G$4,G$5))</f>
        <v/>
      </c>
      <c r="H470" s="321">
        <f>SUMIFS(DATA!$I:$I,DATA!$C:$C,$B470,DATA!$J:$J,"&gt;="&amp;DATE($I$2,H$4,1),DATA!$J:$J,"&lt;="&amp;DATE($I$2,H$4,H$5))</f>
        <v/>
      </c>
      <c r="I470" s="321">
        <f>SUMIFS(DATA!$I:$I,DATA!$C:$C,$B470,DATA!$J:$J,"&gt;="&amp;DATE($I$2,I$4,1),DATA!$J:$J,"&lt;="&amp;DATE($I$2,I$4,I$5))</f>
        <v/>
      </c>
      <c r="J470" s="321">
        <f>SUMIFS(DATA!$I:$I,DATA!$C:$C,$B470,DATA!$J:$J,"&gt;="&amp;DATE($I$2,J$4,1),DATA!$J:$J,"&lt;="&amp;DATE($I$2,J$4,J$5))</f>
        <v/>
      </c>
      <c r="K470" s="321">
        <f>SUMIFS(DATA!$I:$I,DATA!$C:$C,$B470,DATA!$J:$J,"&gt;="&amp;DATE($I$2,K$4,1),DATA!$J:$J,"&lt;="&amp;DATE($I$2,K$4,K$5))</f>
        <v/>
      </c>
      <c r="L470" s="321">
        <f>SUMIFS(DATA!$I:$I,DATA!$C:$C,$B470,DATA!$J:$J,"&gt;="&amp;DATE($I$2,L$4,1),DATA!$J:$J,"&lt;="&amp;DATE($I$2,L$4,L$5))</f>
        <v/>
      </c>
      <c r="M470" s="321">
        <f>SUMIFS(DATA!$I:$I,DATA!$C:$C,$B470,DATA!$J:$J,"&gt;="&amp;DATE($I$2,M$4,1),DATA!$J:$J,"&lt;="&amp;DATE($I$2,M$4,M$5))</f>
        <v/>
      </c>
      <c r="N470" s="321">
        <f>SUMIFS(DATA!$I:$I,DATA!$C:$C,$B470,DATA!$J:$J,"&gt;="&amp;DATE($I$2,N$4,1),DATA!$J:$J,"&lt;="&amp;DATE($I$2,N$4,N$5))</f>
        <v/>
      </c>
      <c r="O470" s="321">
        <f>SUMIFS(DATA!$I:$I,DATA!$C:$C,$B470,DATA!$J:$J,"&gt;="&amp;DATE($I$2,O$4,1),DATA!$J:$J,"&lt;="&amp;DATE($I$2,O$4,O$5))</f>
        <v/>
      </c>
      <c r="P470" s="322">
        <f>SUM(D470:O470)</f>
        <v/>
      </c>
      <c r="Q470" s="118" t="n"/>
    </row>
    <row r="471" hidden="1" outlineLevel="1" ht="15" customHeight="1">
      <c r="A471" s="266" t="n"/>
      <c r="B471" s="126" t="n"/>
      <c r="C471" s="119" t="inlineStr">
        <is>
          <t>Thực tế</t>
        </is>
      </c>
      <c r="D471" s="321">
        <f>SUMIFS(DATA!$M:$M,DATA!$C:$C,$B470,DATA!$N:$N,"&gt;="&amp;DATE($I$2,D$4,1),DATA!$N:$N,"&lt;="&amp;DATE($I$2,D$4,D$5))</f>
        <v/>
      </c>
      <c r="E471" s="321">
        <f>SUMIFS(DATA!$M:$M,DATA!$C:$C,$B470,DATA!$N:$N,"&gt;="&amp;DATE($I$2,E$4,1),DATA!$N:$N,"&lt;="&amp;DATE($I$2,E$4,E$5))</f>
        <v/>
      </c>
      <c r="F471" s="321">
        <f>SUMIFS(DATA!$M:$M,DATA!$C:$C,$B470,DATA!$N:$N,"&gt;="&amp;DATE($I$2,F$4,1),DATA!$N:$N,"&lt;="&amp;DATE($I$2,F$4,F$5))</f>
        <v/>
      </c>
      <c r="G471" s="321">
        <f>SUMIFS(DATA!$M:$M,DATA!$C:$C,$B470,DATA!$N:$N,"&gt;="&amp;DATE($I$2,G$4,1),DATA!$N:$N,"&lt;="&amp;DATE($I$2,G$4,G$5))</f>
        <v/>
      </c>
      <c r="H471" s="321">
        <f>SUMIFS(DATA!$M:$M,DATA!$C:$C,$B470,DATA!$N:$N,"&gt;="&amp;DATE($I$2,H$4,1),DATA!$N:$N,"&lt;="&amp;DATE($I$2,H$4,H$5))</f>
        <v/>
      </c>
      <c r="I471" s="321">
        <f>SUMIFS(DATA!$M:$M,DATA!$C:$C,$B470,DATA!$N:$N,"&gt;="&amp;DATE($I$2,I$4,1),DATA!$N:$N,"&lt;="&amp;DATE($I$2,I$4,I$5))</f>
        <v/>
      </c>
      <c r="J471" s="321">
        <f>SUMIFS(DATA!$M:$M,DATA!$C:$C,$B470,DATA!$N:$N,"&gt;="&amp;DATE($I$2,J$4,1),DATA!$N:$N,"&lt;="&amp;DATE($I$2,J$4,J$5))</f>
        <v/>
      </c>
      <c r="K471" s="321">
        <f>SUMIFS(DATA!$M:$M,DATA!$C:$C,$B470,DATA!$N:$N,"&gt;="&amp;DATE($I$2,K$4,1),DATA!$N:$N,"&lt;="&amp;DATE($I$2,K$4,K$5))</f>
        <v/>
      </c>
      <c r="L471" s="321">
        <f>SUMIFS(DATA!$M:$M,DATA!$C:$C,$B470,DATA!$N:$N,"&gt;="&amp;DATE($I$2,L$4,1),DATA!$N:$N,"&lt;="&amp;DATE($I$2,L$4,L$5))</f>
        <v/>
      </c>
      <c r="M471" s="321">
        <f>SUMIFS(DATA!$M:$M,DATA!$C:$C,$B470,DATA!$N:$N,"&gt;="&amp;DATE($I$2,M$4,1),DATA!$N:$N,"&lt;="&amp;DATE($I$2,M$4,M$5))</f>
        <v/>
      </c>
      <c r="N471" s="321">
        <f>SUMIFS(DATA!$M:$M,DATA!$C:$C,$B470,DATA!$N:$N,"&gt;="&amp;DATE($I$2,N$4,1),DATA!$N:$N,"&lt;="&amp;DATE($I$2,N$4,N$5))</f>
        <v/>
      </c>
      <c r="O471" s="321">
        <f>SUMIFS(DATA!$M:$M,DATA!$C:$C,$B470,DATA!$N:$N,"&gt;="&amp;DATE($I$2,O$4,1),DATA!$N:$N,"&lt;="&amp;DATE($I$2,O$4,O$5))</f>
        <v/>
      </c>
      <c r="P471" s="322">
        <f>SUM(D471:O471)</f>
        <v/>
      </c>
      <c r="Q471" s="118" t="n"/>
    </row>
    <row r="472" hidden="1" outlineLevel="1" ht="15" customHeight="1">
      <c r="A472" s="269" t="n">
        <v>234</v>
      </c>
      <c r="B472" s="125" t="n"/>
      <c r="C472" s="119" t="inlineStr">
        <is>
          <t>Kế hoạch</t>
        </is>
      </c>
      <c r="D472" s="321">
        <f>SUMIFS(DATA!$I:$I,DATA!$C:$C,$B472,DATA!$J:$J,"&gt;="&amp;DATE($I$2,D$4,1),DATA!$J:$J,"&lt;="&amp;DATE($I$2,D$4,D$5))</f>
        <v/>
      </c>
      <c r="E472" s="321">
        <f>SUMIFS(DATA!$I:$I,DATA!$C:$C,$B472,DATA!$J:$J,"&gt;="&amp;DATE($I$2,E$4,1),DATA!$J:$J,"&lt;="&amp;DATE($I$2,E$4,E$5))</f>
        <v/>
      </c>
      <c r="F472" s="321">
        <f>SUMIFS(DATA!$I:$I,DATA!$C:$C,$B472,DATA!$J:$J,"&gt;="&amp;DATE($I$2,F$4,1),DATA!$J:$J,"&lt;="&amp;DATE($I$2,F$4,F$5))</f>
        <v/>
      </c>
      <c r="G472" s="321">
        <f>SUMIFS(DATA!$I:$I,DATA!$C:$C,$B472,DATA!$J:$J,"&gt;="&amp;DATE($I$2,G$4,1),DATA!$J:$J,"&lt;="&amp;DATE($I$2,G$4,G$5))</f>
        <v/>
      </c>
      <c r="H472" s="321">
        <f>SUMIFS(DATA!$I:$I,DATA!$C:$C,$B472,DATA!$J:$J,"&gt;="&amp;DATE($I$2,H$4,1),DATA!$J:$J,"&lt;="&amp;DATE($I$2,H$4,H$5))</f>
        <v/>
      </c>
      <c r="I472" s="321">
        <f>SUMIFS(DATA!$I:$I,DATA!$C:$C,$B472,DATA!$J:$J,"&gt;="&amp;DATE($I$2,I$4,1),DATA!$J:$J,"&lt;="&amp;DATE($I$2,I$4,I$5))</f>
        <v/>
      </c>
      <c r="J472" s="321">
        <f>SUMIFS(DATA!$I:$I,DATA!$C:$C,$B472,DATA!$J:$J,"&gt;="&amp;DATE($I$2,J$4,1),DATA!$J:$J,"&lt;="&amp;DATE($I$2,J$4,J$5))</f>
        <v/>
      </c>
      <c r="K472" s="321">
        <f>SUMIFS(DATA!$I:$I,DATA!$C:$C,$B472,DATA!$J:$J,"&gt;="&amp;DATE($I$2,K$4,1),DATA!$J:$J,"&lt;="&amp;DATE($I$2,K$4,K$5))</f>
        <v/>
      </c>
      <c r="L472" s="321">
        <f>SUMIFS(DATA!$I:$I,DATA!$C:$C,$B472,DATA!$J:$J,"&gt;="&amp;DATE($I$2,L$4,1),DATA!$J:$J,"&lt;="&amp;DATE($I$2,L$4,L$5))</f>
        <v/>
      </c>
      <c r="M472" s="321">
        <f>SUMIFS(DATA!$I:$I,DATA!$C:$C,$B472,DATA!$J:$J,"&gt;="&amp;DATE($I$2,M$4,1),DATA!$J:$J,"&lt;="&amp;DATE($I$2,M$4,M$5))</f>
        <v/>
      </c>
      <c r="N472" s="321">
        <f>SUMIFS(DATA!$I:$I,DATA!$C:$C,$B472,DATA!$J:$J,"&gt;="&amp;DATE($I$2,N$4,1),DATA!$J:$J,"&lt;="&amp;DATE($I$2,N$4,N$5))</f>
        <v/>
      </c>
      <c r="O472" s="321">
        <f>SUMIFS(DATA!$I:$I,DATA!$C:$C,$B472,DATA!$J:$J,"&gt;="&amp;DATE($I$2,O$4,1),DATA!$J:$J,"&lt;="&amp;DATE($I$2,O$4,O$5))</f>
        <v/>
      </c>
      <c r="P472" s="322">
        <f>SUM(D472:O472)</f>
        <v/>
      </c>
      <c r="Q472" s="118" t="n"/>
    </row>
    <row r="473" hidden="1" outlineLevel="1" ht="15" customHeight="1">
      <c r="A473" s="266" t="n"/>
      <c r="B473" s="126" t="n"/>
      <c r="C473" s="119" t="inlineStr">
        <is>
          <t>Thực tế</t>
        </is>
      </c>
      <c r="D473" s="321">
        <f>SUMIFS(DATA!$M:$M,DATA!$C:$C,$B472,DATA!$N:$N,"&gt;="&amp;DATE($I$2,D$4,1),DATA!$N:$N,"&lt;="&amp;DATE($I$2,D$4,D$5))</f>
        <v/>
      </c>
      <c r="E473" s="321">
        <f>SUMIFS(DATA!$M:$M,DATA!$C:$C,$B472,DATA!$N:$N,"&gt;="&amp;DATE($I$2,E$4,1),DATA!$N:$N,"&lt;="&amp;DATE($I$2,E$4,E$5))</f>
        <v/>
      </c>
      <c r="F473" s="321">
        <f>SUMIFS(DATA!$M:$M,DATA!$C:$C,$B472,DATA!$N:$N,"&gt;="&amp;DATE($I$2,F$4,1),DATA!$N:$N,"&lt;="&amp;DATE($I$2,F$4,F$5))</f>
        <v/>
      </c>
      <c r="G473" s="321">
        <f>SUMIFS(DATA!$M:$M,DATA!$C:$C,$B472,DATA!$N:$N,"&gt;="&amp;DATE($I$2,G$4,1),DATA!$N:$N,"&lt;="&amp;DATE($I$2,G$4,G$5))</f>
        <v/>
      </c>
      <c r="H473" s="321">
        <f>SUMIFS(DATA!$M:$M,DATA!$C:$C,$B472,DATA!$N:$N,"&gt;="&amp;DATE($I$2,H$4,1),DATA!$N:$N,"&lt;="&amp;DATE($I$2,H$4,H$5))</f>
        <v/>
      </c>
      <c r="I473" s="321">
        <f>SUMIFS(DATA!$M:$M,DATA!$C:$C,$B472,DATA!$N:$N,"&gt;="&amp;DATE($I$2,I$4,1),DATA!$N:$N,"&lt;="&amp;DATE($I$2,I$4,I$5))</f>
        <v/>
      </c>
      <c r="J473" s="321">
        <f>SUMIFS(DATA!$M:$M,DATA!$C:$C,$B472,DATA!$N:$N,"&gt;="&amp;DATE($I$2,J$4,1),DATA!$N:$N,"&lt;="&amp;DATE($I$2,J$4,J$5))</f>
        <v/>
      </c>
      <c r="K473" s="321">
        <f>SUMIFS(DATA!$M:$M,DATA!$C:$C,$B472,DATA!$N:$N,"&gt;="&amp;DATE($I$2,K$4,1),DATA!$N:$N,"&lt;="&amp;DATE($I$2,K$4,K$5))</f>
        <v/>
      </c>
      <c r="L473" s="321">
        <f>SUMIFS(DATA!$M:$M,DATA!$C:$C,$B472,DATA!$N:$N,"&gt;="&amp;DATE($I$2,L$4,1),DATA!$N:$N,"&lt;="&amp;DATE($I$2,L$4,L$5))</f>
        <v/>
      </c>
      <c r="M473" s="321">
        <f>SUMIFS(DATA!$M:$M,DATA!$C:$C,$B472,DATA!$N:$N,"&gt;="&amp;DATE($I$2,M$4,1),DATA!$N:$N,"&lt;="&amp;DATE($I$2,M$4,M$5))</f>
        <v/>
      </c>
      <c r="N473" s="321">
        <f>SUMIFS(DATA!$M:$M,DATA!$C:$C,$B472,DATA!$N:$N,"&gt;="&amp;DATE($I$2,N$4,1),DATA!$N:$N,"&lt;="&amp;DATE($I$2,N$4,N$5))</f>
        <v/>
      </c>
      <c r="O473" s="321">
        <f>SUMIFS(DATA!$M:$M,DATA!$C:$C,$B472,DATA!$N:$N,"&gt;="&amp;DATE($I$2,O$4,1),DATA!$N:$N,"&lt;="&amp;DATE($I$2,O$4,O$5))</f>
        <v/>
      </c>
      <c r="P473" s="322">
        <f>SUM(D473:O473)</f>
        <v/>
      </c>
      <c r="Q473" s="118" t="n"/>
    </row>
    <row r="474" hidden="1" outlineLevel="1" ht="15" customHeight="1">
      <c r="A474" s="269" t="n">
        <v>235</v>
      </c>
      <c r="B474" s="125" t="n"/>
      <c r="C474" s="119" t="inlineStr">
        <is>
          <t>Kế hoạch</t>
        </is>
      </c>
      <c r="D474" s="321">
        <f>SUMIFS(DATA!$I:$I,DATA!$C:$C,$B474,DATA!$J:$J,"&gt;="&amp;DATE($I$2,D$4,1),DATA!$J:$J,"&lt;="&amp;DATE($I$2,D$4,D$5))</f>
        <v/>
      </c>
      <c r="E474" s="321">
        <f>SUMIFS(DATA!$I:$I,DATA!$C:$C,$B474,DATA!$J:$J,"&gt;="&amp;DATE($I$2,E$4,1),DATA!$J:$J,"&lt;="&amp;DATE($I$2,E$4,E$5))</f>
        <v/>
      </c>
      <c r="F474" s="321">
        <f>SUMIFS(DATA!$I:$I,DATA!$C:$C,$B474,DATA!$J:$J,"&gt;="&amp;DATE($I$2,F$4,1),DATA!$J:$J,"&lt;="&amp;DATE($I$2,F$4,F$5))</f>
        <v/>
      </c>
      <c r="G474" s="321">
        <f>SUMIFS(DATA!$I:$I,DATA!$C:$C,$B474,DATA!$J:$J,"&gt;="&amp;DATE($I$2,G$4,1),DATA!$J:$J,"&lt;="&amp;DATE($I$2,G$4,G$5))</f>
        <v/>
      </c>
      <c r="H474" s="321">
        <f>SUMIFS(DATA!$I:$I,DATA!$C:$C,$B474,DATA!$J:$J,"&gt;="&amp;DATE($I$2,H$4,1),DATA!$J:$J,"&lt;="&amp;DATE($I$2,H$4,H$5))</f>
        <v/>
      </c>
      <c r="I474" s="321">
        <f>SUMIFS(DATA!$I:$I,DATA!$C:$C,$B474,DATA!$J:$J,"&gt;="&amp;DATE($I$2,I$4,1),DATA!$J:$J,"&lt;="&amp;DATE($I$2,I$4,I$5))</f>
        <v/>
      </c>
      <c r="J474" s="321">
        <f>SUMIFS(DATA!$I:$I,DATA!$C:$C,$B474,DATA!$J:$J,"&gt;="&amp;DATE($I$2,J$4,1),DATA!$J:$J,"&lt;="&amp;DATE($I$2,J$4,J$5))</f>
        <v/>
      </c>
      <c r="K474" s="321">
        <f>SUMIFS(DATA!$I:$I,DATA!$C:$C,$B474,DATA!$J:$J,"&gt;="&amp;DATE($I$2,K$4,1),DATA!$J:$J,"&lt;="&amp;DATE($I$2,K$4,K$5))</f>
        <v/>
      </c>
      <c r="L474" s="321">
        <f>SUMIFS(DATA!$I:$I,DATA!$C:$C,$B474,DATA!$J:$J,"&gt;="&amp;DATE($I$2,L$4,1),DATA!$J:$J,"&lt;="&amp;DATE($I$2,L$4,L$5))</f>
        <v/>
      </c>
      <c r="M474" s="321">
        <f>SUMIFS(DATA!$I:$I,DATA!$C:$C,$B474,DATA!$J:$J,"&gt;="&amp;DATE($I$2,M$4,1),DATA!$J:$J,"&lt;="&amp;DATE($I$2,M$4,M$5))</f>
        <v/>
      </c>
      <c r="N474" s="321">
        <f>SUMIFS(DATA!$I:$I,DATA!$C:$C,$B474,DATA!$J:$J,"&gt;="&amp;DATE($I$2,N$4,1),DATA!$J:$J,"&lt;="&amp;DATE($I$2,N$4,N$5))</f>
        <v/>
      </c>
      <c r="O474" s="321">
        <f>SUMIFS(DATA!$I:$I,DATA!$C:$C,$B474,DATA!$J:$J,"&gt;="&amp;DATE($I$2,O$4,1),DATA!$J:$J,"&lt;="&amp;DATE($I$2,O$4,O$5))</f>
        <v/>
      </c>
      <c r="P474" s="322">
        <f>SUM(D474:O474)</f>
        <v/>
      </c>
      <c r="Q474" s="118" t="n"/>
    </row>
    <row r="475" hidden="1" outlineLevel="1" ht="15" customHeight="1">
      <c r="A475" s="266" t="n"/>
      <c r="B475" s="126" t="n"/>
      <c r="C475" s="119" t="inlineStr">
        <is>
          <t>Thực tế</t>
        </is>
      </c>
      <c r="D475" s="321">
        <f>SUMIFS(DATA!$M:$M,DATA!$C:$C,$B474,DATA!$N:$N,"&gt;="&amp;DATE($I$2,D$4,1),DATA!$N:$N,"&lt;="&amp;DATE($I$2,D$4,D$5))</f>
        <v/>
      </c>
      <c r="E475" s="321">
        <f>SUMIFS(DATA!$M:$M,DATA!$C:$C,$B474,DATA!$N:$N,"&gt;="&amp;DATE($I$2,E$4,1),DATA!$N:$N,"&lt;="&amp;DATE($I$2,E$4,E$5))</f>
        <v/>
      </c>
      <c r="F475" s="321">
        <f>SUMIFS(DATA!$M:$M,DATA!$C:$C,$B474,DATA!$N:$N,"&gt;="&amp;DATE($I$2,F$4,1),DATA!$N:$N,"&lt;="&amp;DATE($I$2,F$4,F$5))</f>
        <v/>
      </c>
      <c r="G475" s="321">
        <f>SUMIFS(DATA!$M:$M,DATA!$C:$C,$B474,DATA!$N:$N,"&gt;="&amp;DATE($I$2,G$4,1),DATA!$N:$N,"&lt;="&amp;DATE($I$2,G$4,G$5))</f>
        <v/>
      </c>
      <c r="H475" s="321">
        <f>SUMIFS(DATA!$M:$M,DATA!$C:$C,$B474,DATA!$N:$N,"&gt;="&amp;DATE($I$2,H$4,1),DATA!$N:$N,"&lt;="&amp;DATE($I$2,H$4,H$5))</f>
        <v/>
      </c>
      <c r="I475" s="321">
        <f>SUMIFS(DATA!$M:$M,DATA!$C:$C,$B474,DATA!$N:$N,"&gt;="&amp;DATE($I$2,I$4,1),DATA!$N:$N,"&lt;="&amp;DATE($I$2,I$4,I$5))</f>
        <v/>
      </c>
      <c r="J475" s="321">
        <f>SUMIFS(DATA!$M:$M,DATA!$C:$C,$B474,DATA!$N:$N,"&gt;="&amp;DATE($I$2,J$4,1),DATA!$N:$N,"&lt;="&amp;DATE($I$2,J$4,J$5))</f>
        <v/>
      </c>
      <c r="K475" s="321">
        <f>SUMIFS(DATA!$M:$M,DATA!$C:$C,$B474,DATA!$N:$N,"&gt;="&amp;DATE($I$2,K$4,1),DATA!$N:$N,"&lt;="&amp;DATE($I$2,K$4,K$5))</f>
        <v/>
      </c>
      <c r="L475" s="321">
        <f>SUMIFS(DATA!$M:$M,DATA!$C:$C,$B474,DATA!$N:$N,"&gt;="&amp;DATE($I$2,L$4,1),DATA!$N:$N,"&lt;="&amp;DATE($I$2,L$4,L$5))</f>
        <v/>
      </c>
      <c r="M475" s="321">
        <f>SUMIFS(DATA!$M:$M,DATA!$C:$C,$B474,DATA!$N:$N,"&gt;="&amp;DATE($I$2,M$4,1),DATA!$N:$N,"&lt;="&amp;DATE($I$2,M$4,M$5))</f>
        <v/>
      </c>
      <c r="N475" s="321">
        <f>SUMIFS(DATA!$M:$M,DATA!$C:$C,$B474,DATA!$N:$N,"&gt;="&amp;DATE($I$2,N$4,1),DATA!$N:$N,"&lt;="&amp;DATE($I$2,N$4,N$5))</f>
        <v/>
      </c>
      <c r="O475" s="321">
        <f>SUMIFS(DATA!$M:$M,DATA!$C:$C,$B474,DATA!$N:$N,"&gt;="&amp;DATE($I$2,O$4,1),DATA!$N:$N,"&lt;="&amp;DATE($I$2,O$4,O$5))</f>
        <v/>
      </c>
      <c r="P475" s="322">
        <f>SUM(D475:O475)</f>
        <v/>
      </c>
      <c r="Q475" s="118" t="n"/>
    </row>
    <row r="476" hidden="1" outlineLevel="1" ht="15" customHeight="1">
      <c r="A476" s="269" t="n">
        <v>236</v>
      </c>
      <c r="B476" s="125" t="n"/>
      <c r="C476" s="119" t="inlineStr">
        <is>
          <t>Kế hoạch</t>
        </is>
      </c>
      <c r="D476" s="321">
        <f>SUMIFS(DATA!$I:$I,DATA!$C:$C,$B476,DATA!$J:$J,"&gt;="&amp;DATE($I$2,D$4,1),DATA!$J:$J,"&lt;="&amp;DATE($I$2,D$4,D$5))</f>
        <v/>
      </c>
      <c r="E476" s="321">
        <f>SUMIFS(DATA!$I:$I,DATA!$C:$C,$B476,DATA!$J:$J,"&gt;="&amp;DATE($I$2,E$4,1),DATA!$J:$J,"&lt;="&amp;DATE($I$2,E$4,E$5))</f>
        <v/>
      </c>
      <c r="F476" s="321">
        <f>SUMIFS(DATA!$I:$I,DATA!$C:$C,$B476,DATA!$J:$J,"&gt;="&amp;DATE($I$2,F$4,1),DATA!$J:$J,"&lt;="&amp;DATE($I$2,F$4,F$5))</f>
        <v/>
      </c>
      <c r="G476" s="321">
        <f>SUMIFS(DATA!$I:$I,DATA!$C:$C,$B476,DATA!$J:$J,"&gt;="&amp;DATE($I$2,G$4,1),DATA!$J:$J,"&lt;="&amp;DATE($I$2,G$4,G$5))</f>
        <v/>
      </c>
      <c r="H476" s="321">
        <f>SUMIFS(DATA!$I:$I,DATA!$C:$C,$B476,DATA!$J:$J,"&gt;="&amp;DATE($I$2,H$4,1),DATA!$J:$J,"&lt;="&amp;DATE($I$2,H$4,H$5))</f>
        <v/>
      </c>
      <c r="I476" s="321">
        <f>SUMIFS(DATA!$I:$I,DATA!$C:$C,$B476,DATA!$J:$J,"&gt;="&amp;DATE($I$2,I$4,1),DATA!$J:$J,"&lt;="&amp;DATE($I$2,I$4,I$5))</f>
        <v/>
      </c>
      <c r="J476" s="321">
        <f>SUMIFS(DATA!$I:$I,DATA!$C:$C,$B476,DATA!$J:$J,"&gt;="&amp;DATE($I$2,J$4,1),DATA!$J:$J,"&lt;="&amp;DATE($I$2,J$4,J$5))</f>
        <v/>
      </c>
      <c r="K476" s="321">
        <f>SUMIFS(DATA!$I:$I,DATA!$C:$C,$B476,DATA!$J:$J,"&gt;="&amp;DATE($I$2,K$4,1),DATA!$J:$J,"&lt;="&amp;DATE($I$2,K$4,K$5))</f>
        <v/>
      </c>
      <c r="L476" s="321">
        <f>SUMIFS(DATA!$I:$I,DATA!$C:$C,$B476,DATA!$J:$J,"&gt;="&amp;DATE($I$2,L$4,1),DATA!$J:$J,"&lt;="&amp;DATE($I$2,L$4,L$5))</f>
        <v/>
      </c>
      <c r="M476" s="321">
        <f>SUMIFS(DATA!$I:$I,DATA!$C:$C,$B476,DATA!$J:$J,"&gt;="&amp;DATE($I$2,M$4,1),DATA!$J:$J,"&lt;="&amp;DATE($I$2,M$4,M$5))</f>
        <v/>
      </c>
      <c r="N476" s="321">
        <f>SUMIFS(DATA!$I:$I,DATA!$C:$C,$B476,DATA!$J:$J,"&gt;="&amp;DATE($I$2,N$4,1),DATA!$J:$J,"&lt;="&amp;DATE($I$2,N$4,N$5))</f>
        <v/>
      </c>
      <c r="O476" s="321">
        <f>SUMIFS(DATA!$I:$I,DATA!$C:$C,$B476,DATA!$J:$J,"&gt;="&amp;DATE($I$2,O$4,1),DATA!$J:$J,"&lt;="&amp;DATE($I$2,O$4,O$5))</f>
        <v/>
      </c>
      <c r="P476" s="322">
        <f>SUM(D476:O476)</f>
        <v/>
      </c>
      <c r="Q476" s="118" t="n"/>
    </row>
    <row r="477" hidden="1" outlineLevel="1" ht="15" customHeight="1">
      <c r="A477" s="266" t="n"/>
      <c r="B477" s="126" t="n"/>
      <c r="C477" s="119" t="inlineStr">
        <is>
          <t>Thực tế</t>
        </is>
      </c>
      <c r="D477" s="321">
        <f>SUMIFS(DATA!$M:$M,DATA!$C:$C,$B476,DATA!$N:$N,"&gt;="&amp;DATE($I$2,D$4,1),DATA!$N:$N,"&lt;="&amp;DATE($I$2,D$4,D$5))</f>
        <v/>
      </c>
      <c r="E477" s="321">
        <f>SUMIFS(DATA!$M:$M,DATA!$C:$C,$B476,DATA!$N:$N,"&gt;="&amp;DATE($I$2,E$4,1),DATA!$N:$N,"&lt;="&amp;DATE($I$2,E$4,E$5))</f>
        <v/>
      </c>
      <c r="F477" s="321">
        <f>SUMIFS(DATA!$M:$M,DATA!$C:$C,$B476,DATA!$N:$N,"&gt;="&amp;DATE($I$2,F$4,1),DATA!$N:$N,"&lt;="&amp;DATE($I$2,F$4,F$5))</f>
        <v/>
      </c>
      <c r="G477" s="321">
        <f>SUMIFS(DATA!$M:$M,DATA!$C:$C,$B476,DATA!$N:$N,"&gt;="&amp;DATE($I$2,G$4,1),DATA!$N:$N,"&lt;="&amp;DATE($I$2,G$4,G$5))</f>
        <v/>
      </c>
      <c r="H477" s="321">
        <f>SUMIFS(DATA!$M:$M,DATA!$C:$C,$B476,DATA!$N:$N,"&gt;="&amp;DATE($I$2,H$4,1),DATA!$N:$N,"&lt;="&amp;DATE($I$2,H$4,H$5))</f>
        <v/>
      </c>
      <c r="I477" s="321">
        <f>SUMIFS(DATA!$M:$M,DATA!$C:$C,$B476,DATA!$N:$N,"&gt;="&amp;DATE($I$2,I$4,1),DATA!$N:$N,"&lt;="&amp;DATE($I$2,I$4,I$5))</f>
        <v/>
      </c>
      <c r="J477" s="321">
        <f>SUMIFS(DATA!$M:$M,DATA!$C:$C,$B476,DATA!$N:$N,"&gt;="&amp;DATE($I$2,J$4,1),DATA!$N:$N,"&lt;="&amp;DATE($I$2,J$4,J$5))</f>
        <v/>
      </c>
      <c r="K477" s="321">
        <f>SUMIFS(DATA!$M:$M,DATA!$C:$C,$B476,DATA!$N:$N,"&gt;="&amp;DATE($I$2,K$4,1),DATA!$N:$N,"&lt;="&amp;DATE($I$2,K$4,K$5))</f>
        <v/>
      </c>
      <c r="L477" s="321">
        <f>SUMIFS(DATA!$M:$M,DATA!$C:$C,$B476,DATA!$N:$N,"&gt;="&amp;DATE($I$2,L$4,1),DATA!$N:$N,"&lt;="&amp;DATE($I$2,L$4,L$5))</f>
        <v/>
      </c>
      <c r="M477" s="321">
        <f>SUMIFS(DATA!$M:$M,DATA!$C:$C,$B476,DATA!$N:$N,"&gt;="&amp;DATE($I$2,M$4,1),DATA!$N:$N,"&lt;="&amp;DATE($I$2,M$4,M$5))</f>
        <v/>
      </c>
      <c r="N477" s="321">
        <f>SUMIFS(DATA!$M:$M,DATA!$C:$C,$B476,DATA!$N:$N,"&gt;="&amp;DATE($I$2,N$4,1),DATA!$N:$N,"&lt;="&amp;DATE($I$2,N$4,N$5))</f>
        <v/>
      </c>
      <c r="O477" s="321">
        <f>SUMIFS(DATA!$M:$M,DATA!$C:$C,$B476,DATA!$N:$N,"&gt;="&amp;DATE($I$2,O$4,1),DATA!$N:$N,"&lt;="&amp;DATE($I$2,O$4,O$5))</f>
        <v/>
      </c>
      <c r="P477" s="322">
        <f>SUM(D477:O477)</f>
        <v/>
      </c>
      <c r="Q477" s="118" t="n"/>
    </row>
    <row r="478" hidden="1" outlineLevel="1" ht="15" customHeight="1">
      <c r="A478" s="269" t="n">
        <v>237</v>
      </c>
      <c r="B478" s="125" t="n"/>
      <c r="C478" s="119" t="inlineStr">
        <is>
          <t>Kế hoạch</t>
        </is>
      </c>
      <c r="D478" s="321">
        <f>SUMIFS(DATA!$I:$I,DATA!$C:$C,$B478,DATA!$J:$J,"&gt;="&amp;DATE($I$2,D$4,1),DATA!$J:$J,"&lt;="&amp;DATE($I$2,D$4,D$5))</f>
        <v/>
      </c>
      <c r="E478" s="321">
        <f>SUMIFS(DATA!$I:$I,DATA!$C:$C,$B478,DATA!$J:$J,"&gt;="&amp;DATE($I$2,E$4,1),DATA!$J:$J,"&lt;="&amp;DATE($I$2,E$4,E$5))</f>
        <v/>
      </c>
      <c r="F478" s="321">
        <f>SUMIFS(DATA!$I:$I,DATA!$C:$C,$B478,DATA!$J:$J,"&gt;="&amp;DATE($I$2,F$4,1),DATA!$J:$J,"&lt;="&amp;DATE($I$2,F$4,F$5))</f>
        <v/>
      </c>
      <c r="G478" s="321">
        <f>SUMIFS(DATA!$I:$I,DATA!$C:$C,$B478,DATA!$J:$J,"&gt;="&amp;DATE($I$2,G$4,1),DATA!$J:$J,"&lt;="&amp;DATE($I$2,G$4,G$5))</f>
        <v/>
      </c>
      <c r="H478" s="321">
        <f>SUMIFS(DATA!$I:$I,DATA!$C:$C,$B478,DATA!$J:$J,"&gt;="&amp;DATE($I$2,H$4,1),DATA!$J:$J,"&lt;="&amp;DATE($I$2,H$4,H$5))</f>
        <v/>
      </c>
      <c r="I478" s="321">
        <f>SUMIFS(DATA!$I:$I,DATA!$C:$C,$B478,DATA!$J:$J,"&gt;="&amp;DATE($I$2,I$4,1),DATA!$J:$J,"&lt;="&amp;DATE($I$2,I$4,I$5))</f>
        <v/>
      </c>
      <c r="J478" s="321">
        <f>SUMIFS(DATA!$I:$I,DATA!$C:$C,$B478,DATA!$J:$J,"&gt;="&amp;DATE($I$2,J$4,1),DATA!$J:$J,"&lt;="&amp;DATE($I$2,J$4,J$5))</f>
        <v/>
      </c>
      <c r="K478" s="321">
        <f>SUMIFS(DATA!$I:$I,DATA!$C:$C,$B478,DATA!$J:$J,"&gt;="&amp;DATE($I$2,K$4,1),DATA!$J:$J,"&lt;="&amp;DATE($I$2,K$4,K$5))</f>
        <v/>
      </c>
      <c r="L478" s="321">
        <f>SUMIFS(DATA!$I:$I,DATA!$C:$C,$B478,DATA!$J:$J,"&gt;="&amp;DATE($I$2,L$4,1),DATA!$J:$J,"&lt;="&amp;DATE($I$2,L$4,L$5))</f>
        <v/>
      </c>
      <c r="M478" s="321">
        <f>SUMIFS(DATA!$I:$I,DATA!$C:$C,$B478,DATA!$J:$J,"&gt;="&amp;DATE($I$2,M$4,1),DATA!$J:$J,"&lt;="&amp;DATE($I$2,M$4,M$5))</f>
        <v/>
      </c>
      <c r="N478" s="321">
        <f>SUMIFS(DATA!$I:$I,DATA!$C:$C,$B478,DATA!$J:$J,"&gt;="&amp;DATE($I$2,N$4,1),DATA!$J:$J,"&lt;="&amp;DATE($I$2,N$4,N$5))</f>
        <v/>
      </c>
      <c r="O478" s="321">
        <f>SUMIFS(DATA!$I:$I,DATA!$C:$C,$B478,DATA!$J:$J,"&gt;="&amp;DATE($I$2,O$4,1),DATA!$J:$J,"&lt;="&amp;DATE($I$2,O$4,O$5))</f>
        <v/>
      </c>
      <c r="P478" s="322">
        <f>SUM(D478:O478)</f>
        <v/>
      </c>
      <c r="Q478" s="118" t="n"/>
    </row>
    <row r="479" hidden="1" outlineLevel="1" ht="15" customHeight="1">
      <c r="A479" s="266" t="n"/>
      <c r="B479" s="126" t="n"/>
      <c r="C479" s="119" t="inlineStr">
        <is>
          <t>Thực tế</t>
        </is>
      </c>
      <c r="D479" s="321">
        <f>SUMIFS(DATA!$M:$M,DATA!$C:$C,$B478,DATA!$N:$N,"&gt;="&amp;DATE($I$2,D$4,1),DATA!$N:$N,"&lt;="&amp;DATE($I$2,D$4,D$5))</f>
        <v/>
      </c>
      <c r="E479" s="321">
        <f>SUMIFS(DATA!$M:$M,DATA!$C:$C,$B478,DATA!$N:$N,"&gt;="&amp;DATE($I$2,E$4,1),DATA!$N:$N,"&lt;="&amp;DATE($I$2,E$4,E$5))</f>
        <v/>
      </c>
      <c r="F479" s="321">
        <f>SUMIFS(DATA!$M:$M,DATA!$C:$C,$B478,DATA!$N:$N,"&gt;="&amp;DATE($I$2,F$4,1),DATA!$N:$N,"&lt;="&amp;DATE($I$2,F$4,F$5))</f>
        <v/>
      </c>
      <c r="G479" s="321">
        <f>SUMIFS(DATA!$M:$M,DATA!$C:$C,$B478,DATA!$N:$N,"&gt;="&amp;DATE($I$2,G$4,1),DATA!$N:$N,"&lt;="&amp;DATE($I$2,G$4,G$5))</f>
        <v/>
      </c>
      <c r="H479" s="321">
        <f>SUMIFS(DATA!$M:$M,DATA!$C:$C,$B478,DATA!$N:$N,"&gt;="&amp;DATE($I$2,H$4,1),DATA!$N:$N,"&lt;="&amp;DATE($I$2,H$4,H$5))</f>
        <v/>
      </c>
      <c r="I479" s="321">
        <f>SUMIFS(DATA!$M:$M,DATA!$C:$C,$B478,DATA!$N:$N,"&gt;="&amp;DATE($I$2,I$4,1),DATA!$N:$N,"&lt;="&amp;DATE($I$2,I$4,I$5))</f>
        <v/>
      </c>
      <c r="J479" s="321">
        <f>SUMIFS(DATA!$M:$M,DATA!$C:$C,$B478,DATA!$N:$N,"&gt;="&amp;DATE($I$2,J$4,1),DATA!$N:$N,"&lt;="&amp;DATE($I$2,J$4,J$5))</f>
        <v/>
      </c>
      <c r="K479" s="321">
        <f>SUMIFS(DATA!$M:$M,DATA!$C:$C,$B478,DATA!$N:$N,"&gt;="&amp;DATE($I$2,K$4,1),DATA!$N:$N,"&lt;="&amp;DATE($I$2,K$4,K$5))</f>
        <v/>
      </c>
      <c r="L479" s="321">
        <f>SUMIFS(DATA!$M:$M,DATA!$C:$C,$B478,DATA!$N:$N,"&gt;="&amp;DATE($I$2,L$4,1),DATA!$N:$N,"&lt;="&amp;DATE($I$2,L$4,L$5))</f>
        <v/>
      </c>
      <c r="M479" s="321">
        <f>SUMIFS(DATA!$M:$M,DATA!$C:$C,$B478,DATA!$N:$N,"&gt;="&amp;DATE($I$2,M$4,1),DATA!$N:$N,"&lt;="&amp;DATE($I$2,M$4,M$5))</f>
        <v/>
      </c>
      <c r="N479" s="321">
        <f>SUMIFS(DATA!$M:$M,DATA!$C:$C,$B478,DATA!$N:$N,"&gt;="&amp;DATE($I$2,N$4,1),DATA!$N:$N,"&lt;="&amp;DATE($I$2,N$4,N$5))</f>
        <v/>
      </c>
      <c r="O479" s="321">
        <f>SUMIFS(DATA!$M:$M,DATA!$C:$C,$B478,DATA!$N:$N,"&gt;="&amp;DATE($I$2,O$4,1),DATA!$N:$N,"&lt;="&amp;DATE($I$2,O$4,O$5))</f>
        <v/>
      </c>
      <c r="P479" s="322">
        <f>SUM(D479:O479)</f>
        <v/>
      </c>
      <c r="Q479" s="118" t="n"/>
    </row>
    <row r="480" hidden="1" outlineLevel="1" ht="15" customHeight="1">
      <c r="A480" s="269" t="n">
        <v>238</v>
      </c>
      <c r="B480" s="125" t="n"/>
      <c r="C480" s="119" t="inlineStr">
        <is>
          <t>Kế hoạch</t>
        </is>
      </c>
      <c r="D480" s="321">
        <f>SUMIFS(DATA!$I:$I,DATA!$C:$C,$B480,DATA!$J:$J,"&gt;="&amp;DATE($I$2,D$4,1),DATA!$J:$J,"&lt;="&amp;DATE($I$2,D$4,D$5))</f>
        <v/>
      </c>
      <c r="E480" s="321">
        <f>SUMIFS(DATA!$I:$I,DATA!$C:$C,$B480,DATA!$J:$J,"&gt;="&amp;DATE($I$2,E$4,1),DATA!$J:$J,"&lt;="&amp;DATE($I$2,E$4,E$5))</f>
        <v/>
      </c>
      <c r="F480" s="321">
        <f>SUMIFS(DATA!$I:$I,DATA!$C:$C,$B480,DATA!$J:$J,"&gt;="&amp;DATE($I$2,F$4,1),DATA!$J:$J,"&lt;="&amp;DATE($I$2,F$4,F$5))</f>
        <v/>
      </c>
      <c r="G480" s="321">
        <f>SUMIFS(DATA!$I:$I,DATA!$C:$C,$B480,DATA!$J:$J,"&gt;="&amp;DATE($I$2,G$4,1),DATA!$J:$J,"&lt;="&amp;DATE($I$2,G$4,G$5))</f>
        <v/>
      </c>
      <c r="H480" s="321">
        <f>SUMIFS(DATA!$I:$I,DATA!$C:$C,$B480,DATA!$J:$J,"&gt;="&amp;DATE($I$2,H$4,1),DATA!$J:$J,"&lt;="&amp;DATE($I$2,H$4,H$5))</f>
        <v/>
      </c>
      <c r="I480" s="321">
        <f>SUMIFS(DATA!$I:$I,DATA!$C:$C,$B480,DATA!$J:$J,"&gt;="&amp;DATE($I$2,I$4,1),DATA!$J:$J,"&lt;="&amp;DATE($I$2,I$4,I$5))</f>
        <v/>
      </c>
      <c r="J480" s="321">
        <f>SUMIFS(DATA!$I:$I,DATA!$C:$C,$B480,DATA!$J:$J,"&gt;="&amp;DATE($I$2,J$4,1),DATA!$J:$J,"&lt;="&amp;DATE($I$2,J$4,J$5))</f>
        <v/>
      </c>
      <c r="K480" s="321">
        <f>SUMIFS(DATA!$I:$I,DATA!$C:$C,$B480,DATA!$J:$J,"&gt;="&amp;DATE($I$2,K$4,1),DATA!$J:$J,"&lt;="&amp;DATE($I$2,K$4,K$5))</f>
        <v/>
      </c>
      <c r="L480" s="321">
        <f>SUMIFS(DATA!$I:$I,DATA!$C:$C,$B480,DATA!$J:$J,"&gt;="&amp;DATE($I$2,L$4,1),DATA!$J:$J,"&lt;="&amp;DATE($I$2,L$4,L$5))</f>
        <v/>
      </c>
      <c r="M480" s="321">
        <f>SUMIFS(DATA!$I:$I,DATA!$C:$C,$B480,DATA!$J:$J,"&gt;="&amp;DATE($I$2,M$4,1),DATA!$J:$J,"&lt;="&amp;DATE($I$2,M$4,M$5))</f>
        <v/>
      </c>
      <c r="N480" s="321">
        <f>SUMIFS(DATA!$I:$I,DATA!$C:$C,$B480,DATA!$J:$J,"&gt;="&amp;DATE($I$2,N$4,1),DATA!$J:$J,"&lt;="&amp;DATE($I$2,N$4,N$5))</f>
        <v/>
      </c>
      <c r="O480" s="321">
        <f>SUMIFS(DATA!$I:$I,DATA!$C:$C,$B480,DATA!$J:$J,"&gt;="&amp;DATE($I$2,O$4,1),DATA!$J:$J,"&lt;="&amp;DATE($I$2,O$4,O$5))</f>
        <v/>
      </c>
      <c r="P480" s="322">
        <f>SUM(D480:O480)</f>
        <v/>
      </c>
      <c r="Q480" s="118" t="n"/>
    </row>
    <row r="481" hidden="1" outlineLevel="1" ht="15" customHeight="1">
      <c r="A481" s="266" t="n"/>
      <c r="B481" s="126" t="n"/>
      <c r="C481" s="119" t="inlineStr">
        <is>
          <t>Thực tế</t>
        </is>
      </c>
      <c r="D481" s="321">
        <f>SUMIFS(DATA!$M:$M,DATA!$C:$C,$B480,DATA!$N:$N,"&gt;="&amp;DATE($I$2,D$4,1),DATA!$N:$N,"&lt;="&amp;DATE($I$2,D$4,D$5))</f>
        <v/>
      </c>
      <c r="E481" s="321">
        <f>SUMIFS(DATA!$M:$M,DATA!$C:$C,$B480,DATA!$N:$N,"&gt;="&amp;DATE($I$2,E$4,1),DATA!$N:$N,"&lt;="&amp;DATE($I$2,E$4,E$5))</f>
        <v/>
      </c>
      <c r="F481" s="321">
        <f>SUMIFS(DATA!$M:$M,DATA!$C:$C,$B480,DATA!$N:$N,"&gt;="&amp;DATE($I$2,F$4,1),DATA!$N:$N,"&lt;="&amp;DATE($I$2,F$4,F$5))</f>
        <v/>
      </c>
      <c r="G481" s="321">
        <f>SUMIFS(DATA!$M:$M,DATA!$C:$C,$B480,DATA!$N:$N,"&gt;="&amp;DATE($I$2,G$4,1),DATA!$N:$N,"&lt;="&amp;DATE($I$2,G$4,G$5))</f>
        <v/>
      </c>
      <c r="H481" s="321">
        <f>SUMIFS(DATA!$M:$M,DATA!$C:$C,$B480,DATA!$N:$N,"&gt;="&amp;DATE($I$2,H$4,1),DATA!$N:$N,"&lt;="&amp;DATE($I$2,H$4,H$5))</f>
        <v/>
      </c>
      <c r="I481" s="321">
        <f>SUMIFS(DATA!$M:$M,DATA!$C:$C,$B480,DATA!$N:$N,"&gt;="&amp;DATE($I$2,I$4,1),DATA!$N:$N,"&lt;="&amp;DATE($I$2,I$4,I$5))</f>
        <v/>
      </c>
      <c r="J481" s="321">
        <f>SUMIFS(DATA!$M:$M,DATA!$C:$C,$B480,DATA!$N:$N,"&gt;="&amp;DATE($I$2,J$4,1),DATA!$N:$N,"&lt;="&amp;DATE($I$2,J$4,J$5))</f>
        <v/>
      </c>
      <c r="K481" s="321">
        <f>SUMIFS(DATA!$M:$M,DATA!$C:$C,$B480,DATA!$N:$N,"&gt;="&amp;DATE($I$2,K$4,1),DATA!$N:$N,"&lt;="&amp;DATE($I$2,K$4,K$5))</f>
        <v/>
      </c>
      <c r="L481" s="321">
        <f>SUMIFS(DATA!$M:$M,DATA!$C:$C,$B480,DATA!$N:$N,"&gt;="&amp;DATE($I$2,L$4,1),DATA!$N:$N,"&lt;="&amp;DATE($I$2,L$4,L$5))</f>
        <v/>
      </c>
      <c r="M481" s="321">
        <f>SUMIFS(DATA!$M:$M,DATA!$C:$C,$B480,DATA!$N:$N,"&gt;="&amp;DATE($I$2,M$4,1),DATA!$N:$N,"&lt;="&amp;DATE($I$2,M$4,M$5))</f>
        <v/>
      </c>
      <c r="N481" s="321">
        <f>SUMIFS(DATA!$M:$M,DATA!$C:$C,$B480,DATA!$N:$N,"&gt;="&amp;DATE($I$2,N$4,1),DATA!$N:$N,"&lt;="&amp;DATE($I$2,N$4,N$5))</f>
        <v/>
      </c>
      <c r="O481" s="321">
        <f>SUMIFS(DATA!$M:$M,DATA!$C:$C,$B480,DATA!$N:$N,"&gt;="&amp;DATE($I$2,O$4,1),DATA!$N:$N,"&lt;="&amp;DATE($I$2,O$4,O$5))</f>
        <v/>
      </c>
      <c r="P481" s="322">
        <f>SUM(D481:O481)</f>
        <v/>
      </c>
      <c r="Q481" s="118" t="n"/>
    </row>
    <row r="482" hidden="1" outlineLevel="1" ht="15" customHeight="1">
      <c r="A482" s="269" t="n">
        <v>239</v>
      </c>
      <c r="B482" s="125" t="n"/>
      <c r="C482" s="119" t="inlineStr">
        <is>
          <t>Kế hoạch</t>
        </is>
      </c>
      <c r="D482" s="321">
        <f>SUMIFS(DATA!$I:$I,DATA!$C:$C,$B482,DATA!$J:$J,"&gt;="&amp;DATE($I$2,D$4,1),DATA!$J:$J,"&lt;="&amp;DATE($I$2,D$4,D$5))</f>
        <v/>
      </c>
      <c r="E482" s="321">
        <f>SUMIFS(DATA!$I:$I,DATA!$C:$C,$B482,DATA!$J:$J,"&gt;="&amp;DATE($I$2,E$4,1),DATA!$J:$J,"&lt;="&amp;DATE($I$2,E$4,E$5))</f>
        <v/>
      </c>
      <c r="F482" s="321">
        <f>SUMIFS(DATA!$I:$I,DATA!$C:$C,$B482,DATA!$J:$J,"&gt;="&amp;DATE($I$2,F$4,1),DATA!$J:$J,"&lt;="&amp;DATE($I$2,F$4,F$5))</f>
        <v/>
      </c>
      <c r="G482" s="321">
        <f>SUMIFS(DATA!$I:$I,DATA!$C:$C,$B482,DATA!$J:$J,"&gt;="&amp;DATE($I$2,G$4,1),DATA!$J:$J,"&lt;="&amp;DATE($I$2,G$4,G$5))</f>
        <v/>
      </c>
      <c r="H482" s="321">
        <f>SUMIFS(DATA!$I:$I,DATA!$C:$C,$B482,DATA!$J:$J,"&gt;="&amp;DATE($I$2,H$4,1),DATA!$J:$J,"&lt;="&amp;DATE($I$2,H$4,H$5))</f>
        <v/>
      </c>
      <c r="I482" s="321">
        <f>SUMIFS(DATA!$I:$I,DATA!$C:$C,$B482,DATA!$J:$J,"&gt;="&amp;DATE($I$2,I$4,1),DATA!$J:$J,"&lt;="&amp;DATE($I$2,I$4,I$5))</f>
        <v/>
      </c>
      <c r="J482" s="321">
        <f>SUMIFS(DATA!$I:$I,DATA!$C:$C,$B482,DATA!$J:$J,"&gt;="&amp;DATE($I$2,J$4,1),DATA!$J:$J,"&lt;="&amp;DATE($I$2,J$4,J$5))</f>
        <v/>
      </c>
      <c r="K482" s="321">
        <f>SUMIFS(DATA!$I:$I,DATA!$C:$C,$B482,DATA!$J:$J,"&gt;="&amp;DATE($I$2,K$4,1),DATA!$J:$J,"&lt;="&amp;DATE($I$2,K$4,K$5))</f>
        <v/>
      </c>
      <c r="L482" s="321">
        <f>SUMIFS(DATA!$I:$I,DATA!$C:$C,$B482,DATA!$J:$J,"&gt;="&amp;DATE($I$2,L$4,1),DATA!$J:$J,"&lt;="&amp;DATE($I$2,L$4,L$5))</f>
        <v/>
      </c>
      <c r="M482" s="321">
        <f>SUMIFS(DATA!$I:$I,DATA!$C:$C,$B482,DATA!$J:$J,"&gt;="&amp;DATE($I$2,M$4,1),DATA!$J:$J,"&lt;="&amp;DATE($I$2,M$4,M$5))</f>
        <v/>
      </c>
      <c r="N482" s="321">
        <f>SUMIFS(DATA!$I:$I,DATA!$C:$C,$B482,DATA!$J:$J,"&gt;="&amp;DATE($I$2,N$4,1),DATA!$J:$J,"&lt;="&amp;DATE($I$2,N$4,N$5))</f>
        <v/>
      </c>
      <c r="O482" s="321">
        <f>SUMIFS(DATA!$I:$I,DATA!$C:$C,$B482,DATA!$J:$J,"&gt;="&amp;DATE($I$2,O$4,1),DATA!$J:$J,"&lt;="&amp;DATE($I$2,O$4,O$5))</f>
        <v/>
      </c>
      <c r="P482" s="322">
        <f>SUM(D482:O482)</f>
        <v/>
      </c>
      <c r="Q482" s="118" t="n"/>
    </row>
    <row r="483" hidden="1" outlineLevel="1" ht="15" customHeight="1">
      <c r="A483" s="266" t="n"/>
      <c r="B483" s="126" t="n"/>
      <c r="C483" s="119" t="inlineStr">
        <is>
          <t>Thực tế</t>
        </is>
      </c>
      <c r="D483" s="321">
        <f>SUMIFS(DATA!$M:$M,DATA!$C:$C,$B482,DATA!$N:$N,"&gt;="&amp;DATE($I$2,D$4,1),DATA!$N:$N,"&lt;="&amp;DATE($I$2,D$4,D$5))</f>
        <v/>
      </c>
      <c r="E483" s="321">
        <f>SUMIFS(DATA!$M:$M,DATA!$C:$C,$B482,DATA!$N:$N,"&gt;="&amp;DATE($I$2,E$4,1),DATA!$N:$N,"&lt;="&amp;DATE($I$2,E$4,E$5))</f>
        <v/>
      </c>
      <c r="F483" s="321">
        <f>SUMIFS(DATA!$M:$M,DATA!$C:$C,$B482,DATA!$N:$N,"&gt;="&amp;DATE($I$2,F$4,1),DATA!$N:$N,"&lt;="&amp;DATE($I$2,F$4,F$5))</f>
        <v/>
      </c>
      <c r="G483" s="321">
        <f>SUMIFS(DATA!$M:$M,DATA!$C:$C,$B482,DATA!$N:$N,"&gt;="&amp;DATE($I$2,G$4,1),DATA!$N:$N,"&lt;="&amp;DATE($I$2,G$4,G$5))</f>
        <v/>
      </c>
      <c r="H483" s="321">
        <f>SUMIFS(DATA!$M:$M,DATA!$C:$C,$B482,DATA!$N:$N,"&gt;="&amp;DATE($I$2,H$4,1),DATA!$N:$N,"&lt;="&amp;DATE($I$2,H$4,H$5))</f>
        <v/>
      </c>
      <c r="I483" s="321">
        <f>SUMIFS(DATA!$M:$M,DATA!$C:$C,$B482,DATA!$N:$N,"&gt;="&amp;DATE($I$2,I$4,1),DATA!$N:$N,"&lt;="&amp;DATE($I$2,I$4,I$5))</f>
        <v/>
      </c>
      <c r="J483" s="321">
        <f>SUMIFS(DATA!$M:$M,DATA!$C:$C,$B482,DATA!$N:$N,"&gt;="&amp;DATE($I$2,J$4,1),DATA!$N:$N,"&lt;="&amp;DATE($I$2,J$4,J$5))</f>
        <v/>
      </c>
      <c r="K483" s="321">
        <f>SUMIFS(DATA!$M:$M,DATA!$C:$C,$B482,DATA!$N:$N,"&gt;="&amp;DATE($I$2,K$4,1),DATA!$N:$N,"&lt;="&amp;DATE($I$2,K$4,K$5))</f>
        <v/>
      </c>
      <c r="L483" s="321">
        <f>SUMIFS(DATA!$M:$M,DATA!$C:$C,$B482,DATA!$N:$N,"&gt;="&amp;DATE($I$2,L$4,1),DATA!$N:$N,"&lt;="&amp;DATE($I$2,L$4,L$5))</f>
        <v/>
      </c>
      <c r="M483" s="321">
        <f>SUMIFS(DATA!$M:$M,DATA!$C:$C,$B482,DATA!$N:$N,"&gt;="&amp;DATE($I$2,M$4,1),DATA!$N:$N,"&lt;="&amp;DATE($I$2,M$4,M$5))</f>
        <v/>
      </c>
      <c r="N483" s="321">
        <f>SUMIFS(DATA!$M:$M,DATA!$C:$C,$B482,DATA!$N:$N,"&gt;="&amp;DATE($I$2,N$4,1),DATA!$N:$N,"&lt;="&amp;DATE($I$2,N$4,N$5))</f>
        <v/>
      </c>
      <c r="O483" s="321">
        <f>SUMIFS(DATA!$M:$M,DATA!$C:$C,$B482,DATA!$N:$N,"&gt;="&amp;DATE($I$2,O$4,1),DATA!$N:$N,"&lt;="&amp;DATE($I$2,O$4,O$5))</f>
        <v/>
      </c>
      <c r="P483" s="322">
        <f>SUM(D483:O483)</f>
        <v/>
      </c>
      <c r="Q483" s="118" t="n"/>
    </row>
    <row r="484" hidden="1" outlineLevel="1" ht="15" customHeight="1">
      <c r="A484" s="269" t="n">
        <v>240</v>
      </c>
      <c r="B484" s="125" t="n"/>
      <c r="C484" s="119" t="inlineStr">
        <is>
          <t>Kế hoạch</t>
        </is>
      </c>
      <c r="D484" s="321">
        <f>SUMIFS(DATA!$I:$I,DATA!$C:$C,$B484,DATA!$J:$J,"&gt;="&amp;DATE($I$2,D$4,1),DATA!$J:$J,"&lt;="&amp;DATE($I$2,D$4,D$5))</f>
        <v/>
      </c>
      <c r="E484" s="321">
        <f>SUMIFS(DATA!$I:$I,DATA!$C:$C,$B484,DATA!$J:$J,"&gt;="&amp;DATE($I$2,E$4,1),DATA!$J:$J,"&lt;="&amp;DATE($I$2,E$4,E$5))</f>
        <v/>
      </c>
      <c r="F484" s="321">
        <f>SUMIFS(DATA!$I:$I,DATA!$C:$C,$B484,DATA!$J:$J,"&gt;="&amp;DATE($I$2,F$4,1),DATA!$J:$J,"&lt;="&amp;DATE($I$2,F$4,F$5))</f>
        <v/>
      </c>
      <c r="G484" s="321">
        <f>SUMIFS(DATA!$I:$I,DATA!$C:$C,$B484,DATA!$J:$J,"&gt;="&amp;DATE($I$2,G$4,1),DATA!$J:$J,"&lt;="&amp;DATE($I$2,G$4,G$5))</f>
        <v/>
      </c>
      <c r="H484" s="321">
        <f>SUMIFS(DATA!$I:$I,DATA!$C:$C,$B484,DATA!$J:$J,"&gt;="&amp;DATE($I$2,H$4,1),DATA!$J:$J,"&lt;="&amp;DATE($I$2,H$4,H$5))</f>
        <v/>
      </c>
      <c r="I484" s="321">
        <f>SUMIFS(DATA!$I:$I,DATA!$C:$C,$B484,DATA!$J:$J,"&gt;="&amp;DATE($I$2,I$4,1),DATA!$J:$J,"&lt;="&amp;DATE($I$2,I$4,I$5))</f>
        <v/>
      </c>
      <c r="J484" s="321">
        <f>SUMIFS(DATA!$I:$I,DATA!$C:$C,$B484,DATA!$J:$J,"&gt;="&amp;DATE($I$2,J$4,1),DATA!$J:$J,"&lt;="&amp;DATE($I$2,J$4,J$5))</f>
        <v/>
      </c>
      <c r="K484" s="321">
        <f>SUMIFS(DATA!$I:$I,DATA!$C:$C,$B484,DATA!$J:$J,"&gt;="&amp;DATE($I$2,K$4,1),DATA!$J:$J,"&lt;="&amp;DATE($I$2,K$4,K$5))</f>
        <v/>
      </c>
      <c r="L484" s="321">
        <f>SUMIFS(DATA!$I:$I,DATA!$C:$C,$B484,DATA!$J:$J,"&gt;="&amp;DATE($I$2,L$4,1),DATA!$J:$J,"&lt;="&amp;DATE($I$2,L$4,L$5))</f>
        <v/>
      </c>
      <c r="M484" s="321">
        <f>SUMIFS(DATA!$I:$I,DATA!$C:$C,$B484,DATA!$J:$J,"&gt;="&amp;DATE($I$2,M$4,1),DATA!$J:$J,"&lt;="&amp;DATE($I$2,M$4,M$5))</f>
        <v/>
      </c>
      <c r="N484" s="321">
        <f>SUMIFS(DATA!$I:$I,DATA!$C:$C,$B484,DATA!$J:$J,"&gt;="&amp;DATE($I$2,N$4,1),DATA!$J:$J,"&lt;="&amp;DATE($I$2,N$4,N$5))</f>
        <v/>
      </c>
      <c r="O484" s="321">
        <f>SUMIFS(DATA!$I:$I,DATA!$C:$C,$B484,DATA!$J:$J,"&gt;="&amp;DATE($I$2,O$4,1),DATA!$J:$J,"&lt;="&amp;DATE($I$2,O$4,O$5))</f>
        <v/>
      </c>
      <c r="P484" s="322">
        <f>SUM(D484:O484)</f>
        <v/>
      </c>
      <c r="Q484" s="118" t="n"/>
    </row>
    <row r="485" hidden="1" outlineLevel="1" ht="15" customHeight="1">
      <c r="A485" s="266" t="n"/>
      <c r="B485" s="126" t="n"/>
      <c r="C485" s="119" t="inlineStr">
        <is>
          <t>Thực tế</t>
        </is>
      </c>
      <c r="D485" s="321">
        <f>SUMIFS(DATA!$M:$M,DATA!$C:$C,$B484,DATA!$N:$N,"&gt;="&amp;DATE($I$2,D$4,1),DATA!$N:$N,"&lt;="&amp;DATE($I$2,D$4,D$5))</f>
        <v/>
      </c>
      <c r="E485" s="321">
        <f>SUMIFS(DATA!$M:$M,DATA!$C:$C,$B484,DATA!$N:$N,"&gt;="&amp;DATE($I$2,E$4,1),DATA!$N:$N,"&lt;="&amp;DATE($I$2,E$4,E$5))</f>
        <v/>
      </c>
      <c r="F485" s="321">
        <f>SUMIFS(DATA!$M:$M,DATA!$C:$C,$B484,DATA!$N:$N,"&gt;="&amp;DATE($I$2,F$4,1),DATA!$N:$N,"&lt;="&amp;DATE($I$2,F$4,F$5))</f>
        <v/>
      </c>
      <c r="G485" s="321">
        <f>SUMIFS(DATA!$M:$M,DATA!$C:$C,$B484,DATA!$N:$N,"&gt;="&amp;DATE($I$2,G$4,1),DATA!$N:$N,"&lt;="&amp;DATE($I$2,G$4,G$5))</f>
        <v/>
      </c>
      <c r="H485" s="321">
        <f>SUMIFS(DATA!$M:$M,DATA!$C:$C,$B484,DATA!$N:$N,"&gt;="&amp;DATE($I$2,H$4,1),DATA!$N:$N,"&lt;="&amp;DATE($I$2,H$4,H$5))</f>
        <v/>
      </c>
      <c r="I485" s="321">
        <f>SUMIFS(DATA!$M:$M,DATA!$C:$C,$B484,DATA!$N:$N,"&gt;="&amp;DATE($I$2,I$4,1),DATA!$N:$N,"&lt;="&amp;DATE($I$2,I$4,I$5))</f>
        <v/>
      </c>
      <c r="J485" s="321">
        <f>SUMIFS(DATA!$M:$M,DATA!$C:$C,$B484,DATA!$N:$N,"&gt;="&amp;DATE($I$2,J$4,1),DATA!$N:$N,"&lt;="&amp;DATE($I$2,J$4,J$5))</f>
        <v/>
      </c>
      <c r="K485" s="321">
        <f>SUMIFS(DATA!$M:$M,DATA!$C:$C,$B484,DATA!$N:$N,"&gt;="&amp;DATE($I$2,K$4,1),DATA!$N:$N,"&lt;="&amp;DATE($I$2,K$4,K$5))</f>
        <v/>
      </c>
      <c r="L485" s="321">
        <f>SUMIFS(DATA!$M:$M,DATA!$C:$C,$B484,DATA!$N:$N,"&gt;="&amp;DATE($I$2,L$4,1),DATA!$N:$N,"&lt;="&amp;DATE($I$2,L$4,L$5))</f>
        <v/>
      </c>
      <c r="M485" s="321">
        <f>SUMIFS(DATA!$M:$M,DATA!$C:$C,$B484,DATA!$N:$N,"&gt;="&amp;DATE($I$2,M$4,1),DATA!$N:$N,"&lt;="&amp;DATE($I$2,M$4,M$5))</f>
        <v/>
      </c>
      <c r="N485" s="321">
        <f>SUMIFS(DATA!$M:$M,DATA!$C:$C,$B484,DATA!$N:$N,"&gt;="&amp;DATE($I$2,N$4,1),DATA!$N:$N,"&lt;="&amp;DATE($I$2,N$4,N$5))</f>
        <v/>
      </c>
      <c r="O485" s="321">
        <f>SUMIFS(DATA!$M:$M,DATA!$C:$C,$B484,DATA!$N:$N,"&gt;="&amp;DATE($I$2,O$4,1),DATA!$N:$N,"&lt;="&amp;DATE($I$2,O$4,O$5))</f>
        <v/>
      </c>
      <c r="P485" s="322">
        <f>SUM(D485:O485)</f>
        <v/>
      </c>
      <c r="Q485" s="118" t="n"/>
    </row>
    <row r="486" hidden="1" outlineLevel="1" ht="15" customHeight="1">
      <c r="A486" s="269" t="n">
        <v>241</v>
      </c>
      <c r="B486" s="125" t="n"/>
      <c r="C486" s="119" t="inlineStr">
        <is>
          <t>Kế hoạch</t>
        </is>
      </c>
      <c r="D486" s="321">
        <f>SUMIFS(DATA!$I:$I,DATA!$C:$C,$B486,DATA!$J:$J,"&gt;="&amp;DATE($I$2,D$4,1),DATA!$J:$J,"&lt;="&amp;DATE($I$2,D$4,D$5))</f>
        <v/>
      </c>
      <c r="E486" s="321">
        <f>SUMIFS(DATA!$I:$I,DATA!$C:$C,$B486,DATA!$J:$J,"&gt;="&amp;DATE($I$2,E$4,1),DATA!$J:$J,"&lt;="&amp;DATE($I$2,E$4,E$5))</f>
        <v/>
      </c>
      <c r="F486" s="321">
        <f>SUMIFS(DATA!$I:$I,DATA!$C:$C,$B486,DATA!$J:$J,"&gt;="&amp;DATE($I$2,F$4,1),DATA!$J:$J,"&lt;="&amp;DATE($I$2,F$4,F$5))</f>
        <v/>
      </c>
      <c r="G486" s="321">
        <f>SUMIFS(DATA!$I:$I,DATA!$C:$C,$B486,DATA!$J:$J,"&gt;="&amp;DATE($I$2,G$4,1),DATA!$J:$J,"&lt;="&amp;DATE($I$2,G$4,G$5))</f>
        <v/>
      </c>
      <c r="H486" s="321">
        <f>SUMIFS(DATA!$I:$I,DATA!$C:$C,$B486,DATA!$J:$J,"&gt;="&amp;DATE($I$2,H$4,1),DATA!$J:$J,"&lt;="&amp;DATE($I$2,H$4,H$5))</f>
        <v/>
      </c>
      <c r="I486" s="321">
        <f>SUMIFS(DATA!$I:$I,DATA!$C:$C,$B486,DATA!$J:$J,"&gt;="&amp;DATE($I$2,I$4,1),DATA!$J:$J,"&lt;="&amp;DATE($I$2,I$4,I$5))</f>
        <v/>
      </c>
      <c r="J486" s="321">
        <f>SUMIFS(DATA!$I:$I,DATA!$C:$C,$B486,DATA!$J:$J,"&gt;="&amp;DATE($I$2,J$4,1),DATA!$J:$J,"&lt;="&amp;DATE($I$2,J$4,J$5))</f>
        <v/>
      </c>
      <c r="K486" s="321">
        <f>SUMIFS(DATA!$I:$I,DATA!$C:$C,$B486,DATA!$J:$J,"&gt;="&amp;DATE($I$2,K$4,1),DATA!$J:$J,"&lt;="&amp;DATE($I$2,K$4,K$5))</f>
        <v/>
      </c>
      <c r="L486" s="321">
        <f>SUMIFS(DATA!$I:$I,DATA!$C:$C,$B486,DATA!$J:$J,"&gt;="&amp;DATE($I$2,L$4,1),DATA!$J:$J,"&lt;="&amp;DATE($I$2,L$4,L$5))</f>
        <v/>
      </c>
      <c r="M486" s="321">
        <f>SUMIFS(DATA!$I:$I,DATA!$C:$C,$B486,DATA!$J:$J,"&gt;="&amp;DATE($I$2,M$4,1),DATA!$J:$J,"&lt;="&amp;DATE($I$2,M$4,M$5))</f>
        <v/>
      </c>
      <c r="N486" s="321">
        <f>SUMIFS(DATA!$I:$I,DATA!$C:$C,$B486,DATA!$J:$J,"&gt;="&amp;DATE($I$2,N$4,1),DATA!$J:$J,"&lt;="&amp;DATE($I$2,N$4,N$5))</f>
        <v/>
      </c>
      <c r="O486" s="321">
        <f>SUMIFS(DATA!$I:$I,DATA!$C:$C,$B486,DATA!$J:$J,"&gt;="&amp;DATE($I$2,O$4,1),DATA!$J:$J,"&lt;="&amp;DATE($I$2,O$4,O$5))</f>
        <v/>
      </c>
      <c r="P486" s="322">
        <f>SUM(D486:O486)</f>
        <v/>
      </c>
      <c r="Q486" s="118" t="n"/>
    </row>
    <row r="487" hidden="1" outlineLevel="1" ht="15" customHeight="1">
      <c r="A487" s="266" t="n"/>
      <c r="B487" s="126" t="n"/>
      <c r="C487" s="119" t="inlineStr">
        <is>
          <t>Thực tế</t>
        </is>
      </c>
      <c r="D487" s="321">
        <f>SUMIFS(DATA!$M:$M,DATA!$C:$C,$B486,DATA!$N:$N,"&gt;="&amp;DATE($I$2,D$4,1),DATA!$N:$N,"&lt;="&amp;DATE($I$2,D$4,D$5))</f>
        <v/>
      </c>
      <c r="E487" s="321">
        <f>SUMIFS(DATA!$M:$M,DATA!$C:$C,$B486,DATA!$N:$N,"&gt;="&amp;DATE($I$2,E$4,1),DATA!$N:$N,"&lt;="&amp;DATE($I$2,E$4,E$5))</f>
        <v/>
      </c>
      <c r="F487" s="321">
        <f>SUMIFS(DATA!$M:$M,DATA!$C:$C,$B486,DATA!$N:$N,"&gt;="&amp;DATE($I$2,F$4,1),DATA!$N:$N,"&lt;="&amp;DATE($I$2,F$4,F$5))</f>
        <v/>
      </c>
      <c r="G487" s="321">
        <f>SUMIFS(DATA!$M:$M,DATA!$C:$C,$B486,DATA!$N:$N,"&gt;="&amp;DATE($I$2,G$4,1),DATA!$N:$N,"&lt;="&amp;DATE($I$2,G$4,G$5))</f>
        <v/>
      </c>
      <c r="H487" s="321">
        <f>SUMIFS(DATA!$M:$M,DATA!$C:$C,$B486,DATA!$N:$N,"&gt;="&amp;DATE($I$2,H$4,1),DATA!$N:$N,"&lt;="&amp;DATE($I$2,H$4,H$5))</f>
        <v/>
      </c>
      <c r="I487" s="321">
        <f>SUMIFS(DATA!$M:$M,DATA!$C:$C,$B486,DATA!$N:$N,"&gt;="&amp;DATE($I$2,I$4,1),DATA!$N:$N,"&lt;="&amp;DATE($I$2,I$4,I$5))</f>
        <v/>
      </c>
      <c r="J487" s="321">
        <f>SUMIFS(DATA!$M:$M,DATA!$C:$C,$B486,DATA!$N:$N,"&gt;="&amp;DATE($I$2,J$4,1),DATA!$N:$N,"&lt;="&amp;DATE($I$2,J$4,J$5))</f>
        <v/>
      </c>
      <c r="K487" s="321">
        <f>SUMIFS(DATA!$M:$M,DATA!$C:$C,$B486,DATA!$N:$N,"&gt;="&amp;DATE($I$2,K$4,1),DATA!$N:$N,"&lt;="&amp;DATE($I$2,K$4,K$5))</f>
        <v/>
      </c>
      <c r="L487" s="321">
        <f>SUMIFS(DATA!$M:$M,DATA!$C:$C,$B486,DATA!$N:$N,"&gt;="&amp;DATE($I$2,L$4,1),DATA!$N:$N,"&lt;="&amp;DATE($I$2,L$4,L$5))</f>
        <v/>
      </c>
      <c r="M487" s="321">
        <f>SUMIFS(DATA!$M:$M,DATA!$C:$C,$B486,DATA!$N:$N,"&gt;="&amp;DATE($I$2,M$4,1),DATA!$N:$N,"&lt;="&amp;DATE($I$2,M$4,M$5))</f>
        <v/>
      </c>
      <c r="N487" s="321">
        <f>SUMIFS(DATA!$M:$M,DATA!$C:$C,$B486,DATA!$N:$N,"&gt;="&amp;DATE($I$2,N$4,1),DATA!$N:$N,"&lt;="&amp;DATE($I$2,N$4,N$5))</f>
        <v/>
      </c>
      <c r="O487" s="321">
        <f>SUMIFS(DATA!$M:$M,DATA!$C:$C,$B486,DATA!$N:$N,"&gt;="&amp;DATE($I$2,O$4,1),DATA!$N:$N,"&lt;="&amp;DATE($I$2,O$4,O$5))</f>
        <v/>
      </c>
      <c r="P487" s="322">
        <f>SUM(D487:O487)</f>
        <v/>
      </c>
      <c r="Q487" s="118" t="n"/>
    </row>
    <row r="488" hidden="1" outlineLevel="1" ht="15" customHeight="1">
      <c r="A488" s="269" t="n">
        <v>242</v>
      </c>
      <c r="B488" s="125" t="n"/>
      <c r="C488" s="119" t="inlineStr">
        <is>
          <t>Kế hoạch</t>
        </is>
      </c>
      <c r="D488" s="321">
        <f>SUMIFS(DATA!$I:$I,DATA!$C:$C,$B488,DATA!$J:$J,"&gt;="&amp;DATE($I$2,D$4,1),DATA!$J:$J,"&lt;="&amp;DATE($I$2,D$4,D$5))</f>
        <v/>
      </c>
      <c r="E488" s="321">
        <f>SUMIFS(DATA!$I:$I,DATA!$C:$C,$B488,DATA!$J:$J,"&gt;="&amp;DATE($I$2,E$4,1),DATA!$J:$J,"&lt;="&amp;DATE($I$2,E$4,E$5))</f>
        <v/>
      </c>
      <c r="F488" s="321">
        <f>SUMIFS(DATA!$I:$I,DATA!$C:$C,$B488,DATA!$J:$J,"&gt;="&amp;DATE($I$2,F$4,1),DATA!$J:$J,"&lt;="&amp;DATE($I$2,F$4,F$5))</f>
        <v/>
      </c>
      <c r="G488" s="321">
        <f>SUMIFS(DATA!$I:$I,DATA!$C:$C,$B488,DATA!$J:$J,"&gt;="&amp;DATE($I$2,G$4,1),DATA!$J:$J,"&lt;="&amp;DATE($I$2,G$4,G$5))</f>
        <v/>
      </c>
      <c r="H488" s="321">
        <f>SUMIFS(DATA!$I:$I,DATA!$C:$C,$B488,DATA!$J:$J,"&gt;="&amp;DATE($I$2,H$4,1),DATA!$J:$J,"&lt;="&amp;DATE($I$2,H$4,H$5))</f>
        <v/>
      </c>
      <c r="I488" s="321">
        <f>SUMIFS(DATA!$I:$I,DATA!$C:$C,$B488,DATA!$J:$J,"&gt;="&amp;DATE($I$2,I$4,1),DATA!$J:$J,"&lt;="&amp;DATE($I$2,I$4,I$5))</f>
        <v/>
      </c>
      <c r="J488" s="321">
        <f>SUMIFS(DATA!$I:$I,DATA!$C:$C,$B488,DATA!$J:$J,"&gt;="&amp;DATE($I$2,J$4,1),DATA!$J:$J,"&lt;="&amp;DATE($I$2,J$4,J$5))</f>
        <v/>
      </c>
      <c r="K488" s="321">
        <f>SUMIFS(DATA!$I:$I,DATA!$C:$C,$B488,DATA!$J:$J,"&gt;="&amp;DATE($I$2,K$4,1),DATA!$J:$J,"&lt;="&amp;DATE($I$2,K$4,K$5))</f>
        <v/>
      </c>
      <c r="L488" s="321">
        <f>SUMIFS(DATA!$I:$I,DATA!$C:$C,$B488,DATA!$J:$J,"&gt;="&amp;DATE($I$2,L$4,1),DATA!$J:$J,"&lt;="&amp;DATE($I$2,L$4,L$5))</f>
        <v/>
      </c>
      <c r="M488" s="321">
        <f>SUMIFS(DATA!$I:$I,DATA!$C:$C,$B488,DATA!$J:$J,"&gt;="&amp;DATE($I$2,M$4,1),DATA!$J:$J,"&lt;="&amp;DATE($I$2,M$4,M$5))</f>
        <v/>
      </c>
      <c r="N488" s="321">
        <f>SUMIFS(DATA!$I:$I,DATA!$C:$C,$B488,DATA!$J:$J,"&gt;="&amp;DATE($I$2,N$4,1),DATA!$J:$J,"&lt;="&amp;DATE($I$2,N$4,N$5))</f>
        <v/>
      </c>
      <c r="O488" s="321">
        <f>SUMIFS(DATA!$I:$I,DATA!$C:$C,$B488,DATA!$J:$J,"&gt;="&amp;DATE($I$2,O$4,1),DATA!$J:$J,"&lt;="&amp;DATE($I$2,O$4,O$5))</f>
        <v/>
      </c>
      <c r="P488" s="322">
        <f>SUM(D488:O488)</f>
        <v/>
      </c>
      <c r="Q488" s="118" t="n"/>
    </row>
    <row r="489" hidden="1" outlineLevel="1" ht="15" customHeight="1">
      <c r="A489" s="266" t="n"/>
      <c r="B489" s="126" t="n"/>
      <c r="C489" s="119" t="inlineStr">
        <is>
          <t>Thực tế</t>
        </is>
      </c>
      <c r="D489" s="321">
        <f>SUMIFS(DATA!$M:$M,DATA!$C:$C,$B488,DATA!$N:$N,"&gt;="&amp;DATE($I$2,D$4,1),DATA!$N:$N,"&lt;="&amp;DATE($I$2,D$4,D$5))</f>
        <v/>
      </c>
      <c r="E489" s="321">
        <f>SUMIFS(DATA!$M:$M,DATA!$C:$C,$B488,DATA!$N:$N,"&gt;="&amp;DATE($I$2,E$4,1),DATA!$N:$N,"&lt;="&amp;DATE($I$2,E$4,E$5))</f>
        <v/>
      </c>
      <c r="F489" s="321">
        <f>SUMIFS(DATA!$M:$M,DATA!$C:$C,$B488,DATA!$N:$N,"&gt;="&amp;DATE($I$2,F$4,1),DATA!$N:$N,"&lt;="&amp;DATE($I$2,F$4,F$5))</f>
        <v/>
      </c>
      <c r="G489" s="321">
        <f>SUMIFS(DATA!$M:$M,DATA!$C:$C,$B488,DATA!$N:$N,"&gt;="&amp;DATE($I$2,G$4,1),DATA!$N:$N,"&lt;="&amp;DATE($I$2,G$4,G$5))</f>
        <v/>
      </c>
      <c r="H489" s="321">
        <f>SUMIFS(DATA!$M:$M,DATA!$C:$C,$B488,DATA!$N:$N,"&gt;="&amp;DATE($I$2,H$4,1),DATA!$N:$N,"&lt;="&amp;DATE($I$2,H$4,H$5))</f>
        <v/>
      </c>
      <c r="I489" s="321">
        <f>SUMIFS(DATA!$M:$M,DATA!$C:$C,$B488,DATA!$N:$N,"&gt;="&amp;DATE($I$2,I$4,1),DATA!$N:$N,"&lt;="&amp;DATE($I$2,I$4,I$5))</f>
        <v/>
      </c>
      <c r="J489" s="321">
        <f>SUMIFS(DATA!$M:$M,DATA!$C:$C,$B488,DATA!$N:$N,"&gt;="&amp;DATE($I$2,J$4,1),DATA!$N:$N,"&lt;="&amp;DATE($I$2,J$4,J$5))</f>
        <v/>
      </c>
      <c r="K489" s="321">
        <f>SUMIFS(DATA!$M:$M,DATA!$C:$C,$B488,DATA!$N:$N,"&gt;="&amp;DATE($I$2,K$4,1),DATA!$N:$N,"&lt;="&amp;DATE($I$2,K$4,K$5))</f>
        <v/>
      </c>
      <c r="L489" s="321">
        <f>SUMIFS(DATA!$M:$M,DATA!$C:$C,$B488,DATA!$N:$N,"&gt;="&amp;DATE($I$2,L$4,1),DATA!$N:$N,"&lt;="&amp;DATE($I$2,L$4,L$5))</f>
        <v/>
      </c>
      <c r="M489" s="321">
        <f>SUMIFS(DATA!$M:$M,DATA!$C:$C,$B488,DATA!$N:$N,"&gt;="&amp;DATE($I$2,M$4,1),DATA!$N:$N,"&lt;="&amp;DATE($I$2,M$4,M$5))</f>
        <v/>
      </c>
      <c r="N489" s="321">
        <f>SUMIFS(DATA!$M:$M,DATA!$C:$C,$B488,DATA!$N:$N,"&gt;="&amp;DATE($I$2,N$4,1),DATA!$N:$N,"&lt;="&amp;DATE($I$2,N$4,N$5))</f>
        <v/>
      </c>
      <c r="O489" s="321">
        <f>SUMIFS(DATA!$M:$M,DATA!$C:$C,$B488,DATA!$N:$N,"&gt;="&amp;DATE($I$2,O$4,1),DATA!$N:$N,"&lt;="&amp;DATE($I$2,O$4,O$5))</f>
        <v/>
      </c>
      <c r="P489" s="322">
        <f>SUM(D489:O489)</f>
        <v/>
      </c>
      <c r="Q489" s="118" t="n"/>
    </row>
    <row r="490" hidden="1" outlineLevel="1" ht="15" customHeight="1">
      <c r="A490" s="269" t="n">
        <v>243</v>
      </c>
      <c r="B490" s="125" t="n"/>
      <c r="C490" s="119" t="inlineStr">
        <is>
          <t>Kế hoạch</t>
        </is>
      </c>
      <c r="D490" s="321">
        <f>SUMIFS(DATA!$I:$I,DATA!$C:$C,$B490,DATA!$J:$J,"&gt;="&amp;DATE($I$2,D$4,1),DATA!$J:$J,"&lt;="&amp;DATE($I$2,D$4,D$5))</f>
        <v/>
      </c>
      <c r="E490" s="321">
        <f>SUMIFS(DATA!$I:$I,DATA!$C:$C,$B490,DATA!$J:$J,"&gt;="&amp;DATE($I$2,E$4,1),DATA!$J:$J,"&lt;="&amp;DATE($I$2,E$4,E$5))</f>
        <v/>
      </c>
      <c r="F490" s="321">
        <f>SUMIFS(DATA!$I:$I,DATA!$C:$C,$B490,DATA!$J:$J,"&gt;="&amp;DATE($I$2,F$4,1),DATA!$J:$J,"&lt;="&amp;DATE($I$2,F$4,F$5))</f>
        <v/>
      </c>
      <c r="G490" s="321">
        <f>SUMIFS(DATA!$I:$I,DATA!$C:$C,$B490,DATA!$J:$J,"&gt;="&amp;DATE($I$2,G$4,1),DATA!$J:$J,"&lt;="&amp;DATE($I$2,G$4,G$5))</f>
        <v/>
      </c>
      <c r="H490" s="321">
        <f>SUMIFS(DATA!$I:$I,DATA!$C:$C,$B490,DATA!$J:$J,"&gt;="&amp;DATE($I$2,H$4,1),DATA!$J:$J,"&lt;="&amp;DATE($I$2,H$4,H$5))</f>
        <v/>
      </c>
      <c r="I490" s="321">
        <f>SUMIFS(DATA!$I:$I,DATA!$C:$C,$B490,DATA!$J:$J,"&gt;="&amp;DATE($I$2,I$4,1),DATA!$J:$J,"&lt;="&amp;DATE($I$2,I$4,I$5))</f>
        <v/>
      </c>
      <c r="J490" s="321">
        <f>SUMIFS(DATA!$I:$I,DATA!$C:$C,$B490,DATA!$J:$J,"&gt;="&amp;DATE($I$2,J$4,1),DATA!$J:$J,"&lt;="&amp;DATE($I$2,J$4,J$5))</f>
        <v/>
      </c>
      <c r="K490" s="321">
        <f>SUMIFS(DATA!$I:$I,DATA!$C:$C,$B490,DATA!$J:$J,"&gt;="&amp;DATE($I$2,K$4,1),DATA!$J:$J,"&lt;="&amp;DATE($I$2,K$4,K$5))</f>
        <v/>
      </c>
      <c r="L490" s="321">
        <f>SUMIFS(DATA!$I:$I,DATA!$C:$C,$B490,DATA!$J:$J,"&gt;="&amp;DATE($I$2,L$4,1),DATA!$J:$J,"&lt;="&amp;DATE($I$2,L$4,L$5))</f>
        <v/>
      </c>
      <c r="M490" s="321">
        <f>SUMIFS(DATA!$I:$I,DATA!$C:$C,$B490,DATA!$J:$J,"&gt;="&amp;DATE($I$2,M$4,1),DATA!$J:$J,"&lt;="&amp;DATE($I$2,M$4,M$5))</f>
        <v/>
      </c>
      <c r="N490" s="321">
        <f>SUMIFS(DATA!$I:$I,DATA!$C:$C,$B490,DATA!$J:$J,"&gt;="&amp;DATE($I$2,N$4,1),DATA!$J:$J,"&lt;="&amp;DATE($I$2,N$4,N$5))</f>
        <v/>
      </c>
      <c r="O490" s="321">
        <f>SUMIFS(DATA!$I:$I,DATA!$C:$C,$B490,DATA!$J:$J,"&gt;="&amp;DATE($I$2,O$4,1),DATA!$J:$J,"&lt;="&amp;DATE($I$2,O$4,O$5))</f>
        <v/>
      </c>
      <c r="P490" s="322">
        <f>SUM(D490:O490)</f>
        <v/>
      </c>
      <c r="Q490" s="118" t="n"/>
    </row>
    <row r="491" hidden="1" outlineLevel="1" ht="15" customHeight="1">
      <c r="A491" s="266" t="n"/>
      <c r="B491" s="126" t="n"/>
      <c r="C491" s="119" t="inlineStr">
        <is>
          <t>Thực tế</t>
        </is>
      </c>
      <c r="D491" s="321">
        <f>SUMIFS(DATA!$M:$M,DATA!$C:$C,$B490,DATA!$N:$N,"&gt;="&amp;DATE($I$2,D$4,1),DATA!$N:$N,"&lt;="&amp;DATE($I$2,D$4,D$5))</f>
        <v/>
      </c>
      <c r="E491" s="321">
        <f>SUMIFS(DATA!$M:$M,DATA!$C:$C,$B490,DATA!$N:$N,"&gt;="&amp;DATE($I$2,E$4,1),DATA!$N:$N,"&lt;="&amp;DATE($I$2,E$4,E$5))</f>
        <v/>
      </c>
      <c r="F491" s="321">
        <f>SUMIFS(DATA!$M:$M,DATA!$C:$C,$B490,DATA!$N:$N,"&gt;="&amp;DATE($I$2,F$4,1),DATA!$N:$N,"&lt;="&amp;DATE($I$2,F$4,F$5))</f>
        <v/>
      </c>
      <c r="G491" s="321">
        <f>SUMIFS(DATA!$M:$M,DATA!$C:$C,$B490,DATA!$N:$N,"&gt;="&amp;DATE($I$2,G$4,1),DATA!$N:$N,"&lt;="&amp;DATE($I$2,G$4,G$5))</f>
        <v/>
      </c>
      <c r="H491" s="321">
        <f>SUMIFS(DATA!$M:$M,DATA!$C:$C,$B490,DATA!$N:$N,"&gt;="&amp;DATE($I$2,H$4,1),DATA!$N:$N,"&lt;="&amp;DATE($I$2,H$4,H$5))</f>
        <v/>
      </c>
      <c r="I491" s="321">
        <f>SUMIFS(DATA!$M:$M,DATA!$C:$C,$B490,DATA!$N:$N,"&gt;="&amp;DATE($I$2,I$4,1),DATA!$N:$N,"&lt;="&amp;DATE($I$2,I$4,I$5))</f>
        <v/>
      </c>
      <c r="J491" s="321">
        <f>SUMIFS(DATA!$M:$M,DATA!$C:$C,$B490,DATA!$N:$N,"&gt;="&amp;DATE($I$2,J$4,1),DATA!$N:$N,"&lt;="&amp;DATE($I$2,J$4,J$5))</f>
        <v/>
      </c>
      <c r="K491" s="321">
        <f>SUMIFS(DATA!$M:$M,DATA!$C:$C,$B490,DATA!$N:$N,"&gt;="&amp;DATE($I$2,K$4,1),DATA!$N:$N,"&lt;="&amp;DATE($I$2,K$4,K$5))</f>
        <v/>
      </c>
      <c r="L491" s="321">
        <f>SUMIFS(DATA!$M:$M,DATA!$C:$C,$B490,DATA!$N:$N,"&gt;="&amp;DATE($I$2,L$4,1),DATA!$N:$N,"&lt;="&amp;DATE($I$2,L$4,L$5))</f>
        <v/>
      </c>
      <c r="M491" s="321">
        <f>SUMIFS(DATA!$M:$M,DATA!$C:$C,$B490,DATA!$N:$N,"&gt;="&amp;DATE($I$2,M$4,1),DATA!$N:$N,"&lt;="&amp;DATE($I$2,M$4,M$5))</f>
        <v/>
      </c>
      <c r="N491" s="321">
        <f>SUMIFS(DATA!$M:$M,DATA!$C:$C,$B490,DATA!$N:$N,"&gt;="&amp;DATE($I$2,N$4,1),DATA!$N:$N,"&lt;="&amp;DATE($I$2,N$4,N$5))</f>
        <v/>
      </c>
      <c r="O491" s="321">
        <f>SUMIFS(DATA!$M:$M,DATA!$C:$C,$B490,DATA!$N:$N,"&gt;="&amp;DATE($I$2,O$4,1),DATA!$N:$N,"&lt;="&amp;DATE($I$2,O$4,O$5))</f>
        <v/>
      </c>
      <c r="P491" s="322">
        <f>SUM(D491:O491)</f>
        <v/>
      </c>
      <c r="Q491" s="118" t="n"/>
    </row>
    <row r="492" hidden="1" outlineLevel="1" ht="15" customHeight="1">
      <c r="A492" s="269" t="n">
        <v>244</v>
      </c>
      <c r="B492" s="125" t="n"/>
      <c r="C492" s="119" t="inlineStr">
        <is>
          <t>Kế hoạch</t>
        </is>
      </c>
      <c r="D492" s="321">
        <f>SUMIFS(DATA!$I:$I,DATA!$C:$C,$B492,DATA!$J:$J,"&gt;="&amp;DATE($I$2,D$4,1),DATA!$J:$J,"&lt;="&amp;DATE($I$2,D$4,D$5))</f>
        <v/>
      </c>
      <c r="E492" s="321">
        <f>SUMIFS(DATA!$I:$I,DATA!$C:$C,$B492,DATA!$J:$J,"&gt;="&amp;DATE($I$2,E$4,1),DATA!$J:$J,"&lt;="&amp;DATE($I$2,E$4,E$5))</f>
        <v/>
      </c>
      <c r="F492" s="321">
        <f>SUMIFS(DATA!$I:$I,DATA!$C:$C,$B492,DATA!$J:$J,"&gt;="&amp;DATE($I$2,F$4,1),DATA!$J:$J,"&lt;="&amp;DATE($I$2,F$4,F$5))</f>
        <v/>
      </c>
      <c r="G492" s="321">
        <f>SUMIFS(DATA!$I:$I,DATA!$C:$C,$B492,DATA!$J:$J,"&gt;="&amp;DATE($I$2,G$4,1),DATA!$J:$J,"&lt;="&amp;DATE($I$2,G$4,G$5))</f>
        <v/>
      </c>
      <c r="H492" s="321">
        <f>SUMIFS(DATA!$I:$I,DATA!$C:$C,$B492,DATA!$J:$J,"&gt;="&amp;DATE($I$2,H$4,1),DATA!$J:$J,"&lt;="&amp;DATE($I$2,H$4,H$5))</f>
        <v/>
      </c>
      <c r="I492" s="321">
        <f>SUMIFS(DATA!$I:$I,DATA!$C:$C,$B492,DATA!$J:$J,"&gt;="&amp;DATE($I$2,I$4,1),DATA!$J:$J,"&lt;="&amp;DATE($I$2,I$4,I$5))</f>
        <v/>
      </c>
      <c r="J492" s="321">
        <f>SUMIFS(DATA!$I:$I,DATA!$C:$C,$B492,DATA!$J:$J,"&gt;="&amp;DATE($I$2,J$4,1),DATA!$J:$J,"&lt;="&amp;DATE($I$2,J$4,J$5))</f>
        <v/>
      </c>
      <c r="K492" s="321">
        <f>SUMIFS(DATA!$I:$I,DATA!$C:$C,$B492,DATA!$J:$J,"&gt;="&amp;DATE($I$2,K$4,1),DATA!$J:$J,"&lt;="&amp;DATE($I$2,K$4,K$5))</f>
        <v/>
      </c>
      <c r="L492" s="321">
        <f>SUMIFS(DATA!$I:$I,DATA!$C:$C,$B492,DATA!$J:$J,"&gt;="&amp;DATE($I$2,L$4,1),DATA!$J:$J,"&lt;="&amp;DATE($I$2,L$4,L$5))</f>
        <v/>
      </c>
      <c r="M492" s="321">
        <f>SUMIFS(DATA!$I:$I,DATA!$C:$C,$B492,DATA!$J:$J,"&gt;="&amp;DATE($I$2,M$4,1),DATA!$J:$J,"&lt;="&amp;DATE($I$2,M$4,M$5))</f>
        <v/>
      </c>
      <c r="N492" s="321">
        <f>SUMIFS(DATA!$I:$I,DATA!$C:$C,$B492,DATA!$J:$J,"&gt;="&amp;DATE($I$2,N$4,1),DATA!$J:$J,"&lt;="&amp;DATE($I$2,N$4,N$5))</f>
        <v/>
      </c>
      <c r="O492" s="321">
        <f>SUMIFS(DATA!$I:$I,DATA!$C:$C,$B492,DATA!$J:$J,"&gt;="&amp;DATE($I$2,O$4,1),DATA!$J:$J,"&lt;="&amp;DATE($I$2,O$4,O$5))</f>
        <v/>
      </c>
      <c r="P492" s="322">
        <f>SUM(D492:O492)</f>
        <v/>
      </c>
      <c r="Q492" s="118" t="n"/>
    </row>
    <row r="493" hidden="1" outlineLevel="1" ht="15" customHeight="1">
      <c r="A493" s="266" t="n"/>
      <c r="B493" s="126" t="n"/>
      <c r="C493" s="119" t="inlineStr">
        <is>
          <t>Thực tế</t>
        </is>
      </c>
      <c r="D493" s="321">
        <f>SUMIFS(DATA!$M:$M,DATA!$C:$C,$B492,DATA!$N:$N,"&gt;="&amp;DATE($I$2,D$4,1),DATA!$N:$N,"&lt;="&amp;DATE($I$2,D$4,D$5))</f>
        <v/>
      </c>
      <c r="E493" s="321">
        <f>SUMIFS(DATA!$M:$M,DATA!$C:$C,$B492,DATA!$N:$N,"&gt;="&amp;DATE($I$2,E$4,1),DATA!$N:$N,"&lt;="&amp;DATE($I$2,E$4,E$5))</f>
        <v/>
      </c>
      <c r="F493" s="321">
        <f>SUMIFS(DATA!$M:$M,DATA!$C:$C,$B492,DATA!$N:$N,"&gt;="&amp;DATE($I$2,F$4,1),DATA!$N:$N,"&lt;="&amp;DATE($I$2,F$4,F$5))</f>
        <v/>
      </c>
      <c r="G493" s="321">
        <f>SUMIFS(DATA!$M:$M,DATA!$C:$C,$B492,DATA!$N:$N,"&gt;="&amp;DATE($I$2,G$4,1),DATA!$N:$N,"&lt;="&amp;DATE($I$2,G$4,G$5))</f>
        <v/>
      </c>
      <c r="H493" s="321">
        <f>SUMIFS(DATA!$M:$M,DATA!$C:$C,$B492,DATA!$N:$N,"&gt;="&amp;DATE($I$2,H$4,1),DATA!$N:$N,"&lt;="&amp;DATE($I$2,H$4,H$5))</f>
        <v/>
      </c>
      <c r="I493" s="321">
        <f>SUMIFS(DATA!$M:$M,DATA!$C:$C,$B492,DATA!$N:$N,"&gt;="&amp;DATE($I$2,I$4,1),DATA!$N:$N,"&lt;="&amp;DATE($I$2,I$4,I$5))</f>
        <v/>
      </c>
      <c r="J493" s="321">
        <f>SUMIFS(DATA!$M:$M,DATA!$C:$C,$B492,DATA!$N:$N,"&gt;="&amp;DATE($I$2,J$4,1),DATA!$N:$N,"&lt;="&amp;DATE($I$2,J$4,J$5))</f>
        <v/>
      </c>
      <c r="K493" s="321">
        <f>SUMIFS(DATA!$M:$M,DATA!$C:$C,$B492,DATA!$N:$N,"&gt;="&amp;DATE($I$2,K$4,1),DATA!$N:$N,"&lt;="&amp;DATE($I$2,K$4,K$5))</f>
        <v/>
      </c>
      <c r="L493" s="321">
        <f>SUMIFS(DATA!$M:$M,DATA!$C:$C,$B492,DATA!$N:$N,"&gt;="&amp;DATE($I$2,L$4,1),DATA!$N:$N,"&lt;="&amp;DATE($I$2,L$4,L$5))</f>
        <v/>
      </c>
      <c r="M493" s="321">
        <f>SUMIFS(DATA!$M:$M,DATA!$C:$C,$B492,DATA!$N:$N,"&gt;="&amp;DATE($I$2,M$4,1),DATA!$N:$N,"&lt;="&amp;DATE($I$2,M$4,M$5))</f>
        <v/>
      </c>
      <c r="N493" s="321">
        <f>SUMIFS(DATA!$M:$M,DATA!$C:$C,$B492,DATA!$N:$N,"&gt;="&amp;DATE($I$2,N$4,1),DATA!$N:$N,"&lt;="&amp;DATE($I$2,N$4,N$5))</f>
        <v/>
      </c>
      <c r="O493" s="321">
        <f>SUMIFS(DATA!$M:$M,DATA!$C:$C,$B492,DATA!$N:$N,"&gt;="&amp;DATE($I$2,O$4,1),DATA!$N:$N,"&lt;="&amp;DATE($I$2,O$4,O$5))</f>
        <v/>
      </c>
      <c r="P493" s="322">
        <f>SUM(D493:O493)</f>
        <v/>
      </c>
      <c r="Q493" s="118" t="n"/>
    </row>
    <row r="494" hidden="1" outlineLevel="1" ht="15" customHeight="1">
      <c r="A494" s="269" t="n">
        <v>245</v>
      </c>
      <c r="B494" s="125" t="n"/>
      <c r="C494" s="119" t="inlineStr">
        <is>
          <t>Kế hoạch</t>
        </is>
      </c>
      <c r="D494" s="321">
        <f>SUMIFS(DATA!$I:$I,DATA!$C:$C,$B494,DATA!$J:$J,"&gt;="&amp;DATE($I$2,D$4,1),DATA!$J:$J,"&lt;="&amp;DATE($I$2,D$4,D$5))</f>
        <v/>
      </c>
      <c r="E494" s="321">
        <f>SUMIFS(DATA!$I:$I,DATA!$C:$C,$B494,DATA!$J:$J,"&gt;="&amp;DATE($I$2,E$4,1),DATA!$J:$J,"&lt;="&amp;DATE($I$2,E$4,E$5))</f>
        <v/>
      </c>
      <c r="F494" s="321">
        <f>SUMIFS(DATA!$I:$I,DATA!$C:$C,$B494,DATA!$J:$J,"&gt;="&amp;DATE($I$2,F$4,1),DATA!$J:$J,"&lt;="&amp;DATE($I$2,F$4,F$5))</f>
        <v/>
      </c>
      <c r="G494" s="321">
        <f>SUMIFS(DATA!$I:$I,DATA!$C:$C,$B494,DATA!$J:$J,"&gt;="&amp;DATE($I$2,G$4,1),DATA!$J:$J,"&lt;="&amp;DATE($I$2,G$4,G$5))</f>
        <v/>
      </c>
      <c r="H494" s="321">
        <f>SUMIFS(DATA!$I:$I,DATA!$C:$C,$B494,DATA!$J:$J,"&gt;="&amp;DATE($I$2,H$4,1),DATA!$J:$J,"&lt;="&amp;DATE($I$2,H$4,H$5))</f>
        <v/>
      </c>
      <c r="I494" s="321">
        <f>SUMIFS(DATA!$I:$I,DATA!$C:$C,$B494,DATA!$J:$J,"&gt;="&amp;DATE($I$2,I$4,1),DATA!$J:$J,"&lt;="&amp;DATE($I$2,I$4,I$5))</f>
        <v/>
      </c>
      <c r="J494" s="321">
        <f>SUMIFS(DATA!$I:$I,DATA!$C:$C,$B494,DATA!$J:$J,"&gt;="&amp;DATE($I$2,J$4,1),DATA!$J:$J,"&lt;="&amp;DATE($I$2,J$4,J$5))</f>
        <v/>
      </c>
      <c r="K494" s="321">
        <f>SUMIFS(DATA!$I:$I,DATA!$C:$C,$B494,DATA!$J:$J,"&gt;="&amp;DATE($I$2,K$4,1),DATA!$J:$J,"&lt;="&amp;DATE($I$2,K$4,K$5))</f>
        <v/>
      </c>
      <c r="L494" s="321">
        <f>SUMIFS(DATA!$I:$I,DATA!$C:$C,$B494,DATA!$J:$J,"&gt;="&amp;DATE($I$2,L$4,1),DATA!$J:$J,"&lt;="&amp;DATE($I$2,L$4,L$5))</f>
        <v/>
      </c>
      <c r="M494" s="321">
        <f>SUMIFS(DATA!$I:$I,DATA!$C:$C,$B494,DATA!$J:$J,"&gt;="&amp;DATE($I$2,M$4,1),DATA!$J:$J,"&lt;="&amp;DATE($I$2,M$4,M$5))</f>
        <v/>
      </c>
      <c r="N494" s="321">
        <f>SUMIFS(DATA!$I:$I,DATA!$C:$C,$B494,DATA!$J:$J,"&gt;="&amp;DATE($I$2,N$4,1),DATA!$J:$J,"&lt;="&amp;DATE($I$2,N$4,N$5))</f>
        <v/>
      </c>
      <c r="O494" s="321">
        <f>SUMIFS(DATA!$I:$I,DATA!$C:$C,$B494,DATA!$J:$J,"&gt;="&amp;DATE($I$2,O$4,1),DATA!$J:$J,"&lt;="&amp;DATE($I$2,O$4,O$5))</f>
        <v/>
      </c>
      <c r="P494" s="322">
        <f>SUM(D494:O494)</f>
        <v/>
      </c>
      <c r="Q494" s="118" t="n"/>
    </row>
    <row r="495" hidden="1" outlineLevel="1" ht="15" customHeight="1">
      <c r="A495" s="266" t="n"/>
      <c r="B495" s="126" t="n"/>
      <c r="C495" s="119" t="inlineStr">
        <is>
          <t>Thực tế</t>
        </is>
      </c>
      <c r="D495" s="321">
        <f>SUMIFS(DATA!$M:$M,DATA!$C:$C,$B494,DATA!$N:$N,"&gt;="&amp;DATE($I$2,D$4,1),DATA!$N:$N,"&lt;="&amp;DATE($I$2,D$4,D$5))</f>
        <v/>
      </c>
      <c r="E495" s="321">
        <f>SUMIFS(DATA!$M:$M,DATA!$C:$C,$B494,DATA!$N:$N,"&gt;="&amp;DATE($I$2,E$4,1),DATA!$N:$N,"&lt;="&amp;DATE($I$2,E$4,E$5))</f>
        <v/>
      </c>
      <c r="F495" s="321">
        <f>SUMIFS(DATA!$M:$M,DATA!$C:$C,$B494,DATA!$N:$N,"&gt;="&amp;DATE($I$2,F$4,1),DATA!$N:$N,"&lt;="&amp;DATE($I$2,F$4,F$5))</f>
        <v/>
      </c>
      <c r="G495" s="321">
        <f>SUMIFS(DATA!$M:$M,DATA!$C:$C,$B494,DATA!$N:$N,"&gt;="&amp;DATE($I$2,G$4,1),DATA!$N:$N,"&lt;="&amp;DATE($I$2,G$4,G$5))</f>
        <v/>
      </c>
      <c r="H495" s="321">
        <f>SUMIFS(DATA!$M:$M,DATA!$C:$C,$B494,DATA!$N:$N,"&gt;="&amp;DATE($I$2,H$4,1),DATA!$N:$N,"&lt;="&amp;DATE($I$2,H$4,H$5))</f>
        <v/>
      </c>
      <c r="I495" s="321">
        <f>SUMIFS(DATA!$M:$M,DATA!$C:$C,$B494,DATA!$N:$N,"&gt;="&amp;DATE($I$2,I$4,1),DATA!$N:$N,"&lt;="&amp;DATE($I$2,I$4,I$5))</f>
        <v/>
      </c>
      <c r="J495" s="321">
        <f>SUMIFS(DATA!$M:$M,DATA!$C:$C,$B494,DATA!$N:$N,"&gt;="&amp;DATE($I$2,J$4,1),DATA!$N:$N,"&lt;="&amp;DATE($I$2,J$4,J$5))</f>
        <v/>
      </c>
      <c r="K495" s="321">
        <f>SUMIFS(DATA!$M:$M,DATA!$C:$C,$B494,DATA!$N:$N,"&gt;="&amp;DATE($I$2,K$4,1),DATA!$N:$N,"&lt;="&amp;DATE($I$2,K$4,K$5))</f>
        <v/>
      </c>
      <c r="L495" s="321">
        <f>SUMIFS(DATA!$M:$M,DATA!$C:$C,$B494,DATA!$N:$N,"&gt;="&amp;DATE($I$2,L$4,1),DATA!$N:$N,"&lt;="&amp;DATE($I$2,L$4,L$5))</f>
        <v/>
      </c>
      <c r="M495" s="321">
        <f>SUMIFS(DATA!$M:$M,DATA!$C:$C,$B494,DATA!$N:$N,"&gt;="&amp;DATE($I$2,M$4,1),DATA!$N:$N,"&lt;="&amp;DATE($I$2,M$4,M$5))</f>
        <v/>
      </c>
      <c r="N495" s="321">
        <f>SUMIFS(DATA!$M:$M,DATA!$C:$C,$B494,DATA!$N:$N,"&gt;="&amp;DATE($I$2,N$4,1),DATA!$N:$N,"&lt;="&amp;DATE($I$2,N$4,N$5))</f>
        <v/>
      </c>
      <c r="O495" s="321">
        <f>SUMIFS(DATA!$M:$M,DATA!$C:$C,$B494,DATA!$N:$N,"&gt;="&amp;DATE($I$2,O$4,1),DATA!$N:$N,"&lt;="&amp;DATE($I$2,O$4,O$5))</f>
        <v/>
      </c>
      <c r="P495" s="322">
        <f>SUM(D495:O495)</f>
        <v/>
      </c>
      <c r="Q495" s="118" t="n"/>
    </row>
    <row r="496" hidden="1" outlineLevel="1" ht="15" customHeight="1">
      <c r="A496" s="269" t="n">
        <v>246</v>
      </c>
      <c r="B496" s="125" t="n"/>
      <c r="C496" s="119" t="inlineStr">
        <is>
          <t>Kế hoạch</t>
        </is>
      </c>
      <c r="D496" s="321">
        <f>SUMIFS(DATA!$I:$I,DATA!$C:$C,$B496,DATA!$J:$J,"&gt;="&amp;DATE($I$2,D$4,1),DATA!$J:$J,"&lt;="&amp;DATE($I$2,D$4,D$5))</f>
        <v/>
      </c>
      <c r="E496" s="321">
        <f>SUMIFS(DATA!$I:$I,DATA!$C:$C,$B496,DATA!$J:$J,"&gt;="&amp;DATE($I$2,E$4,1),DATA!$J:$J,"&lt;="&amp;DATE($I$2,E$4,E$5))</f>
        <v/>
      </c>
      <c r="F496" s="321">
        <f>SUMIFS(DATA!$I:$I,DATA!$C:$C,$B496,DATA!$J:$J,"&gt;="&amp;DATE($I$2,F$4,1),DATA!$J:$J,"&lt;="&amp;DATE($I$2,F$4,F$5))</f>
        <v/>
      </c>
      <c r="G496" s="321">
        <f>SUMIFS(DATA!$I:$I,DATA!$C:$C,$B496,DATA!$J:$J,"&gt;="&amp;DATE($I$2,G$4,1),DATA!$J:$J,"&lt;="&amp;DATE($I$2,G$4,G$5))</f>
        <v/>
      </c>
      <c r="H496" s="321">
        <f>SUMIFS(DATA!$I:$I,DATA!$C:$C,$B496,DATA!$J:$J,"&gt;="&amp;DATE($I$2,H$4,1),DATA!$J:$J,"&lt;="&amp;DATE($I$2,H$4,H$5))</f>
        <v/>
      </c>
      <c r="I496" s="321">
        <f>SUMIFS(DATA!$I:$I,DATA!$C:$C,$B496,DATA!$J:$J,"&gt;="&amp;DATE($I$2,I$4,1),DATA!$J:$J,"&lt;="&amp;DATE($I$2,I$4,I$5))</f>
        <v/>
      </c>
      <c r="J496" s="321">
        <f>SUMIFS(DATA!$I:$I,DATA!$C:$C,$B496,DATA!$J:$J,"&gt;="&amp;DATE($I$2,J$4,1),DATA!$J:$J,"&lt;="&amp;DATE($I$2,J$4,J$5))</f>
        <v/>
      </c>
      <c r="K496" s="321">
        <f>SUMIFS(DATA!$I:$I,DATA!$C:$C,$B496,DATA!$J:$J,"&gt;="&amp;DATE($I$2,K$4,1),DATA!$J:$J,"&lt;="&amp;DATE($I$2,K$4,K$5))</f>
        <v/>
      </c>
      <c r="L496" s="321">
        <f>SUMIFS(DATA!$I:$I,DATA!$C:$C,$B496,DATA!$J:$J,"&gt;="&amp;DATE($I$2,L$4,1),DATA!$J:$J,"&lt;="&amp;DATE($I$2,L$4,L$5))</f>
        <v/>
      </c>
      <c r="M496" s="321">
        <f>SUMIFS(DATA!$I:$I,DATA!$C:$C,$B496,DATA!$J:$J,"&gt;="&amp;DATE($I$2,M$4,1),DATA!$J:$J,"&lt;="&amp;DATE($I$2,M$4,M$5))</f>
        <v/>
      </c>
      <c r="N496" s="321">
        <f>SUMIFS(DATA!$I:$I,DATA!$C:$C,$B496,DATA!$J:$J,"&gt;="&amp;DATE($I$2,N$4,1),DATA!$J:$J,"&lt;="&amp;DATE($I$2,N$4,N$5))</f>
        <v/>
      </c>
      <c r="O496" s="321">
        <f>SUMIFS(DATA!$I:$I,DATA!$C:$C,$B496,DATA!$J:$J,"&gt;="&amp;DATE($I$2,O$4,1),DATA!$J:$J,"&lt;="&amp;DATE($I$2,O$4,O$5))</f>
        <v/>
      </c>
      <c r="P496" s="322">
        <f>SUM(D496:O496)</f>
        <v/>
      </c>
      <c r="Q496" s="118" t="n"/>
    </row>
    <row r="497" hidden="1" outlineLevel="1" ht="15" customHeight="1">
      <c r="A497" s="266" t="n"/>
      <c r="B497" s="126" t="n"/>
      <c r="C497" s="119" t="inlineStr">
        <is>
          <t>Thực tế</t>
        </is>
      </c>
      <c r="D497" s="321">
        <f>SUMIFS(DATA!$M:$M,DATA!$C:$C,$B496,DATA!$N:$N,"&gt;="&amp;DATE($I$2,D$4,1),DATA!$N:$N,"&lt;="&amp;DATE($I$2,D$4,D$5))</f>
        <v/>
      </c>
      <c r="E497" s="321">
        <f>SUMIFS(DATA!$M:$M,DATA!$C:$C,$B496,DATA!$N:$N,"&gt;="&amp;DATE($I$2,E$4,1),DATA!$N:$N,"&lt;="&amp;DATE($I$2,E$4,E$5))</f>
        <v/>
      </c>
      <c r="F497" s="321">
        <f>SUMIFS(DATA!$M:$M,DATA!$C:$C,$B496,DATA!$N:$N,"&gt;="&amp;DATE($I$2,F$4,1),DATA!$N:$N,"&lt;="&amp;DATE($I$2,F$4,F$5))</f>
        <v/>
      </c>
      <c r="G497" s="321">
        <f>SUMIFS(DATA!$M:$M,DATA!$C:$C,$B496,DATA!$N:$N,"&gt;="&amp;DATE($I$2,G$4,1),DATA!$N:$N,"&lt;="&amp;DATE($I$2,G$4,G$5))</f>
        <v/>
      </c>
      <c r="H497" s="321">
        <f>SUMIFS(DATA!$M:$M,DATA!$C:$C,$B496,DATA!$N:$N,"&gt;="&amp;DATE($I$2,H$4,1),DATA!$N:$N,"&lt;="&amp;DATE($I$2,H$4,H$5))</f>
        <v/>
      </c>
      <c r="I497" s="321">
        <f>SUMIFS(DATA!$M:$M,DATA!$C:$C,$B496,DATA!$N:$N,"&gt;="&amp;DATE($I$2,I$4,1),DATA!$N:$N,"&lt;="&amp;DATE($I$2,I$4,I$5))</f>
        <v/>
      </c>
      <c r="J497" s="321">
        <f>SUMIFS(DATA!$M:$M,DATA!$C:$C,$B496,DATA!$N:$N,"&gt;="&amp;DATE($I$2,J$4,1),DATA!$N:$N,"&lt;="&amp;DATE($I$2,J$4,J$5))</f>
        <v/>
      </c>
      <c r="K497" s="321">
        <f>SUMIFS(DATA!$M:$M,DATA!$C:$C,$B496,DATA!$N:$N,"&gt;="&amp;DATE($I$2,K$4,1),DATA!$N:$N,"&lt;="&amp;DATE($I$2,K$4,K$5))</f>
        <v/>
      </c>
      <c r="L497" s="321">
        <f>SUMIFS(DATA!$M:$M,DATA!$C:$C,$B496,DATA!$N:$N,"&gt;="&amp;DATE($I$2,L$4,1),DATA!$N:$N,"&lt;="&amp;DATE($I$2,L$4,L$5))</f>
        <v/>
      </c>
      <c r="M497" s="321">
        <f>SUMIFS(DATA!$M:$M,DATA!$C:$C,$B496,DATA!$N:$N,"&gt;="&amp;DATE($I$2,M$4,1),DATA!$N:$N,"&lt;="&amp;DATE($I$2,M$4,M$5))</f>
        <v/>
      </c>
      <c r="N497" s="321">
        <f>SUMIFS(DATA!$M:$M,DATA!$C:$C,$B496,DATA!$N:$N,"&gt;="&amp;DATE($I$2,N$4,1),DATA!$N:$N,"&lt;="&amp;DATE($I$2,N$4,N$5))</f>
        <v/>
      </c>
      <c r="O497" s="321">
        <f>SUMIFS(DATA!$M:$M,DATA!$C:$C,$B496,DATA!$N:$N,"&gt;="&amp;DATE($I$2,O$4,1),DATA!$N:$N,"&lt;="&amp;DATE($I$2,O$4,O$5))</f>
        <v/>
      </c>
      <c r="P497" s="322">
        <f>SUM(D497:O497)</f>
        <v/>
      </c>
      <c r="Q497" s="118" t="n"/>
    </row>
    <row r="498" hidden="1" outlineLevel="1" ht="15" customHeight="1">
      <c r="A498" s="269" t="n">
        <v>247</v>
      </c>
      <c r="B498" s="125" t="n"/>
      <c r="C498" s="119" t="inlineStr">
        <is>
          <t>Kế hoạch</t>
        </is>
      </c>
      <c r="D498" s="321">
        <f>SUMIFS(DATA!$I:$I,DATA!$C:$C,$B498,DATA!$J:$J,"&gt;="&amp;DATE($I$2,D$4,1),DATA!$J:$J,"&lt;="&amp;DATE($I$2,D$4,D$5))</f>
        <v/>
      </c>
      <c r="E498" s="321">
        <f>SUMIFS(DATA!$I:$I,DATA!$C:$C,$B498,DATA!$J:$J,"&gt;="&amp;DATE($I$2,E$4,1),DATA!$J:$J,"&lt;="&amp;DATE($I$2,E$4,E$5))</f>
        <v/>
      </c>
      <c r="F498" s="321">
        <f>SUMIFS(DATA!$I:$I,DATA!$C:$C,$B498,DATA!$J:$J,"&gt;="&amp;DATE($I$2,F$4,1),DATA!$J:$J,"&lt;="&amp;DATE($I$2,F$4,F$5))</f>
        <v/>
      </c>
      <c r="G498" s="321">
        <f>SUMIFS(DATA!$I:$I,DATA!$C:$C,$B498,DATA!$J:$J,"&gt;="&amp;DATE($I$2,G$4,1),DATA!$J:$J,"&lt;="&amp;DATE($I$2,G$4,G$5))</f>
        <v/>
      </c>
      <c r="H498" s="321">
        <f>SUMIFS(DATA!$I:$I,DATA!$C:$C,$B498,DATA!$J:$J,"&gt;="&amp;DATE($I$2,H$4,1),DATA!$J:$J,"&lt;="&amp;DATE($I$2,H$4,H$5))</f>
        <v/>
      </c>
      <c r="I498" s="321">
        <f>SUMIFS(DATA!$I:$I,DATA!$C:$C,$B498,DATA!$J:$J,"&gt;="&amp;DATE($I$2,I$4,1),DATA!$J:$J,"&lt;="&amp;DATE($I$2,I$4,I$5))</f>
        <v/>
      </c>
      <c r="J498" s="321">
        <f>SUMIFS(DATA!$I:$I,DATA!$C:$C,$B498,DATA!$J:$J,"&gt;="&amp;DATE($I$2,J$4,1),DATA!$J:$J,"&lt;="&amp;DATE($I$2,J$4,J$5))</f>
        <v/>
      </c>
      <c r="K498" s="321">
        <f>SUMIFS(DATA!$I:$I,DATA!$C:$C,$B498,DATA!$J:$J,"&gt;="&amp;DATE($I$2,K$4,1),DATA!$J:$J,"&lt;="&amp;DATE($I$2,K$4,K$5))</f>
        <v/>
      </c>
      <c r="L498" s="321">
        <f>SUMIFS(DATA!$I:$I,DATA!$C:$C,$B498,DATA!$J:$J,"&gt;="&amp;DATE($I$2,L$4,1),DATA!$J:$J,"&lt;="&amp;DATE($I$2,L$4,L$5))</f>
        <v/>
      </c>
      <c r="M498" s="321">
        <f>SUMIFS(DATA!$I:$I,DATA!$C:$C,$B498,DATA!$J:$J,"&gt;="&amp;DATE($I$2,M$4,1),DATA!$J:$J,"&lt;="&amp;DATE($I$2,M$4,M$5))</f>
        <v/>
      </c>
      <c r="N498" s="321">
        <f>SUMIFS(DATA!$I:$I,DATA!$C:$C,$B498,DATA!$J:$J,"&gt;="&amp;DATE($I$2,N$4,1),DATA!$J:$J,"&lt;="&amp;DATE($I$2,N$4,N$5))</f>
        <v/>
      </c>
      <c r="O498" s="321">
        <f>SUMIFS(DATA!$I:$I,DATA!$C:$C,$B498,DATA!$J:$J,"&gt;="&amp;DATE($I$2,O$4,1),DATA!$J:$J,"&lt;="&amp;DATE($I$2,O$4,O$5))</f>
        <v/>
      </c>
      <c r="P498" s="322">
        <f>SUM(D498:O498)</f>
        <v/>
      </c>
      <c r="Q498" s="118" t="n"/>
    </row>
    <row r="499" hidden="1" outlineLevel="1" ht="15" customHeight="1">
      <c r="A499" s="266" t="n"/>
      <c r="B499" s="126" t="n"/>
      <c r="C499" s="119" t="inlineStr">
        <is>
          <t>Thực tế</t>
        </is>
      </c>
      <c r="D499" s="321">
        <f>SUMIFS(DATA!$M:$M,DATA!$C:$C,$B498,DATA!$N:$N,"&gt;="&amp;DATE($I$2,D$4,1),DATA!$N:$N,"&lt;="&amp;DATE($I$2,D$4,D$5))</f>
        <v/>
      </c>
      <c r="E499" s="321">
        <f>SUMIFS(DATA!$M:$M,DATA!$C:$C,$B498,DATA!$N:$N,"&gt;="&amp;DATE($I$2,E$4,1),DATA!$N:$N,"&lt;="&amp;DATE($I$2,E$4,E$5))</f>
        <v/>
      </c>
      <c r="F499" s="321">
        <f>SUMIFS(DATA!$M:$M,DATA!$C:$C,$B498,DATA!$N:$N,"&gt;="&amp;DATE($I$2,F$4,1),DATA!$N:$N,"&lt;="&amp;DATE($I$2,F$4,F$5))</f>
        <v/>
      </c>
      <c r="G499" s="321">
        <f>SUMIFS(DATA!$M:$M,DATA!$C:$C,$B498,DATA!$N:$N,"&gt;="&amp;DATE($I$2,G$4,1),DATA!$N:$N,"&lt;="&amp;DATE($I$2,G$4,G$5))</f>
        <v/>
      </c>
      <c r="H499" s="321">
        <f>SUMIFS(DATA!$M:$M,DATA!$C:$C,$B498,DATA!$N:$N,"&gt;="&amp;DATE($I$2,H$4,1),DATA!$N:$N,"&lt;="&amp;DATE($I$2,H$4,H$5))</f>
        <v/>
      </c>
      <c r="I499" s="321">
        <f>SUMIFS(DATA!$M:$M,DATA!$C:$C,$B498,DATA!$N:$N,"&gt;="&amp;DATE($I$2,I$4,1),DATA!$N:$N,"&lt;="&amp;DATE($I$2,I$4,I$5))</f>
        <v/>
      </c>
      <c r="J499" s="321">
        <f>SUMIFS(DATA!$M:$M,DATA!$C:$C,$B498,DATA!$N:$N,"&gt;="&amp;DATE($I$2,J$4,1),DATA!$N:$N,"&lt;="&amp;DATE($I$2,J$4,J$5))</f>
        <v/>
      </c>
      <c r="K499" s="321">
        <f>SUMIFS(DATA!$M:$M,DATA!$C:$C,$B498,DATA!$N:$N,"&gt;="&amp;DATE($I$2,K$4,1),DATA!$N:$N,"&lt;="&amp;DATE($I$2,K$4,K$5))</f>
        <v/>
      </c>
      <c r="L499" s="321">
        <f>SUMIFS(DATA!$M:$M,DATA!$C:$C,$B498,DATA!$N:$N,"&gt;="&amp;DATE($I$2,L$4,1),DATA!$N:$N,"&lt;="&amp;DATE($I$2,L$4,L$5))</f>
        <v/>
      </c>
      <c r="M499" s="321">
        <f>SUMIFS(DATA!$M:$M,DATA!$C:$C,$B498,DATA!$N:$N,"&gt;="&amp;DATE($I$2,M$4,1),DATA!$N:$N,"&lt;="&amp;DATE($I$2,M$4,M$5))</f>
        <v/>
      </c>
      <c r="N499" s="321">
        <f>SUMIFS(DATA!$M:$M,DATA!$C:$C,$B498,DATA!$N:$N,"&gt;="&amp;DATE($I$2,N$4,1),DATA!$N:$N,"&lt;="&amp;DATE($I$2,N$4,N$5))</f>
        <v/>
      </c>
      <c r="O499" s="321">
        <f>SUMIFS(DATA!$M:$M,DATA!$C:$C,$B498,DATA!$N:$N,"&gt;="&amp;DATE($I$2,O$4,1),DATA!$N:$N,"&lt;="&amp;DATE($I$2,O$4,O$5))</f>
        <v/>
      </c>
      <c r="P499" s="322">
        <f>SUM(D499:O499)</f>
        <v/>
      </c>
      <c r="Q499" s="118" t="n"/>
    </row>
    <row r="500" hidden="1" outlineLevel="1" ht="15" customHeight="1">
      <c r="A500" s="269" t="n">
        <v>248</v>
      </c>
      <c r="B500" s="125" t="n"/>
      <c r="C500" s="119" t="inlineStr">
        <is>
          <t>Kế hoạch</t>
        </is>
      </c>
      <c r="D500" s="321">
        <f>SUMIFS(DATA!$I:$I,DATA!$C:$C,$B500,DATA!$J:$J,"&gt;="&amp;DATE($I$2,D$4,1),DATA!$J:$J,"&lt;="&amp;DATE($I$2,D$4,D$5))</f>
        <v/>
      </c>
      <c r="E500" s="321">
        <f>SUMIFS(DATA!$I:$I,DATA!$C:$C,$B500,DATA!$J:$J,"&gt;="&amp;DATE($I$2,E$4,1),DATA!$J:$J,"&lt;="&amp;DATE($I$2,E$4,E$5))</f>
        <v/>
      </c>
      <c r="F500" s="321">
        <f>SUMIFS(DATA!$I:$I,DATA!$C:$C,$B500,DATA!$J:$J,"&gt;="&amp;DATE($I$2,F$4,1),DATA!$J:$J,"&lt;="&amp;DATE($I$2,F$4,F$5))</f>
        <v/>
      </c>
      <c r="G500" s="321">
        <f>SUMIFS(DATA!$I:$I,DATA!$C:$C,$B500,DATA!$J:$J,"&gt;="&amp;DATE($I$2,G$4,1),DATA!$J:$J,"&lt;="&amp;DATE($I$2,G$4,G$5))</f>
        <v/>
      </c>
      <c r="H500" s="321">
        <f>SUMIFS(DATA!$I:$I,DATA!$C:$C,$B500,DATA!$J:$J,"&gt;="&amp;DATE($I$2,H$4,1),DATA!$J:$J,"&lt;="&amp;DATE($I$2,H$4,H$5))</f>
        <v/>
      </c>
      <c r="I500" s="321">
        <f>SUMIFS(DATA!$I:$I,DATA!$C:$C,$B500,DATA!$J:$J,"&gt;="&amp;DATE($I$2,I$4,1),DATA!$J:$J,"&lt;="&amp;DATE($I$2,I$4,I$5))</f>
        <v/>
      </c>
      <c r="J500" s="321">
        <f>SUMIFS(DATA!$I:$I,DATA!$C:$C,$B500,DATA!$J:$J,"&gt;="&amp;DATE($I$2,J$4,1),DATA!$J:$J,"&lt;="&amp;DATE($I$2,J$4,J$5))</f>
        <v/>
      </c>
      <c r="K500" s="321">
        <f>SUMIFS(DATA!$I:$I,DATA!$C:$C,$B500,DATA!$J:$J,"&gt;="&amp;DATE($I$2,K$4,1),DATA!$J:$J,"&lt;="&amp;DATE($I$2,K$4,K$5))</f>
        <v/>
      </c>
      <c r="L500" s="321">
        <f>SUMIFS(DATA!$I:$I,DATA!$C:$C,$B500,DATA!$J:$J,"&gt;="&amp;DATE($I$2,L$4,1),DATA!$J:$J,"&lt;="&amp;DATE($I$2,L$4,L$5))</f>
        <v/>
      </c>
      <c r="M500" s="321">
        <f>SUMIFS(DATA!$I:$I,DATA!$C:$C,$B500,DATA!$J:$J,"&gt;="&amp;DATE($I$2,M$4,1),DATA!$J:$J,"&lt;="&amp;DATE($I$2,M$4,M$5))</f>
        <v/>
      </c>
      <c r="N500" s="321">
        <f>SUMIFS(DATA!$I:$I,DATA!$C:$C,$B500,DATA!$J:$J,"&gt;="&amp;DATE($I$2,N$4,1),DATA!$J:$J,"&lt;="&amp;DATE($I$2,N$4,N$5))</f>
        <v/>
      </c>
      <c r="O500" s="321">
        <f>SUMIFS(DATA!$I:$I,DATA!$C:$C,$B500,DATA!$J:$J,"&gt;="&amp;DATE($I$2,O$4,1),DATA!$J:$J,"&lt;="&amp;DATE($I$2,O$4,O$5))</f>
        <v/>
      </c>
      <c r="P500" s="322">
        <f>SUM(D500:O500)</f>
        <v/>
      </c>
      <c r="Q500" s="118" t="n"/>
    </row>
    <row r="501" hidden="1" outlineLevel="1" ht="15" customHeight="1">
      <c r="A501" s="266" t="n"/>
      <c r="B501" s="126" t="n"/>
      <c r="C501" s="119" t="inlineStr">
        <is>
          <t>Thực tế</t>
        </is>
      </c>
      <c r="D501" s="321">
        <f>SUMIFS(DATA!$M:$M,DATA!$C:$C,$B500,DATA!$N:$N,"&gt;="&amp;DATE($I$2,D$4,1),DATA!$N:$N,"&lt;="&amp;DATE($I$2,D$4,D$5))</f>
        <v/>
      </c>
      <c r="E501" s="321">
        <f>SUMIFS(DATA!$M:$M,DATA!$C:$C,$B500,DATA!$N:$N,"&gt;="&amp;DATE($I$2,E$4,1),DATA!$N:$N,"&lt;="&amp;DATE($I$2,E$4,E$5))</f>
        <v/>
      </c>
      <c r="F501" s="321">
        <f>SUMIFS(DATA!$M:$M,DATA!$C:$C,$B500,DATA!$N:$N,"&gt;="&amp;DATE($I$2,F$4,1),DATA!$N:$N,"&lt;="&amp;DATE($I$2,F$4,F$5))</f>
        <v/>
      </c>
      <c r="G501" s="321">
        <f>SUMIFS(DATA!$M:$M,DATA!$C:$C,$B500,DATA!$N:$N,"&gt;="&amp;DATE($I$2,G$4,1),DATA!$N:$N,"&lt;="&amp;DATE($I$2,G$4,G$5))</f>
        <v/>
      </c>
      <c r="H501" s="321">
        <f>SUMIFS(DATA!$M:$M,DATA!$C:$C,$B500,DATA!$N:$N,"&gt;="&amp;DATE($I$2,H$4,1),DATA!$N:$N,"&lt;="&amp;DATE($I$2,H$4,H$5))</f>
        <v/>
      </c>
      <c r="I501" s="321">
        <f>SUMIFS(DATA!$M:$M,DATA!$C:$C,$B500,DATA!$N:$N,"&gt;="&amp;DATE($I$2,I$4,1),DATA!$N:$N,"&lt;="&amp;DATE($I$2,I$4,I$5))</f>
        <v/>
      </c>
      <c r="J501" s="321">
        <f>SUMIFS(DATA!$M:$M,DATA!$C:$C,$B500,DATA!$N:$N,"&gt;="&amp;DATE($I$2,J$4,1),DATA!$N:$N,"&lt;="&amp;DATE($I$2,J$4,J$5))</f>
        <v/>
      </c>
      <c r="K501" s="321">
        <f>SUMIFS(DATA!$M:$M,DATA!$C:$C,$B500,DATA!$N:$N,"&gt;="&amp;DATE($I$2,K$4,1),DATA!$N:$N,"&lt;="&amp;DATE($I$2,K$4,K$5))</f>
        <v/>
      </c>
      <c r="L501" s="321">
        <f>SUMIFS(DATA!$M:$M,DATA!$C:$C,$B500,DATA!$N:$N,"&gt;="&amp;DATE($I$2,L$4,1),DATA!$N:$N,"&lt;="&amp;DATE($I$2,L$4,L$5))</f>
        <v/>
      </c>
      <c r="M501" s="321">
        <f>SUMIFS(DATA!$M:$M,DATA!$C:$C,$B500,DATA!$N:$N,"&gt;="&amp;DATE($I$2,M$4,1),DATA!$N:$N,"&lt;="&amp;DATE($I$2,M$4,M$5))</f>
        <v/>
      </c>
      <c r="N501" s="321">
        <f>SUMIFS(DATA!$M:$M,DATA!$C:$C,$B500,DATA!$N:$N,"&gt;="&amp;DATE($I$2,N$4,1),DATA!$N:$N,"&lt;="&amp;DATE($I$2,N$4,N$5))</f>
        <v/>
      </c>
      <c r="O501" s="321">
        <f>SUMIFS(DATA!$M:$M,DATA!$C:$C,$B500,DATA!$N:$N,"&gt;="&amp;DATE($I$2,O$4,1),DATA!$N:$N,"&lt;="&amp;DATE($I$2,O$4,O$5))</f>
        <v/>
      </c>
      <c r="P501" s="322">
        <f>SUM(D501:O501)</f>
        <v/>
      </c>
      <c r="Q501" s="118" t="n"/>
    </row>
    <row r="502" hidden="1" outlineLevel="1" ht="15" customHeight="1">
      <c r="A502" s="269" t="n">
        <v>249</v>
      </c>
      <c r="B502" s="125" t="n"/>
      <c r="C502" s="119" t="inlineStr">
        <is>
          <t>Kế hoạch</t>
        </is>
      </c>
      <c r="D502" s="321">
        <f>SUMIFS(DATA!$I:$I,DATA!$C:$C,$B502,DATA!$J:$J,"&gt;="&amp;DATE($I$2,D$4,1),DATA!$J:$J,"&lt;="&amp;DATE($I$2,D$4,D$5))</f>
        <v/>
      </c>
      <c r="E502" s="321">
        <f>SUMIFS(DATA!$I:$I,DATA!$C:$C,$B502,DATA!$J:$J,"&gt;="&amp;DATE($I$2,E$4,1),DATA!$J:$J,"&lt;="&amp;DATE($I$2,E$4,E$5))</f>
        <v/>
      </c>
      <c r="F502" s="321">
        <f>SUMIFS(DATA!$I:$I,DATA!$C:$C,$B502,DATA!$J:$J,"&gt;="&amp;DATE($I$2,F$4,1),DATA!$J:$J,"&lt;="&amp;DATE($I$2,F$4,F$5))</f>
        <v/>
      </c>
      <c r="G502" s="321">
        <f>SUMIFS(DATA!$I:$I,DATA!$C:$C,$B502,DATA!$J:$J,"&gt;="&amp;DATE($I$2,G$4,1),DATA!$J:$J,"&lt;="&amp;DATE($I$2,G$4,G$5))</f>
        <v/>
      </c>
      <c r="H502" s="321">
        <f>SUMIFS(DATA!$I:$I,DATA!$C:$C,$B502,DATA!$J:$J,"&gt;="&amp;DATE($I$2,H$4,1),DATA!$J:$J,"&lt;="&amp;DATE($I$2,H$4,H$5))</f>
        <v/>
      </c>
      <c r="I502" s="321">
        <f>SUMIFS(DATA!$I:$I,DATA!$C:$C,$B502,DATA!$J:$J,"&gt;="&amp;DATE($I$2,I$4,1),DATA!$J:$J,"&lt;="&amp;DATE($I$2,I$4,I$5))</f>
        <v/>
      </c>
      <c r="J502" s="321">
        <f>SUMIFS(DATA!$I:$I,DATA!$C:$C,$B502,DATA!$J:$J,"&gt;="&amp;DATE($I$2,J$4,1),DATA!$J:$J,"&lt;="&amp;DATE($I$2,J$4,J$5))</f>
        <v/>
      </c>
      <c r="K502" s="321">
        <f>SUMIFS(DATA!$I:$I,DATA!$C:$C,$B502,DATA!$J:$J,"&gt;="&amp;DATE($I$2,K$4,1),DATA!$J:$J,"&lt;="&amp;DATE($I$2,K$4,K$5))</f>
        <v/>
      </c>
      <c r="L502" s="321">
        <f>SUMIFS(DATA!$I:$I,DATA!$C:$C,$B502,DATA!$J:$J,"&gt;="&amp;DATE($I$2,L$4,1),DATA!$J:$J,"&lt;="&amp;DATE($I$2,L$4,L$5))</f>
        <v/>
      </c>
      <c r="M502" s="321">
        <f>SUMIFS(DATA!$I:$I,DATA!$C:$C,$B502,DATA!$J:$J,"&gt;="&amp;DATE($I$2,M$4,1),DATA!$J:$J,"&lt;="&amp;DATE($I$2,M$4,M$5))</f>
        <v/>
      </c>
      <c r="N502" s="321">
        <f>SUMIFS(DATA!$I:$I,DATA!$C:$C,$B502,DATA!$J:$J,"&gt;="&amp;DATE($I$2,N$4,1),DATA!$J:$J,"&lt;="&amp;DATE($I$2,N$4,N$5))</f>
        <v/>
      </c>
      <c r="O502" s="321">
        <f>SUMIFS(DATA!$I:$I,DATA!$C:$C,$B502,DATA!$J:$J,"&gt;="&amp;DATE($I$2,O$4,1),DATA!$J:$J,"&lt;="&amp;DATE($I$2,O$4,O$5))</f>
        <v/>
      </c>
      <c r="P502" s="322">
        <f>SUM(D502:O502)</f>
        <v/>
      </c>
      <c r="Q502" s="118" t="n"/>
    </row>
    <row r="503" hidden="1" outlineLevel="1" ht="15" customHeight="1">
      <c r="A503" s="266" t="n"/>
      <c r="B503" s="126" t="n"/>
      <c r="C503" s="119" t="inlineStr">
        <is>
          <t>Thực tế</t>
        </is>
      </c>
      <c r="D503" s="321">
        <f>SUMIFS(DATA!$M:$M,DATA!$C:$C,$B502,DATA!$N:$N,"&gt;="&amp;DATE($I$2,D$4,1),DATA!$N:$N,"&lt;="&amp;DATE($I$2,D$4,D$5))</f>
        <v/>
      </c>
      <c r="E503" s="321">
        <f>SUMIFS(DATA!$M:$M,DATA!$C:$C,$B502,DATA!$N:$N,"&gt;="&amp;DATE($I$2,E$4,1),DATA!$N:$N,"&lt;="&amp;DATE($I$2,E$4,E$5))</f>
        <v/>
      </c>
      <c r="F503" s="321">
        <f>SUMIFS(DATA!$M:$M,DATA!$C:$C,$B502,DATA!$N:$N,"&gt;="&amp;DATE($I$2,F$4,1),DATA!$N:$N,"&lt;="&amp;DATE($I$2,F$4,F$5))</f>
        <v/>
      </c>
      <c r="G503" s="321">
        <f>SUMIFS(DATA!$M:$M,DATA!$C:$C,$B502,DATA!$N:$N,"&gt;="&amp;DATE($I$2,G$4,1),DATA!$N:$N,"&lt;="&amp;DATE($I$2,G$4,G$5))</f>
        <v/>
      </c>
      <c r="H503" s="321">
        <f>SUMIFS(DATA!$M:$M,DATA!$C:$C,$B502,DATA!$N:$N,"&gt;="&amp;DATE($I$2,H$4,1),DATA!$N:$N,"&lt;="&amp;DATE($I$2,H$4,H$5))</f>
        <v/>
      </c>
      <c r="I503" s="321">
        <f>SUMIFS(DATA!$M:$M,DATA!$C:$C,$B502,DATA!$N:$N,"&gt;="&amp;DATE($I$2,I$4,1),DATA!$N:$N,"&lt;="&amp;DATE($I$2,I$4,I$5))</f>
        <v/>
      </c>
      <c r="J503" s="321">
        <f>SUMIFS(DATA!$M:$M,DATA!$C:$C,$B502,DATA!$N:$N,"&gt;="&amp;DATE($I$2,J$4,1),DATA!$N:$N,"&lt;="&amp;DATE($I$2,J$4,J$5))</f>
        <v/>
      </c>
      <c r="K503" s="321">
        <f>SUMIFS(DATA!$M:$M,DATA!$C:$C,$B502,DATA!$N:$N,"&gt;="&amp;DATE($I$2,K$4,1),DATA!$N:$N,"&lt;="&amp;DATE($I$2,K$4,K$5))</f>
        <v/>
      </c>
      <c r="L503" s="321">
        <f>SUMIFS(DATA!$M:$M,DATA!$C:$C,$B502,DATA!$N:$N,"&gt;="&amp;DATE($I$2,L$4,1),DATA!$N:$N,"&lt;="&amp;DATE($I$2,L$4,L$5))</f>
        <v/>
      </c>
      <c r="M503" s="321">
        <f>SUMIFS(DATA!$M:$M,DATA!$C:$C,$B502,DATA!$N:$N,"&gt;="&amp;DATE($I$2,M$4,1),DATA!$N:$N,"&lt;="&amp;DATE($I$2,M$4,M$5))</f>
        <v/>
      </c>
      <c r="N503" s="321">
        <f>SUMIFS(DATA!$M:$M,DATA!$C:$C,$B502,DATA!$N:$N,"&gt;="&amp;DATE($I$2,N$4,1),DATA!$N:$N,"&lt;="&amp;DATE($I$2,N$4,N$5))</f>
        <v/>
      </c>
      <c r="O503" s="321">
        <f>SUMIFS(DATA!$M:$M,DATA!$C:$C,$B502,DATA!$N:$N,"&gt;="&amp;DATE($I$2,O$4,1),DATA!$N:$N,"&lt;="&amp;DATE($I$2,O$4,O$5))</f>
        <v/>
      </c>
      <c r="P503" s="322">
        <f>SUM(D503:O503)</f>
        <v/>
      </c>
      <c r="Q503" s="118" t="n"/>
    </row>
    <row r="504" hidden="1" outlineLevel="1" ht="15" customHeight="1">
      <c r="A504" s="269" t="n">
        <v>250</v>
      </c>
      <c r="B504" s="125" t="n"/>
      <c r="C504" s="119" t="inlineStr">
        <is>
          <t>Kế hoạch</t>
        </is>
      </c>
      <c r="D504" s="321">
        <f>SUMIFS(DATA!$I:$I,DATA!$C:$C,$B504,DATA!$J:$J,"&gt;="&amp;DATE($I$2,D$4,1),DATA!$J:$J,"&lt;="&amp;DATE($I$2,D$4,D$5))</f>
        <v/>
      </c>
      <c r="E504" s="321">
        <f>SUMIFS(DATA!$I:$I,DATA!$C:$C,$B504,DATA!$J:$J,"&gt;="&amp;DATE($I$2,E$4,1),DATA!$J:$J,"&lt;="&amp;DATE($I$2,E$4,E$5))</f>
        <v/>
      </c>
      <c r="F504" s="321">
        <f>SUMIFS(DATA!$I:$I,DATA!$C:$C,$B504,DATA!$J:$J,"&gt;="&amp;DATE($I$2,F$4,1),DATA!$J:$J,"&lt;="&amp;DATE($I$2,F$4,F$5))</f>
        <v/>
      </c>
      <c r="G504" s="321">
        <f>SUMIFS(DATA!$I:$I,DATA!$C:$C,$B504,DATA!$J:$J,"&gt;="&amp;DATE($I$2,G$4,1),DATA!$J:$J,"&lt;="&amp;DATE($I$2,G$4,G$5))</f>
        <v/>
      </c>
      <c r="H504" s="321">
        <f>SUMIFS(DATA!$I:$I,DATA!$C:$C,$B504,DATA!$J:$J,"&gt;="&amp;DATE($I$2,H$4,1),DATA!$J:$J,"&lt;="&amp;DATE($I$2,H$4,H$5))</f>
        <v/>
      </c>
      <c r="I504" s="321">
        <f>SUMIFS(DATA!$I:$I,DATA!$C:$C,$B504,DATA!$J:$J,"&gt;="&amp;DATE($I$2,I$4,1),DATA!$J:$J,"&lt;="&amp;DATE($I$2,I$4,I$5))</f>
        <v/>
      </c>
      <c r="J504" s="321">
        <f>SUMIFS(DATA!$I:$I,DATA!$C:$C,$B504,DATA!$J:$J,"&gt;="&amp;DATE($I$2,J$4,1),DATA!$J:$J,"&lt;="&amp;DATE($I$2,J$4,J$5))</f>
        <v/>
      </c>
      <c r="K504" s="321">
        <f>SUMIFS(DATA!$I:$I,DATA!$C:$C,$B504,DATA!$J:$J,"&gt;="&amp;DATE($I$2,K$4,1),DATA!$J:$J,"&lt;="&amp;DATE($I$2,K$4,K$5))</f>
        <v/>
      </c>
      <c r="L504" s="321">
        <f>SUMIFS(DATA!$I:$I,DATA!$C:$C,$B504,DATA!$J:$J,"&gt;="&amp;DATE($I$2,L$4,1),DATA!$J:$J,"&lt;="&amp;DATE($I$2,L$4,L$5))</f>
        <v/>
      </c>
      <c r="M504" s="321">
        <f>SUMIFS(DATA!$I:$I,DATA!$C:$C,$B504,DATA!$J:$J,"&gt;="&amp;DATE($I$2,M$4,1),DATA!$J:$J,"&lt;="&amp;DATE($I$2,M$4,M$5))</f>
        <v/>
      </c>
      <c r="N504" s="321">
        <f>SUMIFS(DATA!$I:$I,DATA!$C:$C,$B504,DATA!$J:$J,"&gt;="&amp;DATE($I$2,N$4,1),DATA!$J:$J,"&lt;="&amp;DATE($I$2,N$4,N$5))</f>
        <v/>
      </c>
      <c r="O504" s="321">
        <f>SUMIFS(DATA!$I:$I,DATA!$C:$C,$B504,DATA!$J:$J,"&gt;="&amp;DATE($I$2,O$4,1),DATA!$J:$J,"&lt;="&amp;DATE($I$2,O$4,O$5))</f>
        <v/>
      </c>
      <c r="P504" s="322">
        <f>SUM(D504:O504)</f>
        <v/>
      </c>
      <c r="Q504" s="118" t="n"/>
    </row>
    <row r="505" hidden="1" outlineLevel="1" ht="15" customHeight="1">
      <c r="A505" s="266" t="n"/>
      <c r="B505" s="126" t="n"/>
      <c r="C505" s="119" t="inlineStr">
        <is>
          <t>Thực tế</t>
        </is>
      </c>
      <c r="D505" s="321">
        <f>SUMIFS(DATA!$M:$M,DATA!$C:$C,$B504,DATA!$N:$N,"&gt;="&amp;DATE($I$2,D$4,1),DATA!$N:$N,"&lt;="&amp;DATE($I$2,D$4,D$5))</f>
        <v/>
      </c>
      <c r="E505" s="321">
        <f>SUMIFS(DATA!$M:$M,DATA!$C:$C,$B504,DATA!$N:$N,"&gt;="&amp;DATE($I$2,E$4,1),DATA!$N:$N,"&lt;="&amp;DATE($I$2,E$4,E$5))</f>
        <v/>
      </c>
      <c r="F505" s="321">
        <f>SUMIFS(DATA!$M:$M,DATA!$C:$C,$B504,DATA!$N:$N,"&gt;="&amp;DATE($I$2,F$4,1),DATA!$N:$N,"&lt;="&amp;DATE($I$2,F$4,F$5))</f>
        <v/>
      </c>
      <c r="G505" s="321">
        <f>SUMIFS(DATA!$M:$M,DATA!$C:$C,$B504,DATA!$N:$N,"&gt;="&amp;DATE($I$2,G$4,1),DATA!$N:$N,"&lt;="&amp;DATE($I$2,G$4,G$5))</f>
        <v/>
      </c>
      <c r="H505" s="321">
        <f>SUMIFS(DATA!$M:$M,DATA!$C:$C,$B504,DATA!$N:$N,"&gt;="&amp;DATE($I$2,H$4,1),DATA!$N:$N,"&lt;="&amp;DATE($I$2,H$4,H$5))</f>
        <v/>
      </c>
      <c r="I505" s="321">
        <f>SUMIFS(DATA!$M:$M,DATA!$C:$C,$B504,DATA!$N:$N,"&gt;="&amp;DATE($I$2,I$4,1),DATA!$N:$N,"&lt;="&amp;DATE($I$2,I$4,I$5))</f>
        <v/>
      </c>
      <c r="J505" s="321">
        <f>SUMIFS(DATA!$M:$M,DATA!$C:$C,$B504,DATA!$N:$N,"&gt;="&amp;DATE($I$2,J$4,1),DATA!$N:$N,"&lt;="&amp;DATE($I$2,J$4,J$5))</f>
        <v/>
      </c>
      <c r="K505" s="321">
        <f>SUMIFS(DATA!$M:$M,DATA!$C:$C,$B504,DATA!$N:$N,"&gt;="&amp;DATE($I$2,K$4,1),DATA!$N:$N,"&lt;="&amp;DATE($I$2,K$4,K$5))</f>
        <v/>
      </c>
      <c r="L505" s="321">
        <f>SUMIFS(DATA!$M:$M,DATA!$C:$C,$B504,DATA!$N:$N,"&gt;="&amp;DATE($I$2,L$4,1),DATA!$N:$N,"&lt;="&amp;DATE($I$2,L$4,L$5))</f>
        <v/>
      </c>
      <c r="M505" s="321">
        <f>SUMIFS(DATA!$M:$M,DATA!$C:$C,$B504,DATA!$N:$N,"&gt;="&amp;DATE($I$2,M$4,1),DATA!$N:$N,"&lt;="&amp;DATE($I$2,M$4,M$5))</f>
        <v/>
      </c>
      <c r="N505" s="321">
        <f>SUMIFS(DATA!$M:$M,DATA!$C:$C,$B504,DATA!$N:$N,"&gt;="&amp;DATE($I$2,N$4,1),DATA!$N:$N,"&lt;="&amp;DATE($I$2,N$4,N$5))</f>
        <v/>
      </c>
      <c r="O505" s="321">
        <f>SUMIFS(DATA!$M:$M,DATA!$C:$C,$B504,DATA!$N:$N,"&gt;="&amp;DATE($I$2,O$4,1),DATA!$N:$N,"&lt;="&amp;DATE($I$2,O$4,O$5))</f>
        <v/>
      </c>
      <c r="P505" s="322">
        <f>SUM(D505:O505)</f>
        <v/>
      </c>
      <c r="Q505" s="118" t="n"/>
    </row>
    <row r="506" hidden="1" outlineLevel="1" ht="15" customHeight="1">
      <c r="A506" s="269" t="n">
        <v>251</v>
      </c>
      <c r="B506" s="125" t="n"/>
      <c r="C506" s="119" t="inlineStr">
        <is>
          <t>Kế hoạch</t>
        </is>
      </c>
      <c r="D506" s="321">
        <f>SUMIFS(DATA!$I:$I,DATA!$C:$C,$B506,DATA!$J:$J,"&gt;="&amp;DATE($I$2,D$4,1),DATA!$J:$J,"&lt;="&amp;DATE($I$2,D$4,D$5))</f>
        <v/>
      </c>
      <c r="E506" s="321">
        <f>SUMIFS(DATA!$I:$I,DATA!$C:$C,$B506,DATA!$J:$J,"&gt;="&amp;DATE($I$2,E$4,1),DATA!$J:$J,"&lt;="&amp;DATE($I$2,E$4,E$5))</f>
        <v/>
      </c>
      <c r="F506" s="321">
        <f>SUMIFS(DATA!$I:$I,DATA!$C:$C,$B506,DATA!$J:$J,"&gt;="&amp;DATE($I$2,F$4,1),DATA!$J:$J,"&lt;="&amp;DATE($I$2,F$4,F$5))</f>
        <v/>
      </c>
      <c r="G506" s="321">
        <f>SUMIFS(DATA!$I:$I,DATA!$C:$C,$B506,DATA!$J:$J,"&gt;="&amp;DATE($I$2,G$4,1),DATA!$J:$J,"&lt;="&amp;DATE($I$2,G$4,G$5))</f>
        <v/>
      </c>
      <c r="H506" s="321">
        <f>SUMIFS(DATA!$I:$I,DATA!$C:$C,$B506,DATA!$J:$J,"&gt;="&amp;DATE($I$2,H$4,1),DATA!$J:$J,"&lt;="&amp;DATE($I$2,H$4,H$5))</f>
        <v/>
      </c>
      <c r="I506" s="321">
        <f>SUMIFS(DATA!$I:$I,DATA!$C:$C,$B506,DATA!$J:$J,"&gt;="&amp;DATE($I$2,I$4,1),DATA!$J:$J,"&lt;="&amp;DATE($I$2,I$4,I$5))</f>
        <v/>
      </c>
      <c r="J506" s="321">
        <f>SUMIFS(DATA!$I:$I,DATA!$C:$C,$B506,DATA!$J:$J,"&gt;="&amp;DATE($I$2,J$4,1),DATA!$J:$J,"&lt;="&amp;DATE($I$2,J$4,J$5))</f>
        <v/>
      </c>
      <c r="K506" s="321">
        <f>SUMIFS(DATA!$I:$I,DATA!$C:$C,$B506,DATA!$J:$J,"&gt;="&amp;DATE($I$2,K$4,1),DATA!$J:$J,"&lt;="&amp;DATE($I$2,K$4,K$5))</f>
        <v/>
      </c>
      <c r="L506" s="321">
        <f>SUMIFS(DATA!$I:$I,DATA!$C:$C,$B506,DATA!$J:$J,"&gt;="&amp;DATE($I$2,L$4,1),DATA!$J:$J,"&lt;="&amp;DATE($I$2,L$4,L$5))</f>
        <v/>
      </c>
      <c r="M506" s="321">
        <f>SUMIFS(DATA!$I:$I,DATA!$C:$C,$B506,DATA!$J:$J,"&gt;="&amp;DATE($I$2,M$4,1),DATA!$J:$J,"&lt;="&amp;DATE($I$2,M$4,M$5))</f>
        <v/>
      </c>
      <c r="N506" s="321">
        <f>SUMIFS(DATA!$I:$I,DATA!$C:$C,$B506,DATA!$J:$J,"&gt;="&amp;DATE($I$2,N$4,1),DATA!$J:$J,"&lt;="&amp;DATE($I$2,N$4,N$5))</f>
        <v/>
      </c>
      <c r="O506" s="321">
        <f>SUMIFS(DATA!$I:$I,DATA!$C:$C,$B506,DATA!$J:$J,"&gt;="&amp;DATE($I$2,O$4,1),DATA!$J:$J,"&lt;="&amp;DATE($I$2,O$4,O$5))</f>
        <v/>
      </c>
      <c r="P506" s="322">
        <f>SUM(D506:O506)</f>
        <v/>
      </c>
      <c r="Q506" s="118" t="n"/>
    </row>
    <row r="507" hidden="1" outlineLevel="1" ht="15" customHeight="1">
      <c r="A507" s="266" t="n"/>
      <c r="B507" s="126" t="n"/>
      <c r="C507" s="119" t="inlineStr">
        <is>
          <t>Thực tế</t>
        </is>
      </c>
      <c r="D507" s="321">
        <f>SUMIFS(DATA!$M:$M,DATA!$C:$C,$B506,DATA!$N:$N,"&gt;="&amp;DATE($I$2,D$4,1),DATA!$N:$N,"&lt;="&amp;DATE($I$2,D$4,D$5))</f>
        <v/>
      </c>
      <c r="E507" s="321">
        <f>SUMIFS(DATA!$M:$M,DATA!$C:$C,$B506,DATA!$N:$N,"&gt;="&amp;DATE($I$2,E$4,1),DATA!$N:$N,"&lt;="&amp;DATE($I$2,E$4,E$5))</f>
        <v/>
      </c>
      <c r="F507" s="321">
        <f>SUMIFS(DATA!$M:$M,DATA!$C:$C,$B506,DATA!$N:$N,"&gt;="&amp;DATE($I$2,F$4,1),DATA!$N:$N,"&lt;="&amp;DATE($I$2,F$4,F$5))</f>
        <v/>
      </c>
      <c r="G507" s="321">
        <f>SUMIFS(DATA!$M:$M,DATA!$C:$C,$B506,DATA!$N:$N,"&gt;="&amp;DATE($I$2,G$4,1),DATA!$N:$N,"&lt;="&amp;DATE($I$2,G$4,G$5))</f>
        <v/>
      </c>
      <c r="H507" s="321">
        <f>SUMIFS(DATA!$M:$M,DATA!$C:$C,$B506,DATA!$N:$N,"&gt;="&amp;DATE($I$2,H$4,1),DATA!$N:$N,"&lt;="&amp;DATE($I$2,H$4,H$5))</f>
        <v/>
      </c>
      <c r="I507" s="321">
        <f>SUMIFS(DATA!$M:$M,DATA!$C:$C,$B506,DATA!$N:$N,"&gt;="&amp;DATE($I$2,I$4,1),DATA!$N:$N,"&lt;="&amp;DATE($I$2,I$4,I$5))</f>
        <v/>
      </c>
      <c r="J507" s="321">
        <f>SUMIFS(DATA!$M:$M,DATA!$C:$C,$B506,DATA!$N:$N,"&gt;="&amp;DATE($I$2,J$4,1),DATA!$N:$N,"&lt;="&amp;DATE($I$2,J$4,J$5))</f>
        <v/>
      </c>
      <c r="K507" s="321">
        <f>SUMIFS(DATA!$M:$M,DATA!$C:$C,$B506,DATA!$N:$N,"&gt;="&amp;DATE($I$2,K$4,1),DATA!$N:$N,"&lt;="&amp;DATE($I$2,K$4,K$5))</f>
        <v/>
      </c>
      <c r="L507" s="321">
        <f>SUMIFS(DATA!$M:$M,DATA!$C:$C,$B506,DATA!$N:$N,"&gt;="&amp;DATE($I$2,L$4,1),DATA!$N:$N,"&lt;="&amp;DATE($I$2,L$4,L$5))</f>
        <v/>
      </c>
      <c r="M507" s="321">
        <f>SUMIFS(DATA!$M:$M,DATA!$C:$C,$B506,DATA!$N:$N,"&gt;="&amp;DATE($I$2,M$4,1),DATA!$N:$N,"&lt;="&amp;DATE($I$2,M$4,M$5))</f>
        <v/>
      </c>
      <c r="N507" s="321">
        <f>SUMIFS(DATA!$M:$M,DATA!$C:$C,$B506,DATA!$N:$N,"&gt;="&amp;DATE($I$2,N$4,1),DATA!$N:$N,"&lt;="&amp;DATE($I$2,N$4,N$5))</f>
        <v/>
      </c>
      <c r="O507" s="321">
        <f>SUMIFS(DATA!$M:$M,DATA!$C:$C,$B506,DATA!$N:$N,"&gt;="&amp;DATE($I$2,O$4,1),DATA!$N:$N,"&lt;="&amp;DATE($I$2,O$4,O$5))</f>
        <v/>
      </c>
      <c r="P507" s="322">
        <f>SUM(D507:O507)</f>
        <v/>
      </c>
      <c r="Q507" s="118" t="n"/>
    </row>
    <row r="508" hidden="1" outlineLevel="1" ht="15" customHeight="1">
      <c r="A508" s="269" t="n">
        <v>252</v>
      </c>
      <c r="B508" s="125" t="n"/>
      <c r="C508" s="119" t="inlineStr">
        <is>
          <t>Kế hoạch</t>
        </is>
      </c>
      <c r="D508" s="321">
        <f>SUMIFS(DATA!$I:$I,DATA!$C:$C,$B508,DATA!$J:$J,"&gt;="&amp;DATE($I$2,D$4,1),DATA!$J:$J,"&lt;="&amp;DATE($I$2,D$4,D$5))</f>
        <v/>
      </c>
      <c r="E508" s="321">
        <f>SUMIFS(DATA!$I:$I,DATA!$C:$C,$B508,DATA!$J:$J,"&gt;="&amp;DATE($I$2,E$4,1),DATA!$J:$J,"&lt;="&amp;DATE($I$2,E$4,E$5))</f>
        <v/>
      </c>
      <c r="F508" s="321">
        <f>SUMIFS(DATA!$I:$I,DATA!$C:$C,$B508,DATA!$J:$J,"&gt;="&amp;DATE($I$2,F$4,1),DATA!$J:$J,"&lt;="&amp;DATE($I$2,F$4,F$5))</f>
        <v/>
      </c>
      <c r="G508" s="321">
        <f>SUMIFS(DATA!$I:$I,DATA!$C:$C,$B508,DATA!$J:$J,"&gt;="&amp;DATE($I$2,G$4,1),DATA!$J:$J,"&lt;="&amp;DATE($I$2,G$4,G$5))</f>
        <v/>
      </c>
      <c r="H508" s="321">
        <f>SUMIFS(DATA!$I:$I,DATA!$C:$C,$B508,DATA!$J:$J,"&gt;="&amp;DATE($I$2,H$4,1),DATA!$J:$J,"&lt;="&amp;DATE($I$2,H$4,H$5))</f>
        <v/>
      </c>
      <c r="I508" s="321">
        <f>SUMIFS(DATA!$I:$I,DATA!$C:$C,$B508,DATA!$J:$J,"&gt;="&amp;DATE($I$2,I$4,1),DATA!$J:$J,"&lt;="&amp;DATE($I$2,I$4,I$5))</f>
        <v/>
      </c>
      <c r="J508" s="321">
        <f>SUMIFS(DATA!$I:$I,DATA!$C:$C,$B508,DATA!$J:$J,"&gt;="&amp;DATE($I$2,J$4,1),DATA!$J:$J,"&lt;="&amp;DATE($I$2,J$4,J$5))</f>
        <v/>
      </c>
      <c r="K508" s="321">
        <f>SUMIFS(DATA!$I:$I,DATA!$C:$C,$B508,DATA!$J:$J,"&gt;="&amp;DATE($I$2,K$4,1),DATA!$J:$J,"&lt;="&amp;DATE($I$2,K$4,K$5))</f>
        <v/>
      </c>
      <c r="L508" s="321">
        <f>SUMIFS(DATA!$I:$I,DATA!$C:$C,$B508,DATA!$J:$J,"&gt;="&amp;DATE($I$2,L$4,1),DATA!$J:$J,"&lt;="&amp;DATE($I$2,L$4,L$5))</f>
        <v/>
      </c>
      <c r="M508" s="321">
        <f>SUMIFS(DATA!$I:$I,DATA!$C:$C,$B508,DATA!$J:$J,"&gt;="&amp;DATE($I$2,M$4,1),DATA!$J:$J,"&lt;="&amp;DATE($I$2,M$4,M$5))</f>
        <v/>
      </c>
      <c r="N508" s="321">
        <f>SUMIFS(DATA!$I:$I,DATA!$C:$C,$B508,DATA!$J:$J,"&gt;="&amp;DATE($I$2,N$4,1),DATA!$J:$J,"&lt;="&amp;DATE($I$2,N$4,N$5))</f>
        <v/>
      </c>
      <c r="O508" s="321">
        <f>SUMIFS(DATA!$I:$I,DATA!$C:$C,$B508,DATA!$J:$J,"&gt;="&amp;DATE($I$2,O$4,1),DATA!$J:$J,"&lt;="&amp;DATE($I$2,O$4,O$5))</f>
        <v/>
      </c>
      <c r="P508" s="322">
        <f>SUM(D508:O508)</f>
        <v/>
      </c>
      <c r="Q508" s="118" t="n"/>
    </row>
    <row r="509" hidden="1" outlineLevel="1" ht="15" customHeight="1">
      <c r="A509" s="266" t="n"/>
      <c r="B509" s="126" t="n"/>
      <c r="C509" s="119" t="inlineStr">
        <is>
          <t>Thực tế</t>
        </is>
      </c>
      <c r="D509" s="321">
        <f>SUMIFS(DATA!$M:$M,DATA!$C:$C,$B508,DATA!$N:$N,"&gt;="&amp;DATE($I$2,D$4,1),DATA!$N:$N,"&lt;="&amp;DATE($I$2,D$4,D$5))</f>
        <v/>
      </c>
      <c r="E509" s="321">
        <f>SUMIFS(DATA!$M:$M,DATA!$C:$C,$B508,DATA!$N:$N,"&gt;="&amp;DATE($I$2,E$4,1),DATA!$N:$N,"&lt;="&amp;DATE($I$2,E$4,E$5))</f>
        <v/>
      </c>
      <c r="F509" s="321">
        <f>SUMIFS(DATA!$M:$M,DATA!$C:$C,$B508,DATA!$N:$N,"&gt;="&amp;DATE($I$2,F$4,1),DATA!$N:$N,"&lt;="&amp;DATE($I$2,F$4,F$5))</f>
        <v/>
      </c>
      <c r="G509" s="321">
        <f>SUMIFS(DATA!$M:$M,DATA!$C:$C,$B508,DATA!$N:$N,"&gt;="&amp;DATE($I$2,G$4,1),DATA!$N:$N,"&lt;="&amp;DATE($I$2,G$4,G$5))</f>
        <v/>
      </c>
      <c r="H509" s="321">
        <f>SUMIFS(DATA!$M:$M,DATA!$C:$C,$B508,DATA!$N:$N,"&gt;="&amp;DATE($I$2,H$4,1),DATA!$N:$N,"&lt;="&amp;DATE($I$2,H$4,H$5))</f>
        <v/>
      </c>
      <c r="I509" s="321">
        <f>SUMIFS(DATA!$M:$M,DATA!$C:$C,$B508,DATA!$N:$N,"&gt;="&amp;DATE($I$2,I$4,1),DATA!$N:$N,"&lt;="&amp;DATE($I$2,I$4,I$5))</f>
        <v/>
      </c>
      <c r="J509" s="321">
        <f>SUMIFS(DATA!$M:$M,DATA!$C:$C,$B508,DATA!$N:$N,"&gt;="&amp;DATE($I$2,J$4,1),DATA!$N:$N,"&lt;="&amp;DATE($I$2,J$4,J$5))</f>
        <v/>
      </c>
      <c r="K509" s="321">
        <f>SUMIFS(DATA!$M:$M,DATA!$C:$C,$B508,DATA!$N:$N,"&gt;="&amp;DATE($I$2,K$4,1),DATA!$N:$N,"&lt;="&amp;DATE($I$2,K$4,K$5))</f>
        <v/>
      </c>
      <c r="L509" s="321">
        <f>SUMIFS(DATA!$M:$M,DATA!$C:$C,$B508,DATA!$N:$N,"&gt;="&amp;DATE($I$2,L$4,1),DATA!$N:$N,"&lt;="&amp;DATE($I$2,L$4,L$5))</f>
        <v/>
      </c>
      <c r="M509" s="321">
        <f>SUMIFS(DATA!$M:$M,DATA!$C:$C,$B508,DATA!$N:$N,"&gt;="&amp;DATE($I$2,M$4,1),DATA!$N:$N,"&lt;="&amp;DATE($I$2,M$4,M$5))</f>
        <v/>
      </c>
      <c r="N509" s="321">
        <f>SUMIFS(DATA!$M:$M,DATA!$C:$C,$B508,DATA!$N:$N,"&gt;="&amp;DATE($I$2,N$4,1),DATA!$N:$N,"&lt;="&amp;DATE($I$2,N$4,N$5))</f>
        <v/>
      </c>
      <c r="O509" s="321">
        <f>SUMIFS(DATA!$M:$M,DATA!$C:$C,$B508,DATA!$N:$N,"&gt;="&amp;DATE($I$2,O$4,1),DATA!$N:$N,"&lt;="&amp;DATE($I$2,O$4,O$5))</f>
        <v/>
      </c>
      <c r="P509" s="322">
        <f>SUM(D509:O509)</f>
        <v/>
      </c>
      <c r="Q509" s="118" t="n"/>
    </row>
    <row r="510" hidden="1" outlineLevel="1" ht="15" customHeight="1">
      <c r="A510" s="269" t="n">
        <v>253</v>
      </c>
      <c r="B510" s="125" t="n"/>
      <c r="C510" s="119" t="inlineStr">
        <is>
          <t>Kế hoạch</t>
        </is>
      </c>
      <c r="D510" s="321">
        <f>SUMIFS(DATA!$I:$I,DATA!$C:$C,$B510,DATA!$J:$J,"&gt;="&amp;DATE($I$2,D$4,1),DATA!$J:$J,"&lt;="&amp;DATE($I$2,D$4,D$5))</f>
        <v/>
      </c>
      <c r="E510" s="321">
        <f>SUMIFS(DATA!$I:$I,DATA!$C:$C,$B510,DATA!$J:$J,"&gt;="&amp;DATE($I$2,E$4,1),DATA!$J:$J,"&lt;="&amp;DATE($I$2,E$4,E$5))</f>
        <v/>
      </c>
      <c r="F510" s="321">
        <f>SUMIFS(DATA!$I:$I,DATA!$C:$C,$B510,DATA!$J:$J,"&gt;="&amp;DATE($I$2,F$4,1),DATA!$J:$J,"&lt;="&amp;DATE($I$2,F$4,F$5))</f>
        <v/>
      </c>
      <c r="G510" s="321">
        <f>SUMIFS(DATA!$I:$I,DATA!$C:$C,$B510,DATA!$J:$J,"&gt;="&amp;DATE($I$2,G$4,1),DATA!$J:$J,"&lt;="&amp;DATE($I$2,G$4,G$5))</f>
        <v/>
      </c>
      <c r="H510" s="321">
        <f>SUMIFS(DATA!$I:$I,DATA!$C:$C,$B510,DATA!$J:$J,"&gt;="&amp;DATE($I$2,H$4,1),DATA!$J:$J,"&lt;="&amp;DATE($I$2,H$4,H$5))</f>
        <v/>
      </c>
      <c r="I510" s="321">
        <f>SUMIFS(DATA!$I:$I,DATA!$C:$C,$B510,DATA!$J:$J,"&gt;="&amp;DATE($I$2,I$4,1),DATA!$J:$J,"&lt;="&amp;DATE($I$2,I$4,I$5))</f>
        <v/>
      </c>
      <c r="J510" s="321">
        <f>SUMIFS(DATA!$I:$I,DATA!$C:$C,$B510,DATA!$J:$J,"&gt;="&amp;DATE($I$2,J$4,1),DATA!$J:$J,"&lt;="&amp;DATE($I$2,J$4,J$5))</f>
        <v/>
      </c>
      <c r="K510" s="321">
        <f>SUMIFS(DATA!$I:$I,DATA!$C:$C,$B510,DATA!$J:$J,"&gt;="&amp;DATE($I$2,K$4,1),DATA!$J:$J,"&lt;="&amp;DATE($I$2,K$4,K$5))</f>
        <v/>
      </c>
      <c r="L510" s="321">
        <f>SUMIFS(DATA!$I:$I,DATA!$C:$C,$B510,DATA!$J:$J,"&gt;="&amp;DATE($I$2,L$4,1),DATA!$J:$J,"&lt;="&amp;DATE($I$2,L$4,L$5))</f>
        <v/>
      </c>
      <c r="M510" s="321">
        <f>SUMIFS(DATA!$I:$I,DATA!$C:$C,$B510,DATA!$J:$J,"&gt;="&amp;DATE($I$2,M$4,1),DATA!$J:$J,"&lt;="&amp;DATE($I$2,M$4,M$5))</f>
        <v/>
      </c>
      <c r="N510" s="321">
        <f>SUMIFS(DATA!$I:$I,DATA!$C:$C,$B510,DATA!$J:$J,"&gt;="&amp;DATE($I$2,N$4,1),DATA!$J:$J,"&lt;="&amp;DATE($I$2,N$4,N$5))</f>
        <v/>
      </c>
      <c r="O510" s="321">
        <f>SUMIFS(DATA!$I:$I,DATA!$C:$C,$B510,DATA!$J:$J,"&gt;="&amp;DATE($I$2,O$4,1),DATA!$J:$J,"&lt;="&amp;DATE($I$2,O$4,O$5))</f>
        <v/>
      </c>
      <c r="P510" s="322">
        <f>SUM(D510:O510)</f>
        <v/>
      </c>
      <c r="Q510" s="118" t="n"/>
    </row>
    <row r="511" hidden="1" outlineLevel="1" ht="15" customHeight="1">
      <c r="A511" s="266" t="n"/>
      <c r="B511" s="126" t="n"/>
      <c r="C511" s="119" t="inlineStr">
        <is>
          <t>Thực tế</t>
        </is>
      </c>
      <c r="D511" s="321">
        <f>SUMIFS(DATA!$M:$M,DATA!$C:$C,$B510,DATA!$N:$N,"&gt;="&amp;DATE($I$2,D$4,1),DATA!$N:$N,"&lt;="&amp;DATE($I$2,D$4,D$5))</f>
        <v/>
      </c>
      <c r="E511" s="321">
        <f>SUMIFS(DATA!$M:$M,DATA!$C:$C,$B510,DATA!$N:$N,"&gt;="&amp;DATE($I$2,E$4,1),DATA!$N:$N,"&lt;="&amp;DATE($I$2,E$4,E$5))</f>
        <v/>
      </c>
      <c r="F511" s="321">
        <f>SUMIFS(DATA!$M:$M,DATA!$C:$C,$B510,DATA!$N:$N,"&gt;="&amp;DATE($I$2,F$4,1),DATA!$N:$N,"&lt;="&amp;DATE($I$2,F$4,F$5))</f>
        <v/>
      </c>
      <c r="G511" s="321">
        <f>SUMIFS(DATA!$M:$M,DATA!$C:$C,$B510,DATA!$N:$N,"&gt;="&amp;DATE($I$2,G$4,1),DATA!$N:$N,"&lt;="&amp;DATE($I$2,G$4,G$5))</f>
        <v/>
      </c>
      <c r="H511" s="321">
        <f>SUMIFS(DATA!$M:$M,DATA!$C:$C,$B510,DATA!$N:$N,"&gt;="&amp;DATE($I$2,H$4,1),DATA!$N:$N,"&lt;="&amp;DATE($I$2,H$4,H$5))</f>
        <v/>
      </c>
      <c r="I511" s="321">
        <f>SUMIFS(DATA!$M:$M,DATA!$C:$C,$B510,DATA!$N:$N,"&gt;="&amp;DATE($I$2,I$4,1),DATA!$N:$N,"&lt;="&amp;DATE($I$2,I$4,I$5))</f>
        <v/>
      </c>
      <c r="J511" s="321">
        <f>SUMIFS(DATA!$M:$M,DATA!$C:$C,$B510,DATA!$N:$N,"&gt;="&amp;DATE($I$2,J$4,1),DATA!$N:$N,"&lt;="&amp;DATE($I$2,J$4,J$5))</f>
        <v/>
      </c>
      <c r="K511" s="321">
        <f>SUMIFS(DATA!$M:$M,DATA!$C:$C,$B510,DATA!$N:$N,"&gt;="&amp;DATE($I$2,K$4,1),DATA!$N:$N,"&lt;="&amp;DATE($I$2,K$4,K$5))</f>
        <v/>
      </c>
      <c r="L511" s="321">
        <f>SUMIFS(DATA!$M:$M,DATA!$C:$C,$B510,DATA!$N:$N,"&gt;="&amp;DATE($I$2,L$4,1),DATA!$N:$N,"&lt;="&amp;DATE($I$2,L$4,L$5))</f>
        <v/>
      </c>
      <c r="M511" s="321">
        <f>SUMIFS(DATA!$M:$M,DATA!$C:$C,$B510,DATA!$N:$N,"&gt;="&amp;DATE($I$2,M$4,1),DATA!$N:$N,"&lt;="&amp;DATE($I$2,M$4,M$5))</f>
        <v/>
      </c>
      <c r="N511" s="321">
        <f>SUMIFS(DATA!$M:$M,DATA!$C:$C,$B510,DATA!$N:$N,"&gt;="&amp;DATE($I$2,N$4,1),DATA!$N:$N,"&lt;="&amp;DATE($I$2,N$4,N$5))</f>
        <v/>
      </c>
      <c r="O511" s="321">
        <f>SUMIFS(DATA!$M:$M,DATA!$C:$C,$B510,DATA!$N:$N,"&gt;="&amp;DATE($I$2,O$4,1),DATA!$N:$N,"&lt;="&amp;DATE($I$2,O$4,O$5))</f>
        <v/>
      </c>
      <c r="P511" s="322">
        <f>SUM(D511:O511)</f>
        <v/>
      </c>
      <c r="Q511" s="118" t="n"/>
    </row>
    <row r="512" hidden="1" outlineLevel="1" ht="15" customHeight="1">
      <c r="A512" s="269" t="n">
        <v>254</v>
      </c>
      <c r="B512" s="125" t="n"/>
      <c r="C512" s="119" t="inlineStr">
        <is>
          <t>Kế hoạch</t>
        </is>
      </c>
      <c r="D512" s="321">
        <f>SUMIFS(DATA!$I:$I,DATA!$C:$C,$B512,DATA!$J:$J,"&gt;="&amp;DATE($I$2,D$4,1),DATA!$J:$J,"&lt;="&amp;DATE($I$2,D$4,D$5))</f>
        <v/>
      </c>
      <c r="E512" s="321">
        <f>SUMIFS(DATA!$I:$I,DATA!$C:$C,$B512,DATA!$J:$J,"&gt;="&amp;DATE($I$2,E$4,1),DATA!$J:$J,"&lt;="&amp;DATE($I$2,E$4,E$5))</f>
        <v/>
      </c>
      <c r="F512" s="321">
        <f>SUMIFS(DATA!$I:$I,DATA!$C:$C,$B512,DATA!$J:$J,"&gt;="&amp;DATE($I$2,F$4,1),DATA!$J:$J,"&lt;="&amp;DATE($I$2,F$4,F$5))</f>
        <v/>
      </c>
      <c r="G512" s="321">
        <f>SUMIFS(DATA!$I:$I,DATA!$C:$C,$B512,DATA!$J:$J,"&gt;="&amp;DATE($I$2,G$4,1),DATA!$J:$J,"&lt;="&amp;DATE($I$2,G$4,G$5))</f>
        <v/>
      </c>
      <c r="H512" s="321">
        <f>SUMIFS(DATA!$I:$I,DATA!$C:$C,$B512,DATA!$J:$J,"&gt;="&amp;DATE($I$2,H$4,1),DATA!$J:$J,"&lt;="&amp;DATE($I$2,H$4,H$5))</f>
        <v/>
      </c>
      <c r="I512" s="321">
        <f>SUMIFS(DATA!$I:$I,DATA!$C:$C,$B512,DATA!$J:$J,"&gt;="&amp;DATE($I$2,I$4,1),DATA!$J:$J,"&lt;="&amp;DATE($I$2,I$4,I$5))</f>
        <v/>
      </c>
      <c r="J512" s="321">
        <f>SUMIFS(DATA!$I:$I,DATA!$C:$C,$B512,DATA!$J:$J,"&gt;="&amp;DATE($I$2,J$4,1),DATA!$J:$J,"&lt;="&amp;DATE($I$2,J$4,J$5))</f>
        <v/>
      </c>
      <c r="K512" s="321">
        <f>SUMIFS(DATA!$I:$I,DATA!$C:$C,$B512,DATA!$J:$J,"&gt;="&amp;DATE($I$2,K$4,1),DATA!$J:$J,"&lt;="&amp;DATE($I$2,K$4,K$5))</f>
        <v/>
      </c>
      <c r="L512" s="321">
        <f>SUMIFS(DATA!$I:$I,DATA!$C:$C,$B512,DATA!$J:$J,"&gt;="&amp;DATE($I$2,L$4,1),DATA!$J:$J,"&lt;="&amp;DATE($I$2,L$4,L$5))</f>
        <v/>
      </c>
      <c r="M512" s="321">
        <f>SUMIFS(DATA!$I:$I,DATA!$C:$C,$B512,DATA!$J:$J,"&gt;="&amp;DATE($I$2,M$4,1),DATA!$J:$J,"&lt;="&amp;DATE($I$2,M$4,M$5))</f>
        <v/>
      </c>
      <c r="N512" s="321">
        <f>SUMIFS(DATA!$I:$I,DATA!$C:$C,$B512,DATA!$J:$J,"&gt;="&amp;DATE($I$2,N$4,1),DATA!$J:$J,"&lt;="&amp;DATE($I$2,N$4,N$5))</f>
        <v/>
      </c>
      <c r="O512" s="321">
        <f>SUMIFS(DATA!$I:$I,DATA!$C:$C,$B512,DATA!$J:$J,"&gt;="&amp;DATE($I$2,O$4,1),DATA!$J:$J,"&lt;="&amp;DATE($I$2,O$4,O$5))</f>
        <v/>
      </c>
      <c r="P512" s="322">
        <f>SUM(D512:O512)</f>
        <v/>
      </c>
      <c r="Q512" s="118" t="n"/>
    </row>
    <row r="513" hidden="1" outlineLevel="1" ht="15" customHeight="1">
      <c r="A513" s="266" t="n"/>
      <c r="B513" s="126" t="n"/>
      <c r="C513" s="119" t="inlineStr">
        <is>
          <t>Thực tế</t>
        </is>
      </c>
      <c r="D513" s="321">
        <f>SUMIFS(DATA!$M:$M,DATA!$C:$C,$B512,DATA!$N:$N,"&gt;="&amp;DATE($I$2,D$4,1),DATA!$N:$N,"&lt;="&amp;DATE($I$2,D$4,D$5))</f>
        <v/>
      </c>
      <c r="E513" s="321">
        <f>SUMIFS(DATA!$M:$M,DATA!$C:$C,$B512,DATA!$N:$N,"&gt;="&amp;DATE($I$2,E$4,1),DATA!$N:$N,"&lt;="&amp;DATE($I$2,E$4,E$5))</f>
        <v/>
      </c>
      <c r="F513" s="321">
        <f>SUMIFS(DATA!$M:$M,DATA!$C:$C,$B512,DATA!$N:$N,"&gt;="&amp;DATE($I$2,F$4,1),DATA!$N:$N,"&lt;="&amp;DATE($I$2,F$4,F$5))</f>
        <v/>
      </c>
      <c r="G513" s="321">
        <f>SUMIFS(DATA!$M:$M,DATA!$C:$C,$B512,DATA!$N:$N,"&gt;="&amp;DATE($I$2,G$4,1),DATA!$N:$N,"&lt;="&amp;DATE($I$2,G$4,G$5))</f>
        <v/>
      </c>
      <c r="H513" s="321">
        <f>SUMIFS(DATA!$M:$M,DATA!$C:$C,$B512,DATA!$N:$N,"&gt;="&amp;DATE($I$2,H$4,1),DATA!$N:$N,"&lt;="&amp;DATE($I$2,H$4,H$5))</f>
        <v/>
      </c>
      <c r="I513" s="321">
        <f>SUMIFS(DATA!$M:$M,DATA!$C:$C,$B512,DATA!$N:$N,"&gt;="&amp;DATE($I$2,I$4,1),DATA!$N:$N,"&lt;="&amp;DATE($I$2,I$4,I$5))</f>
        <v/>
      </c>
      <c r="J513" s="321">
        <f>SUMIFS(DATA!$M:$M,DATA!$C:$C,$B512,DATA!$N:$N,"&gt;="&amp;DATE($I$2,J$4,1),DATA!$N:$N,"&lt;="&amp;DATE($I$2,J$4,J$5))</f>
        <v/>
      </c>
      <c r="K513" s="321">
        <f>SUMIFS(DATA!$M:$M,DATA!$C:$C,$B512,DATA!$N:$N,"&gt;="&amp;DATE($I$2,K$4,1),DATA!$N:$N,"&lt;="&amp;DATE($I$2,K$4,K$5))</f>
        <v/>
      </c>
      <c r="L513" s="321">
        <f>SUMIFS(DATA!$M:$M,DATA!$C:$C,$B512,DATA!$N:$N,"&gt;="&amp;DATE($I$2,L$4,1),DATA!$N:$N,"&lt;="&amp;DATE($I$2,L$4,L$5))</f>
        <v/>
      </c>
      <c r="M513" s="321">
        <f>SUMIFS(DATA!$M:$M,DATA!$C:$C,$B512,DATA!$N:$N,"&gt;="&amp;DATE($I$2,M$4,1),DATA!$N:$N,"&lt;="&amp;DATE($I$2,M$4,M$5))</f>
        <v/>
      </c>
      <c r="N513" s="321">
        <f>SUMIFS(DATA!$M:$M,DATA!$C:$C,$B512,DATA!$N:$N,"&gt;="&amp;DATE($I$2,N$4,1),DATA!$N:$N,"&lt;="&amp;DATE($I$2,N$4,N$5))</f>
        <v/>
      </c>
      <c r="O513" s="321">
        <f>SUMIFS(DATA!$M:$M,DATA!$C:$C,$B512,DATA!$N:$N,"&gt;="&amp;DATE($I$2,O$4,1),DATA!$N:$N,"&lt;="&amp;DATE($I$2,O$4,O$5))</f>
        <v/>
      </c>
      <c r="P513" s="322">
        <f>SUM(D513:O513)</f>
        <v/>
      </c>
      <c r="Q513" s="118" t="n"/>
    </row>
    <row r="514" hidden="1" outlineLevel="1" ht="15" customHeight="1">
      <c r="A514" s="269" t="n">
        <v>255</v>
      </c>
      <c r="B514" s="125" t="n"/>
      <c r="C514" s="119" t="inlineStr">
        <is>
          <t>Kế hoạch</t>
        </is>
      </c>
      <c r="D514" s="321">
        <f>SUMIFS(DATA!$I:$I,DATA!$C:$C,$B514,DATA!$J:$J,"&gt;="&amp;DATE($I$2,D$4,1),DATA!$J:$J,"&lt;="&amp;DATE($I$2,D$4,D$5))</f>
        <v/>
      </c>
      <c r="E514" s="321">
        <f>SUMIFS(DATA!$I:$I,DATA!$C:$C,$B514,DATA!$J:$J,"&gt;="&amp;DATE($I$2,E$4,1),DATA!$J:$J,"&lt;="&amp;DATE($I$2,E$4,E$5))</f>
        <v/>
      </c>
      <c r="F514" s="321">
        <f>SUMIFS(DATA!$I:$I,DATA!$C:$C,$B514,DATA!$J:$J,"&gt;="&amp;DATE($I$2,F$4,1),DATA!$J:$J,"&lt;="&amp;DATE($I$2,F$4,F$5))</f>
        <v/>
      </c>
      <c r="G514" s="321">
        <f>SUMIFS(DATA!$I:$I,DATA!$C:$C,$B514,DATA!$J:$J,"&gt;="&amp;DATE($I$2,G$4,1),DATA!$J:$J,"&lt;="&amp;DATE($I$2,G$4,G$5))</f>
        <v/>
      </c>
      <c r="H514" s="321">
        <f>SUMIFS(DATA!$I:$I,DATA!$C:$C,$B514,DATA!$J:$J,"&gt;="&amp;DATE($I$2,H$4,1),DATA!$J:$J,"&lt;="&amp;DATE($I$2,H$4,H$5))</f>
        <v/>
      </c>
      <c r="I514" s="321">
        <f>SUMIFS(DATA!$I:$I,DATA!$C:$C,$B514,DATA!$J:$J,"&gt;="&amp;DATE($I$2,I$4,1),DATA!$J:$J,"&lt;="&amp;DATE($I$2,I$4,I$5))</f>
        <v/>
      </c>
      <c r="J514" s="321">
        <f>SUMIFS(DATA!$I:$I,DATA!$C:$C,$B514,DATA!$J:$J,"&gt;="&amp;DATE($I$2,J$4,1),DATA!$J:$J,"&lt;="&amp;DATE($I$2,J$4,J$5))</f>
        <v/>
      </c>
      <c r="K514" s="321">
        <f>SUMIFS(DATA!$I:$I,DATA!$C:$C,$B514,DATA!$J:$J,"&gt;="&amp;DATE($I$2,K$4,1),DATA!$J:$J,"&lt;="&amp;DATE($I$2,K$4,K$5))</f>
        <v/>
      </c>
      <c r="L514" s="321">
        <f>SUMIFS(DATA!$I:$I,DATA!$C:$C,$B514,DATA!$J:$J,"&gt;="&amp;DATE($I$2,L$4,1),DATA!$J:$J,"&lt;="&amp;DATE($I$2,L$4,L$5))</f>
        <v/>
      </c>
      <c r="M514" s="321">
        <f>SUMIFS(DATA!$I:$I,DATA!$C:$C,$B514,DATA!$J:$J,"&gt;="&amp;DATE($I$2,M$4,1),DATA!$J:$J,"&lt;="&amp;DATE($I$2,M$4,M$5))</f>
        <v/>
      </c>
      <c r="N514" s="321">
        <f>SUMIFS(DATA!$I:$I,DATA!$C:$C,$B514,DATA!$J:$J,"&gt;="&amp;DATE($I$2,N$4,1),DATA!$J:$J,"&lt;="&amp;DATE($I$2,N$4,N$5))</f>
        <v/>
      </c>
      <c r="O514" s="321">
        <f>SUMIFS(DATA!$I:$I,DATA!$C:$C,$B514,DATA!$J:$J,"&gt;="&amp;DATE($I$2,O$4,1),DATA!$J:$J,"&lt;="&amp;DATE($I$2,O$4,O$5))</f>
        <v/>
      </c>
      <c r="P514" s="322">
        <f>SUM(D514:O514)</f>
        <v/>
      </c>
      <c r="Q514" s="118" t="n"/>
    </row>
    <row r="515" hidden="1" outlineLevel="1" ht="15" customHeight="1">
      <c r="A515" s="266" t="n"/>
      <c r="B515" s="126" t="n"/>
      <c r="C515" s="119" t="inlineStr">
        <is>
          <t>Thực tế</t>
        </is>
      </c>
      <c r="D515" s="321">
        <f>SUMIFS(DATA!$M:$M,DATA!$C:$C,$B514,DATA!$N:$N,"&gt;="&amp;DATE($I$2,D$4,1),DATA!$N:$N,"&lt;="&amp;DATE($I$2,D$4,D$5))</f>
        <v/>
      </c>
      <c r="E515" s="321">
        <f>SUMIFS(DATA!$M:$M,DATA!$C:$C,$B514,DATA!$N:$N,"&gt;="&amp;DATE($I$2,E$4,1),DATA!$N:$N,"&lt;="&amp;DATE($I$2,E$4,E$5))</f>
        <v/>
      </c>
      <c r="F515" s="321">
        <f>SUMIFS(DATA!$M:$M,DATA!$C:$C,$B514,DATA!$N:$N,"&gt;="&amp;DATE($I$2,F$4,1),DATA!$N:$N,"&lt;="&amp;DATE($I$2,F$4,F$5))</f>
        <v/>
      </c>
      <c r="G515" s="321">
        <f>SUMIFS(DATA!$M:$M,DATA!$C:$C,$B514,DATA!$N:$N,"&gt;="&amp;DATE($I$2,G$4,1),DATA!$N:$N,"&lt;="&amp;DATE($I$2,G$4,G$5))</f>
        <v/>
      </c>
      <c r="H515" s="321">
        <f>SUMIFS(DATA!$M:$M,DATA!$C:$C,$B514,DATA!$N:$N,"&gt;="&amp;DATE($I$2,H$4,1),DATA!$N:$N,"&lt;="&amp;DATE($I$2,H$4,H$5))</f>
        <v/>
      </c>
      <c r="I515" s="321">
        <f>SUMIFS(DATA!$M:$M,DATA!$C:$C,$B514,DATA!$N:$N,"&gt;="&amp;DATE($I$2,I$4,1),DATA!$N:$N,"&lt;="&amp;DATE($I$2,I$4,I$5))</f>
        <v/>
      </c>
      <c r="J515" s="321">
        <f>SUMIFS(DATA!$M:$M,DATA!$C:$C,$B514,DATA!$N:$N,"&gt;="&amp;DATE($I$2,J$4,1),DATA!$N:$N,"&lt;="&amp;DATE($I$2,J$4,J$5))</f>
        <v/>
      </c>
      <c r="K515" s="321">
        <f>SUMIFS(DATA!$M:$M,DATA!$C:$C,$B514,DATA!$N:$N,"&gt;="&amp;DATE($I$2,K$4,1),DATA!$N:$N,"&lt;="&amp;DATE($I$2,K$4,K$5))</f>
        <v/>
      </c>
      <c r="L515" s="321">
        <f>SUMIFS(DATA!$M:$M,DATA!$C:$C,$B514,DATA!$N:$N,"&gt;="&amp;DATE($I$2,L$4,1),DATA!$N:$N,"&lt;="&amp;DATE($I$2,L$4,L$5))</f>
        <v/>
      </c>
      <c r="M515" s="321">
        <f>SUMIFS(DATA!$M:$M,DATA!$C:$C,$B514,DATA!$N:$N,"&gt;="&amp;DATE($I$2,M$4,1),DATA!$N:$N,"&lt;="&amp;DATE($I$2,M$4,M$5))</f>
        <v/>
      </c>
      <c r="N515" s="321">
        <f>SUMIFS(DATA!$M:$M,DATA!$C:$C,$B514,DATA!$N:$N,"&gt;="&amp;DATE($I$2,N$4,1),DATA!$N:$N,"&lt;="&amp;DATE($I$2,N$4,N$5))</f>
        <v/>
      </c>
      <c r="O515" s="321">
        <f>SUMIFS(DATA!$M:$M,DATA!$C:$C,$B514,DATA!$N:$N,"&gt;="&amp;DATE($I$2,O$4,1),DATA!$N:$N,"&lt;="&amp;DATE($I$2,O$4,O$5))</f>
        <v/>
      </c>
      <c r="P515" s="322">
        <f>SUM(D515:O515)</f>
        <v/>
      </c>
      <c r="Q515" s="118" t="n"/>
    </row>
    <row r="516" hidden="1" outlineLevel="1" ht="15" customHeight="1">
      <c r="A516" s="269" t="n">
        <v>256</v>
      </c>
      <c r="B516" s="125" t="n"/>
      <c r="C516" s="119" t="inlineStr">
        <is>
          <t>Kế hoạch</t>
        </is>
      </c>
      <c r="D516" s="321">
        <f>SUMIFS(DATA!$I:$I,DATA!$C:$C,$B516,DATA!$J:$J,"&gt;="&amp;DATE($I$2,D$4,1),DATA!$J:$J,"&lt;="&amp;DATE($I$2,D$4,D$5))</f>
        <v/>
      </c>
      <c r="E516" s="321">
        <f>SUMIFS(DATA!$I:$I,DATA!$C:$C,$B516,DATA!$J:$J,"&gt;="&amp;DATE($I$2,E$4,1),DATA!$J:$J,"&lt;="&amp;DATE($I$2,E$4,E$5))</f>
        <v/>
      </c>
      <c r="F516" s="321">
        <f>SUMIFS(DATA!$I:$I,DATA!$C:$C,$B516,DATA!$J:$J,"&gt;="&amp;DATE($I$2,F$4,1),DATA!$J:$J,"&lt;="&amp;DATE($I$2,F$4,F$5))</f>
        <v/>
      </c>
      <c r="G516" s="321">
        <f>SUMIFS(DATA!$I:$I,DATA!$C:$C,$B516,DATA!$J:$J,"&gt;="&amp;DATE($I$2,G$4,1),DATA!$J:$J,"&lt;="&amp;DATE($I$2,G$4,G$5))</f>
        <v/>
      </c>
      <c r="H516" s="321">
        <f>SUMIFS(DATA!$I:$I,DATA!$C:$C,$B516,DATA!$J:$J,"&gt;="&amp;DATE($I$2,H$4,1),DATA!$J:$J,"&lt;="&amp;DATE($I$2,H$4,H$5))</f>
        <v/>
      </c>
      <c r="I516" s="321">
        <f>SUMIFS(DATA!$I:$I,DATA!$C:$C,$B516,DATA!$J:$J,"&gt;="&amp;DATE($I$2,I$4,1),DATA!$J:$J,"&lt;="&amp;DATE($I$2,I$4,I$5))</f>
        <v/>
      </c>
      <c r="J516" s="321">
        <f>SUMIFS(DATA!$I:$I,DATA!$C:$C,$B516,DATA!$J:$J,"&gt;="&amp;DATE($I$2,J$4,1),DATA!$J:$J,"&lt;="&amp;DATE($I$2,J$4,J$5))</f>
        <v/>
      </c>
      <c r="K516" s="321">
        <f>SUMIFS(DATA!$I:$I,DATA!$C:$C,$B516,DATA!$J:$J,"&gt;="&amp;DATE($I$2,K$4,1),DATA!$J:$J,"&lt;="&amp;DATE($I$2,K$4,K$5))</f>
        <v/>
      </c>
      <c r="L516" s="321">
        <f>SUMIFS(DATA!$I:$I,DATA!$C:$C,$B516,DATA!$J:$J,"&gt;="&amp;DATE($I$2,L$4,1),DATA!$J:$J,"&lt;="&amp;DATE($I$2,L$4,L$5))</f>
        <v/>
      </c>
      <c r="M516" s="321">
        <f>SUMIFS(DATA!$I:$I,DATA!$C:$C,$B516,DATA!$J:$J,"&gt;="&amp;DATE($I$2,M$4,1),DATA!$J:$J,"&lt;="&amp;DATE($I$2,M$4,M$5))</f>
        <v/>
      </c>
      <c r="N516" s="321">
        <f>SUMIFS(DATA!$I:$I,DATA!$C:$C,$B516,DATA!$J:$J,"&gt;="&amp;DATE($I$2,N$4,1),DATA!$J:$J,"&lt;="&amp;DATE($I$2,N$4,N$5))</f>
        <v/>
      </c>
      <c r="O516" s="321">
        <f>SUMIFS(DATA!$I:$I,DATA!$C:$C,$B516,DATA!$J:$J,"&gt;="&amp;DATE($I$2,O$4,1),DATA!$J:$J,"&lt;="&amp;DATE($I$2,O$4,O$5))</f>
        <v/>
      </c>
      <c r="P516" s="322">
        <f>SUM(D516:O516)</f>
        <v/>
      </c>
      <c r="Q516" s="118" t="n"/>
    </row>
    <row r="517" hidden="1" outlineLevel="1" ht="15" customHeight="1">
      <c r="A517" s="266" t="n"/>
      <c r="B517" s="126" t="n"/>
      <c r="C517" s="119" t="inlineStr">
        <is>
          <t>Thực tế</t>
        </is>
      </c>
      <c r="D517" s="321">
        <f>SUMIFS(DATA!$M:$M,DATA!$C:$C,$B516,DATA!$N:$N,"&gt;="&amp;DATE($I$2,D$4,1),DATA!$N:$N,"&lt;="&amp;DATE($I$2,D$4,D$5))</f>
        <v/>
      </c>
      <c r="E517" s="321">
        <f>SUMIFS(DATA!$M:$M,DATA!$C:$C,$B516,DATA!$N:$N,"&gt;="&amp;DATE($I$2,E$4,1),DATA!$N:$N,"&lt;="&amp;DATE($I$2,E$4,E$5))</f>
        <v/>
      </c>
      <c r="F517" s="321">
        <f>SUMIFS(DATA!$M:$M,DATA!$C:$C,$B516,DATA!$N:$N,"&gt;="&amp;DATE($I$2,F$4,1),DATA!$N:$N,"&lt;="&amp;DATE($I$2,F$4,F$5))</f>
        <v/>
      </c>
      <c r="G517" s="321">
        <f>SUMIFS(DATA!$M:$M,DATA!$C:$C,$B516,DATA!$N:$N,"&gt;="&amp;DATE($I$2,G$4,1),DATA!$N:$N,"&lt;="&amp;DATE($I$2,G$4,G$5))</f>
        <v/>
      </c>
      <c r="H517" s="321">
        <f>SUMIFS(DATA!$M:$M,DATA!$C:$C,$B516,DATA!$N:$N,"&gt;="&amp;DATE($I$2,H$4,1),DATA!$N:$N,"&lt;="&amp;DATE($I$2,H$4,H$5))</f>
        <v/>
      </c>
      <c r="I517" s="321">
        <f>SUMIFS(DATA!$M:$M,DATA!$C:$C,$B516,DATA!$N:$N,"&gt;="&amp;DATE($I$2,I$4,1),DATA!$N:$N,"&lt;="&amp;DATE($I$2,I$4,I$5))</f>
        <v/>
      </c>
      <c r="J517" s="321">
        <f>SUMIFS(DATA!$M:$M,DATA!$C:$C,$B516,DATA!$N:$N,"&gt;="&amp;DATE($I$2,J$4,1),DATA!$N:$N,"&lt;="&amp;DATE($I$2,J$4,J$5))</f>
        <v/>
      </c>
      <c r="K517" s="321">
        <f>SUMIFS(DATA!$M:$M,DATA!$C:$C,$B516,DATA!$N:$N,"&gt;="&amp;DATE($I$2,K$4,1),DATA!$N:$N,"&lt;="&amp;DATE($I$2,K$4,K$5))</f>
        <v/>
      </c>
      <c r="L517" s="321">
        <f>SUMIFS(DATA!$M:$M,DATA!$C:$C,$B516,DATA!$N:$N,"&gt;="&amp;DATE($I$2,L$4,1),DATA!$N:$N,"&lt;="&amp;DATE($I$2,L$4,L$5))</f>
        <v/>
      </c>
      <c r="M517" s="321">
        <f>SUMIFS(DATA!$M:$M,DATA!$C:$C,$B516,DATA!$N:$N,"&gt;="&amp;DATE($I$2,M$4,1),DATA!$N:$N,"&lt;="&amp;DATE($I$2,M$4,M$5))</f>
        <v/>
      </c>
      <c r="N517" s="321">
        <f>SUMIFS(DATA!$M:$M,DATA!$C:$C,$B516,DATA!$N:$N,"&gt;="&amp;DATE($I$2,N$4,1),DATA!$N:$N,"&lt;="&amp;DATE($I$2,N$4,N$5))</f>
        <v/>
      </c>
      <c r="O517" s="321">
        <f>SUMIFS(DATA!$M:$M,DATA!$C:$C,$B516,DATA!$N:$N,"&gt;="&amp;DATE($I$2,O$4,1),DATA!$N:$N,"&lt;="&amp;DATE($I$2,O$4,O$5))</f>
        <v/>
      </c>
      <c r="P517" s="322">
        <f>SUM(D517:O517)</f>
        <v/>
      </c>
      <c r="Q517" s="118" t="n"/>
    </row>
    <row r="518" hidden="1" outlineLevel="1" ht="15" customHeight="1">
      <c r="A518" s="269" t="n">
        <v>257</v>
      </c>
      <c r="B518" s="125" t="n"/>
      <c r="C518" s="119" t="inlineStr">
        <is>
          <t>Kế hoạch</t>
        </is>
      </c>
      <c r="D518" s="321">
        <f>SUMIFS(DATA!$I:$I,DATA!$C:$C,$B518,DATA!$J:$J,"&gt;="&amp;DATE($I$2,D$4,1),DATA!$J:$J,"&lt;="&amp;DATE($I$2,D$4,D$5))</f>
        <v/>
      </c>
      <c r="E518" s="321">
        <f>SUMIFS(DATA!$I:$I,DATA!$C:$C,$B518,DATA!$J:$J,"&gt;="&amp;DATE($I$2,E$4,1),DATA!$J:$J,"&lt;="&amp;DATE($I$2,E$4,E$5))</f>
        <v/>
      </c>
      <c r="F518" s="321">
        <f>SUMIFS(DATA!$I:$I,DATA!$C:$C,$B518,DATA!$J:$J,"&gt;="&amp;DATE($I$2,F$4,1),DATA!$J:$J,"&lt;="&amp;DATE($I$2,F$4,F$5))</f>
        <v/>
      </c>
      <c r="G518" s="321">
        <f>SUMIFS(DATA!$I:$I,DATA!$C:$C,$B518,DATA!$J:$J,"&gt;="&amp;DATE($I$2,G$4,1),DATA!$J:$J,"&lt;="&amp;DATE($I$2,G$4,G$5))</f>
        <v/>
      </c>
      <c r="H518" s="321">
        <f>SUMIFS(DATA!$I:$I,DATA!$C:$C,$B518,DATA!$J:$J,"&gt;="&amp;DATE($I$2,H$4,1),DATA!$J:$J,"&lt;="&amp;DATE($I$2,H$4,H$5))</f>
        <v/>
      </c>
      <c r="I518" s="321">
        <f>SUMIFS(DATA!$I:$I,DATA!$C:$C,$B518,DATA!$J:$J,"&gt;="&amp;DATE($I$2,I$4,1),DATA!$J:$J,"&lt;="&amp;DATE($I$2,I$4,I$5))</f>
        <v/>
      </c>
      <c r="J518" s="321">
        <f>SUMIFS(DATA!$I:$I,DATA!$C:$C,$B518,DATA!$J:$J,"&gt;="&amp;DATE($I$2,J$4,1),DATA!$J:$J,"&lt;="&amp;DATE($I$2,J$4,J$5))</f>
        <v/>
      </c>
      <c r="K518" s="321">
        <f>SUMIFS(DATA!$I:$I,DATA!$C:$C,$B518,DATA!$J:$J,"&gt;="&amp;DATE($I$2,K$4,1),DATA!$J:$J,"&lt;="&amp;DATE($I$2,K$4,K$5))</f>
        <v/>
      </c>
      <c r="L518" s="321">
        <f>SUMIFS(DATA!$I:$I,DATA!$C:$C,$B518,DATA!$J:$J,"&gt;="&amp;DATE($I$2,L$4,1),DATA!$J:$J,"&lt;="&amp;DATE($I$2,L$4,L$5))</f>
        <v/>
      </c>
      <c r="M518" s="321">
        <f>SUMIFS(DATA!$I:$I,DATA!$C:$C,$B518,DATA!$J:$J,"&gt;="&amp;DATE($I$2,M$4,1),DATA!$J:$J,"&lt;="&amp;DATE($I$2,M$4,M$5))</f>
        <v/>
      </c>
      <c r="N518" s="321">
        <f>SUMIFS(DATA!$I:$I,DATA!$C:$C,$B518,DATA!$J:$J,"&gt;="&amp;DATE($I$2,N$4,1),DATA!$J:$J,"&lt;="&amp;DATE($I$2,N$4,N$5))</f>
        <v/>
      </c>
      <c r="O518" s="321">
        <f>SUMIFS(DATA!$I:$I,DATA!$C:$C,$B518,DATA!$J:$J,"&gt;="&amp;DATE($I$2,O$4,1),DATA!$J:$J,"&lt;="&amp;DATE($I$2,O$4,O$5))</f>
        <v/>
      </c>
      <c r="P518" s="322">
        <f>SUM(D518:O518)</f>
        <v/>
      </c>
      <c r="Q518" s="118" t="n"/>
    </row>
    <row r="519" hidden="1" outlineLevel="1" ht="15" customHeight="1">
      <c r="A519" s="266" t="n"/>
      <c r="B519" s="126" t="n"/>
      <c r="C519" s="119" t="inlineStr">
        <is>
          <t>Thực tế</t>
        </is>
      </c>
      <c r="D519" s="321">
        <f>SUMIFS(DATA!$M:$M,DATA!$C:$C,$B518,DATA!$N:$N,"&gt;="&amp;DATE($I$2,D$4,1),DATA!$N:$N,"&lt;="&amp;DATE($I$2,D$4,D$5))</f>
        <v/>
      </c>
      <c r="E519" s="321">
        <f>SUMIFS(DATA!$M:$M,DATA!$C:$C,$B518,DATA!$N:$N,"&gt;="&amp;DATE($I$2,E$4,1),DATA!$N:$N,"&lt;="&amp;DATE($I$2,E$4,E$5))</f>
        <v/>
      </c>
      <c r="F519" s="321">
        <f>SUMIFS(DATA!$M:$M,DATA!$C:$C,$B518,DATA!$N:$N,"&gt;="&amp;DATE($I$2,F$4,1),DATA!$N:$N,"&lt;="&amp;DATE($I$2,F$4,F$5))</f>
        <v/>
      </c>
      <c r="G519" s="321">
        <f>SUMIFS(DATA!$M:$M,DATA!$C:$C,$B518,DATA!$N:$N,"&gt;="&amp;DATE($I$2,G$4,1),DATA!$N:$N,"&lt;="&amp;DATE($I$2,G$4,G$5))</f>
        <v/>
      </c>
      <c r="H519" s="321">
        <f>SUMIFS(DATA!$M:$M,DATA!$C:$C,$B518,DATA!$N:$N,"&gt;="&amp;DATE($I$2,H$4,1),DATA!$N:$N,"&lt;="&amp;DATE($I$2,H$4,H$5))</f>
        <v/>
      </c>
      <c r="I519" s="321">
        <f>SUMIFS(DATA!$M:$M,DATA!$C:$C,$B518,DATA!$N:$N,"&gt;="&amp;DATE($I$2,I$4,1),DATA!$N:$N,"&lt;="&amp;DATE($I$2,I$4,I$5))</f>
        <v/>
      </c>
      <c r="J519" s="321">
        <f>SUMIFS(DATA!$M:$M,DATA!$C:$C,$B518,DATA!$N:$N,"&gt;="&amp;DATE($I$2,J$4,1),DATA!$N:$N,"&lt;="&amp;DATE($I$2,J$4,J$5))</f>
        <v/>
      </c>
      <c r="K519" s="321">
        <f>SUMIFS(DATA!$M:$M,DATA!$C:$C,$B518,DATA!$N:$N,"&gt;="&amp;DATE($I$2,K$4,1),DATA!$N:$N,"&lt;="&amp;DATE($I$2,K$4,K$5))</f>
        <v/>
      </c>
      <c r="L519" s="321">
        <f>SUMIFS(DATA!$M:$M,DATA!$C:$C,$B518,DATA!$N:$N,"&gt;="&amp;DATE($I$2,L$4,1),DATA!$N:$N,"&lt;="&amp;DATE($I$2,L$4,L$5))</f>
        <v/>
      </c>
      <c r="M519" s="321">
        <f>SUMIFS(DATA!$M:$M,DATA!$C:$C,$B518,DATA!$N:$N,"&gt;="&amp;DATE($I$2,M$4,1),DATA!$N:$N,"&lt;="&amp;DATE($I$2,M$4,M$5))</f>
        <v/>
      </c>
      <c r="N519" s="321">
        <f>SUMIFS(DATA!$M:$M,DATA!$C:$C,$B518,DATA!$N:$N,"&gt;="&amp;DATE($I$2,N$4,1),DATA!$N:$N,"&lt;="&amp;DATE($I$2,N$4,N$5))</f>
        <v/>
      </c>
      <c r="O519" s="321">
        <f>SUMIFS(DATA!$M:$M,DATA!$C:$C,$B518,DATA!$N:$N,"&gt;="&amp;DATE($I$2,O$4,1),DATA!$N:$N,"&lt;="&amp;DATE($I$2,O$4,O$5))</f>
        <v/>
      </c>
      <c r="P519" s="322">
        <f>SUM(D519:O519)</f>
        <v/>
      </c>
      <c r="Q519" s="118" t="n"/>
    </row>
    <row r="520" hidden="1" outlineLevel="1" ht="15" customHeight="1">
      <c r="A520" s="269" t="n">
        <v>258</v>
      </c>
      <c r="B520" s="125" t="n"/>
      <c r="C520" s="119" t="inlineStr">
        <is>
          <t>Kế hoạch</t>
        </is>
      </c>
      <c r="D520" s="321">
        <f>SUMIFS(DATA!$I:$I,DATA!$C:$C,$B520,DATA!$J:$J,"&gt;="&amp;DATE($I$2,D$4,1),DATA!$J:$J,"&lt;="&amp;DATE($I$2,D$4,D$5))</f>
        <v/>
      </c>
      <c r="E520" s="321">
        <f>SUMIFS(DATA!$I:$I,DATA!$C:$C,$B520,DATA!$J:$J,"&gt;="&amp;DATE($I$2,E$4,1),DATA!$J:$J,"&lt;="&amp;DATE($I$2,E$4,E$5))</f>
        <v/>
      </c>
      <c r="F520" s="321">
        <f>SUMIFS(DATA!$I:$I,DATA!$C:$C,$B520,DATA!$J:$J,"&gt;="&amp;DATE($I$2,F$4,1),DATA!$J:$J,"&lt;="&amp;DATE($I$2,F$4,F$5))</f>
        <v/>
      </c>
      <c r="G520" s="321">
        <f>SUMIFS(DATA!$I:$I,DATA!$C:$C,$B520,DATA!$J:$J,"&gt;="&amp;DATE($I$2,G$4,1),DATA!$J:$J,"&lt;="&amp;DATE($I$2,G$4,G$5))</f>
        <v/>
      </c>
      <c r="H520" s="321">
        <f>SUMIFS(DATA!$I:$I,DATA!$C:$C,$B520,DATA!$J:$J,"&gt;="&amp;DATE($I$2,H$4,1),DATA!$J:$J,"&lt;="&amp;DATE($I$2,H$4,H$5))</f>
        <v/>
      </c>
      <c r="I520" s="321">
        <f>SUMIFS(DATA!$I:$I,DATA!$C:$C,$B520,DATA!$J:$J,"&gt;="&amp;DATE($I$2,I$4,1),DATA!$J:$J,"&lt;="&amp;DATE($I$2,I$4,I$5))</f>
        <v/>
      </c>
      <c r="J520" s="321">
        <f>SUMIFS(DATA!$I:$I,DATA!$C:$C,$B520,DATA!$J:$J,"&gt;="&amp;DATE($I$2,J$4,1),DATA!$J:$J,"&lt;="&amp;DATE($I$2,J$4,J$5))</f>
        <v/>
      </c>
      <c r="K520" s="321">
        <f>SUMIFS(DATA!$I:$I,DATA!$C:$C,$B520,DATA!$J:$J,"&gt;="&amp;DATE($I$2,K$4,1),DATA!$J:$J,"&lt;="&amp;DATE($I$2,K$4,K$5))</f>
        <v/>
      </c>
      <c r="L520" s="321">
        <f>SUMIFS(DATA!$I:$I,DATA!$C:$C,$B520,DATA!$J:$J,"&gt;="&amp;DATE($I$2,L$4,1),DATA!$J:$J,"&lt;="&amp;DATE($I$2,L$4,L$5))</f>
        <v/>
      </c>
      <c r="M520" s="321">
        <f>SUMIFS(DATA!$I:$I,DATA!$C:$C,$B520,DATA!$J:$J,"&gt;="&amp;DATE($I$2,M$4,1),DATA!$J:$J,"&lt;="&amp;DATE($I$2,M$4,M$5))</f>
        <v/>
      </c>
      <c r="N520" s="321">
        <f>SUMIFS(DATA!$I:$I,DATA!$C:$C,$B520,DATA!$J:$J,"&gt;="&amp;DATE($I$2,N$4,1),DATA!$J:$J,"&lt;="&amp;DATE($I$2,N$4,N$5))</f>
        <v/>
      </c>
      <c r="O520" s="321">
        <f>SUMIFS(DATA!$I:$I,DATA!$C:$C,$B520,DATA!$J:$J,"&gt;="&amp;DATE($I$2,O$4,1),DATA!$J:$J,"&lt;="&amp;DATE($I$2,O$4,O$5))</f>
        <v/>
      </c>
      <c r="P520" s="322">
        <f>SUM(D520:O520)</f>
        <v/>
      </c>
      <c r="Q520" s="118" t="n"/>
    </row>
    <row r="521" hidden="1" outlineLevel="1" ht="15" customHeight="1">
      <c r="A521" s="266" t="n"/>
      <c r="B521" s="126" t="n"/>
      <c r="C521" s="119" t="inlineStr">
        <is>
          <t>Thực tế</t>
        </is>
      </c>
      <c r="D521" s="321">
        <f>SUMIFS(DATA!$M:$M,DATA!$C:$C,$B520,DATA!$N:$N,"&gt;="&amp;DATE($I$2,D$4,1),DATA!$N:$N,"&lt;="&amp;DATE($I$2,D$4,D$5))</f>
        <v/>
      </c>
      <c r="E521" s="321">
        <f>SUMIFS(DATA!$M:$M,DATA!$C:$C,$B520,DATA!$N:$N,"&gt;="&amp;DATE($I$2,E$4,1),DATA!$N:$N,"&lt;="&amp;DATE($I$2,E$4,E$5))</f>
        <v/>
      </c>
      <c r="F521" s="321">
        <f>SUMIFS(DATA!$M:$M,DATA!$C:$C,$B520,DATA!$N:$N,"&gt;="&amp;DATE($I$2,F$4,1),DATA!$N:$N,"&lt;="&amp;DATE($I$2,F$4,F$5))</f>
        <v/>
      </c>
      <c r="G521" s="321">
        <f>SUMIFS(DATA!$M:$M,DATA!$C:$C,$B520,DATA!$N:$N,"&gt;="&amp;DATE($I$2,G$4,1),DATA!$N:$N,"&lt;="&amp;DATE($I$2,G$4,G$5))</f>
        <v/>
      </c>
      <c r="H521" s="321">
        <f>SUMIFS(DATA!$M:$M,DATA!$C:$C,$B520,DATA!$N:$N,"&gt;="&amp;DATE($I$2,H$4,1),DATA!$N:$N,"&lt;="&amp;DATE($I$2,H$4,H$5))</f>
        <v/>
      </c>
      <c r="I521" s="321">
        <f>SUMIFS(DATA!$M:$M,DATA!$C:$C,$B520,DATA!$N:$N,"&gt;="&amp;DATE($I$2,I$4,1),DATA!$N:$N,"&lt;="&amp;DATE($I$2,I$4,I$5))</f>
        <v/>
      </c>
      <c r="J521" s="321">
        <f>SUMIFS(DATA!$M:$M,DATA!$C:$C,$B520,DATA!$N:$N,"&gt;="&amp;DATE($I$2,J$4,1),DATA!$N:$N,"&lt;="&amp;DATE($I$2,J$4,J$5))</f>
        <v/>
      </c>
      <c r="K521" s="321">
        <f>SUMIFS(DATA!$M:$M,DATA!$C:$C,$B520,DATA!$N:$N,"&gt;="&amp;DATE($I$2,K$4,1),DATA!$N:$N,"&lt;="&amp;DATE($I$2,K$4,K$5))</f>
        <v/>
      </c>
      <c r="L521" s="321">
        <f>SUMIFS(DATA!$M:$M,DATA!$C:$C,$B520,DATA!$N:$N,"&gt;="&amp;DATE($I$2,L$4,1),DATA!$N:$N,"&lt;="&amp;DATE($I$2,L$4,L$5))</f>
        <v/>
      </c>
      <c r="M521" s="321">
        <f>SUMIFS(DATA!$M:$M,DATA!$C:$C,$B520,DATA!$N:$N,"&gt;="&amp;DATE($I$2,M$4,1),DATA!$N:$N,"&lt;="&amp;DATE($I$2,M$4,M$5))</f>
        <v/>
      </c>
      <c r="N521" s="321">
        <f>SUMIFS(DATA!$M:$M,DATA!$C:$C,$B520,DATA!$N:$N,"&gt;="&amp;DATE($I$2,N$4,1),DATA!$N:$N,"&lt;="&amp;DATE($I$2,N$4,N$5))</f>
        <v/>
      </c>
      <c r="O521" s="321">
        <f>SUMIFS(DATA!$M:$M,DATA!$C:$C,$B520,DATA!$N:$N,"&gt;="&amp;DATE($I$2,O$4,1),DATA!$N:$N,"&lt;="&amp;DATE($I$2,O$4,O$5))</f>
        <v/>
      </c>
      <c r="P521" s="322">
        <f>SUM(D521:O521)</f>
        <v/>
      </c>
      <c r="Q521" s="118" t="n"/>
    </row>
    <row r="522" hidden="1" outlineLevel="1" ht="15" customHeight="1">
      <c r="A522" s="269" t="n">
        <v>259</v>
      </c>
      <c r="B522" s="125" t="n"/>
      <c r="C522" s="119" t="inlineStr">
        <is>
          <t>Kế hoạch</t>
        </is>
      </c>
      <c r="D522" s="321">
        <f>SUMIFS(DATA!$I:$I,DATA!$C:$C,$B522,DATA!$J:$J,"&gt;="&amp;DATE($I$2,D$4,1),DATA!$J:$J,"&lt;="&amp;DATE($I$2,D$4,D$5))</f>
        <v/>
      </c>
      <c r="E522" s="321">
        <f>SUMIFS(DATA!$I:$I,DATA!$C:$C,$B522,DATA!$J:$J,"&gt;="&amp;DATE($I$2,E$4,1),DATA!$J:$J,"&lt;="&amp;DATE($I$2,E$4,E$5))</f>
        <v/>
      </c>
      <c r="F522" s="321">
        <f>SUMIFS(DATA!$I:$I,DATA!$C:$C,$B522,DATA!$J:$J,"&gt;="&amp;DATE($I$2,F$4,1),DATA!$J:$J,"&lt;="&amp;DATE($I$2,F$4,F$5))</f>
        <v/>
      </c>
      <c r="G522" s="321">
        <f>SUMIFS(DATA!$I:$I,DATA!$C:$C,$B522,DATA!$J:$J,"&gt;="&amp;DATE($I$2,G$4,1),DATA!$J:$J,"&lt;="&amp;DATE($I$2,G$4,G$5))</f>
        <v/>
      </c>
      <c r="H522" s="321">
        <f>SUMIFS(DATA!$I:$I,DATA!$C:$C,$B522,DATA!$J:$J,"&gt;="&amp;DATE($I$2,H$4,1),DATA!$J:$J,"&lt;="&amp;DATE($I$2,H$4,H$5))</f>
        <v/>
      </c>
      <c r="I522" s="321">
        <f>SUMIFS(DATA!$I:$I,DATA!$C:$C,$B522,DATA!$J:$J,"&gt;="&amp;DATE($I$2,I$4,1),DATA!$J:$J,"&lt;="&amp;DATE($I$2,I$4,I$5))</f>
        <v/>
      </c>
      <c r="J522" s="321">
        <f>SUMIFS(DATA!$I:$I,DATA!$C:$C,$B522,DATA!$J:$J,"&gt;="&amp;DATE($I$2,J$4,1),DATA!$J:$J,"&lt;="&amp;DATE($I$2,J$4,J$5))</f>
        <v/>
      </c>
      <c r="K522" s="321">
        <f>SUMIFS(DATA!$I:$I,DATA!$C:$C,$B522,DATA!$J:$J,"&gt;="&amp;DATE($I$2,K$4,1),DATA!$J:$J,"&lt;="&amp;DATE($I$2,K$4,K$5))</f>
        <v/>
      </c>
      <c r="L522" s="321">
        <f>SUMIFS(DATA!$I:$I,DATA!$C:$C,$B522,DATA!$J:$J,"&gt;="&amp;DATE($I$2,L$4,1),DATA!$J:$J,"&lt;="&amp;DATE($I$2,L$4,L$5))</f>
        <v/>
      </c>
      <c r="M522" s="321">
        <f>SUMIFS(DATA!$I:$I,DATA!$C:$C,$B522,DATA!$J:$J,"&gt;="&amp;DATE($I$2,M$4,1),DATA!$J:$J,"&lt;="&amp;DATE($I$2,M$4,M$5))</f>
        <v/>
      </c>
      <c r="N522" s="321">
        <f>SUMIFS(DATA!$I:$I,DATA!$C:$C,$B522,DATA!$J:$J,"&gt;="&amp;DATE($I$2,N$4,1),DATA!$J:$J,"&lt;="&amp;DATE($I$2,N$4,N$5))</f>
        <v/>
      </c>
      <c r="O522" s="321">
        <f>SUMIFS(DATA!$I:$I,DATA!$C:$C,$B522,DATA!$J:$J,"&gt;="&amp;DATE($I$2,O$4,1),DATA!$J:$J,"&lt;="&amp;DATE($I$2,O$4,O$5))</f>
        <v/>
      </c>
      <c r="P522" s="322">
        <f>SUM(D522:O522)</f>
        <v/>
      </c>
      <c r="Q522" s="118" t="n"/>
    </row>
    <row r="523" hidden="1" outlineLevel="1" ht="15" customHeight="1">
      <c r="A523" s="266" t="n"/>
      <c r="B523" s="126" t="n"/>
      <c r="C523" s="119" t="inlineStr">
        <is>
          <t>Thực tế</t>
        </is>
      </c>
      <c r="D523" s="321">
        <f>SUMIFS(DATA!$M:$M,DATA!$C:$C,$B522,DATA!$N:$N,"&gt;="&amp;DATE($I$2,D$4,1),DATA!$N:$N,"&lt;="&amp;DATE($I$2,D$4,D$5))</f>
        <v/>
      </c>
      <c r="E523" s="321">
        <f>SUMIFS(DATA!$M:$M,DATA!$C:$C,$B522,DATA!$N:$N,"&gt;="&amp;DATE($I$2,E$4,1),DATA!$N:$N,"&lt;="&amp;DATE($I$2,E$4,E$5))</f>
        <v/>
      </c>
      <c r="F523" s="321">
        <f>SUMIFS(DATA!$M:$M,DATA!$C:$C,$B522,DATA!$N:$N,"&gt;="&amp;DATE($I$2,F$4,1),DATA!$N:$N,"&lt;="&amp;DATE($I$2,F$4,F$5))</f>
        <v/>
      </c>
      <c r="G523" s="321">
        <f>SUMIFS(DATA!$M:$M,DATA!$C:$C,$B522,DATA!$N:$N,"&gt;="&amp;DATE($I$2,G$4,1),DATA!$N:$N,"&lt;="&amp;DATE($I$2,G$4,G$5))</f>
        <v/>
      </c>
      <c r="H523" s="321">
        <f>SUMIFS(DATA!$M:$M,DATA!$C:$C,$B522,DATA!$N:$N,"&gt;="&amp;DATE($I$2,H$4,1),DATA!$N:$N,"&lt;="&amp;DATE($I$2,H$4,H$5))</f>
        <v/>
      </c>
      <c r="I523" s="321">
        <f>SUMIFS(DATA!$M:$M,DATA!$C:$C,$B522,DATA!$N:$N,"&gt;="&amp;DATE($I$2,I$4,1),DATA!$N:$N,"&lt;="&amp;DATE($I$2,I$4,I$5))</f>
        <v/>
      </c>
      <c r="J523" s="321">
        <f>SUMIFS(DATA!$M:$M,DATA!$C:$C,$B522,DATA!$N:$N,"&gt;="&amp;DATE($I$2,J$4,1),DATA!$N:$N,"&lt;="&amp;DATE($I$2,J$4,J$5))</f>
        <v/>
      </c>
      <c r="K523" s="321">
        <f>SUMIFS(DATA!$M:$M,DATA!$C:$C,$B522,DATA!$N:$N,"&gt;="&amp;DATE($I$2,K$4,1),DATA!$N:$N,"&lt;="&amp;DATE($I$2,K$4,K$5))</f>
        <v/>
      </c>
      <c r="L523" s="321">
        <f>SUMIFS(DATA!$M:$M,DATA!$C:$C,$B522,DATA!$N:$N,"&gt;="&amp;DATE($I$2,L$4,1),DATA!$N:$N,"&lt;="&amp;DATE($I$2,L$4,L$5))</f>
        <v/>
      </c>
      <c r="M523" s="321">
        <f>SUMIFS(DATA!$M:$M,DATA!$C:$C,$B522,DATA!$N:$N,"&gt;="&amp;DATE($I$2,M$4,1),DATA!$N:$N,"&lt;="&amp;DATE($I$2,M$4,M$5))</f>
        <v/>
      </c>
      <c r="N523" s="321">
        <f>SUMIFS(DATA!$M:$M,DATA!$C:$C,$B522,DATA!$N:$N,"&gt;="&amp;DATE($I$2,N$4,1),DATA!$N:$N,"&lt;="&amp;DATE($I$2,N$4,N$5))</f>
        <v/>
      </c>
      <c r="O523" s="321">
        <f>SUMIFS(DATA!$M:$M,DATA!$C:$C,$B522,DATA!$N:$N,"&gt;="&amp;DATE($I$2,O$4,1),DATA!$N:$N,"&lt;="&amp;DATE($I$2,O$4,O$5))</f>
        <v/>
      </c>
      <c r="P523" s="322">
        <f>SUM(D523:O523)</f>
        <v/>
      </c>
      <c r="Q523" s="118" t="n"/>
    </row>
    <row r="524" hidden="1" outlineLevel="1" ht="15" customHeight="1">
      <c r="A524" s="269" t="n">
        <v>260</v>
      </c>
      <c r="B524" s="125" t="n"/>
      <c r="C524" s="119" t="inlineStr">
        <is>
          <t>Kế hoạch</t>
        </is>
      </c>
      <c r="D524" s="321">
        <f>SUMIFS(DATA!$I:$I,DATA!$C:$C,$B524,DATA!$J:$J,"&gt;="&amp;DATE($I$2,D$4,1),DATA!$J:$J,"&lt;="&amp;DATE($I$2,D$4,D$5))</f>
        <v/>
      </c>
      <c r="E524" s="321">
        <f>SUMIFS(DATA!$I:$I,DATA!$C:$C,$B524,DATA!$J:$J,"&gt;="&amp;DATE($I$2,E$4,1),DATA!$J:$J,"&lt;="&amp;DATE($I$2,E$4,E$5))</f>
        <v/>
      </c>
      <c r="F524" s="321">
        <f>SUMIFS(DATA!$I:$I,DATA!$C:$C,$B524,DATA!$J:$J,"&gt;="&amp;DATE($I$2,F$4,1),DATA!$J:$J,"&lt;="&amp;DATE($I$2,F$4,F$5))</f>
        <v/>
      </c>
      <c r="G524" s="321">
        <f>SUMIFS(DATA!$I:$I,DATA!$C:$C,$B524,DATA!$J:$J,"&gt;="&amp;DATE($I$2,G$4,1),DATA!$J:$J,"&lt;="&amp;DATE($I$2,G$4,G$5))</f>
        <v/>
      </c>
      <c r="H524" s="321">
        <f>SUMIFS(DATA!$I:$I,DATA!$C:$C,$B524,DATA!$J:$J,"&gt;="&amp;DATE($I$2,H$4,1),DATA!$J:$J,"&lt;="&amp;DATE($I$2,H$4,H$5))</f>
        <v/>
      </c>
      <c r="I524" s="321">
        <f>SUMIFS(DATA!$I:$I,DATA!$C:$C,$B524,DATA!$J:$J,"&gt;="&amp;DATE($I$2,I$4,1),DATA!$J:$J,"&lt;="&amp;DATE($I$2,I$4,I$5))</f>
        <v/>
      </c>
      <c r="J524" s="321">
        <f>SUMIFS(DATA!$I:$I,DATA!$C:$C,$B524,DATA!$J:$J,"&gt;="&amp;DATE($I$2,J$4,1),DATA!$J:$J,"&lt;="&amp;DATE($I$2,J$4,J$5))</f>
        <v/>
      </c>
      <c r="K524" s="321">
        <f>SUMIFS(DATA!$I:$I,DATA!$C:$C,$B524,DATA!$J:$J,"&gt;="&amp;DATE($I$2,K$4,1),DATA!$J:$J,"&lt;="&amp;DATE($I$2,K$4,K$5))</f>
        <v/>
      </c>
      <c r="L524" s="321">
        <f>SUMIFS(DATA!$I:$I,DATA!$C:$C,$B524,DATA!$J:$J,"&gt;="&amp;DATE($I$2,L$4,1),DATA!$J:$J,"&lt;="&amp;DATE($I$2,L$4,L$5))</f>
        <v/>
      </c>
      <c r="M524" s="321">
        <f>SUMIFS(DATA!$I:$I,DATA!$C:$C,$B524,DATA!$J:$J,"&gt;="&amp;DATE($I$2,M$4,1),DATA!$J:$J,"&lt;="&amp;DATE($I$2,M$4,M$5))</f>
        <v/>
      </c>
      <c r="N524" s="321">
        <f>SUMIFS(DATA!$I:$I,DATA!$C:$C,$B524,DATA!$J:$J,"&gt;="&amp;DATE($I$2,N$4,1),DATA!$J:$J,"&lt;="&amp;DATE($I$2,N$4,N$5))</f>
        <v/>
      </c>
      <c r="O524" s="321">
        <f>SUMIFS(DATA!$I:$I,DATA!$C:$C,$B524,DATA!$J:$J,"&gt;="&amp;DATE($I$2,O$4,1),DATA!$J:$J,"&lt;="&amp;DATE($I$2,O$4,O$5))</f>
        <v/>
      </c>
      <c r="P524" s="322">
        <f>SUM(D524:O524)</f>
        <v/>
      </c>
      <c r="Q524" s="118" t="n"/>
    </row>
    <row r="525" hidden="1" outlineLevel="1" ht="15" customHeight="1">
      <c r="A525" s="266" t="n"/>
      <c r="B525" s="126" t="n"/>
      <c r="C525" s="119" t="inlineStr">
        <is>
          <t>Thực tế</t>
        </is>
      </c>
      <c r="D525" s="321">
        <f>SUMIFS(DATA!$M:$M,DATA!$C:$C,$B524,DATA!$N:$N,"&gt;="&amp;DATE($I$2,D$4,1),DATA!$N:$N,"&lt;="&amp;DATE($I$2,D$4,D$5))</f>
        <v/>
      </c>
      <c r="E525" s="321">
        <f>SUMIFS(DATA!$M:$M,DATA!$C:$C,$B524,DATA!$N:$N,"&gt;="&amp;DATE($I$2,E$4,1),DATA!$N:$N,"&lt;="&amp;DATE($I$2,E$4,E$5))</f>
        <v/>
      </c>
      <c r="F525" s="321">
        <f>SUMIFS(DATA!$M:$M,DATA!$C:$C,$B524,DATA!$N:$N,"&gt;="&amp;DATE($I$2,F$4,1),DATA!$N:$N,"&lt;="&amp;DATE($I$2,F$4,F$5))</f>
        <v/>
      </c>
      <c r="G525" s="321">
        <f>SUMIFS(DATA!$M:$M,DATA!$C:$C,$B524,DATA!$N:$N,"&gt;="&amp;DATE($I$2,G$4,1),DATA!$N:$N,"&lt;="&amp;DATE($I$2,G$4,G$5))</f>
        <v/>
      </c>
      <c r="H525" s="321">
        <f>SUMIFS(DATA!$M:$M,DATA!$C:$C,$B524,DATA!$N:$N,"&gt;="&amp;DATE($I$2,H$4,1),DATA!$N:$N,"&lt;="&amp;DATE($I$2,H$4,H$5))</f>
        <v/>
      </c>
      <c r="I525" s="321">
        <f>SUMIFS(DATA!$M:$M,DATA!$C:$C,$B524,DATA!$N:$N,"&gt;="&amp;DATE($I$2,I$4,1),DATA!$N:$N,"&lt;="&amp;DATE($I$2,I$4,I$5))</f>
        <v/>
      </c>
      <c r="J525" s="321">
        <f>SUMIFS(DATA!$M:$M,DATA!$C:$C,$B524,DATA!$N:$N,"&gt;="&amp;DATE($I$2,J$4,1),DATA!$N:$N,"&lt;="&amp;DATE($I$2,J$4,J$5))</f>
        <v/>
      </c>
      <c r="K525" s="321">
        <f>SUMIFS(DATA!$M:$M,DATA!$C:$C,$B524,DATA!$N:$N,"&gt;="&amp;DATE($I$2,K$4,1),DATA!$N:$N,"&lt;="&amp;DATE($I$2,K$4,K$5))</f>
        <v/>
      </c>
      <c r="L525" s="321">
        <f>SUMIFS(DATA!$M:$M,DATA!$C:$C,$B524,DATA!$N:$N,"&gt;="&amp;DATE($I$2,L$4,1),DATA!$N:$N,"&lt;="&amp;DATE($I$2,L$4,L$5))</f>
        <v/>
      </c>
      <c r="M525" s="321">
        <f>SUMIFS(DATA!$M:$M,DATA!$C:$C,$B524,DATA!$N:$N,"&gt;="&amp;DATE($I$2,M$4,1),DATA!$N:$N,"&lt;="&amp;DATE($I$2,M$4,M$5))</f>
        <v/>
      </c>
      <c r="N525" s="321">
        <f>SUMIFS(DATA!$M:$M,DATA!$C:$C,$B524,DATA!$N:$N,"&gt;="&amp;DATE($I$2,N$4,1),DATA!$N:$N,"&lt;="&amp;DATE($I$2,N$4,N$5))</f>
        <v/>
      </c>
      <c r="O525" s="321">
        <f>SUMIFS(DATA!$M:$M,DATA!$C:$C,$B524,DATA!$N:$N,"&gt;="&amp;DATE($I$2,O$4,1),DATA!$N:$N,"&lt;="&amp;DATE($I$2,O$4,O$5))</f>
        <v/>
      </c>
      <c r="P525" s="322">
        <f>SUM(D525:O525)</f>
        <v/>
      </c>
      <c r="Q525" s="118" t="n"/>
    </row>
    <row r="526" hidden="1" outlineLevel="1" ht="15" customHeight="1">
      <c r="A526" s="269" t="n">
        <v>261</v>
      </c>
      <c r="B526" s="125" t="n"/>
      <c r="C526" s="119" t="inlineStr">
        <is>
          <t>Kế hoạch</t>
        </is>
      </c>
      <c r="D526" s="321">
        <f>SUMIFS(DATA!$I:$I,DATA!$C:$C,$B526,DATA!$J:$J,"&gt;="&amp;DATE($I$2,D$4,1),DATA!$J:$J,"&lt;="&amp;DATE($I$2,D$4,D$5))</f>
        <v/>
      </c>
      <c r="E526" s="321">
        <f>SUMIFS(DATA!$I:$I,DATA!$C:$C,$B526,DATA!$J:$J,"&gt;="&amp;DATE($I$2,E$4,1),DATA!$J:$J,"&lt;="&amp;DATE($I$2,E$4,E$5))</f>
        <v/>
      </c>
      <c r="F526" s="321">
        <f>SUMIFS(DATA!$I:$I,DATA!$C:$C,$B526,DATA!$J:$J,"&gt;="&amp;DATE($I$2,F$4,1),DATA!$J:$J,"&lt;="&amp;DATE($I$2,F$4,F$5))</f>
        <v/>
      </c>
      <c r="G526" s="321">
        <f>SUMIFS(DATA!$I:$I,DATA!$C:$C,$B526,DATA!$J:$J,"&gt;="&amp;DATE($I$2,G$4,1),DATA!$J:$J,"&lt;="&amp;DATE($I$2,G$4,G$5))</f>
        <v/>
      </c>
      <c r="H526" s="321">
        <f>SUMIFS(DATA!$I:$I,DATA!$C:$C,$B526,DATA!$J:$J,"&gt;="&amp;DATE($I$2,H$4,1),DATA!$J:$J,"&lt;="&amp;DATE($I$2,H$4,H$5))</f>
        <v/>
      </c>
      <c r="I526" s="321">
        <f>SUMIFS(DATA!$I:$I,DATA!$C:$C,$B526,DATA!$J:$J,"&gt;="&amp;DATE($I$2,I$4,1),DATA!$J:$J,"&lt;="&amp;DATE($I$2,I$4,I$5))</f>
        <v/>
      </c>
      <c r="J526" s="321">
        <f>SUMIFS(DATA!$I:$I,DATA!$C:$C,$B526,DATA!$J:$J,"&gt;="&amp;DATE($I$2,J$4,1),DATA!$J:$J,"&lt;="&amp;DATE($I$2,J$4,J$5))</f>
        <v/>
      </c>
      <c r="K526" s="321">
        <f>SUMIFS(DATA!$I:$I,DATA!$C:$C,$B526,DATA!$J:$J,"&gt;="&amp;DATE($I$2,K$4,1),DATA!$J:$J,"&lt;="&amp;DATE($I$2,K$4,K$5))</f>
        <v/>
      </c>
      <c r="L526" s="321">
        <f>SUMIFS(DATA!$I:$I,DATA!$C:$C,$B526,DATA!$J:$J,"&gt;="&amp;DATE($I$2,L$4,1),DATA!$J:$J,"&lt;="&amp;DATE($I$2,L$4,L$5))</f>
        <v/>
      </c>
      <c r="M526" s="321">
        <f>SUMIFS(DATA!$I:$I,DATA!$C:$C,$B526,DATA!$J:$J,"&gt;="&amp;DATE($I$2,M$4,1),DATA!$J:$J,"&lt;="&amp;DATE($I$2,M$4,M$5))</f>
        <v/>
      </c>
      <c r="N526" s="321">
        <f>SUMIFS(DATA!$I:$I,DATA!$C:$C,$B526,DATA!$J:$J,"&gt;="&amp;DATE($I$2,N$4,1),DATA!$J:$J,"&lt;="&amp;DATE($I$2,N$4,N$5))</f>
        <v/>
      </c>
      <c r="O526" s="321">
        <f>SUMIFS(DATA!$I:$I,DATA!$C:$C,$B526,DATA!$J:$J,"&gt;="&amp;DATE($I$2,O$4,1),DATA!$J:$J,"&lt;="&amp;DATE($I$2,O$4,O$5))</f>
        <v/>
      </c>
      <c r="P526" s="322">
        <f>SUM(D526:O526)</f>
        <v/>
      </c>
      <c r="Q526" s="118" t="n"/>
    </row>
    <row r="527" hidden="1" outlineLevel="1" ht="15" customHeight="1">
      <c r="A527" s="266" t="n"/>
      <c r="B527" s="126" t="n"/>
      <c r="C527" s="119" t="inlineStr">
        <is>
          <t>Thực tế</t>
        </is>
      </c>
      <c r="D527" s="321">
        <f>SUMIFS(DATA!$M:$M,DATA!$C:$C,$B526,DATA!$N:$N,"&gt;="&amp;DATE($I$2,D$4,1),DATA!$N:$N,"&lt;="&amp;DATE($I$2,D$4,D$5))</f>
        <v/>
      </c>
      <c r="E527" s="321">
        <f>SUMIFS(DATA!$M:$M,DATA!$C:$C,$B526,DATA!$N:$N,"&gt;="&amp;DATE($I$2,E$4,1),DATA!$N:$N,"&lt;="&amp;DATE($I$2,E$4,E$5))</f>
        <v/>
      </c>
      <c r="F527" s="321">
        <f>SUMIFS(DATA!$M:$M,DATA!$C:$C,$B526,DATA!$N:$N,"&gt;="&amp;DATE($I$2,F$4,1),DATA!$N:$N,"&lt;="&amp;DATE($I$2,F$4,F$5))</f>
        <v/>
      </c>
      <c r="G527" s="321">
        <f>SUMIFS(DATA!$M:$M,DATA!$C:$C,$B526,DATA!$N:$N,"&gt;="&amp;DATE($I$2,G$4,1),DATA!$N:$N,"&lt;="&amp;DATE($I$2,G$4,G$5))</f>
        <v/>
      </c>
      <c r="H527" s="321">
        <f>SUMIFS(DATA!$M:$M,DATA!$C:$C,$B526,DATA!$N:$N,"&gt;="&amp;DATE($I$2,H$4,1),DATA!$N:$N,"&lt;="&amp;DATE($I$2,H$4,H$5))</f>
        <v/>
      </c>
      <c r="I527" s="321">
        <f>SUMIFS(DATA!$M:$M,DATA!$C:$C,$B526,DATA!$N:$N,"&gt;="&amp;DATE($I$2,I$4,1),DATA!$N:$N,"&lt;="&amp;DATE($I$2,I$4,I$5))</f>
        <v/>
      </c>
      <c r="J527" s="321">
        <f>SUMIFS(DATA!$M:$M,DATA!$C:$C,$B526,DATA!$N:$N,"&gt;="&amp;DATE($I$2,J$4,1),DATA!$N:$N,"&lt;="&amp;DATE($I$2,J$4,J$5))</f>
        <v/>
      </c>
      <c r="K527" s="321">
        <f>SUMIFS(DATA!$M:$M,DATA!$C:$C,$B526,DATA!$N:$N,"&gt;="&amp;DATE($I$2,K$4,1),DATA!$N:$N,"&lt;="&amp;DATE($I$2,K$4,K$5))</f>
        <v/>
      </c>
      <c r="L527" s="321">
        <f>SUMIFS(DATA!$M:$M,DATA!$C:$C,$B526,DATA!$N:$N,"&gt;="&amp;DATE($I$2,L$4,1),DATA!$N:$N,"&lt;="&amp;DATE($I$2,L$4,L$5))</f>
        <v/>
      </c>
      <c r="M527" s="321">
        <f>SUMIFS(DATA!$M:$M,DATA!$C:$C,$B526,DATA!$N:$N,"&gt;="&amp;DATE($I$2,M$4,1),DATA!$N:$N,"&lt;="&amp;DATE($I$2,M$4,M$5))</f>
        <v/>
      </c>
      <c r="N527" s="321">
        <f>SUMIFS(DATA!$M:$M,DATA!$C:$C,$B526,DATA!$N:$N,"&gt;="&amp;DATE($I$2,N$4,1),DATA!$N:$N,"&lt;="&amp;DATE($I$2,N$4,N$5))</f>
        <v/>
      </c>
      <c r="O527" s="321">
        <f>SUMIFS(DATA!$M:$M,DATA!$C:$C,$B526,DATA!$N:$N,"&gt;="&amp;DATE($I$2,O$4,1),DATA!$N:$N,"&lt;="&amp;DATE($I$2,O$4,O$5))</f>
        <v/>
      </c>
      <c r="P527" s="322">
        <f>SUM(D527:O527)</f>
        <v/>
      </c>
      <c r="Q527" s="118" t="n"/>
    </row>
    <row r="528" hidden="1" outlineLevel="1" ht="15" customHeight="1">
      <c r="A528" s="269" t="n">
        <v>262</v>
      </c>
      <c r="B528" s="125" t="n"/>
      <c r="C528" s="119" t="inlineStr">
        <is>
          <t>Kế hoạch</t>
        </is>
      </c>
      <c r="D528" s="321">
        <f>SUMIFS(DATA!$I:$I,DATA!$C:$C,$B528,DATA!$J:$J,"&gt;="&amp;DATE($I$2,D$4,1),DATA!$J:$J,"&lt;="&amp;DATE($I$2,D$4,D$5))</f>
        <v/>
      </c>
      <c r="E528" s="321">
        <f>SUMIFS(DATA!$I:$I,DATA!$C:$C,$B528,DATA!$J:$J,"&gt;="&amp;DATE($I$2,E$4,1),DATA!$J:$J,"&lt;="&amp;DATE($I$2,E$4,E$5))</f>
        <v/>
      </c>
      <c r="F528" s="321">
        <f>SUMIFS(DATA!$I:$I,DATA!$C:$C,$B528,DATA!$J:$J,"&gt;="&amp;DATE($I$2,F$4,1),DATA!$J:$J,"&lt;="&amp;DATE($I$2,F$4,F$5))</f>
        <v/>
      </c>
      <c r="G528" s="321">
        <f>SUMIFS(DATA!$I:$I,DATA!$C:$C,$B528,DATA!$J:$J,"&gt;="&amp;DATE($I$2,G$4,1),DATA!$J:$J,"&lt;="&amp;DATE($I$2,G$4,G$5))</f>
        <v/>
      </c>
      <c r="H528" s="321">
        <f>SUMIFS(DATA!$I:$I,DATA!$C:$C,$B528,DATA!$J:$J,"&gt;="&amp;DATE($I$2,H$4,1),DATA!$J:$J,"&lt;="&amp;DATE($I$2,H$4,H$5))</f>
        <v/>
      </c>
      <c r="I528" s="321">
        <f>SUMIFS(DATA!$I:$I,DATA!$C:$C,$B528,DATA!$J:$J,"&gt;="&amp;DATE($I$2,I$4,1),DATA!$J:$J,"&lt;="&amp;DATE($I$2,I$4,I$5))</f>
        <v/>
      </c>
      <c r="J528" s="321">
        <f>SUMIFS(DATA!$I:$I,DATA!$C:$C,$B528,DATA!$J:$J,"&gt;="&amp;DATE($I$2,J$4,1),DATA!$J:$J,"&lt;="&amp;DATE($I$2,J$4,J$5))</f>
        <v/>
      </c>
      <c r="K528" s="321">
        <f>SUMIFS(DATA!$I:$I,DATA!$C:$C,$B528,DATA!$J:$J,"&gt;="&amp;DATE($I$2,K$4,1),DATA!$J:$J,"&lt;="&amp;DATE($I$2,K$4,K$5))</f>
        <v/>
      </c>
      <c r="L528" s="321">
        <f>SUMIFS(DATA!$I:$I,DATA!$C:$C,$B528,DATA!$J:$J,"&gt;="&amp;DATE($I$2,L$4,1),DATA!$J:$J,"&lt;="&amp;DATE($I$2,L$4,L$5))</f>
        <v/>
      </c>
      <c r="M528" s="321">
        <f>SUMIFS(DATA!$I:$I,DATA!$C:$C,$B528,DATA!$J:$J,"&gt;="&amp;DATE($I$2,M$4,1),DATA!$J:$J,"&lt;="&amp;DATE($I$2,M$4,M$5))</f>
        <v/>
      </c>
      <c r="N528" s="321">
        <f>SUMIFS(DATA!$I:$I,DATA!$C:$C,$B528,DATA!$J:$J,"&gt;="&amp;DATE($I$2,N$4,1),DATA!$J:$J,"&lt;="&amp;DATE($I$2,N$4,N$5))</f>
        <v/>
      </c>
      <c r="O528" s="321">
        <f>SUMIFS(DATA!$I:$I,DATA!$C:$C,$B528,DATA!$J:$J,"&gt;="&amp;DATE($I$2,O$4,1),DATA!$J:$J,"&lt;="&amp;DATE($I$2,O$4,O$5))</f>
        <v/>
      </c>
      <c r="P528" s="322">
        <f>SUM(D528:O528)</f>
        <v/>
      </c>
      <c r="Q528" s="118" t="n"/>
    </row>
    <row r="529" hidden="1" outlineLevel="1" ht="15" customHeight="1">
      <c r="A529" s="266" t="n"/>
      <c r="B529" s="126" t="n"/>
      <c r="C529" s="119" t="inlineStr">
        <is>
          <t>Thực tế</t>
        </is>
      </c>
      <c r="D529" s="321">
        <f>SUMIFS(DATA!$M:$M,DATA!$C:$C,$B528,DATA!$N:$N,"&gt;="&amp;DATE($I$2,D$4,1),DATA!$N:$N,"&lt;="&amp;DATE($I$2,D$4,D$5))</f>
        <v/>
      </c>
      <c r="E529" s="321">
        <f>SUMIFS(DATA!$M:$M,DATA!$C:$C,$B528,DATA!$N:$N,"&gt;="&amp;DATE($I$2,E$4,1),DATA!$N:$N,"&lt;="&amp;DATE($I$2,E$4,E$5))</f>
        <v/>
      </c>
      <c r="F529" s="321">
        <f>SUMIFS(DATA!$M:$M,DATA!$C:$C,$B528,DATA!$N:$N,"&gt;="&amp;DATE($I$2,F$4,1),DATA!$N:$N,"&lt;="&amp;DATE($I$2,F$4,F$5))</f>
        <v/>
      </c>
      <c r="G529" s="321">
        <f>SUMIFS(DATA!$M:$M,DATA!$C:$C,$B528,DATA!$N:$N,"&gt;="&amp;DATE($I$2,G$4,1),DATA!$N:$N,"&lt;="&amp;DATE($I$2,G$4,G$5))</f>
        <v/>
      </c>
      <c r="H529" s="321">
        <f>SUMIFS(DATA!$M:$M,DATA!$C:$C,$B528,DATA!$N:$N,"&gt;="&amp;DATE($I$2,H$4,1),DATA!$N:$N,"&lt;="&amp;DATE($I$2,H$4,H$5))</f>
        <v/>
      </c>
      <c r="I529" s="321">
        <f>SUMIFS(DATA!$M:$M,DATA!$C:$C,$B528,DATA!$N:$N,"&gt;="&amp;DATE($I$2,I$4,1),DATA!$N:$N,"&lt;="&amp;DATE($I$2,I$4,I$5))</f>
        <v/>
      </c>
      <c r="J529" s="321">
        <f>SUMIFS(DATA!$M:$M,DATA!$C:$C,$B528,DATA!$N:$N,"&gt;="&amp;DATE($I$2,J$4,1),DATA!$N:$N,"&lt;="&amp;DATE($I$2,J$4,J$5))</f>
        <v/>
      </c>
      <c r="K529" s="321">
        <f>SUMIFS(DATA!$M:$M,DATA!$C:$C,$B528,DATA!$N:$N,"&gt;="&amp;DATE($I$2,K$4,1),DATA!$N:$N,"&lt;="&amp;DATE($I$2,K$4,K$5))</f>
        <v/>
      </c>
      <c r="L529" s="321">
        <f>SUMIFS(DATA!$M:$M,DATA!$C:$C,$B528,DATA!$N:$N,"&gt;="&amp;DATE($I$2,L$4,1),DATA!$N:$N,"&lt;="&amp;DATE($I$2,L$4,L$5))</f>
        <v/>
      </c>
      <c r="M529" s="321">
        <f>SUMIFS(DATA!$M:$M,DATA!$C:$C,$B528,DATA!$N:$N,"&gt;="&amp;DATE($I$2,M$4,1),DATA!$N:$N,"&lt;="&amp;DATE($I$2,M$4,M$5))</f>
        <v/>
      </c>
      <c r="N529" s="321">
        <f>SUMIFS(DATA!$M:$M,DATA!$C:$C,$B528,DATA!$N:$N,"&gt;="&amp;DATE($I$2,N$4,1),DATA!$N:$N,"&lt;="&amp;DATE($I$2,N$4,N$5))</f>
        <v/>
      </c>
      <c r="O529" s="321">
        <f>SUMIFS(DATA!$M:$M,DATA!$C:$C,$B528,DATA!$N:$N,"&gt;="&amp;DATE($I$2,O$4,1),DATA!$N:$N,"&lt;="&amp;DATE($I$2,O$4,O$5))</f>
        <v/>
      </c>
      <c r="P529" s="322">
        <f>SUM(D529:O529)</f>
        <v/>
      </c>
      <c r="Q529" s="118" t="n"/>
    </row>
    <row r="530" hidden="1" outlineLevel="1" ht="15" customHeight="1">
      <c r="A530" s="269" t="n">
        <v>263</v>
      </c>
      <c r="B530" s="125" t="n"/>
      <c r="C530" s="119" t="inlineStr">
        <is>
          <t>Kế hoạch</t>
        </is>
      </c>
      <c r="D530" s="321">
        <f>SUMIFS(DATA!$I:$I,DATA!$C:$C,$B530,DATA!$J:$J,"&gt;="&amp;DATE($I$2,D$4,1),DATA!$J:$J,"&lt;="&amp;DATE($I$2,D$4,D$5))</f>
        <v/>
      </c>
      <c r="E530" s="321">
        <f>SUMIFS(DATA!$I:$I,DATA!$C:$C,$B530,DATA!$J:$J,"&gt;="&amp;DATE($I$2,E$4,1),DATA!$J:$J,"&lt;="&amp;DATE($I$2,E$4,E$5))</f>
        <v/>
      </c>
      <c r="F530" s="321">
        <f>SUMIFS(DATA!$I:$I,DATA!$C:$C,$B530,DATA!$J:$J,"&gt;="&amp;DATE($I$2,F$4,1),DATA!$J:$J,"&lt;="&amp;DATE($I$2,F$4,F$5))</f>
        <v/>
      </c>
      <c r="G530" s="321">
        <f>SUMIFS(DATA!$I:$I,DATA!$C:$C,$B530,DATA!$J:$J,"&gt;="&amp;DATE($I$2,G$4,1),DATA!$J:$J,"&lt;="&amp;DATE($I$2,G$4,G$5))</f>
        <v/>
      </c>
      <c r="H530" s="321">
        <f>SUMIFS(DATA!$I:$I,DATA!$C:$C,$B530,DATA!$J:$J,"&gt;="&amp;DATE($I$2,H$4,1),DATA!$J:$J,"&lt;="&amp;DATE($I$2,H$4,H$5))</f>
        <v/>
      </c>
      <c r="I530" s="321">
        <f>SUMIFS(DATA!$I:$I,DATA!$C:$C,$B530,DATA!$J:$J,"&gt;="&amp;DATE($I$2,I$4,1),DATA!$J:$J,"&lt;="&amp;DATE($I$2,I$4,I$5))</f>
        <v/>
      </c>
      <c r="J530" s="321">
        <f>SUMIFS(DATA!$I:$I,DATA!$C:$C,$B530,DATA!$J:$J,"&gt;="&amp;DATE($I$2,J$4,1),DATA!$J:$J,"&lt;="&amp;DATE($I$2,J$4,J$5))</f>
        <v/>
      </c>
      <c r="K530" s="321">
        <f>SUMIFS(DATA!$I:$I,DATA!$C:$C,$B530,DATA!$J:$J,"&gt;="&amp;DATE($I$2,K$4,1),DATA!$J:$J,"&lt;="&amp;DATE($I$2,K$4,K$5))</f>
        <v/>
      </c>
      <c r="L530" s="321">
        <f>SUMIFS(DATA!$I:$I,DATA!$C:$C,$B530,DATA!$J:$J,"&gt;="&amp;DATE($I$2,L$4,1),DATA!$J:$J,"&lt;="&amp;DATE($I$2,L$4,L$5))</f>
        <v/>
      </c>
      <c r="M530" s="321">
        <f>SUMIFS(DATA!$I:$I,DATA!$C:$C,$B530,DATA!$J:$J,"&gt;="&amp;DATE($I$2,M$4,1),DATA!$J:$J,"&lt;="&amp;DATE($I$2,M$4,M$5))</f>
        <v/>
      </c>
      <c r="N530" s="321">
        <f>SUMIFS(DATA!$I:$I,DATA!$C:$C,$B530,DATA!$J:$J,"&gt;="&amp;DATE($I$2,N$4,1),DATA!$J:$J,"&lt;="&amp;DATE($I$2,N$4,N$5))</f>
        <v/>
      </c>
      <c r="O530" s="321">
        <f>SUMIFS(DATA!$I:$I,DATA!$C:$C,$B530,DATA!$J:$J,"&gt;="&amp;DATE($I$2,O$4,1),DATA!$J:$J,"&lt;="&amp;DATE($I$2,O$4,O$5))</f>
        <v/>
      </c>
      <c r="P530" s="322">
        <f>SUM(D530:O530)</f>
        <v/>
      </c>
      <c r="Q530" s="118" t="n"/>
    </row>
    <row r="531" hidden="1" outlineLevel="1" ht="15" customHeight="1">
      <c r="A531" s="266" t="n"/>
      <c r="B531" s="126" t="n"/>
      <c r="C531" s="119" t="inlineStr">
        <is>
          <t>Thực tế</t>
        </is>
      </c>
      <c r="D531" s="321">
        <f>SUMIFS(DATA!$M:$M,DATA!$C:$C,$B530,DATA!$N:$N,"&gt;="&amp;DATE($I$2,D$4,1),DATA!$N:$N,"&lt;="&amp;DATE($I$2,D$4,D$5))</f>
        <v/>
      </c>
      <c r="E531" s="321">
        <f>SUMIFS(DATA!$M:$M,DATA!$C:$C,$B530,DATA!$N:$N,"&gt;="&amp;DATE($I$2,E$4,1),DATA!$N:$N,"&lt;="&amp;DATE($I$2,E$4,E$5))</f>
        <v/>
      </c>
      <c r="F531" s="321">
        <f>SUMIFS(DATA!$M:$M,DATA!$C:$C,$B530,DATA!$N:$N,"&gt;="&amp;DATE($I$2,F$4,1),DATA!$N:$N,"&lt;="&amp;DATE($I$2,F$4,F$5))</f>
        <v/>
      </c>
      <c r="G531" s="321">
        <f>SUMIFS(DATA!$M:$M,DATA!$C:$C,$B530,DATA!$N:$N,"&gt;="&amp;DATE($I$2,G$4,1),DATA!$N:$N,"&lt;="&amp;DATE($I$2,G$4,G$5))</f>
        <v/>
      </c>
      <c r="H531" s="321">
        <f>SUMIFS(DATA!$M:$M,DATA!$C:$C,$B530,DATA!$N:$N,"&gt;="&amp;DATE($I$2,H$4,1),DATA!$N:$N,"&lt;="&amp;DATE($I$2,H$4,H$5))</f>
        <v/>
      </c>
      <c r="I531" s="321">
        <f>SUMIFS(DATA!$M:$M,DATA!$C:$C,$B530,DATA!$N:$N,"&gt;="&amp;DATE($I$2,I$4,1),DATA!$N:$N,"&lt;="&amp;DATE($I$2,I$4,I$5))</f>
        <v/>
      </c>
      <c r="J531" s="321">
        <f>SUMIFS(DATA!$M:$M,DATA!$C:$C,$B530,DATA!$N:$N,"&gt;="&amp;DATE($I$2,J$4,1),DATA!$N:$N,"&lt;="&amp;DATE($I$2,J$4,J$5))</f>
        <v/>
      </c>
      <c r="K531" s="321">
        <f>SUMIFS(DATA!$M:$M,DATA!$C:$C,$B530,DATA!$N:$N,"&gt;="&amp;DATE($I$2,K$4,1),DATA!$N:$N,"&lt;="&amp;DATE($I$2,K$4,K$5))</f>
        <v/>
      </c>
      <c r="L531" s="321">
        <f>SUMIFS(DATA!$M:$M,DATA!$C:$C,$B530,DATA!$N:$N,"&gt;="&amp;DATE($I$2,L$4,1),DATA!$N:$N,"&lt;="&amp;DATE($I$2,L$4,L$5))</f>
        <v/>
      </c>
      <c r="M531" s="321">
        <f>SUMIFS(DATA!$M:$M,DATA!$C:$C,$B530,DATA!$N:$N,"&gt;="&amp;DATE($I$2,M$4,1),DATA!$N:$N,"&lt;="&amp;DATE($I$2,M$4,M$5))</f>
        <v/>
      </c>
      <c r="N531" s="321">
        <f>SUMIFS(DATA!$M:$M,DATA!$C:$C,$B530,DATA!$N:$N,"&gt;="&amp;DATE($I$2,N$4,1),DATA!$N:$N,"&lt;="&amp;DATE($I$2,N$4,N$5))</f>
        <v/>
      </c>
      <c r="O531" s="321">
        <f>SUMIFS(DATA!$M:$M,DATA!$C:$C,$B530,DATA!$N:$N,"&gt;="&amp;DATE($I$2,O$4,1),DATA!$N:$N,"&lt;="&amp;DATE($I$2,O$4,O$5))</f>
        <v/>
      </c>
      <c r="P531" s="322">
        <f>SUM(D531:O531)</f>
        <v/>
      </c>
      <c r="Q531" s="118" t="n"/>
    </row>
    <row r="532" hidden="1" outlineLevel="1" ht="15" customHeight="1">
      <c r="A532" s="269" t="n">
        <v>264</v>
      </c>
      <c r="B532" s="125" t="n"/>
      <c r="C532" s="119" t="inlineStr">
        <is>
          <t>Kế hoạch</t>
        </is>
      </c>
      <c r="D532" s="321">
        <f>SUMIFS(DATA!$I:$I,DATA!$C:$C,$B532,DATA!$J:$J,"&gt;="&amp;DATE($I$2,D$4,1),DATA!$J:$J,"&lt;="&amp;DATE($I$2,D$4,D$5))</f>
        <v/>
      </c>
      <c r="E532" s="321">
        <f>SUMIFS(DATA!$I:$I,DATA!$C:$C,$B532,DATA!$J:$J,"&gt;="&amp;DATE($I$2,E$4,1),DATA!$J:$J,"&lt;="&amp;DATE($I$2,E$4,E$5))</f>
        <v/>
      </c>
      <c r="F532" s="321">
        <f>SUMIFS(DATA!$I:$I,DATA!$C:$C,$B532,DATA!$J:$J,"&gt;="&amp;DATE($I$2,F$4,1),DATA!$J:$J,"&lt;="&amp;DATE($I$2,F$4,F$5))</f>
        <v/>
      </c>
      <c r="G532" s="321">
        <f>SUMIFS(DATA!$I:$I,DATA!$C:$C,$B532,DATA!$J:$J,"&gt;="&amp;DATE($I$2,G$4,1),DATA!$J:$J,"&lt;="&amp;DATE($I$2,G$4,G$5))</f>
        <v/>
      </c>
      <c r="H532" s="321">
        <f>SUMIFS(DATA!$I:$I,DATA!$C:$C,$B532,DATA!$J:$J,"&gt;="&amp;DATE($I$2,H$4,1),DATA!$J:$J,"&lt;="&amp;DATE($I$2,H$4,H$5))</f>
        <v/>
      </c>
      <c r="I532" s="321">
        <f>SUMIFS(DATA!$I:$I,DATA!$C:$C,$B532,DATA!$J:$J,"&gt;="&amp;DATE($I$2,I$4,1),DATA!$J:$J,"&lt;="&amp;DATE($I$2,I$4,I$5))</f>
        <v/>
      </c>
      <c r="J532" s="321">
        <f>SUMIFS(DATA!$I:$I,DATA!$C:$C,$B532,DATA!$J:$J,"&gt;="&amp;DATE($I$2,J$4,1),DATA!$J:$J,"&lt;="&amp;DATE($I$2,J$4,J$5))</f>
        <v/>
      </c>
      <c r="K532" s="321">
        <f>SUMIFS(DATA!$I:$I,DATA!$C:$C,$B532,DATA!$J:$J,"&gt;="&amp;DATE($I$2,K$4,1),DATA!$J:$J,"&lt;="&amp;DATE($I$2,K$4,K$5))</f>
        <v/>
      </c>
      <c r="L532" s="321">
        <f>SUMIFS(DATA!$I:$I,DATA!$C:$C,$B532,DATA!$J:$J,"&gt;="&amp;DATE($I$2,L$4,1),DATA!$J:$J,"&lt;="&amp;DATE($I$2,L$4,L$5))</f>
        <v/>
      </c>
      <c r="M532" s="321">
        <f>SUMIFS(DATA!$I:$I,DATA!$C:$C,$B532,DATA!$J:$J,"&gt;="&amp;DATE($I$2,M$4,1),DATA!$J:$J,"&lt;="&amp;DATE($I$2,M$4,M$5))</f>
        <v/>
      </c>
      <c r="N532" s="321">
        <f>SUMIFS(DATA!$I:$I,DATA!$C:$C,$B532,DATA!$J:$J,"&gt;="&amp;DATE($I$2,N$4,1),DATA!$J:$J,"&lt;="&amp;DATE($I$2,N$4,N$5))</f>
        <v/>
      </c>
      <c r="O532" s="321">
        <f>SUMIFS(DATA!$I:$I,DATA!$C:$C,$B532,DATA!$J:$J,"&gt;="&amp;DATE($I$2,O$4,1),DATA!$J:$J,"&lt;="&amp;DATE($I$2,O$4,O$5))</f>
        <v/>
      </c>
      <c r="P532" s="322">
        <f>SUM(D532:O532)</f>
        <v/>
      </c>
      <c r="Q532" s="118" t="n"/>
    </row>
    <row r="533" hidden="1" outlineLevel="1" ht="15" customHeight="1">
      <c r="A533" s="266" t="n"/>
      <c r="B533" s="126" t="n"/>
      <c r="C533" s="119" t="inlineStr">
        <is>
          <t>Thực tế</t>
        </is>
      </c>
      <c r="D533" s="321">
        <f>SUMIFS(DATA!$M:$M,DATA!$C:$C,$B532,DATA!$N:$N,"&gt;="&amp;DATE($I$2,D$4,1),DATA!$N:$N,"&lt;="&amp;DATE($I$2,D$4,D$5))</f>
        <v/>
      </c>
      <c r="E533" s="321">
        <f>SUMIFS(DATA!$M:$M,DATA!$C:$C,$B532,DATA!$N:$N,"&gt;="&amp;DATE($I$2,E$4,1),DATA!$N:$N,"&lt;="&amp;DATE($I$2,E$4,E$5))</f>
        <v/>
      </c>
      <c r="F533" s="321">
        <f>SUMIFS(DATA!$M:$M,DATA!$C:$C,$B532,DATA!$N:$N,"&gt;="&amp;DATE($I$2,F$4,1),DATA!$N:$N,"&lt;="&amp;DATE($I$2,F$4,F$5))</f>
        <v/>
      </c>
      <c r="G533" s="321">
        <f>SUMIFS(DATA!$M:$M,DATA!$C:$C,$B532,DATA!$N:$N,"&gt;="&amp;DATE($I$2,G$4,1),DATA!$N:$N,"&lt;="&amp;DATE($I$2,G$4,G$5))</f>
        <v/>
      </c>
      <c r="H533" s="321">
        <f>SUMIFS(DATA!$M:$M,DATA!$C:$C,$B532,DATA!$N:$N,"&gt;="&amp;DATE($I$2,H$4,1),DATA!$N:$N,"&lt;="&amp;DATE($I$2,H$4,H$5))</f>
        <v/>
      </c>
      <c r="I533" s="321">
        <f>SUMIFS(DATA!$M:$M,DATA!$C:$C,$B532,DATA!$N:$N,"&gt;="&amp;DATE($I$2,I$4,1),DATA!$N:$N,"&lt;="&amp;DATE($I$2,I$4,I$5))</f>
        <v/>
      </c>
      <c r="J533" s="321">
        <f>SUMIFS(DATA!$M:$M,DATA!$C:$C,$B532,DATA!$N:$N,"&gt;="&amp;DATE($I$2,J$4,1),DATA!$N:$N,"&lt;="&amp;DATE($I$2,J$4,J$5))</f>
        <v/>
      </c>
      <c r="K533" s="321">
        <f>SUMIFS(DATA!$M:$M,DATA!$C:$C,$B532,DATA!$N:$N,"&gt;="&amp;DATE($I$2,K$4,1),DATA!$N:$N,"&lt;="&amp;DATE($I$2,K$4,K$5))</f>
        <v/>
      </c>
      <c r="L533" s="321">
        <f>SUMIFS(DATA!$M:$M,DATA!$C:$C,$B532,DATA!$N:$N,"&gt;="&amp;DATE($I$2,L$4,1),DATA!$N:$N,"&lt;="&amp;DATE($I$2,L$4,L$5))</f>
        <v/>
      </c>
      <c r="M533" s="321">
        <f>SUMIFS(DATA!$M:$M,DATA!$C:$C,$B532,DATA!$N:$N,"&gt;="&amp;DATE($I$2,M$4,1),DATA!$N:$N,"&lt;="&amp;DATE($I$2,M$4,M$5))</f>
        <v/>
      </c>
      <c r="N533" s="321">
        <f>SUMIFS(DATA!$M:$M,DATA!$C:$C,$B532,DATA!$N:$N,"&gt;="&amp;DATE($I$2,N$4,1),DATA!$N:$N,"&lt;="&amp;DATE($I$2,N$4,N$5))</f>
        <v/>
      </c>
      <c r="O533" s="321">
        <f>SUMIFS(DATA!$M:$M,DATA!$C:$C,$B532,DATA!$N:$N,"&gt;="&amp;DATE($I$2,O$4,1),DATA!$N:$N,"&lt;="&amp;DATE($I$2,O$4,O$5))</f>
        <v/>
      </c>
      <c r="P533" s="322">
        <f>SUM(D533:O533)</f>
        <v/>
      </c>
      <c r="Q533" s="118" t="n"/>
    </row>
    <row r="534" hidden="1" outlineLevel="1" ht="15" customHeight="1">
      <c r="A534" s="269" t="n">
        <v>265</v>
      </c>
      <c r="B534" s="125" t="n"/>
      <c r="C534" s="119" t="inlineStr">
        <is>
          <t>Kế hoạch</t>
        </is>
      </c>
      <c r="D534" s="321">
        <f>SUMIFS(DATA!$I:$I,DATA!$C:$C,$B534,DATA!$J:$J,"&gt;="&amp;DATE($I$2,D$4,1),DATA!$J:$J,"&lt;="&amp;DATE($I$2,D$4,D$5))</f>
        <v/>
      </c>
      <c r="E534" s="321">
        <f>SUMIFS(DATA!$I:$I,DATA!$C:$C,$B534,DATA!$J:$J,"&gt;="&amp;DATE($I$2,E$4,1),DATA!$J:$J,"&lt;="&amp;DATE($I$2,E$4,E$5))</f>
        <v/>
      </c>
      <c r="F534" s="321">
        <f>SUMIFS(DATA!$I:$I,DATA!$C:$C,$B534,DATA!$J:$J,"&gt;="&amp;DATE($I$2,F$4,1),DATA!$J:$J,"&lt;="&amp;DATE($I$2,F$4,F$5))</f>
        <v/>
      </c>
      <c r="G534" s="321">
        <f>SUMIFS(DATA!$I:$I,DATA!$C:$C,$B534,DATA!$J:$J,"&gt;="&amp;DATE($I$2,G$4,1),DATA!$J:$J,"&lt;="&amp;DATE($I$2,G$4,G$5))</f>
        <v/>
      </c>
      <c r="H534" s="321">
        <f>SUMIFS(DATA!$I:$I,DATA!$C:$C,$B534,DATA!$J:$J,"&gt;="&amp;DATE($I$2,H$4,1),DATA!$J:$J,"&lt;="&amp;DATE($I$2,H$4,H$5))</f>
        <v/>
      </c>
      <c r="I534" s="321">
        <f>SUMIFS(DATA!$I:$I,DATA!$C:$C,$B534,DATA!$J:$J,"&gt;="&amp;DATE($I$2,I$4,1),DATA!$J:$J,"&lt;="&amp;DATE($I$2,I$4,I$5))</f>
        <v/>
      </c>
      <c r="J534" s="321">
        <f>SUMIFS(DATA!$I:$I,DATA!$C:$C,$B534,DATA!$J:$J,"&gt;="&amp;DATE($I$2,J$4,1),DATA!$J:$J,"&lt;="&amp;DATE($I$2,J$4,J$5))</f>
        <v/>
      </c>
      <c r="K534" s="321">
        <f>SUMIFS(DATA!$I:$I,DATA!$C:$C,$B534,DATA!$J:$J,"&gt;="&amp;DATE($I$2,K$4,1),DATA!$J:$J,"&lt;="&amp;DATE($I$2,K$4,K$5))</f>
        <v/>
      </c>
      <c r="L534" s="321">
        <f>SUMIFS(DATA!$I:$I,DATA!$C:$C,$B534,DATA!$J:$J,"&gt;="&amp;DATE($I$2,L$4,1),DATA!$J:$J,"&lt;="&amp;DATE($I$2,L$4,L$5))</f>
        <v/>
      </c>
      <c r="M534" s="321">
        <f>SUMIFS(DATA!$I:$I,DATA!$C:$C,$B534,DATA!$J:$J,"&gt;="&amp;DATE($I$2,M$4,1),DATA!$J:$J,"&lt;="&amp;DATE($I$2,M$4,M$5))</f>
        <v/>
      </c>
      <c r="N534" s="321">
        <f>SUMIFS(DATA!$I:$I,DATA!$C:$C,$B534,DATA!$J:$J,"&gt;="&amp;DATE($I$2,N$4,1),DATA!$J:$J,"&lt;="&amp;DATE($I$2,N$4,N$5))</f>
        <v/>
      </c>
      <c r="O534" s="321">
        <f>SUMIFS(DATA!$I:$I,DATA!$C:$C,$B534,DATA!$J:$J,"&gt;="&amp;DATE($I$2,O$4,1),DATA!$J:$J,"&lt;="&amp;DATE($I$2,O$4,O$5))</f>
        <v/>
      </c>
      <c r="P534" s="322">
        <f>SUM(D534:O534)</f>
        <v/>
      </c>
      <c r="Q534" s="118" t="n"/>
    </row>
    <row r="535" hidden="1" outlineLevel="1" ht="15" customHeight="1">
      <c r="A535" s="266" t="n"/>
      <c r="B535" s="126" t="n"/>
      <c r="C535" s="119" t="inlineStr">
        <is>
          <t>Thực tế</t>
        </is>
      </c>
      <c r="D535" s="321">
        <f>SUMIFS(DATA!$M:$M,DATA!$C:$C,$B534,DATA!$N:$N,"&gt;="&amp;DATE($I$2,D$4,1),DATA!$N:$N,"&lt;="&amp;DATE($I$2,D$4,D$5))</f>
        <v/>
      </c>
      <c r="E535" s="321">
        <f>SUMIFS(DATA!$M:$M,DATA!$C:$C,$B534,DATA!$N:$N,"&gt;="&amp;DATE($I$2,E$4,1),DATA!$N:$N,"&lt;="&amp;DATE($I$2,E$4,E$5))</f>
        <v/>
      </c>
      <c r="F535" s="321">
        <f>SUMIFS(DATA!$M:$M,DATA!$C:$C,$B534,DATA!$N:$N,"&gt;="&amp;DATE($I$2,F$4,1),DATA!$N:$N,"&lt;="&amp;DATE($I$2,F$4,F$5))</f>
        <v/>
      </c>
      <c r="G535" s="321">
        <f>SUMIFS(DATA!$M:$M,DATA!$C:$C,$B534,DATA!$N:$N,"&gt;="&amp;DATE($I$2,G$4,1),DATA!$N:$N,"&lt;="&amp;DATE($I$2,G$4,G$5))</f>
        <v/>
      </c>
      <c r="H535" s="321">
        <f>SUMIFS(DATA!$M:$M,DATA!$C:$C,$B534,DATA!$N:$N,"&gt;="&amp;DATE($I$2,H$4,1),DATA!$N:$N,"&lt;="&amp;DATE($I$2,H$4,H$5))</f>
        <v/>
      </c>
      <c r="I535" s="321">
        <f>SUMIFS(DATA!$M:$M,DATA!$C:$C,$B534,DATA!$N:$N,"&gt;="&amp;DATE($I$2,I$4,1),DATA!$N:$N,"&lt;="&amp;DATE($I$2,I$4,I$5))</f>
        <v/>
      </c>
      <c r="J535" s="321">
        <f>SUMIFS(DATA!$M:$M,DATA!$C:$C,$B534,DATA!$N:$N,"&gt;="&amp;DATE($I$2,J$4,1),DATA!$N:$N,"&lt;="&amp;DATE($I$2,J$4,J$5))</f>
        <v/>
      </c>
      <c r="K535" s="321">
        <f>SUMIFS(DATA!$M:$M,DATA!$C:$C,$B534,DATA!$N:$N,"&gt;="&amp;DATE($I$2,K$4,1),DATA!$N:$N,"&lt;="&amp;DATE($I$2,K$4,K$5))</f>
        <v/>
      </c>
      <c r="L535" s="321">
        <f>SUMIFS(DATA!$M:$M,DATA!$C:$C,$B534,DATA!$N:$N,"&gt;="&amp;DATE($I$2,L$4,1),DATA!$N:$N,"&lt;="&amp;DATE($I$2,L$4,L$5))</f>
        <v/>
      </c>
      <c r="M535" s="321">
        <f>SUMIFS(DATA!$M:$M,DATA!$C:$C,$B534,DATA!$N:$N,"&gt;="&amp;DATE($I$2,M$4,1),DATA!$N:$N,"&lt;="&amp;DATE($I$2,M$4,M$5))</f>
        <v/>
      </c>
      <c r="N535" s="321">
        <f>SUMIFS(DATA!$M:$M,DATA!$C:$C,$B534,DATA!$N:$N,"&gt;="&amp;DATE($I$2,N$4,1),DATA!$N:$N,"&lt;="&amp;DATE($I$2,N$4,N$5))</f>
        <v/>
      </c>
      <c r="O535" s="321">
        <f>SUMIFS(DATA!$M:$M,DATA!$C:$C,$B534,DATA!$N:$N,"&gt;="&amp;DATE($I$2,O$4,1),DATA!$N:$N,"&lt;="&amp;DATE($I$2,O$4,O$5))</f>
        <v/>
      </c>
      <c r="P535" s="322">
        <f>SUM(D535:O535)</f>
        <v/>
      </c>
      <c r="Q535" s="118" t="n"/>
    </row>
    <row r="536" hidden="1" outlineLevel="1" ht="15" customHeight="1">
      <c r="A536" s="269" t="n">
        <v>266</v>
      </c>
      <c r="B536" s="125" t="n"/>
      <c r="C536" s="119" t="inlineStr">
        <is>
          <t>Kế hoạch</t>
        </is>
      </c>
      <c r="D536" s="321">
        <f>SUMIFS(DATA!$I:$I,DATA!$C:$C,$B536,DATA!$J:$J,"&gt;="&amp;DATE($I$2,D$4,1),DATA!$J:$J,"&lt;="&amp;DATE($I$2,D$4,D$5))</f>
        <v/>
      </c>
      <c r="E536" s="321">
        <f>SUMIFS(DATA!$I:$I,DATA!$C:$C,$B536,DATA!$J:$J,"&gt;="&amp;DATE($I$2,E$4,1),DATA!$J:$J,"&lt;="&amp;DATE($I$2,E$4,E$5))</f>
        <v/>
      </c>
      <c r="F536" s="321">
        <f>SUMIFS(DATA!$I:$I,DATA!$C:$C,$B536,DATA!$J:$J,"&gt;="&amp;DATE($I$2,F$4,1),DATA!$J:$J,"&lt;="&amp;DATE($I$2,F$4,F$5))</f>
        <v/>
      </c>
      <c r="G536" s="321">
        <f>SUMIFS(DATA!$I:$I,DATA!$C:$C,$B536,DATA!$J:$J,"&gt;="&amp;DATE($I$2,G$4,1),DATA!$J:$J,"&lt;="&amp;DATE($I$2,G$4,G$5))</f>
        <v/>
      </c>
      <c r="H536" s="321">
        <f>SUMIFS(DATA!$I:$I,DATA!$C:$C,$B536,DATA!$J:$J,"&gt;="&amp;DATE($I$2,H$4,1),DATA!$J:$J,"&lt;="&amp;DATE($I$2,H$4,H$5))</f>
        <v/>
      </c>
      <c r="I536" s="321">
        <f>SUMIFS(DATA!$I:$I,DATA!$C:$C,$B536,DATA!$J:$J,"&gt;="&amp;DATE($I$2,I$4,1),DATA!$J:$J,"&lt;="&amp;DATE($I$2,I$4,I$5))</f>
        <v/>
      </c>
      <c r="J536" s="321">
        <f>SUMIFS(DATA!$I:$I,DATA!$C:$C,$B536,DATA!$J:$J,"&gt;="&amp;DATE($I$2,J$4,1),DATA!$J:$J,"&lt;="&amp;DATE($I$2,J$4,J$5))</f>
        <v/>
      </c>
      <c r="K536" s="321">
        <f>SUMIFS(DATA!$I:$I,DATA!$C:$C,$B536,DATA!$J:$J,"&gt;="&amp;DATE($I$2,K$4,1),DATA!$J:$J,"&lt;="&amp;DATE($I$2,K$4,K$5))</f>
        <v/>
      </c>
      <c r="L536" s="321">
        <f>SUMIFS(DATA!$I:$I,DATA!$C:$C,$B536,DATA!$J:$J,"&gt;="&amp;DATE($I$2,L$4,1),DATA!$J:$J,"&lt;="&amp;DATE($I$2,L$4,L$5))</f>
        <v/>
      </c>
      <c r="M536" s="321">
        <f>SUMIFS(DATA!$I:$I,DATA!$C:$C,$B536,DATA!$J:$J,"&gt;="&amp;DATE($I$2,M$4,1),DATA!$J:$J,"&lt;="&amp;DATE($I$2,M$4,M$5))</f>
        <v/>
      </c>
      <c r="N536" s="321">
        <f>SUMIFS(DATA!$I:$I,DATA!$C:$C,$B536,DATA!$J:$J,"&gt;="&amp;DATE($I$2,N$4,1),DATA!$J:$J,"&lt;="&amp;DATE($I$2,N$4,N$5))</f>
        <v/>
      </c>
      <c r="O536" s="321">
        <f>SUMIFS(DATA!$I:$I,DATA!$C:$C,$B536,DATA!$J:$J,"&gt;="&amp;DATE($I$2,O$4,1),DATA!$J:$J,"&lt;="&amp;DATE($I$2,O$4,O$5))</f>
        <v/>
      </c>
      <c r="P536" s="322">
        <f>SUM(D536:O536)</f>
        <v/>
      </c>
      <c r="Q536" s="118" t="n"/>
    </row>
    <row r="537" hidden="1" outlineLevel="1" ht="15" customHeight="1">
      <c r="A537" s="266" t="n"/>
      <c r="B537" s="126" t="n"/>
      <c r="C537" s="119" t="inlineStr">
        <is>
          <t>Thực tế</t>
        </is>
      </c>
      <c r="D537" s="321">
        <f>SUMIFS(DATA!$M:$M,DATA!$C:$C,$B536,DATA!$N:$N,"&gt;="&amp;DATE($I$2,D$4,1),DATA!$N:$N,"&lt;="&amp;DATE($I$2,D$4,D$5))</f>
        <v/>
      </c>
      <c r="E537" s="321">
        <f>SUMIFS(DATA!$M:$M,DATA!$C:$C,$B536,DATA!$N:$N,"&gt;="&amp;DATE($I$2,E$4,1),DATA!$N:$N,"&lt;="&amp;DATE($I$2,E$4,E$5))</f>
        <v/>
      </c>
      <c r="F537" s="321">
        <f>SUMIFS(DATA!$M:$M,DATA!$C:$C,$B536,DATA!$N:$N,"&gt;="&amp;DATE($I$2,F$4,1),DATA!$N:$N,"&lt;="&amp;DATE($I$2,F$4,F$5))</f>
        <v/>
      </c>
      <c r="G537" s="321">
        <f>SUMIFS(DATA!$M:$M,DATA!$C:$C,$B536,DATA!$N:$N,"&gt;="&amp;DATE($I$2,G$4,1),DATA!$N:$N,"&lt;="&amp;DATE($I$2,G$4,G$5))</f>
        <v/>
      </c>
      <c r="H537" s="321">
        <f>SUMIFS(DATA!$M:$M,DATA!$C:$C,$B536,DATA!$N:$N,"&gt;="&amp;DATE($I$2,H$4,1),DATA!$N:$N,"&lt;="&amp;DATE($I$2,H$4,H$5))</f>
        <v/>
      </c>
      <c r="I537" s="321">
        <f>SUMIFS(DATA!$M:$M,DATA!$C:$C,$B536,DATA!$N:$N,"&gt;="&amp;DATE($I$2,I$4,1),DATA!$N:$N,"&lt;="&amp;DATE($I$2,I$4,I$5))</f>
        <v/>
      </c>
      <c r="J537" s="321">
        <f>SUMIFS(DATA!$M:$M,DATA!$C:$C,$B536,DATA!$N:$N,"&gt;="&amp;DATE($I$2,J$4,1),DATA!$N:$N,"&lt;="&amp;DATE($I$2,J$4,J$5))</f>
        <v/>
      </c>
      <c r="K537" s="321">
        <f>SUMIFS(DATA!$M:$M,DATA!$C:$C,$B536,DATA!$N:$N,"&gt;="&amp;DATE($I$2,K$4,1),DATA!$N:$N,"&lt;="&amp;DATE($I$2,K$4,K$5))</f>
        <v/>
      </c>
      <c r="L537" s="321">
        <f>SUMIFS(DATA!$M:$M,DATA!$C:$C,$B536,DATA!$N:$N,"&gt;="&amp;DATE($I$2,L$4,1),DATA!$N:$N,"&lt;="&amp;DATE($I$2,L$4,L$5))</f>
        <v/>
      </c>
      <c r="M537" s="321">
        <f>SUMIFS(DATA!$M:$M,DATA!$C:$C,$B536,DATA!$N:$N,"&gt;="&amp;DATE($I$2,M$4,1),DATA!$N:$N,"&lt;="&amp;DATE($I$2,M$4,M$5))</f>
        <v/>
      </c>
      <c r="N537" s="321">
        <f>SUMIFS(DATA!$M:$M,DATA!$C:$C,$B536,DATA!$N:$N,"&gt;="&amp;DATE($I$2,N$4,1),DATA!$N:$N,"&lt;="&amp;DATE($I$2,N$4,N$5))</f>
        <v/>
      </c>
      <c r="O537" s="321">
        <f>SUMIFS(DATA!$M:$M,DATA!$C:$C,$B536,DATA!$N:$N,"&gt;="&amp;DATE($I$2,O$4,1),DATA!$N:$N,"&lt;="&amp;DATE($I$2,O$4,O$5))</f>
        <v/>
      </c>
      <c r="P537" s="322">
        <f>SUM(D537:O537)</f>
        <v/>
      </c>
      <c r="Q537" s="118" t="n"/>
    </row>
    <row r="538" hidden="1" outlineLevel="1" ht="15" customHeight="1">
      <c r="A538" s="269" t="n">
        <v>267</v>
      </c>
      <c r="B538" s="125" t="n"/>
      <c r="C538" s="119" t="inlineStr">
        <is>
          <t>Kế hoạch</t>
        </is>
      </c>
      <c r="D538" s="321">
        <f>SUMIFS(DATA!$I:$I,DATA!$C:$C,$B538,DATA!$J:$J,"&gt;="&amp;DATE($I$2,D$4,1),DATA!$J:$J,"&lt;="&amp;DATE($I$2,D$4,D$5))</f>
        <v/>
      </c>
      <c r="E538" s="321">
        <f>SUMIFS(DATA!$I:$I,DATA!$C:$C,$B538,DATA!$J:$J,"&gt;="&amp;DATE($I$2,E$4,1),DATA!$J:$J,"&lt;="&amp;DATE($I$2,E$4,E$5))</f>
        <v/>
      </c>
      <c r="F538" s="321">
        <f>SUMIFS(DATA!$I:$I,DATA!$C:$C,$B538,DATA!$J:$J,"&gt;="&amp;DATE($I$2,F$4,1),DATA!$J:$J,"&lt;="&amp;DATE($I$2,F$4,F$5))</f>
        <v/>
      </c>
      <c r="G538" s="321">
        <f>SUMIFS(DATA!$I:$I,DATA!$C:$C,$B538,DATA!$J:$J,"&gt;="&amp;DATE($I$2,G$4,1),DATA!$J:$J,"&lt;="&amp;DATE($I$2,G$4,G$5))</f>
        <v/>
      </c>
      <c r="H538" s="321">
        <f>SUMIFS(DATA!$I:$I,DATA!$C:$C,$B538,DATA!$J:$J,"&gt;="&amp;DATE($I$2,H$4,1),DATA!$J:$J,"&lt;="&amp;DATE($I$2,H$4,H$5))</f>
        <v/>
      </c>
      <c r="I538" s="321">
        <f>SUMIFS(DATA!$I:$I,DATA!$C:$C,$B538,DATA!$J:$J,"&gt;="&amp;DATE($I$2,I$4,1),DATA!$J:$J,"&lt;="&amp;DATE($I$2,I$4,I$5))</f>
        <v/>
      </c>
      <c r="J538" s="321">
        <f>SUMIFS(DATA!$I:$I,DATA!$C:$C,$B538,DATA!$J:$J,"&gt;="&amp;DATE($I$2,J$4,1),DATA!$J:$J,"&lt;="&amp;DATE($I$2,J$4,J$5))</f>
        <v/>
      </c>
      <c r="K538" s="321">
        <f>SUMIFS(DATA!$I:$I,DATA!$C:$C,$B538,DATA!$J:$J,"&gt;="&amp;DATE($I$2,K$4,1),DATA!$J:$J,"&lt;="&amp;DATE($I$2,K$4,K$5))</f>
        <v/>
      </c>
      <c r="L538" s="321">
        <f>SUMIFS(DATA!$I:$I,DATA!$C:$C,$B538,DATA!$J:$J,"&gt;="&amp;DATE($I$2,L$4,1),DATA!$J:$J,"&lt;="&amp;DATE($I$2,L$4,L$5))</f>
        <v/>
      </c>
      <c r="M538" s="321">
        <f>SUMIFS(DATA!$I:$I,DATA!$C:$C,$B538,DATA!$J:$J,"&gt;="&amp;DATE($I$2,M$4,1),DATA!$J:$J,"&lt;="&amp;DATE($I$2,M$4,M$5))</f>
        <v/>
      </c>
      <c r="N538" s="321">
        <f>SUMIFS(DATA!$I:$I,DATA!$C:$C,$B538,DATA!$J:$J,"&gt;="&amp;DATE($I$2,N$4,1),DATA!$J:$J,"&lt;="&amp;DATE($I$2,N$4,N$5))</f>
        <v/>
      </c>
      <c r="O538" s="321">
        <f>SUMIFS(DATA!$I:$I,DATA!$C:$C,$B538,DATA!$J:$J,"&gt;="&amp;DATE($I$2,O$4,1),DATA!$J:$J,"&lt;="&amp;DATE($I$2,O$4,O$5))</f>
        <v/>
      </c>
      <c r="P538" s="322">
        <f>SUM(D538:O538)</f>
        <v/>
      </c>
      <c r="Q538" s="118" t="n"/>
    </row>
    <row r="539" hidden="1" outlineLevel="1" ht="15" customHeight="1">
      <c r="A539" s="266" t="n"/>
      <c r="B539" s="126" t="n"/>
      <c r="C539" s="119" t="inlineStr">
        <is>
          <t>Thực tế</t>
        </is>
      </c>
      <c r="D539" s="321">
        <f>SUMIFS(DATA!$M:$M,DATA!$C:$C,$B538,DATA!$N:$N,"&gt;="&amp;DATE($I$2,D$4,1),DATA!$N:$N,"&lt;="&amp;DATE($I$2,D$4,D$5))</f>
        <v/>
      </c>
      <c r="E539" s="321">
        <f>SUMIFS(DATA!$M:$M,DATA!$C:$C,$B538,DATA!$N:$N,"&gt;="&amp;DATE($I$2,E$4,1),DATA!$N:$N,"&lt;="&amp;DATE($I$2,E$4,E$5))</f>
        <v/>
      </c>
      <c r="F539" s="321">
        <f>SUMIFS(DATA!$M:$M,DATA!$C:$C,$B538,DATA!$N:$N,"&gt;="&amp;DATE($I$2,F$4,1),DATA!$N:$N,"&lt;="&amp;DATE($I$2,F$4,F$5))</f>
        <v/>
      </c>
      <c r="G539" s="321">
        <f>SUMIFS(DATA!$M:$M,DATA!$C:$C,$B538,DATA!$N:$N,"&gt;="&amp;DATE($I$2,G$4,1),DATA!$N:$N,"&lt;="&amp;DATE($I$2,G$4,G$5))</f>
        <v/>
      </c>
      <c r="H539" s="321">
        <f>SUMIFS(DATA!$M:$M,DATA!$C:$C,$B538,DATA!$N:$N,"&gt;="&amp;DATE($I$2,H$4,1),DATA!$N:$N,"&lt;="&amp;DATE($I$2,H$4,H$5))</f>
        <v/>
      </c>
      <c r="I539" s="321">
        <f>SUMIFS(DATA!$M:$M,DATA!$C:$C,$B538,DATA!$N:$N,"&gt;="&amp;DATE($I$2,I$4,1),DATA!$N:$N,"&lt;="&amp;DATE($I$2,I$4,I$5))</f>
        <v/>
      </c>
      <c r="J539" s="321">
        <f>SUMIFS(DATA!$M:$M,DATA!$C:$C,$B538,DATA!$N:$N,"&gt;="&amp;DATE($I$2,J$4,1),DATA!$N:$N,"&lt;="&amp;DATE($I$2,J$4,J$5))</f>
        <v/>
      </c>
      <c r="K539" s="321">
        <f>SUMIFS(DATA!$M:$M,DATA!$C:$C,$B538,DATA!$N:$N,"&gt;="&amp;DATE($I$2,K$4,1),DATA!$N:$N,"&lt;="&amp;DATE($I$2,K$4,K$5))</f>
        <v/>
      </c>
      <c r="L539" s="321">
        <f>SUMIFS(DATA!$M:$M,DATA!$C:$C,$B538,DATA!$N:$N,"&gt;="&amp;DATE($I$2,L$4,1),DATA!$N:$N,"&lt;="&amp;DATE($I$2,L$4,L$5))</f>
        <v/>
      </c>
      <c r="M539" s="321">
        <f>SUMIFS(DATA!$M:$M,DATA!$C:$C,$B538,DATA!$N:$N,"&gt;="&amp;DATE($I$2,M$4,1),DATA!$N:$N,"&lt;="&amp;DATE($I$2,M$4,M$5))</f>
        <v/>
      </c>
      <c r="N539" s="321">
        <f>SUMIFS(DATA!$M:$M,DATA!$C:$C,$B538,DATA!$N:$N,"&gt;="&amp;DATE($I$2,N$4,1),DATA!$N:$N,"&lt;="&amp;DATE($I$2,N$4,N$5))</f>
        <v/>
      </c>
      <c r="O539" s="321">
        <f>SUMIFS(DATA!$M:$M,DATA!$C:$C,$B538,DATA!$N:$N,"&gt;="&amp;DATE($I$2,O$4,1),DATA!$N:$N,"&lt;="&amp;DATE($I$2,O$4,O$5))</f>
        <v/>
      </c>
      <c r="P539" s="322">
        <f>SUM(D539:O539)</f>
        <v/>
      </c>
      <c r="Q539" s="118" t="n"/>
    </row>
    <row r="540" hidden="1" outlineLevel="1" ht="15" customHeight="1">
      <c r="A540" s="269" t="n">
        <v>268</v>
      </c>
      <c r="B540" s="125" t="n"/>
      <c r="C540" s="119" t="inlineStr">
        <is>
          <t>Kế hoạch</t>
        </is>
      </c>
      <c r="D540" s="321">
        <f>SUMIFS(DATA!$I:$I,DATA!$C:$C,$B540,DATA!$J:$J,"&gt;="&amp;DATE($I$2,D$4,1),DATA!$J:$J,"&lt;="&amp;DATE($I$2,D$4,D$5))</f>
        <v/>
      </c>
      <c r="E540" s="321">
        <f>SUMIFS(DATA!$I:$I,DATA!$C:$C,$B540,DATA!$J:$J,"&gt;="&amp;DATE($I$2,E$4,1),DATA!$J:$J,"&lt;="&amp;DATE($I$2,E$4,E$5))</f>
        <v/>
      </c>
      <c r="F540" s="321">
        <f>SUMIFS(DATA!$I:$I,DATA!$C:$C,$B540,DATA!$J:$J,"&gt;="&amp;DATE($I$2,F$4,1),DATA!$J:$J,"&lt;="&amp;DATE($I$2,F$4,F$5))</f>
        <v/>
      </c>
      <c r="G540" s="321">
        <f>SUMIFS(DATA!$I:$I,DATA!$C:$C,$B540,DATA!$J:$J,"&gt;="&amp;DATE($I$2,G$4,1),DATA!$J:$J,"&lt;="&amp;DATE($I$2,G$4,G$5))</f>
        <v/>
      </c>
      <c r="H540" s="321">
        <f>SUMIFS(DATA!$I:$I,DATA!$C:$C,$B540,DATA!$J:$J,"&gt;="&amp;DATE($I$2,H$4,1),DATA!$J:$J,"&lt;="&amp;DATE($I$2,H$4,H$5))</f>
        <v/>
      </c>
      <c r="I540" s="321">
        <f>SUMIFS(DATA!$I:$I,DATA!$C:$C,$B540,DATA!$J:$J,"&gt;="&amp;DATE($I$2,I$4,1),DATA!$J:$J,"&lt;="&amp;DATE($I$2,I$4,I$5))</f>
        <v/>
      </c>
      <c r="J540" s="321">
        <f>SUMIFS(DATA!$I:$I,DATA!$C:$C,$B540,DATA!$J:$J,"&gt;="&amp;DATE($I$2,J$4,1),DATA!$J:$J,"&lt;="&amp;DATE($I$2,J$4,J$5))</f>
        <v/>
      </c>
      <c r="K540" s="321">
        <f>SUMIFS(DATA!$I:$I,DATA!$C:$C,$B540,DATA!$J:$J,"&gt;="&amp;DATE($I$2,K$4,1),DATA!$J:$J,"&lt;="&amp;DATE($I$2,K$4,K$5))</f>
        <v/>
      </c>
      <c r="L540" s="321">
        <f>SUMIFS(DATA!$I:$I,DATA!$C:$C,$B540,DATA!$J:$J,"&gt;="&amp;DATE($I$2,L$4,1),DATA!$J:$J,"&lt;="&amp;DATE($I$2,L$4,L$5))</f>
        <v/>
      </c>
      <c r="M540" s="321">
        <f>SUMIFS(DATA!$I:$I,DATA!$C:$C,$B540,DATA!$J:$J,"&gt;="&amp;DATE($I$2,M$4,1),DATA!$J:$J,"&lt;="&amp;DATE($I$2,M$4,M$5))</f>
        <v/>
      </c>
      <c r="N540" s="321">
        <f>SUMIFS(DATA!$I:$I,DATA!$C:$C,$B540,DATA!$J:$J,"&gt;="&amp;DATE($I$2,N$4,1),DATA!$J:$J,"&lt;="&amp;DATE($I$2,N$4,N$5))</f>
        <v/>
      </c>
      <c r="O540" s="321">
        <f>SUMIFS(DATA!$I:$I,DATA!$C:$C,$B540,DATA!$J:$J,"&gt;="&amp;DATE($I$2,O$4,1),DATA!$J:$J,"&lt;="&amp;DATE($I$2,O$4,O$5))</f>
        <v/>
      </c>
      <c r="P540" s="322">
        <f>SUM(D540:O540)</f>
        <v/>
      </c>
      <c r="Q540" s="118" t="n"/>
    </row>
    <row r="541" hidden="1" outlineLevel="1" ht="15" customHeight="1">
      <c r="A541" s="266" t="n"/>
      <c r="B541" s="126" t="n"/>
      <c r="C541" s="119" t="inlineStr">
        <is>
          <t>Thực tế</t>
        </is>
      </c>
      <c r="D541" s="321">
        <f>SUMIFS(DATA!$M:$M,DATA!$C:$C,$B540,DATA!$N:$N,"&gt;="&amp;DATE($I$2,D$4,1),DATA!$N:$N,"&lt;="&amp;DATE($I$2,D$4,D$5))</f>
        <v/>
      </c>
      <c r="E541" s="321">
        <f>SUMIFS(DATA!$M:$M,DATA!$C:$C,$B540,DATA!$N:$N,"&gt;="&amp;DATE($I$2,E$4,1),DATA!$N:$N,"&lt;="&amp;DATE($I$2,E$4,E$5))</f>
        <v/>
      </c>
      <c r="F541" s="321">
        <f>SUMIFS(DATA!$M:$M,DATA!$C:$C,$B540,DATA!$N:$N,"&gt;="&amp;DATE($I$2,F$4,1),DATA!$N:$N,"&lt;="&amp;DATE($I$2,F$4,F$5))</f>
        <v/>
      </c>
      <c r="G541" s="321">
        <f>SUMIFS(DATA!$M:$M,DATA!$C:$C,$B540,DATA!$N:$N,"&gt;="&amp;DATE($I$2,G$4,1),DATA!$N:$N,"&lt;="&amp;DATE($I$2,G$4,G$5))</f>
        <v/>
      </c>
      <c r="H541" s="321">
        <f>SUMIFS(DATA!$M:$M,DATA!$C:$C,$B540,DATA!$N:$N,"&gt;="&amp;DATE($I$2,H$4,1),DATA!$N:$N,"&lt;="&amp;DATE($I$2,H$4,H$5))</f>
        <v/>
      </c>
      <c r="I541" s="321">
        <f>SUMIFS(DATA!$M:$M,DATA!$C:$C,$B540,DATA!$N:$N,"&gt;="&amp;DATE($I$2,I$4,1),DATA!$N:$N,"&lt;="&amp;DATE($I$2,I$4,I$5))</f>
        <v/>
      </c>
      <c r="J541" s="321">
        <f>SUMIFS(DATA!$M:$M,DATA!$C:$C,$B540,DATA!$N:$N,"&gt;="&amp;DATE($I$2,J$4,1),DATA!$N:$N,"&lt;="&amp;DATE($I$2,J$4,J$5))</f>
        <v/>
      </c>
      <c r="K541" s="321">
        <f>SUMIFS(DATA!$M:$M,DATA!$C:$C,$B540,DATA!$N:$N,"&gt;="&amp;DATE($I$2,K$4,1),DATA!$N:$N,"&lt;="&amp;DATE($I$2,K$4,K$5))</f>
        <v/>
      </c>
      <c r="L541" s="321">
        <f>SUMIFS(DATA!$M:$M,DATA!$C:$C,$B540,DATA!$N:$N,"&gt;="&amp;DATE($I$2,L$4,1),DATA!$N:$N,"&lt;="&amp;DATE($I$2,L$4,L$5))</f>
        <v/>
      </c>
      <c r="M541" s="321">
        <f>SUMIFS(DATA!$M:$M,DATA!$C:$C,$B540,DATA!$N:$N,"&gt;="&amp;DATE($I$2,M$4,1),DATA!$N:$N,"&lt;="&amp;DATE($I$2,M$4,M$5))</f>
        <v/>
      </c>
      <c r="N541" s="321">
        <f>SUMIFS(DATA!$M:$M,DATA!$C:$C,$B540,DATA!$N:$N,"&gt;="&amp;DATE($I$2,N$4,1),DATA!$N:$N,"&lt;="&amp;DATE($I$2,N$4,N$5))</f>
        <v/>
      </c>
      <c r="O541" s="321">
        <f>SUMIFS(DATA!$M:$M,DATA!$C:$C,$B540,DATA!$N:$N,"&gt;="&amp;DATE($I$2,O$4,1),DATA!$N:$N,"&lt;="&amp;DATE($I$2,O$4,O$5))</f>
        <v/>
      </c>
      <c r="P541" s="322">
        <f>SUM(D541:O541)</f>
        <v/>
      </c>
      <c r="Q541" s="118" t="n"/>
    </row>
    <row r="542" hidden="1" outlineLevel="1" ht="15" customHeight="1">
      <c r="A542" s="269" t="n">
        <v>269</v>
      </c>
      <c r="B542" s="125" t="n"/>
      <c r="C542" s="119" t="inlineStr">
        <is>
          <t>Kế hoạch</t>
        </is>
      </c>
      <c r="D542" s="321">
        <f>SUMIFS(DATA!$I:$I,DATA!$C:$C,$B542,DATA!$J:$J,"&gt;="&amp;DATE($I$2,D$4,1),DATA!$J:$J,"&lt;="&amp;DATE($I$2,D$4,D$5))</f>
        <v/>
      </c>
      <c r="E542" s="321">
        <f>SUMIFS(DATA!$I:$I,DATA!$C:$C,$B542,DATA!$J:$J,"&gt;="&amp;DATE($I$2,E$4,1),DATA!$J:$J,"&lt;="&amp;DATE($I$2,E$4,E$5))</f>
        <v/>
      </c>
      <c r="F542" s="321">
        <f>SUMIFS(DATA!$I:$I,DATA!$C:$C,$B542,DATA!$J:$J,"&gt;="&amp;DATE($I$2,F$4,1),DATA!$J:$J,"&lt;="&amp;DATE($I$2,F$4,F$5))</f>
        <v/>
      </c>
      <c r="G542" s="321">
        <f>SUMIFS(DATA!$I:$I,DATA!$C:$C,$B542,DATA!$J:$J,"&gt;="&amp;DATE($I$2,G$4,1),DATA!$J:$J,"&lt;="&amp;DATE($I$2,G$4,G$5))</f>
        <v/>
      </c>
      <c r="H542" s="321">
        <f>SUMIFS(DATA!$I:$I,DATA!$C:$C,$B542,DATA!$J:$J,"&gt;="&amp;DATE($I$2,H$4,1),DATA!$J:$J,"&lt;="&amp;DATE($I$2,H$4,H$5))</f>
        <v/>
      </c>
      <c r="I542" s="321">
        <f>SUMIFS(DATA!$I:$I,DATA!$C:$C,$B542,DATA!$J:$J,"&gt;="&amp;DATE($I$2,I$4,1),DATA!$J:$J,"&lt;="&amp;DATE($I$2,I$4,I$5))</f>
        <v/>
      </c>
      <c r="J542" s="321">
        <f>SUMIFS(DATA!$I:$I,DATA!$C:$C,$B542,DATA!$J:$J,"&gt;="&amp;DATE($I$2,J$4,1),DATA!$J:$J,"&lt;="&amp;DATE($I$2,J$4,J$5))</f>
        <v/>
      </c>
      <c r="K542" s="321">
        <f>SUMIFS(DATA!$I:$I,DATA!$C:$C,$B542,DATA!$J:$J,"&gt;="&amp;DATE($I$2,K$4,1),DATA!$J:$J,"&lt;="&amp;DATE($I$2,K$4,K$5))</f>
        <v/>
      </c>
      <c r="L542" s="321">
        <f>SUMIFS(DATA!$I:$I,DATA!$C:$C,$B542,DATA!$J:$J,"&gt;="&amp;DATE($I$2,L$4,1),DATA!$J:$J,"&lt;="&amp;DATE($I$2,L$4,L$5))</f>
        <v/>
      </c>
      <c r="M542" s="321">
        <f>SUMIFS(DATA!$I:$I,DATA!$C:$C,$B542,DATA!$J:$J,"&gt;="&amp;DATE($I$2,M$4,1),DATA!$J:$J,"&lt;="&amp;DATE($I$2,M$4,M$5))</f>
        <v/>
      </c>
      <c r="N542" s="321">
        <f>SUMIFS(DATA!$I:$I,DATA!$C:$C,$B542,DATA!$J:$J,"&gt;="&amp;DATE($I$2,N$4,1),DATA!$J:$J,"&lt;="&amp;DATE($I$2,N$4,N$5))</f>
        <v/>
      </c>
      <c r="O542" s="321">
        <f>SUMIFS(DATA!$I:$I,DATA!$C:$C,$B542,DATA!$J:$J,"&gt;="&amp;DATE($I$2,O$4,1),DATA!$J:$J,"&lt;="&amp;DATE($I$2,O$4,O$5))</f>
        <v/>
      </c>
      <c r="P542" s="322">
        <f>SUM(D542:O542)</f>
        <v/>
      </c>
      <c r="Q542" s="118" t="n"/>
    </row>
    <row r="543" hidden="1" outlineLevel="1" ht="15" customHeight="1">
      <c r="A543" s="266" t="n"/>
      <c r="B543" s="126" t="n"/>
      <c r="C543" s="119" t="inlineStr">
        <is>
          <t>Thực tế</t>
        </is>
      </c>
      <c r="D543" s="321">
        <f>SUMIFS(DATA!$M:$M,DATA!$C:$C,$B542,DATA!$N:$N,"&gt;="&amp;DATE($I$2,D$4,1),DATA!$N:$N,"&lt;="&amp;DATE($I$2,D$4,D$5))</f>
        <v/>
      </c>
      <c r="E543" s="321">
        <f>SUMIFS(DATA!$M:$M,DATA!$C:$C,$B542,DATA!$N:$N,"&gt;="&amp;DATE($I$2,E$4,1),DATA!$N:$N,"&lt;="&amp;DATE($I$2,E$4,E$5))</f>
        <v/>
      </c>
      <c r="F543" s="321">
        <f>SUMIFS(DATA!$M:$M,DATA!$C:$C,$B542,DATA!$N:$N,"&gt;="&amp;DATE($I$2,F$4,1),DATA!$N:$N,"&lt;="&amp;DATE($I$2,F$4,F$5))</f>
        <v/>
      </c>
      <c r="G543" s="321">
        <f>SUMIFS(DATA!$M:$M,DATA!$C:$C,$B542,DATA!$N:$N,"&gt;="&amp;DATE($I$2,G$4,1),DATA!$N:$N,"&lt;="&amp;DATE($I$2,G$4,G$5))</f>
        <v/>
      </c>
      <c r="H543" s="321">
        <f>SUMIFS(DATA!$M:$M,DATA!$C:$C,$B542,DATA!$N:$N,"&gt;="&amp;DATE($I$2,H$4,1),DATA!$N:$N,"&lt;="&amp;DATE($I$2,H$4,H$5))</f>
        <v/>
      </c>
      <c r="I543" s="321">
        <f>SUMIFS(DATA!$M:$M,DATA!$C:$C,$B542,DATA!$N:$N,"&gt;="&amp;DATE($I$2,I$4,1),DATA!$N:$N,"&lt;="&amp;DATE($I$2,I$4,I$5))</f>
        <v/>
      </c>
      <c r="J543" s="321">
        <f>SUMIFS(DATA!$M:$M,DATA!$C:$C,$B542,DATA!$N:$N,"&gt;="&amp;DATE($I$2,J$4,1),DATA!$N:$N,"&lt;="&amp;DATE($I$2,J$4,J$5))</f>
        <v/>
      </c>
      <c r="K543" s="321">
        <f>SUMIFS(DATA!$M:$M,DATA!$C:$C,$B542,DATA!$N:$N,"&gt;="&amp;DATE($I$2,K$4,1),DATA!$N:$N,"&lt;="&amp;DATE($I$2,K$4,K$5))</f>
        <v/>
      </c>
      <c r="L543" s="321">
        <f>SUMIFS(DATA!$M:$M,DATA!$C:$C,$B542,DATA!$N:$N,"&gt;="&amp;DATE($I$2,L$4,1),DATA!$N:$N,"&lt;="&amp;DATE($I$2,L$4,L$5))</f>
        <v/>
      </c>
      <c r="M543" s="321">
        <f>SUMIFS(DATA!$M:$M,DATA!$C:$C,$B542,DATA!$N:$N,"&gt;="&amp;DATE($I$2,M$4,1),DATA!$N:$N,"&lt;="&amp;DATE($I$2,M$4,M$5))</f>
        <v/>
      </c>
      <c r="N543" s="321">
        <f>SUMIFS(DATA!$M:$M,DATA!$C:$C,$B542,DATA!$N:$N,"&gt;="&amp;DATE($I$2,N$4,1),DATA!$N:$N,"&lt;="&amp;DATE($I$2,N$4,N$5))</f>
        <v/>
      </c>
      <c r="O543" s="321">
        <f>SUMIFS(DATA!$M:$M,DATA!$C:$C,$B542,DATA!$N:$N,"&gt;="&amp;DATE($I$2,O$4,1),DATA!$N:$N,"&lt;="&amp;DATE($I$2,O$4,O$5))</f>
        <v/>
      </c>
      <c r="P543" s="322">
        <f>SUM(D543:O543)</f>
        <v/>
      </c>
      <c r="Q543" s="118" t="n"/>
    </row>
    <row r="544" hidden="1" outlineLevel="1" ht="15" customHeight="1">
      <c r="A544" s="269" t="n">
        <v>270</v>
      </c>
      <c r="B544" s="125" t="n"/>
      <c r="C544" s="119" t="inlineStr">
        <is>
          <t>Kế hoạch</t>
        </is>
      </c>
      <c r="D544" s="321">
        <f>SUMIFS(DATA!$I:$I,DATA!$C:$C,$B544,DATA!$J:$J,"&gt;="&amp;DATE($I$2,D$4,1),DATA!$J:$J,"&lt;="&amp;DATE($I$2,D$4,D$5))</f>
        <v/>
      </c>
      <c r="E544" s="321">
        <f>SUMIFS(DATA!$I:$I,DATA!$C:$C,$B544,DATA!$J:$J,"&gt;="&amp;DATE($I$2,E$4,1),DATA!$J:$J,"&lt;="&amp;DATE($I$2,E$4,E$5))</f>
        <v/>
      </c>
      <c r="F544" s="321">
        <f>SUMIFS(DATA!$I:$I,DATA!$C:$C,$B544,DATA!$J:$J,"&gt;="&amp;DATE($I$2,F$4,1),DATA!$J:$J,"&lt;="&amp;DATE($I$2,F$4,F$5))</f>
        <v/>
      </c>
      <c r="G544" s="321">
        <f>SUMIFS(DATA!$I:$I,DATA!$C:$C,$B544,DATA!$J:$J,"&gt;="&amp;DATE($I$2,G$4,1),DATA!$J:$J,"&lt;="&amp;DATE($I$2,G$4,G$5))</f>
        <v/>
      </c>
      <c r="H544" s="321">
        <f>SUMIFS(DATA!$I:$I,DATA!$C:$C,$B544,DATA!$J:$J,"&gt;="&amp;DATE($I$2,H$4,1),DATA!$J:$J,"&lt;="&amp;DATE($I$2,H$4,H$5))</f>
        <v/>
      </c>
      <c r="I544" s="321">
        <f>SUMIFS(DATA!$I:$I,DATA!$C:$C,$B544,DATA!$J:$J,"&gt;="&amp;DATE($I$2,I$4,1),DATA!$J:$J,"&lt;="&amp;DATE($I$2,I$4,I$5))</f>
        <v/>
      </c>
      <c r="J544" s="321">
        <f>SUMIFS(DATA!$I:$I,DATA!$C:$C,$B544,DATA!$J:$J,"&gt;="&amp;DATE($I$2,J$4,1),DATA!$J:$J,"&lt;="&amp;DATE($I$2,J$4,J$5))</f>
        <v/>
      </c>
      <c r="K544" s="321">
        <f>SUMIFS(DATA!$I:$I,DATA!$C:$C,$B544,DATA!$J:$J,"&gt;="&amp;DATE($I$2,K$4,1),DATA!$J:$J,"&lt;="&amp;DATE($I$2,K$4,K$5))</f>
        <v/>
      </c>
      <c r="L544" s="321">
        <f>SUMIFS(DATA!$I:$I,DATA!$C:$C,$B544,DATA!$J:$J,"&gt;="&amp;DATE($I$2,L$4,1),DATA!$J:$J,"&lt;="&amp;DATE($I$2,L$4,L$5))</f>
        <v/>
      </c>
      <c r="M544" s="321">
        <f>SUMIFS(DATA!$I:$I,DATA!$C:$C,$B544,DATA!$J:$J,"&gt;="&amp;DATE($I$2,M$4,1),DATA!$J:$J,"&lt;="&amp;DATE($I$2,M$4,M$5))</f>
        <v/>
      </c>
      <c r="N544" s="321">
        <f>SUMIFS(DATA!$I:$I,DATA!$C:$C,$B544,DATA!$J:$J,"&gt;="&amp;DATE($I$2,N$4,1),DATA!$J:$J,"&lt;="&amp;DATE($I$2,N$4,N$5))</f>
        <v/>
      </c>
      <c r="O544" s="321">
        <f>SUMIFS(DATA!$I:$I,DATA!$C:$C,$B544,DATA!$J:$J,"&gt;="&amp;DATE($I$2,O$4,1),DATA!$J:$J,"&lt;="&amp;DATE($I$2,O$4,O$5))</f>
        <v/>
      </c>
      <c r="P544" s="322">
        <f>SUM(D544:O544)</f>
        <v/>
      </c>
      <c r="Q544" s="118" t="n"/>
    </row>
    <row r="545" hidden="1" outlineLevel="1" ht="15" customHeight="1">
      <c r="A545" s="266" t="n"/>
      <c r="B545" s="126" t="n"/>
      <c r="C545" s="119" t="inlineStr">
        <is>
          <t>Thực tế</t>
        </is>
      </c>
      <c r="D545" s="321">
        <f>SUMIFS(DATA!$M:$M,DATA!$C:$C,$B544,DATA!$N:$N,"&gt;="&amp;DATE($I$2,D$4,1),DATA!$N:$N,"&lt;="&amp;DATE($I$2,D$4,D$5))</f>
        <v/>
      </c>
      <c r="E545" s="321">
        <f>SUMIFS(DATA!$M:$M,DATA!$C:$C,$B544,DATA!$N:$N,"&gt;="&amp;DATE($I$2,E$4,1),DATA!$N:$N,"&lt;="&amp;DATE($I$2,E$4,E$5))</f>
        <v/>
      </c>
      <c r="F545" s="321">
        <f>SUMIFS(DATA!$M:$M,DATA!$C:$C,$B544,DATA!$N:$N,"&gt;="&amp;DATE($I$2,F$4,1),DATA!$N:$N,"&lt;="&amp;DATE($I$2,F$4,F$5))</f>
        <v/>
      </c>
      <c r="G545" s="321">
        <f>SUMIFS(DATA!$M:$M,DATA!$C:$C,$B544,DATA!$N:$N,"&gt;="&amp;DATE($I$2,G$4,1),DATA!$N:$N,"&lt;="&amp;DATE($I$2,G$4,G$5))</f>
        <v/>
      </c>
      <c r="H545" s="321">
        <f>SUMIFS(DATA!$M:$M,DATA!$C:$C,$B544,DATA!$N:$N,"&gt;="&amp;DATE($I$2,H$4,1),DATA!$N:$N,"&lt;="&amp;DATE($I$2,H$4,H$5))</f>
        <v/>
      </c>
      <c r="I545" s="321">
        <f>SUMIFS(DATA!$M:$M,DATA!$C:$C,$B544,DATA!$N:$N,"&gt;="&amp;DATE($I$2,I$4,1),DATA!$N:$N,"&lt;="&amp;DATE($I$2,I$4,I$5))</f>
        <v/>
      </c>
      <c r="J545" s="321">
        <f>SUMIFS(DATA!$M:$M,DATA!$C:$C,$B544,DATA!$N:$N,"&gt;="&amp;DATE($I$2,J$4,1),DATA!$N:$N,"&lt;="&amp;DATE($I$2,J$4,J$5))</f>
        <v/>
      </c>
      <c r="K545" s="321">
        <f>SUMIFS(DATA!$M:$M,DATA!$C:$C,$B544,DATA!$N:$N,"&gt;="&amp;DATE($I$2,K$4,1),DATA!$N:$N,"&lt;="&amp;DATE($I$2,K$4,K$5))</f>
        <v/>
      </c>
      <c r="L545" s="321">
        <f>SUMIFS(DATA!$M:$M,DATA!$C:$C,$B544,DATA!$N:$N,"&gt;="&amp;DATE($I$2,L$4,1),DATA!$N:$N,"&lt;="&amp;DATE($I$2,L$4,L$5))</f>
        <v/>
      </c>
      <c r="M545" s="321">
        <f>SUMIFS(DATA!$M:$M,DATA!$C:$C,$B544,DATA!$N:$N,"&gt;="&amp;DATE($I$2,M$4,1),DATA!$N:$N,"&lt;="&amp;DATE($I$2,M$4,M$5))</f>
        <v/>
      </c>
      <c r="N545" s="321">
        <f>SUMIFS(DATA!$M:$M,DATA!$C:$C,$B544,DATA!$N:$N,"&gt;="&amp;DATE($I$2,N$4,1),DATA!$N:$N,"&lt;="&amp;DATE($I$2,N$4,N$5))</f>
        <v/>
      </c>
      <c r="O545" s="321">
        <f>SUMIFS(DATA!$M:$M,DATA!$C:$C,$B544,DATA!$N:$N,"&gt;="&amp;DATE($I$2,O$4,1),DATA!$N:$N,"&lt;="&amp;DATE($I$2,O$4,O$5))</f>
        <v/>
      </c>
      <c r="P545" s="322">
        <f>SUM(D545:O545)</f>
        <v/>
      </c>
      <c r="Q545" s="118" t="n"/>
    </row>
    <row r="546" hidden="1" outlineLevel="1" ht="15" customHeight="1">
      <c r="A546" s="269" t="n">
        <v>271</v>
      </c>
      <c r="B546" s="125" t="n"/>
      <c r="C546" s="119" t="inlineStr">
        <is>
          <t>Kế hoạch</t>
        </is>
      </c>
      <c r="D546" s="321">
        <f>SUMIFS(DATA!$I:$I,DATA!$C:$C,$B546,DATA!$J:$J,"&gt;="&amp;DATE($I$2,D$4,1),DATA!$J:$J,"&lt;="&amp;DATE($I$2,D$4,D$5))</f>
        <v/>
      </c>
      <c r="E546" s="321">
        <f>SUMIFS(DATA!$I:$I,DATA!$C:$C,$B546,DATA!$J:$J,"&gt;="&amp;DATE($I$2,E$4,1),DATA!$J:$J,"&lt;="&amp;DATE($I$2,E$4,E$5))</f>
        <v/>
      </c>
      <c r="F546" s="321">
        <f>SUMIFS(DATA!$I:$I,DATA!$C:$C,$B546,DATA!$J:$J,"&gt;="&amp;DATE($I$2,F$4,1),DATA!$J:$J,"&lt;="&amp;DATE($I$2,F$4,F$5))</f>
        <v/>
      </c>
      <c r="G546" s="321">
        <f>SUMIFS(DATA!$I:$I,DATA!$C:$C,$B546,DATA!$J:$J,"&gt;="&amp;DATE($I$2,G$4,1),DATA!$J:$J,"&lt;="&amp;DATE($I$2,G$4,G$5))</f>
        <v/>
      </c>
      <c r="H546" s="321">
        <f>SUMIFS(DATA!$I:$I,DATA!$C:$C,$B546,DATA!$J:$J,"&gt;="&amp;DATE($I$2,H$4,1),DATA!$J:$J,"&lt;="&amp;DATE($I$2,H$4,H$5))</f>
        <v/>
      </c>
      <c r="I546" s="321">
        <f>SUMIFS(DATA!$I:$I,DATA!$C:$C,$B546,DATA!$J:$J,"&gt;="&amp;DATE($I$2,I$4,1),DATA!$J:$J,"&lt;="&amp;DATE($I$2,I$4,I$5))</f>
        <v/>
      </c>
      <c r="J546" s="321">
        <f>SUMIFS(DATA!$I:$I,DATA!$C:$C,$B546,DATA!$J:$J,"&gt;="&amp;DATE($I$2,J$4,1),DATA!$J:$J,"&lt;="&amp;DATE($I$2,J$4,J$5))</f>
        <v/>
      </c>
      <c r="K546" s="321">
        <f>SUMIFS(DATA!$I:$I,DATA!$C:$C,$B546,DATA!$J:$J,"&gt;="&amp;DATE($I$2,K$4,1),DATA!$J:$J,"&lt;="&amp;DATE($I$2,K$4,K$5))</f>
        <v/>
      </c>
      <c r="L546" s="321">
        <f>SUMIFS(DATA!$I:$I,DATA!$C:$C,$B546,DATA!$J:$J,"&gt;="&amp;DATE($I$2,L$4,1),DATA!$J:$J,"&lt;="&amp;DATE($I$2,L$4,L$5))</f>
        <v/>
      </c>
      <c r="M546" s="321">
        <f>SUMIFS(DATA!$I:$I,DATA!$C:$C,$B546,DATA!$J:$J,"&gt;="&amp;DATE($I$2,M$4,1),DATA!$J:$J,"&lt;="&amp;DATE($I$2,M$4,M$5))</f>
        <v/>
      </c>
      <c r="N546" s="321">
        <f>SUMIFS(DATA!$I:$I,DATA!$C:$C,$B546,DATA!$J:$J,"&gt;="&amp;DATE($I$2,N$4,1),DATA!$J:$J,"&lt;="&amp;DATE($I$2,N$4,N$5))</f>
        <v/>
      </c>
      <c r="O546" s="321">
        <f>SUMIFS(DATA!$I:$I,DATA!$C:$C,$B546,DATA!$J:$J,"&gt;="&amp;DATE($I$2,O$4,1),DATA!$J:$J,"&lt;="&amp;DATE($I$2,O$4,O$5))</f>
        <v/>
      </c>
      <c r="P546" s="322">
        <f>SUM(D546:O546)</f>
        <v/>
      </c>
      <c r="Q546" s="118" t="n"/>
    </row>
    <row r="547" hidden="1" outlineLevel="1" ht="15" customHeight="1">
      <c r="A547" s="266" t="n"/>
      <c r="B547" s="126" t="n"/>
      <c r="C547" s="119" t="inlineStr">
        <is>
          <t>Thực tế</t>
        </is>
      </c>
      <c r="D547" s="321">
        <f>SUMIFS(DATA!$M:$M,DATA!$C:$C,$B546,DATA!$N:$N,"&gt;="&amp;DATE($I$2,D$4,1),DATA!$N:$N,"&lt;="&amp;DATE($I$2,D$4,D$5))</f>
        <v/>
      </c>
      <c r="E547" s="321">
        <f>SUMIFS(DATA!$M:$M,DATA!$C:$C,$B546,DATA!$N:$N,"&gt;="&amp;DATE($I$2,E$4,1),DATA!$N:$N,"&lt;="&amp;DATE($I$2,E$4,E$5))</f>
        <v/>
      </c>
      <c r="F547" s="321">
        <f>SUMIFS(DATA!$M:$M,DATA!$C:$C,$B546,DATA!$N:$N,"&gt;="&amp;DATE($I$2,F$4,1),DATA!$N:$N,"&lt;="&amp;DATE($I$2,F$4,F$5))</f>
        <v/>
      </c>
      <c r="G547" s="321">
        <f>SUMIFS(DATA!$M:$M,DATA!$C:$C,$B546,DATA!$N:$N,"&gt;="&amp;DATE($I$2,G$4,1),DATA!$N:$N,"&lt;="&amp;DATE($I$2,G$4,G$5))</f>
        <v/>
      </c>
      <c r="H547" s="321">
        <f>SUMIFS(DATA!$M:$M,DATA!$C:$C,$B546,DATA!$N:$N,"&gt;="&amp;DATE($I$2,H$4,1),DATA!$N:$N,"&lt;="&amp;DATE($I$2,H$4,H$5))</f>
        <v/>
      </c>
      <c r="I547" s="321">
        <f>SUMIFS(DATA!$M:$M,DATA!$C:$C,$B546,DATA!$N:$N,"&gt;="&amp;DATE($I$2,I$4,1),DATA!$N:$N,"&lt;="&amp;DATE($I$2,I$4,I$5))</f>
        <v/>
      </c>
      <c r="J547" s="321">
        <f>SUMIFS(DATA!$M:$M,DATA!$C:$C,$B546,DATA!$N:$N,"&gt;="&amp;DATE($I$2,J$4,1),DATA!$N:$N,"&lt;="&amp;DATE($I$2,J$4,J$5))</f>
        <v/>
      </c>
      <c r="K547" s="321">
        <f>SUMIFS(DATA!$M:$M,DATA!$C:$C,$B546,DATA!$N:$N,"&gt;="&amp;DATE($I$2,K$4,1),DATA!$N:$N,"&lt;="&amp;DATE($I$2,K$4,K$5))</f>
        <v/>
      </c>
      <c r="L547" s="321">
        <f>SUMIFS(DATA!$M:$M,DATA!$C:$C,$B546,DATA!$N:$N,"&gt;="&amp;DATE($I$2,L$4,1),DATA!$N:$N,"&lt;="&amp;DATE($I$2,L$4,L$5))</f>
        <v/>
      </c>
      <c r="M547" s="321">
        <f>SUMIFS(DATA!$M:$M,DATA!$C:$C,$B546,DATA!$N:$N,"&gt;="&amp;DATE($I$2,M$4,1),DATA!$N:$N,"&lt;="&amp;DATE($I$2,M$4,M$5))</f>
        <v/>
      </c>
      <c r="N547" s="321">
        <f>SUMIFS(DATA!$M:$M,DATA!$C:$C,$B546,DATA!$N:$N,"&gt;="&amp;DATE($I$2,N$4,1),DATA!$N:$N,"&lt;="&amp;DATE($I$2,N$4,N$5))</f>
        <v/>
      </c>
      <c r="O547" s="321">
        <f>SUMIFS(DATA!$M:$M,DATA!$C:$C,$B546,DATA!$N:$N,"&gt;="&amp;DATE($I$2,O$4,1),DATA!$N:$N,"&lt;="&amp;DATE($I$2,O$4,O$5))</f>
        <v/>
      </c>
      <c r="P547" s="322">
        <f>SUM(D547:O547)</f>
        <v/>
      </c>
      <c r="Q547" s="118" t="n"/>
    </row>
    <row r="548" hidden="1" outlineLevel="1" ht="15" customHeight="1">
      <c r="A548" s="269" t="n">
        <v>272</v>
      </c>
      <c r="B548" s="125" t="n"/>
      <c r="C548" s="119" t="inlineStr">
        <is>
          <t>Kế hoạch</t>
        </is>
      </c>
      <c r="D548" s="321">
        <f>SUMIFS(DATA!$I:$I,DATA!$C:$C,$B548,DATA!$J:$J,"&gt;="&amp;DATE($I$2,D$4,1),DATA!$J:$J,"&lt;="&amp;DATE($I$2,D$4,D$5))</f>
        <v/>
      </c>
      <c r="E548" s="321">
        <f>SUMIFS(DATA!$I:$I,DATA!$C:$C,$B548,DATA!$J:$J,"&gt;="&amp;DATE($I$2,E$4,1),DATA!$J:$J,"&lt;="&amp;DATE($I$2,E$4,E$5))</f>
        <v/>
      </c>
      <c r="F548" s="321">
        <f>SUMIFS(DATA!$I:$I,DATA!$C:$C,$B548,DATA!$J:$J,"&gt;="&amp;DATE($I$2,F$4,1),DATA!$J:$J,"&lt;="&amp;DATE($I$2,F$4,F$5))</f>
        <v/>
      </c>
      <c r="G548" s="321">
        <f>SUMIFS(DATA!$I:$I,DATA!$C:$C,$B548,DATA!$J:$J,"&gt;="&amp;DATE($I$2,G$4,1),DATA!$J:$J,"&lt;="&amp;DATE($I$2,G$4,G$5))</f>
        <v/>
      </c>
      <c r="H548" s="321">
        <f>SUMIFS(DATA!$I:$I,DATA!$C:$C,$B548,DATA!$J:$J,"&gt;="&amp;DATE($I$2,H$4,1),DATA!$J:$J,"&lt;="&amp;DATE($I$2,H$4,H$5))</f>
        <v/>
      </c>
      <c r="I548" s="321">
        <f>SUMIFS(DATA!$I:$I,DATA!$C:$C,$B548,DATA!$J:$J,"&gt;="&amp;DATE($I$2,I$4,1),DATA!$J:$J,"&lt;="&amp;DATE($I$2,I$4,I$5))</f>
        <v/>
      </c>
      <c r="J548" s="321">
        <f>SUMIFS(DATA!$I:$I,DATA!$C:$C,$B548,DATA!$J:$J,"&gt;="&amp;DATE($I$2,J$4,1),DATA!$J:$J,"&lt;="&amp;DATE($I$2,J$4,J$5))</f>
        <v/>
      </c>
      <c r="K548" s="321">
        <f>SUMIFS(DATA!$I:$I,DATA!$C:$C,$B548,DATA!$J:$J,"&gt;="&amp;DATE($I$2,K$4,1),DATA!$J:$J,"&lt;="&amp;DATE($I$2,K$4,K$5))</f>
        <v/>
      </c>
      <c r="L548" s="321">
        <f>SUMIFS(DATA!$I:$I,DATA!$C:$C,$B548,DATA!$J:$J,"&gt;="&amp;DATE($I$2,L$4,1),DATA!$J:$J,"&lt;="&amp;DATE($I$2,L$4,L$5))</f>
        <v/>
      </c>
      <c r="M548" s="321">
        <f>SUMIFS(DATA!$I:$I,DATA!$C:$C,$B548,DATA!$J:$J,"&gt;="&amp;DATE($I$2,M$4,1),DATA!$J:$J,"&lt;="&amp;DATE($I$2,M$4,M$5))</f>
        <v/>
      </c>
      <c r="N548" s="321">
        <f>SUMIFS(DATA!$I:$I,DATA!$C:$C,$B548,DATA!$J:$J,"&gt;="&amp;DATE($I$2,N$4,1),DATA!$J:$J,"&lt;="&amp;DATE($I$2,N$4,N$5))</f>
        <v/>
      </c>
      <c r="O548" s="321">
        <f>SUMIFS(DATA!$I:$I,DATA!$C:$C,$B548,DATA!$J:$J,"&gt;="&amp;DATE($I$2,O$4,1),DATA!$J:$J,"&lt;="&amp;DATE($I$2,O$4,O$5))</f>
        <v/>
      </c>
      <c r="P548" s="322">
        <f>SUM(D548:O548)</f>
        <v/>
      </c>
      <c r="Q548" s="118" t="n"/>
    </row>
    <row r="549" hidden="1" outlineLevel="1" ht="15" customHeight="1">
      <c r="A549" s="266" t="n"/>
      <c r="B549" s="126" t="n"/>
      <c r="C549" s="119" t="inlineStr">
        <is>
          <t>Thực tế</t>
        </is>
      </c>
      <c r="D549" s="321">
        <f>SUMIFS(DATA!$M:$M,DATA!$C:$C,$B548,DATA!$N:$N,"&gt;="&amp;DATE($I$2,D$4,1),DATA!$N:$N,"&lt;="&amp;DATE($I$2,D$4,D$5))</f>
        <v/>
      </c>
      <c r="E549" s="321">
        <f>SUMIFS(DATA!$M:$M,DATA!$C:$C,$B548,DATA!$N:$N,"&gt;="&amp;DATE($I$2,E$4,1),DATA!$N:$N,"&lt;="&amp;DATE($I$2,E$4,E$5))</f>
        <v/>
      </c>
      <c r="F549" s="321">
        <f>SUMIFS(DATA!$M:$M,DATA!$C:$C,$B548,DATA!$N:$N,"&gt;="&amp;DATE($I$2,F$4,1),DATA!$N:$N,"&lt;="&amp;DATE($I$2,F$4,F$5))</f>
        <v/>
      </c>
      <c r="G549" s="321">
        <f>SUMIFS(DATA!$M:$M,DATA!$C:$C,$B548,DATA!$N:$N,"&gt;="&amp;DATE($I$2,G$4,1),DATA!$N:$N,"&lt;="&amp;DATE($I$2,G$4,G$5))</f>
        <v/>
      </c>
      <c r="H549" s="321">
        <f>SUMIFS(DATA!$M:$M,DATA!$C:$C,$B548,DATA!$N:$N,"&gt;="&amp;DATE($I$2,H$4,1),DATA!$N:$N,"&lt;="&amp;DATE($I$2,H$4,H$5))</f>
        <v/>
      </c>
      <c r="I549" s="321">
        <f>SUMIFS(DATA!$M:$M,DATA!$C:$C,$B548,DATA!$N:$N,"&gt;="&amp;DATE($I$2,I$4,1),DATA!$N:$N,"&lt;="&amp;DATE($I$2,I$4,I$5))</f>
        <v/>
      </c>
      <c r="J549" s="321">
        <f>SUMIFS(DATA!$M:$M,DATA!$C:$C,$B548,DATA!$N:$N,"&gt;="&amp;DATE($I$2,J$4,1),DATA!$N:$N,"&lt;="&amp;DATE($I$2,J$4,J$5))</f>
        <v/>
      </c>
      <c r="K549" s="321">
        <f>SUMIFS(DATA!$M:$M,DATA!$C:$C,$B548,DATA!$N:$N,"&gt;="&amp;DATE($I$2,K$4,1),DATA!$N:$N,"&lt;="&amp;DATE($I$2,K$4,K$5))</f>
        <v/>
      </c>
      <c r="L549" s="321">
        <f>SUMIFS(DATA!$M:$M,DATA!$C:$C,$B548,DATA!$N:$N,"&gt;="&amp;DATE($I$2,L$4,1),DATA!$N:$N,"&lt;="&amp;DATE($I$2,L$4,L$5))</f>
        <v/>
      </c>
      <c r="M549" s="321">
        <f>SUMIFS(DATA!$M:$M,DATA!$C:$C,$B548,DATA!$N:$N,"&gt;="&amp;DATE($I$2,M$4,1),DATA!$N:$N,"&lt;="&amp;DATE($I$2,M$4,M$5))</f>
        <v/>
      </c>
      <c r="N549" s="321">
        <f>SUMIFS(DATA!$M:$M,DATA!$C:$C,$B548,DATA!$N:$N,"&gt;="&amp;DATE($I$2,N$4,1),DATA!$N:$N,"&lt;="&amp;DATE($I$2,N$4,N$5))</f>
        <v/>
      </c>
      <c r="O549" s="321">
        <f>SUMIFS(DATA!$M:$M,DATA!$C:$C,$B548,DATA!$N:$N,"&gt;="&amp;DATE($I$2,O$4,1),DATA!$N:$N,"&lt;="&amp;DATE($I$2,O$4,O$5))</f>
        <v/>
      </c>
      <c r="P549" s="322">
        <f>SUM(D549:O549)</f>
        <v/>
      </c>
      <c r="Q549" s="118" t="n"/>
    </row>
    <row r="550" hidden="1" outlineLevel="1" ht="15" customHeight="1">
      <c r="A550" s="269" t="n">
        <v>273</v>
      </c>
      <c r="B550" s="125" t="n"/>
      <c r="C550" s="119" t="inlineStr">
        <is>
          <t>Kế hoạch</t>
        </is>
      </c>
      <c r="D550" s="321">
        <f>SUMIFS(DATA!$I:$I,DATA!$C:$C,$B550,DATA!$J:$J,"&gt;="&amp;DATE($I$2,D$4,1),DATA!$J:$J,"&lt;="&amp;DATE($I$2,D$4,D$5))</f>
        <v/>
      </c>
      <c r="E550" s="321">
        <f>SUMIFS(DATA!$I:$I,DATA!$C:$C,$B550,DATA!$J:$J,"&gt;="&amp;DATE($I$2,E$4,1),DATA!$J:$J,"&lt;="&amp;DATE($I$2,E$4,E$5))</f>
        <v/>
      </c>
      <c r="F550" s="321">
        <f>SUMIFS(DATA!$I:$I,DATA!$C:$C,$B550,DATA!$J:$J,"&gt;="&amp;DATE($I$2,F$4,1),DATA!$J:$J,"&lt;="&amp;DATE($I$2,F$4,F$5))</f>
        <v/>
      </c>
      <c r="G550" s="321">
        <f>SUMIFS(DATA!$I:$I,DATA!$C:$C,$B550,DATA!$J:$J,"&gt;="&amp;DATE($I$2,G$4,1),DATA!$J:$J,"&lt;="&amp;DATE($I$2,G$4,G$5))</f>
        <v/>
      </c>
      <c r="H550" s="321">
        <f>SUMIFS(DATA!$I:$I,DATA!$C:$C,$B550,DATA!$J:$J,"&gt;="&amp;DATE($I$2,H$4,1),DATA!$J:$J,"&lt;="&amp;DATE($I$2,H$4,H$5))</f>
        <v/>
      </c>
      <c r="I550" s="321">
        <f>SUMIFS(DATA!$I:$I,DATA!$C:$C,$B550,DATA!$J:$J,"&gt;="&amp;DATE($I$2,I$4,1),DATA!$J:$J,"&lt;="&amp;DATE($I$2,I$4,I$5))</f>
        <v/>
      </c>
      <c r="J550" s="321">
        <f>SUMIFS(DATA!$I:$I,DATA!$C:$C,$B550,DATA!$J:$J,"&gt;="&amp;DATE($I$2,J$4,1),DATA!$J:$J,"&lt;="&amp;DATE($I$2,J$4,J$5))</f>
        <v/>
      </c>
      <c r="K550" s="321">
        <f>SUMIFS(DATA!$I:$I,DATA!$C:$C,$B550,DATA!$J:$J,"&gt;="&amp;DATE($I$2,K$4,1),DATA!$J:$J,"&lt;="&amp;DATE($I$2,K$4,K$5))</f>
        <v/>
      </c>
      <c r="L550" s="321">
        <f>SUMIFS(DATA!$I:$I,DATA!$C:$C,$B550,DATA!$J:$J,"&gt;="&amp;DATE($I$2,L$4,1),DATA!$J:$J,"&lt;="&amp;DATE($I$2,L$4,L$5))</f>
        <v/>
      </c>
      <c r="M550" s="321">
        <f>SUMIFS(DATA!$I:$I,DATA!$C:$C,$B550,DATA!$J:$J,"&gt;="&amp;DATE($I$2,M$4,1),DATA!$J:$J,"&lt;="&amp;DATE($I$2,M$4,M$5))</f>
        <v/>
      </c>
      <c r="N550" s="321">
        <f>SUMIFS(DATA!$I:$I,DATA!$C:$C,$B550,DATA!$J:$J,"&gt;="&amp;DATE($I$2,N$4,1),DATA!$J:$J,"&lt;="&amp;DATE($I$2,N$4,N$5))</f>
        <v/>
      </c>
      <c r="O550" s="321">
        <f>SUMIFS(DATA!$I:$I,DATA!$C:$C,$B550,DATA!$J:$J,"&gt;="&amp;DATE($I$2,O$4,1),DATA!$J:$J,"&lt;="&amp;DATE($I$2,O$4,O$5))</f>
        <v/>
      </c>
      <c r="P550" s="322">
        <f>SUM(D550:O550)</f>
        <v/>
      </c>
      <c r="Q550" s="118" t="n"/>
    </row>
    <row r="551" hidden="1" outlineLevel="1" ht="15" customHeight="1">
      <c r="A551" s="266" t="n"/>
      <c r="B551" s="126" t="n"/>
      <c r="C551" s="119" t="inlineStr">
        <is>
          <t>Thực tế</t>
        </is>
      </c>
      <c r="D551" s="321">
        <f>SUMIFS(DATA!$M:$M,DATA!$C:$C,$B550,DATA!$N:$N,"&gt;="&amp;DATE($I$2,D$4,1),DATA!$N:$N,"&lt;="&amp;DATE($I$2,D$4,D$5))</f>
        <v/>
      </c>
      <c r="E551" s="321">
        <f>SUMIFS(DATA!$M:$M,DATA!$C:$C,$B550,DATA!$N:$N,"&gt;="&amp;DATE($I$2,E$4,1),DATA!$N:$N,"&lt;="&amp;DATE($I$2,E$4,E$5))</f>
        <v/>
      </c>
      <c r="F551" s="321">
        <f>SUMIFS(DATA!$M:$M,DATA!$C:$C,$B550,DATA!$N:$N,"&gt;="&amp;DATE($I$2,F$4,1),DATA!$N:$N,"&lt;="&amp;DATE($I$2,F$4,F$5))</f>
        <v/>
      </c>
      <c r="G551" s="321">
        <f>SUMIFS(DATA!$M:$M,DATA!$C:$C,$B550,DATA!$N:$N,"&gt;="&amp;DATE($I$2,G$4,1),DATA!$N:$N,"&lt;="&amp;DATE($I$2,G$4,G$5))</f>
        <v/>
      </c>
      <c r="H551" s="321">
        <f>SUMIFS(DATA!$M:$M,DATA!$C:$C,$B550,DATA!$N:$N,"&gt;="&amp;DATE($I$2,H$4,1),DATA!$N:$N,"&lt;="&amp;DATE($I$2,H$4,H$5))</f>
        <v/>
      </c>
      <c r="I551" s="321">
        <f>SUMIFS(DATA!$M:$M,DATA!$C:$C,$B550,DATA!$N:$N,"&gt;="&amp;DATE($I$2,I$4,1),DATA!$N:$N,"&lt;="&amp;DATE($I$2,I$4,I$5))</f>
        <v/>
      </c>
      <c r="J551" s="321">
        <f>SUMIFS(DATA!$M:$M,DATA!$C:$C,$B550,DATA!$N:$N,"&gt;="&amp;DATE($I$2,J$4,1),DATA!$N:$N,"&lt;="&amp;DATE($I$2,J$4,J$5))</f>
        <v/>
      </c>
      <c r="K551" s="321">
        <f>SUMIFS(DATA!$M:$M,DATA!$C:$C,$B550,DATA!$N:$N,"&gt;="&amp;DATE($I$2,K$4,1),DATA!$N:$N,"&lt;="&amp;DATE($I$2,K$4,K$5))</f>
        <v/>
      </c>
      <c r="L551" s="321">
        <f>SUMIFS(DATA!$M:$M,DATA!$C:$C,$B550,DATA!$N:$N,"&gt;="&amp;DATE($I$2,L$4,1),DATA!$N:$N,"&lt;="&amp;DATE($I$2,L$4,L$5))</f>
        <v/>
      </c>
      <c r="M551" s="321">
        <f>SUMIFS(DATA!$M:$M,DATA!$C:$C,$B550,DATA!$N:$N,"&gt;="&amp;DATE($I$2,M$4,1),DATA!$N:$N,"&lt;="&amp;DATE($I$2,M$4,M$5))</f>
        <v/>
      </c>
      <c r="N551" s="321">
        <f>SUMIFS(DATA!$M:$M,DATA!$C:$C,$B550,DATA!$N:$N,"&gt;="&amp;DATE($I$2,N$4,1),DATA!$N:$N,"&lt;="&amp;DATE($I$2,N$4,N$5))</f>
        <v/>
      </c>
      <c r="O551" s="321">
        <f>SUMIFS(DATA!$M:$M,DATA!$C:$C,$B550,DATA!$N:$N,"&gt;="&amp;DATE($I$2,O$4,1),DATA!$N:$N,"&lt;="&amp;DATE($I$2,O$4,O$5))</f>
        <v/>
      </c>
      <c r="P551" s="322">
        <f>SUM(D551:O551)</f>
        <v/>
      </c>
      <c r="Q551" s="118" t="n"/>
    </row>
    <row r="552" hidden="1" outlineLevel="1" ht="15" customHeight="1">
      <c r="A552" s="269" t="n">
        <v>274</v>
      </c>
      <c r="B552" s="125" t="n"/>
      <c r="C552" s="119" t="inlineStr">
        <is>
          <t>Kế hoạch</t>
        </is>
      </c>
      <c r="D552" s="321">
        <f>SUMIFS(DATA!$I:$I,DATA!$C:$C,$B552,DATA!$J:$J,"&gt;="&amp;DATE($I$2,D$4,1),DATA!$J:$J,"&lt;="&amp;DATE($I$2,D$4,D$5))</f>
        <v/>
      </c>
      <c r="E552" s="321">
        <f>SUMIFS(DATA!$I:$I,DATA!$C:$C,$B552,DATA!$J:$J,"&gt;="&amp;DATE($I$2,E$4,1),DATA!$J:$J,"&lt;="&amp;DATE($I$2,E$4,E$5))</f>
        <v/>
      </c>
      <c r="F552" s="321">
        <f>SUMIFS(DATA!$I:$I,DATA!$C:$C,$B552,DATA!$J:$J,"&gt;="&amp;DATE($I$2,F$4,1),DATA!$J:$J,"&lt;="&amp;DATE($I$2,F$4,F$5))</f>
        <v/>
      </c>
      <c r="G552" s="321">
        <f>SUMIFS(DATA!$I:$I,DATA!$C:$C,$B552,DATA!$J:$J,"&gt;="&amp;DATE($I$2,G$4,1),DATA!$J:$J,"&lt;="&amp;DATE($I$2,G$4,G$5))</f>
        <v/>
      </c>
      <c r="H552" s="321">
        <f>SUMIFS(DATA!$I:$I,DATA!$C:$C,$B552,DATA!$J:$J,"&gt;="&amp;DATE($I$2,H$4,1),DATA!$J:$J,"&lt;="&amp;DATE($I$2,H$4,H$5))</f>
        <v/>
      </c>
      <c r="I552" s="321">
        <f>SUMIFS(DATA!$I:$I,DATA!$C:$C,$B552,DATA!$J:$J,"&gt;="&amp;DATE($I$2,I$4,1),DATA!$J:$J,"&lt;="&amp;DATE($I$2,I$4,I$5))</f>
        <v/>
      </c>
      <c r="J552" s="321">
        <f>SUMIFS(DATA!$I:$I,DATA!$C:$C,$B552,DATA!$J:$J,"&gt;="&amp;DATE($I$2,J$4,1),DATA!$J:$J,"&lt;="&amp;DATE($I$2,J$4,J$5))</f>
        <v/>
      </c>
      <c r="K552" s="321">
        <f>SUMIFS(DATA!$I:$I,DATA!$C:$C,$B552,DATA!$J:$J,"&gt;="&amp;DATE($I$2,K$4,1),DATA!$J:$J,"&lt;="&amp;DATE($I$2,K$4,K$5))</f>
        <v/>
      </c>
      <c r="L552" s="321">
        <f>SUMIFS(DATA!$I:$I,DATA!$C:$C,$B552,DATA!$J:$J,"&gt;="&amp;DATE($I$2,L$4,1),DATA!$J:$J,"&lt;="&amp;DATE($I$2,L$4,L$5))</f>
        <v/>
      </c>
      <c r="M552" s="321">
        <f>SUMIFS(DATA!$I:$I,DATA!$C:$C,$B552,DATA!$J:$J,"&gt;="&amp;DATE($I$2,M$4,1),DATA!$J:$J,"&lt;="&amp;DATE($I$2,M$4,M$5))</f>
        <v/>
      </c>
      <c r="N552" s="321">
        <f>SUMIFS(DATA!$I:$I,DATA!$C:$C,$B552,DATA!$J:$J,"&gt;="&amp;DATE($I$2,N$4,1),DATA!$J:$J,"&lt;="&amp;DATE($I$2,N$4,N$5))</f>
        <v/>
      </c>
      <c r="O552" s="321">
        <f>SUMIFS(DATA!$I:$I,DATA!$C:$C,$B552,DATA!$J:$J,"&gt;="&amp;DATE($I$2,O$4,1),DATA!$J:$J,"&lt;="&amp;DATE($I$2,O$4,O$5))</f>
        <v/>
      </c>
      <c r="P552" s="322">
        <f>SUM(D552:O552)</f>
        <v/>
      </c>
      <c r="Q552" s="118" t="n"/>
    </row>
    <row r="553" hidden="1" outlineLevel="1" ht="15" customHeight="1">
      <c r="A553" s="266" t="n"/>
      <c r="B553" s="126" t="n"/>
      <c r="C553" s="119" t="inlineStr">
        <is>
          <t>Thực tế</t>
        </is>
      </c>
      <c r="D553" s="321">
        <f>SUMIFS(DATA!$M:$M,DATA!$C:$C,$B552,DATA!$N:$N,"&gt;="&amp;DATE($I$2,D$4,1),DATA!$N:$N,"&lt;="&amp;DATE($I$2,D$4,D$5))</f>
        <v/>
      </c>
      <c r="E553" s="321">
        <f>SUMIFS(DATA!$M:$M,DATA!$C:$C,$B552,DATA!$N:$N,"&gt;="&amp;DATE($I$2,E$4,1),DATA!$N:$N,"&lt;="&amp;DATE($I$2,E$4,E$5))</f>
        <v/>
      </c>
      <c r="F553" s="321">
        <f>SUMIFS(DATA!$M:$M,DATA!$C:$C,$B552,DATA!$N:$N,"&gt;="&amp;DATE($I$2,F$4,1),DATA!$N:$N,"&lt;="&amp;DATE($I$2,F$4,F$5))</f>
        <v/>
      </c>
      <c r="G553" s="321">
        <f>SUMIFS(DATA!$M:$M,DATA!$C:$C,$B552,DATA!$N:$N,"&gt;="&amp;DATE($I$2,G$4,1),DATA!$N:$N,"&lt;="&amp;DATE($I$2,G$4,G$5))</f>
        <v/>
      </c>
      <c r="H553" s="321">
        <f>SUMIFS(DATA!$M:$M,DATA!$C:$C,$B552,DATA!$N:$N,"&gt;="&amp;DATE($I$2,H$4,1),DATA!$N:$N,"&lt;="&amp;DATE($I$2,H$4,H$5))</f>
        <v/>
      </c>
      <c r="I553" s="321">
        <f>SUMIFS(DATA!$M:$M,DATA!$C:$C,$B552,DATA!$N:$N,"&gt;="&amp;DATE($I$2,I$4,1),DATA!$N:$N,"&lt;="&amp;DATE($I$2,I$4,I$5))</f>
        <v/>
      </c>
      <c r="J553" s="321">
        <f>SUMIFS(DATA!$M:$M,DATA!$C:$C,$B552,DATA!$N:$N,"&gt;="&amp;DATE($I$2,J$4,1),DATA!$N:$N,"&lt;="&amp;DATE($I$2,J$4,J$5))</f>
        <v/>
      </c>
      <c r="K553" s="321">
        <f>SUMIFS(DATA!$M:$M,DATA!$C:$C,$B552,DATA!$N:$N,"&gt;="&amp;DATE($I$2,K$4,1),DATA!$N:$N,"&lt;="&amp;DATE($I$2,K$4,K$5))</f>
        <v/>
      </c>
      <c r="L553" s="321">
        <f>SUMIFS(DATA!$M:$M,DATA!$C:$C,$B552,DATA!$N:$N,"&gt;="&amp;DATE($I$2,L$4,1),DATA!$N:$N,"&lt;="&amp;DATE($I$2,L$4,L$5))</f>
        <v/>
      </c>
      <c r="M553" s="321">
        <f>SUMIFS(DATA!$M:$M,DATA!$C:$C,$B552,DATA!$N:$N,"&gt;="&amp;DATE($I$2,M$4,1),DATA!$N:$N,"&lt;="&amp;DATE($I$2,M$4,M$5))</f>
        <v/>
      </c>
      <c r="N553" s="321">
        <f>SUMIFS(DATA!$M:$M,DATA!$C:$C,$B552,DATA!$N:$N,"&gt;="&amp;DATE($I$2,N$4,1),DATA!$N:$N,"&lt;="&amp;DATE($I$2,N$4,N$5))</f>
        <v/>
      </c>
      <c r="O553" s="321">
        <f>SUMIFS(DATA!$M:$M,DATA!$C:$C,$B552,DATA!$N:$N,"&gt;="&amp;DATE($I$2,O$4,1),DATA!$N:$N,"&lt;="&amp;DATE($I$2,O$4,O$5))</f>
        <v/>
      </c>
      <c r="P553" s="322">
        <f>SUM(D553:O553)</f>
        <v/>
      </c>
      <c r="Q553" s="118" t="n"/>
    </row>
    <row r="554" hidden="1" outlineLevel="1" ht="15" customHeight="1">
      <c r="A554" s="269" t="n">
        <v>275</v>
      </c>
      <c r="B554" s="125" t="n"/>
      <c r="C554" s="119" t="inlineStr">
        <is>
          <t>Kế hoạch</t>
        </is>
      </c>
      <c r="D554" s="321">
        <f>SUMIFS(DATA!$I:$I,DATA!$C:$C,$B554,DATA!$J:$J,"&gt;="&amp;DATE($I$2,D$4,1),DATA!$J:$J,"&lt;="&amp;DATE($I$2,D$4,D$5))</f>
        <v/>
      </c>
      <c r="E554" s="321">
        <f>SUMIFS(DATA!$I:$I,DATA!$C:$C,$B554,DATA!$J:$J,"&gt;="&amp;DATE($I$2,E$4,1),DATA!$J:$J,"&lt;="&amp;DATE($I$2,E$4,E$5))</f>
        <v/>
      </c>
      <c r="F554" s="321">
        <f>SUMIFS(DATA!$I:$I,DATA!$C:$C,$B554,DATA!$J:$J,"&gt;="&amp;DATE($I$2,F$4,1),DATA!$J:$J,"&lt;="&amp;DATE($I$2,F$4,F$5))</f>
        <v/>
      </c>
      <c r="G554" s="321">
        <f>SUMIFS(DATA!$I:$I,DATA!$C:$C,$B554,DATA!$J:$J,"&gt;="&amp;DATE($I$2,G$4,1),DATA!$J:$J,"&lt;="&amp;DATE($I$2,G$4,G$5))</f>
        <v/>
      </c>
      <c r="H554" s="321">
        <f>SUMIFS(DATA!$I:$I,DATA!$C:$C,$B554,DATA!$J:$J,"&gt;="&amp;DATE($I$2,H$4,1),DATA!$J:$J,"&lt;="&amp;DATE($I$2,H$4,H$5))</f>
        <v/>
      </c>
      <c r="I554" s="321">
        <f>SUMIFS(DATA!$I:$I,DATA!$C:$C,$B554,DATA!$J:$J,"&gt;="&amp;DATE($I$2,I$4,1),DATA!$J:$J,"&lt;="&amp;DATE($I$2,I$4,I$5))</f>
        <v/>
      </c>
      <c r="J554" s="321">
        <f>SUMIFS(DATA!$I:$I,DATA!$C:$C,$B554,DATA!$J:$J,"&gt;="&amp;DATE($I$2,J$4,1),DATA!$J:$J,"&lt;="&amp;DATE($I$2,J$4,J$5))</f>
        <v/>
      </c>
      <c r="K554" s="321">
        <f>SUMIFS(DATA!$I:$I,DATA!$C:$C,$B554,DATA!$J:$J,"&gt;="&amp;DATE($I$2,K$4,1),DATA!$J:$J,"&lt;="&amp;DATE($I$2,K$4,K$5))</f>
        <v/>
      </c>
      <c r="L554" s="321">
        <f>SUMIFS(DATA!$I:$I,DATA!$C:$C,$B554,DATA!$J:$J,"&gt;="&amp;DATE($I$2,L$4,1),DATA!$J:$J,"&lt;="&amp;DATE($I$2,L$4,L$5))</f>
        <v/>
      </c>
      <c r="M554" s="321">
        <f>SUMIFS(DATA!$I:$I,DATA!$C:$C,$B554,DATA!$J:$J,"&gt;="&amp;DATE($I$2,M$4,1),DATA!$J:$J,"&lt;="&amp;DATE($I$2,M$4,M$5))</f>
        <v/>
      </c>
      <c r="N554" s="321">
        <f>SUMIFS(DATA!$I:$I,DATA!$C:$C,$B554,DATA!$J:$J,"&gt;="&amp;DATE($I$2,N$4,1),DATA!$J:$J,"&lt;="&amp;DATE($I$2,N$4,N$5))</f>
        <v/>
      </c>
      <c r="O554" s="321">
        <f>SUMIFS(DATA!$I:$I,DATA!$C:$C,$B554,DATA!$J:$J,"&gt;="&amp;DATE($I$2,O$4,1),DATA!$J:$J,"&lt;="&amp;DATE($I$2,O$4,O$5))</f>
        <v/>
      </c>
      <c r="P554" s="322">
        <f>SUM(D554:O554)</f>
        <v/>
      </c>
      <c r="Q554" s="118" t="n"/>
    </row>
    <row r="555" hidden="1" outlineLevel="1" ht="15" customHeight="1">
      <c r="A555" s="266" t="n"/>
      <c r="B555" s="126" t="n"/>
      <c r="C555" s="119" t="inlineStr">
        <is>
          <t>Thực tế</t>
        </is>
      </c>
      <c r="D555" s="321">
        <f>SUMIFS(DATA!$M:$M,DATA!$C:$C,$B554,DATA!$N:$N,"&gt;="&amp;DATE($I$2,D$4,1),DATA!$N:$N,"&lt;="&amp;DATE($I$2,D$4,D$5))</f>
        <v/>
      </c>
      <c r="E555" s="321">
        <f>SUMIFS(DATA!$M:$M,DATA!$C:$C,$B554,DATA!$N:$N,"&gt;="&amp;DATE($I$2,E$4,1),DATA!$N:$N,"&lt;="&amp;DATE($I$2,E$4,E$5))</f>
        <v/>
      </c>
      <c r="F555" s="321">
        <f>SUMIFS(DATA!$M:$M,DATA!$C:$C,$B554,DATA!$N:$N,"&gt;="&amp;DATE($I$2,F$4,1),DATA!$N:$N,"&lt;="&amp;DATE($I$2,F$4,F$5))</f>
        <v/>
      </c>
      <c r="G555" s="321">
        <f>SUMIFS(DATA!$M:$M,DATA!$C:$C,$B554,DATA!$N:$N,"&gt;="&amp;DATE($I$2,G$4,1),DATA!$N:$N,"&lt;="&amp;DATE($I$2,G$4,G$5))</f>
        <v/>
      </c>
      <c r="H555" s="321">
        <f>SUMIFS(DATA!$M:$M,DATA!$C:$C,$B554,DATA!$N:$N,"&gt;="&amp;DATE($I$2,H$4,1),DATA!$N:$N,"&lt;="&amp;DATE($I$2,H$4,H$5))</f>
        <v/>
      </c>
      <c r="I555" s="321">
        <f>SUMIFS(DATA!$M:$M,DATA!$C:$C,$B554,DATA!$N:$N,"&gt;="&amp;DATE($I$2,I$4,1),DATA!$N:$N,"&lt;="&amp;DATE($I$2,I$4,I$5))</f>
        <v/>
      </c>
      <c r="J555" s="321">
        <f>SUMIFS(DATA!$M:$M,DATA!$C:$C,$B554,DATA!$N:$N,"&gt;="&amp;DATE($I$2,J$4,1),DATA!$N:$N,"&lt;="&amp;DATE($I$2,J$4,J$5))</f>
        <v/>
      </c>
      <c r="K555" s="321">
        <f>SUMIFS(DATA!$M:$M,DATA!$C:$C,$B554,DATA!$N:$N,"&gt;="&amp;DATE($I$2,K$4,1),DATA!$N:$N,"&lt;="&amp;DATE($I$2,K$4,K$5))</f>
        <v/>
      </c>
      <c r="L555" s="321">
        <f>SUMIFS(DATA!$M:$M,DATA!$C:$C,$B554,DATA!$N:$N,"&gt;="&amp;DATE($I$2,L$4,1),DATA!$N:$N,"&lt;="&amp;DATE($I$2,L$4,L$5))</f>
        <v/>
      </c>
      <c r="M555" s="321">
        <f>SUMIFS(DATA!$M:$M,DATA!$C:$C,$B554,DATA!$N:$N,"&gt;="&amp;DATE($I$2,M$4,1),DATA!$N:$N,"&lt;="&amp;DATE($I$2,M$4,M$5))</f>
        <v/>
      </c>
      <c r="N555" s="321">
        <f>SUMIFS(DATA!$M:$M,DATA!$C:$C,$B554,DATA!$N:$N,"&gt;="&amp;DATE($I$2,N$4,1),DATA!$N:$N,"&lt;="&amp;DATE($I$2,N$4,N$5))</f>
        <v/>
      </c>
      <c r="O555" s="321">
        <f>SUMIFS(DATA!$M:$M,DATA!$C:$C,$B554,DATA!$N:$N,"&gt;="&amp;DATE($I$2,O$4,1),DATA!$N:$N,"&lt;="&amp;DATE($I$2,O$4,O$5))</f>
        <v/>
      </c>
      <c r="P555" s="322">
        <f>SUM(D555:O555)</f>
        <v/>
      </c>
      <c r="Q555" s="118" t="n"/>
    </row>
    <row r="556" hidden="1" outlineLevel="1" ht="15" customHeight="1">
      <c r="A556" s="269" t="n">
        <v>276</v>
      </c>
      <c r="B556" s="125" t="n"/>
      <c r="C556" s="119" t="inlineStr">
        <is>
          <t>Kế hoạch</t>
        </is>
      </c>
      <c r="D556" s="321">
        <f>SUMIFS(DATA!$I:$I,DATA!$C:$C,$B556,DATA!$J:$J,"&gt;="&amp;DATE($I$2,D$4,1),DATA!$J:$J,"&lt;="&amp;DATE($I$2,D$4,D$5))</f>
        <v/>
      </c>
      <c r="E556" s="321">
        <f>SUMIFS(DATA!$I:$I,DATA!$C:$C,$B556,DATA!$J:$J,"&gt;="&amp;DATE($I$2,E$4,1),DATA!$J:$J,"&lt;="&amp;DATE($I$2,E$4,E$5))</f>
        <v/>
      </c>
      <c r="F556" s="321">
        <f>SUMIFS(DATA!$I:$I,DATA!$C:$C,$B556,DATA!$J:$J,"&gt;="&amp;DATE($I$2,F$4,1),DATA!$J:$J,"&lt;="&amp;DATE($I$2,F$4,F$5))</f>
        <v/>
      </c>
      <c r="G556" s="321">
        <f>SUMIFS(DATA!$I:$I,DATA!$C:$C,$B556,DATA!$J:$J,"&gt;="&amp;DATE($I$2,G$4,1),DATA!$J:$J,"&lt;="&amp;DATE($I$2,G$4,G$5))</f>
        <v/>
      </c>
      <c r="H556" s="321">
        <f>SUMIFS(DATA!$I:$I,DATA!$C:$C,$B556,DATA!$J:$J,"&gt;="&amp;DATE($I$2,H$4,1),DATA!$J:$J,"&lt;="&amp;DATE($I$2,H$4,H$5))</f>
        <v/>
      </c>
      <c r="I556" s="321">
        <f>SUMIFS(DATA!$I:$I,DATA!$C:$C,$B556,DATA!$J:$J,"&gt;="&amp;DATE($I$2,I$4,1),DATA!$J:$J,"&lt;="&amp;DATE($I$2,I$4,I$5))</f>
        <v/>
      </c>
      <c r="J556" s="321">
        <f>SUMIFS(DATA!$I:$I,DATA!$C:$C,$B556,DATA!$J:$J,"&gt;="&amp;DATE($I$2,J$4,1),DATA!$J:$J,"&lt;="&amp;DATE($I$2,J$4,J$5))</f>
        <v/>
      </c>
      <c r="K556" s="321">
        <f>SUMIFS(DATA!$I:$I,DATA!$C:$C,$B556,DATA!$J:$J,"&gt;="&amp;DATE($I$2,K$4,1),DATA!$J:$J,"&lt;="&amp;DATE($I$2,K$4,K$5))</f>
        <v/>
      </c>
      <c r="L556" s="321">
        <f>SUMIFS(DATA!$I:$I,DATA!$C:$C,$B556,DATA!$J:$J,"&gt;="&amp;DATE($I$2,L$4,1),DATA!$J:$J,"&lt;="&amp;DATE($I$2,L$4,L$5))</f>
        <v/>
      </c>
      <c r="M556" s="321">
        <f>SUMIFS(DATA!$I:$I,DATA!$C:$C,$B556,DATA!$J:$J,"&gt;="&amp;DATE($I$2,M$4,1),DATA!$J:$J,"&lt;="&amp;DATE($I$2,M$4,M$5))</f>
        <v/>
      </c>
      <c r="N556" s="321">
        <f>SUMIFS(DATA!$I:$I,DATA!$C:$C,$B556,DATA!$J:$J,"&gt;="&amp;DATE($I$2,N$4,1),DATA!$J:$J,"&lt;="&amp;DATE($I$2,N$4,N$5))</f>
        <v/>
      </c>
      <c r="O556" s="321">
        <f>SUMIFS(DATA!$I:$I,DATA!$C:$C,$B556,DATA!$J:$J,"&gt;="&amp;DATE($I$2,O$4,1),DATA!$J:$J,"&lt;="&amp;DATE($I$2,O$4,O$5))</f>
        <v/>
      </c>
      <c r="P556" s="322">
        <f>SUM(D556:O556)</f>
        <v/>
      </c>
      <c r="Q556" s="118" t="n"/>
    </row>
    <row r="557" hidden="1" outlineLevel="1" ht="15" customHeight="1">
      <c r="A557" s="266" t="n"/>
      <c r="B557" s="126" t="n"/>
      <c r="C557" s="119" t="inlineStr">
        <is>
          <t>Thực tế</t>
        </is>
      </c>
      <c r="D557" s="321">
        <f>SUMIFS(DATA!$M:$M,DATA!$C:$C,$B556,DATA!$N:$N,"&gt;="&amp;DATE($I$2,D$4,1),DATA!$N:$N,"&lt;="&amp;DATE($I$2,D$4,D$5))</f>
        <v/>
      </c>
      <c r="E557" s="321">
        <f>SUMIFS(DATA!$M:$M,DATA!$C:$C,$B556,DATA!$N:$N,"&gt;="&amp;DATE($I$2,E$4,1),DATA!$N:$N,"&lt;="&amp;DATE($I$2,E$4,E$5))</f>
        <v/>
      </c>
      <c r="F557" s="321">
        <f>SUMIFS(DATA!$M:$M,DATA!$C:$C,$B556,DATA!$N:$N,"&gt;="&amp;DATE($I$2,F$4,1),DATA!$N:$N,"&lt;="&amp;DATE($I$2,F$4,F$5))</f>
        <v/>
      </c>
      <c r="G557" s="321">
        <f>SUMIFS(DATA!$M:$M,DATA!$C:$C,$B556,DATA!$N:$N,"&gt;="&amp;DATE($I$2,G$4,1),DATA!$N:$N,"&lt;="&amp;DATE($I$2,G$4,G$5))</f>
        <v/>
      </c>
      <c r="H557" s="321">
        <f>SUMIFS(DATA!$M:$M,DATA!$C:$C,$B556,DATA!$N:$N,"&gt;="&amp;DATE($I$2,H$4,1),DATA!$N:$N,"&lt;="&amp;DATE($I$2,H$4,H$5))</f>
        <v/>
      </c>
      <c r="I557" s="321">
        <f>SUMIFS(DATA!$M:$M,DATA!$C:$C,$B556,DATA!$N:$N,"&gt;="&amp;DATE($I$2,I$4,1),DATA!$N:$N,"&lt;="&amp;DATE($I$2,I$4,I$5))</f>
        <v/>
      </c>
      <c r="J557" s="321">
        <f>SUMIFS(DATA!$M:$M,DATA!$C:$C,$B556,DATA!$N:$N,"&gt;="&amp;DATE($I$2,J$4,1),DATA!$N:$N,"&lt;="&amp;DATE($I$2,J$4,J$5))</f>
        <v/>
      </c>
      <c r="K557" s="321">
        <f>SUMIFS(DATA!$M:$M,DATA!$C:$C,$B556,DATA!$N:$N,"&gt;="&amp;DATE($I$2,K$4,1),DATA!$N:$N,"&lt;="&amp;DATE($I$2,K$4,K$5))</f>
        <v/>
      </c>
      <c r="L557" s="321">
        <f>SUMIFS(DATA!$M:$M,DATA!$C:$C,$B556,DATA!$N:$N,"&gt;="&amp;DATE($I$2,L$4,1),DATA!$N:$N,"&lt;="&amp;DATE($I$2,L$4,L$5))</f>
        <v/>
      </c>
      <c r="M557" s="321">
        <f>SUMIFS(DATA!$M:$M,DATA!$C:$C,$B556,DATA!$N:$N,"&gt;="&amp;DATE($I$2,M$4,1),DATA!$N:$N,"&lt;="&amp;DATE($I$2,M$4,M$5))</f>
        <v/>
      </c>
      <c r="N557" s="321">
        <f>SUMIFS(DATA!$M:$M,DATA!$C:$C,$B556,DATA!$N:$N,"&gt;="&amp;DATE($I$2,N$4,1),DATA!$N:$N,"&lt;="&amp;DATE($I$2,N$4,N$5))</f>
        <v/>
      </c>
      <c r="O557" s="321">
        <f>SUMIFS(DATA!$M:$M,DATA!$C:$C,$B556,DATA!$N:$N,"&gt;="&amp;DATE($I$2,O$4,1),DATA!$N:$N,"&lt;="&amp;DATE($I$2,O$4,O$5))</f>
        <v/>
      </c>
      <c r="P557" s="322">
        <f>SUM(D557:O557)</f>
        <v/>
      </c>
      <c r="Q557" s="118" t="n"/>
    </row>
    <row r="558" hidden="1" outlineLevel="1" ht="15" customHeight="1">
      <c r="A558" s="269" t="n">
        <v>277</v>
      </c>
      <c r="B558" s="125" t="n"/>
      <c r="C558" s="119" t="inlineStr">
        <is>
          <t>Kế hoạch</t>
        </is>
      </c>
      <c r="D558" s="321">
        <f>SUMIFS(DATA!$I:$I,DATA!$C:$C,$B558,DATA!$J:$J,"&gt;="&amp;DATE($I$2,D$4,1),DATA!$J:$J,"&lt;="&amp;DATE($I$2,D$4,D$5))</f>
        <v/>
      </c>
      <c r="E558" s="321">
        <f>SUMIFS(DATA!$I:$I,DATA!$C:$C,$B558,DATA!$J:$J,"&gt;="&amp;DATE($I$2,E$4,1),DATA!$J:$J,"&lt;="&amp;DATE($I$2,E$4,E$5))</f>
        <v/>
      </c>
      <c r="F558" s="321">
        <f>SUMIFS(DATA!$I:$I,DATA!$C:$C,$B558,DATA!$J:$J,"&gt;="&amp;DATE($I$2,F$4,1),DATA!$J:$J,"&lt;="&amp;DATE($I$2,F$4,F$5))</f>
        <v/>
      </c>
      <c r="G558" s="321">
        <f>SUMIFS(DATA!$I:$I,DATA!$C:$C,$B558,DATA!$J:$J,"&gt;="&amp;DATE($I$2,G$4,1),DATA!$J:$J,"&lt;="&amp;DATE($I$2,G$4,G$5))</f>
        <v/>
      </c>
      <c r="H558" s="321">
        <f>SUMIFS(DATA!$I:$I,DATA!$C:$C,$B558,DATA!$J:$J,"&gt;="&amp;DATE($I$2,H$4,1),DATA!$J:$J,"&lt;="&amp;DATE($I$2,H$4,H$5))</f>
        <v/>
      </c>
      <c r="I558" s="321">
        <f>SUMIFS(DATA!$I:$I,DATA!$C:$C,$B558,DATA!$J:$J,"&gt;="&amp;DATE($I$2,I$4,1),DATA!$J:$J,"&lt;="&amp;DATE($I$2,I$4,I$5))</f>
        <v/>
      </c>
      <c r="J558" s="321">
        <f>SUMIFS(DATA!$I:$I,DATA!$C:$C,$B558,DATA!$J:$J,"&gt;="&amp;DATE($I$2,J$4,1),DATA!$J:$J,"&lt;="&amp;DATE($I$2,J$4,J$5))</f>
        <v/>
      </c>
      <c r="K558" s="321">
        <f>SUMIFS(DATA!$I:$I,DATA!$C:$C,$B558,DATA!$J:$J,"&gt;="&amp;DATE($I$2,K$4,1),DATA!$J:$J,"&lt;="&amp;DATE($I$2,K$4,K$5))</f>
        <v/>
      </c>
      <c r="L558" s="321">
        <f>SUMIFS(DATA!$I:$I,DATA!$C:$C,$B558,DATA!$J:$J,"&gt;="&amp;DATE($I$2,L$4,1),DATA!$J:$J,"&lt;="&amp;DATE($I$2,L$4,L$5))</f>
        <v/>
      </c>
      <c r="M558" s="321">
        <f>SUMIFS(DATA!$I:$I,DATA!$C:$C,$B558,DATA!$J:$J,"&gt;="&amp;DATE($I$2,M$4,1),DATA!$J:$J,"&lt;="&amp;DATE($I$2,M$4,M$5))</f>
        <v/>
      </c>
      <c r="N558" s="321">
        <f>SUMIFS(DATA!$I:$I,DATA!$C:$C,$B558,DATA!$J:$J,"&gt;="&amp;DATE($I$2,N$4,1),DATA!$J:$J,"&lt;="&amp;DATE($I$2,N$4,N$5))</f>
        <v/>
      </c>
      <c r="O558" s="321">
        <f>SUMIFS(DATA!$I:$I,DATA!$C:$C,$B558,DATA!$J:$J,"&gt;="&amp;DATE($I$2,O$4,1),DATA!$J:$J,"&lt;="&amp;DATE($I$2,O$4,O$5))</f>
        <v/>
      </c>
      <c r="P558" s="322">
        <f>SUM(D558:O558)</f>
        <v/>
      </c>
      <c r="Q558" s="118" t="n"/>
    </row>
    <row r="559" hidden="1" outlineLevel="1" ht="15" customHeight="1">
      <c r="A559" s="266" t="n"/>
      <c r="B559" s="126" t="n"/>
      <c r="C559" s="119" t="inlineStr">
        <is>
          <t>Thực tế</t>
        </is>
      </c>
      <c r="D559" s="321">
        <f>SUMIFS(DATA!$M:$M,DATA!$C:$C,$B558,DATA!$N:$N,"&gt;="&amp;DATE($I$2,D$4,1),DATA!$N:$N,"&lt;="&amp;DATE($I$2,D$4,D$5))</f>
        <v/>
      </c>
      <c r="E559" s="321">
        <f>SUMIFS(DATA!$M:$M,DATA!$C:$C,$B558,DATA!$N:$N,"&gt;="&amp;DATE($I$2,E$4,1),DATA!$N:$N,"&lt;="&amp;DATE($I$2,E$4,E$5))</f>
        <v/>
      </c>
      <c r="F559" s="321">
        <f>SUMIFS(DATA!$M:$M,DATA!$C:$C,$B558,DATA!$N:$N,"&gt;="&amp;DATE($I$2,F$4,1),DATA!$N:$N,"&lt;="&amp;DATE($I$2,F$4,F$5))</f>
        <v/>
      </c>
      <c r="G559" s="321">
        <f>SUMIFS(DATA!$M:$M,DATA!$C:$C,$B558,DATA!$N:$N,"&gt;="&amp;DATE($I$2,G$4,1),DATA!$N:$N,"&lt;="&amp;DATE($I$2,G$4,G$5))</f>
        <v/>
      </c>
      <c r="H559" s="321">
        <f>SUMIFS(DATA!$M:$M,DATA!$C:$C,$B558,DATA!$N:$N,"&gt;="&amp;DATE($I$2,H$4,1),DATA!$N:$N,"&lt;="&amp;DATE($I$2,H$4,H$5))</f>
        <v/>
      </c>
      <c r="I559" s="321">
        <f>SUMIFS(DATA!$M:$M,DATA!$C:$C,$B558,DATA!$N:$N,"&gt;="&amp;DATE($I$2,I$4,1),DATA!$N:$N,"&lt;="&amp;DATE($I$2,I$4,I$5))</f>
        <v/>
      </c>
      <c r="J559" s="321">
        <f>SUMIFS(DATA!$M:$M,DATA!$C:$C,$B558,DATA!$N:$N,"&gt;="&amp;DATE($I$2,J$4,1),DATA!$N:$N,"&lt;="&amp;DATE($I$2,J$4,J$5))</f>
        <v/>
      </c>
      <c r="K559" s="321">
        <f>SUMIFS(DATA!$M:$M,DATA!$C:$C,$B558,DATA!$N:$N,"&gt;="&amp;DATE($I$2,K$4,1),DATA!$N:$N,"&lt;="&amp;DATE($I$2,K$4,K$5))</f>
        <v/>
      </c>
      <c r="L559" s="321">
        <f>SUMIFS(DATA!$M:$M,DATA!$C:$C,$B558,DATA!$N:$N,"&gt;="&amp;DATE($I$2,L$4,1),DATA!$N:$N,"&lt;="&amp;DATE($I$2,L$4,L$5))</f>
        <v/>
      </c>
      <c r="M559" s="321">
        <f>SUMIFS(DATA!$M:$M,DATA!$C:$C,$B558,DATA!$N:$N,"&gt;="&amp;DATE($I$2,M$4,1),DATA!$N:$N,"&lt;="&amp;DATE($I$2,M$4,M$5))</f>
        <v/>
      </c>
      <c r="N559" s="321">
        <f>SUMIFS(DATA!$M:$M,DATA!$C:$C,$B558,DATA!$N:$N,"&gt;="&amp;DATE($I$2,N$4,1),DATA!$N:$N,"&lt;="&amp;DATE($I$2,N$4,N$5))</f>
        <v/>
      </c>
      <c r="O559" s="321">
        <f>SUMIFS(DATA!$M:$M,DATA!$C:$C,$B558,DATA!$N:$N,"&gt;="&amp;DATE($I$2,O$4,1),DATA!$N:$N,"&lt;="&amp;DATE($I$2,O$4,O$5))</f>
        <v/>
      </c>
      <c r="P559" s="322">
        <f>SUM(D559:O559)</f>
        <v/>
      </c>
      <c r="Q559" s="118" t="n"/>
    </row>
    <row r="560" hidden="1" outlineLevel="1" ht="15" customHeight="1">
      <c r="A560" s="269" t="n">
        <v>278</v>
      </c>
      <c r="B560" s="125" t="n"/>
      <c r="C560" s="119" t="inlineStr">
        <is>
          <t>Kế hoạch</t>
        </is>
      </c>
      <c r="D560" s="321">
        <f>SUMIFS(DATA!$I:$I,DATA!$C:$C,$B560,DATA!$J:$J,"&gt;="&amp;DATE($I$2,D$4,1),DATA!$J:$J,"&lt;="&amp;DATE($I$2,D$4,D$5))</f>
        <v/>
      </c>
      <c r="E560" s="321">
        <f>SUMIFS(DATA!$I:$I,DATA!$C:$C,$B560,DATA!$J:$J,"&gt;="&amp;DATE($I$2,E$4,1),DATA!$J:$J,"&lt;="&amp;DATE($I$2,E$4,E$5))</f>
        <v/>
      </c>
      <c r="F560" s="321">
        <f>SUMIFS(DATA!$I:$I,DATA!$C:$C,$B560,DATA!$J:$J,"&gt;="&amp;DATE($I$2,F$4,1),DATA!$J:$J,"&lt;="&amp;DATE($I$2,F$4,F$5))</f>
        <v/>
      </c>
      <c r="G560" s="321">
        <f>SUMIFS(DATA!$I:$I,DATA!$C:$C,$B560,DATA!$J:$J,"&gt;="&amp;DATE($I$2,G$4,1),DATA!$J:$J,"&lt;="&amp;DATE($I$2,G$4,G$5))</f>
        <v/>
      </c>
      <c r="H560" s="321">
        <f>SUMIFS(DATA!$I:$I,DATA!$C:$C,$B560,DATA!$J:$J,"&gt;="&amp;DATE($I$2,H$4,1),DATA!$J:$J,"&lt;="&amp;DATE($I$2,H$4,H$5))</f>
        <v/>
      </c>
      <c r="I560" s="321">
        <f>SUMIFS(DATA!$I:$I,DATA!$C:$C,$B560,DATA!$J:$J,"&gt;="&amp;DATE($I$2,I$4,1),DATA!$J:$J,"&lt;="&amp;DATE($I$2,I$4,I$5))</f>
        <v/>
      </c>
      <c r="J560" s="321">
        <f>SUMIFS(DATA!$I:$I,DATA!$C:$C,$B560,DATA!$J:$J,"&gt;="&amp;DATE($I$2,J$4,1),DATA!$J:$J,"&lt;="&amp;DATE($I$2,J$4,J$5))</f>
        <v/>
      </c>
      <c r="K560" s="321">
        <f>SUMIFS(DATA!$I:$I,DATA!$C:$C,$B560,DATA!$J:$J,"&gt;="&amp;DATE($I$2,K$4,1),DATA!$J:$J,"&lt;="&amp;DATE($I$2,K$4,K$5))</f>
        <v/>
      </c>
      <c r="L560" s="321">
        <f>SUMIFS(DATA!$I:$I,DATA!$C:$C,$B560,DATA!$J:$J,"&gt;="&amp;DATE($I$2,L$4,1),DATA!$J:$J,"&lt;="&amp;DATE($I$2,L$4,L$5))</f>
        <v/>
      </c>
      <c r="M560" s="321">
        <f>SUMIFS(DATA!$I:$I,DATA!$C:$C,$B560,DATA!$J:$J,"&gt;="&amp;DATE($I$2,M$4,1),DATA!$J:$J,"&lt;="&amp;DATE($I$2,M$4,M$5))</f>
        <v/>
      </c>
      <c r="N560" s="321">
        <f>SUMIFS(DATA!$I:$I,DATA!$C:$C,$B560,DATA!$J:$J,"&gt;="&amp;DATE($I$2,N$4,1),DATA!$J:$J,"&lt;="&amp;DATE($I$2,N$4,N$5))</f>
        <v/>
      </c>
      <c r="O560" s="321">
        <f>SUMIFS(DATA!$I:$I,DATA!$C:$C,$B560,DATA!$J:$J,"&gt;="&amp;DATE($I$2,O$4,1),DATA!$J:$J,"&lt;="&amp;DATE($I$2,O$4,O$5))</f>
        <v/>
      </c>
      <c r="P560" s="322">
        <f>SUM(D560:O560)</f>
        <v/>
      </c>
      <c r="Q560" s="118" t="n"/>
    </row>
    <row r="561" hidden="1" outlineLevel="1" ht="15" customHeight="1">
      <c r="A561" s="266" t="n"/>
      <c r="B561" s="126" t="n"/>
      <c r="C561" s="119" t="inlineStr">
        <is>
          <t>Thực tế</t>
        </is>
      </c>
      <c r="D561" s="321">
        <f>SUMIFS(DATA!$M:$M,DATA!$C:$C,$B560,DATA!$N:$N,"&gt;="&amp;DATE($I$2,D$4,1),DATA!$N:$N,"&lt;="&amp;DATE($I$2,D$4,D$5))</f>
        <v/>
      </c>
      <c r="E561" s="321">
        <f>SUMIFS(DATA!$M:$M,DATA!$C:$C,$B560,DATA!$N:$N,"&gt;="&amp;DATE($I$2,E$4,1),DATA!$N:$N,"&lt;="&amp;DATE($I$2,E$4,E$5))</f>
        <v/>
      </c>
      <c r="F561" s="321">
        <f>SUMIFS(DATA!$M:$M,DATA!$C:$C,$B560,DATA!$N:$N,"&gt;="&amp;DATE($I$2,F$4,1),DATA!$N:$N,"&lt;="&amp;DATE($I$2,F$4,F$5))</f>
        <v/>
      </c>
      <c r="G561" s="321">
        <f>SUMIFS(DATA!$M:$M,DATA!$C:$C,$B560,DATA!$N:$N,"&gt;="&amp;DATE($I$2,G$4,1),DATA!$N:$N,"&lt;="&amp;DATE($I$2,G$4,G$5))</f>
        <v/>
      </c>
      <c r="H561" s="321">
        <f>SUMIFS(DATA!$M:$M,DATA!$C:$C,$B560,DATA!$N:$N,"&gt;="&amp;DATE($I$2,H$4,1),DATA!$N:$N,"&lt;="&amp;DATE($I$2,H$4,H$5))</f>
        <v/>
      </c>
      <c r="I561" s="321">
        <f>SUMIFS(DATA!$M:$M,DATA!$C:$C,$B560,DATA!$N:$N,"&gt;="&amp;DATE($I$2,I$4,1),DATA!$N:$N,"&lt;="&amp;DATE($I$2,I$4,I$5))</f>
        <v/>
      </c>
      <c r="J561" s="321">
        <f>SUMIFS(DATA!$M:$M,DATA!$C:$C,$B560,DATA!$N:$N,"&gt;="&amp;DATE($I$2,J$4,1),DATA!$N:$N,"&lt;="&amp;DATE($I$2,J$4,J$5))</f>
        <v/>
      </c>
      <c r="K561" s="321">
        <f>SUMIFS(DATA!$M:$M,DATA!$C:$C,$B560,DATA!$N:$N,"&gt;="&amp;DATE($I$2,K$4,1),DATA!$N:$N,"&lt;="&amp;DATE($I$2,K$4,K$5))</f>
        <v/>
      </c>
      <c r="L561" s="321">
        <f>SUMIFS(DATA!$M:$M,DATA!$C:$C,$B560,DATA!$N:$N,"&gt;="&amp;DATE($I$2,L$4,1),DATA!$N:$N,"&lt;="&amp;DATE($I$2,L$4,L$5))</f>
        <v/>
      </c>
      <c r="M561" s="321">
        <f>SUMIFS(DATA!$M:$M,DATA!$C:$C,$B560,DATA!$N:$N,"&gt;="&amp;DATE($I$2,M$4,1),DATA!$N:$N,"&lt;="&amp;DATE($I$2,M$4,M$5))</f>
        <v/>
      </c>
      <c r="N561" s="321">
        <f>SUMIFS(DATA!$M:$M,DATA!$C:$C,$B560,DATA!$N:$N,"&gt;="&amp;DATE($I$2,N$4,1),DATA!$N:$N,"&lt;="&amp;DATE($I$2,N$4,N$5))</f>
        <v/>
      </c>
      <c r="O561" s="321">
        <f>SUMIFS(DATA!$M:$M,DATA!$C:$C,$B560,DATA!$N:$N,"&gt;="&amp;DATE($I$2,O$4,1),DATA!$N:$N,"&lt;="&amp;DATE($I$2,O$4,O$5))</f>
        <v/>
      </c>
      <c r="P561" s="322">
        <f>SUM(D561:O561)</f>
        <v/>
      </c>
      <c r="Q561" s="118" t="n"/>
    </row>
    <row r="562" hidden="1" outlineLevel="1" ht="15" customHeight="1">
      <c r="A562" s="269" t="n">
        <v>279</v>
      </c>
      <c r="B562" s="125" t="n"/>
      <c r="C562" s="119" t="inlineStr">
        <is>
          <t>Kế hoạch</t>
        </is>
      </c>
      <c r="D562" s="321">
        <f>SUMIFS(DATA!$I:$I,DATA!$C:$C,$B562,DATA!$J:$J,"&gt;="&amp;DATE($I$2,D$4,1),DATA!$J:$J,"&lt;="&amp;DATE($I$2,D$4,D$5))</f>
        <v/>
      </c>
      <c r="E562" s="321">
        <f>SUMIFS(DATA!$I:$I,DATA!$C:$C,$B562,DATA!$J:$J,"&gt;="&amp;DATE($I$2,E$4,1),DATA!$J:$J,"&lt;="&amp;DATE($I$2,E$4,E$5))</f>
        <v/>
      </c>
      <c r="F562" s="321">
        <f>SUMIFS(DATA!$I:$I,DATA!$C:$C,$B562,DATA!$J:$J,"&gt;="&amp;DATE($I$2,F$4,1),DATA!$J:$J,"&lt;="&amp;DATE($I$2,F$4,F$5))</f>
        <v/>
      </c>
      <c r="G562" s="321">
        <f>SUMIFS(DATA!$I:$I,DATA!$C:$C,$B562,DATA!$J:$J,"&gt;="&amp;DATE($I$2,G$4,1),DATA!$J:$J,"&lt;="&amp;DATE($I$2,G$4,G$5))</f>
        <v/>
      </c>
      <c r="H562" s="321">
        <f>SUMIFS(DATA!$I:$I,DATA!$C:$C,$B562,DATA!$J:$J,"&gt;="&amp;DATE($I$2,H$4,1),DATA!$J:$J,"&lt;="&amp;DATE($I$2,H$4,H$5))</f>
        <v/>
      </c>
      <c r="I562" s="321">
        <f>SUMIFS(DATA!$I:$I,DATA!$C:$C,$B562,DATA!$J:$J,"&gt;="&amp;DATE($I$2,I$4,1),DATA!$J:$J,"&lt;="&amp;DATE($I$2,I$4,I$5))</f>
        <v/>
      </c>
      <c r="J562" s="321">
        <f>SUMIFS(DATA!$I:$I,DATA!$C:$C,$B562,DATA!$J:$J,"&gt;="&amp;DATE($I$2,J$4,1),DATA!$J:$J,"&lt;="&amp;DATE($I$2,J$4,J$5))</f>
        <v/>
      </c>
      <c r="K562" s="321">
        <f>SUMIFS(DATA!$I:$I,DATA!$C:$C,$B562,DATA!$J:$J,"&gt;="&amp;DATE($I$2,K$4,1),DATA!$J:$J,"&lt;="&amp;DATE($I$2,K$4,K$5))</f>
        <v/>
      </c>
      <c r="L562" s="321">
        <f>SUMIFS(DATA!$I:$I,DATA!$C:$C,$B562,DATA!$J:$J,"&gt;="&amp;DATE($I$2,L$4,1),DATA!$J:$J,"&lt;="&amp;DATE($I$2,L$4,L$5))</f>
        <v/>
      </c>
      <c r="M562" s="321">
        <f>SUMIFS(DATA!$I:$I,DATA!$C:$C,$B562,DATA!$J:$J,"&gt;="&amp;DATE($I$2,M$4,1),DATA!$J:$J,"&lt;="&amp;DATE($I$2,M$4,M$5))</f>
        <v/>
      </c>
      <c r="N562" s="321">
        <f>SUMIFS(DATA!$I:$I,DATA!$C:$C,$B562,DATA!$J:$J,"&gt;="&amp;DATE($I$2,N$4,1),DATA!$J:$J,"&lt;="&amp;DATE($I$2,N$4,N$5))</f>
        <v/>
      </c>
      <c r="O562" s="321">
        <f>SUMIFS(DATA!$I:$I,DATA!$C:$C,$B562,DATA!$J:$J,"&gt;="&amp;DATE($I$2,O$4,1),DATA!$J:$J,"&lt;="&amp;DATE($I$2,O$4,O$5))</f>
        <v/>
      </c>
      <c r="P562" s="322">
        <f>SUM(D562:O562)</f>
        <v/>
      </c>
      <c r="Q562" s="118" t="n"/>
    </row>
    <row r="563" hidden="1" outlineLevel="1" ht="15" customHeight="1">
      <c r="A563" s="266" t="n"/>
      <c r="B563" s="126" t="n"/>
      <c r="C563" s="119" t="inlineStr">
        <is>
          <t>Thực tế</t>
        </is>
      </c>
      <c r="D563" s="321">
        <f>SUMIFS(DATA!$M:$M,DATA!$C:$C,$B562,DATA!$N:$N,"&gt;="&amp;DATE($I$2,D$4,1),DATA!$N:$N,"&lt;="&amp;DATE($I$2,D$4,D$5))</f>
        <v/>
      </c>
      <c r="E563" s="321">
        <f>SUMIFS(DATA!$M:$M,DATA!$C:$C,$B562,DATA!$N:$N,"&gt;="&amp;DATE($I$2,E$4,1),DATA!$N:$N,"&lt;="&amp;DATE($I$2,E$4,E$5))</f>
        <v/>
      </c>
      <c r="F563" s="321">
        <f>SUMIFS(DATA!$M:$M,DATA!$C:$C,$B562,DATA!$N:$N,"&gt;="&amp;DATE($I$2,F$4,1),DATA!$N:$N,"&lt;="&amp;DATE($I$2,F$4,F$5))</f>
        <v/>
      </c>
      <c r="G563" s="321">
        <f>SUMIFS(DATA!$M:$M,DATA!$C:$C,$B562,DATA!$N:$N,"&gt;="&amp;DATE($I$2,G$4,1),DATA!$N:$N,"&lt;="&amp;DATE($I$2,G$4,G$5))</f>
        <v/>
      </c>
      <c r="H563" s="321">
        <f>SUMIFS(DATA!$M:$M,DATA!$C:$C,$B562,DATA!$N:$N,"&gt;="&amp;DATE($I$2,H$4,1),DATA!$N:$N,"&lt;="&amp;DATE($I$2,H$4,H$5))</f>
        <v/>
      </c>
      <c r="I563" s="321">
        <f>SUMIFS(DATA!$M:$M,DATA!$C:$C,$B562,DATA!$N:$N,"&gt;="&amp;DATE($I$2,I$4,1),DATA!$N:$N,"&lt;="&amp;DATE($I$2,I$4,I$5))</f>
        <v/>
      </c>
      <c r="J563" s="321">
        <f>SUMIFS(DATA!$M:$M,DATA!$C:$C,$B562,DATA!$N:$N,"&gt;="&amp;DATE($I$2,J$4,1),DATA!$N:$N,"&lt;="&amp;DATE($I$2,J$4,J$5))</f>
        <v/>
      </c>
      <c r="K563" s="321">
        <f>SUMIFS(DATA!$M:$M,DATA!$C:$C,$B562,DATA!$N:$N,"&gt;="&amp;DATE($I$2,K$4,1),DATA!$N:$N,"&lt;="&amp;DATE($I$2,K$4,K$5))</f>
        <v/>
      </c>
      <c r="L563" s="321">
        <f>SUMIFS(DATA!$M:$M,DATA!$C:$C,$B562,DATA!$N:$N,"&gt;="&amp;DATE($I$2,L$4,1),DATA!$N:$N,"&lt;="&amp;DATE($I$2,L$4,L$5))</f>
        <v/>
      </c>
      <c r="M563" s="321">
        <f>SUMIFS(DATA!$M:$M,DATA!$C:$C,$B562,DATA!$N:$N,"&gt;="&amp;DATE($I$2,M$4,1),DATA!$N:$N,"&lt;="&amp;DATE($I$2,M$4,M$5))</f>
        <v/>
      </c>
      <c r="N563" s="321">
        <f>SUMIFS(DATA!$M:$M,DATA!$C:$C,$B562,DATA!$N:$N,"&gt;="&amp;DATE($I$2,N$4,1),DATA!$N:$N,"&lt;="&amp;DATE($I$2,N$4,N$5))</f>
        <v/>
      </c>
      <c r="O563" s="321">
        <f>SUMIFS(DATA!$M:$M,DATA!$C:$C,$B562,DATA!$N:$N,"&gt;="&amp;DATE($I$2,O$4,1),DATA!$N:$N,"&lt;="&amp;DATE($I$2,O$4,O$5))</f>
        <v/>
      </c>
      <c r="P563" s="322">
        <f>SUM(D563:O563)</f>
        <v/>
      </c>
      <c r="Q563" s="118" t="n"/>
    </row>
    <row r="564" hidden="1" outlineLevel="1" ht="15" customHeight="1">
      <c r="A564" s="269" t="n">
        <v>280</v>
      </c>
      <c r="B564" s="125" t="n"/>
      <c r="C564" s="119" t="inlineStr">
        <is>
          <t>Kế hoạch</t>
        </is>
      </c>
      <c r="D564" s="321">
        <f>SUMIFS(DATA!$I:$I,DATA!$C:$C,$B564,DATA!$J:$J,"&gt;="&amp;DATE($I$2,D$4,1),DATA!$J:$J,"&lt;="&amp;DATE($I$2,D$4,D$5))</f>
        <v/>
      </c>
      <c r="E564" s="321">
        <f>SUMIFS(DATA!$I:$I,DATA!$C:$C,$B564,DATA!$J:$J,"&gt;="&amp;DATE($I$2,E$4,1),DATA!$J:$J,"&lt;="&amp;DATE($I$2,E$4,E$5))</f>
        <v/>
      </c>
      <c r="F564" s="321">
        <f>SUMIFS(DATA!$I:$I,DATA!$C:$C,$B564,DATA!$J:$J,"&gt;="&amp;DATE($I$2,F$4,1),DATA!$J:$J,"&lt;="&amp;DATE($I$2,F$4,F$5))</f>
        <v/>
      </c>
      <c r="G564" s="321">
        <f>SUMIFS(DATA!$I:$I,DATA!$C:$C,$B564,DATA!$J:$J,"&gt;="&amp;DATE($I$2,G$4,1),DATA!$J:$J,"&lt;="&amp;DATE($I$2,G$4,G$5))</f>
        <v/>
      </c>
      <c r="H564" s="321">
        <f>SUMIFS(DATA!$I:$I,DATA!$C:$C,$B564,DATA!$J:$J,"&gt;="&amp;DATE($I$2,H$4,1),DATA!$J:$J,"&lt;="&amp;DATE($I$2,H$4,H$5))</f>
        <v/>
      </c>
      <c r="I564" s="321">
        <f>SUMIFS(DATA!$I:$I,DATA!$C:$C,$B564,DATA!$J:$J,"&gt;="&amp;DATE($I$2,I$4,1),DATA!$J:$J,"&lt;="&amp;DATE($I$2,I$4,I$5))</f>
        <v/>
      </c>
      <c r="J564" s="321">
        <f>SUMIFS(DATA!$I:$I,DATA!$C:$C,$B564,DATA!$J:$J,"&gt;="&amp;DATE($I$2,J$4,1),DATA!$J:$J,"&lt;="&amp;DATE($I$2,J$4,J$5))</f>
        <v/>
      </c>
      <c r="K564" s="321">
        <f>SUMIFS(DATA!$I:$I,DATA!$C:$C,$B564,DATA!$J:$J,"&gt;="&amp;DATE($I$2,K$4,1),DATA!$J:$J,"&lt;="&amp;DATE($I$2,K$4,K$5))</f>
        <v/>
      </c>
      <c r="L564" s="321">
        <f>SUMIFS(DATA!$I:$I,DATA!$C:$C,$B564,DATA!$J:$J,"&gt;="&amp;DATE($I$2,L$4,1),DATA!$J:$J,"&lt;="&amp;DATE($I$2,L$4,L$5))</f>
        <v/>
      </c>
      <c r="M564" s="321">
        <f>SUMIFS(DATA!$I:$I,DATA!$C:$C,$B564,DATA!$J:$J,"&gt;="&amp;DATE($I$2,M$4,1),DATA!$J:$J,"&lt;="&amp;DATE($I$2,M$4,M$5))</f>
        <v/>
      </c>
      <c r="N564" s="321">
        <f>SUMIFS(DATA!$I:$I,DATA!$C:$C,$B564,DATA!$J:$J,"&gt;="&amp;DATE($I$2,N$4,1),DATA!$J:$J,"&lt;="&amp;DATE($I$2,N$4,N$5))</f>
        <v/>
      </c>
      <c r="O564" s="321">
        <f>SUMIFS(DATA!$I:$I,DATA!$C:$C,$B564,DATA!$J:$J,"&gt;="&amp;DATE($I$2,O$4,1),DATA!$J:$J,"&lt;="&amp;DATE($I$2,O$4,O$5))</f>
        <v/>
      </c>
      <c r="P564" s="322">
        <f>SUM(D564:O564)</f>
        <v/>
      </c>
      <c r="Q564" s="118" t="n"/>
    </row>
    <row r="565" hidden="1" outlineLevel="1" ht="15" customHeight="1">
      <c r="A565" s="266" t="n"/>
      <c r="B565" s="126" t="n"/>
      <c r="C565" s="119" t="inlineStr">
        <is>
          <t>Thực tế</t>
        </is>
      </c>
      <c r="D565" s="321">
        <f>SUMIFS(DATA!$M:$M,DATA!$C:$C,$B564,DATA!$N:$N,"&gt;="&amp;DATE($I$2,D$4,1),DATA!$N:$N,"&lt;="&amp;DATE($I$2,D$4,D$5))</f>
        <v/>
      </c>
      <c r="E565" s="321">
        <f>SUMIFS(DATA!$M:$M,DATA!$C:$C,$B564,DATA!$N:$N,"&gt;="&amp;DATE($I$2,E$4,1),DATA!$N:$N,"&lt;="&amp;DATE($I$2,E$4,E$5))</f>
        <v/>
      </c>
      <c r="F565" s="321">
        <f>SUMIFS(DATA!$M:$M,DATA!$C:$C,$B564,DATA!$N:$N,"&gt;="&amp;DATE($I$2,F$4,1),DATA!$N:$N,"&lt;="&amp;DATE($I$2,F$4,F$5))</f>
        <v/>
      </c>
      <c r="G565" s="321">
        <f>SUMIFS(DATA!$M:$M,DATA!$C:$C,$B564,DATA!$N:$N,"&gt;="&amp;DATE($I$2,G$4,1),DATA!$N:$N,"&lt;="&amp;DATE($I$2,G$4,G$5))</f>
        <v/>
      </c>
      <c r="H565" s="321">
        <f>SUMIFS(DATA!$M:$M,DATA!$C:$C,$B564,DATA!$N:$N,"&gt;="&amp;DATE($I$2,H$4,1),DATA!$N:$N,"&lt;="&amp;DATE($I$2,H$4,H$5))</f>
        <v/>
      </c>
      <c r="I565" s="321">
        <f>SUMIFS(DATA!$M:$M,DATA!$C:$C,$B564,DATA!$N:$N,"&gt;="&amp;DATE($I$2,I$4,1),DATA!$N:$N,"&lt;="&amp;DATE($I$2,I$4,I$5))</f>
        <v/>
      </c>
      <c r="J565" s="321">
        <f>SUMIFS(DATA!$M:$M,DATA!$C:$C,$B564,DATA!$N:$N,"&gt;="&amp;DATE($I$2,J$4,1),DATA!$N:$N,"&lt;="&amp;DATE($I$2,J$4,J$5))</f>
        <v/>
      </c>
      <c r="K565" s="321">
        <f>SUMIFS(DATA!$M:$M,DATA!$C:$C,$B564,DATA!$N:$N,"&gt;="&amp;DATE($I$2,K$4,1),DATA!$N:$N,"&lt;="&amp;DATE($I$2,K$4,K$5))</f>
        <v/>
      </c>
      <c r="L565" s="321">
        <f>SUMIFS(DATA!$M:$M,DATA!$C:$C,$B564,DATA!$N:$N,"&gt;="&amp;DATE($I$2,L$4,1),DATA!$N:$N,"&lt;="&amp;DATE($I$2,L$4,L$5))</f>
        <v/>
      </c>
      <c r="M565" s="321">
        <f>SUMIFS(DATA!$M:$M,DATA!$C:$C,$B564,DATA!$N:$N,"&gt;="&amp;DATE($I$2,M$4,1),DATA!$N:$N,"&lt;="&amp;DATE($I$2,M$4,M$5))</f>
        <v/>
      </c>
      <c r="N565" s="321">
        <f>SUMIFS(DATA!$M:$M,DATA!$C:$C,$B564,DATA!$N:$N,"&gt;="&amp;DATE($I$2,N$4,1),DATA!$N:$N,"&lt;="&amp;DATE($I$2,N$4,N$5))</f>
        <v/>
      </c>
      <c r="O565" s="321">
        <f>SUMIFS(DATA!$M:$M,DATA!$C:$C,$B564,DATA!$N:$N,"&gt;="&amp;DATE($I$2,O$4,1),DATA!$N:$N,"&lt;="&amp;DATE($I$2,O$4,O$5))</f>
        <v/>
      </c>
      <c r="P565" s="322">
        <f>SUM(D565:O565)</f>
        <v/>
      </c>
      <c r="Q565" s="118" t="n"/>
    </row>
    <row r="566" hidden="1" outlineLevel="1" ht="15" customHeight="1">
      <c r="A566" s="269" t="n">
        <v>281</v>
      </c>
      <c r="B566" s="125" t="n"/>
      <c r="C566" s="119" t="inlineStr">
        <is>
          <t>Kế hoạch</t>
        </is>
      </c>
      <c r="D566" s="321">
        <f>SUMIFS(DATA!$I:$I,DATA!$C:$C,$B566,DATA!$J:$J,"&gt;="&amp;DATE($I$2,D$4,1),DATA!$J:$J,"&lt;="&amp;DATE($I$2,D$4,D$5))</f>
        <v/>
      </c>
      <c r="E566" s="321">
        <f>SUMIFS(DATA!$I:$I,DATA!$C:$C,$B566,DATA!$J:$J,"&gt;="&amp;DATE($I$2,E$4,1),DATA!$J:$J,"&lt;="&amp;DATE($I$2,E$4,E$5))</f>
        <v/>
      </c>
      <c r="F566" s="321">
        <f>SUMIFS(DATA!$I:$I,DATA!$C:$C,$B566,DATA!$J:$J,"&gt;="&amp;DATE($I$2,F$4,1),DATA!$J:$J,"&lt;="&amp;DATE($I$2,F$4,F$5))</f>
        <v/>
      </c>
      <c r="G566" s="321">
        <f>SUMIFS(DATA!$I:$I,DATA!$C:$C,$B566,DATA!$J:$J,"&gt;="&amp;DATE($I$2,G$4,1),DATA!$J:$J,"&lt;="&amp;DATE($I$2,G$4,G$5))</f>
        <v/>
      </c>
      <c r="H566" s="321">
        <f>SUMIFS(DATA!$I:$I,DATA!$C:$C,$B566,DATA!$J:$J,"&gt;="&amp;DATE($I$2,H$4,1),DATA!$J:$J,"&lt;="&amp;DATE($I$2,H$4,H$5))</f>
        <v/>
      </c>
      <c r="I566" s="321">
        <f>SUMIFS(DATA!$I:$I,DATA!$C:$C,$B566,DATA!$J:$J,"&gt;="&amp;DATE($I$2,I$4,1),DATA!$J:$J,"&lt;="&amp;DATE($I$2,I$4,I$5))</f>
        <v/>
      </c>
      <c r="J566" s="321">
        <f>SUMIFS(DATA!$I:$I,DATA!$C:$C,$B566,DATA!$J:$J,"&gt;="&amp;DATE($I$2,J$4,1),DATA!$J:$J,"&lt;="&amp;DATE($I$2,J$4,J$5))</f>
        <v/>
      </c>
      <c r="K566" s="321">
        <f>SUMIFS(DATA!$I:$I,DATA!$C:$C,$B566,DATA!$J:$J,"&gt;="&amp;DATE($I$2,K$4,1),DATA!$J:$J,"&lt;="&amp;DATE($I$2,K$4,K$5))</f>
        <v/>
      </c>
      <c r="L566" s="321">
        <f>SUMIFS(DATA!$I:$I,DATA!$C:$C,$B566,DATA!$J:$J,"&gt;="&amp;DATE($I$2,L$4,1),DATA!$J:$J,"&lt;="&amp;DATE($I$2,L$4,L$5))</f>
        <v/>
      </c>
      <c r="M566" s="321">
        <f>SUMIFS(DATA!$I:$I,DATA!$C:$C,$B566,DATA!$J:$J,"&gt;="&amp;DATE($I$2,M$4,1),DATA!$J:$J,"&lt;="&amp;DATE($I$2,M$4,M$5))</f>
        <v/>
      </c>
      <c r="N566" s="321">
        <f>SUMIFS(DATA!$I:$I,DATA!$C:$C,$B566,DATA!$J:$J,"&gt;="&amp;DATE($I$2,N$4,1),DATA!$J:$J,"&lt;="&amp;DATE($I$2,N$4,N$5))</f>
        <v/>
      </c>
      <c r="O566" s="321">
        <f>SUMIFS(DATA!$I:$I,DATA!$C:$C,$B566,DATA!$J:$J,"&gt;="&amp;DATE($I$2,O$4,1),DATA!$J:$J,"&lt;="&amp;DATE($I$2,O$4,O$5))</f>
        <v/>
      </c>
      <c r="P566" s="322">
        <f>SUM(D566:O566)</f>
        <v/>
      </c>
      <c r="Q566" s="118" t="n"/>
    </row>
    <row r="567" hidden="1" outlineLevel="1" ht="15" customHeight="1">
      <c r="A567" s="266" t="n"/>
      <c r="B567" s="126" t="n"/>
      <c r="C567" s="119" t="inlineStr">
        <is>
          <t>Thực tế</t>
        </is>
      </c>
      <c r="D567" s="321">
        <f>SUMIFS(DATA!$M:$M,DATA!$C:$C,$B566,DATA!$N:$N,"&gt;="&amp;DATE($I$2,D$4,1),DATA!$N:$N,"&lt;="&amp;DATE($I$2,D$4,D$5))</f>
        <v/>
      </c>
      <c r="E567" s="321">
        <f>SUMIFS(DATA!$M:$M,DATA!$C:$C,$B566,DATA!$N:$N,"&gt;="&amp;DATE($I$2,E$4,1),DATA!$N:$N,"&lt;="&amp;DATE($I$2,E$4,E$5))</f>
        <v/>
      </c>
      <c r="F567" s="321">
        <f>SUMIFS(DATA!$M:$M,DATA!$C:$C,$B566,DATA!$N:$N,"&gt;="&amp;DATE($I$2,F$4,1),DATA!$N:$N,"&lt;="&amp;DATE($I$2,F$4,F$5))</f>
        <v/>
      </c>
      <c r="G567" s="321">
        <f>SUMIFS(DATA!$M:$M,DATA!$C:$C,$B566,DATA!$N:$N,"&gt;="&amp;DATE($I$2,G$4,1),DATA!$N:$N,"&lt;="&amp;DATE($I$2,G$4,G$5))</f>
        <v/>
      </c>
      <c r="H567" s="321">
        <f>SUMIFS(DATA!$M:$M,DATA!$C:$C,$B566,DATA!$N:$N,"&gt;="&amp;DATE($I$2,H$4,1),DATA!$N:$N,"&lt;="&amp;DATE($I$2,H$4,H$5))</f>
        <v/>
      </c>
      <c r="I567" s="321">
        <f>SUMIFS(DATA!$M:$M,DATA!$C:$C,$B566,DATA!$N:$N,"&gt;="&amp;DATE($I$2,I$4,1),DATA!$N:$N,"&lt;="&amp;DATE($I$2,I$4,I$5))</f>
        <v/>
      </c>
      <c r="J567" s="321">
        <f>SUMIFS(DATA!$M:$M,DATA!$C:$C,$B566,DATA!$N:$N,"&gt;="&amp;DATE($I$2,J$4,1),DATA!$N:$N,"&lt;="&amp;DATE($I$2,J$4,J$5))</f>
        <v/>
      </c>
      <c r="K567" s="321">
        <f>SUMIFS(DATA!$M:$M,DATA!$C:$C,$B566,DATA!$N:$N,"&gt;="&amp;DATE($I$2,K$4,1),DATA!$N:$N,"&lt;="&amp;DATE($I$2,K$4,K$5))</f>
        <v/>
      </c>
      <c r="L567" s="321">
        <f>SUMIFS(DATA!$M:$M,DATA!$C:$C,$B566,DATA!$N:$N,"&gt;="&amp;DATE($I$2,L$4,1),DATA!$N:$N,"&lt;="&amp;DATE($I$2,L$4,L$5))</f>
        <v/>
      </c>
      <c r="M567" s="321">
        <f>SUMIFS(DATA!$M:$M,DATA!$C:$C,$B566,DATA!$N:$N,"&gt;="&amp;DATE($I$2,M$4,1),DATA!$N:$N,"&lt;="&amp;DATE($I$2,M$4,M$5))</f>
        <v/>
      </c>
      <c r="N567" s="321">
        <f>SUMIFS(DATA!$M:$M,DATA!$C:$C,$B566,DATA!$N:$N,"&gt;="&amp;DATE($I$2,N$4,1),DATA!$N:$N,"&lt;="&amp;DATE($I$2,N$4,N$5))</f>
        <v/>
      </c>
      <c r="O567" s="321">
        <f>SUMIFS(DATA!$M:$M,DATA!$C:$C,$B566,DATA!$N:$N,"&gt;="&amp;DATE($I$2,O$4,1),DATA!$N:$N,"&lt;="&amp;DATE($I$2,O$4,O$5))</f>
        <v/>
      </c>
      <c r="P567" s="322">
        <f>SUM(D567:O567)</f>
        <v/>
      </c>
      <c r="Q567" s="118" t="n"/>
    </row>
    <row r="568" hidden="1" outlineLevel="1" ht="15" customHeight="1">
      <c r="A568" s="269" t="n">
        <v>282</v>
      </c>
      <c r="B568" s="125" t="n"/>
      <c r="C568" s="119" t="inlineStr">
        <is>
          <t>Kế hoạch</t>
        </is>
      </c>
      <c r="D568" s="321">
        <f>SUMIFS(DATA!$I:$I,DATA!$C:$C,$B568,DATA!$J:$J,"&gt;="&amp;DATE($I$2,D$4,1),DATA!$J:$J,"&lt;="&amp;DATE($I$2,D$4,D$5))</f>
        <v/>
      </c>
      <c r="E568" s="321">
        <f>SUMIFS(DATA!$I:$I,DATA!$C:$C,$B568,DATA!$J:$J,"&gt;="&amp;DATE($I$2,E$4,1),DATA!$J:$J,"&lt;="&amp;DATE($I$2,E$4,E$5))</f>
        <v/>
      </c>
      <c r="F568" s="321">
        <f>SUMIFS(DATA!$I:$I,DATA!$C:$C,$B568,DATA!$J:$J,"&gt;="&amp;DATE($I$2,F$4,1),DATA!$J:$J,"&lt;="&amp;DATE($I$2,F$4,F$5))</f>
        <v/>
      </c>
      <c r="G568" s="321">
        <f>SUMIFS(DATA!$I:$I,DATA!$C:$C,$B568,DATA!$J:$J,"&gt;="&amp;DATE($I$2,G$4,1),DATA!$J:$J,"&lt;="&amp;DATE($I$2,G$4,G$5))</f>
        <v/>
      </c>
      <c r="H568" s="321">
        <f>SUMIFS(DATA!$I:$I,DATA!$C:$C,$B568,DATA!$J:$J,"&gt;="&amp;DATE($I$2,H$4,1),DATA!$J:$J,"&lt;="&amp;DATE($I$2,H$4,H$5))</f>
        <v/>
      </c>
      <c r="I568" s="321">
        <f>SUMIFS(DATA!$I:$I,DATA!$C:$C,$B568,DATA!$J:$J,"&gt;="&amp;DATE($I$2,I$4,1),DATA!$J:$J,"&lt;="&amp;DATE($I$2,I$4,I$5))</f>
        <v/>
      </c>
      <c r="J568" s="321">
        <f>SUMIFS(DATA!$I:$I,DATA!$C:$C,$B568,DATA!$J:$J,"&gt;="&amp;DATE($I$2,J$4,1),DATA!$J:$J,"&lt;="&amp;DATE($I$2,J$4,J$5))</f>
        <v/>
      </c>
      <c r="K568" s="321">
        <f>SUMIFS(DATA!$I:$I,DATA!$C:$C,$B568,DATA!$J:$J,"&gt;="&amp;DATE($I$2,K$4,1),DATA!$J:$J,"&lt;="&amp;DATE($I$2,K$4,K$5))</f>
        <v/>
      </c>
      <c r="L568" s="321">
        <f>SUMIFS(DATA!$I:$I,DATA!$C:$C,$B568,DATA!$J:$J,"&gt;="&amp;DATE($I$2,L$4,1),DATA!$J:$J,"&lt;="&amp;DATE($I$2,L$4,L$5))</f>
        <v/>
      </c>
      <c r="M568" s="321">
        <f>SUMIFS(DATA!$I:$I,DATA!$C:$C,$B568,DATA!$J:$J,"&gt;="&amp;DATE($I$2,M$4,1),DATA!$J:$J,"&lt;="&amp;DATE($I$2,M$4,M$5))</f>
        <v/>
      </c>
      <c r="N568" s="321">
        <f>SUMIFS(DATA!$I:$I,DATA!$C:$C,$B568,DATA!$J:$J,"&gt;="&amp;DATE($I$2,N$4,1),DATA!$J:$J,"&lt;="&amp;DATE($I$2,N$4,N$5))</f>
        <v/>
      </c>
      <c r="O568" s="321">
        <f>SUMIFS(DATA!$I:$I,DATA!$C:$C,$B568,DATA!$J:$J,"&gt;="&amp;DATE($I$2,O$4,1),DATA!$J:$J,"&lt;="&amp;DATE($I$2,O$4,O$5))</f>
        <v/>
      </c>
      <c r="P568" s="322">
        <f>SUM(D568:O568)</f>
        <v/>
      </c>
      <c r="Q568" s="118" t="n"/>
    </row>
    <row r="569" hidden="1" outlineLevel="1" ht="15" customHeight="1">
      <c r="A569" s="266" t="n"/>
      <c r="B569" s="126" t="n"/>
      <c r="C569" s="119" t="inlineStr">
        <is>
          <t>Thực tế</t>
        </is>
      </c>
      <c r="D569" s="321">
        <f>SUMIFS(DATA!$M:$M,DATA!$C:$C,$B568,DATA!$N:$N,"&gt;="&amp;DATE($I$2,D$4,1),DATA!$N:$N,"&lt;="&amp;DATE($I$2,D$4,D$5))</f>
        <v/>
      </c>
      <c r="E569" s="321">
        <f>SUMIFS(DATA!$M:$M,DATA!$C:$C,$B568,DATA!$N:$N,"&gt;="&amp;DATE($I$2,E$4,1),DATA!$N:$N,"&lt;="&amp;DATE($I$2,E$4,E$5))</f>
        <v/>
      </c>
      <c r="F569" s="321">
        <f>SUMIFS(DATA!$M:$M,DATA!$C:$C,$B568,DATA!$N:$N,"&gt;="&amp;DATE($I$2,F$4,1),DATA!$N:$N,"&lt;="&amp;DATE($I$2,F$4,F$5))</f>
        <v/>
      </c>
      <c r="G569" s="321">
        <f>SUMIFS(DATA!$M:$M,DATA!$C:$C,$B568,DATA!$N:$N,"&gt;="&amp;DATE($I$2,G$4,1),DATA!$N:$N,"&lt;="&amp;DATE($I$2,G$4,G$5))</f>
        <v/>
      </c>
      <c r="H569" s="321">
        <f>SUMIFS(DATA!$M:$M,DATA!$C:$C,$B568,DATA!$N:$N,"&gt;="&amp;DATE($I$2,H$4,1),DATA!$N:$N,"&lt;="&amp;DATE($I$2,H$4,H$5))</f>
        <v/>
      </c>
      <c r="I569" s="321">
        <f>SUMIFS(DATA!$M:$M,DATA!$C:$C,$B568,DATA!$N:$N,"&gt;="&amp;DATE($I$2,I$4,1),DATA!$N:$N,"&lt;="&amp;DATE($I$2,I$4,I$5))</f>
        <v/>
      </c>
      <c r="J569" s="321">
        <f>SUMIFS(DATA!$M:$M,DATA!$C:$C,$B568,DATA!$N:$N,"&gt;="&amp;DATE($I$2,J$4,1),DATA!$N:$N,"&lt;="&amp;DATE($I$2,J$4,J$5))</f>
        <v/>
      </c>
      <c r="K569" s="321">
        <f>SUMIFS(DATA!$M:$M,DATA!$C:$C,$B568,DATA!$N:$N,"&gt;="&amp;DATE($I$2,K$4,1),DATA!$N:$N,"&lt;="&amp;DATE($I$2,K$4,K$5))</f>
        <v/>
      </c>
      <c r="L569" s="321">
        <f>SUMIFS(DATA!$M:$M,DATA!$C:$C,$B568,DATA!$N:$N,"&gt;="&amp;DATE($I$2,L$4,1),DATA!$N:$N,"&lt;="&amp;DATE($I$2,L$4,L$5))</f>
        <v/>
      </c>
      <c r="M569" s="321">
        <f>SUMIFS(DATA!$M:$M,DATA!$C:$C,$B568,DATA!$N:$N,"&gt;="&amp;DATE($I$2,M$4,1),DATA!$N:$N,"&lt;="&amp;DATE($I$2,M$4,M$5))</f>
        <v/>
      </c>
      <c r="N569" s="321">
        <f>SUMIFS(DATA!$M:$M,DATA!$C:$C,$B568,DATA!$N:$N,"&gt;="&amp;DATE($I$2,N$4,1),DATA!$N:$N,"&lt;="&amp;DATE($I$2,N$4,N$5))</f>
        <v/>
      </c>
      <c r="O569" s="321">
        <f>SUMIFS(DATA!$M:$M,DATA!$C:$C,$B568,DATA!$N:$N,"&gt;="&amp;DATE($I$2,O$4,1),DATA!$N:$N,"&lt;="&amp;DATE($I$2,O$4,O$5))</f>
        <v/>
      </c>
      <c r="P569" s="322">
        <f>SUM(D569:O569)</f>
        <v/>
      </c>
      <c r="Q569" s="118" t="n"/>
    </row>
    <row r="570" hidden="1" outlineLevel="1" ht="15" customHeight="1">
      <c r="A570" s="269" t="n">
        <v>283</v>
      </c>
      <c r="B570" s="125" t="n"/>
      <c r="C570" s="119" t="inlineStr">
        <is>
          <t>Kế hoạch</t>
        </is>
      </c>
      <c r="D570" s="321">
        <f>SUMIFS(DATA!$I:$I,DATA!$C:$C,$B570,DATA!$J:$J,"&gt;="&amp;DATE($I$2,D$4,1),DATA!$J:$J,"&lt;="&amp;DATE($I$2,D$4,D$5))</f>
        <v/>
      </c>
      <c r="E570" s="321">
        <f>SUMIFS(DATA!$I:$I,DATA!$C:$C,$B570,DATA!$J:$J,"&gt;="&amp;DATE($I$2,E$4,1),DATA!$J:$J,"&lt;="&amp;DATE($I$2,E$4,E$5))</f>
        <v/>
      </c>
      <c r="F570" s="321">
        <f>SUMIFS(DATA!$I:$I,DATA!$C:$C,$B570,DATA!$J:$J,"&gt;="&amp;DATE($I$2,F$4,1),DATA!$J:$J,"&lt;="&amp;DATE($I$2,F$4,F$5))</f>
        <v/>
      </c>
      <c r="G570" s="321">
        <f>SUMIFS(DATA!$I:$I,DATA!$C:$C,$B570,DATA!$J:$J,"&gt;="&amp;DATE($I$2,G$4,1),DATA!$J:$J,"&lt;="&amp;DATE($I$2,G$4,G$5))</f>
        <v/>
      </c>
      <c r="H570" s="321">
        <f>SUMIFS(DATA!$I:$I,DATA!$C:$C,$B570,DATA!$J:$J,"&gt;="&amp;DATE($I$2,H$4,1),DATA!$J:$J,"&lt;="&amp;DATE($I$2,H$4,H$5))</f>
        <v/>
      </c>
      <c r="I570" s="321">
        <f>SUMIFS(DATA!$I:$I,DATA!$C:$C,$B570,DATA!$J:$J,"&gt;="&amp;DATE($I$2,I$4,1),DATA!$J:$J,"&lt;="&amp;DATE($I$2,I$4,I$5))</f>
        <v/>
      </c>
      <c r="J570" s="321">
        <f>SUMIFS(DATA!$I:$I,DATA!$C:$C,$B570,DATA!$J:$J,"&gt;="&amp;DATE($I$2,J$4,1),DATA!$J:$J,"&lt;="&amp;DATE($I$2,J$4,J$5))</f>
        <v/>
      </c>
      <c r="K570" s="321">
        <f>SUMIFS(DATA!$I:$I,DATA!$C:$C,$B570,DATA!$J:$J,"&gt;="&amp;DATE($I$2,K$4,1),DATA!$J:$J,"&lt;="&amp;DATE($I$2,K$4,K$5))</f>
        <v/>
      </c>
      <c r="L570" s="321">
        <f>SUMIFS(DATA!$I:$I,DATA!$C:$C,$B570,DATA!$J:$J,"&gt;="&amp;DATE($I$2,L$4,1),DATA!$J:$J,"&lt;="&amp;DATE($I$2,L$4,L$5))</f>
        <v/>
      </c>
      <c r="M570" s="321">
        <f>SUMIFS(DATA!$I:$I,DATA!$C:$C,$B570,DATA!$J:$J,"&gt;="&amp;DATE($I$2,M$4,1),DATA!$J:$J,"&lt;="&amp;DATE($I$2,M$4,M$5))</f>
        <v/>
      </c>
      <c r="N570" s="321">
        <f>SUMIFS(DATA!$I:$I,DATA!$C:$C,$B570,DATA!$J:$J,"&gt;="&amp;DATE($I$2,N$4,1),DATA!$J:$J,"&lt;="&amp;DATE($I$2,N$4,N$5))</f>
        <v/>
      </c>
      <c r="O570" s="321">
        <f>SUMIFS(DATA!$I:$I,DATA!$C:$C,$B570,DATA!$J:$J,"&gt;="&amp;DATE($I$2,O$4,1),DATA!$J:$J,"&lt;="&amp;DATE($I$2,O$4,O$5))</f>
        <v/>
      </c>
      <c r="P570" s="322">
        <f>SUM(D570:O570)</f>
        <v/>
      </c>
      <c r="Q570" s="118" t="n"/>
    </row>
    <row r="571" hidden="1" outlineLevel="1" ht="15" customHeight="1">
      <c r="A571" s="266" t="n"/>
      <c r="B571" s="126" t="n"/>
      <c r="C571" s="119" t="inlineStr">
        <is>
          <t>Thực tế</t>
        </is>
      </c>
      <c r="D571" s="321">
        <f>SUMIFS(DATA!$M:$M,DATA!$C:$C,$B570,DATA!$N:$N,"&gt;="&amp;DATE($I$2,D$4,1),DATA!$N:$N,"&lt;="&amp;DATE($I$2,D$4,D$5))</f>
        <v/>
      </c>
      <c r="E571" s="321">
        <f>SUMIFS(DATA!$M:$M,DATA!$C:$C,$B570,DATA!$N:$N,"&gt;="&amp;DATE($I$2,E$4,1),DATA!$N:$N,"&lt;="&amp;DATE($I$2,E$4,E$5))</f>
        <v/>
      </c>
      <c r="F571" s="321">
        <f>SUMIFS(DATA!$M:$M,DATA!$C:$C,$B570,DATA!$N:$N,"&gt;="&amp;DATE($I$2,F$4,1),DATA!$N:$N,"&lt;="&amp;DATE($I$2,F$4,F$5))</f>
        <v/>
      </c>
      <c r="G571" s="321">
        <f>SUMIFS(DATA!$M:$M,DATA!$C:$C,$B570,DATA!$N:$N,"&gt;="&amp;DATE($I$2,G$4,1),DATA!$N:$N,"&lt;="&amp;DATE($I$2,G$4,G$5))</f>
        <v/>
      </c>
      <c r="H571" s="321">
        <f>SUMIFS(DATA!$M:$M,DATA!$C:$C,$B570,DATA!$N:$N,"&gt;="&amp;DATE($I$2,H$4,1),DATA!$N:$N,"&lt;="&amp;DATE($I$2,H$4,H$5))</f>
        <v/>
      </c>
      <c r="I571" s="321">
        <f>SUMIFS(DATA!$M:$M,DATA!$C:$C,$B570,DATA!$N:$N,"&gt;="&amp;DATE($I$2,I$4,1),DATA!$N:$N,"&lt;="&amp;DATE($I$2,I$4,I$5))</f>
        <v/>
      </c>
      <c r="J571" s="321">
        <f>SUMIFS(DATA!$M:$M,DATA!$C:$C,$B570,DATA!$N:$N,"&gt;="&amp;DATE($I$2,J$4,1),DATA!$N:$N,"&lt;="&amp;DATE($I$2,J$4,J$5))</f>
        <v/>
      </c>
      <c r="K571" s="321">
        <f>SUMIFS(DATA!$M:$M,DATA!$C:$C,$B570,DATA!$N:$N,"&gt;="&amp;DATE($I$2,K$4,1),DATA!$N:$N,"&lt;="&amp;DATE($I$2,K$4,K$5))</f>
        <v/>
      </c>
      <c r="L571" s="321">
        <f>SUMIFS(DATA!$M:$M,DATA!$C:$C,$B570,DATA!$N:$N,"&gt;="&amp;DATE($I$2,L$4,1),DATA!$N:$N,"&lt;="&amp;DATE($I$2,L$4,L$5))</f>
        <v/>
      </c>
      <c r="M571" s="321">
        <f>SUMIFS(DATA!$M:$M,DATA!$C:$C,$B570,DATA!$N:$N,"&gt;="&amp;DATE($I$2,M$4,1),DATA!$N:$N,"&lt;="&amp;DATE($I$2,M$4,M$5))</f>
        <v/>
      </c>
      <c r="N571" s="321">
        <f>SUMIFS(DATA!$M:$M,DATA!$C:$C,$B570,DATA!$N:$N,"&gt;="&amp;DATE($I$2,N$4,1),DATA!$N:$N,"&lt;="&amp;DATE($I$2,N$4,N$5))</f>
        <v/>
      </c>
      <c r="O571" s="321">
        <f>SUMIFS(DATA!$M:$M,DATA!$C:$C,$B570,DATA!$N:$N,"&gt;="&amp;DATE($I$2,O$4,1),DATA!$N:$N,"&lt;="&amp;DATE($I$2,O$4,O$5))</f>
        <v/>
      </c>
      <c r="P571" s="322">
        <f>SUM(D571:O571)</f>
        <v/>
      </c>
      <c r="Q571" s="118" t="n"/>
    </row>
    <row r="572" hidden="1" outlineLevel="1" ht="15" customHeight="1">
      <c r="A572" s="269" t="n">
        <v>284</v>
      </c>
      <c r="B572" s="125" t="n"/>
      <c r="C572" s="119" t="inlineStr">
        <is>
          <t>Kế hoạch</t>
        </is>
      </c>
      <c r="D572" s="321">
        <f>SUMIFS(DATA!$I:$I,DATA!$C:$C,$B572,DATA!$J:$J,"&gt;="&amp;DATE($I$2,D$4,1),DATA!$J:$J,"&lt;="&amp;DATE($I$2,D$4,D$5))</f>
        <v/>
      </c>
      <c r="E572" s="321">
        <f>SUMIFS(DATA!$I:$I,DATA!$C:$C,$B572,DATA!$J:$J,"&gt;="&amp;DATE($I$2,E$4,1),DATA!$J:$J,"&lt;="&amp;DATE($I$2,E$4,E$5))</f>
        <v/>
      </c>
      <c r="F572" s="321">
        <f>SUMIFS(DATA!$I:$I,DATA!$C:$C,$B572,DATA!$J:$J,"&gt;="&amp;DATE($I$2,F$4,1),DATA!$J:$J,"&lt;="&amp;DATE($I$2,F$4,F$5))</f>
        <v/>
      </c>
      <c r="G572" s="321">
        <f>SUMIFS(DATA!$I:$I,DATA!$C:$C,$B572,DATA!$J:$J,"&gt;="&amp;DATE($I$2,G$4,1),DATA!$J:$J,"&lt;="&amp;DATE($I$2,G$4,G$5))</f>
        <v/>
      </c>
      <c r="H572" s="321">
        <f>SUMIFS(DATA!$I:$I,DATA!$C:$C,$B572,DATA!$J:$J,"&gt;="&amp;DATE($I$2,H$4,1),DATA!$J:$J,"&lt;="&amp;DATE($I$2,H$4,H$5))</f>
        <v/>
      </c>
      <c r="I572" s="321">
        <f>SUMIFS(DATA!$I:$I,DATA!$C:$C,$B572,DATA!$J:$J,"&gt;="&amp;DATE($I$2,I$4,1),DATA!$J:$J,"&lt;="&amp;DATE($I$2,I$4,I$5))</f>
        <v/>
      </c>
      <c r="J572" s="321">
        <f>SUMIFS(DATA!$I:$I,DATA!$C:$C,$B572,DATA!$J:$J,"&gt;="&amp;DATE($I$2,J$4,1),DATA!$J:$J,"&lt;="&amp;DATE($I$2,J$4,J$5))</f>
        <v/>
      </c>
      <c r="K572" s="321">
        <f>SUMIFS(DATA!$I:$I,DATA!$C:$C,$B572,DATA!$J:$J,"&gt;="&amp;DATE($I$2,K$4,1),DATA!$J:$J,"&lt;="&amp;DATE($I$2,K$4,K$5))</f>
        <v/>
      </c>
      <c r="L572" s="321">
        <f>SUMIFS(DATA!$I:$I,DATA!$C:$C,$B572,DATA!$J:$J,"&gt;="&amp;DATE($I$2,L$4,1),DATA!$J:$J,"&lt;="&amp;DATE($I$2,L$4,L$5))</f>
        <v/>
      </c>
      <c r="M572" s="321">
        <f>SUMIFS(DATA!$I:$I,DATA!$C:$C,$B572,DATA!$J:$J,"&gt;="&amp;DATE($I$2,M$4,1),DATA!$J:$J,"&lt;="&amp;DATE($I$2,M$4,M$5))</f>
        <v/>
      </c>
      <c r="N572" s="321">
        <f>SUMIFS(DATA!$I:$I,DATA!$C:$C,$B572,DATA!$J:$J,"&gt;="&amp;DATE($I$2,N$4,1),DATA!$J:$J,"&lt;="&amp;DATE($I$2,N$4,N$5))</f>
        <v/>
      </c>
      <c r="O572" s="321">
        <f>SUMIFS(DATA!$I:$I,DATA!$C:$C,$B572,DATA!$J:$J,"&gt;="&amp;DATE($I$2,O$4,1),DATA!$J:$J,"&lt;="&amp;DATE($I$2,O$4,O$5))</f>
        <v/>
      </c>
      <c r="P572" s="322">
        <f>SUM(D572:O572)</f>
        <v/>
      </c>
      <c r="Q572" s="118" t="n"/>
    </row>
    <row r="573" hidden="1" outlineLevel="1" ht="15" customHeight="1">
      <c r="A573" s="266" t="n"/>
      <c r="B573" s="126" t="n"/>
      <c r="C573" s="119" t="inlineStr">
        <is>
          <t>Thực tế</t>
        </is>
      </c>
      <c r="D573" s="321">
        <f>SUMIFS(DATA!$M:$M,DATA!$C:$C,$B572,DATA!$N:$N,"&gt;="&amp;DATE($I$2,D$4,1),DATA!$N:$N,"&lt;="&amp;DATE($I$2,D$4,D$5))</f>
        <v/>
      </c>
      <c r="E573" s="321">
        <f>SUMIFS(DATA!$M:$M,DATA!$C:$C,$B572,DATA!$N:$N,"&gt;="&amp;DATE($I$2,E$4,1),DATA!$N:$N,"&lt;="&amp;DATE($I$2,E$4,E$5))</f>
        <v/>
      </c>
      <c r="F573" s="321">
        <f>SUMIFS(DATA!$M:$M,DATA!$C:$C,$B572,DATA!$N:$N,"&gt;="&amp;DATE($I$2,F$4,1),DATA!$N:$N,"&lt;="&amp;DATE($I$2,F$4,F$5))</f>
        <v/>
      </c>
      <c r="G573" s="321">
        <f>SUMIFS(DATA!$M:$M,DATA!$C:$C,$B572,DATA!$N:$N,"&gt;="&amp;DATE($I$2,G$4,1),DATA!$N:$N,"&lt;="&amp;DATE($I$2,G$4,G$5))</f>
        <v/>
      </c>
      <c r="H573" s="321">
        <f>SUMIFS(DATA!$M:$M,DATA!$C:$C,$B572,DATA!$N:$N,"&gt;="&amp;DATE($I$2,H$4,1),DATA!$N:$N,"&lt;="&amp;DATE($I$2,H$4,H$5))</f>
        <v/>
      </c>
      <c r="I573" s="321">
        <f>SUMIFS(DATA!$M:$M,DATA!$C:$C,$B572,DATA!$N:$N,"&gt;="&amp;DATE($I$2,I$4,1),DATA!$N:$N,"&lt;="&amp;DATE($I$2,I$4,I$5))</f>
        <v/>
      </c>
      <c r="J573" s="321">
        <f>SUMIFS(DATA!$M:$M,DATA!$C:$C,$B572,DATA!$N:$N,"&gt;="&amp;DATE($I$2,J$4,1),DATA!$N:$N,"&lt;="&amp;DATE($I$2,J$4,J$5))</f>
        <v/>
      </c>
      <c r="K573" s="321">
        <f>SUMIFS(DATA!$M:$M,DATA!$C:$C,$B572,DATA!$N:$N,"&gt;="&amp;DATE($I$2,K$4,1),DATA!$N:$N,"&lt;="&amp;DATE($I$2,K$4,K$5))</f>
        <v/>
      </c>
      <c r="L573" s="321">
        <f>SUMIFS(DATA!$M:$M,DATA!$C:$C,$B572,DATA!$N:$N,"&gt;="&amp;DATE($I$2,L$4,1),DATA!$N:$N,"&lt;="&amp;DATE($I$2,L$4,L$5))</f>
        <v/>
      </c>
      <c r="M573" s="321">
        <f>SUMIFS(DATA!$M:$M,DATA!$C:$C,$B572,DATA!$N:$N,"&gt;="&amp;DATE($I$2,M$4,1),DATA!$N:$N,"&lt;="&amp;DATE($I$2,M$4,M$5))</f>
        <v/>
      </c>
      <c r="N573" s="321">
        <f>SUMIFS(DATA!$M:$M,DATA!$C:$C,$B572,DATA!$N:$N,"&gt;="&amp;DATE($I$2,N$4,1),DATA!$N:$N,"&lt;="&amp;DATE($I$2,N$4,N$5))</f>
        <v/>
      </c>
      <c r="O573" s="321">
        <f>SUMIFS(DATA!$M:$M,DATA!$C:$C,$B572,DATA!$N:$N,"&gt;="&amp;DATE($I$2,O$4,1),DATA!$N:$N,"&lt;="&amp;DATE($I$2,O$4,O$5))</f>
        <v/>
      </c>
      <c r="P573" s="322">
        <f>SUM(D573:O573)</f>
        <v/>
      </c>
      <c r="Q573" s="118" t="n"/>
    </row>
    <row r="574" hidden="1" outlineLevel="1" ht="15" customHeight="1">
      <c r="A574" s="269" t="n">
        <v>285</v>
      </c>
      <c r="B574" s="125" t="n"/>
      <c r="C574" s="119" t="inlineStr">
        <is>
          <t>Kế hoạch</t>
        </is>
      </c>
      <c r="D574" s="321">
        <f>SUMIFS(DATA!$I:$I,DATA!$C:$C,$B574,DATA!$J:$J,"&gt;="&amp;DATE($I$2,D$4,1),DATA!$J:$J,"&lt;="&amp;DATE($I$2,D$4,D$5))</f>
        <v/>
      </c>
      <c r="E574" s="321">
        <f>SUMIFS(DATA!$I:$I,DATA!$C:$C,$B574,DATA!$J:$J,"&gt;="&amp;DATE($I$2,E$4,1),DATA!$J:$J,"&lt;="&amp;DATE($I$2,E$4,E$5))</f>
        <v/>
      </c>
      <c r="F574" s="321">
        <f>SUMIFS(DATA!$I:$I,DATA!$C:$C,$B574,DATA!$J:$J,"&gt;="&amp;DATE($I$2,F$4,1),DATA!$J:$J,"&lt;="&amp;DATE($I$2,F$4,F$5))</f>
        <v/>
      </c>
      <c r="G574" s="321">
        <f>SUMIFS(DATA!$I:$I,DATA!$C:$C,$B574,DATA!$J:$J,"&gt;="&amp;DATE($I$2,G$4,1),DATA!$J:$J,"&lt;="&amp;DATE($I$2,G$4,G$5))</f>
        <v/>
      </c>
      <c r="H574" s="321">
        <f>SUMIFS(DATA!$I:$I,DATA!$C:$C,$B574,DATA!$J:$J,"&gt;="&amp;DATE($I$2,H$4,1),DATA!$J:$J,"&lt;="&amp;DATE($I$2,H$4,H$5))</f>
        <v/>
      </c>
      <c r="I574" s="321">
        <f>SUMIFS(DATA!$I:$I,DATA!$C:$C,$B574,DATA!$J:$J,"&gt;="&amp;DATE($I$2,I$4,1),DATA!$J:$J,"&lt;="&amp;DATE($I$2,I$4,I$5))</f>
        <v/>
      </c>
      <c r="J574" s="321">
        <f>SUMIFS(DATA!$I:$I,DATA!$C:$C,$B574,DATA!$J:$J,"&gt;="&amp;DATE($I$2,J$4,1),DATA!$J:$J,"&lt;="&amp;DATE($I$2,J$4,J$5))</f>
        <v/>
      </c>
      <c r="K574" s="321">
        <f>SUMIFS(DATA!$I:$I,DATA!$C:$C,$B574,DATA!$J:$J,"&gt;="&amp;DATE($I$2,K$4,1),DATA!$J:$J,"&lt;="&amp;DATE($I$2,K$4,K$5))</f>
        <v/>
      </c>
      <c r="L574" s="321">
        <f>SUMIFS(DATA!$I:$I,DATA!$C:$C,$B574,DATA!$J:$J,"&gt;="&amp;DATE($I$2,L$4,1),DATA!$J:$J,"&lt;="&amp;DATE($I$2,L$4,L$5))</f>
        <v/>
      </c>
      <c r="M574" s="321">
        <f>SUMIFS(DATA!$I:$I,DATA!$C:$C,$B574,DATA!$J:$J,"&gt;="&amp;DATE($I$2,M$4,1),DATA!$J:$J,"&lt;="&amp;DATE($I$2,M$4,M$5))</f>
        <v/>
      </c>
      <c r="N574" s="321">
        <f>SUMIFS(DATA!$I:$I,DATA!$C:$C,$B574,DATA!$J:$J,"&gt;="&amp;DATE($I$2,N$4,1),DATA!$J:$J,"&lt;="&amp;DATE($I$2,N$4,N$5))</f>
        <v/>
      </c>
      <c r="O574" s="321">
        <f>SUMIFS(DATA!$I:$I,DATA!$C:$C,$B574,DATA!$J:$J,"&gt;="&amp;DATE($I$2,O$4,1),DATA!$J:$J,"&lt;="&amp;DATE($I$2,O$4,O$5))</f>
        <v/>
      </c>
      <c r="P574" s="322">
        <f>SUM(D574:O574)</f>
        <v/>
      </c>
      <c r="Q574" s="118" t="n"/>
    </row>
    <row r="575" hidden="1" outlineLevel="1" ht="15" customHeight="1">
      <c r="A575" s="266" t="n"/>
      <c r="B575" s="126" t="n"/>
      <c r="C575" s="119" t="inlineStr">
        <is>
          <t>Thực tế</t>
        </is>
      </c>
      <c r="D575" s="321">
        <f>SUMIFS(DATA!$M:$M,DATA!$C:$C,$B574,DATA!$N:$N,"&gt;="&amp;DATE($I$2,D$4,1),DATA!$N:$N,"&lt;="&amp;DATE($I$2,D$4,D$5))</f>
        <v/>
      </c>
      <c r="E575" s="321">
        <f>SUMIFS(DATA!$M:$M,DATA!$C:$C,$B574,DATA!$N:$N,"&gt;="&amp;DATE($I$2,E$4,1),DATA!$N:$N,"&lt;="&amp;DATE($I$2,E$4,E$5))</f>
        <v/>
      </c>
      <c r="F575" s="321">
        <f>SUMIFS(DATA!$M:$M,DATA!$C:$C,$B574,DATA!$N:$N,"&gt;="&amp;DATE($I$2,F$4,1),DATA!$N:$N,"&lt;="&amp;DATE($I$2,F$4,F$5))</f>
        <v/>
      </c>
      <c r="G575" s="321">
        <f>SUMIFS(DATA!$M:$M,DATA!$C:$C,$B574,DATA!$N:$N,"&gt;="&amp;DATE($I$2,G$4,1),DATA!$N:$N,"&lt;="&amp;DATE($I$2,G$4,G$5))</f>
        <v/>
      </c>
      <c r="H575" s="321">
        <f>SUMIFS(DATA!$M:$M,DATA!$C:$C,$B574,DATA!$N:$N,"&gt;="&amp;DATE($I$2,H$4,1),DATA!$N:$N,"&lt;="&amp;DATE($I$2,H$4,H$5))</f>
        <v/>
      </c>
      <c r="I575" s="321">
        <f>SUMIFS(DATA!$M:$M,DATA!$C:$C,$B574,DATA!$N:$N,"&gt;="&amp;DATE($I$2,I$4,1),DATA!$N:$N,"&lt;="&amp;DATE($I$2,I$4,I$5))</f>
        <v/>
      </c>
      <c r="J575" s="321">
        <f>SUMIFS(DATA!$M:$M,DATA!$C:$C,$B574,DATA!$N:$N,"&gt;="&amp;DATE($I$2,J$4,1),DATA!$N:$N,"&lt;="&amp;DATE($I$2,J$4,J$5))</f>
        <v/>
      </c>
      <c r="K575" s="321">
        <f>SUMIFS(DATA!$M:$M,DATA!$C:$C,$B574,DATA!$N:$N,"&gt;="&amp;DATE($I$2,K$4,1),DATA!$N:$N,"&lt;="&amp;DATE($I$2,K$4,K$5))</f>
        <v/>
      </c>
      <c r="L575" s="321">
        <f>SUMIFS(DATA!$M:$M,DATA!$C:$C,$B574,DATA!$N:$N,"&gt;="&amp;DATE($I$2,L$4,1),DATA!$N:$N,"&lt;="&amp;DATE($I$2,L$4,L$5))</f>
        <v/>
      </c>
      <c r="M575" s="321">
        <f>SUMIFS(DATA!$M:$M,DATA!$C:$C,$B574,DATA!$N:$N,"&gt;="&amp;DATE($I$2,M$4,1),DATA!$N:$N,"&lt;="&amp;DATE($I$2,M$4,M$5))</f>
        <v/>
      </c>
      <c r="N575" s="321">
        <f>SUMIFS(DATA!$M:$M,DATA!$C:$C,$B574,DATA!$N:$N,"&gt;="&amp;DATE($I$2,N$4,1),DATA!$N:$N,"&lt;="&amp;DATE($I$2,N$4,N$5))</f>
        <v/>
      </c>
      <c r="O575" s="321">
        <f>SUMIFS(DATA!$M:$M,DATA!$C:$C,$B574,DATA!$N:$N,"&gt;="&amp;DATE($I$2,O$4,1),DATA!$N:$N,"&lt;="&amp;DATE($I$2,O$4,O$5))</f>
        <v/>
      </c>
      <c r="P575" s="322">
        <f>SUM(D575:O575)</f>
        <v/>
      </c>
      <c r="Q575" s="118" t="n"/>
    </row>
    <row r="576" hidden="1" outlineLevel="1" ht="15" customHeight="1">
      <c r="A576" s="269" t="n">
        <v>286</v>
      </c>
      <c r="B576" s="125" t="n"/>
      <c r="C576" s="119" t="inlineStr">
        <is>
          <t>Kế hoạch</t>
        </is>
      </c>
      <c r="D576" s="321">
        <f>SUMIFS(DATA!$I:$I,DATA!$C:$C,$B576,DATA!$J:$J,"&gt;="&amp;DATE($I$2,D$4,1),DATA!$J:$J,"&lt;="&amp;DATE($I$2,D$4,D$5))</f>
        <v/>
      </c>
      <c r="E576" s="321">
        <f>SUMIFS(DATA!$I:$I,DATA!$C:$C,$B576,DATA!$J:$J,"&gt;="&amp;DATE($I$2,E$4,1),DATA!$J:$J,"&lt;="&amp;DATE($I$2,E$4,E$5))</f>
        <v/>
      </c>
      <c r="F576" s="321">
        <f>SUMIFS(DATA!$I:$I,DATA!$C:$C,$B576,DATA!$J:$J,"&gt;="&amp;DATE($I$2,F$4,1),DATA!$J:$J,"&lt;="&amp;DATE($I$2,F$4,F$5))</f>
        <v/>
      </c>
      <c r="G576" s="321">
        <f>SUMIFS(DATA!$I:$I,DATA!$C:$C,$B576,DATA!$J:$J,"&gt;="&amp;DATE($I$2,G$4,1),DATA!$J:$J,"&lt;="&amp;DATE($I$2,G$4,G$5))</f>
        <v/>
      </c>
      <c r="H576" s="321">
        <f>SUMIFS(DATA!$I:$I,DATA!$C:$C,$B576,DATA!$J:$J,"&gt;="&amp;DATE($I$2,H$4,1),DATA!$J:$J,"&lt;="&amp;DATE($I$2,H$4,H$5))</f>
        <v/>
      </c>
      <c r="I576" s="321">
        <f>SUMIFS(DATA!$I:$I,DATA!$C:$C,$B576,DATA!$J:$J,"&gt;="&amp;DATE($I$2,I$4,1),DATA!$J:$J,"&lt;="&amp;DATE($I$2,I$4,I$5))</f>
        <v/>
      </c>
      <c r="J576" s="321">
        <f>SUMIFS(DATA!$I:$I,DATA!$C:$C,$B576,DATA!$J:$J,"&gt;="&amp;DATE($I$2,J$4,1),DATA!$J:$J,"&lt;="&amp;DATE($I$2,J$4,J$5))</f>
        <v/>
      </c>
      <c r="K576" s="321">
        <f>SUMIFS(DATA!$I:$I,DATA!$C:$C,$B576,DATA!$J:$J,"&gt;="&amp;DATE($I$2,K$4,1),DATA!$J:$J,"&lt;="&amp;DATE($I$2,K$4,K$5))</f>
        <v/>
      </c>
      <c r="L576" s="321">
        <f>SUMIFS(DATA!$I:$I,DATA!$C:$C,$B576,DATA!$J:$J,"&gt;="&amp;DATE($I$2,L$4,1),DATA!$J:$J,"&lt;="&amp;DATE($I$2,L$4,L$5))</f>
        <v/>
      </c>
      <c r="M576" s="321">
        <f>SUMIFS(DATA!$I:$I,DATA!$C:$C,$B576,DATA!$J:$J,"&gt;="&amp;DATE($I$2,M$4,1),DATA!$J:$J,"&lt;="&amp;DATE($I$2,M$4,M$5))</f>
        <v/>
      </c>
      <c r="N576" s="321">
        <f>SUMIFS(DATA!$I:$I,DATA!$C:$C,$B576,DATA!$J:$J,"&gt;="&amp;DATE($I$2,N$4,1),DATA!$J:$J,"&lt;="&amp;DATE($I$2,N$4,N$5))</f>
        <v/>
      </c>
      <c r="O576" s="321">
        <f>SUMIFS(DATA!$I:$I,DATA!$C:$C,$B576,DATA!$J:$J,"&gt;="&amp;DATE($I$2,O$4,1),DATA!$J:$J,"&lt;="&amp;DATE($I$2,O$4,O$5))</f>
        <v/>
      </c>
      <c r="P576" s="322">
        <f>SUM(D576:O576)</f>
        <v/>
      </c>
      <c r="Q576" s="118" t="n"/>
    </row>
    <row r="577" hidden="1" outlineLevel="1" ht="15" customHeight="1">
      <c r="A577" s="266" t="n"/>
      <c r="B577" s="126" t="n"/>
      <c r="C577" s="119" t="inlineStr">
        <is>
          <t>Thực tế</t>
        </is>
      </c>
      <c r="D577" s="321">
        <f>SUMIFS(DATA!$M:$M,DATA!$C:$C,$B576,DATA!$N:$N,"&gt;="&amp;DATE($I$2,D$4,1),DATA!$N:$N,"&lt;="&amp;DATE($I$2,D$4,D$5))</f>
        <v/>
      </c>
      <c r="E577" s="321">
        <f>SUMIFS(DATA!$M:$M,DATA!$C:$C,$B576,DATA!$N:$N,"&gt;="&amp;DATE($I$2,E$4,1),DATA!$N:$N,"&lt;="&amp;DATE($I$2,E$4,E$5))</f>
        <v/>
      </c>
      <c r="F577" s="321">
        <f>SUMIFS(DATA!$M:$M,DATA!$C:$C,$B576,DATA!$N:$N,"&gt;="&amp;DATE($I$2,F$4,1),DATA!$N:$N,"&lt;="&amp;DATE($I$2,F$4,F$5))</f>
        <v/>
      </c>
      <c r="G577" s="321">
        <f>SUMIFS(DATA!$M:$M,DATA!$C:$C,$B576,DATA!$N:$N,"&gt;="&amp;DATE($I$2,G$4,1),DATA!$N:$N,"&lt;="&amp;DATE($I$2,G$4,G$5))</f>
        <v/>
      </c>
      <c r="H577" s="321">
        <f>SUMIFS(DATA!$M:$M,DATA!$C:$C,$B576,DATA!$N:$N,"&gt;="&amp;DATE($I$2,H$4,1),DATA!$N:$N,"&lt;="&amp;DATE($I$2,H$4,H$5))</f>
        <v/>
      </c>
      <c r="I577" s="321">
        <f>SUMIFS(DATA!$M:$M,DATA!$C:$C,$B576,DATA!$N:$N,"&gt;="&amp;DATE($I$2,I$4,1),DATA!$N:$N,"&lt;="&amp;DATE($I$2,I$4,I$5))</f>
        <v/>
      </c>
      <c r="J577" s="321">
        <f>SUMIFS(DATA!$M:$M,DATA!$C:$C,$B576,DATA!$N:$N,"&gt;="&amp;DATE($I$2,J$4,1),DATA!$N:$N,"&lt;="&amp;DATE($I$2,J$4,J$5))</f>
        <v/>
      </c>
      <c r="K577" s="321">
        <f>SUMIFS(DATA!$M:$M,DATA!$C:$C,$B576,DATA!$N:$N,"&gt;="&amp;DATE($I$2,K$4,1),DATA!$N:$N,"&lt;="&amp;DATE($I$2,K$4,K$5))</f>
        <v/>
      </c>
      <c r="L577" s="321">
        <f>SUMIFS(DATA!$M:$M,DATA!$C:$C,$B576,DATA!$N:$N,"&gt;="&amp;DATE($I$2,L$4,1),DATA!$N:$N,"&lt;="&amp;DATE($I$2,L$4,L$5))</f>
        <v/>
      </c>
      <c r="M577" s="321">
        <f>SUMIFS(DATA!$M:$M,DATA!$C:$C,$B576,DATA!$N:$N,"&gt;="&amp;DATE($I$2,M$4,1),DATA!$N:$N,"&lt;="&amp;DATE($I$2,M$4,M$5))</f>
        <v/>
      </c>
      <c r="N577" s="321">
        <f>SUMIFS(DATA!$M:$M,DATA!$C:$C,$B576,DATA!$N:$N,"&gt;="&amp;DATE($I$2,N$4,1),DATA!$N:$N,"&lt;="&amp;DATE($I$2,N$4,N$5))</f>
        <v/>
      </c>
      <c r="O577" s="321">
        <f>SUMIFS(DATA!$M:$M,DATA!$C:$C,$B576,DATA!$N:$N,"&gt;="&amp;DATE($I$2,O$4,1),DATA!$N:$N,"&lt;="&amp;DATE($I$2,O$4,O$5))</f>
        <v/>
      </c>
      <c r="P577" s="322">
        <f>SUM(D577:O577)</f>
        <v/>
      </c>
      <c r="Q577" s="118" t="n"/>
    </row>
    <row r="578" hidden="1" outlineLevel="1" ht="15" customHeight="1">
      <c r="A578" s="269" t="n">
        <v>287</v>
      </c>
      <c r="B578" s="125" t="n"/>
      <c r="C578" s="119" t="inlineStr">
        <is>
          <t>Kế hoạch</t>
        </is>
      </c>
      <c r="D578" s="321">
        <f>SUMIFS(DATA!$I:$I,DATA!$C:$C,$B578,DATA!$J:$J,"&gt;="&amp;DATE($I$2,D$4,1),DATA!$J:$J,"&lt;="&amp;DATE($I$2,D$4,D$5))</f>
        <v/>
      </c>
      <c r="E578" s="321">
        <f>SUMIFS(DATA!$I:$I,DATA!$C:$C,$B578,DATA!$J:$J,"&gt;="&amp;DATE($I$2,E$4,1),DATA!$J:$J,"&lt;="&amp;DATE($I$2,E$4,E$5))</f>
        <v/>
      </c>
      <c r="F578" s="321">
        <f>SUMIFS(DATA!$I:$I,DATA!$C:$C,$B578,DATA!$J:$J,"&gt;="&amp;DATE($I$2,F$4,1),DATA!$J:$J,"&lt;="&amp;DATE($I$2,F$4,F$5))</f>
        <v/>
      </c>
      <c r="G578" s="321">
        <f>SUMIFS(DATA!$I:$I,DATA!$C:$C,$B578,DATA!$J:$J,"&gt;="&amp;DATE($I$2,G$4,1),DATA!$J:$J,"&lt;="&amp;DATE($I$2,G$4,G$5))</f>
        <v/>
      </c>
      <c r="H578" s="321">
        <f>SUMIFS(DATA!$I:$I,DATA!$C:$C,$B578,DATA!$J:$J,"&gt;="&amp;DATE($I$2,H$4,1),DATA!$J:$J,"&lt;="&amp;DATE($I$2,H$4,H$5))</f>
        <v/>
      </c>
      <c r="I578" s="321">
        <f>SUMIFS(DATA!$I:$I,DATA!$C:$C,$B578,DATA!$J:$J,"&gt;="&amp;DATE($I$2,I$4,1),DATA!$J:$J,"&lt;="&amp;DATE($I$2,I$4,I$5))</f>
        <v/>
      </c>
      <c r="J578" s="321">
        <f>SUMIFS(DATA!$I:$I,DATA!$C:$C,$B578,DATA!$J:$J,"&gt;="&amp;DATE($I$2,J$4,1),DATA!$J:$J,"&lt;="&amp;DATE($I$2,J$4,J$5))</f>
        <v/>
      </c>
      <c r="K578" s="321">
        <f>SUMIFS(DATA!$I:$I,DATA!$C:$C,$B578,DATA!$J:$J,"&gt;="&amp;DATE($I$2,K$4,1),DATA!$J:$J,"&lt;="&amp;DATE($I$2,K$4,K$5))</f>
        <v/>
      </c>
      <c r="L578" s="321">
        <f>SUMIFS(DATA!$I:$I,DATA!$C:$C,$B578,DATA!$J:$J,"&gt;="&amp;DATE($I$2,L$4,1),DATA!$J:$J,"&lt;="&amp;DATE($I$2,L$4,L$5))</f>
        <v/>
      </c>
      <c r="M578" s="321">
        <f>SUMIFS(DATA!$I:$I,DATA!$C:$C,$B578,DATA!$J:$J,"&gt;="&amp;DATE($I$2,M$4,1),DATA!$J:$J,"&lt;="&amp;DATE($I$2,M$4,M$5))</f>
        <v/>
      </c>
      <c r="N578" s="321">
        <f>SUMIFS(DATA!$I:$I,DATA!$C:$C,$B578,DATA!$J:$J,"&gt;="&amp;DATE($I$2,N$4,1),DATA!$J:$J,"&lt;="&amp;DATE($I$2,N$4,N$5))</f>
        <v/>
      </c>
      <c r="O578" s="321">
        <f>SUMIFS(DATA!$I:$I,DATA!$C:$C,$B578,DATA!$J:$J,"&gt;="&amp;DATE($I$2,O$4,1),DATA!$J:$J,"&lt;="&amp;DATE($I$2,O$4,O$5))</f>
        <v/>
      </c>
      <c r="P578" s="322">
        <f>SUM(D578:O578)</f>
        <v/>
      </c>
      <c r="Q578" s="118" t="n"/>
    </row>
    <row r="579" hidden="1" outlineLevel="1" ht="15" customHeight="1">
      <c r="A579" s="266" t="n"/>
      <c r="B579" s="126" t="n"/>
      <c r="C579" s="119" t="inlineStr">
        <is>
          <t>Thực tế</t>
        </is>
      </c>
      <c r="D579" s="321">
        <f>SUMIFS(DATA!$M:$M,DATA!$C:$C,$B578,DATA!$N:$N,"&gt;="&amp;DATE($I$2,D$4,1),DATA!$N:$N,"&lt;="&amp;DATE($I$2,D$4,D$5))</f>
        <v/>
      </c>
      <c r="E579" s="321">
        <f>SUMIFS(DATA!$M:$M,DATA!$C:$C,$B578,DATA!$N:$N,"&gt;="&amp;DATE($I$2,E$4,1),DATA!$N:$N,"&lt;="&amp;DATE($I$2,E$4,E$5))</f>
        <v/>
      </c>
      <c r="F579" s="321">
        <f>SUMIFS(DATA!$M:$M,DATA!$C:$C,$B578,DATA!$N:$N,"&gt;="&amp;DATE($I$2,F$4,1),DATA!$N:$N,"&lt;="&amp;DATE($I$2,F$4,F$5))</f>
        <v/>
      </c>
      <c r="G579" s="321">
        <f>SUMIFS(DATA!$M:$M,DATA!$C:$C,$B578,DATA!$N:$N,"&gt;="&amp;DATE($I$2,G$4,1),DATA!$N:$N,"&lt;="&amp;DATE($I$2,G$4,G$5))</f>
        <v/>
      </c>
      <c r="H579" s="321">
        <f>SUMIFS(DATA!$M:$M,DATA!$C:$C,$B578,DATA!$N:$N,"&gt;="&amp;DATE($I$2,H$4,1),DATA!$N:$N,"&lt;="&amp;DATE($I$2,H$4,H$5))</f>
        <v/>
      </c>
      <c r="I579" s="321">
        <f>SUMIFS(DATA!$M:$M,DATA!$C:$C,$B578,DATA!$N:$N,"&gt;="&amp;DATE($I$2,I$4,1),DATA!$N:$N,"&lt;="&amp;DATE($I$2,I$4,I$5))</f>
        <v/>
      </c>
      <c r="J579" s="321">
        <f>SUMIFS(DATA!$M:$M,DATA!$C:$C,$B578,DATA!$N:$N,"&gt;="&amp;DATE($I$2,J$4,1),DATA!$N:$N,"&lt;="&amp;DATE($I$2,J$4,J$5))</f>
        <v/>
      </c>
      <c r="K579" s="321">
        <f>SUMIFS(DATA!$M:$M,DATA!$C:$C,$B578,DATA!$N:$N,"&gt;="&amp;DATE($I$2,K$4,1),DATA!$N:$N,"&lt;="&amp;DATE($I$2,K$4,K$5))</f>
        <v/>
      </c>
      <c r="L579" s="321">
        <f>SUMIFS(DATA!$M:$M,DATA!$C:$C,$B578,DATA!$N:$N,"&gt;="&amp;DATE($I$2,L$4,1),DATA!$N:$N,"&lt;="&amp;DATE($I$2,L$4,L$5))</f>
        <v/>
      </c>
      <c r="M579" s="321">
        <f>SUMIFS(DATA!$M:$M,DATA!$C:$C,$B578,DATA!$N:$N,"&gt;="&amp;DATE($I$2,M$4,1),DATA!$N:$N,"&lt;="&amp;DATE($I$2,M$4,M$5))</f>
        <v/>
      </c>
      <c r="N579" s="321">
        <f>SUMIFS(DATA!$M:$M,DATA!$C:$C,$B578,DATA!$N:$N,"&gt;="&amp;DATE($I$2,N$4,1),DATA!$N:$N,"&lt;="&amp;DATE($I$2,N$4,N$5))</f>
        <v/>
      </c>
      <c r="O579" s="321">
        <f>SUMIFS(DATA!$M:$M,DATA!$C:$C,$B578,DATA!$N:$N,"&gt;="&amp;DATE($I$2,O$4,1),DATA!$N:$N,"&lt;="&amp;DATE($I$2,O$4,O$5))</f>
        <v/>
      </c>
      <c r="P579" s="322">
        <f>SUM(D579:O579)</f>
        <v/>
      </c>
      <c r="Q579" s="118" t="n"/>
    </row>
    <row r="580" hidden="1" outlineLevel="1" ht="15" customHeight="1">
      <c r="A580" s="269" t="n">
        <v>288</v>
      </c>
      <c r="B580" s="125" t="n"/>
      <c r="C580" s="119" t="inlineStr">
        <is>
          <t>Kế hoạch</t>
        </is>
      </c>
      <c r="D580" s="321">
        <f>SUMIFS(DATA!$I:$I,DATA!$C:$C,$B580,DATA!$J:$J,"&gt;="&amp;DATE($I$2,D$4,1),DATA!$J:$J,"&lt;="&amp;DATE($I$2,D$4,D$5))</f>
        <v/>
      </c>
      <c r="E580" s="321">
        <f>SUMIFS(DATA!$I:$I,DATA!$C:$C,$B580,DATA!$J:$J,"&gt;="&amp;DATE($I$2,E$4,1),DATA!$J:$J,"&lt;="&amp;DATE($I$2,E$4,E$5))</f>
        <v/>
      </c>
      <c r="F580" s="321">
        <f>SUMIFS(DATA!$I:$I,DATA!$C:$C,$B580,DATA!$J:$J,"&gt;="&amp;DATE($I$2,F$4,1),DATA!$J:$J,"&lt;="&amp;DATE($I$2,F$4,F$5))</f>
        <v/>
      </c>
      <c r="G580" s="321">
        <f>SUMIFS(DATA!$I:$I,DATA!$C:$C,$B580,DATA!$J:$J,"&gt;="&amp;DATE($I$2,G$4,1),DATA!$J:$J,"&lt;="&amp;DATE($I$2,G$4,G$5))</f>
        <v/>
      </c>
      <c r="H580" s="321">
        <f>SUMIFS(DATA!$I:$I,DATA!$C:$C,$B580,DATA!$J:$J,"&gt;="&amp;DATE($I$2,H$4,1),DATA!$J:$J,"&lt;="&amp;DATE($I$2,H$4,H$5))</f>
        <v/>
      </c>
      <c r="I580" s="321">
        <f>SUMIFS(DATA!$I:$I,DATA!$C:$C,$B580,DATA!$J:$J,"&gt;="&amp;DATE($I$2,I$4,1),DATA!$J:$J,"&lt;="&amp;DATE($I$2,I$4,I$5))</f>
        <v/>
      </c>
      <c r="J580" s="321">
        <f>SUMIFS(DATA!$I:$I,DATA!$C:$C,$B580,DATA!$J:$J,"&gt;="&amp;DATE($I$2,J$4,1),DATA!$J:$J,"&lt;="&amp;DATE($I$2,J$4,J$5))</f>
        <v/>
      </c>
      <c r="K580" s="321">
        <f>SUMIFS(DATA!$I:$I,DATA!$C:$C,$B580,DATA!$J:$J,"&gt;="&amp;DATE($I$2,K$4,1),DATA!$J:$J,"&lt;="&amp;DATE($I$2,K$4,K$5))</f>
        <v/>
      </c>
      <c r="L580" s="321">
        <f>SUMIFS(DATA!$I:$I,DATA!$C:$C,$B580,DATA!$J:$J,"&gt;="&amp;DATE($I$2,L$4,1),DATA!$J:$J,"&lt;="&amp;DATE($I$2,L$4,L$5))</f>
        <v/>
      </c>
      <c r="M580" s="321">
        <f>SUMIFS(DATA!$I:$I,DATA!$C:$C,$B580,DATA!$J:$J,"&gt;="&amp;DATE($I$2,M$4,1),DATA!$J:$J,"&lt;="&amp;DATE($I$2,M$4,M$5))</f>
        <v/>
      </c>
      <c r="N580" s="321">
        <f>SUMIFS(DATA!$I:$I,DATA!$C:$C,$B580,DATA!$J:$J,"&gt;="&amp;DATE($I$2,N$4,1),DATA!$J:$J,"&lt;="&amp;DATE($I$2,N$4,N$5))</f>
        <v/>
      </c>
      <c r="O580" s="321">
        <f>SUMIFS(DATA!$I:$I,DATA!$C:$C,$B580,DATA!$J:$J,"&gt;="&amp;DATE($I$2,O$4,1),DATA!$J:$J,"&lt;="&amp;DATE($I$2,O$4,O$5))</f>
        <v/>
      </c>
      <c r="P580" s="322">
        <f>SUM(D580:O580)</f>
        <v/>
      </c>
      <c r="Q580" s="118" t="n"/>
    </row>
    <row r="581" hidden="1" outlineLevel="1" ht="15" customHeight="1">
      <c r="A581" s="266" t="n"/>
      <c r="B581" s="126" t="n"/>
      <c r="C581" s="119" t="inlineStr">
        <is>
          <t>Thực tế</t>
        </is>
      </c>
      <c r="D581" s="321">
        <f>SUMIFS(DATA!$M:$M,DATA!$C:$C,$B580,DATA!$N:$N,"&gt;="&amp;DATE($I$2,D$4,1),DATA!$N:$N,"&lt;="&amp;DATE($I$2,D$4,D$5))</f>
        <v/>
      </c>
      <c r="E581" s="321">
        <f>SUMIFS(DATA!$M:$M,DATA!$C:$C,$B580,DATA!$N:$N,"&gt;="&amp;DATE($I$2,E$4,1),DATA!$N:$N,"&lt;="&amp;DATE($I$2,E$4,E$5))</f>
        <v/>
      </c>
      <c r="F581" s="321">
        <f>SUMIFS(DATA!$M:$M,DATA!$C:$C,$B580,DATA!$N:$N,"&gt;="&amp;DATE($I$2,F$4,1),DATA!$N:$N,"&lt;="&amp;DATE($I$2,F$4,F$5))</f>
        <v/>
      </c>
      <c r="G581" s="321">
        <f>SUMIFS(DATA!$M:$M,DATA!$C:$C,$B580,DATA!$N:$N,"&gt;="&amp;DATE($I$2,G$4,1),DATA!$N:$N,"&lt;="&amp;DATE($I$2,G$4,G$5))</f>
        <v/>
      </c>
      <c r="H581" s="321">
        <f>SUMIFS(DATA!$M:$M,DATA!$C:$C,$B580,DATA!$N:$N,"&gt;="&amp;DATE($I$2,H$4,1),DATA!$N:$N,"&lt;="&amp;DATE($I$2,H$4,H$5))</f>
        <v/>
      </c>
      <c r="I581" s="321">
        <f>SUMIFS(DATA!$M:$M,DATA!$C:$C,$B580,DATA!$N:$N,"&gt;="&amp;DATE($I$2,I$4,1),DATA!$N:$N,"&lt;="&amp;DATE($I$2,I$4,I$5))</f>
        <v/>
      </c>
      <c r="J581" s="321">
        <f>SUMIFS(DATA!$M:$M,DATA!$C:$C,$B580,DATA!$N:$N,"&gt;="&amp;DATE($I$2,J$4,1),DATA!$N:$N,"&lt;="&amp;DATE($I$2,J$4,J$5))</f>
        <v/>
      </c>
      <c r="K581" s="321">
        <f>SUMIFS(DATA!$M:$M,DATA!$C:$C,$B580,DATA!$N:$N,"&gt;="&amp;DATE($I$2,K$4,1),DATA!$N:$N,"&lt;="&amp;DATE($I$2,K$4,K$5))</f>
        <v/>
      </c>
      <c r="L581" s="321">
        <f>SUMIFS(DATA!$M:$M,DATA!$C:$C,$B580,DATA!$N:$N,"&gt;="&amp;DATE($I$2,L$4,1),DATA!$N:$N,"&lt;="&amp;DATE($I$2,L$4,L$5))</f>
        <v/>
      </c>
      <c r="M581" s="321">
        <f>SUMIFS(DATA!$M:$M,DATA!$C:$C,$B580,DATA!$N:$N,"&gt;="&amp;DATE($I$2,M$4,1),DATA!$N:$N,"&lt;="&amp;DATE($I$2,M$4,M$5))</f>
        <v/>
      </c>
      <c r="N581" s="321">
        <f>SUMIFS(DATA!$M:$M,DATA!$C:$C,$B580,DATA!$N:$N,"&gt;="&amp;DATE($I$2,N$4,1),DATA!$N:$N,"&lt;="&amp;DATE($I$2,N$4,N$5))</f>
        <v/>
      </c>
      <c r="O581" s="321">
        <f>SUMIFS(DATA!$M:$M,DATA!$C:$C,$B580,DATA!$N:$N,"&gt;="&amp;DATE($I$2,O$4,1),DATA!$N:$N,"&lt;="&amp;DATE($I$2,O$4,O$5))</f>
        <v/>
      </c>
      <c r="P581" s="322">
        <f>SUM(D581:O581)</f>
        <v/>
      </c>
      <c r="Q581" s="118" t="n"/>
    </row>
    <row r="582" hidden="1" outlineLevel="1" ht="15" customHeight="1">
      <c r="A582" s="269" t="n">
        <v>289</v>
      </c>
      <c r="B582" s="125" t="n"/>
      <c r="C582" s="119" t="inlineStr">
        <is>
          <t>Kế hoạch</t>
        </is>
      </c>
      <c r="D582" s="321">
        <f>SUMIFS(DATA!$I:$I,DATA!$C:$C,$B582,DATA!$J:$J,"&gt;="&amp;DATE($I$2,D$4,1),DATA!$J:$J,"&lt;="&amp;DATE($I$2,D$4,D$5))</f>
        <v/>
      </c>
      <c r="E582" s="321">
        <f>SUMIFS(DATA!$I:$I,DATA!$C:$C,$B582,DATA!$J:$J,"&gt;="&amp;DATE($I$2,E$4,1),DATA!$J:$J,"&lt;="&amp;DATE($I$2,E$4,E$5))</f>
        <v/>
      </c>
      <c r="F582" s="321">
        <f>SUMIFS(DATA!$I:$I,DATA!$C:$C,$B582,DATA!$J:$J,"&gt;="&amp;DATE($I$2,F$4,1),DATA!$J:$J,"&lt;="&amp;DATE($I$2,F$4,F$5))</f>
        <v/>
      </c>
      <c r="G582" s="321">
        <f>SUMIFS(DATA!$I:$I,DATA!$C:$C,$B582,DATA!$J:$J,"&gt;="&amp;DATE($I$2,G$4,1),DATA!$J:$J,"&lt;="&amp;DATE($I$2,G$4,G$5))</f>
        <v/>
      </c>
      <c r="H582" s="321">
        <f>SUMIFS(DATA!$I:$I,DATA!$C:$C,$B582,DATA!$J:$J,"&gt;="&amp;DATE($I$2,H$4,1),DATA!$J:$J,"&lt;="&amp;DATE($I$2,H$4,H$5))</f>
        <v/>
      </c>
      <c r="I582" s="321">
        <f>SUMIFS(DATA!$I:$I,DATA!$C:$C,$B582,DATA!$J:$J,"&gt;="&amp;DATE($I$2,I$4,1),DATA!$J:$J,"&lt;="&amp;DATE($I$2,I$4,I$5))</f>
        <v/>
      </c>
      <c r="J582" s="321">
        <f>SUMIFS(DATA!$I:$I,DATA!$C:$C,$B582,DATA!$J:$J,"&gt;="&amp;DATE($I$2,J$4,1),DATA!$J:$J,"&lt;="&amp;DATE($I$2,J$4,J$5))</f>
        <v/>
      </c>
      <c r="K582" s="321">
        <f>SUMIFS(DATA!$I:$I,DATA!$C:$C,$B582,DATA!$J:$J,"&gt;="&amp;DATE($I$2,K$4,1),DATA!$J:$J,"&lt;="&amp;DATE($I$2,K$4,K$5))</f>
        <v/>
      </c>
      <c r="L582" s="321">
        <f>SUMIFS(DATA!$I:$I,DATA!$C:$C,$B582,DATA!$J:$J,"&gt;="&amp;DATE($I$2,L$4,1),DATA!$J:$J,"&lt;="&amp;DATE($I$2,L$4,L$5))</f>
        <v/>
      </c>
      <c r="M582" s="321">
        <f>SUMIFS(DATA!$I:$I,DATA!$C:$C,$B582,DATA!$J:$J,"&gt;="&amp;DATE($I$2,M$4,1),DATA!$J:$J,"&lt;="&amp;DATE($I$2,M$4,M$5))</f>
        <v/>
      </c>
      <c r="N582" s="321">
        <f>SUMIFS(DATA!$I:$I,DATA!$C:$C,$B582,DATA!$J:$J,"&gt;="&amp;DATE($I$2,N$4,1),DATA!$J:$J,"&lt;="&amp;DATE($I$2,N$4,N$5))</f>
        <v/>
      </c>
      <c r="O582" s="321">
        <f>SUMIFS(DATA!$I:$I,DATA!$C:$C,$B582,DATA!$J:$J,"&gt;="&amp;DATE($I$2,O$4,1),DATA!$J:$J,"&lt;="&amp;DATE($I$2,O$4,O$5))</f>
        <v/>
      </c>
      <c r="P582" s="322">
        <f>SUM(D582:O582)</f>
        <v/>
      </c>
      <c r="Q582" s="118" t="n"/>
    </row>
    <row r="583" hidden="1" outlineLevel="1" ht="15" customHeight="1">
      <c r="A583" s="266" t="n"/>
      <c r="B583" s="126" t="n"/>
      <c r="C583" s="119" t="inlineStr">
        <is>
          <t>Thực tế</t>
        </is>
      </c>
      <c r="D583" s="321">
        <f>SUMIFS(DATA!$M:$M,DATA!$C:$C,$B582,DATA!$N:$N,"&gt;="&amp;DATE($I$2,D$4,1),DATA!$N:$N,"&lt;="&amp;DATE($I$2,D$4,D$5))</f>
        <v/>
      </c>
      <c r="E583" s="321">
        <f>SUMIFS(DATA!$M:$M,DATA!$C:$C,$B582,DATA!$N:$N,"&gt;="&amp;DATE($I$2,E$4,1),DATA!$N:$N,"&lt;="&amp;DATE($I$2,E$4,E$5))</f>
        <v/>
      </c>
      <c r="F583" s="321">
        <f>SUMIFS(DATA!$M:$M,DATA!$C:$C,$B582,DATA!$N:$N,"&gt;="&amp;DATE($I$2,F$4,1),DATA!$N:$N,"&lt;="&amp;DATE($I$2,F$4,F$5))</f>
        <v/>
      </c>
      <c r="G583" s="321">
        <f>SUMIFS(DATA!$M:$M,DATA!$C:$C,$B582,DATA!$N:$N,"&gt;="&amp;DATE($I$2,G$4,1),DATA!$N:$N,"&lt;="&amp;DATE($I$2,G$4,G$5))</f>
        <v/>
      </c>
      <c r="H583" s="321">
        <f>SUMIFS(DATA!$M:$M,DATA!$C:$C,$B582,DATA!$N:$N,"&gt;="&amp;DATE($I$2,H$4,1),DATA!$N:$N,"&lt;="&amp;DATE($I$2,H$4,H$5))</f>
        <v/>
      </c>
      <c r="I583" s="321">
        <f>SUMIFS(DATA!$M:$M,DATA!$C:$C,$B582,DATA!$N:$N,"&gt;="&amp;DATE($I$2,I$4,1),DATA!$N:$N,"&lt;="&amp;DATE($I$2,I$4,I$5))</f>
        <v/>
      </c>
      <c r="J583" s="321">
        <f>SUMIFS(DATA!$M:$M,DATA!$C:$C,$B582,DATA!$N:$N,"&gt;="&amp;DATE($I$2,J$4,1),DATA!$N:$N,"&lt;="&amp;DATE($I$2,J$4,J$5))</f>
        <v/>
      </c>
      <c r="K583" s="321">
        <f>SUMIFS(DATA!$M:$M,DATA!$C:$C,$B582,DATA!$N:$N,"&gt;="&amp;DATE($I$2,K$4,1),DATA!$N:$N,"&lt;="&amp;DATE($I$2,K$4,K$5))</f>
        <v/>
      </c>
      <c r="L583" s="321">
        <f>SUMIFS(DATA!$M:$M,DATA!$C:$C,$B582,DATA!$N:$N,"&gt;="&amp;DATE($I$2,L$4,1),DATA!$N:$N,"&lt;="&amp;DATE($I$2,L$4,L$5))</f>
        <v/>
      </c>
      <c r="M583" s="321">
        <f>SUMIFS(DATA!$M:$M,DATA!$C:$C,$B582,DATA!$N:$N,"&gt;="&amp;DATE($I$2,M$4,1),DATA!$N:$N,"&lt;="&amp;DATE($I$2,M$4,M$5))</f>
        <v/>
      </c>
      <c r="N583" s="321">
        <f>SUMIFS(DATA!$M:$M,DATA!$C:$C,$B582,DATA!$N:$N,"&gt;="&amp;DATE($I$2,N$4,1),DATA!$N:$N,"&lt;="&amp;DATE($I$2,N$4,N$5))</f>
        <v/>
      </c>
      <c r="O583" s="321">
        <f>SUMIFS(DATA!$M:$M,DATA!$C:$C,$B582,DATA!$N:$N,"&gt;="&amp;DATE($I$2,O$4,1),DATA!$N:$N,"&lt;="&amp;DATE($I$2,O$4,O$5))</f>
        <v/>
      </c>
      <c r="P583" s="322">
        <f>SUM(D583:O583)</f>
        <v/>
      </c>
      <c r="Q583" s="118" t="n"/>
    </row>
    <row r="584" hidden="1" outlineLevel="1" ht="15" customHeight="1">
      <c r="A584" s="269" t="n">
        <v>290</v>
      </c>
      <c r="B584" s="125" t="n"/>
      <c r="C584" s="119" t="inlineStr">
        <is>
          <t>Kế hoạch</t>
        </is>
      </c>
      <c r="D584" s="321">
        <f>SUMIFS(DATA!$I:$I,DATA!$C:$C,$B584,DATA!$J:$J,"&gt;="&amp;DATE($I$2,D$4,1),DATA!$J:$J,"&lt;="&amp;DATE($I$2,D$4,D$5))</f>
        <v/>
      </c>
      <c r="E584" s="321">
        <f>SUMIFS(DATA!$I:$I,DATA!$C:$C,$B584,DATA!$J:$J,"&gt;="&amp;DATE($I$2,E$4,1),DATA!$J:$J,"&lt;="&amp;DATE($I$2,E$4,E$5))</f>
        <v/>
      </c>
      <c r="F584" s="321">
        <f>SUMIFS(DATA!$I:$I,DATA!$C:$C,$B584,DATA!$J:$J,"&gt;="&amp;DATE($I$2,F$4,1),DATA!$J:$J,"&lt;="&amp;DATE($I$2,F$4,F$5))</f>
        <v/>
      </c>
      <c r="G584" s="321">
        <f>SUMIFS(DATA!$I:$I,DATA!$C:$C,$B584,DATA!$J:$J,"&gt;="&amp;DATE($I$2,G$4,1),DATA!$J:$J,"&lt;="&amp;DATE($I$2,G$4,G$5))</f>
        <v/>
      </c>
      <c r="H584" s="321">
        <f>SUMIFS(DATA!$I:$I,DATA!$C:$C,$B584,DATA!$J:$J,"&gt;="&amp;DATE($I$2,H$4,1),DATA!$J:$J,"&lt;="&amp;DATE($I$2,H$4,H$5))</f>
        <v/>
      </c>
      <c r="I584" s="321">
        <f>SUMIFS(DATA!$I:$I,DATA!$C:$C,$B584,DATA!$J:$J,"&gt;="&amp;DATE($I$2,I$4,1),DATA!$J:$J,"&lt;="&amp;DATE($I$2,I$4,I$5))</f>
        <v/>
      </c>
      <c r="J584" s="321">
        <f>SUMIFS(DATA!$I:$I,DATA!$C:$C,$B584,DATA!$J:$J,"&gt;="&amp;DATE($I$2,J$4,1),DATA!$J:$J,"&lt;="&amp;DATE($I$2,J$4,J$5))</f>
        <v/>
      </c>
      <c r="K584" s="321">
        <f>SUMIFS(DATA!$I:$I,DATA!$C:$C,$B584,DATA!$J:$J,"&gt;="&amp;DATE($I$2,K$4,1),DATA!$J:$J,"&lt;="&amp;DATE($I$2,K$4,K$5))</f>
        <v/>
      </c>
      <c r="L584" s="321">
        <f>SUMIFS(DATA!$I:$I,DATA!$C:$C,$B584,DATA!$J:$J,"&gt;="&amp;DATE($I$2,L$4,1),DATA!$J:$J,"&lt;="&amp;DATE($I$2,L$4,L$5))</f>
        <v/>
      </c>
      <c r="M584" s="321">
        <f>SUMIFS(DATA!$I:$I,DATA!$C:$C,$B584,DATA!$J:$J,"&gt;="&amp;DATE($I$2,M$4,1),DATA!$J:$J,"&lt;="&amp;DATE($I$2,M$4,M$5))</f>
        <v/>
      </c>
      <c r="N584" s="321">
        <f>SUMIFS(DATA!$I:$I,DATA!$C:$C,$B584,DATA!$J:$J,"&gt;="&amp;DATE($I$2,N$4,1),DATA!$J:$J,"&lt;="&amp;DATE($I$2,N$4,N$5))</f>
        <v/>
      </c>
      <c r="O584" s="321">
        <f>SUMIFS(DATA!$I:$I,DATA!$C:$C,$B584,DATA!$J:$J,"&gt;="&amp;DATE($I$2,O$4,1),DATA!$J:$J,"&lt;="&amp;DATE($I$2,O$4,O$5))</f>
        <v/>
      </c>
      <c r="P584" s="322">
        <f>SUM(D584:O584)</f>
        <v/>
      </c>
      <c r="Q584" s="118" t="n"/>
    </row>
    <row r="585" hidden="1" outlineLevel="1" ht="15" customHeight="1">
      <c r="A585" s="266" t="n"/>
      <c r="B585" s="126" t="n"/>
      <c r="C585" s="119" t="inlineStr">
        <is>
          <t>Thực tế</t>
        </is>
      </c>
      <c r="D585" s="321">
        <f>SUMIFS(DATA!$M:$M,DATA!$C:$C,$B584,DATA!$N:$N,"&gt;="&amp;DATE($I$2,D$4,1),DATA!$N:$N,"&lt;="&amp;DATE($I$2,D$4,D$5))</f>
        <v/>
      </c>
      <c r="E585" s="321">
        <f>SUMIFS(DATA!$M:$M,DATA!$C:$C,$B584,DATA!$N:$N,"&gt;="&amp;DATE($I$2,E$4,1),DATA!$N:$N,"&lt;="&amp;DATE($I$2,E$4,E$5))</f>
        <v/>
      </c>
      <c r="F585" s="321">
        <f>SUMIFS(DATA!$M:$M,DATA!$C:$C,$B584,DATA!$N:$N,"&gt;="&amp;DATE($I$2,F$4,1),DATA!$N:$N,"&lt;="&amp;DATE($I$2,F$4,F$5))</f>
        <v/>
      </c>
      <c r="G585" s="321">
        <f>SUMIFS(DATA!$M:$M,DATA!$C:$C,$B584,DATA!$N:$N,"&gt;="&amp;DATE($I$2,G$4,1),DATA!$N:$N,"&lt;="&amp;DATE($I$2,G$4,G$5))</f>
        <v/>
      </c>
      <c r="H585" s="321">
        <f>SUMIFS(DATA!$M:$M,DATA!$C:$C,$B584,DATA!$N:$N,"&gt;="&amp;DATE($I$2,H$4,1),DATA!$N:$N,"&lt;="&amp;DATE($I$2,H$4,H$5))</f>
        <v/>
      </c>
      <c r="I585" s="321">
        <f>SUMIFS(DATA!$M:$M,DATA!$C:$C,$B584,DATA!$N:$N,"&gt;="&amp;DATE($I$2,I$4,1),DATA!$N:$N,"&lt;="&amp;DATE($I$2,I$4,I$5))</f>
        <v/>
      </c>
      <c r="J585" s="321">
        <f>SUMIFS(DATA!$M:$M,DATA!$C:$C,$B584,DATA!$N:$N,"&gt;="&amp;DATE($I$2,J$4,1),DATA!$N:$N,"&lt;="&amp;DATE($I$2,J$4,J$5))</f>
        <v/>
      </c>
      <c r="K585" s="321">
        <f>SUMIFS(DATA!$M:$M,DATA!$C:$C,$B584,DATA!$N:$N,"&gt;="&amp;DATE($I$2,K$4,1),DATA!$N:$N,"&lt;="&amp;DATE($I$2,K$4,K$5))</f>
        <v/>
      </c>
      <c r="L585" s="321">
        <f>SUMIFS(DATA!$M:$M,DATA!$C:$C,$B584,DATA!$N:$N,"&gt;="&amp;DATE($I$2,L$4,1),DATA!$N:$N,"&lt;="&amp;DATE($I$2,L$4,L$5))</f>
        <v/>
      </c>
      <c r="M585" s="321">
        <f>SUMIFS(DATA!$M:$M,DATA!$C:$C,$B584,DATA!$N:$N,"&gt;="&amp;DATE($I$2,M$4,1),DATA!$N:$N,"&lt;="&amp;DATE($I$2,M$4,M$5))</f>
        <v/>
      </c>
      <c r="N585" s="321">
        <f>SUMIFS(DATA!$M:$M,DATA!$C:$C,$B584,DATA!$N:$N,"&gt;="&amp;DATE($I$2,N$4,1),DATA!$N:$N,"&lt;="&amp;DATE($I$2,N$4,N$5))</f>
        <v/>
      </c>
      <c r="O585" s="321">
        <f>SUMIFS(DATA!$M:$M,DATA!$C:$C,$B584,DATA!$N:$N,"&gt;="&amp;DATE($I$2,O$4,1),DATA!$N:$N,"&lt;="&amp;DATE($I$2,O$4,O$5))</f>
        <v/>
      </c>
      <c r="P585" s="322">
        <f>SUM(D585:O585)</f>
        <v/>
      </c>
      <c r="Q585" s="118" t="n"/>
    </row>
    <row r="586" hidden="1" outlineLevel="1" ht="15" customHeight="1">
      <c r="A586" s="269" t="n">
        <v>291</v>
      </c>
      <c r="B586" s="125" t="n"/>
      <c r="C586" s="119" t="inlineStr">
        <is>
          <t>Kế hoạch</t>
        </is>
      </c>
      <c r="D586" s="321">
        <f>SUMIFS(DATA!$I:$I,DATA!$C:$C,$B586,DATA!$J:$J,"&gt;="&amp;DATE($I$2,D$4,1),DATA!$J:$J,"&lt;="&amp;DATE($I$2,D$4,D$5))</f>
        <v/>
      </c>
      <c r="E586" s="321">
        <f>SUMIFS(DATA!$I:$I,DATA!$C:$C,$B586,DATA!$J:$J,"&gt;="&amp;DATE($I$2,E$4,1),DATA!$J:$J,"&lt;="&amp;DATE($I$2,E$4,E$5))</f>
        <v/>
      </c>
      <c r="F586" s="321">
        <f>SUMIFS(DATA!$I:$I,DATA!$C:$C,$B586,DATA!$J:$J,"&gt;="&amp;DATE($I$2,F$4,1),DATA!$J:$J,"&lt;="&amp;DATE($I$2,F$4,F$5))</f>
        <v/>
      </c>
      <c r="G586" s="321">
        <f>SUMIFS(DATA!$I:$I,DATA!$C:$C,$B586,DATA!$J:$J,"&gt;="&amp;DATE($I$2,G$4,1),DATA!$J:$J,"&lt;="&amp;DATE($I$2,G$4,G$5))</f>
        <v/>
      </c>
      <c r="H586" s="321">
        <f>SUMIFS(DATA!$I:$I,DATA!$C:$C,$B586,DATA!$J:$J,"&gt;="&amp;DATE($I$2,H$4,1),DATA!$J:$J,"&lt;="&amp;DATE($I$2,H$4,H$5))</f>
        <v/>
      </c>
      <c r="I586" s="321">
        <f>SUMIFS(DATA!$I:$I,DATA!$C:$C,$B586,DATA!$J:$J,"&gt;="&amp;DATE($I$2,I$4,1),DATA!$J:$J,"&lt;="&amp;DATE($I$2,I$4,I$5))</f>
        <v/>
      </c>
      <c r="J586" s="321">
        <f>SUMIFS(DATA!$I:$I,DATA!$C:$C,$B586,DATA!$J:$J,"&gt;="&amp;DATE($I$2,J$4,1),DATA!$J:$J,"&lt;="&amp;DATE($I$2,J$4,J$5))</f>
        <v/>
      </c>
      <c r="K586" s="321">
        <f>SUMIFS(DATA!$I:$I,DATA!$C:$C,$B586,DATA!$J:$J,"&gt;="&amp;DATE($I$2,K$4,1),DATA!$J:$J,"&lt;="&amp;DATE($I$2,K$4,K$5))</f>
        <v/>
      </c>
      <c r="L586" s="321">
        <f>SUMIFS(DATA!$I:$I,DATA!$C:$C,$B586,DATA!$J:$J,"&gt;="&amp;DATE($I$2,L$4,1),DATA!$J:$J,"&lt;="&amp;DATE($I$2,L$4,L$5))</f>
        <v/>
      </c>
      <c r="M586" s="321">
        <f>SUMIFS(DATA!$I:$I,DATA!$C:$C,$B586,DATA!$J:$J,"&gt;="&amp;DATE($I$2,M$4,1),DATA!$J:$J,"&lt;="&amp;DATE($I$2,M$4,M$5))</f>
        <v/>
      </c>
      <c r="N586" s="321">
        <f>SUMIFS(DATA!$I:$I,DATA!$C:$C,$B586,DATA!$J:$J,"&gt;="&amp;DATE($I$2,N$4,1),DATA!$J:$J,"&lt;="&amp;DATE($I$2,N$4,N$5))</f>
        <v/>
      </c>
      <c r="O586" s="321">
        <f>SUMIFS(DATA!$I:$I,DATA!$C:$C,$B586,DATA!$J:$J,"&gt;="&amp;DATE($I$2,O$4,1),DATA!$J:$J,"&lt;="&amp;DATE($I$2,O$4,O$5))</f>
        <v/>
      </c>
      <c r="P586" s="322">
        <f>SUM(D586:O586)</f>
        <v/>
      </c>
      <c r="Q586" s="118" t="n"/>
    </row>
    <row r="587" hidden="1" outlineLevel="1" ht="15" customHeight="1">
      <c r="A587" s="266" t="n"/>
      <c r="B587" s="126" t="n"/>
      <c r="C587" s="119" t="inlineStr">
        <is>
          <t>Thực tế</t>
        </is>
      </c>
      <c r="D587" s="321">
        <f>SUMIFS(DATA!$M:$M,DATA!$C:$C,$B586,DATA!$N:$N,"&gt;="&amp;DATE($I$2,D$4,1),DATA!$N:$N,"&lt;="&amp;DATE($I$2,D$4,D$5))</f>
        <v/>
      </c>
      <c r="E587" s="321">
        <f>SUMIFS(DATA!$M:$M,DATA!$C:$C,$B586,DATA!$N:$N,"&gt;="&amp;DATE($I$2,E$4,1),DATA!$N:$N,"&lt;="&amp;DATE($I$2,E$4,E$5))</f>
        <v/>
      </c>
      <c r="F587" s="321">
        <f>SUMIFS(DATA!$M:$M,DATA!$C:$C,$B586,DATA!$N:$N,"&gt;="&amp;DATE($I$2,F$4,1),DATA!$N:$N,"&lt;="&amp;DATE($I$2,F$4,F$5))</f>
        <v/>
      </c>
      <c r="G587" s="321">
        <f>SUMIFS(DATA!$M:$M,DATA!$C:$C,$B586,DATA!$N:$N,"&gt;="&amp;DATE($I$2,G$4,1),DATA!$N:$N,"&lt;="&amp;DATE($I$2,G$4,G$5))</f>
        <v/>
      </c>
      <c r="H587" s="321">
        <f>SUMIFS(DATA!$M:$M,DATA!$C:$C,$B586,DATA!$N:$N,"&gt;="&amp;DATE($I$2,H$4,1),DATA!$N:$N,"&lt;="&amp;DATE($I$2,H$4,H$5))</f>
        <v/>
      </c>
      <c r="I587" s="321">
        <f>SUMIFS(DATA!$M:$M,DATA!$C:$C,$B586,DATA!$N:$N,"&gt;="&amp;DATE($I$2,I$4,1),DATA!$N:$N,"&lt;="&amp;DATE($I$2,I$4,I$5))</f>
        <v/>
      </c>
      <c r="J587" s="321">
        <f>SUMIFS(DATA!$M:$M,DATA!$C:$C,$B586,DATA!$N:$N,"&gt;="&amp;DATE($I$2,J$4,1),DATA!$N:$N,"&lt;="&amp;DATE($I$2,J$4,J$5))</f>
        <v/>
      </c>
      <c r="K587" s="321">
        <f>SUMIFS(DATA!$M:$M,DATA!$C:$C,$B586,DATA!$N:$N,"&gt;="&amp;DATE($I$2,K$4,1),DATA!$N:$N,"&lt;="&amp;DATE($I$2,K$4,K$5))</f>
        <v/>
      </c>
      <c r="L587" s="321">
        <f>SUMIFS(DATA!$M:$M,DATA!$C:$C,$B586,DATA!$N:$N,"&gt;="&amp;DATE($I$2,L$4,1),DATA!$N:$N,"&lt;="&amp;DATE($I$2,L$4,L$5))</f>
        <v/>
      </c>
      <c r="M587" s="321">
        <f>SUMIFS(DATA!$M:$M,DATA!$C:$C,$B586,DATA!$N:$N,"&gt;="&amp;DATE($I$2,M$4,1),DATA!$N:$N,"&lt;="&amp;DATE($I$2,M$4,M$5))</f>
        <v/>
      </c>
      <c r="N587" s="321">
        <f>SUMIFS(DATA!$M:$M,DATA!$C:$C,$B586,DATA!$N:$N,"&gt;="&amp;DATE($I$2,N$4,1),DATA!$N:$N,"&lt;="&amp;DATE($I$2,N$4,N$5))</f>
        <v/>
      </c>
      <c r="O587" s="321">
        <f>SUMIFS(DATA!$M:$M,DATA!$C:$C,$B586,DATA!$N:$N,"&gt;="&amp;DATE($I$2,O$4,1),DATA!$N:$N,"&lt;="&amp;DATE($I$2,O$4,O$5))</f>
        <v/>
      </c>
      <c r="P587" s="322">
        <f>SUM(D587:O587)</f>
        <v/>
      </c>
      <c r="Q587" s="118" t="n"/>
    </row>
    <row r="588" hidden="1" outlineLevel="1" ht="15" customHeight="1">
      <c r="A588" s="269" t="n">
        <v>292</v>
      </c>
      <c r="B588" s="125" t="n"/>
      <c r="C588" s="119" t="inlineStr">
        <is>
          <t>Kế hoạch</t>
        </is>
      </c>
      <c r="D588" s="321">
        <f>SUMIFS(DATA!$I:$I,DATA!$C:$C,$B588,DATA!$J:$J,"&gt;="&amp;DATE($I$2,D$4,1),DATA!$J:$J,"&lt;="&amp;DATE($I$2,D$4,D$5))</f>
        <v/>
      </c>
      <c r="E588" s="321">
        <f>SUMIFS(DATA!$I:$I,DATA!$C:$C,$B588,DATA!$J:$J,"&gt;="&amp;DATE($I$2,E$4,1),DATA!$J:$J,"&lt;="&amp;DATE($I$2,E$4,E$5))</f>
        <v/>
      </c>
      <c r="F588" s="321">
        <f>SUMIFS(DATA!$I:$I,DATA!$C:$C,$B588,DATA!$J:$J,"&gt;="&amp;DATE($I$2,F$4,1),DATA!$J:$J,"&lt;="&amp;DATE($I$2,F$4,F$5))</f>
        <v/>
      </c>
      <c r="G588" s="321">
        <f>SUMIFS(DATA!$I:$I,DATA!$C:$C,$B588,DATA!$J:$J,"&gt;="&amp;DATE($I$2,G$4,1),DATA!$J:$J,"&lt;="&amp;DATE($I$2,G$4,G$5))</f>
        <v/>
      </c>
      <c r="H588" s="321">
        <f>SUMIFS(DATA!$I:$I,DATA!$C:$C,$B588,DATA!$J:$J,"&gt;="&amp;DATE($I$2,H$4,1),DATA!$J:$J,"&lt;="&amp;DATE($I$2,H$4,H$5))</f>
        <v/>
      </c>
      <c r="I588" s="321">
        <f>SUMIFS(DATA!$I:$I,DATA!$C:$C,$B588,DATA!$J:$J,"&gt;="&amp;DATE($I$2,I$4,1),DATA!$J:$J,"&lt;="&amp;DATE($I$2,I$4,I$5))</f>
        <v/>
      </c>
      <c r="J588" s="321">
        <f>SUMIFS(DATA!$I:$I,DATA!$C:$C,$B588,DATA!$J:$J,"&gt;="&amp;DATE($I$2,J$4,1),DATA!$J:$J,"&lt;="&amp;DATE($I$2,J$4,J$5))</f>
        <v/>
      </c>
      <c r="K588" s="321">
        <f>SUMIFS(DATA!$I:$I,DATA!$C:$C,$B588,DATA!$J:$J,"&gt;="&amp;DATE($I$2,K$4,1),DATA!$J:$J,"&lt;="&amp;DATE($I$2,K$4,K$5))</f>
        <v/>
      </c>
      <c r="L588" s="321">
        <f>SUMIFS(DATA!$I:$I,DATA!$C:$C,$B588,DATA!$J:$J,"&gt;="&amp;DATE($I$2,L$4,1),DATA!$J:$J,"&lt;="&amp;DATE($I$2,L$4,L$5))</f>
        <v/>
      </c>
      <c r="M588" s="321">
        <f>SUMIFS(DATA!$I:$I,DATA!$C:$C,$B588,DATA!$J:$J,"&gt;="&amp;DATE($I$2,M$4,1),DATA!$J:$J,"&lt;="&amp;DATE($I$2,M$4,M$5))</f>
        <v/>
      </c>
      <c r="N588" s="321">
        <f>SUMIFS(DATA!$I:$I,DATA!$C:$C,$B588,DATA!$J:$J,"&gt;="&amp;DATE($I$2,N$4,1),DATA!$J:$J,"&lt;="&amp;DATE($I$2,N$4,N$5))</f>
        <v/>
      </c>
      <c r="O588" s="321">
        <f>SUMIFS(DATA!$I:$I,DATA!$C:$C,$B588,DATA!$J:$J,"&gt;="&amp;DATE($I$2,O$4,1),DATA!$J:$J,"&lt;="&amp;DATE($I$2,O$4,O$5))</f>
        <v/>
      </c>
      <c r="P588" s="322">
        <f>SUM(D588:O588)</f>
        <v/>
      </c>
      <c r="Q588" s="118" t="n"/>
    </row>
    <row r="589" hidden="1" outlineLevel="1" ht="15" customHeight="1">
      <c r="A589" s="266" t="n"/>
      <c r="B589" s="126" t="n"/>
      <c r="C589" s="119" t="inlineStr">
        <is>
          <t>Thực tế</t>
        </is>
      </c>
      <c r="D589" s="321">
        <f>SUMIFS(DATA!$M:$M,DATA!$C:$C,$B588,DATA!$N:$N,"&gt;="&amp;DATE($I$2,D$4,1),DATA!$N:$N,"&lt;="&amp;DATE($I$2,D$4,D$5))</f>
        <v/>
      </c>
      <c r="E589" s="321">
        <f>SUMIFS(DATA!$M:$M,DATA!$C:$C,$B588,DATA!$N:$N,"&gt;="&amp;DATE($I$2,E$4,1),DATA!$N:$N,"&lt;="&amp;DATE($I$2,E$4,E$5))</f>
        <v/>
      </c>
      <c r="F589" s="321">
        <f>SUMIFS(DATA!$M:$M,DATA!$C:$C,$B588,DATA!$N:$N,"&gt;="&amp;DATE($I$2,F$4,1),DATA!$N:$N,"&lt;="&amp;DATE($I$2,F$4,F$5))</f>
        <v/>
      </c>
      <c r="G589" s="321">
        <f>SUMIFS(DATA!$M:$M,DATA!$C:$C,$B588,DATA!$N:$N,"&gt;="&amp;DATE($I$2,G$4,1),DATA!$N:$N,"&lt;="&amp;DATE($I$2,G$4,G$5))</f>
        <v/>
      </c>
      <c r="H589" s="321">
        <f>SUMIFS(DATA!$M:$M,DATA!$C:$C,$B588,DATA!$N:$N,"&gt;="&amp;DATE($I$2,H$4,1),DATA!$N:$N,"&lt;="&amp;DATE($I$2,H$4,H$5))</f>
        <v/>
      </c>
      <c r="I589" s="321">
        <f>SUMIFS(DATA!$M:$M,DATA!$C:$C,$B588,DATA!$N:$N,"&gt;="&amp;DATE($I$2,I$4,1),DATA!$N:$N,"&lt;="&amp;DATE($I$2,I$4,I$5))</f>
        <v/>
      </c>
      <c r="J589" s="321">
        <f>SUMIFS(DATA!$M:$M,DATA!$C:$C,$B588,DATA!$N:$N,"&gt;="&amp;DATE($I$2,J$4,1),DATA!$N:$N,"&lt;="&amp;DATE($I$2,J$4,J$5))</f>
        <v/>
      </c>
      <c r="K589" s="321">
        <f>SUMIFS(DATA!$M:$M,DATA!$C:$C,$B588,DATA!$N:$N,"&gt;="&amp;DATE($I$2,K$4,1),DATA!$N:$N,"&lt;="&amp;DATE($I$2,K$4,K$5))</f>
        <v/>
      </c>
      <c r="L589" s="321">
        <f>SUMIFS(DATA!$M:$M,DATA!$C:$C,$B588,DATA!$N:$N,"&gt;="&amp;DATE($I$2,L$4,1),DATA!$N:$N,"&lt;="&amp;DATE($I$2,L$4,L$5))</f>
        <v/>
      </c>
      <c r="M589" s="321">
        <f>SUMIFS(DATA!$M:$M,DATA!$C:$C,$B588,DATA!$N:$N,"&gt;="&amp;DATE($I$2,M$4,1),DATA!$N:$N,"&lt;="&amp;DATE($I$2,M$4,M$5))</f>
        <v/>
      </c>
      <c r="N589" s="321">
        <f>SUMIFS(DATA!$M:$M,DATA!$C:$C,$B588,DATA!$N:$N,"&gt;="&amp;DATE($I$2,N$4,1),DATA!$N:$N,"&lt;="&amp;DATE($I$2,N$4,N$5))</f>
        <v/>
      </c>
      <c r="O589" s="321">
        <f>SUMIFS(DATA!$M:$M,DATA!$C:$C,$B588,DATA!$N:$N,"&gt;="&amp;DATE($I$2,O$4,1),DATA!$N:$N,"&lt;="&amp;DATE($I$2,O$4,O$5))</f>
        <v/>
      </c>
      <c r="P589" s="322">
        <f>SUM(D589:O589)</f>
        <v/>
      </c>
      <c r="Q589" s="118" t="n"/>
    </row>
    <row r="590" hidden="1" outlineLevel="1" ht="15" customHeight="1">
      <c r="A590" s="269" t="n">
        <v>293</v>
      </c>
      <c r="B590" s="125" t="n"/>
      <c r="C590" s="119" t="inlineStr">
        <is>
          <t>Kế hoạch</t>
        </is>
      </c>
      <c r="D590" s="321">
        <f>SUMIFS(DATA!$I:$I,DATA!$C:$C,$B590,DATA!$J:$J,"&gt;="&amp;DATE($I$2,D$4,1),DATA!$J:$J,"&lt;="&amp;DATE($I$2,D$4,D$5))</f>
        <v/>
      </c>
      <c r="E590" s="321">
        <f>SUMIFS(DATA!$I:$I,DATA!$C:$C,$B590,DATA!$J:$J,"&gt;="&amp;DATE($I$2,E$4,1),DATA!$J:$J,"&lt;="&amp;DATE($I$2,E$4,E$5))</f>
        <v/>
      </c>
      <c r="F590" s="321">
        <f>SUMIFS(DATA!$I:$I,DATA!$C:$C,$B590,DATA!$J:$J,"&gt;="&amp;DATE($I$2,F$4,1),DATA!$J:$J,"&lt;="&amp;DATE($I$2,F$4,F$5))</f>
        <v/>
      </c>
      <c r="G590" s="321">
        <f>SUMIFS(DATA!$I:$I,DATA!$C:$C,$B590,DATA!$J:$J,"&gt;="&amp;DATE($I$2,G$4,1),DATA!$J:$J,"&lt;="&amp;DATE($I$2,G$4,G$5))</f>
        <v/>
      </c>
      <c r="H590" s="321">
        <f>SUMIFS(DATA!$I:$I,DATA!$C:$C,$B590,DATA!$J:$J,"&gt;="&amp;DATE($I$2,H$4,1),DATA!$J:$J,"&lt;="&amp;DATE($I$2,H$4,H$5))</f>
        <v/>
      </c>
      <c r="I590" s="321">
        <f>SUMIFS(DATA!$I:$I,DATA!$C:$C,$B590,DATA!$J:$J,"&gt;="&amp;DATE($I$2,I$4,1),DATA!$J:$J,"&lt;="&amp;DATE($I$2,I$4,I$5))</f>
        <v/>
      </c>
      <c r="J590" s="321">
        <f>SUMIFS(DATA!$I:$I,DATA!$C:$C,$B590,DATA!$J:$J,"&gt;="&amp;DATE($I$2,J$4,1),DATA!$J:$J,"&lt;="&amp;DATE($I$2,J$4,J$5))</f>
        <v/>
      </c>
      <c r="K590" s="321">
        <f>SUMIFS(DATA!$I:$I,DATA!$C:$C,$B590,DATA!$J:$J,"&gt;="&amp;DATE($I$2,K$4,1),DATA!$J:$J,"&lt;="&amp;DATE($I$2,K$4,K$5))</f>
        <v/>
      </c>
      <c r="L590" s="321">
        <f>SUMIFS(DATA!$I:$I,DATA!$C:$C,$B590,DATA!$J:$J,"&gt;="&amp;DATE($I$2,L$4,1),DATA!$J:$J,"&lt;="&amp;DATE($I$2,L$4,L$5))</f>
        <v/>
      </c>
      <c r="M590" s="321">
        <f>SUMIFS(DATA!$I:$I,DATA!$C:$C,$B590,DATA!$J:$J,"&gt;="&amp;DATE($I$2,M$4,1),DATA!$J:$J,"&lt;="&amp;DATE($I$2,M$4,M$5))</f>
        <v/>
      </c>
      <c r="N590" s="321">
        <f>SUMIFS(DATA!$I:$I,DATA!$C:$C,$B590,DATA!$J:$J,"&gt;="&amp;DATE($I$2,N$4,1),DATA!$J:$J,"&lt;="&amp;DATE($I$2,N$4,N$5))</f>
        <v/>
      </c>
      <c r="O590" s="321">
        <f>SUMIFS(DATA!$I:$I,DATA!$C:$C,$B590,DATA!$J:$J,"&gt;="&amp;DATE($I$2,O$4,1),DATA!$J:$J,"&lt;="&amp;DATE($I$2,O$4,O$5))</f>
        <v/>
      </c>
      <c r="P590" s="322">
        <f>SUM(D590:O590)</f>
        <v/>
      </c>
      <c r="Q590" s="118" t="n"/>
    </row>
    <row r="591" hidden="1" outlineLevel="1" ht="15" customHeight="1">
      <c r="A591" s="266" t="n"/>
      <c r="B591" s="126" t="n"/>
      <c r="C591" s="119" t="inlineStr">
        <is>
          <t>Thực tế</t>
        </is>
      </c>
      <c r="D591" s="321">
        <f>SUMIFS(DATA!$M:$M,DATA!$C:$C,$B590,DATA!$N:$N,"&gt;="&amp;DATE($I$2,D$4,1),DATA!$N:$N,"&lt;="&amp;DATE($I$2,D$4,D$5))</f>
        <v/>
      </c>
      <c r="E591" s="321">
        <f>SUMIFS(DATA!$M:$M,DATA!$C:$C,$B590,DATA!$N:$N,"&gt;="&amp;DATE($I$2,E$4,1),DATA!$N:$N,"&lt;="&amp;DATE($I$2,E$4,E$5))</f>
        <v/>
      </c>
      <c r="F591" s="321">
        <f>SUMIFS(DATA!$M:$M,DATA!$C:$C,$B590,DATA!$N:$N,"&gt;="&amp;DATE($I$2,F$4,1),DATA!$N:$N,"&lt;="&amp;DATE($I$2,F$4,F$5))</f>
        <v/>
      </c>
      <c r="G591" s="321">
        <f>SUMIFS(DATA!$M:$M,DATA!$C:$C,$B590,DATA!$N:$N,"&gt;="&amp;DATE($I$2,G$4,1),DATA!$N:$N,"&lt;="&amp;DATE($I$2,G$4,G$5))</f>
        <v/>
      </c>
      <c r="H591" s="321">
        <f>SUMIFS(DATA!$M:$M,DATA!$C:$C,$B590,DATA!$N:$N,"&gt;="&amp;DATE($I$2,H$4,1),DATA!$N:$N,"&lt;="&amp;DATE($I$2,H$4,H$5))</f>
        <v/>
      </c>
      <c r="I591" s="321">
        <f>SUMIFS(DATA!$M:$M,DATA!$C:$C,$B590,DATA!$N:$N,"&gt;="&amp;DATE($I$2,I$4,1),DATA!$N:$N,"&lt;="&amp;DATE($I$2,I$4,I$5))</f>
        <v/>
      </c>
      <c r="J591" s="321">
        <f>SUMIFS(DATA!$M:$M,DATA!$C:$C,$B590,DATA!$N:$N,"&gt;="&amp;DATE($I$2,J$4,1),DATA!$N:$N,"&lt;="&amp;DATE($I$2,J$4,J$5))</f>
        <v/>
      </c>
      <c r="K591" s="321">
        <f>SUMIFS(DATA!$M:$M,DATA!$C:$C,$B590,DATA!$N:$N,"&gt;="&amp;DATE($I$2,K$4,1),DATA!$N:$N,"&lt;="&amp;DATE($I$2,K$4,K$5))</f>
        <v/>
      </c>
      <c r="L591" s="321">
        <f>SUMIFS(DATA!$M:$M,DATA!$C:$C,$B590,DATA!$N:$N,"&gt;="&amp;DATE($I$2,L$4,1),DATA!$N:$N,"&lt;="&amp;DATE($I$2,L$4,L$5))</f>
        <v/>
      </c>
      <c r="M591" s="321">
        <f>SUMIFS(DATA!$M:$M,DATA!$C:$C,$B590,DATA!$N:$N,"&gt;="&amp;DATE($I$2,M$4,1),DATA!$N:$N,"&lt;="&amp;DATE($I$2,M$4,M$5))</f>
        <v/>
      </c>
      <c r="N591" s="321">
        <f>SUMIFS(DATA!$M:$M,DATA!$C:$C,$B590,DATA!$N:$N,"&gt;="&amp;DATE($I$2,N$4,1),DATA!$N:$N,"&lt;="&amp;DATE($I$2,N$4,N$5))</f>
        <v/>
      </c>
      <c r="O591" s="321">
        <f>SUMIFS(DATA!$M:$M,DATA!$C:$C,$B590,DATA!$N:$N,"&gt;="&amp;DATE($I$2,O$4,1),DATA!$N:$N,"&lt;="&amp;DATE($I$2,O$4,O$5))</f>
        <v/>
      </c>
      <c r="P591" s="322">
        <f>SUM(D591:O591)</f>
        <v/>
      </c>
      <c r="Q591" s="118" t="n"/>
    </row>
    <row r="592" hidden="1" outlineLevel="1" ht="15" customHeight="1">
      <c r="A592" s="269" t="n">
        <v>294</v>
      </c>
      <c r="B592" s="125" t="n"/>
      <c r="C592" s="119" t="inlineStr">
        <is>
          <t>Kế hoạch</t>
        </is>
      </c>
      <c r="D592" s="321">
        <f>SUMIFS(DATA!$I:$I,DATA!$C:$C,$B592,DATA!$J:$J,"&gt;="&amp;DATE($I$2,D$4,1),DATA!$J:$J,"&lt;="&amp;DATE($I$2,D$4,D$5))</f>
        <v/>
      </c>
      <c r="E592" s="321">
        <f>SUMIFS(DATA!$I:$I,DATA!$C:$C,$B592,DATA!$J:$J,"&gt;="&amp;DATE($I$2,E$4,1),DATA!$J:$J,"&lt;="&amp;DATE($I$2,E$4,E$5))</f>
        <v/>
      </c>
      <c r="F592" s="321">
        <f>SUMIFS(DATA!$I:$I,DATA!$C:$C,$B592,DATA!$J:$J,"&gt;="&amp;DATE($I$2,F$4,1),DATA!$J:$J,"&lt;="&amp;DATE($I$2,F$4,F$5))</f>
        <v/>
      </c>
      <c r="G592" s="321">
        <f>SUMIFS(DATA!$I:$I,DATA!$C:$C,$B592,DATA!$J:$J,"&gt;="&amp;DATE($I$2,G$4,1),DATA!$J:$J,"&lt;="&amp;DATE($I$2,G$4,G$5))</f>
        <v/>
      </c>
      <c r="H592" s="321">
        <f>SUMIFS(DATA!$I:$I,DATA!$C:$C,$B592,DATA!$J:$J,"&gt;="&amp;DATE($I$2,H$4,1),DATA!$J:$J,"&lt;="&amp;DATE($I$2,H$4,H$5))</f>
        <v/>
      </c>
      <c r="I592" s="321">
        <f>SUMIFS(DATA!$I:$I,DATA!$C:$C,$B592,DATA!$J:$J,"&gt;="&amp;DATE($I$2,I$4,1),DATA!$J:$J,"&lt;="&amp;DATE($I$2,I$4,I$5))</f>
        <v/>
      </c>
      <c r="J592" s="321">
        <f>SUMIFS(DATA!$I:$I,DATA!$C:$C,$B592,DATA!$J:$J,"&gt;="&amp;DATE($I$2,J$4,1),DATA!$J:$J,"&lt;="&amp;DATE($I$2,J$4,J$5))</f>
        <v/>
      </c>
      <c r="K592" s="321">
        <f>SUMIFS(DATA!$I:$I,DATA!$C:$C,$B592,DATA!$J:$J,"&gt;="&amp;DATE($I$2,K$4,1),DATA!$J:$J,"&lt;="&amp;DATE($I$2,K$4,K$5))</f>
        <v/>
      </c>
      <c r="L592" s="321">
        <f>SUMIFS(DATA!$I:$I,DATA!$C:$C,$B592,DATA!$J:$J,"&gt;="&amp;DATE($I$2,L$4,1),DATA!$J:$J,"&lt;="&amp;DATE($I$2,L$4,L$5))</f>
        <v/>
      </c>
      <c r="M592" s="321">
        <f>SUMIFS(DATA!$I:$I,DATA!$C:$C,$B592,DATA!$J:$J,"&gt;="&amp;DATE($I$2,M$4,1),DATA!$J:$J,"&lt;="&amp;DATE($I$2,M$4,M$5))</f>
        <v/>
      </c>
      <c r="N592" s="321">
        <f>SUMIFS(DATA!$I:$I,DATA!$C:$C,$B592,DATA!$J:$J,"&gt;="&amp;DATE($I$2,N$4,1),DATA!$J:$J,"&lt;="&amp;DATE($I$2,N$4,N$5))</f>
        <v/>
      </c>
      <c r="O592" s="321">
        <f>SUMIFS(DATA!$I:$I,DATA!$C:$C,$B592,DATA!$J:$J,"&gt;="&amp;DATE($I$2,O$4,1),DATA!$J:$J,"&lt;="&amp;DATE($I$2,O$4,O$5))</f>
        <v/>
      </c>
      <c r="P592" s="322">
        <f>SUM(D592:O592)</f>
        <v/>
      </c>
      <c r="Q592" s="118" t="n"/>
    </row>
    <row r="593" hidden="1" outlineLevel="1" ht="15" customHeight="1">
      <c r="A593" s="266" t="n"/>
      <c r="B593" s="126" t="n"/>
      <c r="C593" s="119" t="inlineStr">
        <is>
          <t>Thực tế</t>
        </is>
      </c>
      <c r="D593" s="321">
        <f>SUMIFS(DATA!$M:$M,DATA!$C:$C,$B592,DATA!$N:$N,"&gt;="&amp;DATE($I$2,D$4,1),DATA!$N:$N,"&lt;="&amp;DATE($I$2,D$4,D$5))</f>
        <v/>
      </c>
      <c r="E593" s="321">
        <f>SUMIFS(DATA!$M:$M,DATA!$C:$C,$B592,DATA!$N:$N,"&gt;="&amp;DATE($I$2,E$4,1),DATA!$N:$N,"&lt;="&amp;DATE($I$2,E$4,E$5))</f>
        <v/>
      </c>
      <c r="F593" s="321">
        <f>SUMIFS(DATA!$M:$M,DATA!$C:$C,$B592,DATA!$N:$N,"&gt;="&amp;DATE($I$2,F$4,1),DATA!$N:$N,"&lt;="&amp;DATE($I$2,F$4,F$5))</f>
        <v/>
      </c>
      <c r="G593" s="321">
        <f>SUMIFS(DATA!$M:$M,DATA!$C:$C,$B592,DATA!$N:$N,"&gt;="&amp;DATE($I$2,G$4,1),DATA!$N:$N,"&lt;="&amp;DATE($I$2,G$4,G$5))</f>
        <v/>
      </c>
      <c r="H593" s="321">
        <f>SUMIFS(DATA!$M:$M,DATA!$C:$C,$B592,DATA!$N:$N,"&gt;="&amp;DATE($I$2,H$4,1),DATA!$N:$N,"&lt;="&amp;DATE($I$2,H$4,H$5))</f>
        <v/>
      </c>
      <c r="I593" s="321">
        <f>SUMIFS(DATA!$M:$M,DATA!$C:$C,$B592,DATA!$N:$N,"&gt;="&amp;DATE($I$2,I$4,1),DATA!$N:$N,"&lt;="&amp;DATE($I$2,I$4,I$5))</f>
        <v/>
      </c>
      <c r="J593" s="321">
        <f>SUMIFS(DATA!$M:$M,DATA!$C:$C,$B592,DATA!$N:$N,"&gt;="&amp;DATE($I$2,J$4,1),DATA!$N:$N,"&lt;="&amp;DATE($I$2,J$4,J$5))</f>
        <v/>
      </c>
      <c r="K593" s="321">
        <f>SUMIFS(DATA!$M:$M,DATA!$C:$C,$B592,DATA!$N:$N,"&gt;="&amp;DATE($I$2,K$4,1),DATA!$N:$N,"&lt;="&amp;DATE($I$2,K$4,K$5))</f>
        <v/>
      </c>
      <c r="L593" s="321">
        <f>SUMIFS(DATA!$M:$M,DATA!$C:$C,$B592,DATA!$N:$N,"&gt;="&amp;DATE($I$2,L$4,1),DATA!$N:$N,"&lt;="&amp;DATE($I$2,L$4,L$5))</f>
        <v/>
      </c>
      <c r="M593" s="321">
        <f>SUMIFS(DATA!$M:$M,DATA!$C:$C,$B592,DATA!$N:$N,"&gt;="&amp;DATE($I$2,M$4,1),DATA!$N:$N,"&lt;="&amp;DATE($I$2,M$4,M$5))</f>
        <v/>
      </c>
      <c r="N593" s="321">
        <f>SUMIFS(DATA!$M:$M,DATA!$C:$C,$B592,DATA!$N:$N,"&gt;="&amp;DATE($I$2,N$4,1),DATA!$N:$N,"&lt;="&amp;DATE($I$2,N$4,N$5))</f>
        <v/>
      </c>
      <c r="O593" s="321">
        <f>SUMIFS(DATA!$M:$M,DATA!$C:$C,$B592,DATA!$N:$N,"&gt;="&amp;DATE($I$2,O$4,1),DATA!$N:$N,"&lt;="&amp;DATE($I$2,O$4,O$5))</f>
        <v/>
      </c>
      <c r="P593" s="322">
        <f>SUM(D593:O593)</f>
        <v/>
      </c>
      <c r="Q593" s="118" t="n"/>
    </row>
    <row r="594" hidden="1" outlineLevel="1" ht="15" customHeight="1">
      <c r="A594" s="269" t="n">
        <v>295</v>
      </c>
      <c r="B594" s="125" t="n"/>
      <c r="C594" s="119" t="inlineStr">
        <is>
          <t>Kế hoạch</t>
        </is>
      </c>
      <c r="D594" s="321">
        <f>SUMIFS(DATA!$I:$I,DATA!$C:$C,$B594,DATA!$J:$J,"&gt;="&amp;DATE($I$2,D$4,1),DATA!$J:$J,"&lt;="&amp;DATE($I$2,D$4,D$5))</f>
        <v/>
      </c>
      <c r="E594" s="321">
        <f>SUMIFS(DATA!$I:$I,DATA!$C:$C,$B594,DATA!$J:$J,"&gt;="&amp;DATE($I$2,E$4,1),DATA!$J:$J,"&lt;="&amp;DATE($I$2,E$4,E$5))</f>
        <v/>
      </c>
      <c r="F594" s="321">
        <f>SUMIFS(DATA!$I:$I,DATA!$C:$C,$B594,DATA!$J:$J,"&gt;="&amp;DATE($I$2,F$4,1),DATA!$J:$J,"&lt;="&amp;DATE($I$2,F$4,F$5))</f>
        <v/>
      </c>
      <c r="G594" s="321">
        <f>SUMIFS(DATA!$I:$I,DATA!$C:$C,$B594,DATA!$J:$J,"&gt;="&amp;DATE($I$2,G$4,1),DATA!$J:$J,"&lt;="&amp;DATE($I$2,G$4,G$5))</f>
        <v/>
      </c>
      <c r="H594" s="321">
        <f>SUMIFS(DATA!$I:$I,DATA!$C:$C,$B594,DATA!$J:$J,"&gt;="&amp;DATE($I$2,H$4,1),DATA!$J:$J,"&lt;="&amp;DATE($I$2,H$4,H$5))</f>
        <v/>
      </c>
      <c r="I594" s="321">
        <f>SUMIFS(DATA!$I:$I,DATA!$C:$C,$B594,DATA!$J:$J,"&gt;="&amp;DATE($I$2,I$4,1),DATA!$J:$J,"&lt;="&amp;DATE($I$2,I$4,I$5))</f>
        <v/>
      </c>
      <c r="J594" s="321">
        <f>SUMIFS(DATA!$I:$I,DATA!$C:$C,$B594,DATA!$J:$J,"&gt;="&amp;DATE($I$2,J$4,1),DATA!$J:$J,"&lt;="&amp;DATE($I$2,J$4,J$5))</f>
        <v/>
      </c>
      <c r="K594" s="321">
        <f>SUMIFS(DATA!$I:$I,DATA!$C:$C,$B594,DATA!$J:$J,"&gt;="&amp;DATE($I$2,K$4,1),DATA!$J:$J,"&lt;="&amp;DATE($I$2,K$4,K$5))</f>
        <v/>
      </c>
      <c r="L594" s="321">
        <f>SUMIFS(DATA!$I:$I,DATA!$C:$C,$B594,DATA!$J:$J,"&gt;="&amp;DATE($I$2,L$4,1),DATA!$J:$J,"&lt;="&amp;DATE($I$2,L$4,L$5))</f>
        <v/>
      </c>
      <c r="M594" s="321">
        <f>SUMIFS(DATA!$I:$I,DATA!$C:$C,$B594,DATA!$J:$J,"&gt;="&amp;DATE($I$2,M$4,1),DATA!$J:$J,"&lt;="&amp;DATE($I$2,M$4,M$5))</f>
        <v/>
      </c>
      <c r="N594" s="321">
        <f>SUMIFS(DATA!$I:$I,DATA!$C:$C,$B594,DATA!$J:$J,"&gt;="&amp;DATE($I$2,N$4,1),DATA!$J:$J,"&lt;="&amp;DATE($I$2,N$4,N$5))</f>
        <v/>
      </c>
      <c r="O594" s="321">
        <f>SUMIFS(DATA!$I:$I,DATA!$C:$C,$B594,DATA!$J:$J,"&gt;="&amp;DATE($I$2,O$4,1),DATA!$J:$J,"&lt;="&amp;DATE($I$2,O$4,O$5))</f>
        <v/>
      </c>
      <c r="P594" s="322">
        <f>SUM(D594:O594)</f>
        <v/>
      </c>
      <c r="Q594" s="118" t="n"/>
    </row>
    <row r="595" hidden="1" outlineLevel="1" ht="15" customHeight="1">
      <c r="A595" s="266" t="n"/>
      <c r="B595" s="126" t="n"/>
      <c r="C595" s="119" t="inlineStr">
        <is>
          <t>Thực tế</t>
        </is>
      </c>
      <c r="D595" s="321">
        <f>SUMIFS(DATA!$M:$M,DATA!$C:$C,$B594,DATA!$N:$N,"&gt;="&amp;DATE($I$2,D$4,1),DATA!$N:$N,"&lt;="&amp;DATE($I$2,D$4,D$5))</f>
        <v/>
      </c>
      <c r="E595" s="321">
        <f>SUMIFS(DATA!$M:$M,DATA!$C:$C,$B594,DATA!$N:$N,"&gt;="&amp;DATE($I$2,E$4,1),DATA!$N:$N,"&lt;="&amp;DATE($I$2,E$4,E$5))</f>
        <v/>
      </c>
      <c r="F595" s="321">
        <f>SUMIFS(DATA!$M:$M,DATA!$C:$C,$B594,DATA!$N:$N,"&gt;="&amp;DATE($I$2,F$4,1),DATA!$N:$N,"&lt;="&amp;DATE($I$2,F$4,F$5))</f>
        <v/>
      </c>
      <c r="G595" s="321">
        <f>SUMIFS(DATA!$M:$M,DATA!$C:$C,$B594,DATA!$N:$N,"&gt;="&amp;DATE($I$2,G$4,1),DATA!$N:$N,"&lt;="&amp;DATE($I$2,G$4,G$5))</f>
        <v/>
      </c>
      <c r="H595" s="321">
        <f>SUMIFS(DATA!$M:$M,DATA!$C:$C,$B594,DATA!$N:$N,"&gt;="&amp;DATE($I$2,H$4,1),DATA!$N:$N,"&lt;="&amp;DATE($I$2,H$4,H$5))</f>
        <v/>
      </c>
      <c r="I595" s="321">
        <f>SUMIFS(DATA!$M:$M,DATA!$C:$C,$B594,DATA!$N:$N,"&gt;="&amp;DATE($I$2,I$4,1),DATA!$N:$N,"&lt;="&amp;DATE($I$2,I$4,I$5))</f>
        <v/>
      </c>
      <c r="J595" s="321">
        <f>SUMIFS(DATA!$M:$M,DATA!$C:$C,$B594,DATA!$N:$N,"&gt;="&amp;DATE($I$2,J$4,1),DATA!$N:$N,"&lt;="&amp;DATE($I$2,J$4,J$5))</f>
        <v/>
      </c>
      <c r="K595" s="321">
        <f>SUMIFS(DATA!$M:$M,DATA!$C:$C,$B594,DATA!$N:$N,"&gt;="&amp;DATE($I$2,K$4,1),DATA!$N:$N,"&lt;="&amp;DATE($I$2,K$4,K$5))</f>
        <v/>
      </c>
      <c r="L595" s="321">
        <f>SUMIFS(DATA!$M:$M,DATA!$C:$C,$B594,DATA!$N:$N,"&gt;="&amp;DATE($I$2,L$4,1),DATA!$N:$N,"&lt;="&amp;DATE($I$2,L$4,L$5))</f>
        <v/>
      </c>
      <c r="M595" s="321">
        <f>SUMIFS(DATA!$M:$M,DATA!$C:$C,$B594,DATA!$N:$N,"&gt;="&amp;DATE($I$2,M$4,1),DATA!$N:$N,"&lt;="&amp;DATE($I$2,M$4,M$5))</f>
        <v/>
      </c>
      <c r="N595" s="321">
        <f>SUMIFS(DATA!$M:$M,DATA!$C:$C,$B594,DATA!$N:$N,"&gt;="&amp;DATE($I$2,N$4,1),DATA!$N:$N,"&lt;="&amp;DATE($I$2,N$4,N$5))</f>
        <v/>
      </c>
      <c r="O595" s="321">
        <f>SUMIFS(DATA!$M:$M,DATA!$C:$C,$B594,DATA!$N:$N,"&gt;="&amp;DATE($I$2,O$4,1),DATA!$N:$N,"&lt;="&amp;DATE($I$2,O$4,O$5))</f>
        <v/>
      </c>
      <c r="P595" s="322">
        <f>SUM(D595:O595)</f>
        <v/>
      </c>
      <c r="Q595" s="118" t="n"/>
    </row>
    <row r="596" hidden="1" outlineLevel="1" ht="15" customHeight="1">
      <c r="A596" s="269" t="n">
        <v>296</v>
      </c>
      <c r="B596" s="125" t="n"/>
      <c r="C596" s="119" t="inlineStr">
        <is>
          <t>Kế hoạch</t>
        </is>
      </c>
      <c r="D596" s="321">
        <f>SUMIFS(DATA!$I:$I,DATA!$C:$C,$B596,DATA!$J:$J,"&gt;="&amp;DATE($I$2,D$4,1),DATA!$J:$J,"&lt;="&amp;DATE($I$2,D$4,D$5))</f>
        <v/>
      </c>
      <c r="E596" s="321">
        <f>SUMIFS(DATA!$I:$I,DATA!$C:$C,$B596,DATA!$J:$J,"&gt;="&amp;DATE($I$2,E$4,1),DATA!$J:$J,"&lt;="&amp;DATE($I$2,E$4,E$5))</f>
        <v/>
      </c>
      <c r="F596" s="321">
        <f>SUMIFS(DATA!$I:$I,DATA!$C:$C,$B596,DATA!$J:$J,"&gt;="&amp;DATE($I$2,F$4,1),DATA!$J:$J,"&lt;="&amp;DATE($I$2,F$4,F$5))</f>
        <v/>
      </c>
      <c r="G596" s="321">
        <f>SUMIFS(DATA!$I:$I,DATA!$C:$C,$B596,DATA!$J:$J,"&gt;="&amp;DATE($I$2,G$4,1),DATA!$J:$J,"&lt;="&amp;DATE($I$2,G$4,G$5))</f>
        <v/>
      </c>
      <c r="H596" s="321">
        <f>SUMIFS(DATA!$I:$I,DATA!$C:$C,$B596,DATA!$J:$J,"&gt;="&amp;DATE($I$2,H$4,1),DATA!$J:$J,"&lt;="&amp;DATE($I$2,H$4,H$5))</f>
        <v/>
      </c>
      <c r="I596" s="321">
        <f>SUMIFS(DATA!$I:$I,DATA!$C:$C,$B596,DATA!$J:$J,"&gt;="&amp;DATE($I$2,I$4,1),DATA!$J:$J,"&lt;="&amp;DATE($I$2,I$4,I$5))</f>
        <v/>
      </c>
      <c r="J596" s="321">
        <f>SUMIFS(DATA!$I:$I,DATA!$C:$C,$B596,DATA!$J:$J,"&gt;="&amp;DATE($I$2,J$4,1),DATA!$J:$J,"&lt;="&amp;DATE($I$2,J$4,J$5))</f>
        <v/>
      </c>
      <c r="K596" s="321">
        <f>SUMIFS(DATA!$I:$I,DATA!$C:$C,$B596,DATA!$J:$J,"&gt;="&amp;DATE($I$2,K$4,1),DATA!$J:$J,"&lt;="&amp;DATE($I$2,K$4,K$5))</f>
        <v/>
      </c>
      <c r="L596" s="321">
        <f>SUMIFS(DATA!$I:$I,DATA!$C:$C,$B596,DATA!$J:$J,"&gt;="&amp;DATE($I$2,L$4,1),DATA!$J:$J,"&lt;="&amp;DATE($I$2,L$4,L$5))</f>
        <v/>
      </c>
      <c r="M596" s="321">
        <f>SUMIFS(DATA!$I:$I,DATA!$C:$C,$B596,DATA!$J:$J,"&gt;="&amp;DATE($I$2,M$4,1),DATA!$J:$J,"&lt;="&amp;DATE($I$2,M$4,M$5))</f>
        <v/>
      </c>
      <c r="N596" s="321">
        <f>SUMIFS(DATA!$I:$I,DATA!$C:$C,$B596,DATA!$J:$J,"&gt;="&amp;DATE($I$2,N$4,1),DATA!$J:$J,"&lt;="&amp;DATE($I$2,N$4,N$5))</f>
        <v/>
      </c>
      <c r="O596" s="321">
        <f>SUMIFS(DATA!$I:$I,DATA!$C:$C,$B596,DATA!$J:$J,"&gt;="&amp;DATE($I$2,O$4,1),DATA!$J:$J,"&lt;="&amp;DATE($I$2,O$4,O$5))</f>
        <v/>
      </c>
      <c r="P596" s="322">
        <f>SUM(D596:O596)</f>
        <v/>
      </c>
      <c r="Q596" s="118" t="n"/>
    </row>
    <row r="597" hidden="1" outlineLevel="1" ht="15" customHeight="1">
      <c r="A597" s="266" t="n"/>
      <c r="B597" s="126" t="n"/>
      <c r="C597" s="119" t="inlineStr">
        <is>
          <t>Thực tế</t>
        </is>
      </c>
      <c r="D597" s="321">
        <f>SUMIFS(DATA!$M:$M,DATA!$C:$C,$B596,DATA!$N:$N,"&gt;="&amp;DATE($I$2,D$4,1),DATA!$N:$N,"&lt;="&amp;DATE($I$2,D$4,D$5))</f>
        <v/>
      </c>
      <c r="E597" s="321">
        <f>SUMIFS(DATA!$M:$M,DATA!$C:$C,$B596,DATA!$N:$N,"&gt;="&amp;DATE($I$2,E$4,1),DATA!$N:$N,"&lt;="&amp;DATE($I$2,E$4,E$5))</f>
        <v/>
      </c>
      <c r="F597" s="321">
        <f>SUMIFS(DATA!$M:$M,DATA!$C:$C,$B596,DATA!$N:$N,"&gt;="&amp;DATE($I$2,F$4,1),DATA!$N:$N,"&lt;="&amp;DATE($I$2,F$4,F$5))</f>
        <v/>
      </c>
      <c r="G597" s="321">
        <f>SUMIFS(DATA!$M:$M,DATA!$C:$C,$B596,DATA!$N:$N,"&gt;="&amp;DATE($I$2,G$4,1),DATA!$N:$N,"&lt;="&amp;DATE($I$2,G$4,G$5))</f>
        <v/>
      </c>
      <c r="H597" s="321">
        <f>SUMIFS(DATA!$M:$M,DATA!$C:$C,$B596,DATA!$N:$N,"&gt;="&amp;DATE($I$2,H$4,1),DATA!$N:$N,"&lt;="&amp;DATE($I$2,H$4,H$5))</f>
        <v/>
      </c>
      <c r="I597" s="321">
        <f>SUMIFS(DATA!$M:$M,DATA!$C:$C,$B596,DATA!$N:$N,"&gt;="&amp;DATE($I$2,I$4,1),DATA!$N:$N,"&lt;="&amp;DATE($I$2,I$4,I$5))</f>
        <v/>
      </c>
      <c r="J597" s="321">
        <f>SUMIFS(DATA!$M:$M,DATA!$C:$C,$B596,DATA!$N:$N,"&gt;="&amp;DATE($I$2,J$4,1),DATA!$N:$N,"&lt;="&amp;DATE($I$2,J$4,J$5))</f>
        <v/>
      </c>
      <c r="K597" s="321">
        <f>SUMIFS(DATA!$M:$M,DATA!$C:$C,$B596,DATA!$N:$N,"&gt;="&amp;DATE($I$2,K$4,1),DATA!$N:$N,"&lt;="&amp;DATE($I$2,K$4,K$5))</f>
        <v/>
      </c>
      <c r="L597" s="321">
        <f>SUMIFS(DATA!$M:$M,DATA!$C:$C,$B596,DATA!$N:$N,"&gt;="&amp;DATE($I$2,L$4,1),DATA!$N:$N,"&lt;="&amp;DATE($I$2,L$4,L$5))</f>
        <v/>
      </c>
      <c r="M597" s="321">
        <f>SUMIFS(DATA!$M:$M,DATA!$C:$C,$B596,DATA!$N:$N,"&gt;="&amp;DATE($I$2,M$4,1),DATA!$N:$N,"&lt;="&amp;DATE($I$2,M$4,M$5))</f>
        <v/>
      </c>
      <c r="N597" s="321">
        <f>SUMIFS(DATA!$M:$M,DATA!$C:$C,$B596,DATA!$N:$N,"&gt;="&amp;DATE($I$2,N$4,1),DATA!$N:$N,"&lt;="&amp;DATE($I$2,N$4,N$5))</f>
        <v/>
      </c>
      <c r="O597" s="321">
        <f>SUMIFS(DATA!$M:$M,DATA!$C:$C,$B596,DATA!$N:$N,"&gt;="&amp;DATE($I$2,O$4,1),DATA!$N:$N,"&lt;="&amp;DATE($I$2,O$4,O$5))</f>
        <v/>
      </c>
      <c r="P597" s="322">
        <f>SUM(D597:O597)</f>
        <v/>
      </c>
      <c r="Q597" s="118" t="n"/>
    </row>
    <row r="598" hidden="1" outlineLevel="1" ht="15" customHeight="1">
      <c r="A598" s="269" t="n">
        <v>297</v>
      </c>
      <c r="B598" s="125" t="n"/>
      <c r="C598" s="119" t="inlineStr">
        <is>
          <t>Kế hoạch</t>
        </is>
      </c>
      <c r="D598" s="321">
        <f>SUMIFS(DATA!$I:$I,DATA!$C:$C,$B598,DATA!$J:$J,"&gt;="&amp;DATE($I$2,D$4,1),DATA!$J:$J,"&lt;="&amp;DATE($I$2,D$4,D$5))</f>
        <v/>
      </c>
      <c r="E598" s="321">
        <f>SUMIFS(DATA!$I:$I,DATA!$C:$C,$B598,DATA!$J:$J,"&gt;="&amp;DATE($I$2,E$4,1),DATA!$J:$J,"&lt;="&amp;DATE($I$2,E$4,E$5))</f>
        <v/>
      </c>
      <c r="F598" s="321">
        <f>SUMIFS(DATA!$I:$I,DATA!$C:$C,$B598,DATA!$J:$J,"&gt;="&amp;DATE($I$2,F$4,1),DATA!$J:$J,"&lt;="&amp;DATE($I$2,F$4,F$5))</f>
        <v/>
      </c>
      <c r="G598" s="321">
        <f>SUMIFS(DATA!$I:$I,DATA!$C:$C,$B598,DATA!$J:$J,"&gt;="&amp;DATE($I$2,G$4,1),DATA!$J:$J,"&lt;="&amp;DATE($I$2,G$4,G$5))</f>
        <v/>
      </c>
      <c r="H598" s="321">
        <f>SUMIFS(DATA!$I:$I,DATA!$C:$C,$B598,DATA!$J:$J,"&gt;="&amp;DATE($I$2,H$4,1),DATA!$J:$J,"&lt;="&amp;DATE($I$2,H$4,H$5))</f>
        <v/>
      </c>
      <c r="I598" s="321">
        <f>SUMIFS(DATA!$I:$I,DATA!$C:$C,$B598,DATA!$J:$J,"&gt;="&amp;DATE($I$2,I$4,1),DATA!$J:$J,"&lt;="&amp;DATE($I$2,I$4,I$5))</f>
        <v/>
      </c>
      <c r="J598" s="321">
        <f>SUMIFS(DATA!$I:$I,DATA!$C:$C,$B598,DATA!$J:$J,"&gt;="&amp;DATE($I$2,J$4,1),DATA!$J:$J,"&lt;="&amp;DATE($I$2,J$4,J$5))</f>
        <v/>
      </c>
      <c r="K598" s="321">
        <f>SUMIFS(DATA!$I:$I,DATA!$C:$C,$B598,DATA!$J:$J,"&gt;="&amp;DATE($I$2,K$4,1),DATA!$J:$J,"&lt;="&amp;DATE($I$2,K$4,K$5))</f>
        <v/>
      </c>
      <c r="L598" s="321">
        <f>SUMIFS(DATA!$I:$I,DATA!$C:$C,$B598,DATA!$J:$J,"&gt;="&amp;DATE($I$2,L$4,1),DATA!$J:$J,"&lt;="&amp;DATE($I$2,L$4,L$5))</f>
        <v/>
      </c>
      <c r="M598" s="321">
        <f>SUMIFS(DATA!$I:$I,DATA!$C:$C,$B598,DATA!$J:$J,"&gt;="&amp;DATE($I$2,M$4,1),DATA!$J:$J,"&lt;="&amp;DATE($I$2,M$4,M$5))</f>
        <v/>
      </c>
      <c r="N598" s="321">
        <f>SUMIFS(DATA!$I:$I,DATA!$C:$C,$B598,DATA!$J:$J,"&gt;="&amp;DATE($I$2,N$4,1),DATA!$J:$J,"&lt;="&amp;DATE($I$2,N$4,N$5))</f>
        <v/>
      </c>
      <c r="O598" s="321">
        <f>SUMIFS(DATA!$I:$I,DATA!$C:$C,$B598,DATA!$J:$J,"&gt;="&amp;DATE($I$2,O$4,1),DATA!$J:$J,"&lt;="&amp;DATE($I$2,O$4,O$5))</f>
        <v/>
      </c>
      <c r="P598" s="322">
        <f>SUM(D598:O598)</f>
        <v/>
      </c>
      <c r="Q598" s="118" t="n"/>
    </row>
    <row r="599" hidden="1" outlineLevel="1" ht="15" customHeight="1">
      <c r="A599" s="266" t="n"/>
      <c r="B599" s="126" t="n"/>
      <c r="C599" s="119" t="inlineStr">
        <is>
          <t>Thực tế</t>
        </is>
      </c>
      <c r="D599" s="321">
        <f>SUMIFS(DATA!$M:$M,DATA!$C:$C,$B598,DATA!$N:$N,"&gt;="&amp;DATE($I$2,D$4,1),DATA!$N:$N,"&lt;="&amp;DATE($I$2,D$4,D$5))</f>
        <v/>
      </c>
      <c r="E599" s="321">
        <f>SUMIFS(DATA!$M:$M,DATA!$C:$C,$B598,DATA!$N:$N,"&gt;="&amp;DATE($I$2,E$4,1),DATA!$N:$N,"&lt;="&amp;DATE($I$2,E$4,E$5))</f>
        <v/>
      </c>
      <c r="F599" s="321">
        <f>SUMIFS(DATA!$M:$M,DATA!$C:$C,$B598,DATA!$N:$N,"&gt;="&amp;DATE($I$2,F$4,1),DATA!$N:$N,"&lt;="&amp;DATE($I$2,F$4,F$5))</f>
        <v/>
      </c>
      <c r="G599" s="321">
        <f>SUMIFS(DATA!$M:$M,DATA!$C:$C,$B598,DATA!$N:$N,"&gt;="&amp;DATE($I$2,G$4,1),DATA!$N:$N,"&lt;="&amp;DATE($I$2,G$4,G$5))</f>
        <v/>
      </c>
      <c r="H599" s="321">
        <f>SUMIFS(DATA!$M:$M,DATA!$C:$C,$B598,DATA!$N:$N,"&gt;="&amp;DATE($I$2,H$4,1),DATA!$N:$N,"&lt;="&amp;DATE($I$2,H$4,H$5))</f>
        <v/>
      </c>
      <c r="I599" s="321">
        <f>SUMIFS(DATA!$M:$M,DATA!$C:$C,$B598,DATA!$N:$N,"&gt;="&amp;DATE($I$2,I$4,1),DATA!$N:$N,"&lt;="&amp;DATE($I$2,I$4,I$5))</f>
        <v/>
      </c>
      <c r="J599" s="321">
        <f>SUMIFS(DATA!$M:$M,DATA!$C:$C,$B598,DATA!$N:$N,"&gt;="&amp;DATE($I$2,J$4,1),DATA!$N:$N,"&lt;="&amp;DATE($I$2,J$4,J$5))</f>
        <v/>
      </c>
      <c r="K599" s="321">
        <f>SUMIFS(DATA!$M:$M,DATA!$C:$C,$B598,DATA!$N:$N,"&gt;="&amp;DATE($I$2,K$4,1),DATA!$N:$N,"&lt;="&amp;DATE($I$2,K$4,K$5))</f>
        <v/>
      </c>
      <c r="L599" s="321">
        <f>SUMIFS(DATA!$M:$M,DATA!$C:$C,$B598,DATA!$N:$N,"&gt;="&amp;DATE($I$2,L$4,1),DATA!$N:$N,"&lt;="&amp;DATE($I$2,L$4,L$5))</f>
        <v/>
      </c>
      <c r="M599" s="321">
        <f>SUMIFS(DATA!$M:$M,DATA!$C:$C,$B598,DATA!$N:$N,"&gt;="&amp;DATE($I$2,M$4,1),DATA!$N:$N,"&lt;="&amp;DATE($I$2,M$4,M$5))</f>
        <v/>
      </c>
      <c r="N599" s="321">
        <f>SUMIFS(DATA!$M:$M,DATA!$C:$C,$B598,DATA!$N:$N,"&gt;="&amp;DATE($I$2,N$4,1),DATA!$N:$N,"&lt;="&amp;DATE($I$2,N$4,N$5))</f>
        <v/>
      </c>
      <c r="O599" s="321">
        <f>SUMIFS(DATA!$M:$M,DATA!$C:$C,$B598,DATA!$N:$N,"&gt;="&amp;DATE($I$2,O$4,1),DATA!$N:$N,"&lt;="&amp;DATE($I$2,O$4,O$5))</f>
        <v/>
      </c>
      <c r="P599" s="322">
        <f>SUM(D599:O599)</f>
        <v/>
      </c>
      <c r="Q599" s="118" t="n"/>
    </row>
    <row r="600" hidden="1" outlineLevel="1" ht="15" customHeight="1">
      <c r="A600" s="269" t="n">
        <v>298</v>
      </c>
      <c r="B600" s="125" t="n"/>
      <c r="C600" s="119" t="inlineStr">
        <is>
          <t>Kế hoạch</t>
        </is>
      </c>
      <c r="D600" s="321">
        <f>SUMIFS(DATA!$I:$I,DATA!$C:$C,$B600,DATA!$J:$J,"&gt;="&amp;DATE($I$2,D$4,1),DATA!$J:$J,"&lt;="&amp;DATE($I$2,D$4,D$5))</f>
        <v/>
      </c>
      <c r="E600" s="321">
        <f>SUMIFS(DATA!$I:$I,DATA!$C:$C,$B600,DATA!$J:$J,"&gt;="&amp;DATE($I$2,E$4,1),DATA!$J:$J,"&lt;="&amp;DATE($I$2,E$4,E$5))</f>
        <v/>
      </c>
      <c r="F600" s="321">
        <f>SUMIFS(DATA!$I:$I,DATA!$C:$C,$B600,DATA!$J:$J,"&gt;="&amp;DATE($I$2,F$4,1),DATA!$J:$J,"&lt;="&amp;DATE($I$2,F$4,F$5))</f>
        <v/>
      </c>
      <c r="G600" s="321">
        <f>SUMIFS(DATA!$I:$I,DATA!$C:$C,$B600,DATA!$J:$J,"&gt;="&amp;DATE($I$2,G$4,1),DATA!$J:$J,"&lt;="&amp;DATE($I$2,G$4,G$5))</f>
        <v/>
      </c>
      <c r="H600" s="321">
        <f>SUMIFS(DATA!$I:$I,DATA!$C:$C,$B600,DATA!$J:$J,"&gt;="&amp;DATE($I$2,H$4,1),DATA!$J:$J,"&lt;="&amp;DATE($I$2,H$4,H$5))</f>
        <v/>
      </c>
      <c r="I600" s="321">
        <f>SUMIFS(DATA!$I:$I,DATA!$C:$C,$B600,DATA!$J:$J,"&gt;="&amp;DATE($I$2,I$4,1),DATA!$J:$J,"&lt;="&amp;DATE($I$2,I$4,I$5))</f>
        <v/>
      </c>
      <c r="J600" s="321">
        <f>SUMIFS(DATA!$I:$I,DATA!$C:$C,$B600,DATA!$J:$J,"&gt;="&amp;DATE($I$2,J$4,1),DATA!$J:$J,"&lt;="&amp;DATE($I$2,J$4,J$5))</f>
        <v/>
      </c>
      <c r="K600" s="321">
        <f>SUMIFS(DATA!$I:$I,DATA!$C:$C,$B600,DATA!$J:$J,"&gt;="&amp;DATE($I$2,K$4,1),DATA!$J:$J,"&lt;="&amp;DATE($I$2,K$4,K$5))</f>
        <v/>
      </c>
      <c r="L600" s="321">
        <f>SUMIFS(DATA!$I:$I,DATA!$C:$C,$B600,DATA!$J:$J,"&gt;="&amp;DATE($I$2,L$4,1),DATA!$J:$J,"&lt;="&amp;DATE($I$2,L$4,L$5))</f>
        <v/>
      </c>
      <c r="M600" s="321">
        <f>SUMIFS(DATA!$I:$I,DATA!$C:$C,$B600,DATA!$J:$J,"&gt;="&amp;DATE($I$2,M$4,1),DATA!$J:$J,"&lt;="&amp;DATE($I$2,M$4,M$5))</f>
        <v/>
      </c>
      <c r="N600" s="321">
        <f>SUMIFS(DATA!$I:$I,DATA!$C:$C,$B600,DATA!$J:$J,"&gt;="&amp;DATE($I$2,N$4,1),DATA!$J:$J,"&lt;="&amp;DATE($I$2,N$4,N$5))</f>
        <v/>
      </c>
      <c r="O600" s="321">
        <f>SUMIFS(DATA!$I:$I,DATA!$C:$C,$B600,DATA!$J:$J,"&gt;="&amp;DATE($I$2,O$4,1),DATA!$J:$J,"&lt;="&amp;DATE($I$2,O$4,O$5))</f>
        <v/>
      </c>
      <c r="P600" s="322">
        <f>SUM(D600:O600)</f>
        <v/>
      </c>
      <c r="Q600" s="118" t="n"/>
    </row>
    <row r="601" hidden="1" outlineLevel="1" ht="15" customHeight="1">
      <c r="A601" s="266" t="n"/>
      <c r="B601" s="126" t="n"/>
      <c r="C601" s="119" t="inlineStr">
        <is>
          <t>Thực tế</t>
        </is>
      </c>
      <c r="D601" s="321">
        <f>SUMIFS(DATA!$M:$M,DATA!$C:$C,$B600,DATA!$N:$N,"&gt;="&amp;DATE($I$2,D$4,1),DATA!$N:$N,"&lt;="&amp;DATE($I$2,D$4,D$5))</f>
        <v/>
      </c>
      <c r="E601" s="321">
        <f>SUMIFS(DATA!$M:$M,DATA!$C:$C,$B600,DATA!$N:$N,"&gt;="&amp;DATE($I$2,E$4,1),DATA!$N:$N,"&lt;="&amp;DATE($I$2,E$4,E$5))</f>
        <v/>
      </c>
      <c r="F601" s="321">
        <f>SUMIFS(DATA!$M:$M,DATA!$C:$C,$B600,DATA!$N:$N,"&gt;="&amp;DATE($I$2,F$4,1),DATA!$N:$N,"&lt;="&amp;DATE($I$2,F$4,F$5))</f>
        <v/>
      </c>
      <c r="G601" s="321">
        <f>SUMIFS(DATA!$M:$M,DATA!$C:$C,$B600,DATA!$N:$N,"&gt;="&amp;DATE($I$2,G$4,1),DATA!$N:$N,"&lt;="&amp;DATE($I$2,G$4,G$5))</f>
        <v/>
      </c>
      <c r="H601" s="321">
        <f>SUMIFS(DATA!$M:$M,DATA!$C:$C,$B600,DATA!$N:$N,"&gt;="&amp;DATE($I$2,H$4,1),DATA!$N:$N,"&lt;="&amp;DATE($I$2,H$4,H$5))</f>
        <v/>
      </c>
      <c r="I601" s="321">
        <f>SUMIFS(DATA!$M:$M,DATA!$C:$C,$B600,DATA!$N:$N,"&gt;="&amp;DATE($I$2,I$4,1),DATA!$N:$N,"&lt;="&amp;DATE($I$2,I$4,I$5))</f>
        <v/>
      </c>
      <c r="J601" s="321">
        <f>SUMIFS(DATA!$M:$M,DATA!$C:$C,$B600,DATA!$N:$N,"&gt;="&amp;DATE($I$2,J$4,1),DATA!$N:$N,"&lt;="&amp;DATE($I$2,J$4,J$5))</f>
        <v/>
      </c>
      <c r="K601" s="321">
        <f>SUMIFS(DATA!$M:$M,DATA!$C:$C,$B600,DATA!$N:$N,"&gt;="&amp;DATE($I$2,K$4,1),DATA!$N:$N,"&lt;="&amp;DATE($I$2,K$4,K$5))</f>
        <v/>
      </c>
      <c r="L601" s="321">
        <f>SUMIFS(DATA!$M:$M,DATA!$C:$C,$B600,DATA!$N:$N,"&gt;="&amp;DATE($I$2,L$4,1),DATA!$N:$N,"&lt;="&amp;DATE($I$2,L$4,L$5))</f>
        <v/>
      </c>
      <c r="M601" s="321">
        <f>SUMIFS(DATA!$M:$M,DATA!$C:$C,$B600,DATA!$N:$N,"&gt;="&amp;DATE($I$2,M$4,1),DATA!$N:$N,"&lt;="&amp;DATE($I$2,M$4,M$5))</f>
        <v/>
      </c>
      <c r="N601" s="321">
        <f>SUMIFS(DATA!$M:$M,DATA!$C:$C,$B600,DATA!$N:$N,"&gt;="&amp;DATE($I$2,N$4,1),DATA!$N:$N,"&lt;="&amp;DATE($I$2,N$4,N$5))</f>
        <v/>
      </c>
      <c r="O601" s="321">
        <f>SUMIFS(DATA!$M:$M,DATA!$C:$C,$B600,DATA!$N:$N,"&gt;="&amp;DATE($I$2,O$4,1),DATA!$N:$N,"&lt;="&amp;DATE($I$2,O$4,O$5))</f>
        <v/>
      </c>
      <c r="P601" s="322">
        <f>SUM(D601:O601)</f>
        <v/>
      </c>
      <c r="Q601" s="118" t="n"/>
    </row>
    <row r="602" hidden="1" outlineLevel="1" ht="15" customHeight="1">
      <c r="A602" s="269" t="n">
        <v>299</v>
      </c>
      <c r="B602" s="125" t="n"/>
      <c r="C602" s="119" t="inlineStr">
        <is>
          <t>Kế hoạch</t>
        </is>
      </c>
      <c r="D602" s="321">
        <f>SUMIFS(DATA!$I:$I,DATA!$C:$C,$B602,DATA!$J:$J,"&gt;="&amp;DATE($I$2,D$4,1),DATA!$J:$J,"&lt;="&amp;DATE($I$2,D$4,D$5))</f>
        <v/>
      </c>
      <c r="E602" s="321">
        <f>SUMIFS(DATA!$I:$I,DATA!$C:$C,$B602,DATA!$J:$J,"&gt;="&amp;DATE($I$2,E$4,1),DATA!$J:$J,"&lt;="&amp;DATE($I$2,E$4,E$5))</f>
        <v/>
      </c>
      <c r="F602" s="321">
        <f>SUMIFS(DATA!$I:$I,DATA!$C:$C,$B602,DATA!$J:$J,"&gt;="&amp;DATE($I$2,F$4,1),DATA!$J:$J,"&lt;="&amp;DATE($I$2,F$4,F$5))</f>
        <v/>
      </c>
      <c r="G602" s="321">
        <f>SUMIFS(DATA!$I:$I,DATA!$C:$C,$B602,DATA!$J:$J,"&gt;="&amp;DATE($I$2,G$4,1),DATA!$J:$J,"&lt;="&amp;DATE($I$2,G$4,G$5))</f>
        <v/>
      </c>
      <c r="H602" s="321">
        <f>SUMIFS(DATA!$I:$I,DATA!$C:$C,$B602,DATA!$J:$J,"&gt;="&amp;DATE($I$2,H$4,1),DATA!$J:$J,"&lt;="&amp;DATE($I$2,H$4,H$5))</f>
        <v/>
      </c>
      <c r="I602" s="321">
        <f>SUMIFS(DATA!$I:$I,DATA!$C:$C,$B602,DATA!$J:$J,"&gt;="&amp;DATE($I$2,I$4,1),DATA!$J:$J,"&lt;="&amp;DATE($I$2,I$4,I$5))</f>
        <v/>
      </c>
      <c r="J602" s="321">
        <f>SUMIFS(DATA!$I:$I,DATA!$C:$C,$B602,DATA!$J:$J,"&gt;="&amp;DATE($I$2,J$4,1),DATA!$J:$J,"&lt;="&amp;DATE($I$2,J$4,J$5))</f>
        <v/>
      </c>
      <c r="K602" s="321">
        <f>SUMIFS(DATA!$I:$I,DATA!$C:$C,$B602,DATA!$J:$J,"&gt;="&amp;DATE($I$2,K$4,1),DATA!$J:$J,"&lt;="&amp;DATE($I$2,K$4,K$5))</f>
        <v/>
      </c>
      <c r="L602" s="321">
        <f>SUMIFS(DATA!$I:$I,DATA!$C:$C,$B602,DATA!$J:$J,"&gt;="&amp;DATE($I$2,L$4,1),DATA!$J:$J,"&lt;="&amp;DATE($I$2,L$4,L$5))</f>
        <v/>
      </c>
      <c r="M602" s="321">
        <f>SUMIFS(DATA!$I:$I,DATA!$C:$C,$B602,DATA!$J:$J,"&gt;="&amp;DATE($I$2,M$4,1),DATA!$J:$J,"&lt;="&amp;DATE($I$2,M$4,M$5))</f>
        <v/>
      </c>
      <c r="N602" s="321">
        <f>SUMIFS(DATA!$I:$I,DATA!$C:$C,$B602,DATA!$J:$J,"&gt;="&amp;DATE($I$2,N$4,1),DATA!$J:$J,"&lt;="&amp;DATE($I$2,N$4,N$5))</f>
        <v/>
      </c>
      <c r="O602" s="321">
        <f>SUMIFS(DATA!$I:$I,DATA!$C:$C,$B602,DATA!$J:$J,"&gt;="&amp;DATE($I$2,O$4,1),DATA!$J:$J,"&lt;="&amp;DATE($I$2,O$4,O$5))</f>
        <v/>
      </c>
      <c r="P602" s="322">
        <f>SUM(D602:O602)</f>
        <v/>
      </c>
      <c r="Q602" s="118" t="n"/>
    </row>
    <row r="603" hidden="1" outlineLevel="1" ht="15" customHeight="1">
      <c r="A603" s="266" t="n"/>
      <c r="B603" s="126" t="n"/>
      <c r="C603" s="119" t="inlineStr">
        <is>
          <t>Thực tế</t>
        </is>
      </c>
      <c r="D603" s="321">
        <f>SUMIFS(DATA!$M:$M,DATA!$C:$C,$B602,DATA!$N:$N,"&gt;="&amp;DATE($I$2,D$4,1),DATA!$N:$N,"&lt;="&amp;DATE($I$2,D$4,D$5))</f>
        <v/>
      </c>
      <c r="E603" s="321">
        <f>SUMIFS(DATA!$M:$M,DATA!$C:$C,$B602,DATA!$N:$N,"&gt;="&amp;DATE($I$2,E$4,1),DATA!$N:$N,"&lt;="&amp;DATE($I$2,E$4,E$5))</f>
        <v/>
      </c>
      <c r="F603" s="321">
        <f>SUMIFS(DATA!$M:$M,DATA!$C:$C,$B602,DATA!$N:$N,"&gt;="&amp;DATE($I$2,F$4,1),DATA!$N:$N,"&lt;="&amp;DATE($I$2,F$4,F$5))</f>
        <v/>
      </c>
      <c r="G603" s="321">
        <f>SUMIFS(DATA!$M:$M,DATA!$C:$C,$B602,DATA!$N:$N,"&gt;="&amp;DATE($I$2,G$4,1),DATA!$N:$N,"&lt;="&amp;DATE($I$2,G$4,G$5))</f>
        <v/>
      </c>
      <c r="H603" s="321">
        <f>SUMIFS(DATA!$M:$M,DATA!$C:$C,$B602,DATA!$N:$N,"&gt;="&amp;DATE($I$2,H$4,1),DATA!$N:$N,"&lt;="&amp;DATE($I$2,H$4,H$5))</f>
        <v/>
      </c>
      <c r="I603" s="321">
        <f>SUMIFS(DATA!$M:$M,DATA!$C:$C,$B602,DATA!$N:$N,"&gt;="&amp;DATE($I$2,I$4,1),DATA!$N:$N,"&lt;="&amp;DATE($I$2,I$4,I$5))</f>
        <v/>
      </c>
      <c r="J603" s="321">
        <f>SUMIFS(DATA!$M:$M,DATA!$C:$C,$B602,DATA!$N:$N,"&gt;="&amp;DATE($I$2,J$4,1),DATA!$N:$N,"&lt;="&amp;DATE($I$2,J$4,J$5))</f>
        <v/>
      </c>
      <c r="K603" s="321">
        <f>SUMIFS(DATA!$M:$M,DATA!$C:$C,$B602,DATA!$N:$N,"&gt;="&amp;DATE($I$2,K$4,1),DATA!$N:$N,"&lt;="&amp;DATE($I$2,K$4,K$5))</f>
        <v/>
      </c>
      <c r="L603" s="321">
        <f>SUMIFS(DATA!$M:$M,DATA!$C:$C,$B602,DATA!$N:$N,"&gt;="&amp;DATE($I$2,L$4,1),DATA!$N:$N,"&lt;="&amp;DATE($I$2,L$4,L$5))</f>
        <v/>
      </c>
      <c r="M603" s="321">
        <f>SUMIFS(DATA!$M:$M,DATA!$C:$C,$B602,DATA!$N:$N,"&gt;="&amp;DATE($I$2,M$4,1),DATA!$N:$N,"&lt;="&amp;DATE($I$2,M$4,M$5))</f>
        <v/>
      </c>
      <c r="N603" s="321">
        <f>SUMIFS(DATA!$M:$M,DATA!$C:$C,$B602,DATA!$N:$N,"&gt;="&amp;DATE($I$2,N$4,1),DATA!$N:$N,"&lt;="&amp;DATE($I$2,N$4,N$5))</f>
        <v/>
      </c>
      <c r="O603" s="321">
        <f>SUMIFS(DATA!$M:$M,DATA!$C:$C,$B602,DATA!$N:$N,"&gt;="&amp;DATE($I$2,O$4,1),DATA!$N:$N,"&lt;="&amp;DATE($I$2,O$4,O$5))</f>
        <v/>
      </c>
      <c r="P603" s="322">
        <f>SUM(D603:O603)</f>
        <v/>
      </c>
      <c r="Q603" s="118" t="n"/>
    </row>
    <row r="604" hidden="1" outlineLevel="1" ht="15" customHeight="1">
      <c r="A604" s="269" t="n">
        <v>300</v>
      </c>
      <c r="B604" s="125" t="n"/>
      <c r="C604" s="119" t="inlineStr">
        <is>
          <t>Kế hoạch</t>
        </is>
      </c>
      <c r="D604" s="321">
        <f>SUMIFS(DATA!$I:$I,DATA!$C:$C,$B604,DATA!$J:$J,"&gt;="&amp;DATE($I$2,D$4,1),DATA!$J:$J,"&lt;="&amp;DATE($I$2,D$4,D$5))</f>
        <v/>
      </c>
      <c r="E604" s="321">
        <f>SUMIFS(DATA!$I:$I,DATA!$C:$C,$B604,DATA!$J:$J,"&gt;="&amp;DATE($I$2,E$4,1),DATA!$J:$J,"&lt;="&amp;DATE($I$2,E$4,E$5))</f>
        <v/>
      </c>
      <c r="F604" s="321">
        <f>SUMIFS(DATA!$I:$I,DATA!$C:$C,$B604,DATA!$J:$J,"&gt;="&amp;DATE($I$2,F$4,1),DATA!$J:$J,"&lt;="&amp;DATE($I$2,F$4,F$5))</f>
        <v/>
      </c>
      <c r="G604" s="321">
        <f>SUMIFS(DATA!$I:$I,DATA!$C:$C,$B604,DATA!$J:$J,"&gt;="&amp;DATE($I$2,G$4,1),DATA!$J:$J,"&lt;="&amp;DATE($I$2,G$4,G$5))</f>
        <v/>
      </c>
      <c r="H604" s="321">
        <f>SUMIFS(DATA!$I:$I,DATA!$C:$C,$B604,DATA!$J:$J,"&gt;="&amp;DATE($I$2,H$4,1),DATA!$J:$J,"&lt;="&amp;DATE($I$2,H$4,H$5))</f>
        <v/>
      </c>
      <c r="I604" s="321">
        <f>SUMIFS(DATA!$I:$I,DATA!$C:$C,$B604,DATA!$J:$J,"&gt;="&amp;DATE($I$2,I$4,1),DATA!$J:$J,"&lt;="&amp;DATE($I$2,I$4,I$5))</f>
        <v/>
      </c>
      <c r="J604" s="321">
        <f>SUMIFS(DATA!$I:$I,DATA!$C:$C,$B604,DATA!$J:$J,"&gt;="&amp;DATE($I$2,J$4,1),DATA!$J:$J,"&lt;="&amp;DATE($I$2,J$4,J$5))</f>
        <v/>
      </c>
      <c r="K604" s="321">
        <f>SUMIFS(DATA!$I:$I,DATA!$C:$C,$B604,DATA!$J:$J,"&gt;="&amp;DATE($I$2,K$4,1),DATA!$J:$J,"&lt;="&amp;DATE($I$2,K$4,K$5))</f>
        <v/>
      </c>
      <c r="L604" s="321">
        <f>SUMIFS(DATA!$I:$I,DATA!$C:$C,$B604,DATA!$J:$J,"&gt;="&amp;DATE($I$2,L$4,1),DATA!$J:$J,"&lt;="&amp;DATE($I$2,L$4,L$5))</f>
        <v/>
      </c>
      <c r="M604" s="321">
        <f>SUMIFS(DATA!$I:$I,DATA!$C:$C,$B604,DATA!$J:$J,"&gt;="&amp;DATE($I$2,M$4,1),DATA!$J:$J,"&lt;="&amp;DATE($I$2,M$4,M$5))</f>
        <v/>
      </c>
      <c r="N604" s="321">
        <f>SUMIFS(DATA!$I:$I,DATA!$C:$C,$B604,DATA!$J:$J,"&gt;="&amp;DATE($I$2,N$4,1),DATA!$J:$J,"&lt;="&amp;DATE($I$2,N$4,N$5))</f>
        <v/>
      </c>
      <c r="O604" s="321">
        <f>SUMIFS(DATA!$I:$I,DATA!$C:$C,$B604,DATA!$J:$J,"&gt;="&amp;DATE($I$2,O$4,1),DATA!$J:$J,"&lt;="&amp;DATE($I$2,O$4,O$5))</f>
        <v/>
      </c>
      <c r="P604" s="322">
        <f>SUM(D604:O604)</f>
        <v/>
      </c>
      <c r="Q604" s="118" t="n"/>
    </row>
    <row r="605" hidden="1" outlineLevel="1" ht="15" customHeight="1">
      <c r="A605" s="266" t="n"/>
      <c r="B605" s="126" t="n"/>
      <c r="C605" s="119" t="inlineStr">
        <is>
          <t>Thực tế</t>
        </is>
      </c>
      <c r="D605" s="321">
        <f>SUMIFS(DATA!$M:$M,DATA!$C:$C,$B604,DATA!$N:$N,"&gt;="&amp;DATE($I$2,D$4,1),DATA!$N:$N,"&lt;="&amp;DATE($I$2,D$4,D$5))</f>
        <v/>
      </c>
      <c r="E605" s="321">
        <f>SUMIFS(DATA!$M:$M,DATA!$C:$C,$B604,DATA!$N:$N,"&gt;="&amp;DATE($I$2,E$4,1),DATA!$N:$N,"&lt;="&amp;DATE($I$2,E$4,E$5))</f>
        <v/>
      </c>
      <c r="F605" s="321">
        <f>SUMIFS(DATA!$M:$M,DATA!$C:$C,$B604,DATA!$N:$N,"&gt;="&amp;DATE($I$2,F$4,1),DATA!$N:$N,"&lt;="&amp;DATE($I$2,F$4,F$5))</f>
        <v/>
      </c>
      <c r="G605" s="321">
        <f>SUMIFS(DATA!$M:$M,DATA!$C:$C,$B604,DATA!$N:$N,"&gt;="&amp;DATE($I$2,G$4,1),DATA!$N:$N,"&lt;="&amp;DATE($I$2,G$4,G$5))</f>
        <v/>
      </c>
      <c r="H605" s="321">
        <f>SUMIFS(DATA!$M:$M,DATA!$C:$C,$B604,DATA!$N:$N,"&gt;="&amp;DATE($I$2,H$4,1),DATA!$N:$N,"&lt;="&amp;DATE($I$2,H$4,H$5))</f>
        <v/>
      </c>
      <c r="I605" s="321">
        <f>SUMIFS(DATA!$M:$M,DATA!$C:$C,$B604,DATA!$N:$N,"&gt;="&amp;DATE($I$2,I$4,1),DATA!$N:$N,"&lt;="&amp;DATE($I$2,I$4,I$5))</f>
        <v/>
      </c>
      <c r="J605" s="321">
        <f>SUMIFS(DATA!$M:$M,DATA!$C:$C,$B604,DATA!$N:$N,"&gt;="&amp;DATE($I$2,J$4,1),DATA!$N:$N,"&lt;="&amp;DATE($I$2,J$4,J$5))</f>
        <v/>
      </c>
      <c r="K605" s="321">
        <f>SUMIFS(DATA!$M:$M,DATA!$C:$C,$B604,DATA!$N:$N,"&gt;="&amp;DATE($I$2,K$4,1),DATA!$N:$N,"&lt;="&amp;DATE($I$2,K$4,K$5))</f>
        <v/>
      </c>
      <c r="L605" s="321">
        <f>SUMIFS(DATA!$M:$M,DATA!$C:$C,$B604,DATA!$N:$N,"&gt;="&amp;DATE($I$2,L$4,1),DATA!$N:$N,"&lt;="&amp;DATE($I$2,L$4,L$5))</f>
        <v/>
      </c>
      <c r="M605" s="321">
        <f>SUMIFS(DATA!$M:$M,DATA!$C:$C,$B604,DATA!$N:$N,"&gt;="&amp;DATE($I$2,M$4,1),DATA!$N:$N,"&lt;="&amp;DATE($I$2,M$4,M$5))</f>
        <v/>
      </c>
      <c r="N605" s="321">
        <f>SUMIFS(DATA!$M:$M,DATA!$C:$C,$B604,DATA!$N:$N,"&gt;="&amp;DATE($I$2,N$4,1),DATA!$N:$N,"&lt;="&amp;DATE($I$2,N$4,N$5))</f>
        <v/>
      </c>
      <c r="O605" s="321">
        <f>SUMIFS(DATA!$M:$M,DATA!$C:$C,$B604,DATA!$N:$N,"&gt;="&amp;DATE($I$2,O$4,1),DATA!$N:$N,"&lt;="&amp;DATE($I$2,O$4,O$5))</f>
        <v/>
      </c>
      <c r="P605" s="322">
        <f>SUM(D605:O605)</f>
        <v/>
      </c>
      <c r="Q605" s="118" t="n"/>
    </row>
    <row r="606" hidden="1" outlineLevel="1" ht="15" customHeight="1">
      <c r="A606" s="269" t="n">
        <v>301</v>
      </c>
      <c r="B606" s="125" t="n"/>
      <c r="C606" s="119" t="inlineStr">
        <is>
          <t>Kế hoạch</t>
        </is>
      </c>
      <c r="D606" s="321">
        <f>SUMIFS(DATA!$I:$I,DATA!$C:$C,$B606,DATA!$J:$J,"&gt;="&amp;DATE($I$2,D$4,1),DATA!$J:$J,"&lt;="&amp;DATE($I$2,D$4,D$5))</f>
        <v/>
      </c>
      <c r="E606" s="321">
        <f>SUMIFS(DATA!$I:$I,DATA!$C:$C,$B606,DATA!$J:$J,"&gt;="&amp;DATE($I$2,E$4,1),DATA!$J:$J,"&lt;="&amp;DATE($I$2,E$4,E$5))</f>
        <v/>
      </c>
      <c r="F606" s="321">
        <f>SUMIFS(DATA!$I:$I,DATA!$C:$C,$B606,DATA!$J:$J,"&gt;="&amp;DATE($I$2,F$4,1),DATA!$J:$J,"&lt;="&amp;DATE($I$2,F$4,F$5))</f>
        <v/>
      </c>
      <c r="G606" s="321">
        <f>SUMIFS(DATA!$I:$I,DATA!$C:$C,$B606,DATA!$J:$J,"&gt;="&amp;DATE($I$2,G$4,1),DATA!$J:$J,"&lt;="&amp;DATE($I$2,G$4,G$5))</f>
        <v/>
      </c>
      <c r="H606" s="321">
        <f>SUMIFS(DATA!$I:$I,DATA!$C:$C,$B606,DATA!$J:$J,"&gt;="&amp;DATE($I$2,H$4,1),DATA!$J:$J,"&lt;="&amp;DATE($I$2,H$4,H$5))</f>
        <v/>
      </c>
      <c r="I606" s="321">
        <f>SUMIFS(DATA!$I:$I,DATA!$C:$C,$B606,DATA!$J:$J,"&gt;="&amp;DATE($I$2,I$4,1),DATA!$J:$J,"&lt;="&amp;DATE($I$2,I$4,I$5))</f>
        <v/>
      </c>
      <c r="J606" s="321">
        <f>SUMIFS(DATA!$I:$I,DATA!$C:$C,$B606,DATA!$J:$J,"&gt;="&amp;DATE($I$2,J$4,1),DATA!$J:$J,"&lt;="&amp;DATE($I$2,J$4,J$5))</f>
        <v/>
      </c>
      <c r="K606" s="321">
        <f>SUMIFS(DATA!$I:$I,DATA!$C:$C,$B606,DATA!$J:$J,"&gt;="&amp;DATE($I$2,K$4,1),DATA!$J:$J,"&lt;="&amp;DATE($I$2,K$4,K$5))</f>
        <v/>
      </c>
      <c r="L606" s="321">
        <f>SUMIFS(DATA!$I:$I,DATA!$C:$C,$B606,DATA!$J:$J,"&gt;="&amp;DATE($I$2,L$4,1),DATA!$J:$J,"&lt;="&amp;DATE($I$2,L$4,L$5))</f>
        <v/>
      </c>
      <c r="M606" s="321">
        <f>SUMIFS(DATA!$I:$I,DATA!$C:$C,$B606,DATA!$J:$J,"&gt;="&amp;DATE($I$2,M$4,1),DATA!$J:$J,"&lt;="&amp;DATE($I$2,M$4,M$5))</f>
        <v/>
      </c>
      <c r="N606" s="321">
        <f>SUMIFS(DATA!$I:$I,DATA!$C:$C,$B606,DATA!$J:$J,"&gt;="&amp;DATE($I$2,N$4,1),DATA!$J:$J,"&lt;="&amp;DATE($I$2,N$4,N$5))</f>
        <v/>
      </c>
      <c r="O606" s="321">
        <f>SUMIFS(DATA!$I:$I,DATA!$C:$C,$B606,DATA!$J:$J,"&gt;="&amp;DATE($I$2,O$4,1),DATA!$J:$J,"&lt;="&amp;DATE($I$2,O$4,O$5))</f>
        <v/>
      </c>
      <c r="P606" s="322">
        <f>SUM(D606:O606)</f>
        <v/>
      </c>
      <c r="Q606" s="118" t="n"/>
    </row>
    <row r="607" hidden="1" outlineLevel="1" ht="15" customHeight="1">
      <c r="A607" s="266" t="n"/>
      <c r="B607" s="126" t="n"/>
      <c r="C607" s="119" t="inlineStr">
        <is>
          <t>Thực tế</t>
        </is>
      </c>
      <c r="D607" s="321">
        <f>SUMIFS(DATA!$M:$M,DATA!$C:$C,$B606,DATA!$N:$N,"&gt;="&amp;DATE($I$2,D$4,1),DATA!$N:$N,"&lt;="&amp;DATE($I$2,D$4,D$5))</f>
        <v/>
      </c>
      <c r="E607" s="321">
        <f>SUMIFS(DATA!$M:$M,DATA!$C:$C,$B606,DATA!$N:$N,"&gt;="&amp;DATE($I$2,E$4,1),DATA!$N:$N,"&lt;="&amp;DATE($I$2,E$4,E$5))</f>
        <v/>
      </c>
      <c r="F607" s="321">
        <f>SUMIFS(DATA!$M:$M,DATA!$C:$C,$B606,DATA!$N:$N,"&gt;="&amp;DATE($I$2,F$4,1),DATA!$N:$N,"&lt;="&amp;DATE($I$2,F$4,F$5))</f>
        <v/>
      </c>
      <c r="G607" s="321">
        <f>SUMIFS(DATA!$M:$M,DATA!$C:$C,$B606,DATA!$N:$N,"&gt;="&amp;DATE($I$2,G$4,1),DATA!$N:$N,"&lt;="&amp;DATE($I$2,G$4,G$5))</f>
        <v/>
      </c>
      <c r="H607" s="321">
        <f>SUMIFS(DATA!$M:$M,DATA!$C:$C,$B606,DATA!$N:$N,"&gt;="&amp;DATE($I$2,H$4,1),DATA!$N:$N,"&lt;="&amp;DATE($I$2,H$4,H$5))</f>
        <v/>
      </c>
      <c r="I607" s="321">
        <f>SUMIFS(DATA!$M:$M,DATA!$C:$C,$B606,DATA!$N:$N,"&gt;="&amp;DATE($I$2,I$4,1),DATA!$N:$N,"&lt;="&amp;DATE($I$2,I$4,I$5))</f>
        <v/>
      </c>
      <c r="J607" s="321">
        <f>SUMIFS(DATA!$M:$M,DATA!$C:$C,$B606,DATA!$N:$N,"&gt;="&amp;DATE($I$2,J$4,1),DATA!$N:$N,"&lt;="&amp;DATE($I$2,J$4,J$5))</f>
        <v/>
      </c>
      <c r="K607" s="321">
        <f>SUMIFS(DATA!$M:$M,DATA!$C:$C,$B606,DATA!$N:$N,"&gt;="&amp;DATE($I$2,K$4,1),DATA!$N:$N,"&lt;="&amp;DATE($I$2,K$4,K$5))</f>
        <v/>
      </c>
      <c r="L607" s="321">
        <f>SUMIFS(DATA!$M:$M,DATA!$C:$C,$B606,DATA!$N:$N,"&gt;="&amp;DATE($I$2,L$4,1),DATA!$N:$N,"&lt;="&amp;DATE($I$2,L$4,L$5))</f>
        <v/>
      </c>
      <c r="M607" s="321">
        <f>SUMIFS(DATA!$M:$M,DATA!$C:$C,$B606,DATA!$N:$N,"&gt;="&amp;DATE($I$2,M$4,1),DATA!$N:$N,"&lt;="&amp;DATE($I$2,M$4,M$5))</f>
        <v/>
      </c>
      <c r="N607" s="321">
        <f>SUMIFS(DATA!$M:$M,DATA!$C:$C,$B606,DATA!$N:$N,"&gt;="&amp;DATE($I$2,N$4,1),DATA!$N:$N,"&lt;="&amp;DATE($I$2,N$4,N$5))</f>
        <v/>
      </c>
      <c r="O607" s="321">
        <f>SUMIFS(DATA!$M:$M,DATA!$C:$C,$B606,DATA!$N:$N,"&gt;="&amp;DATE($I$2,O$4,1),DATA!$N:$N,"&lt;="&amp;DATE($I$2,O$4,O$5))</f>
        <v/>
      </c>
      <c r="P607" s="322">
        <f>SUM(D607:O607)</f>
        <v/>
      </c>
      <c r="Q607" s="118" t="n"/>
    </row>
    <row r="608" hidden="1" outlineLevel="1" ht="15" customHeight="1">
      <c r="A608" s="269" t="n">
        <v>302</v>
      </c>
      <c r="B608" s="125" t="n"/>
      <c r="C608" s="119" t="inlineStr">
        <is>
          <t>Kế hoạch</t>
        </is>
      </c>
      <c r="D608" s="321">
        <f>SUMIFS(DATA!$I:$I,DATA!$C:$C,$B608,DATA!$J:$J,"&gt;="&amp;DATE($I$2,D$4,1),DATA!$J:$J,"&lt;="&amp;DATE($I$2,D$4,D$5))</f>
        <v/>
      </c>
      <c r="E608" s="321">
        <f>SUMIFS(DATA!$I:$I,DATA!$C:$C,$B608,DATA!$J:$J,"&gt;="&amp;DATE($I$2,E$4,1),DATA!$J:$J,"&lt;="&amp;DATE($I$2,E$4,E$5))</f>
        <v/>
      </c>
      <c r="F608" s="321">
        <f>SUMIFS(DATA!$I:$I,DATA!$C:$C,$B608,DATA!$J:$J,"&gt;="&amp;DATE($I$2,F$4,1),DATA!$J:$J,"&lt;="&amp;DATE($I$2,F$4,F$5))</f>
        <v/>
      </c>
      <c r="G608" s="321">
        <f>SUMIFS(DATA!$I:$I,DATA!$C:$C,$B608,DATA!$J:$J,"&gt;="&amp;DATE($I$2,G$4,1),DATA!$J:$J,"&lt;="&amp;DATE($I$2,G$4,G$5))</f>
        <v/>
      </c>
      <c r="H608" s="321">
        <f>SUMIFS(DATA!$I:$I,DATA!$C:$C,$B608,DATA!$J:$J,"&gt;="&amp;DATE($I$2,H$4,1),DATA!$J:$J,"&lt;="&amp;DATE($I$2,H$4,H$5))</f>
        <v/>
      </c>
      <c r="I608" s="321">
        <f>SUMIFS(DATA!$I:$I,DATA!$C:$C,$B608,DATA!$J:$J,"&gt;="&amp;DATE($I$2,I$4,1),DATA!$J:$J,"&lt;="&amp;DATE($I$2,I$4,I$5))</f>
        <v/>
      </c>
      <c r="J608" s="321">
        <f>SUMIFS(DATA!$I:$I,DATA!$C:$C,$B608,DATA!$J:$J,"&gt;="&amp;DATE($I$2,J$4,1),DATA!$J:$J,"&lt;="&amp;DATE($I$2,J$4,J$5))</f>
        <v/>
      </c>
      <c r="K608" s="321">
        <f>SUMIFS(DATA!$I:$I,DATA!$C:$C,$B608,DATA!$J:$J,"&gt;="&amp;DATE($I$2,K$4,1),DATA!$J:$J,"&lt;="&amp;DATE($I$2,K$4,K$5))</f>
        <v/>
      </c>
      <c r="L608" s="321">
        <f>SUMIFS(DATA!$I:$I,DATA!$C:$C,$B608,DATA!$J:$J,"&gt;="&amp;DATE($I$2,L$4,1),DATA!$J:$J,"&lt;="&amp;DATE($I$2,L$4,L$5))</f>
        <v/>
      </c>
      <c r="M608" s="321">
        <f>SUMIFS(DATA!$I:$I,DATA!$C:$C,$B608,DATA!$J:$J,"&gt;="&amp;DATE($I$2,M$4,1),DATA!$J:$J,"&lt;="&amp;DATE($I$2,M$4,M$5))</f>
        <v/>
      </c>
      <c r="N608" s="321">
        <f>SUMIFS(DATA!$I:$I,DATA!$C:$C,$B608,DATA!$J:$J,"&gt;="&amp;DATE($I$2,N$4,1),DATA!$J:$J,"&lt;="&amp;DATE($I$2,N$4,N$5))</f>
        <v/>
      </c>
      <c r="O608" s="321">
        <f>SUMIFS(DATA!$I:$I,DATA!$C:$C,$B608,DATA!$J:$J,"&gt;="&amp;DATE($I$2,O$4,1),DATA!$J:$J,"&lt;="&amp;DATE($I$2,O$4,O$5))</f>
        <v/>
      </c>
      <c r="P608" s="322">
        <f>SUM(D608:O608)</f>
        <v/>
      </c>
      <c r="Q608" s="118" t="n"/>
    </row>
    <row r="609" hidden="1" outlineLevel="1" ht="15" customHeight="1">
      <c r="A609" s="266" t="n"/>
      <c r="B609" s="126" t="n"/>
      <c r="C609" s="119" t="inlineStr">
        <is>
          <t>Thực tế</t>
        </is>
      </c>
      <c r="D609" s="321">
        <f>SUMIFS(DATA!$M:$M,DATA!$C:$C,$B608,DATA!$N:$N,"&gt;="&amp;DATE($I$2,D$4,1),DATA!$N:$N,"&lt;="&amp;DATE($I$2,D$4,D$5))</f>
        <v/>
      </c>
      <c r="E609" s="321">
        <f>SUMIFS(DATA!$M:$M,DATA!$C:$C,$B608,DATA!$N:$N,"&gt;="&amp;DATE($I$2,E$4,1),DATA!$N:$N,"&lt;="&amp;DATE($I$2,E$4,E$5))</f>
        <v/>
      </c>
      <c r="F609" s="321">
        <f>SUMIFS(DATA!$M:$M,DATA!$C:$C,$B608,DATA!$N:$N,"&gt;="&amp;DATE($I$2,F$4,1),DATA!$N:$N,"&lt;="&amp;DATE($I$2,F$4,F$5))</f>
        <v/>
      </c>
      <c r="G609" s="321">
        <f>SUMIFS(DATA!$M:$M,DATA!$C:$C,$B608,DATA!$N:$N,"&gt;="&amp;DATE($I$2,G$4,1),DATA!$N:$N,"&lt;="&amp;DATE($I$2,G$4,G$5))</f>
        <v/>
      </c>
      <c r="H609" s="321">
        <f>SUMIFS(DATA!$M:$M,DATA!$C:$C,$B608,DATA!$N:$N,"&gt;="&amp;DATE($I$2,H$4,1),DATA!$N:$N,"&lt;="&amp;DATE($I$2,H$4,H$5))</f>
        <v/>
      </c>
      <c r="I609" s="321">
        <f>SUMIFS(DATA!$M:$M,DATA!$C:$C,$B608,DATA!$N:$N,"&gt;="&amp;DATE($I$2,I$4,1),DATA!$N:$N,"&lt;="&amp;DATE($I$2,I$4,I$5))</f>
        <v/>
      </c>
      <c r="J609" s="321">
        <f>SUMIFS(DATA!$M:$M,DATA!$C:$C,$B608,DATA!$N:$N,"&gt;="&amp;DATE($I$2,J$4,1),DATA!$N:$N,"&lt;="&amp;DATE($I$2,J$4,J$5))</f>
        <v/>
      </c>
      <c r="K609" s="321">
        <f>SUMIFS(DATA!$M:$M,DATA!$C:$C,$B608,DATA!$N:$N,"&gt;="&amp;DATE($I$2,K$4,1),DATA!$N:$N,"&lt;="&amp;DATE($I$2,K$4,K$5))</f>
        <v/>
      </c>
      <c r="L609" s="321">
        <f>SUMIFS(DATA!$M:$M,DATA!$C:$C,$B608,DATA!$N:$N,"&gt;="&amp;DATE($I$2,L$4,1),DATA!$N:$N,"&lt;="&amp;DATE($I$2,L$4,L$5))</f>
        <v/>
      </c>
      <c r="M609" s="321">
        <f>SUMIFS(DATA!$M:$M,DATA!$C:$C,$B608,DATA!$N:$N,"&gt;="&amp;DATE($I$2,M$4,1),DATA!$N:$N,"&lt;="&amp;DATE($I$2,M$4,M$5))</f>
        <v/>
      </c>
      <c r="N609" s="321">
        <f>SUMIFS(DATA!$M:$M,DATA!$C:$C,$B608,DATA!$N:$N,"&gt;="&amp;DATE($I$2,N$4,1),DATA!$N:$N,"&lt;="&amp;DATE($I$2,N$4,N$5))</f>
        <v/>
      </c>
      <c r="O609" s="321">
        <f>SUMIFS(DATA!$M:$M,DATA!$C:$C,$B608,DATA!$N:$N,"&gt;="&amp;DATE($I$2,O$4,1),DATA!$N:$N,"&lt;="&amp;DATE($I$2,O$4,O$5))</f>
        <v/>
      </c>
      <c r="P609" s="322">
        <f>SUM(D609:O609)</f>
        <v/>
      </c>
      <c r="Q609" s="118" t="n"/>
    </row>
    <row r="610" hidden="1" outlineLevel="1" ht="15" customHeight="1">
      <c r="A610" s="269" t="n">
        <v>303</v>
      </c>
      <c r="B610" s="125" t="n"/>
      <c r="C610" s="119" t="inlineStr">
        <is>
          <t>Kế hoạch</t>
        </is>
      </c>
      <c r="D610" s="321">
        <f>SUMIFS(DATA!$I:$I,DATA!$C:$C,$B610,DATA!$J:$J,"&gt;="&amp;DATE($I$2,D$4,1),DATA!$J:$J,"&lt;="&amp;DATE($I$2,D$4,D$5))</f>
        <v/>
      </c>
      <c r="E610" s="321">
        <f>SUMIFS(DATA!$I:$I,DATA!$C:$C,$B610,DATA!$J:$J,"&gt;="&amp;DATE($I$2,E$4,1),DATA!$J:$J,"&lt;="&amp;DATE($I$2,E$4,E$5))</f>
        <v/>
      </c>
      <c r="F610" s="321">
        <f>SUMIFS(DATA!$I:$I,DATA!$C:$C,$B610,DATA!$J:$J,"&gt;="&amp;DATE($I$2,F$4,1),DATA!$J:$J,"&lt;="&amp;DATE($I$2,F$4,F$5))</f>
        <v/>
      </c>
      <c r="G610" s="321">
        <f>SUMIFS(DATA!$I:$I,DATA!$C:$C,$B610,DATA!$J:$J,"&gt;="&amp;DATE($I$2,G$4,1),DATA!$J:$J,"&lt;="&amp;DATE($I$2,G$4,G$5))</f>
        <v/>
      </c>
      <c r="H610" s="321">
        <f>SUMIFS(DATA!$I:$I,DATA!$C:$C,$B610,DATA!$J:$J,"&gt;="&amp;DATE($I$2,H$4,1),DATA!$J:$J,"&lt;="&amp;DATE($I$2,H$4,H$5))</f>
        <v/>
      </c>
      <c r="I610" s="321">
        <f>SUMIFS(DATA!$I:$I,DATA!$C:$C,$B610,DATA!$J:$J,"&gt;="&amp;DATE($I$2,I$4,1),DATA!$J:$J,"&lt;="&amp;DATE($I$2,I$4,I$5))</f>
        <v/>
      </c>
      <c r="J610" s="321">
        <f>SUMIFS(DATA!$I:$I,DATA!$C:$C,$B610,DATA!$J:$J,"&gt;="&amp;DATE($I$2,J$4,1),DATA!$J:$J,"&lt;="&amp;DATE($I$2,J$4,J$5))</f>
        <v/>
      </c>
      <c r="K610" s="321">
        <f>SUMIFS(DATA!$I:$I,DATA!$C:$C,$B610,DATA!$J:$J,"&gt;="&amp;DATE($I$2,K$4,1),DATA!$J:$J,"&lt;="&amp;DATE($I$2,K$4,K$5))</f>
        <v/>
      </c>
      <c r="L610" s="321">
        <f>SUMIFS(DATA!$I:$I,DATA!$C:$C,$B610,DATA!$J:$J,"&gt;="&amp;DATE($I$2,L$4,1),DATA!$J:$J,"&lt;="&amp;DATE($I$2,L$4,L$5))</f>
        <v/>
      </c>
      <c r="M610" s="321">
        <f>SUMIFS(DATA!$I:$I,DATA!$C:$C,$B610,DATA!$J:$J,"&gt;="&amp;DATE($I$2,M$4,1),DATA!$J:$J,"&lt;="&amp;DATE($I$2,M$4,M$5))</f>
        <v/>
      </c>
      <c r="N610" s="321">
        <f>SUMIFS(DATA!$I:$I,DATA!$C:$C,$B610,DATA!$J:$J,"&gt;="&amp;DATE($I$2,N$4,1),DATA!$J:$J,"&lt;="&amp;DATE($I$2,N$4,N$5))</f>
        <v/>
      </c>
      <c r="O610" s="321">
        <f>SUMIFS(DATA!$I:$I,DATA!$C:$C,$B610,DATA!$J:$J,"&gt;="&amp;DATE($I$2,O$4,1),DATA!$J:$J,"&lt;="&amp;DATE($I$2,O$4,O$5))</f>
        <v/>
      </c>
      <c r="P610" s="322">
        <f>SUM(D610:O610)</f>
        <v/>
      </c>
      <c r="Q610" s="118" t="n"/>
    </row>
    <row r="611" hidden="1" outlineLevel="1" ht="15" customHeight="1">
      <c r="A611" s="266" t="n"/>
      <c r="B611" s="126" t="n"/>
      <c r="C611" s="119" t="inlineStr">
        <is>
          <t>Thực tế</t>
        </is>
      </c>
      <c r="D611" s="321">
        <f>SUMIFS(DATA!$M:$M,DATA!$C:$C,$B610,DATA!$N:$N,"&gt;="&amp;DATE($I$2,D$4,1),DATA!$N:$N,"&lt;="&amp;DATE($I$2,D$4,D$5))</f>
        <v/>
      </c>
      <c r="E611" s="321">
        <f>SUMIFS(DATA!$M:$M,DATA!$C:$C,$B610,DATA!$N:$N,"&gt;="&amp;DATE($I$2,E$4,1),DATA!$N:$N,"&lt;="&amp;DATE($I$2,E$4,E$5))</f>
        <v/>
      </c>
      <c r="F611" s="321">
        <f>SUMIFS(DATA!$M:$M,DATA!$C:$C,$B610,DATA!$N:$N,"&gt;="&amp;DATE($I$2,F$4,1),DATA!$N:$N,"&lt;="&amp;DATE($I$2,F$4,F$5))</f>
        <v/>
      </c>
      <c r="G611" s="321">
        <f>SUMIFS(DATA!$M:$M,DATA!$C:$C,$B610,DATA!$N:$N,"&gt;="&amp;DATE($I$2,G$4,1),DATA!$N:$N,"&lt;="&amp;DATE($I$2,G$4,G$5))</f>
        <v/>
      </c>
      <c r="H611" s="321">
        <f>SUMIFS(DATA!$M:$M,DATA!$C:$C,$B610,DATA!$N:$N,"&gt;="&amp;DATE($I$2,H$4,1),DATA!$N:$N,"&lt;="&amp;DATE($I$2,H$4,H$5))</f>
        <v/>
      </c>
      <c r="I611" s="321">
        <f>SUMIFS(DATA!$M:$M,DATA!$C:$C,$B610,DATA!$N:$N,"&gt;="&amp;DATE($I$2,I$4,1),DATA!$N:$N,"&lt;="&amp;DATE($I$2,I$4,I$5))</f>
        <v/>
      </c>
      <c r="J611" s="321">
        <f>SUMIFS(DATA!$M:$M,DATA!$C:$C,$B610,DATA!$N:$N,"&gt;="&amp;DATE($I$2,J$4,1),DATA!$N:$N,"&lt;="&amp;DATE($I$2,J$4,J$5))</f>
        <v/>
      </c>
      <c r="K611" s="321">
        <f>SUMIFS(DATA!$M:$M,DATA!$C:$C,$B610,DATA!$N:$N,"&gt;="&amp;DATE($I$2,K$4,1),DATA!$N:$N,"&lt;="&amp;DATE($I$2,K$4,K$5))</f>
        <v/>
      </c>
      <c r="L611" s="321">
        <f>SUMIFS(DATA!$M:$M,DATA!$C:$C,$B610,DATA!$N:$N,"&gt;="&amp;DATE($I$2,L$4,1),DATA!$N:$N,"&lt;="&amp;DATE($I$2,L$4,L$5))</f>
        <v/>
      </c>
      <c r="M611" s="321">
        <f>SUMIFS(DATA!$M:$M,DATA!$C:$C,$B610,DATA!$N:$N,"&gt;="&amp;DATE($I$2,M$4,1),DATA!$N:$N,"&lt;="&amp;DATE($I$2,M$4,M$5))</f>
        <v/>
      </c>
      <c r="N611" s="321">
        <f>SUMIFS(DATA!$M:$M,DATA!$C:$C,$B610,DATA!$N:$N,"&gt;="&amp;DATE($I$2,N$4,1),DATA!$N:$N,"&lt;="&amp;DATE($I$2,N$4,N$5))</f>
        <v/>
      </c>
      <c r="O611" s="321">
        <f>SUMIFS(DATA!$M:$M,DATA!$C:$C,$B610,DATA!$N:$N,"&gt;="&amp;DATE($I$2,O$4,1),DATA!$N:$N,"&lt;="&amp;DATE($I$2,O$4,O$5))</f>
        <v/>
      </c>
      <c r="P611" s="322">
        <f>SUM(D611:O611)</f>
        <v/>
      </c>
      <c r="Q611" s="118" t="n"/>
    </row>
    <row r="612" hidden="1" outlineLevel="1" ht="15" customHeight="1">
      <c r="A612" s="269" t="n">
        <v>304</v>
      </c>
      <c r="B612" s="125" t="n"/>
      <c r="C612" s="119" t="inlineStr">
        <is>
          <t>Kế hoạch</t>
        </is>
      </c>
      <c r="D612" s="321">
        <f>SUMIFS(DATA!$I:$I,DATA!$C:$C,$B612,DATA!$J:$J,"&gt;="&amp;DATE($I$2,D$4,1),DATA!$J:$J,"&lt;="&amp;DATE($I$2,D$4,D$5))</f>
        <v/>
      </c>
      <c r="E612" s="321">
        <f>SUMIFS(DATA!$I:$I,DATA!$C:$C,$B612,DATA!$J:$J,"&gt;="&amp;DATE($I$2,E$4,1),DATA!$J:$J,"&lt;="&amp;DATE($I$2,E$4,E$5))</f>
        <v/>
      </c>
      <c r="F612" s="321">
        <f>SUMIFS(DATA!$I:$I,DATA!$C:$C,$B612,DATA!$J:$J,"&gt;="&amp;DATE($I$2,F$4,1),DATA!$J:$J,"&lt;="&amp;DATE($I$2,F$4,F$5))</f>
        <v/>
      </c>
      <c r="G612" s="321">
        <f>SUMIFS(DATA!$I:$I,DATA!$C:$C,$B612,DATA!$J:$J,"&gt;="&amp;DATE($I$2,G$4,1),DATA!$J:$J,"&lt;="&amp;DATE($I$2,G$4,G$5))</f>
        <v/>
      </c>
      <c r="H612" s="321">
        <f>SUMIFS(DATA!$I:$I,DATA!$C:$C,$B612,DATA!$J:$J,"&gt;="&amp;DATE($I$2,H$4,1),DATA!$J:$J,"&lt;="&amp;DATE($I$2,H$4,H$5))</f>
        <v/>
      </c>
      <c r="I612" s="321">
        <f>SUMIFS(DATA!$I:$I,DATA!$C:$C,$B612,DATA!$J:$J,"&gt;="&amp;DATE($I$2,I$4,1),DATA!$J:$J,"&lt;="&amp;DATE($I$2,I$4,I$5))</f>
        <v/>
      </c>
      <c r="J612" s="321">
        <f>SUMIFS(DATA!$I:$I,DATA!$C:$C,$B612,DATA!$J:$J,"&gt;="&amp;DATE($I$2,J$4,1),DATA!$J:$J,"&lt;="&amp;DATE($I$2,J$4,J$5))</f>
        <v/>
      </c>
      <c r="K612" s="321">
        <f>SUMIFS(DATA!$I:$I,DATA!$C:$C,$B612,DATA!$J:$J,"&gt;="&amp;DATE($I$2,K$4,1),DATA!$J:$J,"&lt;="&amp;DATE($I$2,K$4,K$5))</f>
        <v/>
      </c>
      <c r="L612" s="321">
        <f>SUMIFS(DATA!$I:$I,DATA!$C:$C,$B612,DATA!$J:$J,"&gt;="&amp;DATE($I$2,L$4,1),DATA!$J:$J,"&lt;="&amp;DATE($I$2,L$4,L$5))</f>
        <v/>
      </c>
      <c r="M612" s="321">
        <f>SUMIFS(DATA!$I:$I,DATA!$C:$C,$B612,DATA!$J:$J,"&gt;="&amp;DATE($I$2,M$4,1),DATA!$J:$J,"&lt;="&amp;DATE($I$2,M$4,M$5))</f>
        <v/>
      </c>
      <c r="N612" s="321">
        <f>SUMIFS(DATA!$I:$I,DATA!$C:$C,$B612,DATA!$J:$J,"&gt;="&amp;DATE($I$2,N$4,1),DATA!$J:$J,"&lt;="&amp;DATE($I$2,N$4,N$5))</f>
        <v/>
      </c>
      <c r="O612" s="321">
        <f>SUMIFS(DATA!$I:$I,DATA!$C:$C,$B612,DATA!$J:$J,"&gt;="&amp;DATE($I$2,O$4,1),DATA!$J:$J,"&lt;="&amp;DATE($I$2,O$4,O$5))</f>
        <v/>
      </c>
      <c r="P612" s="322">
        <f>SUM(D612:O612)</f>
        <v/>
      </c>
      <c r="Q612" s="118" t="n"/>
    </row>
    <row r="613" hidden="1" outlineLevel="1" ht="15" customHeight="1">
      <c r="A613" s="266" t="n"/>
      <c r="B613" s="126" t="n"/>
      <c r="C613" s="119" t="inlineStr">
        <is>
          <t>Thực tế</t>
        </is>
      </c>
      <c r="D613" s="321">
        <f>SUMIFS(DATA!$M:$M,DATA!$C:$C,$B612,DATA!$N:$N,"&gt;="&amp;DATE($I$2,D$4,1),DATA!$N:$N,"&lt;="&amp;DATE($I$2,D$4,D$5))</f>
        <v/>
      </c>
      <c r="E613" s="321">
        <f>SUMIFS(DATA!$M:$M,DATA!$C:$C,$B612,DATA!$N:$N,"&gt;="&amp;DATE($I$2,E$4,1),DATA!$N:$N,"&lt;="&amp;DATE($I$2,E$4,E$5))</f>
        <v/>
      </c>
      <c r="F613" s="321">
        <f>SUMIFS(DATA!$M:$M,DATA!$C:$C,$B612,DATA!$N:$N,"&gt;="&amp;DATE($I$2,F$4,1),DATA!$N:$N,"&lt;="&amp;DATE($I$2,F$4,F$5))</f>
        <v/>
      </c>
      <c r="G613" s="321">
        <f>SUMIFS(DATA!$M:$M,DATA!$C:$C,$B612,DATA!$N:$N,"&gt;="&amp;DATE($I$2,G$4,1),DATA!$N:$N,"&lt;="&amp;DATE($I$2,G$4,G$5))</f>
        <v/>
      </c>
      <c r="H613" s="321">
        <f>SUMIFS(DATA!$M:$M,DATA!$C:$C,$B612,DATA!$N:$N,"&gt;="&amp;DATE($I$2,H$4,1),DATA!$N:$N,"&lt;="&amp;DATE($I$2,H$4,H$5))</f>
        <v/>
      </c>
      <c r="I613" s="321">
        <f>SUMIFS(DATA!$M:$M,DATA!$C:$C,$B612,DATA!$N:$N,"&gt;="&amp;DATE($I$2,I$4,1),DATA!$N:$N,"&lt;="&amp;DATE($I$2,I$4,I$5))</f>
        <v/>
      </c>
      <c r="J613" s="321">
        <f>SUMIFS(DATA!$M:$M,DATA!$C:$C,$B612,DATA!$N:$N,"&gt;="&amp;DATE($I$2,J$4,1),DATA!$N:$N,"&lt;="&amp;DATE($I$2,J$4,J$5))</f>
        <v/>
      </c>
      <c r="K613" s="321">
        <f>SUMIFS(DATA!$M:$M,DATA!$C:$C,$B612,DATA!$N:$N,"&gt;="&amp;DATE($I$2,K$4,1),DATA!$N:$N,"&lt;="&amp;DATE($I$2,K$4,K$5))</f>
        <v/>
      </c>
      <c r="L613" s="321">
        <f>SUMIFS(DATA!$M:$M,DATA!$C:$C,$B612,DATA!$N:$N,"&gt;="&amp;DATE($I$2,L$4,1),DATA!$N:$N,"&lt;="&amp;DATE($I$2,L$4,L$5))</f>
        <v/>
      </c>
      <c r="M613" s="321">
        <f>SUMIFS(DATA!$M:$M,DATA!$C:$C,$B612,DATA!$N:$N,"&gt;="&amp;DATE($I$2,M$4,1),DATA!$N:$N,"&lt;="&amp;DATE($I$2,M$4,M$5))</f>
        <v/>
      </c>
      <c r="N613" s="321">
        <f>SUMIFS(DATA!$M:$M,DATA!$C:$C,$B612,DATA!$N:$N,"&gt;="&amp;DATE($I$2,N$4,1),DATA!$N:$N,"&lt;="&amp;DATE($I$2,N$4,N$5))</f>
        <v/>
      </c>
      <c r="O613" s="321">
        <f>SUMIFS(DATA!$M:$M,DATA!$C:$C,$B612,DATA!$N:$N,"&gt;="&amp;DATE($I$2,O$4,1),DATA!$N:$N,"&lt;="&amp;DATE($I$2,O$4,O$5))</f>
        <v/>
      </c>
      <c r="P613" s="322">
        <f>SUM(D613:O613)</f>
        <v/>
      </c>
      <c r="Q613" s="118" t="n"/>
    </row>
    <row r="614" hidden="1" outlineLevel="1" ht="15" customHeight="1">
      <c r="A614" s="269" t="n">
        <v>305</v>
      </c>
      <c r="B614" s="125" t="n"/>
      <c r="C614" s="119" t="inlineStr">
        <is>
          <t>Kế hoạch</t>
        </is>
      </c>
      <c r="D614" s="321">
        <f>SUMIFS(DATA!$I:$I,DATA!$C:$C,$B614,DATA!$J:$J,"&gt;="&amp;DATE($I$2,D$4,1),DATA!$J:$J,"&lt;="&amp;DATE($I$2,D$4,D$5))</f>
        <v/>
      </c>
      <c r="E614" s="321">
        <f>SUMIFS(DATA!$I:$I,DATA!$C:$C,$B614,DATA!$J:$J,"&gt;="&amp;DATE($I$2,E$4,1),DATA!$J:$J,"&lt;="&amp;DATE($I$2,E$4,E$5))</f>
        <v/>
      </c>
      <c r="F614" s="321">
        <f>SUMIFS(DATA!$I:$I,DATA!$C:$C,$B614,DATA!$J:$J,"&gt;="&amp;DATE($I$2,F$4,1),DATA!$J:$J,"&lt;="&amp;DATE($I$2,F$4,F$5))</f>
        <v/>
      </c>
      <c r="G614" s="321">
        <f>SUMIFS(DATA!$I:$I,DATA!$C:$C,$B614,DATA!$J:$J,"&gt;="&amp;DATE($I$2,G$4,1),DATA!$J:$J,"&lt;="&amp;DATE($I$2,G$4,G$5))</f>
        <v/>
      </c>
      <c r="H614" s="321">
        <f>SUMIFS(DATA!$I:$I,DATA!$C:$C,$B614,DATA!$J:$J,"&gt;="&amp;DATE($I$2,H$4,1),DATA!$J:$J,"&lt;="&amp;DATE($I$2,H$4,H$5))</f>
        <v/>
      </c>
      <c r="I614" s="321">
        <f>SUMIFS(DATA!$I:$I,DATA!$C:$C,$B614,DATA!$J:$J,"&gt;="&amp;DATE($I$2,I$4,1),DATA!$J:$J,"&lt;="&amp;DATE($I$2,I$4,I$5))</f>
        <v/>
      </c>
      <c r="J614" s="321">
        <f>SUMIFS(DATA!$I:$I,DATA!$C:$C,$B614,DATA!$J:$J,"&gt;="&amp;DATE($I$2,J$4,1),DATA!$J:$J,"&lt;="&amp;DATE($I$2,J$4,J$5))</f>
        <v/>
      </c>
      <c r="K614" s="321">
        <f>SUMIFS(DATA!$I:$I,DATA!$C:$C,$B614,DATA!$J:$J,"&gt;="&amp;DATE($I$2,K$4,1),DATA!$J:$J,"&lt;="&amp;DATE($I$2,K$4,K$5))</f>
        <v/>
      </c>
      <c r="L614" s="321">
        <f>SUMIFS(DATA!$I:$I,DATA!$C:$C,$B614,DATA!$J:$J,"&gt;="&amp;DATE($I$2,L$4,1),DATA!$J:$J,"&lt;="&amp;DATE($I$2,L$4,L$5))</f>
        <v/>
      </c>
      <c r="M614" s="321">
        <f>SUMIFS(DATA!$I:$I,DATA!$C:$C,$B614,DATA!$J:$J,"&gt;="&amp;DATE($I$2,M$4,1),DATA!$J:$J,"&lt;="&amp;DATE($I$2,M$4,M$5))</f>
        <v/>
      </c>
      <c r="N614" s="321">
        <f>SUMIFS(DATA!$I:$I,DATA!$C:$C,$B614,DATA!$J:$J,"&gt;="&amp;DATE($I$2,N$4,1),DATA!$J:$J,"&lt;="&amp;DATE($I$2,N$4,N$5))</f>
        <v/>
      </c>
      <c r="O614" s="321">
        <f>SUMIFS(DATA!$I:$I,DATA!$C:$C,$B614,DATA!$J:$J,"&gt;="&amp;DATE($I$2,O$4,1),DATA!$J:$J,"&lt;="&amp;DATE($I$2,O$4,O$5))</f>
        <v/>
      </c>
      <c r="P614" s="322">
        <f>SUM(D614:O614)</f>
        <v/>
      </c>
      <c r="Q614" s="118" t="n"/>
    </row>
    <row r="615" hidden="1" outlineLevel="1" ht="15" customHeight="1">
      <c r="A615" s="266" t="n"/>
      <c r="B615" s="126" t="n"/>
      <c r="C615" s="119" t="inlineStr">
        <is>
          <t>Thực tế</t>
        </is>
      </c>
      <c r="D615" s="321">
        <f>SUMIFS(DATA!$M:$M,DATA!$C:$C,$B614,DATA!$N:$N,"&gt;="&amp;DATE($I$2,D$4,1),DATA!$N:$N,"&lt;="&amp;DATE($I$2,D$4,D$5))</f>
        <v/>
      </c>
      <c r="E615" s="321">
        <f>SUMIFS(DATA!$M:$M,DATA!$C:$C,$B614,DATA!$N:$N,"&gt;="&amp;DATE($I$2,E$4,1),DATA!$N:$N,"&lt;="&amp;DATE($I$2,E$4,E$5))</f>
        <v/>
      </c>
      <c r="F615" s="321">
        <f>SUMIFS(DATA!$M:$M,DATA!$C:$C,$B614,DATA!$N:$N,"&gt;="&amp;DATE($I$2,F$4,1),DATA!$N:$N,"&lt;="&amp;DATE($I$2,F$4,F$5))</f>
        <v/>
      </c>
      <c r="G615" s="321">
        <f>SUMIFS(DATA!$M:$M,DATA!$C:$C,$B614,DATA!$N:$N,"&gt;="&amp;DATE($I$2,G$4,1),DATA!$N:$N,"&lt;="&amp;DATE($I$2,G$4,G$5))</f>
        <v/>
      </c>
      <c r="H615" s="321">
        <f>SUMIFS(DATA!$M:$M,DATA!$C:$C,$B614,DATA!$N:$N,"&gt;="&amp;DATE($I$2,H$4,1),DATA!$N:$N,"&lt;="&amp;DATE($I$2,H$4,H$5))</f>
        <v/>
      </c>
      <c r="I615" s="321">
        <f>SUMIFS(DATA!$M:$M,DATA!$C:$C,$B614,DATA!$N:$N,"&gt;="&amp;DATE($I$2,I$4,1),DATA!$N:$N,"&lt;="&amp;DATE($I$2,I$4,I$5))</f>
        <v/>
      </c>
      <c r="J615" s="321">
        <f>SUMIFS(DATA!$M:$M,DATA!$C:$C,$B614,DATA!$N:$N,"&gt;="&amp;DATE($I$2,J$4,1),DATA!$N:$N,"&lt;="&amp;DATE($I$2,J$4,J$5))</f>
        <v/>
      </c>
      <c r="K615" s="321">
        <f>SUMIFS(DATA!$M:$M,DATA!$C:$C,$B614,DATA!$N:$N,"&gt;="&amp;DATE($I$2,K$4,1),DATA!$N:$N,"&lt;="&amp;DATE($I$2,K$4,K$5))</f>
        <v/>
      </c>
      <c r="L615" s="321">
        <f>SUMIFS(DATA!$M:$M,DATA!$C:$C,$B614,DATA!$N:$N,"&gt;="&amp;DATE($I$2,L$4,1),DATA!$N:$N,"&lt;="&amp;DATE($I$2,L$4,L$5))</f>
        <v/>
      </c>
      <c r="M615" s="321">
        <f>SUMIFS(DATA!$M:$M,DATA!$C:$C,$B614,DATA!$N:$N,"&gt;="&amp;DATE($I$2,M$4,1),DATA!$N:$N,"&lt;="&amp;DATE($I$2,M$4,M$5))</f>
        <v/>
      </c>
      <c r="N615" s="321">
        <f>SUMIFS(DATA!$M:$M,DATA!$C:$C,$B614,DATA!$N:$N,"&gt;="&amp;DATE($I$2,N$4,1),DATA!$N:$N,"&lt;="&amp;DATE($I$2,N$4,N$5))</f>
        <v/>
      </c>
      <c r="O615" s="321">
        <f>SUMIFS(DATA!$M:$M,DATA!$C:$C,$B614,DATA!$N:$N,"&gt;="&amp;DATE($I$2,O$4,1),DATA!$N:$N,"&lt;="&amp;DATE($I$2,O$4,O$5))</f>
        <v/>
      </c>
      <c r="P615" s="322">
        <f>SUM(D615:O615)</f>
        <v/>
      </c>
      <c r="Q615" s="118" t="n"/>
    </row>
    <row r="616" hidden="1" outlineLevel="1" ht="15" customHeight="1">
      <c r="A616" s="269" t="n">
        <v>306</v>
      </c>
      <c r="B616" s="125" t="n"/>
      <c r="C616" s="119" t="inlineStr">
        <is>
          <t>Kế hoạch</t>
        </is>
      </c>
      <c r="D616" s="321">
        <f>SUMIFS(DATA!$I:$I,DATA!$C:$C,$B616,DATA!$J:$J,"&gt;="&amp;DATE($I$2,D$4,1),DATA!$J:$J,"&lt;="&amp;DATE($I$2,D$4,D$5))</f>
        <v/>
      </c>
      <c r="E616" s="321">
        <f>SUMIFS(DATA!$I:$I,DATA!$C:$C,$B616,DATA!$J:$J,"&gt;="&amp;DATE($I$2,E$4,1),DATA!$J:$J,"&lt;="&amp;DATE($I$2,E$4,E$5))</f>
        <v/>
      </c>
      <c r="F616" s="321">
        <f>SUMIFS(DATA!$I:$I,DATA!$C:$C,$B616,DATA!$J:$J,"&gt;="&amp;DATE($I$2,F$4,1),DATA!$J:$J,"&lt;="&amp;DATE($I$2,F$4,F$5))</f>
        <v/>
      </c>
      <c r="G616" s="321">
        <f>SUMIFS(DATA!$I:$I,DATA!$C:$C,$B616,DATA!$J:$J,"&gt;="&amp;DATE($I$2,G$4,1),DATA!$J:$J,"&lt;="&amp;DATE($I$2,G$4,G$5))</f>
        <v/>
      </c>
      <c r="H616" s="321">
        <f>SUMIFS(DATA!$I:$I,DATA!$C:$C,$B616,DATA!$J:$J,"&gt;="&amp;DATE($I$2,H$4,1),DATA!$J:$J,"&lt;="&amp;DATE($I$2,H$4,H$5))</f>
        <v/>
      </c>
      <c r="I616" s="321">
        <f>SUMIFS(DATA!$I:$I,DATA!$C:$C,$B616,DATA!$J:$J,"&gt;="&amp;DATE($I$2,I$4,1),DATA!$J:$J,"&lt;="&amp;DATE($I$2,I$4,I$5))</f>
        <v/>
      </c>
      <c r="J616" s="321">
        <f>SUMIFS(DATA!$I:$I,DATA!$C:$C,$B616,DATA!$J:$J,"&gt;="&amp;DATE($I$2,J$4,1),DATA!$J:$J,"&lt;="&amp;DATE($I$2,J$4,J$5))</f>
        <v/>
      </c>
      <c r="K616" s="321">
        <f>SUMIFS(DATA!$I:$I,DATA!$C:$C,$B616,DATA!$J:$J,"&gt;="&amp;DATE($I$2,K$4,1),DATA!$J:$J,"&lt;="&amp;DATE($I$2,K$4,K$5))</f>
        <v/>
      </c>
      <c r="L616" s="321">
        <f>SUMIFS(DATA!$I:$I,DATA!$C:$C,$B616,DATA!$J:$J,"&gt;="&amp;DATE($I$2,L$4,1),DATA!$J:$J,"&lt;="&amp;DATE($I$2,L$4,L$5))</f>
        <v/>
      </c>
      <c r="M616" s="321">
        <f>SUMIFS(DATA!$I:$I,DATA!$C:$C,$B616,DATA!$J:$J,"&gt;="&amp;DATE($I$2,M$4,1),DATA!$J:$J,"&lt;="&amp;DATE($I$2,M$4,M$5))</f>
        <v/>
      </c>
      <c r="N616" s="321">
        <f>SUMIFS(DATA!$I:$I,DATA!$C:$C,$B616,DATA!$J:$J,"&gt;="&amp;DATE($I$2,N$4,1),DATA!$J:$J,"&lt;="&amp;DATE($I$2,N$4,N$5))</f>
        <v/>
      </c>
      <c r="O616" s="321">
        <f>SUMIFS(DATA!$I:$I,DATA!$C:$C,$B616,DATA!$J:$J,"&gt;="&amp;DATE($I$2,O$4,1),DATA!$J:$J,"&lt;="&amp;DATE($I$2,O$4,O$5))</f>
        <v/>
      </c>
      <c r="P616" s="322">
        <f>SUM(D616:O616)</f>
        <v/>
      </c>
      <c r="Q616" s="118" t="n"/>
    </row>
    <row r="617" hidden="1" outlineLevel="1" ht="15" customHeight="1">
      <c r="A617" s="266" t="n"/>
      <c r="B617" s="126" t="n"/>
      <c r="C617" s="119" t="inlineStr">
        <is>
          <t>Thực tế</t>
        </is>
      </c>
      <c r="D617" s="321">
        <f>SUMIFS(DATA!$M:$M,DATA!$C:$C,$B616,DATA!$N:$N,"&gt;="&amp;DATE($I$2,D$4,1),DATA!$N:$N,"&lt;="&amp;DATE($I$2,D$4,D$5))</f>
        <v/>
      </c>
      <c r="E617" s="321">
        <f>SUMIFS(DATA!$M:$M,DATA!$C:$C,$B616,DATA!$N:$N,"&gt;="&amp;DATE($I$2,E$4,1),DATA!$N:$N,"&lt;="&amp;DATE($I$2,E$4,E$5))</f>
        <v/>
      </c>
      <c r="F617" s="321">
        <f>SUMIFS(DATA!$M:$M,DATA!$C:$C,$B616,DATA!$N:$N,"&gt;="&amp;DATE($I$2,F$4,1),DATA!$N:$N,"&lt;="&amp;DATE($I$2,F$4,F$5))</f>
        <v/>
      </c>
      <c r="G617" s="321">
        <f>SUMIFS(DATA!$M:$M,DATA!$C:$C,$B616,DATA!$N:$N,"&gt;="&amp;DATE($I$2,G$4,1),DATA!$N:$N,"&lt;="&amp;DATE($I$2,G$4,G$5))</f>
        <v/>
      </c>
      <c r="H617" s="321">
        <f>SUMIFS(DATA!$M:$M,DATA!$C:$C,$B616,DATA!$N:$N,"&gt;="&amp;DATE($I$2,H$4,1),DATA!$N:$N,"&lt;="&amp;DATE($I$2,H$4,H$5))</f>
        <v/>
      </c>
      <c r="I617" s="321">
        <f>SUMIFS(DATA!$M:$M,DATA!$C:$C,$B616,DATA!$N:$N,"&gt;="&amp;DATE($I$2,I$4,1),DATA!$N:$N,"&lt;="&amp;DATE($I$2,I$4,I$5))</f>
        <v/>
      </c>
      <c r="J617" s="321">
        <f>SUMIFS(DATA!$M:$M,DATA!$C:$C,$B616,DATA!$N:$N,"&gt;="&amp;DATE($I$2,J$4,1),DATA!$N:$N,"&lt;="&amp;DATE($I$2,J$4,J$5))</f>
        <v/>
      </c>
      <c r="K617" s="321">
        <f>SUMIFS(DATA!$M:$M,DATA!$C:$C,$B616,DATA!$N:$N,"&gt;="&amp;DATE($I$2,K$4,1),DATA!$N:$N,"&lt;="&amp;DATE($I$2,K$4,K$5))</f>
        <v/>
      </c>
      <c r="L617" s="321">
        <f>SUMIFS(DATA!$M:$M,DATA!$C:$C,$B616,DATA!$N:$N,"&gt;="&amp;DATE($I$2,L$4,1),DATA!$N:$N,"&lt;="&amp;DATE($I$2,L$4,L$5))</f>
        <v/>
      </c>
      <c r="M617" s="321">
        <f>SUMIFS(DATA!$M:$M,DATA!$C:$C,$B616,DATA!$N:$N,"&gt;="&amp;DATE($I$2,M$4,1),DATA!$N:$N,"&lt;="&amp;DATE($I$2,M$4,M$5))</f>
        <v/>
      </c>
      <c r="N617" s="321">
        <f>SUMIFS(DATA!$M:$M,DATA!$C:$C,$B616,DATA!$N:$N,"&gt;="&amp;DATE($I$2,N$4,1),DATA!$N:$N,"&lt;="&amp;DATE($I$2,N$4,N$5))</f>
        <v/>
      </c>
      <c r="O617" s="321">
        <f>SUMIFS(DATA!$M:$M,DATA!$C:$C,$B616,DATA!$N:$N,"&gt;="&amp;DATE($I$2,O$4,1),DATA!$N:$N,"&lt;="&amp;DATE($I$2,O$4,O$5))</f>
        <v/>
      </c>
      <c r="P617" s="322">
        <f>SUM(D617:O617)</f>
        <v/>
      </c>
      <c r="Q617" s="118" t="n"/>
    </row>
    <row r="618" hidden="1" outlineLevel="1" ht="15" customHeight="1">
      <c r="A618" s="269" t="n">
        <v>307</v>
      </c>
      <c r="B618" s="125" t="n"/>
      <c r="C618" s="119" t="inlineStr">
        <is>
          <t>Kế hoạch</t>
        </is>
      </c>
      <c r="D618" s="321">
        <f>SUMIFS(DATA!$I:$I,DATA!$C:$C,$B618,DATA!$J:$J,"&gt;="&amp;DATE($I$2,D$4,1),DATA!$J:$J,"&lt;="&amp;DATE($I$2,D$4,D$5))</f>
        <v/>
      </c>
      <c r="E618" s="321">
        <f>SUMIFS(DATA!$I:$I,DATA!$C:$C,$B618,DATA!$J:$J,"&gt;="&amp;DATE($I$2,E$4,1),DATA!$J:$J,"&lt;="&amp;DATE($I$2,E$4,E$5))</f>
        <v/>
      </c>
      <c r="F618" s="321">
        <f>SUMIFS(DATA!$I:$I,DATA!$C:$C,$B618,DATA!$J:$J,"&gt;="&amp;DATE($I$2,F$4,1),DATA!$J:$J,"&lt;="&amp;DATE($I$2,F$4,F$5))</f>
        <v/>
      </c>
      <c r="G618" s="321">
        <f>SUMIFS(DATA!$I:$I,DATA!$C:$C,$B618,DATA!$J:$J,"&gt;="&amp;DATE($I$2,G$4,1),DATA!$J:$J,"&lt;="&amp;DATE($I$2,G$4,G$5))</f>
        <v/>
      </c>
      <c r="H618" s="321">
        <f>SUMIFS(DATA!$I:$I,DATA!$C:$C,$B618,DATA!$J:$J,"&gt;="&amp;DATE($I$2,H$4,1),DATA!$J:$J,"&lt;="&amp;DATE($I$2,H$4,H$5))</f>
        <v/>
      </c>
      <c r="I618" s="321">
        <f>SUMIFS(DATA!$I:$I,DATA!$C:$C,$B618,DATA!$J:$J,"&gt;="&amp;DATE($I$2,I$4,1),DATA!$J:$J,"&lt;="&amp;DATE($I$2,I$4,I$5))</f>
        <v/>
      </c>
      <c r="J618" s="321">
        <f>SUMIFS(DATA!$I:$I,DATA!$C:$C,$B618,DATA!$J:$J,"&gt;="&amp;DATE($I$2,J$4,1),DATA!$J:$J,"&lt;="&amp;DATE($I$2,J$4,J$5))</f>
        <v/>
      </c>
      <c r="K618" s="321">
        <f>SUMIFS(DATA!$I:$I,DATA!$C:$C,$B618,DATA!$J:$J,"&gt;="&amp;DATE($I$2,K$4,1),DATA!$J:$J,"&lt;="&amp;DATE($I$2,K$4,K$5))</f>
        <v/>
      </c>
      <c r="L618" s="321">
        <f>SUMIFS(DATA!$I:$I,DATA!$C:$C,$B618,DATA!$J:$J,"&gt;="&amp;DATE($I$2,L$4,1),DATA!$J:$J,"&lt;="&amp;DATE($I$2,L$4,L$5))</f>
        <v/>
      </c>
      <c r="M618" s="321">
        <f>SUMIFS(DATA!$I:$I,DATA!$C:$C,$B618,DATA!$J:$J,"&gt;="&amp;DATE($I$2,M$4,1),DATA!$J:$J,"&lt;="&amp;DATE($I$2,M$4,M$5))</f>
        <v/>
      </c>
      <c r="N618" s="321">
        <f>SUMIFS(DATA!$I:$I,DATA!$C:$C,$B618,DATA!$J:$J,"&gt;="&amp;DATE($I$2,N$4,1),DATA!$J:$J,"&lt;="&amp;DATE($I$2,N$4,N$5))</f>
        <v/>
      </c>
      <c r="O618" s="321">
        <f>SUMIFS(DATA!$I:$I,DATA!$C:$C,$B618,DATA!$J:$J,"&gt;="&amp;DATE($I$2,O$4,1),DATA!$J:$J,"&lt;="&amp;DATE($I$2,O$4,O$5))</f>
        <v/>
      </c>
      <c r="P618" s="322">
        <f>SUM(D618:O618)</f>
        <v/>
      </c>
      <c r="Q618" s="118" t="n"/>
    </row>
    <row r="619" hidden="1" outlineLevel="1" ht="15" customHeight="1">
      <c r="A619" s="266" t="n"/>
      <c r="B619" s="126" t="n"/>
      <c r="C619" s="119" t="inlineStr">
        <is>
          <t>Thực tế</t>
        </is>
      </c>
      <c r="D619" s="321">
        <f>SUMIFS(DATA!$M:$M,DATA!$C:$C,$B618,DATA!$N:$N,"&gt;="&amp;DATE($I$2,D$4,1),DATA!$N:$N,"&lt;="&amp;DATE($I$2,D$4,D$5))</f>
        <v/>
      </c>
      <c r="E619" s="321">
        <f>SUMIFS(DATA!$M:$M,DATA!$C:$C,$B618,DATA!$N:$N,"&gt;="&amp;DATE($I$2,E$4,1),DATA!$N:$N,"&lt;="&amp;DATE($I$2,E$4,E$5))</f>
        <v/>
      </c>
      <c r="F619" s="321">
        <f>SUMIFS(DATA!$M:$M,DATA!$C:$C,$B618,DATA!$N:$N,"&gt;="&amp;DATE($I$2,F$4,1),DATA!$N:$N,"&lt;="&amp;DATE($I$2,F$4,F$5))</f>
        <v/>
      </c>
      <c r="G619" s="321">
        <f>SUMIFS(DATA!$M:$M,DATA!$C:$C,$B618,DATA!$N:$N,"&gt;="&amp;DATE($I$2,G$4,1),DATA!$N:$N,"&lt;="&amp;DATE($I$2,G$4,G$5))</f>
        <v/>
      </c>
      <c r="H619" s="321">
        <f>SUMIFS(DATA!$M:$M,DATA!$C:$C,$B618,DATA!$N:$N,"&gt;="&amp;DATE($I$2,H$4,1),DATA!$N:$N,"&lt;="&amp;DATE($I$2,H$4,H$5))</f>
        <v/>
      </c>
      <c r="I619" s="321">
        <f>SUMIFS(DATA!$M:$M,DATA!$C:$C,$B618,DATA!$N:$N,"&gt;="&amp;DATE($I$2,I$4,1),DATA!$N:$N,"&lt;="&amp;DATE($I$2,I$4,I$5))</f>
        <v/>
      </c>
      <c r="J619" s="321">
        <f>SUMIFS(DATA!$M:$M,DATA!$C:$C,$B618,DATA!$N:$N,"&gt;="&amp;DATE($I$2,J$4,1),DATA!$N:$N,"&lt;="&amp;DATE($I$2,J$4,J$5))</f>
        <v/>
      </c>
      <c r="K619" s="321">
        <f>SUMIFS(DATA!$M:$M,DATA!$C:$C,$B618,DATA!$N:$N,"&gt;="&amp;DATE($I$2,K$4,1),DATA!$N:$N,"&lt;="&amp;DATE($I$2,K$4,K$5))</f>
        <v/>
      </c>
      <c r="L619" s="321">
        <f>SUMIFS(DATA!$M:$M,DATA!$C:$C,$B618,DATA!$N:$N,"&gt;="&amp;DATE($I$2,L$4,1),DATA!$N:$N,"&lt;="&amp;DATE($I$2,L$4,L$5))</f>
        <v/>
      </c>
      <c r="M619" s="321">
        <f>SUMIFS(DATA!$M:$M,DATA!$C:$C,$B618,DATA!$N:$N,"&gt;="&amp;DATE($I$2,M$4,1),DATA!$N:$N,"&lt;="&amp;DATE($I$2,M$4,M$5))</f>
        <v/>
      </c>
      <c r="N619" s="321">
        <f>SUMIFS(DATA!$M:$M,DATA!$C:$C,$B618,DATA!$N:$N,"&gt;="&amp;DATE($I$2,N$4,1),DATA!$N:$N,"&lt;="&amp;DATE($I$2,N$4,N$5))</f>
        <v/>
      </c>
      <c r="O619" s="321">
        <f>SUMIFS(DATA!$M:$M,DATA!$C:$C,$B618,DATA!$N:$N,"&gt;="&amp;DATE($I$2,O$4,1),DATA!$N:$N,"&lt;="&amp;DATE($I$2,O$4,O$5))</f>
        <v/>
      </c>
      <c r="P619" s="322">
        <f>SUM(D619:O619)</f>
        <v/>
      </c>
      <c r="Q619" s="118" t="n"/>
    </row>
    <row r="620" hidden="1" outlineLevel="1" ht="15" customHeight="1">
      <c r="A620" s="269" t="n">
        <v>308</v>
      </c>
      <c r="B620" s="125" t="n"/>
      <c r="C620" s="119" t="inlineStr">
        <is>
          <t>Kế hoạch</t>
        </is>
      </c>
      <c r="D620" s="321">
        <f>SUMIFS(DATA!$I:$I,DATA!$C:$C,$B620,DATA!$J:$J,"&gt;="&amp;DATE($I$2,D$4,1),DATA!$J:$J,"&lt;="&amp;DATE($I$2,D$4,D$5))</f>
        <v/>
      </c>
      <c r="E620" s="321">
        <f>SUMIFS(DATA!$I:$I,DATA!$C:$C,$B620,DATA!$J:$J,"&gt;="&amp;DATE($I$2,E$4,1),DATA!$J:$J,"&lt;="&amp;DATE($I$2,E$4,E$5))</f>
        <v/>
      </c>
      <c r="F620" s="321">
        <f>SUMIFS(DATA!$I:$I,DATA!$C:$C,$B620,DATA!$J:$J,"&gt;="&amp;DATE($I$2,F$4,1),DATA!$J:$J,"&lt;="&amp;DATE($I$2,F$4,F$5))</f>
        <v/>
      </c>
      <c r="G620" s="321">
        <f>SUMIFS(DATA!$I:$I,DATA!$C:$C,$B620,DATA!$J:$J,"&gt;="&amp;DATE($I$2,G$4,1),DATA!$J:$J,"&lt;="&amp;DATE($I$2,G$4,G$5))</f>
        <v/>
      </c>
      <c r="H620" s="321">
        <f>SUMIFS(DATA!$I:$I,DATA!$C:$C,$B620,DATA!$J:$J,"&gt;="&amp;DATE($I$2,H$4,1),DATA!$J:$J,"&lt;="&amp;DATE($I$2,H$4,H$5))</f>
        <v/>
      </c>
      <c r="I620" s="321">
        <f>SUMIFS(DATA!$I:$I,DATA!$C:$C,$B620,DATA!$J:$J,"&gt;="&amp;DATE($I$2,I$4,1),DATA!$J:$J,"&lt;="&amp;DATE($I$2,I$4,I$5))</f>
        <v/>
      </c>
      <c r="J620" s="321">
        <f>SUMIFS(DATA!$I:$I,DATA!$C:$C,$B620,DATA!$J:$J,"&gt;="&amp;DATE($I$2,J$4,1),DATA!$J:$J,"&lt;="&amp;DATE($I$2,J$4,J$5))</f>
        <v/>
      </c>
      <c r="K620" s="321">
        <f>SUMIFS(DATA!$I:$I,DATA!$C:$C,$B620,DATA!$J:$J,"&gt;="&amp;DATE($I$2,K$4,1),DATA!$J:$J,"&lt;="&amp;DATE($I$2,K$4,K$5))</f>
        <v/>
      </c>
      <c r="L620" s="321">
        <f>SUMIFS(DATA!$I:$I,DATA!$C:$C,$B620,DATA!$J:$J,"&gt;="&amp;DATE($I$2,L$4,1),DATA!$J:$J,"&lt;="&amp;DATE($I$2,L$4,L$5))</f>
        <v/>
      </c>
      <c r="M620" s="321">
        <f>SUMIFS(DATA!$I:$I,DATA!$C:$C,$B620,DATA!$J:$J,"&gt;="&amp;DATE($I$2,M$4,1),DATA!$J:$J,"&lt;="&amp;DATE($I$2,M$4,M$5))</f>
        <v/>
      </c>
      <c r="N620" s="321">
        <f>SUMIFS(DATA!$I:$I,DATA!$C:$C,$B620,DATA!$J:$J,"&gt;="&amp;DATE($I$2,N$4,1),DATA!$J:$J,"&lt;="&amp;DATE($I$2,N$4,N$5))</f>
        <v/>
      </c>
      <c r="O620" s="321">
        <f>SUMIFS(DATA!$I:$I,DATA!$C:$C,$B620,DATA!$J:$J,"&gt;="&amp;DATE($I$2,O$4,1),DATA!$J:$J,"&lt;="&amp;DATE($I$2,O$4,O$5))</f>
        <v/>
      </c>
      <c r="P620" s="322">
        <f>SUM(D620:O620)</f>
        <v/>
      </c>
      <c r="Q620" s="118" t="n"/>
    </row>
    <row r="621" hidden="1" outlineLevel="1" ht="15" customHeight="1">
      <c r="A621" s="266" t="n"/>
      <c r="B621" s="126" t="n"/>
      <c r="C621" s="119" t="inlineStr">
        <is>
          <t>Thực tế</t>
        </is>
      </c>
      <c r="D621" s="321">
        <f>SUMIFS(DATA!$M:$M,DATA!$C:$C,$B620,DATA!$N:$N,"&gt;="&amp;DATE($I$2,D$4,1),DATA!$N:$N,"&lt;="&amp;DATE($I$2,D$4,D$5))</f>
        <v/>
      </c>
      <c r="E621" s="321">
        <f>SUMIFS(DATA!$M:$M,DATA!$C:$C,$B620,DATA!$N:$N,"&gt;="&amp;DATE($I$2,E$4,1),DATA!$N:$N,"&lt;="&amp;DATE($I$2,E$4,E$5))</f>
        <v/>
      </c>
      <c r="F621" s="321">
        <f>SUMIFS(DATA!$M:$M,DATA!$C:$C,$B620,DATA!$N:$N,"&gt;="&amp;DATE($I$2,F$4,1),DATA!$N:$N,"&lt;="&amp;DATE($I$2,F$4,F$5))</f>
        <v/>
      </c>
      <c r="G621" s="321">
        <f>SUMIFS(DATA!$M:$M,DATA!$C:$C,$B620,DATA!$N:$N,"&gt;="&amp;DATE($I$2,G$4,1),DATA!$N:$N,"&lt;="&amp;DATE($I$2,G$4,G$5))</f>
        <v/>
      </c>
      <c r="H621" s="321">
        <f>SUMIFS(DATA!$M:$M,DATA!$C:$C,$B620,DATA!$N:$N,"&gt;="&amp;DATE($I$2,H$4,1),DATA!$N:$N,"&lt;="&amp;DATE($I$2,H$4,H$5))</f>
        <v/>
      </c>
      <c r="I621" s="321">
        <f>SUMIFS(DATA!$M:$M,DATA!$C:$C,$B620,DATA!$N:$N,"&gt;="&amp;DATE($I$2,I$4,1),DATA!$N:$N,"&lt;="&amp;DATE($I$2,I$4,I$5))</f>
        <v/>
      </c>
      <c r="J621" s="321">
        <f>SUMIFS(DATA!$M:$M,DATA!$C:$C,$B620,DATA!$N:$N,"&gt;="&amp;DATE($I$2,J$4,1),DATA!$N:$N,"&lt;="&amp;DATE($I$2,J$4,J$5))</f>
        <v/>
      </c>
      <c r="K621" s="321">
        <f>SUMIFS(DATA!$M:$M,DATA!$C:$C,$B620,DATA!$N:$N,"&gt;="&amp;DATE($I$2,K$4,1),DATA!$N:$N,"&lt;="&amp;DATE($I$2,K$4,K$5))</f>
        <v/>
      </c>
      <c r="L621" s="321">
        <f>SUMIFS(DATA!$M:$M,DATA!$C:$C,$B620,DATA!$N:$N,"&gt;="&amp;DATE($I$2,L$4,1),DATA!$N:$N,"&lt;="&amp;DATE($I$2,L$4,L$5))</f>
        <v/>
      </c>
      <c r="M621" s="321">
        <f>SUMIFS(DATA!$M:$M,DATA!$C:$C,$B620,DATA!$N:$N,"&gt;="&amp;DATE($I$2,M$4,1),DATA!$N:$N,"&lt;="&amp;DATE($I$2,M$4,M$5))</f>
        <v/>
      </c>
      <c r="N621" s="321">
        <f>SUMIFS(DATA!$M:$M,DATA!$C:$C,$B620,DATA!$N:$N,"&gt;="&amp;DATE($I$2,N$4,1),DATA!$N:$N,"&lt;="&amp;DATE($I$2,N$4,N$5))</f>
        <v/>
      </c>
      <c r="O621" s="321">
        <f>SUMIFS(DATA!$M:$M,DATA!$C:$C,$B620,DATA!$N:$N,"&gt;="&amp;DATE($I$2,O$4,1),DATA!$N:$N,"&lt;="&amp;DATE($I$2,O$4,O$5))</f>
        <v/>
      </c>
      <c r="P621" s="322">
        <f>SUM(D621:O621)</f>
        <v/>
      </c>
      <c r="Q621" s="118" t="n"/>
    </row>
    <row r="622" hidden="1" outlineLevel="1" ht="15" customHeight="1">
      <c r="A622" s="269" t="n">
        <v>309</v>
      </c>
      <c r="B622" s="125" t="n"/>
      <c r="C622" s="119" t="inlineStr">
        <is>
          <t>Kế hoạch</t>
        </is>
      </c>
      <c r="D622" s="321">
        <f>SUMIFS(DATA!$I:$I,DATA!$C:$C,$B622,DATA!$J:$J,"&gt;="&amp;DATE($I$2,D$4,1),DATA!$J:$J,"&lt;="&amp;DATE($I$2,D$4,D$5))</f>
        <v/>
      </c>
      <c r="E622" s="321">
        <f>SUMIFS(DATA!$I:$I,DATA!$C:$C,$B622,DATA!$J:$J,"&gt;="&amp;DATE($I$2,E$4,1),DATA!$J:$J,"&lt;="&amp;DATE($I$2,E$4,E$5))</f>
        <v/>
      </c>
      <c r="F622" s="321">
        <f>SUMIFS(DATA!$I:$I,DATA!$C:$C,$B622,DATA!$J:$J,"&gt;="&amp;DATE($I$2,F$4,1),DATA!$J:$J,"&lt;="&amp;DATE($I$2,F$4,F$5))</f>
        <v/>
      </c>
      <c r="G622" s="321">
        <f>SUMIFS(DATA!$I:$I,DATA!$C:$C,$B622,DATA!$J:$J,"&gt;="&amp;DATE($I$2,G$4,1),DATA!$J:$J,"&lt;="&amp;DATE($I$2,G$4,G$5))</f>
        <v/>
      </c>
      <c r="H622" s="321">
        <f>SUMIFS(DATA!$I:$I,DATA!$C:$C,$B622,DATA!$J:$J,"&gt;="&amp;DATE($I$2,H$4,1),DATA!$J:$J,"&lt;="&amp;DATE($I$2,H$4,H$5))</f>
        <v/>
      </c>
      <c r="I622" s="321">
        <f>SUMIFS(DATA!$I:$I,DATA!$C:$C,$B622,DATA!$J:$J,"&gt;="&amp;DATE($I$2,I$4,1),DATA!$J:$J,"&lt;="&amp;DATE($I$2,I$4,I$5))</f>
        <v/>
      </c>
      <c r="J622" s="321">
        <f>SUMIFS(DATA!$I:$I,DATA!$C:$C,$B622,DATA!$J:$J,"&gt;="&amp;DATE($I$2,J$4,1),DATA!$J:$J,"&lt;="&amp;DATE($I$2,J$4,J$5))</f>
        <v/>
      </c>
      <c r="K622" s="321">
        <f>SUMIFS(DATA!$I:$I,DATA!$C:$C,$B622,DATA!$J:$J,"&gt;="&amp;DATE($I$2,K$4,1),DATA!$J:$J,"&lt;="&amp;DATE($I$2,K$4,K$5))</f>
        <v/>
      </c>
      <c r="L622" s="321">
        <f>SUMIFS(DATA!$I:$I,DATA!$C:$C,$B622,DATA!$J:$J,"&gt;="&amp;DATE($I$2,L$4,1),DATA!$J:$J,"&lt;="&amp;DATE($I$2,L$4,L$5))</f>
        <v/>
      </c>
      <c r="M622" s="321">
        <f>SUMIFS(DATA!$I:$I,DATA!$C:$C,$B622,DATA!$J:$J,"&gt;="&amp;DATE($I$2,M$4,1),DATA!$J:$J,"&lt;="&amp;DATE($I$2,M$4,M$5))</f>
        <v/>
      </c>
      <c r="N622" s="321">
        <f>SUMIFS(DATA!$I:$I,DATA!$C:$C,$B622,DATA!$J:$J,"&gt;="&amp;DATE($I$2,N$4,1),DATA!$J:$J,"&lt;="&amp;DATE($I$2,N$4,N$5))</f>
        <v/>
      </c>
      <c r="O622" s="321">
        <f>SUMIFS(DATA!$I:$I,DATA!$C:$C,$B622,DATA!$J:$J,"&gt;="&amp;DATE($I$2,O$4,1),DATA!$J:$J,"&lt;="&amp;DATE($I$2,O$4,O$5))</f>
        <v/>
      </c>
      <c r="P622" s="322">
        <f>SUM(D622:O622)</f>
        <v/>
      </c>
      <c r="Q622" s="118" t="n"/>
    </row>
    <row r="623" hidden="1" outlineLevel="1" ht="15" customHeight="1">
      <c r="A623" s="266" t="n"/>
      <c r="B623" s="126" t="n"/>
      <c r="C623" s="119" t="inlineStr">
        <is>
          <t>Thực tế</t>
        </is>
      </c>
      <c r="D623" s="321">
        <f>SUMIFS(DATA!$M:$M,DATA!$C:$C,$B622,DATA!$N:$N,"&gt;="&amp;DATE($I$2,D$4,1),DATA!$N:$N,"&lt;="&amp;DATE($I$2,D$4,D$5))</f>
        <v/>
      </c>
      <c r="E623" s="321">
        <f>SUMIFS(DATA!$M:$M,DATA!$C:$C,$B622,DATA!$N:$N,"&gt;="&amp;DATE($I$2,E$4,1),DATA!$N:$N,"&lt;="&amp;DATE($I$2,E$4,E$5))</f>
        <v/>
      </c>
      <c r="F623" s="321">
        <f>SUMIFS(DATA!$M:$M,DATA!$C:$C,$B622,DATA!$N:$N,"&gt;="&amp;DATE($I$2,F$4,1),DATA!$N:$N,"&lt;="&amp;DATE($I$2,F$4,F$5))</f>
        <v/>
      </c>
      <c r="G623" s="321">
        <f>SUMIFS(DATA!$M:$M,DATA!$C:$C,$B622,DATA!$N:$N,"&gt;="&amp;DATE($I$2,G$4,1),DATA!$N:$N,"&lt;="&amp;DATE($I$2,G$4,G$5))</f>
        <v/>
      </c>
      <c r="H623" s="321">
        <f>SUMIFS(DATA!$M:$M,DATA!$C:$C,$B622,DATA!$N:$N,"&gt;="&amp;DATE($I$2,H$4,1),DATA!$N:$N,"&lt;="&amp;DATE($I$2,H$4,H$5))</f>
        <v/>
      </c>
      <c r="I623" s="321">
        <f>SUMIFS(DATA!$M:$M,DATA!$C:$C,$B622,DATA!$N:$N,"&gt;="&amp;DATE($I$2,I$4,1),DATA!$N:$N,"&lt;="&amp;DATE($I$2,I$4,I$5))</f>
        <v/>
      </c>
      <c r="J623" s="321">
        <f>SUMIFS(DATA!$M:$M,DATA!$C:$C,$B622,DATA!$N:$N,"&gt;="&amp;DATE($I$2,J$4,1),DATA!$N:$N,"&lt;="&amp;DATE($I$2,J$4,J$5))</f>
        <v/>
      </c>
      <c r="K623" s="321">
        <f>SUMIFS(DATA!$M:$M,DATA!$C:$C,$B622,DATA!$N:$N,"&gt;="&amp;DATE($I$2,K$4,1),DATA!$N:$N,"&lt;="&amp;DATE($I$2,K$4,K$5))</f>
        <v/>
      </c>
      <c r="L623" s="321">
        <f>SUMIFS(DATA!$M:$M,DATA!$C:$C,$B622,DATA!$N:$N,"&gt;="&amp;DATE($I$2,L$4,1),DATA!$N:$N,"&lt;="&amp;DATE($I$2,L$4,L$5))</f>
        <v/>
      </c>
      <c r="M623" s="321">
        <f>SUMIFS(DATA!$M:$M,DATA!$C:$C,$B622,DATA!$N:$N,"&gt;="&amp;DATE($I$2,M$4,1),DATA!$N:$N,"&lt;="&amp;DATE($I$2,M$4,M$5))</f>
        <v/>
      </c>
      <c r="N623" s="321">
        <f>SUMIFS(DATA!$M:$M,DATA!$C:$C,$B622,DATA!$N:$N,"&gt;="&amp;DATE($I$2,N$4,1),DATA!$N:$N,"&lt;="&amp;DATE($I$2,N$4,N$5))</f>
        <v/>
      </c>
      <c r="O623" s="321">
        <f>SUMIFS(DATA!$M:$M,DATA!$C:$C,$B622,DATA!$N:$N,"&gt;="&amp;DATE($I$2,O$4,1),DATA!$N:$N,"&lt;="&amp;DATE($I$2,O$4,O$5))</f>
        <v/>
      </c>
      <c r="P623" s="322">
        <f>SUM(D623:O623)</f>
        <v/>
      </c>
      <c r="Q623" s="118" t="n"/>
    </row>
    <row r="624" hidden="1" outlineLevel="1" ht="15" customHeight="1">
      <c r="A624" s="269" t="n">
        <v>310</v>
      </c>
      <c r="B624" s="125" t="n"/>
      <c r="C624" s="119" t="inlineStr">
        <is>
          <t>Kế hoạch</t>
        </is>
      </c>
      <c r="D624" s="321">
        <f>SUMIFS(DATA!$I:$I,DATA!$C:$C,$B624,DATA!$J:$J,"&gt;="&amp;DATE($I$2,D$4,1),DATA!$J:$J,"&lt;="&amp;DATE($I$2,D$4,D$5))</f>
        <v/>
      </c>
      <c r="E624" s="321">
        <f>SUMIFS(DATA!$I:$I,DATA!$C:$C,$B624,DATA!$J:$J,"&gt;="&amp;DATE($I$2,E$4,1),DATA!$J:$J,"&lt;="&amp;DATE($I$2,E$4,E$5))</f>
        <v/>
      </c>
      <c r="F624" s="321">
        <f>SUMIFS(DATA!$I:$I,DATA!$C:$C,$B624,DATA!$J:$J,"&gt;="&amp;DATE($I$2,F$4,1),DATA!$J:$J,"&lt;="&amp;DATE($I$2,F$4,F$5))</f>
        <v/>
      </c>
      <c r="G624" s="321">
        <f>SUMIFS(DATA!$I:$I,DATA!$C:$C,$B624,DATA!$J:$J,"&gt;="&amp;DATE($I$2,G$4,1),DATA!$J:$J,"&lt;="&amp;DATE($I$2,G$4,G$5))</f>
        <v/>
      </c>
      <c r="H624" s="321">
        <f>SUMIFS(DATA!$I:$I,DATA!$C:$C,$B624,DATA!$J:$J,"&gt;="&amp;DATE($I$2,H$4,1),DATA!$J:$J,"&lt;="&amp;DATE($I$2,H$4,H$5))</f>
        <v/>
      </c>
      <c r="I624" s="321">
        <f>SUMIFS(DATA!$I:$I,DATA!$C:$C,$B624,DATA!$J:$J,"&gt;="&amp;DATE($I$2,I$4,1),DATA!$J:$J,"&lt;="&amp;DATE($I$2,I$4,I$5))</f>
        <v/>
      </c>
      <c r="J624" s="321">
        <f>SUMIFS(DATA!$I:$I,DATA!$C:$C,$B624,DATA!$J:$J,"&gt;="&amp;DATE($I$2,J$4,1),DATA!$J:$J,"&lt;="&amp;DATE($I$2,J$4,J$5))</f>
        <v/>
      </c>
      <c r="K624" s="321">
        <f>SUMIFS(DATA!$I:$I,DATA!$C:$C,$B624,DATA!$J:$J,"&gt;="&amp;DATE($I$2,K$4,1),DATA!$J:$J,"&lt;="&amp;DATE($I$2,K$4,K$5))</f>
        <v/>
      </c>
      <c r="L624" s="321">
        <f>SUMIFS(DATA!$I:$I,DATA!$C:$C,$B624,DATA!$J:$J,"&gt;="&amp;DATE($I$2,L$4,1),DATA!$J:$J,"&lt;="&amp;DATE($I$2,L$4,L$5))</f>
        <v/>
      </c>
      <c r="M624" s="321">
        <f>SUMIFS(DATA!$I:$I,DATA!$C:$C,$B624,DATA!$J:$J,"&gt;="&amp;DATE($I$2,M$4,1),DATA!$J:$J,"&lt;="&amp;DATE($I$2,M$4,M$5))</f>
        <v/>
      </c>
      <c r="N624" s="321">
        <f>SUMIFS(DATA!$I:$I,DATA!$C:$C,$B624,DATA!$J:$J,"&gt;="&amp;DATE($I$2,N$4,1),DATA!$J:$J,"&lt;="&amp;DATE($I$2,N$4,N$5))</f>
        <v/>
      </c>
      <c r="O624" s="321">
        <f>SUMIFS(DATA!$I:$I,DATA!$C:$C,$B624,DATA!$J:$J,"&gt;="&amp;DATE($I$2,O$4,1),DATA!$J:$J,"&lt;="&amp;DATE($I$2,O$4,O$5))</f>
        <v/>
      </c>
      <c r="P624" s="322">
        <f>SUM(D624:O624)</f>
        <v/>
      </c>
      <c r="Q624" s="118" t="n"/>
    </row>
    <row r="625" hidden="1" outlineLevel="1" ht="15" customHeight="1">
      <c r="A625" s="266" t="n"/>
      <c r="B625" s="126" t="n"/>
      <c r="C625" s="119" t="inlineStr">
        <is>
          <t>Thực tế</t>
        </is>
      </c>
      <c r="D625" s="321">
        <f>SUMIFS(DATA!$M:$M,DATA!$C:$C,$B624,DATA!$N:$N,"&gt;="&amp;DATE($I$2,D$4,1),DATA!$N:$N,"&lt;="&amp;DATE($I$2,D$4,D$5))</f>
        <v/>
      </c>
      <c r="E625" s="321">
        <f>SUMIFS(DATA!$M:$M,DATA!$C:$C,$B624,DATA!$N:$N,"&gt;="&amp;DATE($I$2,E$4,1),DATA!$N:$N,"&lt;="&amp;DATE($I$2,E$4,E$5))</f>
        <v/>
      </c>
      <c r="F625" s="321">
        <f>SUMIFS(DATA!$M:$M,DATA!$C:$C,$B624,DATA!$N:$N,"&gt;="&amp;DATE($I$2,F$4,1),DATA!$N:$N,"&lt;="&amp;DATE($I$2,F$4,F$5))</f>
        <v/>
      </c>
      <c r="G625" s="321">
        <f>SUMIFS(DATA!$M:$M,DATA!$C:$C,$B624,DATA!$N:$N,"&gt;="&amp;DATE($I$2,G$4,1),DATA!$N:$N,"&lt;="&amp;DATE($I$2,G$4,G$5))</f>
        <v/>
      </c>
      <c r="H625" s="321">
        <f>SUMIFS(DATA!$M:$M,DATA!$C:$C,$B624,DATA!$N:$N,"&gt;="&amp;DATE($I$2,H$4,1),DATA!$N:$N,"&lt;="&amp;DATE($I$2,H$4,H$5))</f>
        <v/>
      </c>
      <c r="I625" s="321">
        <f>SUMIFS(DATA!$M:$M,DATA!$C:$C,$B624,DATA!$N:$N,"&gt;="&amp;DATE($I$2,I$4,1),DATA!$N:$N,"&lt;="&amp;DATE($I$2,I$4,I$5))</f>
        <v/>
      </c>
      <c r="J625" s="321">
        <f>SUMIFS(DATA!$M:$M,DATA!$C:$C,$B624,DATA!$N:$N,"&gt;="&amp;DATE($I$2,J$4,1),DATA!$N:$N,"&lt;="&amp;DATE($I$2,J$4,J$5))</f>
        <v/>
      </c>
      <c r="K625" s="321">
        <f>SUMIFS(DATA!$M:$M,DATA!$C:$C,$B624,DATA!$N:$N,"&gt;="&amp;DATE($I$2,K$4,1),DATA!$N:$N,"&lt;="&amp;DATE($I$2,K$4,K$5))</f>
        <v/>
      </c>
      <c r="L625" s="321">
        <f>SUMIFS(DATA!$M:$M,DATA!$C:$C,$B624,DATA!$N:$N,"&gt;="&amp;DATE($I$2,L$4,1),DATA!$N:$N,"&lt;="&amp;DATE($I$2,L$4,L$5))</f>
        <v/>
      </c>
      <c r="M625" s="321">
        <f>SUMIFS(DATA!$M:$M,DATA!$C:$C,$B624,DATA!$N:$N,"&gt;="&amp;DATE($I$2,M$4,1),DATA!$N:$N,"&lt;="&amp;DATE($I$2,M$4,M$5))</f>
        <v/>
      </c>
      <c r="N625" s="321">
        <f>SUMIFS(DATA!$M:$M,DATA!$C:$C,$B624,DATA!$N:$N,"&gt;="&amp;DATE($I$2,N$4,1),DATA!$N:$N,"&lt;="&amp;DATE($I$2,N$4,N$5))</f>
        <v/>
      </c>
      <c r="O625" s="321">
        <f>SUMIFS(DATA!$M:$M,DATA!$C:$C,$B624,DATA!$N:$N,"&gt;="&amp;DATE($I$2,O$4,1),DATA!$N:$N,"&lt;="&amp;DATE($I$2,O$4,O$5))</f>
        <v/>
      </c>
      <c r="P625" s="322">
        <f>SUM(D625:O625)</f>
        <v/>
      </c>
      <c r="Q625" s="118" t="n"/>
    </row>
    <row r="626" hidden="1" outlineLevel="1" ht="15" customHeight="1">
      <c r="A626" s="269" t="n">
        <v>311</v>
      </c>
      <c r="B626" s="125" t="n"/>
      <c r="C626" s="119" t="inlineStr">
        <is>
          <t>Kế hoạch</t>
        </is>
      </c>
      <c r="D626" s="321">
        <f>SUMIFS(DATA!$I:$I,DATA!$C:$C,$B626,DATA!$J:$J,"&gt;="&amp;DATE($I$2,D$4,1),DATA!$J:$J,"&lt;="&amp;DATE($I$2,D$4,D$5))</f>
        <v/>
      </c>
      <c r="E626" s="321">
        <f>SUMIFS(DATA!$I:$I,DATA!$C:$C,$B626,DATA!$J:$J,"&gt;="&amp;DATE($I$2,E$4,1),DATA!$J:$J,"&lt;="&amp;DATE($I$2,E$4,E$5))</f>
        <v/>
      </c>
      <c r="F626" s="321">
        <f>SUMIFS(DATA!$I:$I,DATA!$C:$C,$B626,DATA!$J:$J,"&gt;="&amp;DATE($I$2,F$4,1),DATA!$J:$J,"&lt;="&amp;DATE($I$2,F$4,F$5))</f>
        <v/>
      </c>
      <c r="G626" s="321">
        <f>SUMIFS(DATA!$I:$I,DATA!$C:$C,$B626,DATA!$J:$J,"&gt;="&amp;DATE($I$2,G$4,1),DATA!$J:$J,"&lt;="&amp;DATE($I$2,G$4,G$5))</f>
        <v/>
      </c>
      <c r="H626" s="321">
        <f>SUMIFS(DATA!$I:$I,DATA!$C:$C,$B626,DATA!$J:$J,"&gt;="&amp;DATE($I$2,H$4,1),DATA!$J:$J,"&lt;="&amp;DATE($I$2,H$4,H$5))</f>
        <v/>
      </c>
      <c r="I626" s="321">
        <f>SUMIFS(DATA!$I:$I,DATA!$C:$C,$B626,DATA!$J:$J,"&gt;="&amp;DATE($I$2,I$4,1),DATA!$J:$J,"&lt;="&amp;DATE($I$2,I$4,I$5))</f>
        <v/>
      </c>
      <c r="J626" s="321">
        <f>SUMIFS(DATA!$I:$I,DATA!$C:$C,$B626,DATA!$J:$J,"&gt;="&amp;DATE($I$2,J$4,1),DATA!$J:$J,"&lt;="&amp;DATE($I$2,J$4,J$5))</f>
        <v/>
      </c>
      <c r="K626" s="321">
        <f>SUMIFS(DATA!$I:$I,DATA!$C:$C,$B626,DATA!$J:$J,"&gt;="&amp;DATE($I$2,K$4,1),DATA!$J:$J,"&lt;="&amp;DATE($I$2,K$4,K$5))</f>
        <v/>
      </c>
      <c r="L626" s="321">
        <f>SUMIFS(DATA!$I:$I,DATA!$C:$C,$B626,DATA!$J:$J,"&gt;="&amp;DATE($I$2,L$4,1),DATA!$J:$J,"&lt;="&amp;DATE($I$2,L$4,L$5))</f>
        <v/>
      </c>
      <c r="M626" s="321">
        <f>SUMIFS(DATA!$I:$I,DATA!$C:$C,$B626,DATA!$J:$J,"&gt;="&amp;DATE($I$2,M$4,1),DATA!$J:$J,"&lt;="&amp;DATE($I$2,M$4,M$5))</f>
        <v/>
      </c>
      <c r="N626" s="321">
        <f>SUMIFS(DATA!$I:$I,DATA!$C:$C,$B626,DATA!$J:$J,"&gt;="&amp;DATE($I$2,N$4,1),DATA!$J:$J,"&lt;="&amp;DATE($I$2,N$4,N$5))</f>
        <v/>
      </c>
      <c r="O626" s="321">
        <f>SUMIFS(DATA!$I:$I,DATA!$C:$C,$B626,DATA!$J:$J,"&gt;="&amp;DATE($I$2,O$4,1),DATA!$J:$J,"&lt;="&amp;DATE($I$2,O$4,O$5))</f>
        <v/>
      </c>
      <c r="P626" s="322">
        <f>SUM(D626:O626)</f>
        <v/>
      </c>
      <c r="Q626" s="118" t="n"/>
    </row>
    <row r="627" hidden="1" outlineLevel="1" ht="15" customHeight="1">
      <c r="A627" s="266" t="n"/>
      <c r="B627" s="126" t="n"/>
      <c r="C627" s="119" t="inlineStr">
        <is>
          <t>Thực tế</t>
        </is>
      </c>
      <c r="D627" s="321">
        <f>SUMIFS(DATA!$M:$M,DATA!$C:$C,$B626,DATA!$N:$N,"&gt;="&amp;DATE($I$2,D$4,1),DATA!$N:$N,"&lt;="&amp;DATE($I$2,D$4,D$5))</f>
        <v/>
      </c>
      <c r="E627" s="321">
        <f>SUMIFS(DATA!$M:$M,DATA!$C:$C,$B626,DATA!$N:$N,"&gt;="&amp;DATE($I$2,E$4,1),DATA!$N:$N,"&lt;="&amp;DATE($I$2,E$4,E$5))</f>
        <v/>
      </c>
      <c r="F627" s="321">
        <f>SUMIFS(DATA!$M:$M,DATA!$C:$C,$B626,DATA!$N:$N,"&gt;="&amp;DATE($I$2,F$4,1),DATA!$N:$N,"&lt;="&amp;DATE($I$2,F$4,F$5))</f>
        <v/>
      </c>
      <c r="G627" s="321">
        <f>SUMIFS(DATA!$M:$M,DATA!$C:$C,$B626,DATA!$N:$N,"&gt;="&amp;DATE($I$2,G$4,1),DATA!$N:$N,"&lt;="&amp;DATE($I$2,G$4,G$5))</f>
        <v/>
      </c>
      <c r="H627" s="321">
        <f>SUMIFS(DATA!$M:$M,DATA!$C:$C,$B626,DATA!$N:$N,"&gt;="&amp;DATE($I$2,H$4,1),DATA!$N:$N,"&lt;="&amp;DATE($I$2,H$4,H$5))</f>
        <v/>
      </c>
      <c r="I627" s="321">
        <f>SUMIFS(DATA!$M:$M,DATA!$C:$C,$B626,DATA!$N:$N,"&gt;="&amp;DATE($I$2,I$4,1),DATA!$N:$N,"&lt;="&amp;DATE($I$2,I$4,I$5))</f>
        <v/>
      </c>
      <c r="J627" s="321">
        <f>SUMIFS(DATA!$M:$M,DATA!$C:$C,$B626,DATA!$N:$N,"&gt;="&amp;DATE($I$2,J$4,1),DATA!$N:$N,"&lt;="&amp;DATE($I$2,J$4,J$5))</f>
        <v/>
      </c>
      <c r="K627" s="321">
        <f>SUMIFS(DATA!$M:$M,DATA!$C:$C,$B626,DATA!$N:$N,"&gt;="&amp;DATE($I$2,K$4,1),DATA!$N:$N,"&lt;="&amp;DATE($I$2,K$4,K$5))</f>
        <v/>
      </c>
      <c r="L627" s="321">
        <f>SUMIFS(DATA!$M:$M,DATA!$C:$C,$B626,DATA!$N:$N,"&gt;="&amp;DATE($I$2,L$4,1),DATA!$N:$N,"&lt;="&amp;DATE($I$2,L$4,L$5))</f>
        <v/>
      </c>
      <c r="M627" s="321">
        <f>SUMIFS(DATA!$M:$M,DATA!$C:$C,$B626,DATA!$N:$N,"&gt;="&amp;DATE($I$2,M$4,1),DATA!$N:$N,"&lt;="&amp;DATE($I$2,M$4,M$5))</f>
        <v/>
      </c>
      <c r="N627" s="321">
        <f>SUMIFS(DATA!$M:$M,DATA!$C:$C,$B626,DATA!$N:$N,"&gt;="&amp;DATE($I$2,N$4,1),DATA!$N:$N,"&lt;="&amp;DATE($I$2,N$4,N$5))</f>
        <v/>
      </c>
      <c r="O627" s="321">
        <f>SUMIFS(DATA!$M:$M,DATA!$C:$C,$B626,DATA!$N:$N,"&gt;="&amp;DATE($I$2,O$4,1),DATA!$N:$N,"&lt;="&amp;DATE($I$2,O$4,O$5))</f>
        <v/>
      </c>
      <c r="P627" s="322">
        <f>SUM(D627:O627)</f>
        <v/>
      </c>
      <c r="Q627" s="118" t="n"/>
    </row>
    <row r="628" hidden="1" outlineLevel="1" ht="15" customHeight="1">
      <c r="A628" s="269" t="n">
        <v>312</v>
      </c>
      <c r="B628" s="125" t="n"/>
      <c r="C628" s="119" t="inlineStr">
        <is>
          <t>Kế hoạch</t>
        </is>
      </c>
      <c r="D628" s="321">
        <f>SUMIFS(DATA!$I:$I,DATA!$C:$C,$B628,DATA!$J:$J,"&gt;="&amp;DATE($I$2,D$4,1),DATA!$J:$J,"&lt;="&amp;DATE($I$2,D$4,D$5))</f>
        <v/>
      </c>
      <c r="E628" s="321">
        <f>SUMIFS(DATA!$I:$I,DATA!$C:$C,$B628,DATA!$J:$J,"&gt;="&amp;DATE($I$2,E$4,1),DATA!$J:$J,"&lt;="&amp;DATE($I$2,E$4,E$5))</f>
        <v/>
      </c>
      <c r="F628" s="321">
        <f>SUMIFS(DATA!$I:$I,DATA!$C:$C,$B628,DATA!$J:$J,"&gt;="&amp;DATE($I$2,F$4,1),DATA!$J:$J,"&lt;="&amp;DATE($I$2,F$4,F$5))</f>
        <v/>
      </c>
      <c r="G628" s="321">
        <f>SUMIFS(DATA!$I:$I,DATA!$C:$C,$B628,DATA!$J:$J,"&gt;="&amp;DATE($I$2,G$4,1),DATA!$J:$J,"&lt;="&amp;DATE($I$2,G$4,G$5))</f>
        <v/>
      </c>
      <c r="H628" s="321">
        <f>SUMIFS(DATA!$I:$I,DATA!$C:$C,$B628,DATA!$J:$J,"&gt;="&amp;DATE($I$2,H$4,1),DATA!$J:$J,"&lt;="&amp;DATE($I$2,H$4,H$5))</f>
        <v/>
      </c>
      <c r="I628" s="321">
        <f>SUMIFS(DATA!$I:$I,DATA!$C:$C,$B628,DATA!$J:$J,"&gt;="&amp;DATE($I$2,I$4,1),DATA!$J:$J,"&lt;="&amp;DATE($I$2,I$4,I$5))</f>
        <v/>
      </c>
      <c r="J628" s="321">
        <f>SUMIFS(DATA!$I:$I,DATA!$C:$C,$B628,DATA!$J:$J,"&gt;="&amp;DATE($I$2,J$4,1),DATA!$J:$J,"&lt;="&amp;DATE($I$2,J$4,J$5))</f>
        <v/>
      </c>
      <c r="K628" s="321">
        <f>SUMIFS(DATA!$I:$I,DATA!$C:$C,$B628,DATA!$J:$J,"&gt;="&amp;DATE($I$2,K$4,1),DATA!$J:$J,"&lt;="&amp;DATE($I$2,K$4,K$5))</f>
        <v/>
      </c>
      <c r="L628" s="321">
        <f>SUMIFS(DATA!$I:$I,DATA!$C:$C,$B628,DATA!$J:$J,"&gt;="&amp;DATE($I$2,L$4,1),DATA!$J:$J,"&lt;="&amp;DATE($I$2,L$4,L$5))</f>
        <v/>
      </c>
      <c r="M628" s="321">
        <f>SUMIFS(DATA!$I:$I,DATA!$C:$C,$B628,DATA!$J:$J,"&gt;="&amp;DATE($I$2,M$4,1),DATA!$J:$J,"&lt;="&amp;DATE($I$2,M$4,M$5))</f>
        <v/>
      </c>
      <c r="N628" s="321">
        <f>SUMIFS(DATA!$I:$I,DATA!$C:$C,$B628,DATA!$J:$J,"&gt;="&amp;DATE($I$2,N$4,1),DATA!$J:$J,"&lt;="&amp;DATE($I$2,N$4,N$5))</f>
        <v/>
      </c>
      <c r="O628" s="321">
        <f>SUMIFS(DATA!$I:$I,DATA!$C:$C,$B628,DATA!$J:$J,"&gt;="&amp;DATE($I$2,O$4,1),DATA!$J:$J,"&lt;="&amp;DATE($I$2,O$4,O$5))</f>
        <v/>
      </c>
      <c r="P628" s="322">
        <f>SUM(D628:O628)</f>
        <v/>
      </c>
      <c r="Q628" s="118" t="n"/>
    </row>
    <row r="629" hidden="1" outlineLevel="1" ht="15" customHeight="1">
      <c r="A629" s="266" t="n"/>
      <c r="B629" s="126" t="n"/>
      <c r="C629" s="119" t="inlineStr">
        <is>
          <t>Thực tế</t>
        </is>
      </c>
      <c r="D629" s="321">
        <f>SUMIFS(DATA!$M:$M,DATA!$C:$C,$B628,DATA!$N:$N,"&gt;="&amp;DATE($I$2,D$4,1),DATA!$N:$N,"&lt;="&amp;DATE($I$2,D$4,D$5))</f>
        <v/>
      </c>
      <c r="E629" s="321">
        <f>SUMIFS(DATA!$M:$M,DATA!$C:$C,$B628,DATA!$N:$N,"&gt;="&amp;DATE($I$2,E$4,1),DATA!$N:$N,"&lt;="&amp;DATE($I$2,E$4,E$5))</f>
        <v/>
      </c>
      <c r="F629" s="321">
        <f>SUMIFS(DATA!$M:$M,DATA!$C:$C,$B628,DATA!$N:$N,"&gt;="&amp;DATE($I$2,F$4,1),DATA!$N:$N,"&lt;="&amp;DATE($I$2,F$4,F$5))</f>
        <v/>
      </c>
      <c r="G629" s="321">
        <f>SUMIFS(DATA!$M:$M,DATA!$C:$C,$B628,DATA!$N:$N,"&gt;="&amp;DATE($I$2,G$4,1),DATA!$N:$N,"&lt;="&amp;DATE($I$2,G$4,G$5))</f>
        <v/>
      </c>
      <c r="H629" s="321">
        <f>SUMIFS(DATA!$M:$M,DATA!$C:$C,$B628,DATA!$N:$N,"&gt;="&amp;DATE($I$2,H$4,1),DATA!$N:$N,"&lt;="&amp;DATE($I$2,H$4,H$5))</f>
        <v/>
      </c>
      <c r="I629" s="321">
        <f>SUMIFS(DATA!$M:$M,DATA!$C:$C,$B628,DATA!$N:$N,"&gt;="&amp;DATE($I$2,I$4,1),DATA!$N:$N,"&lt;="&amp;DATE($I$2,I$4,I$5))</f>
        <v/>
      </c>
      <c r="J629" s="321">
        <f>SUMIFS(DATA!$M:$M,DATA!$C:$C,$B628,DATA!$N:$N,"&gt;="&amp;DATE($I$2,J$4,1),DATA!$N:$N,"&lt;="&amp;DATE($I$2,J$4,J$5))</f>
        <v/>
      </c>
      <c r="K629" s="321">
        <f>SUMIFS(DATA!$M:$M,DATA!$C:$C,$B628,DATA!$N:$N,"&gt;="&amp;DATE($I$2,K$4,1),DATA!$N:$N,"&lt;="&amp;DATE($I$2,K$4,K$5))</f>
        <v/>
      </c>
      <c r="L629" s="321">
        <f>SUMIFS(DATA!$M:$M,DATA!$C:$C,$B628,DATA!$N:$N,"&gt;="&amp;DATE($I$2,L$4,1),DATA!$N:$N,"&lt;="&amp;DATE($I$2,L$4,L$5))</f>
        <v/>
      </c>
      <c r="M629" s="321">
        <f>SUMIFS(DATA!$M:$M,DATA!$C:$C,$B628,DATA!$N:$N,"&gt;="&amp;DATE($I$2,M$4,1),DATA!$N:$N,"&lt;="&amp;DATE($I$2,M$4,M$5))</f>
        <v/>
      </c>
      <c r="N629" s="321">
        <f>SUMIFS(DATA!$M:$M,DATA!$C:$C,$B628,DATA!$N:$N,"&gt;="&amp;DATE($I$2,N$4,1),DATA!$N:$N,"&lt;="&amp;DATE($I$2,N$4,N$5))</f>
        <v/>
      </c>
      <c r="O629" s="321">
        <f>SUMIFS(DATA!$M:$M,DATA!$C:$C,$B628,DATA!$N:$N,"&gt;="&amp;DATE($I$2,O$4,1),DATA!$N:$N,"&lt;="&amp;DATE($I$2,O$4,O$5))</f>
        <v/>
      </c>
      <c r="P629" s="322">
        <f>SUM(D629:O629)</f>
        <v/>
      </c>
      <c r="Q629" s="118" t="n"/>
    </row>
    <row r="630" hidden="1" outlineLevel="1" ht="15" customHeight="1">
      <c r="A630" s="269" t="n">
        <v>313</v>
      </c>
      <c r="B630" s="125" t="n"/>
      <c r="C630" s="119" t="inlineStr">
        <is>
          <t>Kế hoạch</t>
        </is>
      </c>
      <c r="D630" s="321">
        <f>SUMIFS(DATA!$I:$I,DATA!$C:$C,$B630,DATA!$J:$J,"&gt;="&amp;DATE($I$2,D$4,1),DATA!$J:$J,"&lt;="&amp;DATE($I$2,D$4,D$5))</f>
        <v/>
      </c>
      <c r="E630" s="321">
        <f>SUMIFS(DATA!$I:$I,DATA!$C:$C,$B630,DATA!$J:$J,"&gt;="&amp;DATE($I$2,E$4,1),DATA!$J:$J,"&lt;="&amp;DATE($I$2,E$4,E$5))</f>
        <v/>
      </c>
      <c r="F630" s="321">
        <f>SUMIFS(DATA!$I:$I,DATA!$C:$C,$B630,DATA!$J:$J,"&gt;="&amp;DATE($I$2,F$4,1),DATA!$J:$J,"&lt;="&amp;DATE($I$2,F$4,F$5))</f>
        <v/>
      </c>
      <c r="G630" s="321">
        <f>SUMIFS(DATA!$I:$I,DATA!$C:$C,$B630,DATA!$J:$J,"&gt;="&amp;DATE($I$2,G$4,1),DATA!$J:$J,"&lt;="&amp;DATE($I$2,G$4,G$5))</f>
        <v/>
      </c>
      <c r="H630" s="321">
        <f>SUMIFS(DATA!$I:$I,DATA!$C:$C,$B630,DATA!$J:$J,"&gt;="&amp;DATE($I$2,H$4,1),DATA!$J:$J,"&lt;="&amp;DATE($I$2,H$4,H$5))</f>
        <v/>
      </c>
      <c r="I630" s="321">
        <f>SUMIFS(DATA!$I:$I,DATA!$C:$C,$B630,DATA!$J:$J,"&gt;="&amp;DATE($I$2,I$4,1),DATA!$J:$J,"&lt;="&amp;DATE($I$2,I$4,I$5))</f>
        <v/>
      </c>
      <c r="J630" s="321">
        <f>SUMIFS(DATA!$I:$I,DATA!$C:$C,$B630,DATA!$J:$J,"&gt;="&amp;DATE($I$2,J$4,1),DATA!$J:$J,"&lt;="&amp;DATE($I$2,J$4,J$5))</f>
        <v/>
      </c>
      <c r="K630" s="321">
        <f>SUMIFS(DATA!$I:$I,DATA!$C:$C,$B630,DATA!$J:$J,"&gt;="&amp;DATE($I$2,K$4,1),DATA!$J:$J,"&lt;="&amp;DATE($I$2,K$4,K$5))</f>
        <v/>
      </c>
      <c r="L630" s="321">
        <f>SUMIFS(DATA!$I:$I,DATA!$C:$C,$B630,DATA!$J:$J,"&gt;="&amp;DATE($I$2,L$4,1),DATA!$J:$J,"&lt;="&amp;DATE($I$2,L$4,L$5))</f>
        <v/>
      </c>
      <c r="M630" s="321">
        <f>SUMIFS(DATA!$I:$I,DATA!$C:$C,$B630,DATA!$J:$J,"&gt;="&amp;DATE($I$2,M$4,1),DATA!$J:$J,"&lt;="&amp;DATE($I$2,M$4,M$5))</f>
        <v/>
      </c>
      <c r="N630" s="321">
        <f>SUMIFS(DATA!$I:$I,DATA!$C:$C,$B630,DATA!$J:$J,"&gt;="&amp;DATE($I$2,N$4,1),DATA!$J:$J,"&lt;="&amp;DATE($I$2,N$4,N$5))</f>
        <v/>
      </c>
      <c r="O630" s="321">
        <f>SUMIFS(DATA!$I:$I,DATA!$C:$C,$B630,DATA!$J:$J,"&gt;="&amp;DATE($I$2,O$4,1),DATA!$J:$J,"&lt;="&amp;DATE($I$2,O$4,O$5))</f>
        <v/>
      </c>
      <c r="P630" s="322">
        <f>SUM(D630:O630)</f>
        <v/>
      </c>
      <c r="Q630" s="118" t="n"/>
    </row>
    <row r="631" hidden="1" outlineLevel="1" ht="15" customHeight="1">
      <c r="A631" s="266" t="n"/>
      <c r="B631" s="126" t="n"/>
      <c r="C631" s="119" t="inlineStr">
        <is>
          <t>Thực tế</t>
        </is>
      </c>
      <c r="D631" s="321">
        <f>SUMIFS(DATA!$M:$M,DATA!$C:$C,$B630,DATA!$N:$N,"&gt;="&amp;DATE($I$2,D$4,1),DATA!$N:$N,"&lt;="&amp;DATE($I$2,D$4,D$5))</f>
        <v/>
      </c>
      <c r="E631" s="321">
        <f>SUMIFS(DATA!$M:$M,DATA!$C:$C,$B630,DATA!$N:$N,"&gt;="&amp;DATE($I$2,E$4,1),DATA!$N:$N,"&lt;="&amp;DATE($I$2,E$4,E$5))</f>
        <v/>
      </c>
      <c r="F631" s="321">
        <f>SUMIFS(DATA!$M:$M,DATA!$C:$C,$B630,DATA!$N:$N,"&gt;="&amp;DATE($I$2,F$4,1),DATA!$N:$N,"&lt;="&amp;DATE($I$2,F$4,F$5))</f>
        <v/>
      </c>
      <c r="G631" s="321">
        <f>SUMIFS(DATA!$M:$M,DATA!$C:$C,$B630,DATA!$N:$N,"&gt;="&amp;DATE($I$2,G$4,1),DATA!$N:$N,"&lt;="&amp;DATE($I$2,G$4,G$5))</f>
        <v/>
      </c>
      <c r="H631" s="321">
        <f>SUMIFS(DATA!$M:$M,DATA!$C:$C,$B630,DATA!$N:$N,"&gt;="&amp;DATE($I$2,H$4,1),DATA!$N:$N,"&lt;="&amp;DATE($I$2,H$4,H$5))</f>
        <v/>
      </c>
      <c r="I631" s="321">
        <f>SUMIFS(DATA!$M:$M,DATA!$C:$C,$B630,DATA!$N:$N,"&gt;="&amp;DATE($I$2,I$4,1),DATA!$N:$N,"&lt;="&amp;DATE($I$2,I$4,I$5))</f>
        <v/>
      </c>
      <c r="J631" s="321">
        <f>SUMIFS(DATA!$M:$M,DATA!$C:$C,$B630,DATA!$N:$N,"&gt;="&amp;DATE($I$2,J$4,1),DATA!$N:$N,"&lt;="&amp;DATE($I$2,J$4,J$5))</f>
        <v/>
      </c>
      <c r="K631" s="321">
        <f>SUMIFS(DATA!$M:$M,DATA!$C:$C,$B630,DATA!$N:$N,"&gt;="&amp;DATE($I$2,K$4,1),DATA!$N:$N,"&lt;="&amp;DATE($I$2,K$4,K$5))</f>
        <v/>
      </c>
      <c r="L631" s="321">
        <f>SUMIFS(DATA!$M:$M,DATA!$C:$C,$B630,DATA!$N:$N,"&gt;="&amp;DATE($I$2,L$4,1),DATA!$N:$N,"&lt;="&amp;DATE($I$2,L$4,L$5))</f>
        <v/>
      </c>
      <c r="M631" s="321">
        <f>SUMIFS(DATA!$M:$M,DATA!$C:$C,$B630,DATA!$N:$N,"&gt;="&amp;DATE($I$2,M$4,1),DATA!$N:$N,"&lt;="&amp;DATE($I$2,M$4,M$5))</f>
        <v/>
      </c>
      <c r="N631" s="321">
        <f>SUMIFS(DATA!$M:$M,DATA!$C:$C,$B630,DATA!$N:$N,"&gt;="&amp;DATE($I$2,N$4,1),DATA!$N:$N,"&lt;="&amp;DATE($I$2,N$4,N$5))</f>
        <v/>
      </c>
      <c r="O631" s="321">
        <f>SUMIFS(DATA!$M:$M,DATA!$C:$C,$B630,DATA!$N:$N,"&gt;="&amp;DATE($I$2,O$4,1),DATA!$N:$N,"&lt;="&amp;DATE($I$2,O$4,O$5))</f>
        <v/>
      </c>
      <c r="P631" s="322">
        <f>SUM(D631:O631)</f>
        <v/>
      </c>
      <c r="Q631" s="118" t="n"/>
    </row>
    <row r="632" hidden="1" outlineLevel="1" ht="15" customHeight="1">
      <c r="A632" s="269" t="n">
        <v>314</v>
      </c>
      <c r="B632" s="125" t="n"/>
      <c r="C632" s="119" t="inlineStr">
        <is>
          <t>Kế hoạch</t>
        </is>
      </c>
      <c r="D632" s="321">
        <f>SUMIFS(DATA!$I:$I,DATA!$C:$C,$B632,DATA!$J:$J,"&gt;="&amp;DATE($I$2,D$4,1),DATA!$J:$J,"&lt;="&amp;DATE($I$2,D$4,D$5))</f>
        <v/>
      </c>
      <c r="E632" s="321">
        <f>SUMIFS(DATA!$I:$I,DATA!$C:$C,$B632,DATA!$J:$J,"&gt;="&amp;DATE($I$2,E$4,1),DATA!$J:$J,"&lt;="&amp;DATE($I$2,E$4,E$5))</f>
        <v/>
      </c>
      <c r="F632" s="321">
        <f>SUMIFS(DATA!$I:$I,DATA!$C:$C,$B632,DATA!$J:$J,"&gt;="&amp;DATE($I$2,F$4,1),DATA!$J:$J,"&lt;="&amp;DATE($I$2,F$4,F$5))</f>
        <v/>
      </c>
      <c r="G632" s="321">
        <f>SUMIFS(DATA!$I:$I,DATA!$C:$C,$B632,DATA!$J:$J,"&gt;="&amp;DATE($I$2,G$4,1),DATA!$J:$J,"&lt;="&amp;DATE($I$2,G$4,G$5))</f>
        <v/>
      </c>
      <c r="H632" s="321">
        <f>SUMIFS(DATA!$I:$I,DATA!$C:$C,$B632,DATA!$J:$J,"&gt;="&amp;DATE($I$2,H$4,1),DATA!$J:$J,"&lt;="&amp;DATE($I$2,H$4,H$5))</f>
        <v/>
      </c>
      <c r="I632" s="321">
        <f>SUMIFS(DATA!$I:$I,DATA!$C:$C,$B632,DATA!$J:$J,"&gt;="&amp;DATE($I$2,I$4,1),DATA!$J:$J,"&lt;="&amp;DATE($I$2,I$4,I$5))</f>
        <v/>
      </c>
      <c r="J632" s="321">
        <f>SUMIFS(DATA!$I:$I,DATA!$C:$C,$B632,DATA!$J:$J,"&gt;="&amp;DATE($I$2,J$4,1),DATA!$J:$J,"&lt;="&amp;DATE($I$2,J$4,J$5))</f>
        <v/>
      </c>
      <c r="K632" s="321">
        <f>SUMIFS(DATA!$I:$I,DATA!$C:$C,$B632,DATA!$J:$J,"&gt;="&amp;DATE($I$2,K$4,1),DATA!$J:$J,"&lt;="&amp;DATE($I$2,K$4,K$5))</f>
        <v/>
      </c>
      <c r="L632" s="321">
        <f>SUMIFS(DATA!$I:$I,DATA!$C:$C,$B632,DATA!$J:$J,"&gt;="&amp;DATE($I$2,L$4,1),DATA!$J:$J,"&lt;="&amp;DATE($I$2,L$4,L$5))</f>
        <v/>
      </c>
      <c r="M632" s="321">
        <f>SUMIFS(DATA!$I:$I,DATA!$C:$C,$B632,DATA!$J:$J,"&gt;="&amp;DATE($I$2,M$4,1),DATA!$J:$J,"&lt;="&amp;DATE($I$2,M$4,M$5))</f>
        <v/>
      </c>
      <c r="N632" s="321">
        <f>SUMIFS(DATA!$I:$I,DATA!$C:$C,$B632,DATA!$J:$J,"&gt;="&amp;DATE($I$2,N$4,1),DATA!$J:$J,"&lt;="&amp;DATE($I$2,N$4,N$5))</f>
        <v/>
      </c>
      <c r="O632" s="321">
        <f>SUMIFS(DATA!$I:$I,DATA!$C:$C,$B632,DATA!$J:$J,"&gt;="&amp;DATE($I$2,O$4,1),DATA!$J:$J,"&lt;="&amp;DATE($I$2,O$4,O$5))</f>
        <v/>
      </c>
      <c r="P632" s="322">
        <f>SUM(D632:O632)</f>
        <v/>
      </c>
      <c r="Q632" s="118" t="n"/>
    </row>
    <row r="633" hidden="1" outlineLevel="1" ht="15" customHeight="1">
      <c r="A633" s="266" t="n"/>
      <c r="B633" s="126" t="n"/>
      <c r="C633" s="119" t="inlineStr">
        <is>
          <t>Thực tế</t>
        </is>
      </c>
      <c r="D633" s="321">
        <f>SUMIFS(DATA!$M:$M,DATA!$C:$C,$B632,DATA!$N:$N,"&gt;="&amp;DATE($I$2,D$4,1),DATA!$N:$N,"&lt;="&amp;DATE($I$2,D$4,D$5))</f>
        <v/>
      </c>
      <c r="E633" s="321">
        <f>SUMIFS(DATA!$M:$M,DATA!$C:$C,$B632,DATA!$N:$N,"&gt;="&amp;DATE($I$2,E$4,1),DATA!$N:$N,"&lt;="&amp;DATE($I$2,E$4,E$5))</f>
        <v/>
      </c>
      <c r="F633" s="321">
        <f>SUMIFS(DATA!$M:$M,DATA!$C:$C,$B632,DATA!$N:$N,"&gt;="&amp;DATE($I$2,F$4,1),DATA!$N:$N,"&lt;="&amp;DATE($I$2,F$4,F$5))</f>
        <v/>
      </c>
      <c r="G633" s="321">
        <f>SUMIFS(DATA!$M:$M,DATA!$C:$C,$B632,DATA!$N:$N,"&gt;="&amp;DATE($I$2,G$4,1),DATA!$N:$N,"&lt;="&amp;DATE($I$2,G$4,G$5))</f>
        <v/>
      </c>
      <c r="H633" s="321">
        <f>SUMIFS(DATA!$M:$M,DATA!$C:$C,$B632,DATA!$N:$N,"&gt;="&amp;DATE($I$2,H$4,1),DATA!$N:$N,"&lt;="&amp;DATE($I$2,H$4,H$5))</f>
        <v/>
      </c>
      <c r="I633" s="321">
        <f>SUMIFS(DATA!$M:$M,DATA!$C:$C,$B632,DATA!$N:$N,"&gt;="&amp;DATE($I$2,I$4,1),DATA!$N:$N,"&lt;="&amp;DATE($I$2,I$4,I$5))</f>
        <v/>
      </c>
      <c r="J633" s="321">
        <f>SUMIFS(DATA!$M:$M,DATA!$C:$C,$B632,DATA!$N:$N,"&gt;="&amp;DATE($I$2,J$4,1),DATA!$N:$N,"&lt;="&amp;DATE($I$2,J$4,J$5))</f>
        <v/>
      </c>
      <c r="K633" s="321">
        <f>SUMIFS(DATA!$M:$M,DATA!$C:$C,$B632,DATA!$N:$N,"&gt;="&amp;DATE($I$2,K$4,1),DATA!$N:$N,"&lt;="&amp;DATE($I$2,K$4,K$5))</f>
        <v/>
      </c>
      <c r="L633" s="321">
        <f>SUMIFS(DATA!$M:$M,DATA!$C:$C,$B632,DATA!$N:$N,"&gt;="&amp;DATE($I$2,L$4,1),DATA!$N:$N,"&lt;="&amp;DATE($I$2,L$4,L$5))</f>
        <v/>
      </c>
      <c r="M633" s="321">
        <f>SUMIFS(DATA!$M:$M,DATA!$C:$C,$B632,DATA!$N:$N,"&gt;="&amp;DATE($I$2,M$4,1),DATA!$N:$N,"&lt;="&amp;DATE($I$2,M$4,M$5))</f>
        <v/>
      </c>
      <c r="N633" s="321">
        <f>SUMIFS(DATA!$M:$M,DATA!$C:$C,$B632,DATA!$N:$N,"&gt;="&amp;DATE($I$2,N$4,1),DATA!$N:$N,"&lt;="&amp;DATE($I$2,N$4,N$5))</f>
        <v/>
      </c>
      <c r="O633" s="321">
        <f>SUMIFS(DATA!$M:$M,DATA!$C:$C,$B632,DATA!$N:$N,"&gt;="&amp;DATE($I$2,O$4,1),DATA!$N:$N,"&lt;="&amp;DATE($I$2,O$4,O$5))</f>
        <v/>
      </c>
      <c r="P633" s="322">
        <f>SUM(D633:O633)</f>
        <v/>
      </c>
      <c r="Q633" s="118" t="n"/>
    </row>
    <row r="634" hidden="1" outlineLevel="1" ht="15" customHeight="1">
      <c r="A634" s="269" t="n">
        <v>315</v>
      </c>
      <c r="B634" s="125" t="n"/>
      <c r="C634" s="119" t="inlineStr">
        <is>
          <t>Kế hoạch</t>
        </is>
      </c>
      <c r="D634" s="321">
        <f>SUMIFS(DATA!$I:$I,DATA!$C:$C,$B634,DATA!$J:$J,"&gt;="&amp;DATE($I$2,D$4,1),DATA!$J:$J,"&lt;="&amp;DATE($I$2,D$4,D$5))</f>
        <v/>
      </c>
      <c r="E634" s="321">
        <f>SUMIFS(DATA!$I:$I,DATA!$C:$C,$B634,DATA!$J:$J,"&gt;="&amp;DATE($I$2,E$4,1),DATA!$J:$J,"&lt;="&amp;DATE($I$2,E$4,E$5))</f>
        <v/>
      </c>
      <c r="F634" s="321">
        <f>SUMIFS(DATA!$I:$I,DATA!$C:$C,$B634,DATA!$J:$J,"&gt;="&amp;DATE($I$2,F$4,1),DATA!$J:$J,"&lt;="&amp;DATE($I$2,F$4,F$5))</f>
        <v/>
      </c>
      <c r="G634" s="321">
        <f>SUMIFS(DATA!$I:$I,DATA!$C:$C,$B634,DATA!$J:$J,"&gt;="&amp;DATE($I$2,G$4,1),DATA!$J:$J,"&lt;="&amp;DATE($I$2,G$4,G$5))</f>
        <v/>
      </c>
      <c r="H634" s="321">
        <f>SUMIFS(DATA!$I:$I,DATA!$C:$C,$B634,DATA!$J:$J,"&gt;="&amp;DATE($I$2,H$4,1),DATA!$J:$J,"&lt;="&amp;DATE($I$2,H$4,H$5))</f>
        <v/>
      </c>
      <c r="I634" s="321">
        <f>SUMIFS(DATA!$I:$I,DATA!$C:$C,$B634,DATA!$J:$J,"&gt;="&amp;DATE($I$2,I$4,1),DATA!$J:$J,"&lt;="&amp;DATE($I$2,I$4,I$5))</f>
        <v/>
      </c>
      <c r="J634" s="321">
        <f>SUMIFS(DATA!$I:$I,DATA!$C:$C,$B634,DATA!$J:$J,"&gt;="&amp;DATE($I$2,J$4,1),DATA!$J:$J,"&lt;="&amp;DATE($I$2,J$4,J$5))</f>
        <v/>
      </c>
      <c r="K634" s="321">
        <f>SUMIFS(DATA!$I:$I,DATA!$C:$C,$B634,DATA!$J:$J,"&gt;="&amp;DATE($I$2,K$4,1),DATA!$J:$J,"&lt;="&amp;DATE($I$2,K$4,K$5))</f>
        <v/>
      </c>
      <c r="L634" s="321">
        <f>SUMIFS(DATA!$I:$I,DATA!$C:$C,$B634,DATA!$J:$J,"&gt;="&amp;DATE($I$2,L$4,1),DATA!$J:$J,"&lt;="&amp;DATE($I$2,L$4,L$5))</f>
        <v/>
      </c>
      <c r="M634" s="321">
        <f>SUMIFS(DATA!$I:$I,DATA!$C:$C,$B634,DATA!$J:$J,"&gt;="&amp;DATE($I$2,M$4,1),DATA!$J:$J,"&lt;="&amp;DATE($I$2,M$4,M$5))</f>
        <v/>
      </c>
      <c r="N634" s="321">
        <f>SUMIFS(DATA!$I:$I,DATA!$C:$C,$B634,DATA!$J:$J,"&gt;="&amp;DATE($I$2,N$4,1),DATA!$J:$J,"&lt;="&amp;DATE($I$2,N$4,N$5))</f>
        <v/>
      </c>
      <c r="O634" s="321">
        <f>SUMIFS(DATA!$I:$I,DATA!$C:$C,$B634,DATA!$J:$J,"&gt;="&amp;DATE($I$2,O$4,1),DATA!$J:$J,"&lt;="&amp;DATE($I$2,O$4,O$5))</f>
        <v/>
      </c>
      <c r="P634" s="322">
        <f>SUM(D634:O634)</f>
        <v/>
      </c>
      <c r="Q634" s="118" t="n"/>
    </row>
    <row r="635" hidden="1" outlineLevel="1" ht="15" customHeight="1">
      <c r="A635" s="266" t="n"/>
      <c r="B635" s="126" t="n"/>
      <c r="C635" s="119" t="inlineStr">
        <is>
          <t>Thực tế</t>
        </is>
      </c>
      <c r="D635" s="321">
        <f>SUMIFS(DATA!$M:$M,DATA!$C:$C,$B634,DATA!$N:$N,"&gt;="&amp;DATE($I$2,D$4,1),DATA!$N:$N,"&lt;="&amp;DATE($I$2,D$4,D$5))</f>
        <v/>
      </c>
      <c r="E635" s="321">
        <f>SUMIFS(DATA!$M:$M,DATA!$C:$C,$B634,DATA!$N:$N,"&gt;="&amp;DATE($I$2,E$4,1),DATA!$N:$N,"&lt;="&amp;DATE($I$2,E$4,E$5))</f>
        <v/>
      </c>
      <c r="F635" s="321">
        <f>SUMIFS(DATA!$M:$M,DATA!$C:$C,$B634,DATA!$N:$N,"&gt;="&amp;DATE($I$2,F$4,1),DATA!$N:$N,"&lt;="&amp;DATE($I$2,F$4,F$5))</f>
        <v/>
      </c>
      <c r="G635" s="321">
        <f>SUMIFS(DATA!$M:$M,DATA!$C:$C,$B634,DATA!$N:$N,"&gt;="&amp;DATE($I$2,G$4,1),DATA!$N:$N,"&lt;="&amp;DATE($I$2,G$4,G$5))</f>
        <v/>
      </c>
      <c r="H635" s="321">
        <f>SUMIFS(DATA!$M:$M,DATA!$C:$C,$B634,DATA!$N:$N,"&gt;="&amp;DATE($I$2,H$4,1),DATA!$N:$N,"&lt;="&amp;DATE($I$2,H$4,H$5))</f>
        <v/>
      </c>
      <c r="I635" s="321">
        <f>SUMIFS(DATA!$M:$M,DATA!$C:$C,$B634,DATA!$N:$N,"&gt;="&amp;DATE($I$2,I$4,1),DATA!$N:$N,"&lt;="&amp;DATE($I$2,I$4,I$5))</f>
        <v/>
      </c>
      <c r="J635" s="321">
        <f>SUMIFS(DATA!$M:$M,DATA!$C:$C,$B634,DATA!$N:$N,"&gt;="&amp;DATE($I$2,J$4,1),DATA!$N:$N,"&lt;="&amp;DATE($I$2,J$4,J$5))</f>
        <v/>
      </c>
      <c r="K635" s="321">
        <f>SUMIFS(DATA!$M:$M,DATA!$C:$C,$B634,DATA!$N:$N,"&gt;="&amp;DATE($I$2,K$4,1),DATA!$N:$N,"&lt;="&amp;DATE($I$2,K$4,K$5))</f>
        <v/>
      </c>
      <c r="L635" s="321">
        <f>SUMIFS(DATA!$M:$M,DATA!$C:$C,$B634,DATA!$N:$N,"&gt;="&amp;DATE($I$2,L$4,1),DATA!$N:$N,"&lt;="&amp;DATE($I$2,L$4,L$5))</f>
        <v/>
      </c>
      <c r="M635" s="321">
        <f>SUMIFS(DATA!$M:$M,DATA!$C:$C,$B634,DATA!$N:$N,"&gt;="&amp;DATE($I$2,M$4,1),DATA!$N:$N,"&lt;="&amp;DATE($I$2,M$4,M$5))</f>
        <v/>
      </c>
      <c r="N635" s="321">
        <f>SUMIFS(DATA!$M:$M,DATA!$C:$C,$B634,DATA!$N:$N,"&gt;="&amp;DATE($I$2,N$4,1),DATA!$N:$N,"&lt;="&amp;DATE($I$2,N$4,N$5))</f>
        <v/>
      </c>
      <c r="O635" s="321">
        <f>SUMIFS(DATA!$M:$M,DATA!$C:$C,$B634,DATA!$N:$N,"&gt;="&amp;DATE($I$2,O$4,1),DATA!$N:$N,"&lt;="&amp;DATE($I$2,O$4,O$5))</f>
        <v/>
      </c>
      <c r="P635" s="322">
        <f>SUM(D635:O635)</f>
        <v/>
      </c>
      <c r="Q635" s="118" t="n"/>
    </row>
    <row r="636" hidden="1" outlineLevel="1" ht="15" customHeight="1">
      <c r="A636" s="269" t="n">
        <v>316</v>
      </c>
      <c r="B636" s="125" t="n"/>
      <c r="C636" s="119" t="inlineStr">
        <is>
          <t>Kế hoạch</t>
        </is>
      </c>
      <c r="D636" s="321">
        <f>SUMIFS(DATA!$I:$I,DATA!$C:$C,$B636,DATA!$J:$J,"&gt;="&amp;DATE($I$2,D$4,1),DATA!$J:$J,"&lt;="&amp;DATE($I$2,D$4,D$5))</f>
        <v/>
      </c>
      <c r="E636" s="321">
        <f>SUMIFS(DATA!$I:$I,DATA!$C:$C,$B636,DATA!$J:$J,"&gt;="&amp;DATE($I$2,E$4,1),DATA!$J:$J,"&lt;="&amp;DATE($I$2,E$4,E$5))</f>
        <v/>
      </c>
      <c r="F636" s="321">
        <f>SUMIFS(DATA!$I:$I,DATA!$C:$C,$B636,DATA!$J:$J,"&gt;="&amp;DATE($I$2,F$4,1),DATA!$J:$J,"&lt;="&amp;DATE($I$2,F$4,F$5))</f>
        <v/>
      </c>
      <c r="G636" s="321">
        <f>SUMIFS(DATA!$I:$I,DATA!$C:$C,$B636,DATA!$J:$J,"&gt;="&amp;DATE($I$2,G$4,1),DATA!$J:$J,"&lt;="&amp;DATE($I$2,G$4,G$5))</f>
        <v/>
      </c>
      <c r="H636" s="321">
        <f>SUMIFS(DATA!$I:$I,DATA!$C:$C,$B636,DATA!$J:$J,"&gt;="&amp;DATE($I$2,H$4,1),DATA!$J:$J,"&lt;="&amp;DATE($I$2,H$4,H$5))</f>
        <v/>
      </c>
      <c r="I636" s="321">
        <f>SUMIFS(DATA!$I:$I,DATA!$C:$C,$B636,DATA!$J:$J,"&gt;="&amp;DATE($I$2,I$4,1),DATA!$J:$J,"&lt;="&amp;DATE($I$2,I$4,I$5))</f>
        <v/>
      </c>
      <c r="J636" s="321">
        <f>SUMIFS(DATA!$I:$I,DATA!$C:$C,$B636,DATA!$J:$J,"&gt;="&amp;DATE($I$2,J$4,1),DATA!$J:$J,"&lt;="&amp;DATE($I$2,J$4,J$5))</f>
        <v/>
      </c>
      <c r="K636" s="321">
        <f>SUMIFS(DATA!$I:$I,DATA!$C:$C,$B636,DATA!$J:$J,"&gt;="&amp;DATE($I$2,K$4,1),DATA!$J:$J,"&lt;="&amp;DATE($I$2,K$4,K$5))</f>
        <v/>
      </c>
      <c r="L636" s="321">
        <f>SUMIFS(DATA!$I:$I,DATA!$C:$C,$B636,DATA!$J:$J,"&gt;="&amp;DATE($I$2,L$4,1),DATA!$J:$J,"&lt;="&amp;DATE($I$2,L$4,L$5))</f>
        <v/>
      </c>
      <c r="M636" s="321">
        <f>SUMIFS(DATA!$I:$I,DATA!$C:$C,$B636,DATA!$J:$J,"&gt;="&amp;DATE($I$2,M$4,1),DATA!$J:$J,"&lt;="&amp;DATE($I$2,M$4,M$5))</f>
        <v/>
      </c>
      <c r="N636" s="321">
        <f>SUMIFS(DATA!$I:$I,DATA!$C:$C,$B636,DATA!$J:$J,"&gt;="&amp;DATE($I$2,N$4,1),DATA!$J:$J,"&lt;="&amp;DATE($I$2,N$4,N$5))</f>
        <v/>
      </c>
      <c r="O636" s="321">
        <f>SUMIFS(DATA!$I:$I,DATA!$C:$C,$B636,DATA!$J:$J,"&gt;="&amp;DATE($I$2,O$4,1),DATA!$J:$J,"&lt;="&amp;DATE($I$2,O$4,O$5))</f>
        <v/>
      </c>
      <c r="P636" s="322">
        <f>SUM(D636:O636)</f>
        <v/>
      </c>
      <c r="Q636" s="118" t="n"/>
    </row>
    <row r="637" hidden="1" outlineLevel="1" ht="15" customHeight="1">
      <c r="A637" s="266" t="n"/>
      <c r="B637" s="126" t="n"/>
      <c r="C637" s="119" t="inlineStr">
        <is>
          <t>Thực tế</t>
        </is>
      </c>
      <c r="D637" s="321">
        <f>SUMIFS(DATA!$M:$M,DATA!$C:$C,$B636,DATA!$N:$N,"&gt;="&amp;DATE($I$2,D$4,1),DATA!$N:$N,"&lt;="&amp;DATE($I$2,D$4,D$5))</f>
        <v/>
      </c>
      <c r="E637" s="321">
        <f>SUMIFS(DATA!$M:$M,DATA!$C:$C,$B636,DATA!$N:$N,"&gt;="&amp;DATE($I$2,E$4,1),DATA!$N:$N,"&lt;="&amp;DATE($I$2,E$4,E$5))</f>
        <v/>
      </c>
      <c r="F637" s="321">
        <f>SUMIFS(DATA!$M:$M,DATA!$C:$C,$B636,DATA!$N:$N,"&gt;="&amp;DATE($I$2,F$4,1),DATA!$N:$N,"&lt;="&amp;DATE($I$2,F$4,F$5))</f>
        <v/>
      </c>
      <c r="G637" s="321">
        <f>SUMIFS(DATA!$M:$M,DATA!$C:$C,$B636,DATA!$N:$N,"&gt;="&amp;DATE($I$2,G$4,1),DATA!$N:$N,"&lt;="&amp;DATE($I$2,G$4,G$5))</f>
        <v/>
      </c>
      <c r="H637" s="321">
        <f>SUMIFS(DATA!$M:$M,DATA!$C:$C,$B636,DATA!$N:$N,"&gt;="&amp;DATE($I$2,H$4,1),DATA!$N:$N,"&lt;="&amp;DATE($I$2,H$4,H$5))</f>
        <v/>
      </c>
      <c r="I637" s="321">
        <f>SUMIFS(DATA!$M:$M,DATA!$C:$C,$B636,DATA!$N:$N,"&gt;="&amp;DATE($I$2,I$4,1),DATA!$N:$N,"&lt;="&amp;DATE($I$2,I$4,I$5))</f>
        <v/>
      </c>
      <c r="J637" s="321">
        <f>SUMIFS(DATA!$M:$M,DATA!$C:$C,$B636,DATA!$N:$N,"&gt;="&amp;DATE($I$2,J$4,1),DATA!$N:$N,"&lt;="&amp;DATE($I$2,J$4,J$5))</f>
        <v/>
      </c>
      <c r="K637" s="321">
        <f>SUMIFS(DATA!$M:$M,DATA!$C:$C,$B636,DATA!$N:$N,"&gt;="&amp;DATE($I$2,K$4,1),DATA!$N:$N,"&lt;="&amp;DATE($I$2,K$4,K$5))</f>
        <v/>
      </c>
      <c r="L637" s="321">
        <f>SUMIFS(DATA!$M:$M,DATA!$C:$C,$B636,DATA!$N:$N,"&gt;="&amp;DATE($I$2,L$4,1),DATA!$N:$N,"&lt;="&amp;DATE($I$2,L$4,L$5))</f>
        <v/>
      </c>
      <c r="M637" s="321">
        <f>SUMIFS(DATA!$M:$M,DATA!$C:$C,$B636,DATA!$N:$N,"&gt;="&amp;DATE($I$2,M$4,1),DATA!$N:$N,"&lt;="&amp;DATE($I$2,M$4,M$5))</f>
        <v/>
      </c>
      <c r="N637" s="321">
        <f>SUMIFS(DATA!$M:$M,DATA!$C:$C,$B636,DATA!$N:$N,"&gt;="&amp;DATE($I$2,N$4,1),DATA!$N:$N,"&lt;="&amp;DATE($I$2,N$4,N$5))</f>
        <v/>
      </c>
      <c r="O637" s="321">
        <f>SUMIFS(DATA!$M:$M,DATA!$C:$C,$B636,DATA!$N:$N,"&gt;="&amp;DATE($I$2,O$4,1),DATA!$N:$N,"&lt;="&amp;DATE($I$2,O$4,O$5))</f>
        <v/>
      </c>
      <c r="P637" s="322">
        <f>SUM(D637:O637)</f>
        <v/>
      </c>
      <c r="Q637" s="118" t="n"/>
    </row>
    <row r="638" hidden="1" outlineLevel="1" ht="15" customHeight="1">
      <c r="A638" s="269" t="n">
        <v>317</v>
      </c>
      <c r="B638" s="125" t="n"/>
      <c r="C638" s="119" t="inlineStr">
        <is>
          <t>Kế hoạch</t>
        </is>
      </c>
      <c r="D638" s="321">
        <f>SUMIFS(DATA!$I:$I,DATA!$C:$C,$B638,DATA!$J:$J,"&gt;="&amp;DATE($I$2,D$4,1),DATA!$J:$J,"&lt;="&amp;DATE($I$2,D$4,D$5))</f>
        <v/>
      </c>
      <c r="E638" s="321">
        <f>SUMIFS(DATA!$I:$I,DATA!$C:$C,$B638,DATA!$J:$J,"&gt;="&amp;DATE($I$2,E$4,1),DATA!$J:$J,"&lt;="&amp;DATE($I$2,E$4,E$5))</f>
        <v/>
      </c>
      <c r="F638" s="321">
        <f>SUMIFS(DATA!$I:$I,DATA!$C:$C,$B638,DATA!$J:$J,"&gt;="&amp;DATE($I$2,F$4,1),DATA!$J:$J,"&lt;="&amp;DATE($I$2,F$4,F$5))</f>
        <v/>
      </c>
      <c r="G638" s="321">
        <f>SUMIFS(DATA!$I:$I,DATA!$C:$C,$B638,DATA!$J:$J,"&gt;="&amp;DATE($I$2,G$4,1),DATA!$J:$J,"&lt;="&amp;DATE($I$2,G$4,G$5))</f>
        <v/>
      </c>
      <c r="H638" s="321">
        <f>SUMIFS(DATA!$I:$I,DATA!$C:$C,$B638,DATA!$J:$J,"&gt;="&amp;DATE($I$2,H$4,1),DATA!$J:$J,"&lt;="&amp;DATE($I$2,H$4,H$5))</f>
        <v/>
      </c>
      <c r="I638" s="321">
        <f>SUMIFS(DATA!$I:$I,DATA!$C:$C,$B638,DATA!$J:$J,"&gt;="&amp;DATE($I$2,I$4,1),DATA!$J:$J,"&lt;="&amp;DATE($I$2,I$4,I$5))</f>
        <v/>
      </c>
      <c r="J638" s="321">
        <f>SUMIFS(DATA!$I:$I,DATA!$C:$C,$B638,DATA!$J:$J,"&gt;="&amp;DATE($I$2,J$4,1),DATA!$J:$J,"&lt;="&amp;DATE($I$2,J$4,J$5))</f>
        <v/>
      </c>
      <c r="K638" s="321">
        <f>SUMIFS(DATA!$I:$I,DATA!$C:$C,$B638,DATA!$J:$J,"&gt;="&amp;DATE($I$2,K$4,1),DATA!$J:$J,"&lt;="&amp;DATE($I$2,K$4,K$5))</f>
        <v/>
      </c>
      <c r="L638" s="321">
        <f>SUMIFS(DATA!$I:$I,DATA!$C:$C,$B638,DATA!$J:$J,"&gt;="&amp;DATE($I$2,L$4,1),DATA!$J:$J,"&lt;="&amp;DATE($I$2,L$4,L$5))</f>
        <v/>
      </c>
      <c r="M638" s="321">
        <f>SUMIFS(DATA!$I:$I,DATA!$C:$C,$B638,DATA!$J:$J,"&gt;="&amp;DATE($I$2,M$4,1),DATA!$J:$J,"&lt;="&amp;DATE($I$2,M$4,M$5))</f>
        <v/>
      </c>
      <c r="N638" s="321">
        <f>SUMIFS(DATA!$I:$I,DATA!$C:$C,$B638,DATA!$J:$J,"&gt;="&amp;DATE($I$2,N$4,1),DATA!$J:$J,"&lt;="&amp;DATE($I$2,N$4,N$5))</f>
        <v/>
      </c>
      <c r="O638" s="321">
        <f>SUMIFS(DATA!$I:$I,DATA!$C:$C,$B638,DATA!$J:$J,"&gt;="&amp;DATE($I$2,O$4,1),DATA!$J:$J,"&lt;="&amp;DATE($I$2,O$4,O$5))</f>
        <v/>
      </c>
      <c r="P638" s="322">
        <f>SUM(D638:O638)</f>
        <v/>
      </c>
      <c r="Q638" s="118" t="n"/>
    </row>
    <row r="639" hidden="1" outlineLevel="1" ht="15" customHeight="1">
      <c r="A639" s="266" t="n"/>
      <c r="B639" s="126" t="n"/>
      <c r="C639" s="119" t="inlineStr">
        <is>
          <t>Thực tế</t>
        </is>
      </c>
      <c r="D639" s="321">
        <f>SUMIFS(DATA!$M:$M,DATA!$C:$C,$B638,DATA!$N:$N,"&gt;="&amp;DATE($I$2,D$4,1),DATA!$N:$N,"&lt;="&amp;DATE($I$2,D$4,D$5))</f>
        <v/>
      </c>
      <c r="E639" s="321">
        <f>SUMIFS(DATA!$M:$M,DATA!$C:$C,$B638,DATA!$N:$N,"&gt;="&amp;DATE($I$2,E$4,1),DATA!$N:$N,"&lt;="&amp;DATE($I$2,E$4,E$5))</f>
        <v/>
      </c>
      <c r="F639" s="321">
        <f>SUMIFS(DATA!$M:$M,DATA!$C:$C,$B638,DATA!$N:$N,"&gt;="&amp;DATE($I$2,F$4,1),DATA!$N:$N,"&lt;="&amp;DATE($I$2,F$4,F$5))</f>
        <v/>
      </c>
      <c r="G639" s="321">
        <f>SUMIFS(DATA!$M:$M,DATA!$C:$C,$B638,DATA!$N:$N,"&gt;="&amp;DATE($I$2,G$4,1),DATA!$N:$N,"&lt;="&amp;DATE($I$2,G$4,G$5))</f>
        <v/>
      </c>
      <c r="H639" s="321">
        <f>SUMIFS(DATA!$M:$M,DATA!$C:$C,$B638,DATA!$N:$N,"&gt;="&amp;DATE($I$2,H$4,1),DATA!$N:$N,"&lt;="&amp;DATE($I$2,H$4,H$5))</f>
        <v/>
      </c>
      <c r="I639" s="321">
        <f>SUMIFS(DATA!$M:$M,DATA!$C:$C,$B638,DATA!$N:$N,"&gt;="&amp;DATE($I$2,I$4,1),DATA!$N:$N,"&lt;="&amp;DATE($I$2,I$4,I$5))</f>
        <v/>
      </c>
      <c r="J639" s="321">
        <f>SUMIFS(DATA!$M:$M,DATA!$C:$C,$B638,DATA!$N:$N,"&gt;="&amp;DATE($I$2,J$4,1),DATA!$N:$N,"&lt;="&amp;DATE($I$2,J$4,J$5))</f>
        <v/>
      </c>
      <c r="K639" s="321">
        <f>SUMIFS(DATA!$M:$M,DATA!$C:$C,$B638,DATA!$N:$N,"&gt;="&amp;DATE($I$2,K$4,1),DATA!$N:$N,"&lt;="&amp;DATE($I$2,K$4,K$5))</f>
        <v/>
      </c>
      <c r="L639" s="321">
        <f>SUMIFS(DATA!$M:$M,DATA!$C:$C,$B638,DATA!$N:$N,"&gt;="&amp;DATE($I$2,L$4,1),DATA!$N:$N,"&lt;="&amp;DATE($I$2,L$4,L$5))</f>
        <v/>
      </c>
      <c r="M639" s="321">
        <f>SUMIFS(DATA!$M:$M,DATA!$C:$C,$B638,DATA!$N:$N,"&gt;="&amp;DATE($I$2,M$4,1),DATA!$N:$N,"&lt;="&amp;DATE($I$2,M$4,M$5))</f>
        <v/>
      </c>
      <c r="N639" s="321">
        <f>SUMIFS(DATA!$M:$M,DATA!$C:$C,$B638,DATA!$N:$N,"&gt;="&amp;DATE($I$2,N$4,1),DATA!$N:$N,"&lt;="&amp;DATE($I$2,N$4,N$5))</f>
        <v/>
      </c>
      <c r="O639" s="321">
        <f>SUMIFS(DATA!$M:$M,DATA!$C:$C,$B638,DATA!$N:$N,"&gt;="&amp;DATE($I$2,O$4,1),DATA!$N:$N,"&lt;="&amp;DATE($I$2,O$4,O$5))</f>
        <v/>
      </c>
      <c r="P639" s="322">
        <f>SUM(D639:O639)</f>
        <v/>
      </c>
      <c r="Q639" s="118" t="n"/>
    </row>
    <row r="640" hidden="1" outlineLevel="1" ht="15" customHeight="1">
      <c r="A640" s="269" t="n">
        <v>318</v>
      </c>
      <c r="B640" s="125" t="n"/>
      <c r="C640" s="119" t="inlineStr">
        <is>
          <t>Kế hoạch</t>
        </is>
      </c>
      <c r="D640" s="321">
        <f>SUMIFS(DATA!$I:$I,DATA!$C:$C,$B640,DATA!$J:$J,"&gt;="&amp;DATE($I$2,D$4,1),DATA!$J:$J,"&lt;="&amp;DATE($I$2,D$4,D$5))</f>
        <v/>
      </c>
      <c r="E640" s="321">
        <f>SUMIFS(DATA!$I:$I,DATA!$C:$C,$B640,DATA!$J:$J,"&gt;="&amp;DATE($I$2,E$4,1),DATA!$J:$J,"&lt;="&amp;DATE($I$2,E$4,E$5))</f>
        <v/>
      </c>
      <c r="F640" s="321">
        <f>SUMIFS(DATA!$I:$I,DATA!$C:$C,$B640,DATA!$J:$J,"&gt;="&amp;DATE($I$2,F$4,1),DATA!$J:$J,"&lt;="&amp;DATE($I$2,F$4,F$5))</f>
        <v/>
      </c>
      <c r="G640" s="321">
        <f>SUMIFS(DATA!$I:$I,DATA!$C:$C,$B640,DATA!$J:$J,"&gt;="&amp;DATE($I$2,G$4,1),DATA!$J:$J,"&lt;="&amp;DATE($I$2,G$4,G$5))</f>
        <v/>
      </c>
      <c r="H640" s="321">
        <f>SUMIFS(DATA!$I:$I,DATA!$C:$C,$B640,DATA!$J:$J,"&gt;="&amp;DATE($I$2,H$4,1),DATA!$J:$J,"&lt;="&amp;DATE($I$2,H$4,H$5))</f>
        <v/>
      </c>
      <c r="I640" s="321">
        <f>SUMIFS(DATA!$I:$I,DATA!$C:$C,$B640,DATA!$J:$J,"&gt;="&amp;DATE($I$2,I$4,1),DATA!$J:$J,"&lt;="&amp;DATE($I$2,I$4,I$5))</f>
        <v/>
      </c>
      <c r="J640" s="321">
        <f>SUMIFS(DATA!$I:$I,DATA!$C:$C,$B640,DATA!$J:$J,"&gt;="&amp;DATE($I$2,J$4,1),DATA!$J:$J,"&lt;="&amp;DATE($I$2,J$4,J$5))</f>
        <v/>
      </c>
      <c r="K640" s="321">
        <f>SUMIFS(DATA!$I:$I,DATA!$C:$C,$B640,DATA!$J:$J,"&gt;="&amp;DATE($I$2,K$4,1),DATA!$J:$J,"&lt;="&amp;DATE($I$2,K$4,K$5))</f>
        <v/>
      </c>
      <c r="L640" s="321">
        <f>SUMIFS(DATA!$I:$I,DATA!$C:$C,$B640,DATA!$J:$J,"&gt;="&amp;DATE($I$2,L$4,1),DATA!$J:$J,"&lt;="&amp;DATE($I$2,L$4,L$5))</f>
        <v/>
      </c>
      <c r="M640" s="321">
        <f>SUMIFS(DATA!$I:$I,DATA!$C:$C,$B640,DATA!$J:$J,"&gt;="&amp;DATE($I$2,M$4,1),DATA!$J:$J,"&lt;="&amp;DATE($I$2,M$4,M$5))</f>
        <v/>
      </c>
      <c r="N640" s="321">
        <f>SUMIFS(DATA!$I:$I,DATA!$C:$C,$B640,DATA!$J:$J,"&gt;="&amp;DATE($I$2,N$4,1),DATA!$J:$J,"&lt;="&amp;DATE($I$2,N$4,N$5))</f>
        <v/>
      </c>
      <c r="O640" s="321">
        <f>SUMIFS(DATA!$I:$I,DATA!$C:$C,$B640,DATA!$J:$J,"&gt;="&amp;DATE($I$2,O$4,1),DATA!$J:$J,"&lt;="&amp;DATE($I$2,O$4,O$5))</f>
        <v/>
      </c>
      <c r="P640" s="322">
        <f>SUM(D640:O640)</f>
        <v/>
      </c>
      <c r="Q640" s="118" t="n"/>
    </row>
    <row r="641" hidden="1" outlineLevel="1" ht="15" customHeight="1">
      <c r="A641" s="266" t="n"/>
      <c r="B641" s="126" t="n"/>
      <c r="C641" s="119" t="inlineStr">
        <is>
          <t>Thực tế</t>
        </is>
      </c>
      <c r="D641" s="321">
        <f>SUMIFS(DATA!$M:$M,DATA!$C:$C,$B640,DATA!$N:$N,"&gt;="&amp;DATE($I$2,D$4,1),DATA!$N:$N,"&lt;="&amp;DATE($I$2,D$4,D$5))</f>
        <v/>
      </c>
      <c r="E641" s="321">
        <f>SUMIFS(DATA!$M:$M,DATA!$C:$C,$B640,DATA!$N:$N,"&gt;="&amp;DATE($I$2,E$4,1),DATA!$N:$N,"&lt;="&amp;DATE($I$2,E$4,E$5))</f>
        <v/>
      </c>
      <c r="F641" s="321">
        <f>SUMIFS(DATA!$M:$M,DATA!$C:$C,$B640,DATA!$N:$N,"&gt;="&amp;DATE($I$2,F$4,1),DATA!$N:$N,"&lt;="&amp;DATE($I$2,F$4,F$5))</f>
        <v/>
      </c>
      <c r="G641" s="321">
        <f>SUMIFS(DATA!$M:$M,DATA!$C:$C,$B640,DATA!$N:$N,"&gt;="&amp;DATE($I$2,G$4,1),DATA!$N:$N,"&lt;="&amp;DATE($I$2,G$4,G$5))</f>
        <v/>
      </c>
      <c r="H641" s="321">
        <f>SUMIFS(DATA!$M:$M,DATA!$C:$C,$B640,DATA!$N:$N,"&gt;="&amp;DATE($I$2,H$4,1),DATA!$N:$N,"&lt;="&amp;DATE($I$2,H$4,H$5))</f>
        <v/>
      </c>
      <c r="I641" s="321">
        <f>SUMIFS(DATA!$M:$M,DATA!$C:$C,$B640,DATA!$N:$N,"&gt;="&amp;DATE($I$2,I$4,1),DATA!$N:$N,"&lt;="&amp;DATE($I$2,I$4,I$5))</f>
        <v/>
      </c>
      <c r="J641" s="321">
        <f>SUMIFS(DATA!$M:$M,DATA!$C:$C,$B640,DATA!$N:$N,"&gt;="&amp;DATE($I$2,J$4,1),DATA!$N:$N,"&lt;="&amp;DATE($I$2,J$4,J$5))</f>
        <v/>
      </c>
      <c r="K641" s="321">
        <f>SUMIFS(DATA!$M:$M,DATA!$C:$C,$B640,DATA!$N:$N,"&gt;="&amp;DATE($I$2,K$4,1),DATA!$N:$N,"&lt;="&amp;DATE($I$2,K$4,K$5))</f>
        <v/>
      </c>
      <c r="L641" s="321">
        <f>SUMIFS(DATA!$M:$M,DATA!$C:$C,$B640,DATA!$N:$N,"&gt;="&amp;DATE($I$2,L$4,1),DATA!$N:$N,"&lt;="&amp;DATE($I$2,L$4,L$5))</f>
        <v/>
      </c>
      <c r="M641" s="321">
        <f>SUMIFS(DATA!$M:$M,DATA!$C:$C,$B640,DATA!$N:$N,"&gt;="&amp;DATE($I$2,M$4,1),DATA!$N:$N,"&lt;="&amp;DATE($I$2,M$4,M$5))</f>
        <v/>
      </c>
      <c r="N641" s="321">
        <f>SUMIFS(DATA!$M:$M,DATA!$C:$C,$B640,DATA!$N:$N,"&gt;="&amp;DATE($I$2,N$4,1),DATA!$N:$N,"&lt;="&amp;DATE($I$2,N$4,N$5))</f>
        <v/>
      </c>
      <c r="O641" s="321">
        <f>SUMIFS(DATA!$M:$M,DATA!$C:$C,$B640,DATA!$N:$N,"&gt;="&amp;DATE($I$2,O$4,1),DATA!$N:$N,"&lt;="&amp;DATE($I$2,O$4,O$5))</f>
        <v/>
      </c>
      <c r="P641" s="322">
        <f>SUM(D641:O641)</f>
        <v/>
      </c>
      <c r="Q641" s="118" t="n"/>
    </row>
    <row r="642" hidden="1" outlineLevel="1" ht="15" customHeight="1">
      <c r="A642" s="269" t="n">
        <v>319</v>
      </c>
      <c r="B642" s="125" t="n"/>
      <c r="C642" s="119" t="inlineStr">
        <is>
          <t>Kế hoạch</t>
        </is>
      </c>
      <c r="D642" s="321">
        <f>SUMIFS(DATA!$I:$I,DATA!$C:$C,$B642,DATA!$J:$J,"&gt;="&amp;DATE($I$2,D$4,1),DATA!$J:$J,"&lt;="&amp;DATE($I$2,D$4,D$5))</f>
        <v/>
      </c>
      <c r="E642" s="321">
        <f>SUMIFS(DATA!$I:$I,DATA!$C:$C,$B642,DATA!$J:$J,"&gt;="&amp;DATE($I$2,E$4,1),DATA!$J:$J,"&lt;="&amp;DATE($I$2,E$4,E$5))</f>
        <v/>
      </c>
      <c r="F642" s="321">
        <f>SUMIFS(DATA!$I:$I,DATA!$C:$C,$B642,DATA!$J:$J,"&gt;="&amp;DATE($I$2,F$4,1),DATA!$J:$J,"&lt;="&amp;DATE($I$2,F$4,F$5))</f>
        <v/>
      </c>
      <c r="G642" s="321">
        <f>SUMIFS(DATA!$I:$I,DATA!$C:$C,$B642,DATA!$J:$J,"&gt;="&amp;DATE($I$2,G$4,1),DATA!$J:$J,"&lt;="&amp;DATE($I$2,G$4,G$5))</f>
        <v/>
      </c>
      <c r="H642" s="321">
        <f>SUMIFS(DATA!$I:$I,DATA!$C:$C,$B642,DATA!$J:$J,"&gt;="&amp;DATE($I$2,H$4,1),DATA!$J:$J,"&lt;="&amp;DATE($I$2,H$4,H$5))</f>
        <v/>
      </c>
      <c r="I642" s="321">
        <f>SUMIFS(DATA!$I:$I,DATA!$C:$C,$B642,DATA!$J:$J,"&gt;="&amp;DATE($I$2,I$4,1),DATA!$J:$J,"&lt;="&amp;DATE($I$2,I$4,I$5))</f>
        <v/>
      </c>
      <c r="J642" s="321">
        <f>SUMIFS(DATA!$I:$I,DATA!$C:$C,$B642,DATA!$J:$J,"&gt;="&amp;DATE($I$2,J$4,1),DATA!$J:$J,"&lt;="&amp;DATE($I$2,J$4,J$5))</f>
        <v/>
      </c>
      <c r="K642" s="321">
        <f>SUMIFS(DATA!$I:$I,DATA!$C:$C,$B642,DATA!$J:$J,"&gt;="&amp;DATE($I$2,K$4,1),DATA!$J:$J,"&lt;="&amp;DATE($I$2,K$4,K$5))</f>
        <v/>
      </c>
      <c r="L642" s="321">
        <f>SUMIFS(DATA!$I:$I,DATA!$C:$C,$B642,DATA!$J:$J,"&gt;="&amp;DATE($I$2,L$4,1),DATA!$J:$J,"&lt;="&amp;DATE($I$2,L$4,L$5))</f>
        <v/>
      </c>
      <c r="M642" s="321">
        <f>SUMIFS(DATA!$I:$I,DATA!$C:$C,$B642,DATA!$J:$J,"&gt;="&amp;DATE($I$2,M$4,1),DATA!$J:$J,"&lt;="&amp;DATE($I$2,M$4,M$5))</f>
        <v/>
      </c>
      <c r="N642" s="321">
        <f>SUMIFS(DATA!$I:$I,DATA!$C:$C,$B642,DATA!$J:$J,"&gt;="&amp;DATE($I$2,N$4,1),DATA!$J:$J,"&lt;="&amp;DATE($I$2,N$4,N$5))</f>
        <v/>
      </c>
      <c r="O642" s="321">
        <f>SUMIFS(DATA!$I:$I,DATA!$C:$C,$B642,DATA!$J:$J,"&gt;="&amp;DATE($I$2,O$4,1),DATA!$J:$J,"&lt;="&amp;DATE($I$2,O$4,O$5))</f>
        <v/>
      </c>
      <c r="P642" s="322">
        <f>SUM(D642:O642)</f>
        <v/>
      </c>
      <c r="Q642" s="118" t="n"/>
    </row>
    <row r="643" hidden="1" outlineLevel="1" ht="15" customHeight="1">
      <c r="A643" s="266" t="n"/>
      <c r="B643" s="126" t="n"/>
      <c r="C643" s="119" t="inlineStr">
        <is>
          <t>Thực tế</t>
        </is>
      </c>
      <c r="D643" s="321">
        <f>SUMIFS(DATA!$M:$M,DATA!$C:$C,$B642,DATA!$N:$N,"&gt;="&amp;DATE($I$2,D$4,1),DATA!$N:$N,"&lt;="&amp;DATE($I$2,D$4,D$5))</f>
        <v/>
      </c>
      <c r="E643" s="321">
        <f>SUMIFS(DATA!$M:$M,DATA!$C:$C,$B642,DATA!$N:$N,"&gt;="&amp;DATE($I$2,E$4,1),DATA!$N:$N,"&lt;="&amp;DATE($I$2,E$4,E$5))</f>
        <v/>
      </c>
      <c r="F643" s="321">
        <f>SUMIFS(DATA!$M:$M,DATA!$C:$C,$B642,DATA!$N:$N,"&gt;="&amp;DATE($I$2,F$4,1),DATA!$N:$N,"&lt;="&amp;DATE($I$2,F$4,F$5))</f>
        <v/>
      </c>
      <c r="G643" s="321">
        <f>SUMIFS(DATA!$M:$M,DATA!$C:$C,$B642,DATA!$N:$N,"&gt;="&amp;DATE($I$2,G$4,1),DATA!$N:$N,"&lt;="&amp;DATE($I$2,G$4,G$5))</f>
        <v/>
      </c>
      <c r="H643" s="321">
        <f>SUMIFS(DATA!$M:$M,DATA!$C:$C,$B642,DATA!$N:$N,"&gt;="&amp;DATE($I$2,H$4,1),DATA!$N:$N,"&lt;="&amp;DATE($I$2,H$4,H$5))</f>
        <v/>
      </c>
      <c r="I643" s="321">
        <f>SUMIFS(DATA!$M:$M,DATA!$C:$C,$B642,DATA!$N:$N,"&gt;="&amp;DATE($I$2,I$4,1),DATA!$N:$N,"&lt;="&amp;DATE($I$2,I$4,I$5))</f>
        <v/>
      </c>
      <c r="J643" s="321">
        <f>SUMIFS(DATA!$M:$M,DATA!$C:$C,$B642,DATA!$N:$N,"&gt;="&amp;DATE($I$2,J$4,1),DATA!$N:$N,"&lt;="&amp;DATE($I$2,J$4,J$5))</f>
        <v/>
      </c>
      <c r="K643" s="321">
        <f>SUMIFS(DATA!$M:$M,DATA!$C:$C,$B642,DATA!$N:$N,"&gt;="&amp;DATE($I$2,K$4,1),DATA!$N:$N,"&lt;="&amp;DATE($I$2,K$4,K$5))</f>
        <v/>
      </c>
      <c r="L643" s="321">
        <f>SUMIFS(DATA!$M:$M,DATA!$C:$C,$B642,DATA!$N:$N,"&gt;="&amp;DATE($I$2,L$4,1),DATA!$N:$N,"&lt;="&amp;DATE($I$2,L$4,L$5))</f>
        <v/>
      </c>
      <c r="M643" s="321">
        <f>SUMIFS(DATA!$M:$M,DATA!$C:$C,$B642,DATA!$N:$N,"&gt;="&amp;DATE($I$2,M$4,1),DATA!$N:$N,"&lt;="&amp;DATE($I$2,M$4,M$5))</f>
        <v/>
      </c>
      <c r="N643" s="321">
        <f>SUMIFS(DATA!$M:$M,DATA!$C:$C,$B642,DATA!$N:$N,"&gt;="&amp;DATE($I$2,N$4,1),DATA!$N:$N,"&lt;="&amp;DATE($I$2,N$4,N$5))</f>
        <v/>
      </c>
      <c r="O643" s="321">
        <f>SUMIFS(DATA!$M:$M,DATA!$C:$C,$B642,DATA!$N:$N,"&gt;="&amp;DATE($I$2,O$4,1),DATA!$N:$N,"&lt;="&amp;DATE($I$2,O$4,O$5))</f>
        <v/>
      </c>
      <c r="P643" s="322">
        <f>SUM(D643:O643)</f>
        <v/>
      </c>
      <c r="Q643" s="118" t="n"/>
    </row>
    <row r="644" hidden="1" outlineLevel="1" ht="15" customHeight="1">
      <c r="A644" s="269" t="n">
        <v>320</v>
      </c>
      <c r="B644" s="125" t="n"/>
      <c r="C644" s="119" t="inlineStr">
        <is>
          <t>Kế hoạch</t>
        </is>
      </c>
      <c r="D644" s="321">
        <f>SUMIFS(DATA!$I:$I,DATA!$C:$C,$B644,DATA!$J:$J,"&gt;="&amp;DATE($I$2,D$4,1),DATA!$J:$J,"&lt;="&amp;DATE($I$2,D$4,D$5))</f>
        <v/>
      </c>
      <c r="E644" s="321">
        <f>SUMIFS(DATA!$I:$I,DATA!$C:$C,$B644,DATA!$J:$J,"&gt;="&amp;DATE($I$2,E$4,1),DATA!$J:$J,"&lt;="&amp;DATE($I$2,E$4,E$5))</f>
        <v/>
      </c>
      <c r="F644" s="321">
        <f>SUMIFS(DATA!$I:$I,DATA!$C:$C,$B644,DATA!$J:$J,"&gt;="&amp;DATE($I$2,F$4,1),DATA!$J:$J,"&lt;="&amp;DATE($I$2,F$4,F$5))</f>
        <v/>
      </c>
      <c r="G644" s="321">
        <f>SUMIFS(DATA!$I:$I,DATA!$C:$C,$B644,DATA!$J:$J,"&gt;="&amp;DATE($I$2,G$4,1),DATA!$J:$J,"&lt;="&amp;DATE($I$2,G$4,G$5))</f>
        <v/>
      </c>
      <c r="H644" s="321">
        <f>SUMIFS(DATA!$I:$I,DATA!$C:$C,$B644,DATA!$J:$J,"&gt;="&amp;DATE($I$2,H$4,1),DATA!$J:$J,"&lt;="&amp;DATE($I$2,H$4,H$5))</f>
        <v/>
      </c>
      <c r="I644" s="321">
        <f>SUMIFS(DATA!$I:$I,DATA!$C:$C,$B644,DATA!$J:$J,"&gt;="&amp;DATE($I$2,I$4,1),DATA!$J:$J,"&lt;="&amp;DATE($I$2,I$4,I$5))</f>
        <v/>
      </c>
      <c r="J644" s="321">
        <f>SUMIFS(DATA!$I:$I,DATA!$C:$C,$B644,DATA!$J:$J,"&gt;="&amp;DATE($I$2,J$4,1),DATA!$J:$J,"&lt;="&amp;DATE($I$2,J$4,J$5))</f>
        <v/>
      </c>
      <c r="K644" s="321">
        <f>SUMIFS(DATA!$I:$I,DATA!$C:$C,$B644,DATA!$J:$J,"&gt;="&amp;DATE($I$2,K$4,1),DATA!$J:$J,"&lt;="&amp;DATE($I$2,K$4,K$5))</f>
        <v/>
      </c>
      <c r="L644" s="321">
        <f>SUMIFS(DATA!$I:$I,DATA!$C:$C,$B644,DATA!$J:$J,"&gt;="&amp;DATE($I$2,L$4,1),DATA!$J:$J,"&lt;="&amp;DATE($I$2,L$4,L$5))</f>
        <v/>
      </c>
      <c r="M644" s="321">
        <f>SUMIFS(DATA!$I:$I,DATA!$C:$C,$B644,DATA!$J:$J,"&gt;="&amp;DATE($I$2,M$4,1),DATA!$J:$J,"&lt;="&amp;DATE($I$2,M$4,M$5))</f>
        <v/>
      </c>
      <c r="N644" s="321">
        <f>SUMIFS(DATA!$I:$I,DATA!$C:$C,$B644,DATA!$J:$J,"&gt;="&amp;DATE($I$2,N$4,1),DATA!$J:$J,"&lt;="&amp;DATE($I$2,N$4,N$5))</f>
        <v/>
      </c>
      <c r="O644" s="321">
        <f>SUMIFS(DATA!$I:$I,DATA!$C:$C,$B644,DATA!$J:$J,"&gt;="&amp;DATE($I$2,O$4,1),DATA!$J:$J,"&lt;="&amp;DATE($I$2,O$4,O$5))</f>
        <v/>
      </c>
      <c r="P644" s="322">
        <f>SUM(D644:O644)</f>
        <v/>
      </c>
      <c r="Q644" s="118" t="n"/>
    </row>
    <row r="645" hidden="1" outlineLevel="1" ht="15" customHeight="1">
      <c r="A645" s="266" t="n"/>
      <c r="B645" s="126" t="n"/>
      <c r="C645" s="119" t="inlineStr">
        <is>
          <t>Thực tế</t>
        </is>
      </c>
      <c r="D645" s="321">
        <f>SUMIFS(DATA!$M:$M,DATA!$C:$C,$B644,DATA!$N:$N,"&gt;="&amp;DATE($I$2,D$4,1),DATA!$N:$N,"&lt;="&amp;DATE($I$2,D$4,D$5))</f>
        <v/>
      </c>
      <c r="E645" s="321">
        <f>SUMIFS(DATA!$M:$M,DATA!$C:$C,$B644,DATA!$N:$N,"&gt;="&amp;DATE($I$2,E$4,1),DATA!$N:$N,"&lt;="&amp;DATE($I$2,E$4,E$5))</f>
        <v/>
      </c>
      <c r="F645" s="321">
        <f>SUMIFS(DATA!$M:$M,DATA!$C:$C,$B644,DATA!$N:$N,"&gt;="&amp;DATE($I$2,F$4,1),DATA!$N:$N,"&lt;="&amp;DATE($I$2,F$4,F$5))</f>
        <v/>
      </c>
      <c r="G645" s="321">
        <f>SUMIFS(DATA!$M:$M,DATA!$C:$C,$B644,DATA!$N:$N,"&gt;="&amp;DATE($I$2,G$4,1),DATA!$N:$N,"&lt;="&amp;DATE($I$2,G$4,G$5))</f>
        <v/>
      </c>
      <c r="H645" s="321">
        <f>SUMIFS(DATA!$M:$M,DATA!$C:$C,$B644,DATA!$N:$N,"&gt;="&amp;DATE($I$2,H$4,1),DATA!$N:$N,"&lt;="&amp;DATE($I$2,H$4,H$5))</f>
        <v/>
      </c>
      <c r="I645" s="321">
        <f>SUMIFS(DATA!$M:$M,DATA!$C:$C,$B644,DATA!$N:$N,"&gt;="&amp;DATE($I$2,I$4,1),DATA!$N:$N,"&lt;="&amp;DATE($I$2,I$4,I$5))</f>
        <v/>
      </c>
      <c r="J645" s="321">
        <f>SUMIFS(DATA!$M:$M,DATA!$C:$C,$B644,DATA!$N:$N,"&gt;="&amp;DATE($I$2,J$4,1),DATA!$N:$N,"&lt;="&amp;DATE($I$2,J$4,J$5))</f>
        <v/>
      </c>
      <c r="K645" s="321">
        <f>SUMIFS(DATA!$M:$M,DATA!$C:$C,$B644,DATA!$N:$N,"&gt;="&amp;DATE($I$2,K$4,1),DATA!$N:$N,"&lt;="&amp;DATE($I$2,K$4,K$5))</f>
        <v/>
      </c>
      <c r="L645" s="321">
        <f>SUMIFS(DATA!$M:$M,DATA!$C:$C,$B644,DATA!$N:$N,"&gt;="&amp;DATE($I$2,L$4,1),DATA!$N:$N,"&lt;="&amp;DATE($I$2,L$4,L$5))</f>
        <v/>
      </c>
      <c r="M645" s="321">
        <f>SUMIFS(DATA!$M:$M,DATA!$C:$C,$B644,DATA!$N:$N,"&gt;="&amp;DATE($I$2,M$4,1),DATA!$N:$N,"&lt;="&amp;DATE($I$2,M$4,M$5))</f>
        <v/>
      </c>
      <c r="N645" s="321">
        <f>SUMIFS(DATA!$M:$M,DATA!$C:$C,$B644,DATA!$N:$N,"&gt;="&amp;DATE($I$2,N$4,1),DATA!$N:$N,"&lt;="&amp;DATE($I$2,N$4,N$5))</f>
        <v/>
      </c>
      <c r="O645" s="321">
        <f>SUMIFS(DATA!$M:$M,DATA!$C:$C,$B644,DATA!$N:$N,"&gt;="&amp;DATE($I$2,O$4,1),DATA!$N:$N,"&lt;="&amp;DATE($I$2,O$4,O$5))</f>
        <v/>
      </c>
      <c r="P645" s="322">
        <f>SUM(D645:O645)</f>
        <v/>
      </c>
      <c r="Q645" s="118" t="n"/>
    </row>
    <row r="646" hidden="1" outlineLevel="1" ht="15" customHeight="1">
      <c r="A646" s="269" t="n">
        <v>321</v>
      </c>
      <c r="B646" s="125" t="n"/>
      <c r="C646" s="119" t="inlineStr">
        <is>
          <t>Kế hoạch</t>
        </is>
      </c>
      <c r="D646" s="321">
        <f>SUMIFS(DATA!$I:$I,DATA!$C:$C,$B646,DATA!$J:$J,"&gt;="&amp;DATE($I$2,D$4,1),DATA!$J:$J,"&lt;="&amp;DATE($I$2,D$4,D$5))</f>
        <v/>
      </c>
      <c r="E646" s="321">
        <f>SUMIFS(DATA!$I:$I,DATA!$C:$C,$B646,DATA!$J:$J,"&gt;="&amp;DATE($I$2,E$4,1),DATA!$J:$J,"&lt;="&amp;DATE($I$2,E$4,E$5))</f>
        <v/>
      </c>
      <c r="F646" s="321">
        <f>SUMIFS(DATA!$I:$I,DATA!$C:$C,$B646,DATA!$J:$J,"&gt;="&amp;DATE($I$2,F$4,1),DATA!$J:$J,"&lt;="&amp;DATE($I$2,F$4,F$5))</f>
        <v/>
      </c>
      <c r="G646" s="321">
        <f>SUMIFS(DATA!$I:$I,DATA!$C:$C,$B646,DATA!$J:$J,"&gt;="&amp;DATE($I$2,G$4,1),DATA!$J:$J,"&lt;="&amp;DATE($I$2,G$4,G$5))</f>
        <v/>
      </c>
      <c r="H646" s="321">
        <f>SUMIFS(DATA!$I:$I,DATA!$C:$C,$B646,DATA!$J:$J,"&gt;="&amp;DATE($I$2,H$4,1),DATA!$J:$J,"&lt;="&amp;DATE($I$2,H$4,H$5))</f>
        <v/>
      </c>
      <c r="I646" s="321">
        <f>SUMIFS(DATA!$I:$I,DATA!$C:$C,$B646,DATA!$J:$J,"&gt;="&amp;DATE($I$2,I$4,1),DATA!$J:$J,"&lt;="&amp;DATE($I$2,I$4,I$5))</f>
        <v/>
      </c>
      <c r="J646" s="321">
        <f>SUMIFS(DATA!$I:$I,DATA!$C:$C,$B646,DATA!$J:$J,"&gt;="&amp;DATE($I$2,J$4,1),DATA!$J:$J,"&lt;="&amp;DATE($I$2,J$4,J$5))</f>
        <v/>
      </c>
      <c r="K646" s="321">
        <f>SUMIFS(DATA!$I:$I,DATA!$C:$C,$B646,DATA!$J:$J,"&gt;="&amp;DATE($I$2,K$4,1),DATA!$J:$J,"&lt;="&amp;DATE($I$2,K$4,K$5))</f>
        <v/>
      </c>
      <c r="L646" s="321">
        <f>SUMIFS(DATA!$I:$I,DATA!$C:$C,$B646,DATA!$J:$J,"&gt;="&amp;DATE($I$2,L$4,1),DATA!$J:$J,"&lt;="&amp;DATE($I$2,L$4,L$5))</f>
        <v/>
      </c>
      <c r="M646" s="321">
        <f>SUMIFS(DATA!$I:$I,DATA!$C:$C,$B646,DATA!$J:$J,"&gt;="&amp;DATE($I$2,M$4,1),DATA!$J:$J,"&lt;="&amp;DATE($I$2,M$4,M$5))</f>
        <v/>
      </c>
      <c r="N646" s="321">
        <f>SUMIFS(DATA!$I:$I,DATA!$C:$C,$B646,DATA!$J:$J,"&gt;="&amp;DATE($I$2,N$4,1),DATA!$J:$J,"&lt;="&amp;DATE($I$2,N$4,N$5))</f>
        <v/>
      </c>
      <c r="O646" s="321">
        <f>SUMIFS(DATA!$I:$I,DATA!$C:$C,$B646,DATA!$J:$J,"&gt;="&amp;DATE($I$2,O$4,1),DATA!$J:$J,"&lt;="&amp;DATE($I$2,O$4,O$5))</f>
        <v/>
      </c>
      <c r="P646" s="322">
        <f>SUM(D646:O646)</f>
        <v/>
      </c>
      <c r="Q646" s="118" t="n"/>
    </row>
    <row r="647" hidden="1" outlineLevel="1" ht="15" customHeight="1">
      <c r="A647" s="266" t="n"/>
      <c r="B647" s="126" t="n"/>
      <c r="C647" s="119" t="inlineStr">
        <is>
          <t>Thực tế</t>
        </is>
      </c>
      <c r="D647" s="321">
        <f>SUMIFS(DATA!$M:$M,DATA!$C:$C,$B646,DATA!$N:$N,"&gt;="&amp;DATE($I$2,D$4,1),DATA!$N:$N,"&lt;="&amp;DATE($I$2,D$4,D$5))</f>
        <v/>
      </c>
      <c r="E647" s="321">
        <f>SUMIFS(DATA!$M:$M,DATA!$C:$C,$B646,DATA!$N:$N,"&gt;="&amp;DATE($I$2,E$4,1),DATA!$N:$N,"&lt;="&amp;DATE($I$2,E$4,E$5))</f>
        <v/>
      </c>
      <c r="F647" s="321">
        <f>SUMIFS(DATA!$M:$M,DATA!$C:$C,$B646,DATA!$N:$N,"&gt;="&amp;DATE($I$2,F$4,1),DATA!$N:$N,"&lt;="&amp;DATE($I$2,F$4,F$5))</f>
        <v/>
      </c>
      <c r="G647" s="321">
        <f>SUMIFS(DATA!$M:$M,DATA!$C:$C,$B646,DATA!$N:$N,"&gt;="&amp;DATE($I$2,G$4,1),DATA!$N:$N,"&lt;="&amp;DATE($I$2,G$4,G$5))</f>
        <v/>
      </c>
      <c r="H647" s="321">
        <f>SUMIFS(DATA!$M:$M,DATA!$C:$C,$B646,DATA!$N:$N,"&gt;="&amp;DATE($I$2,H$4,1),DATA!$N:$N,"&lt;="&amp;DATE($I$2,H$4,H$5))</f>
        <v/>
      </c>
      <c r="I647" s="321">
        <f>SUMIFS(DATA!$M:$M,DATA!$C:$C,$B646,DATA!$N:$N,"&gt;="&amp;DATE($I$2,I$4,1),DATA!$N:$N,"&lt;="&amp;DATE($I$2,I$4,I$5))</f>
        <v/>
      </c>
      <c r="J647" s="321">
        <f>SUMIFS(DATA!$M:$M,DATA!$C:$C,$B646,DATA!$N:$N,"&gt;="&amp;DATE($I$2,J$4,1),DATA!$N:$N,"&lt;="&amp;DATE($I$2,J$4,J$5))</f>
        <v/>
      </c>
      <c r="K647" s="321">
        <f>SUMIFS(DATA!$M:$M,DATA!$C:$C,$B646,DATA!$N:$N,"&gt;="&amp;DATE($I$2,K$4,1),DATA!$N:$N,"&lt;="&amp;DATE($I$2,K$4,K$5))</f>
        <v/>
      </c>
      <c r="L647" s="321">
        <f>SUMIFS(DATA!$M:$M,DATA!$C:$C,$B646,DATA!$N:$N,"&gt;="&amp;DATE($I$2,L$4,1),DATA!$N:$N,"&lt;="&amp;DATE($I$2,L$4,L$5))</f>
        <v/>
      </c>
      <c r="M647" s="321">
        <f>SUMIFS(DATA!$M:$M,DATA!$C:$C,$B646,DATA!$N:$N,"&gt;="&amp;DATE($I$2,M$4,1),DATA!$N:$N,"&lt;="&amp;DATE($I$2,M$4,M$5))</f>
        <v/>
      </c>
      <c r="N647" s="321">
        <f>SUMIFS(DATA!$M:$M,DATA!$C:$C,$B646,DATA!$N:$N,"&gt;="&amp;DATE($I$2,N$4,1),DATA!$N:$N,"&lt;="&amp;DATE($I$2,N$4,N$5))</f>
        <v/>
      </c>
      <c r="O647" s="321">
        <f>SUMIFS(DATA!$M:$M,DATA!$C:$C,$B646,DATA!$N:$N,"&gt;="&amp;DATE($I$2,O$4,1),DATA!$N:$N,"&lt;="&amp;DATE($I$2,O$4,O$5))</f>
        <v/>
      </c>
      <c r="P647" s="322">
        <f>SUM(D647:O647)</f>
        <v/>
      </c>
      <c r="Q647" s="118" t="n"/>
    </row>
    <row r="648" hidden="1" outlineLevel="1" ht="15" customHeight="1">
      <c r="A648" s="269" t="n">
        <v>322</v>
      </c>
      <c r="B648" s="125" t="n"/>
      <c r="C648" s="119" t="inlineStr">
        <is>
          <t>Kế hoạch</t>
        </is>
      </c>
      <c r="D648" s="321">
        <f>SUMIFS(DATA!$I:$I,DATA!$C:$C,$B648,DATA!$J:$J,"&gt;="&amp;DATE($I$2,D$4,1),DATA!$J:$J,"&lt;="&amp;DATE($I$2,D$4,D$5))</f>
        <v/>
      </c>
      <c r="E648" s="321">
        <f>SUMIFS(DATA!$I:$I,DATA!$C:$C,$B648,DATA!$J:$J,"&gt;="&amp;DATE($I$2,E$4,1),DATA!$J:$J,"&lt;="&amp;DATE($I$2,E$4,E$5))</f>
        <v/>
      </c>
      <c r="F648" s="321">
        <f>SUMIFS(DATA!$I:$I,DATA!$C:$C,$B648,DATA!$J:$J,"&gt;="&amp;DATE($I$2,F$4,1),DATA!$J:$J,"&lt;="&amp;DATE($I$2,F$4,F$5))</f>
        <v/>
      </c>
      <c r="G648" s="321">
        <f>SUMIFS(DATA!$I:$I,DATA!$C:$C,$B648,DATA!$J:$J,"&gt;="&amp;DATE($I$2,G$4,1),DATA!$J:$J,"&lt;="&amp;DATE($I$2,G$4,G$5))</f>
        <v/>
      </c>
      <c r="H648" s="321">
        <f>SUMIFS(DATA!$I:$I,DATA!$C:$C,$B648,DATA!$J:$J,"&gt;="&amp;DATE($I$2,H$4,1),DATA!$J:$J,"&lt;="&amp;DATE($I$2,H$4,H$5))</f>
        <v/>
      </c>
      <c r="I648" s="321">
        <f>SUMIFS(DATA!$I:$I,DATA!$C:$C,$B648,DATA!$J:$J,"&gt;="&amp;DATE($I$2,I$4,1),DATA!$J:$J,"&lt;="&amp;DATE($I$2,I$4,I$5))</f>
        <v/>
      </c>
      <c r="J648" s="321">
        <f>SUMIFS(DATA!$I:$I,DATA!$C:$C,$B648,DATA!$J:$J,"&gt;="&amp;DATE($I$2,J$4,1),DATA!$J:$J,"&lt;="&amp;DATE($I$2,J$4,J$5))</f>
        <v/>
      </c>
      <c r="K648" s="321">
        <f>SUMIFS(DATA!$I:$I,DATA!$C:$C,$B648,DATA!$J:$J,"&gt;="&amp;DATE($I$2,K$4,1),DATA!$J:$J,"&lt;="&amp;DATE($I$2,K$4,K$5))</f>
        <v/>
      </c>
      <c r="L648" s="321">
        <f>SUMIFS(DATA!$I:$I,DATA!$C:$C,$B648,DATA!$J:$J,"&gt;="&amp;DATE($I$2,L$4,1),DATA!$J:$J,"&lt;="&amp;DATE($I$2,L$4,L$5))</f>
        <v/>
      </c>
      <c r="M648" s="321">
        <f>SUMIFS(DATA!$I:$I,DATA!$C:$C,$B648,DATA!$J:$J,"&gt;="&amp;DATE($I$2,M$4,1),DATA!$J:$J,"&lt;="&amp;DATE($I$2,M$4,M$5))</f>
        <v/>
      </c>
      <c r="N648" s="321">
        <f>SUMIFS(DATA!$I:$I,DATA!$C:$C,$B648,DATA!$J:$J,"&gt;="&amp;DATE($I$2,N$4,1),DATA!$J:$J,"&lt;="&amp;DATE($I$2,N$4,N$5))</f>
        <v/>
      </c>
      <c r="O648" s="321">
        <f>SUMIFS(DATA!$I:$I,DATA!$C:$C,$B648,DATA!$J:$J,"&gt;="&amp;DATE($I$2,O$4,1),DATA!$J:$J,"&lt;="&amp;DATE($I$2,O$4,O$5))</f>
        <v/>
      </c>
      <c r="P648" s="322">
        <f>SUM(D648:O648)</f>
        <v/>
      </c>
      <c r="Q648" s="118" t="n"/>
    </row>
    <row r="649" hidden="1" outlineLevel="1" ht="15" customHeight="1">
      <c r="A649" s="266" t="n"/>
      <c r="B649" s="126" t="n"/>
      <c r="C649" s="119" t="inlineStr">
        <is>
          <t>Thực tế</t>
        </is>
      </c>
      <c r="D649" s="321">
        <f>SUMIFS(DATA!$M:$M,DATA!$C:$C,$B648,DATA!$N:$N,"&gt;="&amp;DATE($I$2,D$4,1),DATA!$N:$N,"&lt;="&amp;DATE($I$2,D$4,D$5))</f>
        <v/>
      </c>
      <c r="E649" s="321">
        <f>SUMIFS(DATA!$M:$M,DATA!$C:$C,$B648,DATA!$N:$N,"&gt;="&amp;DATE($I$2,E$4,1),DATA!$N:$N,"&lt;="&amp;DATE($I$2,E$4,E$5))</f>
        <v/>
      </c>
      <c r="F649" s="321">
        <f>SUMIFS(DATA!$M:$M,DATA!$C:$C,$B648,DATA!$N:$N,"&gt;="&amp;DATE($I$2,F$4,1),DATA!$N:$N,"&lt;="&amp;DATE($I$2,F$4,F$5))</f>
        <v/>
      </c>
      <c r="G649" s="321">
        <f>SUMIFS(DATA!$M:$M,DATA!$C:$C,$B648,DATA!$N:$N,"&gt;="&amp;DATE($I$2,G$4,1),DATA!$N:$N,"&lt;="&amp;DATE($I$2,G$4,G$5))</f>
        <v/>
      </c>
      <c r="H649" s="321">
        <f>SUMIFS(DATA!$M:$M,DATA!$C:$C,$B648,DATA!$N:$N,"&gt;="&amp;DATE($I$2,H$4,1),DATA!$N:$N,"&lt;="&amp;DATE($I$2,H$4,H$5))</f>
        <v/>
      </c>
      <c r="I649" s="321">
        <f>SUMIFS(DATA!$M:$M,DATA!$C:$C,$B648,DATA!$N:$N,"&gt;="&amp;DATE($I$2,I$4,1),DATA!$N:$N,"&lt;="&amp;DATE($I$2,I$4,I$5))</f>
        <v/>
      </c>
      <c r="J649" s="321">
        <f>SUMIFS(DATA!$M:$M,DATA!$C:$C,$B648,DATA!$N:$N,"&gt;="&amp;DATE($I$2,J$4,1),DATA!$N:$N,"&lt;="&amp;DATE($I$2,J$4,J$5))</f>
        <v/>
      </c>
      <c r="K649" s="321">
        <f>SUMIFS(DATA!$M:$M,DATA!$C:$C,$B648,DATA!$N:$N,"&gt;="&amp;DATE($I$2,K$4,1),DATA!$N:$N,"&lt;="&amp;DATE($I$2,K$4,K$5))</f>
        <v/>
      </c>
      <c r="L649" s="321">
        <f>SUMIFS(DATA!$M:$M,DATA!$C:$C,$B648,DATA!$N:$N,"&gt;="&amp;DATE($I$2,L$4,1),DATA!$N:$N,"&lt;="&amp;DATE($I$2,L$4,L$5))</f>
        <v/>
      </c>
      <c r="M649" s="321">
        <f>SUMIFS(DATA!$M:$M,DATA!$C:$C,$B648,DATA!$N:$N,"&gt;="&amp;DATE($I$2,M$4,1),DATA!$N:$N,"&lt;="&amp;DATE($I$2,M$4,M$5))</f>
        <v/>
      </c>
      <c r="N649" s="321">
        <f>SUMIFS(DATA!$M:$M,DATA!$C:$C,$B648,DATA!$N:$N,"&gt;="&amp;DATE($I$2,N$4,1),DATA!$N:$N,"&lt;="&amp;DATE($I$2,N$4,N$5))</f>
        <v/>
      </c>
      <c r="O649" s="321">
        <f>SUMIFS(DATA!$M:$M,DATA!$C:$C,$B648,DATA!$N:$N,"&gt;="&amp;DATE($I$2,O$4,1),DATA!$N:$N,"&lt;="&amp;DATE($I$2,O$4,O$5))</f>
        <v/>
      </c>
      <c r="P649" s="322">
        <f>SUM(D649:O649)</f>
        <v/>
      </c>
      <c r="Q649" s="118" t="n"/>
    </row>
    <row r="650" hidden="1" outlineLevel="1" ht="15" customHeight="1">
      <c r="A650" s="269" t="n">
        <v>323</v>
      </c>
      <c r="B650" s="125" t="n"/>
      <c r="C650" s="119" t="inlineStr">
        <is>
          <t>Kế hoạch</t>
        </is>
      </c>
      <c r="D650" s="321">
        <f>SUMIFS(DATA!$I:$I,DATA!$C:$C,$B650,DATA!$J:$J,"&gt;="&amp;DATE($I$2,D$4,1),DATA!$J:$J,"&lt;="&amp;DATE($I$2,D$4,D$5))</f>
        <v/>
      </c>
      <c r="E650" s="321">
        <f>SUMIFS(DATA!$I:$I,DATA!$C:$C,$B650,DATA!$J:$J,"&gt;="&amp;DATE($I$2,E$4,1),DATA!$J:$J,"&lt;="&amp;DATE($I$2,E$4,E$5))</f>
        <v/>
      </c>
      <c r="F650" s="321">
        <f>SUMIFS(DATA!$I:$I,DATA!$C:$C,$B650,DATA!$J:$J,"&gt;="&amp;DATE($I$2,F$4,1),DATA!$J:$J,"&lt;="&amp;DATE($I$2,F$4,F$5))</f>
        <v/>
      </c>
      <c r="G650" s="321">
        <f>SUMIFS(DATA!$I:$I,DATA!$C:$C,$B650,DATA!$J:$J,"&gt;="&amp;DATE($I$2,G$4,1),DATA!$J:$J,"&lt;="&amp;DATE($I$2,G$4,G$5))</f>
        <v/>
      </c>
      <c r="H650" s="321">
        <f>SUMIFS(DATA!$I:$I,DATA!$C:$C,$B650,DATA!$J:$J,"&gt;="&amp;DATE($I$2,H$4,1),DATA!$J:$J,"&lt;="&amp;DATE($I$2,H$4,H$5))</f>
        <v/>
      </c>
      <c r="I650" s="321">
        <f>SUMIFS(DATA!$I:$I,DATA!$C:$C,$B650,DATA!$J:$J,"&gt;="&amp;DATE($I$2,I$4,1),DATA!$J:$J,"&lt;="&amp;DATE($I$2,I$4,I$5))</f>
        <v/>
      </c>
      <c r="J650" s="321">
        <f>SUMIFS(DATA!$I:$I,DATA!$C:$C,$B650,DATA!$J:$J,"&gt;="&amp;DATE($I$2,J$4,1),DATA!$J:$J,"&lt;="&amp;DATE($I$2,J$4,J$5))</f>
        <v/>
      </c>
      <c r="K650" s="321">
        <f>SUMIFS(DATA!$I:$I,DATA!$C:$C,$B650,DATA!$J:$J,"&gt;="&amp;DATE($I$2,K$4,1),DATA!$J:$J,"&lt;="&amp;DATE($I$2,K$4,K$5))</f>
        <v/>
      </c>
      <c r="L650" s="321">
        <f>SUMIFS(DATA!$I:$I,DATA!$C:$C,$B650,DATA!$J:$J,"&gt;="&amp;DATE($I$2,L$4,1),DATA!$J:$J,"&lt;="&amp;DATE($I$2,L$4,L$5))</f>
        <v/>
      </c>
      <c r="M650" s="321">
        <f>SUMIFS(DATA!$I:$I,DATA!$C:$C,$B650,DATA!$J:$J,"&gt;="&amp;DATE($I$2,M$4,1),DATA!$J:$J,"&lt;="&amp;DATE($I$2,M$4,M$5))</f>
        <v/>
      </c>
      <c r="N650" s="321">
        <f>SUMIFS(DATA!$I:$I,DATA!$C:$C,$B650,DATA!$J:$J,"&gt;="&amp;DATE($I$2,N$4,1),DATA!$J:$J,"&lt;="&amp;DATE($I$2,N$4,N$5))</f>
        <v/>
      </c>
      <c r="O650" s="321">
        <f>SUMIFS(DATA!$I:$I,DATA!$C:$C,$B650,DATA!$J:$J,"&gt;="&amp;DATE($I$2,O$4,1),DATA!$J:$J,"&lt;="&amp;DATE($I$2,O$4,O$5))</f>
        <v/>
      </c>
      <c r="P650" s="322">
        <f>SUM(D650:O650)</f>
        <v/>
      </c>
      <c r="Q650" s="118" t="n"/>
    </row>
    <row r="651" hidden="1" outlineLevel="1" ht="15" customHeight="1">
      <c r="A651" s="266" t="n"/>
      <c r="B651" s="126" t="n"/>
      <c r="C651" s="119" t="inlineStr">
        <is>
          <t>Thực tế</t>
        </is>
      </c>
      <c r="D651" s="321">
        <f>SUMIFS(DATA!$M:$M,DATA!$C:$C,$B650,DATA!$N:$N,"&gt;="&amp;DATE($I$2,D$4,1),DATA!$N:$N,"&lt;="&amp;DATE($I$2,D$4,D$5))</f>
        <v/>
      </c>
      <c r="E651" s="321">
        <f>SUMIFS(DATA!$M:$M,DATA!$C:$C,$B650,DATA!$N:$N,"&gt;="&amp;DATE($I$2,E$4,1),DATA!$N:$N,"&lt;="&amp;DATE($I$2,E$4,E$5))</f>
        <v/>
      </c>
      <c r="F651" s="321">
        <f>SUMIFS(DATA!$M:$M,DATA!$C:$C,$B650,DATA!$N:$N,"&gt;="&amp;DATE($I$2,F$4,1),DATA!$N:$N,"&lt;="&amp;DATE($I$2,F$4,F$5))</f>
        <v/>
      </c>
      <c r="G651" s="321">
        <f>SUMIFS(DATA!$M:$M,DATA!$C:$C,$B650,DATA!$N:$N,"&gt;="&amp;DATE($I$2,G$4,1),DATA!$N:$N,"&lt;="&amp;DATE($I$2,G$4,G$5))</f>
        <v/>
      </c>
      <c r="H651" s="321">
        <f>SUMIFS(DATA!$M:$M,DATA!$C:$C,$B650,DATA!$N:$N,"&gt;="&amp;DATE($I$2,H$4,1),DATA!$N:$N,"&lt;="&amp;DATE($I$2,H$4,H$5))</f>
        <v/>
      </c>
      <c r="I651" s="321">
        <f>SUMIFS(DATA!$M:$M,DATA!$C:$C,$B650,DATA!$N:$N,"&gt;="&amp;DATE($I$2,I$4,1),DATA!$N:$N,"&lt;="&amp;DATE($I$2,I$4,I$5))</f>
        <v/>
      </c>
      <c r="J651" s="321">
        <f>SUMIFS(DATA!$M:$M,DATA!$C:$C,$B650,DATA!$N:$N,"&gt;="&amp;DATE($I$2,J$4,1),DATA!$N:$N,"&lt;="&amp;DATE($I$2,J$4,J$5))</f>
        <v/>
      </c>
      <c r="K651" s="321">
        <f>SUMIFS(DATA!$M:$M,DATA!$C:$C,$B650,DATA!$N:$N,"&gt;="&amp;DATE($I$2,K$4,1),DATA!$N:$N,"&lt;="&amp;DATE($I$2,K$4,K$5))</f>
        <v/>
      </c>
      <c r="L651" s="321">
        <f>SUMIFS(DATA!$M:$M,DATA!$C:$C,$B650,DATA!$N:$N,"&gt;="&amp;DATE($I$2,L$4,1),DATA!$N:$N,"&lt;="&amp;DATE($I$2,L$4,L$5))</f>
        <v/>
      </c>
      <c r="M651" s="321">
        <f>SUMIFS(DATA!$M:$M,DATA!$C:$C,$B650,DATA!$N:$N,"&gt;="&amp;DATE($I$2,M$4,1),DATA!$N:$N,"&lt;="&amp;DATE($I$2,M$4,M$5))</f>
        <v/>
      </c>
      <c r="N651" s="321">
        <f>SUMIFS(DATA!$M:$M,DATA!$C:$C,$B650,DATA!$N:$N,"&gt;="&amp;DATE($I$2,N$4,1),DATA!$N:$N,"&lt;="&amp;DATE($I$2,N$4,N$5))</f>
        <v/>
      </c>
      <c r="O651" s="321">
        <f>SUMIFS(DATA!$M:$M,DATA!$C:$C,$B650,DATA!$N:$N,"&gt;="&amp;DATE($I$2,O$4,1),DATA!$N:$N,"&lt;="&amp;DATE($I$2,O$4,O$5))</f>
        <v/>
      </c>
      <c r="P651" s="322">
        <f>SUM(D651:O651)</f>
        <v/>
      </c>
      <c r="Q651" s="118" t="n"/>
    </row>
    <row r="652" hidden="1" outlineLevel="1" ht="15" customHeight="1">
      <c r="A652" s="269" t="n">
        <v>324</v>
      </c>
      <c r="B652" s="125" t="n"/>
      <c r="C652" s="119" t="inlineStr">
        <is>
          <t>Kế hoạch</t>
        </is>
      </c>
      <c r="D652" s="321">
        <f>SUMIFS(DATA!$I:$I,DATA!$C:$C,$B652,DATA!$J:$J,"&gt;="&amp;DATE($I$2,D$4,1),DATA!$J:$J,"&lt;="&amp;DATE($I$2,D$4,D$5))</f>
        <v/>
      </c>
      <c r="E652" s="321">
        <f>SUMIFS(DATA!$I:$I,DATA!$C:$C,$B652,DATA!$J:$J,"&gt;="&amp;DATE($I$2,E$4,1),DATA!$J:$J,"&lt;="&amp;DATE($I$2,E$4,E$5))</f>
        <v/>
      </c>
      <c r="F652" s="321">
        <f>SUMIFS(DATA!$I:$I,DATA!$C:$C,$B652,DATA!$J:$J,"&gt;="&amp;DATE($I$2,F$4,1),DATA!$J:$J,"&lt;="&amp;DATE($I$2,F$4,F$5))</f>
        <v/>
      </c>
      <c r="G652" s="321">
        <f>SUMIFS(DATA!$I:$I,DATA!$C:$C,$B652,DATA!$J:$J,"&gt;="&amp;DATE($I$2,G$4,1),DATA!$J:$J,"&lt;="&amp;DATE($I$2,G$4,G$5))</f>
        <v/>
      </c>
      <c r="H652" s="321">
        <f>SUMIFS(DATA!$I:$I,DATA!$C:$C,$B652,DATA!$J:$J,"&gt;="&amp;DATE($I$2,H$4,1),DATA!$J:$J,"&lt;="&amp;DATE($I$2,H$4,H$5))</f>
        <v/>
      </c>
      <c r="I652" s="321">
        <f>SUMIFS(DATA!$I:$I,DATA!$C:$C,$B652,DATA!$J:$J,"&gt;="&amp;DATE($I$2,I$4,1),DATA!$J:$J,"&lt;="&amp;DATE($I$2,I$4,I$5))</f>
        <v/>
      </c>
      <c r="J652" s="321">
        <f>SUMIFS(DATA!$I:$I,DATA!$C:$C,$B652,DATA!$J:$J,"&gt;="&amp;DATE($I$2,J$4,1),DATA!$J:$J,"&lt;="&amp;DATE($I$2,J$4,J$5))</f>
        <v/>
      </c>
      <c r="K652" s="321">
        <f>SUMIFS(DATA!$I:$I,DATA!$C:$C,$B652,DATA!$J:$J,"&gt;="&amp;DATE($I$2,K$4,1),DATA!$J:$J,"&lt;="&amp;DATE($I$2,K$4,K$5))</f>
        <v/>
      </c>
      <c r="L652" s="321">
        <f>SUMIFS(DATA!$I:$I,DATA!$C:$C,$B652,DATA!$J:$J,"&gt;="&amp;DATE($I$2,L$4,1),DATA!$J:$J,"&lt;="&amp;DATE($I$2,L$4,L$5))</f>
        <v/>
      </c>
      <c r="M652" s="321">
        <f>SUMIFS(DATA!$I:$I,DATA!$C:$C,$B652,DATA!$J:$J,"&gt;="&amp;DATE($I$2,M$4,1),DATA!$J:$J,"&lt;="&amp;DATE($I$2,M$4,M$5))</f>
        <v/>
      </c>
      <c r="N652" s="321">
        <f>SUMIFS(DATA!$I:$I,DATA!$C:$C,$B652,DATA!$J:$J,"&gt;="&amp;DATE($I$2,N$4,1),DATA!$J:$J,"&lt;="&amp;DATE($I$2,N$4,N$5))</f>
        <v/>
      </c>
      <c r="O652" s="321">
        <f>SUMIFS(DATA!$I:$I,DATA!$C:$C,$B652,DATA!$J:$J,"&gt;="&amp;DATE($I$2,O$4,1),DATA!$J:$J,"&lt;="&amp;DATE($I$2,O$4,O$5))</f>
        <v/>
      </c>
      <c r="P652" s="322">
        <f>SUM(D652:O652)</f>
        <v/>
      </c>
      <c r="Q652" s="118" t="n"/>
    </row>
    <row r="653" hidden="1" outlineLevel="1" ht="15" customHeight="1">
      <c r="A653" s="266" t="n"/>
      <c r="B653" s="126" t="n"/>
      <c r="C653" s="119" t="inlineStr">
        <is>
          <t>Thực tế</t>
        </is>
      </c>
      <c r="D653" s="321">
        <f>SUMIFS(DATA!$M:$M,DATA!$C:$C,$B652,DATA!$N:$N,"&gt;="&amp;DATE($I$2,D$4,1),DATA!$N:$N,"&lt;="&amp;DATE($I$2,D$4,D$5))</f>
        <v/>
      </c>
      <c r="E653" s="321">
        <f>SUMIFS(DATA!$M:$M,DATA!$C:$C,$B652,DATA!$N:$N,"&gt;="&amp;DATE($I$2,E$4,1),DATA!$N:$N,"&lt;="&amp;DATE($I$2,E$4,E$5))</f>
        <v/>
      </c>
      <c r="F653" s="321">
        <f>SUMIFS(DATA!$M:$M,DATA!$C:$C,$B652,DATA!$N:$N,"&gt;="&amp;DATE($I$2,F$4,1),DATA!$N:$N,"&lt;="&amp;DATE($I$2,F$4,F$5))</f>
        <v/>
      </c>
      <c r="G653" s="321">
        <f>SUMIFS(DATA!$M:$M,DATA!$C:$C,$B652,DATA!$N:$N,"&gt;="&amp;DATE($I$2,G$4,1),DATA!$N:$N,"&lt;="&amp;DATE($I$2,G$4,G$5))</f>
        <v/>
      </c>
      <c r="H653" s="321">
        <f>SUMIFS(DATA!$M:$M,DATA!$C:$C,$B652,DATA!$N:$N,"&gt;="&amp;DATE($I$2,H$4,1),DATA!$N:$N,"&lt;="&amp;DATE($I$2,H$4,H$5))</f>
        <v/>
      </c>
      <c r="I653" s="321">
        <f>SUMIFS(DATA!$M:$M,DATA!$C:$C,$B652,DATA!$N:$N,"&gt;="&amp;DATE($I$2,I$4,1),DATA!$N:$N,"&lt;="&amp;DATE($I$2,I$4,I$5))</f>
        <v/>
      </c>
      <c r="J653" s="321">
        <f>SUMIFS(DATA!$M:$M,DATA!$C:$C,$B652,DATA!$N:$N,"&gt;="&amp;DATE($I$2,J$4,1),DATA!$N:$N,"&lt;="&amp;DATE($I$2,J$4,J$5))</f>
        <v/>
      </c>
      <c r="K653" s="321">
        <f>SUMIFS(DATA!$M:$M,DATA!$C:$C,$B652,DATA!$N:$N,"&gt;="&amp;DATE($I$2,K$4,1),DATA!$N:$N,"&lt;="&amp;DATE($I$2,K$4,K$5))</f>
        <v/>
      </c>
      <c r="L653" s="321">
        <f>SUMIFS(DATA!$M:$M,DATA!$C:$C,$B652,DATA!$N:$N,"&gt;="&amp;DATE($I$2,L$4,1),DATA!$N:$N,"&lt;="&amp;DATE($I$2,L$4,L$5))</f>
        <v/>
      </c>
      <c r="M653" s="321">
        <f>SUMIFS(DATA!$M:$M,DATA!$C:$C,$B652,DATA!$N:$N,"&gt;="&amp;DATE($I$2,M$4,1),DATA!$N:$N,"&lt;="&amp;DATE($I$2,M$4,M$5))</f>
        <v/>
      </c>
      <c r="N653" s="321">
        <f>SUMIFS(DATA!$M:$M,DATA!$C:$C,$B652,DATA!$N:$N,"&gt;="&amp;DATE($I$2,N$4,1),DATA!$N:$N,"&lt;="&amp;DATE($I$2,N$4,N$5))</f>
        <v/>
      </c>
      <c r="O653" s="321">
        <f>SUMIFS(DATA!$M:$M,DATA!$C:$C,$B652,DATA!$N:$N,"&gt;="&amp;DATE($I$2,O$4,1),DATA!$N:$N,"&lt;="&amp;DATE($I$2,O$4,O$5))</f>
        <v/>
      </c>
      <c r="P653" s="322">
        <f>SUM(D653:O653)</f>
        <v/>
      </c>
      <c r="Q653" s="118" t="n"/>
    </row>
    <row r="654" hidden="1" outlineLevel="1" ht="15" customHeight="1">
      <c r="A654" s="269" t="n">
        <v>325</v>
      </c>
      <c r="B654" s="125" t="n"/>
      <c r="C654" s="119" t="inlineStr">
        <is>
          <t>Kế hoạch</t>
        </is>
      </c>
      <c r="D654" s="321">
        <f>SUMIFS(DATA!$I:$I,DATA!$C:$C,$B654,DATA!$J:$J,"&gt;="&amp;DATE($I$2,D$4,1),DATA!$J:$J,"&lt;="&amp;DATE($I$2,D$4,D$5))</f>
        <v/>
      </c>
      <c r="E654" s="321">
        <f>SUMIFS(DATA!$I:$I,DATA!$C:$C,$B654,DATA!$J:$J,"&gt;="&amp;DATE($I$2,E$4,1),DATA!$J:$J,"&lt;="&amp;DATE($I$2,E$4,E$5))</f>
        <v/>
      </c>
      <c r="F654" s="321">
        <f>SUMIFS(DATA!$I:$I,DATA!$C:$C,$B654,DATA!$J:$J,"&gt;="&amp;DATE($I$2,F$4,1),DATA!$J:$J,"&lt;="&amp;DATE($I$2,F$4,F$5))</f>
        <v/>
      </c>
      <c r="G654" s="321">
        <f>SUMIFS(DATA!$I:$I,DATA!$C:$C,$B654,DATA!$J:$J,"&gt;="&amp;DATE($I$2,G$4,1),DATA!$J:$J,"&lt;="&amp;DATE($I$2,G$4,G$5))</f>
        <v/>
      </c>
      <c r="H654" s="321">
        <f>SUMIFS(DATA!$I:$I,DATA!$C:$C,$B654,DATA!$J:$J,"&gt;="&amp;DATE($I$2,H$4,1),DATA!$J:$J,"&lt;="&amp;DATE($I$2,H$4,H$5))</f>
        <v/>
      </c>
      <c r="I654" s="321">
        <f>SUMIFS(DATA!$I:$I,DATA!$C:$C,$B654,DATA!$J:$J,"&gt;="&amp;DATE($I$2,I$4,1),DATA!$J:$J,"&lt;="&amp;DATE($I$2,I$4,I$5))</f>
        <v/>
      </c>
      <c r="J654" s="321">
        <f>SUMIFS(DATA!$I:$I,DATA!$C:$C,$B654,DATA!$J:$J,"&gt;="&amp;DATE($I$2,J$4,1),DATA!$J:$J,"&lt;="&amp;DATE($I$2,J$4,J$5))</f>
        <v/>
      </c>
      <c r="K654" s="321">
        <f>SUMIFS(DATA!$I:$I,DATA!$C:$C,$B654,DATA!$J:$J,"&gt;="&amp;DATE($I$2,K$4,1),DATA!$J:$J,"&lt;="&amp;DATE($I$2,K$4,K$5))</f>
        <v/>
      </c>
      <c r="L654" s="321">
        <f>SUMIFS(DATA!$I:$I,DATA!$C:$C,$B654,DATA!$J:$J,"&gt;="&amp;DATE($I$2,L$4,1),DATA!$J:$J,"&lt;="&amp;DATE($I$2,L$4,L$5))</f>
        <v/>
      </c>
      <c r="M654" s="321">
        <f>SUMIFS(DATA!$I:$I,DATA!$C:$C,$B654,DATA!$J:$J,"&gt;="&amp;DATE($I$2,M$4,1),DATA!$J:$J,"&lt;="&amp;DATE($I$2,M$4,M$5))</f>
        <v/>
      </c>
      <c r="N654" s="321">
        <f>SUMIFS(DATA!$I:$I,DATA!$C:$C,$B654,DATA!$J:$J,"&gt;="&amp;DATE($I$2,N$4,1),DATA!$J:$J,"&lt;="&amp;DATE($I$2,N$4,N$5))</f>
        <v/>
      </c>
      <c r="O654" s="321">
        <f>SUMIFS(DATA!$I:$I,DATA!$C:$C,$B654,DATA!$J:$J,"&gt;="&amp;DATE($I$2,O$4,1),DATA!$J:$J,"&lt;="&amp;DATE($I$2,O$4,O$5))</f>
        <v/>
      </c>
      <c r="P654" s="322">
        <f>SUM(D654:O654)</f>
        <v/>
      </c>
      <c r="Q654" s="118" t="n"/>
    </row>
    <row r="655" hidden="1" outlineLevel="1" ht="15" customHeight="1">
      <c r="A655" s="266" t="n"/>
      <c r="B655" s="126" t="n"/>
      <c r="C655" s="119" t="inlineStr">
        <is>
          <t>Thực tế</t>
        </is>
      </c>
      <c r="D655" s="321">
        <f>SUMIFS(DATA!$M:$M,DATA!$C:$C,$B654,DATA!$N:$N,"&gt;="&amp;DATE($I$2,D$4,1),DATA!$N:$N,"&lt;="&amp;DATE($I$2,D$4,D$5))</f>
        <v/>
      </c>
      <c r="E655" s="321">
        <f>SUMIFS(DATA!$M:$M,DATA!$C:$C,$B654,DATA!$N:$N,"&gt;="&amp;DATE($I$2,E$4,1),DATA!$N:$N,"&lt;="&amp;DATE($I$2,E$4,E$5))</f>
        <v/>
      </c>
      <c r="F655" s="321">
        <f>SUMIFS(DATA!$M:$M,DATA!$C:$C,$B654,DATA!$N:$N,"&gt;="&amp;DATE($I$2,F$4,1),DATA!$N:$N,"&lt;="&amp;DATE($I$2,F$4,F$5))</f>
        <v/>
      </c>
      <c r="G655" s="321">
        <f>SUMIFS(DATA!$M:$M,DATA!$C:$C,$B654,DATA!$N:$N,"&gt;="&amp;DATE($I$2,G$4,1),DATA!$N:$N,"&lt;="&amp;DATE($I$2,G$4,G$5))</f>
        <v/>
      </c>
      <c r="H655" s="321">
        <f>SUMIFS(DATA!$M:$M,DATA!$C:$C,$B654,DATA!$N:$N,"&gt;="&amp;DATE($I$2,H$4,1),DATA!$N:$N,"&lt;="&amp;DATE($I$2,H$4,H$5))</f>
        <v/>
      </c>
      <c r="I655" s="321">
        <f>SUMIFS(DATA!$M:$M,DATA!$C:$C,$B654,DATA!$N:$N,"&gt;="&amp;DATE($I$2,I$4,1),DATA!$N:$N,"&lt;="&amp;DATE($I$2,I$4,I$5))</f>
        <v/>
      </c>
      <c r="J655" s="321">
        <f>SUMIFS(DATA!$M:$M,DATA!$C:$C,$B654,DATA!$N:$N,"&gt;="&amp;DATE($I$2,J$4,1),DATA!$N:$N,"&lt;="&amp;DATE($I$2,J$4,J$5))</f>
        <v/>
      </c>
      <c r="K655" s="321">
        <f>SUMIFS(DATA!$M:$M,DATA!$C:$C,$B654,DATA!$N:$N,"&gt;="&amp;DATE($I$2,K$4,1),DATA!$N:$N,"&lt;="&amp;DATE($I$2,K$4,K$5))</f>
        <v/>
      </c>
      <c r="L655" s="321">
        <f>SUMIFS(DATA!$M:$M,DATA!$C:$C,$B654,DATA!$N:$N,"&gt;="&amp;DATE($I$2,L$4,1),DATA!$N:$N,"&lt;="&amp;DATE($I$2,L$4,L$5))</f>
        <v/>
      </c>
      <c r="M655" s="321">
        <f>SUMIFS(DATA!$M:$M,DATA!$C:$C,$B654,DATA!$N:$N,"&gt;="&amp;DATE($I$2,M$4,1),DATA!$N:$N,"&lt;="&amp;DATE($I$2,M$4,M$5))</f>
        <v/>
      </c>
      <c r="N655" s="321">
        <f>SUMIFS(DATA!$M:$M,DATA!$C:$C,$B654,DATA!$N:$N,"&gt;="&amp;DATE($I$2,N$4,1),DATA!$N:$N,"&lt;="&amp;DATE($I$2,N$4,N$5))</f>
        <v/>
      </c>
      <c r="O655" s="321">
        <f>SUMIFS(DATA!$M:$M,DATA!$C:$C,$B654,DATA!$N:$N,"&gt;="&amp;DATE($I$2,O$4,1),DATA!$N:$N,"&lt;="&amp;DATE($I$2,O$4,O$5))</f>
        <v/>
      </c>
      <c r="P655" s="322">
        <f>SUM(D655:O655)</f>
        <v/>
      </c>
      <c r="Q655" s="118" t="n"/>
    </row>
    <row r="656" hidden="1" outlineLevel="1" ht="15" customHeight="1">
      <c r="A656" s="269" t="n">
        <v>326</v>
      </c>
      <c r="B656" s="125" t="n"/>
      <c r="C656" s="119" t="inlineStr">
        <is>
          <t>Kế hoạch</t>
        </is>
      </c>
      <c r="D656" s="321">
        <f>SUMIFS(DATA!$I:$I,DATA!$C:$C,$B656,DATA!$J:$J,"&gt;="&amp;DATE($I$2,D$4,1),DATA!$J:$J,"&lt;="&amp;DATE($I$2,D$4,D$5))</f>
        <v/>
      </c>
      <c r="E656" s="321">
        <f>SUMIFS(DATA!$I:$I,DATA!$C:$C,$B656,DATA!$J:$J,"&gt;="&amp;DATE($I$2,E$4,1),DATA!$J:$J,"&lt;="&amp;DATE($I$2,E$4,E$5))</f>
        <v/>
      </c>
      <c r="F656" s="321">
        <f>SUMIFS(DATA!$I:$I,DATA!$C:$C,$B656,DATA!$J:$J,"&gt;="&amp;DATE($I$2,F$4,1),DATA!$J:$J,"&lt;="&amp;DATE($I$2,F$4,F$5))</f>
        <v/>
      </c>
      <c r="G656" s="321">
        <f>SUMIFS(DATA!$I:$I,DATA!$C:$C,$B656,DATA!$J:$J,"&gt;="&amp;DATE($I$2,G$4,1),DATA!$J:$J,"&lt;="&amp;DATE($I$2,G$4,G$5))</f>
        <v/>
      </c>
      <c r="H656" s="321">
        <f>SUMIFS(DATA!$I:$I,DATA!$C:$C,$B656,DATA!$J:$J,"&gt;="&amp;DATE($I$2,H$4,1),DATA!$J:$J,"&lt;="&amp;DATE($I$2,H$4,H$5))</f>
        <v/>
      </c>
      <c r="I656" s="321">
        <f>SUMIFS(DATA!$I:$I,DATA!$C:$C,$B656,DATA!$J:$J,"&gt;="&amp;DATE($I$2,I$4,1),DATA!$J:$J,"&lt;="&amp;DATE($I$2,I$4,I$5))</f>
        <v/>
      </c>
      <c r="J656" s="321">
        <f>SUMIFS(DATA!$I:$I,DATA!$C:$C,$B656,DATA!$J:$J,"&gt;="&amp;DATE($I$2,J$4,1),DATA!$J:$J,"&lt;="&amp;DATE($I$2,J$4,J$5))</f>
        <v/>
      </c>
      <c r="K656" s="321">
        <f>SUMIFS(DATA!$I:$I,DATA!$C:$C,$B656,DATA!$J:$J,"&gt;="&amp;DATE($I$2,K$4,1),DATA!$J:$J,"&lt;="&amp;DATE($I$2,K$4,K$5))</f>
        <v/>
      </c>
      <c r="L656" s="321">
        <f>SUMIFS(DATA!$I:$I,DATA!$C:$C,$B656,DATA!$J:$J,"&gt;="&amp;DATE($I$2,L$4,1),DATA!$J:$J,"&lt;="&amp;DATE($I$2,L$4,L$5))</f>
        <v/>
      </c>
      <c r="M656" s="321">
        <f>SUMIFS(DATA!$I:$I,DATA!$C:$C,$B656,DATA!$J:$J,"&gt;="&amp;DATE($I$2,M$4,1),DATA!$J:$J,"&lt;="&amp;DATE($I$2,M$4,M$5))</f>
        <v/>
      </c>
      <c r="N656" s="321">
        <f>SUMIFS(DATA!$I:$I,DATA!$C:$C,$B656,DATA!$J:$J,"&gt;="&amp;DATE($I$2,N$4,1),DATA!$J:$J,"&lt;="&amp;DATE($I$2,N$4,N$5))</f>
        <v/>
      </c>
      <c r="O656" s="321">
        <f>SUMIFS(DATA!$I:$I,DATA!$C:$C,$B656,DATA!$J:$J,"&gt;="&amp;DATE($I$2,O$4,1),DATA!$J:$J,"&lt;="&amp;DATE($I$2,O$4,O$5))</f>
        <v/>
      </c>
      <c r="P656" s="322">
        <f>SUM(D656:O656)</f>
        <v/>
      </c>
      <c r="Q656" s="118" t="n"/>
    </row>
    <row r="657" hidden="1" outlineLevel="1" ht="15" customHeight="1">
      <c r="A657" s="266" t="n"/>
      <c r="B657" s="126" t="n"/>
      <c r="C657" s="119" t="inlineStr">
        <is>
          <t>Thực tế</t>
        </is>
      </c>
      <c r="D657" s="321">
        <f>SUMIFS(DATA!$M:$M,DATA!$C:$C,$B656,DATA!$N:$N,"&gt;="&amp;DATE($I$2,D$4,1),DATA!$N:$N,"&lt;="&amp;DATE($I$2,D$4,D$5))</f>
        <v/>
      </c>
      <c r="E657" s="321">
        <f>SUMIFS(DATA!$M:$M,DATA!$C:$C,$B656,DATA!$N:$N,"&gt;="&amp;DATE($I$2,E$4,1),DATA!$N:$N,"&lt;="&amp;DATE($I$2,E$4,E$5))</f>
        <v/>
      </c>
      <c r="F657" s="321">
        <f>SUMIFS(DATA!$M:$M,DATA!$C:$C,$B656,DATA!$N:$N,"&gt;="&amp;DATE($I$2,F$4,1),DATA!$N:$N,"&lt;="&amp;DATE($I$2,F$4,F$5))</f>
        <v/>
      </c>
      <c r="G657" s="321">
        <f>SUMIFS(DATA!$M:$M,DATA!$C:$C,$B656,DATA!$N:$N,"&gt;="&amp;DATE($I$2,G$4,1),DATA!$N:$N,"&lt;="&amp;DATE($I$2,G$4,G$5))</f>
        <v/>
      </c>
      <c r="H657" s="321">
        <f>SUMIFS(DATA!$M:$M,DATA!$C:$C,$B656,DATA!$N:$N,"&gt;="&amp;DATE($I$2,H$4,1),DATA!$N:$N,"&lt;="&amp;DATE($I$2,H$4,H$5))</f>
        <v/>
      </c>
      <c r="I657" s="321">
        <f>SUMIFS(DATA!$M:$M,DATA!$C:$C,$B656,DATA!$N:$N,"&gt;="&amp;DATE($I$2,I$4,1),DATA!$N:$N,"&lt;="&amp;DATE($I$2,I$4,I$5))</f>
        <v/>
      </c>
      <c r="J657" s="321">
        <f>SUMIFS(DATA!$M:$M,DATA!$C:$C,$B656,DATA!$N:$N,"&gt;="&amp;DATE($I$2,J$4,1),DATA!$N:$N,"&lt;="&amp;DATE($I$2,J$4,J$5))</f>
        <v/>
      </c>
      <c r="K657" s="321">
        <f>SUMIFS(DATA!$M:$M,DATA!$C:$C,$B656,DATA!$N:$N,"&gt;="&amp;DATE($I$2,K$4,1),DATA!$N:$N,"&lt;="&amp;DATE($I$2,K$4,K$5))</f>
        <v/>
      </c>
      <c r="L657" s="321">
        <f>SUMIFS(DATA!$M:$M,DATA!$C:$C,$B656,DATA!$N:$N,"&gt;="&amp;DATE($I$2,L$4,1),DATA!$N:$N,"&lt;="&amp;DATE($I$2,L$4,L$5))</f>
        <v/>
      </c>
      <c r="M657" s="321">
        <f>SUMIFS(DATA!$M:$M,DATA!$C:$C,$B656,DATA!$N:$N,"&gt;="&amp;DATE($I$2,M$4,1),DATA!$N:$N,"&lt;="&amp;DATE($I$2,M$4,M$5))</f>
        <v/>
      </c>
      <c r="N657" s="321">
        <f>SUMIFS(DATA!$M:$M,DATA!$C:$C,$B656,DATA!$N:$N,"&gt;="&amp;DATE($I$2,N$4,1),DATA!$N:$N,"&lt;="&amp;DATE($I$2,N$4,N$5))</f>
        <v/>
      </c>
      <c r="O657" s="321">
        <f>SUMIFS(DATA!$M:$M,DATA!$C:$C,$B656,DATA!$N:$N,"&gt;="&amp;DATE($I$2,O$4,1),DATA!$N:$N,"&lt;="&amp;DATE($I$2,O$4,O$5))</f>
        <v/>
      </c>
      <c r="P657" s="322">
        <f>SUM(D657:O657)</f>
        <v/>
      </c>
      <c r="Q657" s="118" t="n"/>
    </row>
    <row r="658" hidden="1" outlineLevel="1" ht="15" customHeight="1">
      <c r="A658" s="269" t="n">
        <v>327</v>
      </c>
      <c r="B658" s="125" t="n"/>
      <c r="C658" s="119" t="inlineStr">
        <is>
          <t>Kế hoạch</t>
        </is>
      </c>
      <c r="D658" s="321">
        <f>SUMIFS(DATA!$I:$I,DATA!$C:$C,$B658,DATA!$J:$J,"&gt;="&amp;DATE($I$2,D$4,1),DATA!$J:$J,"&lt;="&amp;DATE($I$2,D$4,D$5))</f>
        <v/>
      </c>
      <c r="E658" s="321">
        <f>SUMIFS(DATA!$I:$I,DATA!$C:$C,$B658,DATA!$J:$J,"&gt;="&amp;DATE($I$2,E$4,1),DATA!$J:$J,"&lt;="&amp;DATE($I$2,E$4,E$5))</f>
        <v/>
      </c>
      <c r="F658" s="321">
        <f>SUMIFS(DATA!$I:$I,DATA!$C:$C,$B658,DATA!$J:$J,"&gt;="&amp;DATE($I$2,F$4,1),DATA!$J:$J,"&lt;="&amp;DATE($I$2,F$4,F$5))</f>
        <v/>
      </c>
      <c r="G658" s="321">
        <f>SUMIFS(DATA!$I:$I,DATA!$C:$C,$B658,DATA!$J:$J,"&gt;="&amp;DATE($I$2,G$4,1),DATA!$J:$J,"&lt;="&amp;DATE($I$2,G$4,G$5))</f>
        <v/>
      </c>
      <c r="H658" s="321">
        <f>SUMIFS(DATA!$I:$I,DATA!$C:$C,$B658,DATA!$J:$J,"&gt;="&amp;DATE($I$2,H$4,1),DATA!$J:$J,"&lt;="&amp;DATE($I$2,H$4,H$5))</f>
        <v/>
      </c>
      <c r="I658" s="321">
        <f>SUMIFS(DATA!$I:$I,DATA!$C:$C,$B658,DATA!$J:$J,"&gt;="&amp;DATE($I$2,I$4,1),DATA!$J:$J,"&lt;="&amp;DATE($I$2,I$4,I$5))</f>
        <v/>
      </c>
      <c r="J658" s="321">
        <f>SUMIFS(DATA!$I:$I,DATA!$C:$C,$B658,DATA!$J:$J,"&gt;="&amp;DATE($I$2,J$4,1),DATA!$J:$J,"&lt;="&amp;DATE($I$2,J$4,J$5))</f>
        <v/>
      </c>
      <c r="K658" s="321">
        <f>SUMIFS(DATA!$I:$I,DATA!$C:$C,$B658,DATA!$J:$J,"&gt;="&amp;DATE($I$2,K$4,1),DATA!$J:$J,"&lt;="&amp;DATE($I$2,K$4,K$5))</f>
        <v/>
      </c>
      <c r="L658" s="321">
        <f>SUMIFS(DATA!$I:$I,DATA!$C:$C,$B658,DATA!$J:$J,"&gt;="&amp;DATE($I$2,L$4,1),DATA!$J:$J,"&lt;="&amp;DATE($I$2,L$4,L$5))</f>
        <v/>
      </c>
      <c r="M658" s="321">
        <f>SUMIFS(DATA!$I:$I,DATA!$C:$C,$B658,DATA!$J:$J,"&gt;="&amp;DATE($I$2,M$4,1),DATA!$J:$J,"&lt;="&amp;DATE($I$2,M$4,M$5))</f>
        <v/>
      </c>
      <c r="N658" s="321">
        <f>SUMIFS(DATA!$I:$I,DATA!$C:$C,$B658,DATA!$J:$J,"&gt;="&amp;DATE($I$2,N$4,1),DATA!$J:$J,"&lt;="&amp;DATE($I$2,N$4,N$5))</f>
        <v/>
      </c>
      <c r="O658" s="321">
        <f>SUMIFS(DATA!$I:$I,DATA!$C:$C,$B658,DATA!$J:$J,"&gt;="&amp;DATE($I$2,O$4,1),DATA!$J:$J,"&lt;="&amp;DATE($I$2,O$4,O$5))</f>
        <v/>
      </c>
      <c r="P658" s="322">
        <f>SUM(D658:O658)</f>
        <v/>
      </c>
      <c r="Q658" s="118" t="n"/>
    </row>
    <row r="659" hidden="1" outlineLevel="1" ht="15" customHeight="1">
      <c r="A659" s="266" t="n"/>
      <c r="B659" s="126" t="n"/>
      <c r="C659" s="119" t="inlineStr">
        <is>
          <t>Thực tế</t>
        </is>
      </c>
      <c r="D659" s="321">
        <f>SUMIFS(DATA!$M:$M,DATA!$C:$C,$B658,DATA!$N:$N,"&gt;="&amp;DATE($I$2,D$4,1),DATA!$N:$N,"&lt;="&amp;DATE($I$2,D$4,D$5))</f>
        <v/>
      </c>
      <c r="E659" s="321">
        <f>SUMIFS(DATA!$M:$M,DATA!$C:$C,$B658,DATA!$N:$N,"&gt;="&amp;DATE($I$2,E$4,1),DATA!$N:$N,"&lt;="&amp;DATE($I$2,E$4,E$5))</f>
        <v/>
      </c>
      <c r="F659" s="321">
        <f>SUMIFS(DATA!$M:$M,DATA!$C:$C,$B658,DATA!$N:$N,"&gt;="&amp;DATE($I$2,F$4,1),DATA!$N:$N,"&lt;="&amp;DATE($I$2,F$4,F$5))</f>
        <v/>
      </c>
      <c r="G659" s="321">
        <f>SUMIFS(DATA!$M:$M,DATA!$C:$C,$B658,DATA!$N:$N,"&gt;="&amp;DATE($I$2,G$4,1),DATA!$N:$N,"&lt;="&amp;DATE($I$2,G$4,G$5))</f>
        <v/>
      </c>
      <c r="H659" s="321">
        <f>SUMIFS(DATA!$M:$M,DATA!$C:$C,$B658,DATA!$N:$N,"&gt;="&amp;DATE($I$2,H$4,1),DATA!$N:$N,"&lt;="&amp;DATE($I$2,H$4,H$5))</f>
        <v/>
      </c>
      <c r="I659" s="321">
        <f>SUMIFS(DATA!$M:$M,DATA!$C:$C,$B658,DATA!$N:$N,"&gt;="&amp;DATE($I$2,I$4,1),DATA!$N:$N,"&lt;="&amp;DATE($I$2,I$4,I$5))</f>
        <v/>
      </c>
      <c r="J659" s="321">
        <f>SUMIFS(DATA!$M:$M,DATA!$C:$C,$B658,DATA!$N:$N,"&gt;="&amp;DATE($I$2,J$4,1),DATA!$N:$N,"&lt;="&amp;DATE($I$2,J$4,J$5))</f>
        <v/>
      </c>
      <c r="K659" s="321">
        <f>SUMIFS(DATA!$M:$M,DATA!$C:$C,$B658,DATA!$N:$N,"&gt;="&amp;DATE($I$2,K$4,1),DATA!$N:$N,"&lt;="&amp;DATE($I$2,K$4,K$5))</f>
        <v/>
      </c>
      <c r="L659" s="321">
        <f>SUMIFS(DATA!$M:$M,DATA!$C:$C,$B658,DATA!$N:$N,"&gt;="&amp;DATE($I$2,L$4,1),DATA!$N:$N,"&lt;="&amp;DATE($I$2,L$4,L$5))</f>
        <v/>
      </c>
      <c r="M659" s="321">
        <f>SUMIFS(DATA!$M:$M,DATA!$C:$C,$B658,DATA!$N:$N,"&gt;="&amp;DATE($I$2,M$4,1),DATA!$N:$N,"&lt;="&amp;DATE($I$2,M$4,M$5))</f>
        <v/>
      </c>
      <c r="N659" s="321">
        <f>SUMIFS(DATA!$M:$M,DATA!$C:$C,$B658,DATA!$N:$N,"&gt;="&amp;DATE($I$2,N$4,1),DATA!$N:$N,"&lt;="&amp;DATE($I$2,N$4,N$5))</f>
        <v/>
      </c>
      <c r="O659" s="321">
        <f>SUMIFS(DATA!$M:$M,DATA!$C:$C,$B658,DATA!$N:$N,"&gt;="&amp;DATE($I$2,O$4,1),DATA!$N:$N,"&lt;="&amp;DATE($I$2,O$4,O$5))</f>
        <v/>
      </c>
      <c r="P659" s="322">
        <f>SUM(D659:O659)</f>
        <v/>
      </c>
      <c r="Q659" s="118" t="n"/>
    </row>
    <row r="660" hidden="1" outlineLevel="1" ht="15" customHeight="1">
      <c r="A660" s="269" t="n">
        <v>328</v>
      </c>
      <c r="B660" s="125" t="n"/>
      <c r="C660" s="119" t="inlineStr">
        <is>
          <t>Kế hoạch</t>
        </is>
      </c>
      <c r="D660" s="321">
        <f>SUMIFS(DATA!$I:$I,DATA!$C:$C,$B660,DATA!$J:$J,"&gt;="&amp;DATE($I$2,D$4,1),DATA!$J:$J,"&lt;="&amp;DATE($I$2,D$4,D$5))</f>
        <v/>
      </c>
      <c r="E660" s="321">
        <f>SUMIFS(DATA!$I:$I,DATA!$C:$C,$B660,DATA!$J:$J,"&gt;="&amp;DATE($I$2,E$4,1),DATA!$J:$J,"&lt;="&amp;DATE($I$2,E$4,E$5))</f>
        <v/>
      </c>
      <c r="F660" s="321">
        <f>SUMIFS(DATA!$I:$I,DATA!$C:$C,$B660,DATA!$J:$J,"&gt;="&amp;DATE($I$2,F$4,1),DATA!$J:$J,"&lt;="&amp;DATE($I$2,F$4,F$5))</f>
        <v/>
      </c>
      <c r="G660" s="321">
        <f>SUMIFS(DATA!$I:$I,DATA!$C:$C,$B660,DATA!$J:$J,"&gt;="&amp;DATE($I$2,G$4,1),DATA!$J:$J,"&lt;="&amp;DATE($I$2,G$4,G$5))</f>
        <v/>
      </c>
      <c r="H660" s="321">
        <f>SUMIFS(DATA!$I:$I,DATA!$C:$C,$B660,DATA!$J:$J,"&gt;="&amp;DATE($I$2,H$4,1),DATA!$J:$J,"&lt;="&amp;DATE($I$2,H$4,H$5))</f>
        <v/>
      </c>
      <c r="I660" s="321">
        <f>SUMIFS(DATA!$I:$I,DATA!$C:$C,$B660,DATA!$J:$J,"&gt;="&amp;DATE($I$2,I$4,1),DATA!$J:$J,"&lt;="&amp;DATE($I$2,I$4,I$5))</f>
        <v/>
      </c>
      <c r="J660" s="321">
        <f>SUMIFS(DATA!$I:$I,DATA!$C:$C,$B660,DATA!$J:$J,"&gt;="&amp;DATE($I$2,J$4,1),DATA!$J:$J,"&lt;="&amp;DATE($I$2,J$4,J$5))</f>
        <v/>
      </c>
      <c r="K660" s="321">
        <f>SUMIFS(DATA!$I:$I,DATA!$C:$C,$B660,DATA!$J:$J,"&gt;="&amp;DATE($I$2,K$4,1),DATA!$J:$J,"&lt;="&amp;DATE($I$2,K$4,K$5))</f>
        <v/>
      </c>
      <c r="L660" s="321">
        <f>SUMIFS(DATA!$I:$I,DATA!$C:$C,$B660,DATA!$J:$J,"&gt;="&amp;DATE($I$2,L$4,1),DATA!$J:$J,"&lt;="&amp;DATE($I$2,L$4,L$5))</f>
        <v/>
      </c>
      <c r="M660" s="321">
        <f>SUMIFS(DATA!$I:$I,DATA!$C:$C,$B660,DATA!$J:$J,"&gt;="&amp;DATE($I$2,M$4,1),DATA!$J:$J,"&lt;="&amp;DATE($I$2,M$4,M$5))</f>
        <v/>
      </c>
      <c r="N660" s="321">
        <f>SUMIFS(DATA!$I:$I,DATA!$C:$C,$B660,DATA!$J:$J,"&gt;="&amp;DATE($I$2,N$4,1),DATA!$J:$J,"&lt;="&amp;DATE($I$2,N$4,N$5))</f>
        <v/>
      </c>
      <c r="O660" s="321">
        <f>SUMIFS(DATA!$I:$I,DATA!$C:$C,$B660,DATA!$J:$J,"&gt;="&amp;DATE($I$2,O$4,1),DATA!$J:$J,"&lt;="&amp;DATE($I$2,O$4,O$5))</f>
        <v/>
      </c>
      <c r="P660" s="322">
        <f>SUM(D660:O660)</f>
        <v/>
      </c>
      <c r="Q660" s="118" t="n"/>
    </row>
    <row r="661" hidden="1" outlineLevel="1" ht="15" customHeight="1">
      <c r="A661" s="266" t="n"/>
      <c r="B661" s="126" t="n"/>
      <c r="C661" s="119" t="inlineStr">
        <is>
          <t>Thực tế</t>
        </is>
      </c>
      <c r="D661" s="321">
        <f>SUMIFS(DATA!$M:$M,DATA!$C:$C,$B660,DATA!$N:$N,"&gt;="&amp;DATE($I$2,D$4,1),DATA!$N:$N,"&lt;="&amp;DATE($I$2,D$4,D$5))</f>
        <v/>
      </c>
      <c r="E661" s="321">
        <f>SUMIFS(DATA!$M:$M,DATA!$C:$C,$B660,DATA!$N:$N,"&gt;="&amp;DATE($I$2,E$4,1),DATA!$N:$N,"&lt;="&amp;DATE($I$2,E$4,E$5))</f>
        <v/>
      </c>
      <c r="F661" s="321">
        <f>SUMIFS(DATA!$M:$M,DATA!$C:$C,$B660,DATA!$N:$N,"&gt;="&amp;DATE($I$2,F$4,1),DATA!$N:$N,"&lt;="&amp;DATE($I$2,F$4,F$5))</f>
        <v/>
      </c>
      <c r="G661" s="321">
        <f>SUMIFS(DATA!$M:$M,DATA!$C:$C,$B660,DATA!$N:$N,"&gt;="&amp;DATE($I$2,G$4,1),DATA!$N:$N,"&lt;="&amp;DATE($I$2,G$4,G$5))</f>
        <v/>
      </c>
      <c r="H661" s="321">
        <f>SUMIFS(DATA!$M:$M,DATA!$C:$C,$B660,DATA!$N:$N,"&gt;="&amp;DATE($I$2,H$4,1),DATA!$N:$N,"&lt;="&amp;DATE($I$2,H$4,H$5))</f>
        <v/>
      </c>
      <c r="I661" s="321">
        <f>SUMIFS(DATA!$M:$M,DATA!$C:$C,$B660,DATA!$N:$N,"&gt;="&amp;DATE($I$2,I$4,1),DATA!$N:$N,"&lt;="&amp;DATE($I$2,I$4,I$5))</f>
        <v/>
      </c>
      <c r="J661" s="321">
        <f>SUMIFS(DATA!$M:$M,DATA!$C:$C,$B660,DATA!$N:$N,"&gt;="&amp;DATE($I$2,J$4,1),DATA!$N:$N,"&lt;="&amp;DATE($I$2,J$4,J$5))</f>
        <v/>
      </c>
      <c r="K661" s="321">
        <f>SUMIFS(DATA!$M:$M,DATA!$C:$C,$B660,DATA!$N:$N,"&gt;="&amp;DATE($I$2,K$4,1),DATA!$N:$N,"&lt;="&amp;DATE($I$2,K$4,K$5))</f>
        <v/>
      </c>
      <c r="L661" s="321">
        <f>SUMIFS(DATA!$M:$M,DATA!$C:$C,$B660,DATA!$N:$N,"&gt;="&amp;DATE($I$2,L$4,1),DATA!$N:$N,"&lt;="&amp;DATE($I$2,L$4,L$5))</f>
        <v/>
      </c>
      <c r="M661" s="321">
        <f>SUMIFS(DATA!$M:$M,DATA!$C:$C,$B660,DATA!$N:$N,"&gt;="&amp;DATE($I$2,M$4,1),DATA!$N:$N,"&lt;="&amp;DATE($I$2,M$4,M$5))</f>
        <v/>
      </c>
      <c r="N661" s="321">
        <f>SUMIFS(DATA!$M:$M,DATA!$C:$C,$B660,DATA!$N:$N,"&gt;="&amp;DATE($I$2,N$4,1),DATA!$N:$N,"&lt;="&amp;DATE($I$2,N$4,N$5))</f>
        <v/>
      </c>
      <c r="O661" s="321">
        <f>SUMIFS(DATA!$M:$M,DATA!$C:$C,$B660,DATA!$N:$N,"&gt;="&amp;DATE($I$2,O$4,1),DATA!$N:$N,"&lt;="&amp;DATE($I$2,O$4,O$5))</f>
        <v/>
      </c>
      <c r="P661" s="322">
        <f>SUM(D661:O661)</f>
        <v/>
      </c>
      <c r="Q661" s="118" t="n"/>
    </row>
    <row r="662" hidden="1" outlineLevel="1" ht="15" customHeight="1">
      <c r="A662" s="269" t="n">
        <v>329</v>
      </c>
      <c r="B662" s="125" t="n"/>
      <c r="C662" s="119" t="inlineStr">
        <is>
          <t>Kế hoạch</t>
        </is>
      </c>
      <c r="D662" s="321">
        <f>SUMIFS(DATA!$I:$I,DATA!$C:$C,$B662,DATA!$J:$J,"&gt;="&amp;DATE($I$2,D$4,1),DATA!$J:$J,"&lt;="&amp;DATE($I$2,D$4,D$5))</f>
        <v/>
      </c>
      <c r="E662" s="321">
        <f>SUMIFS(DATA!$I:$I,DATA!$C:$C,$B662,DATA!$J:$J,"&gt;="&amp;DATE($I$2,E$4,1),DATA!$J:$J,"&lt;="&amp;DATE($I$2,E$4,E$5))</f>
        <v/>
      </c>
      <c r="F662" s="321">
        <f>SUMIFS(DATA!$I:$I,DATA!$C:$C,$B662,DATA!$J:$J,"&gt;="&amp;DATE($I$2,F$4,1),DATA!$J:$J,"&lt;="&amp;DATE($I$2,F$4,F$5))</f>
        <v/>
      </c>
      <c r="G662" s="321">
        <f>SUMIFS(DATA!$I:$I,DATA!$C:$C,$B662,DATA!$J:$J,"&gt;="&amp;DATE($I$2,G$4,1),DATA!$J:$J,"&lt;="&amp;DATE($I$2,G$4,G$5))</f>
        <v/>
      </c>
      <c r="H662" s="321">
        <f>SUMIFS(DATA!$I:$I,DATA!$C:$C,$B662,DATA!$J:$J,"&gt;="&amp;DATE($I$2,H$4,1),DATA!$J:$J,"&lt;="&amp;DATE($I$2,H$4,H$5))</f>
        <v/>
      </c>
      <c r="I662" s="321">
        <f>SUMIFS(DATA!$I:$I,DATA!$C:$C,$B662,DATA!$J:$J,"&gt;="&amp;DATE($I$2,I$4,1),DATA!$J:$J,"&lt;="&amp;DATE($I$2,I$4,I$5))</f>
        <v/>
      </c>
      <c r="J662" s="321">
        <f>SUMIFS(DATA!$I:$I,DATA!$C:$C,$B662,DATA!$J:$J,"&gt;="&amp;DATE($I$2,J$4,1),DATA!$J:$J,"&lt;="&amp;DATE($I$2,J$4,J$5))</f>
        <v/>
      </c>
      <c r="K662" s="321">
        <f>SUMIFS(DATA!$I:$I,DATA!$C:$C,$B662,DATA!$J:$J,"&gt;="&amp;DATE($I$2,K$4,1),DATA!$J:$J,"&lt;="&amp;DATE($I$2,K$4,K$5))</f>
        <v/>
      </c>
      <c r="L662" s="321">
        <f>SUMIFS(DATA!$I:$I,DATA!$C:$C,$B662,DATA!$J:$J,"&gt;="&amp;DATE($I$2,L$4,1),DATA!$J:$J,"&lt;="&amp;DATE($I$2,L$4,L$5))</f>
        <v/>
      </c>
      <c r="M662" s="321">
        <f>SUMIFS(DATA!$I:$I,DATA!$C:$C,$B662,DATA!$J:$J,"&gt;="&amp;DATE($I$2,M$4,1),DATA!$J:$J,"&lt;="&amp;DATE($I$2,M$4,M$5))</f>
        <v/>
      </c>
      <c r="N662" s="321">
        <f>SUMIFS(DATA!$I:$I,DATA!$C:$C,$B662,DATA!$J:$J,"&gt;="&amp;DATE($I$2,N$4,1),DATA!$J:$J,"&lt;="&amp;DATE($I$2,N$4,N$5))</f>
        <v/>
      </c>
      <c r="O662" s="321">
        <f>SUMIFS(DATA!$I:$I,DATA!$C:$C,$B662,DATA!$J:$J,"&gt;="&amp;DATE($I$2,O$4,1),DATA!$J:$J,"&lt;="&amp;DATE($I$2,O$4,O$5))</f>
        <v/>
      </c>
      <c r="P662" s="322">
        <f>SUM(D662:O662)</f>
        <v/>
      </c>
      <c r="Q662" s="118" t="n"/>
    </row>
    <row r="663" hidden="1" outlineLevel="1" ht="15" customHeight="1">
      <c r="A663" s="266" t="n"/>
      <c r="B663" s="126" t="n"/>
      <c r="C663" s="119" t="inlineStr">
        <is>
          <t>Thực tế</t>
        </is>
      </c>
      <c r="D663" s="321">
        <f>SUMIFS(DATA!$M:$M,DATA!$C:$C,$B662,DATA!$N:$N,"&gt;="&amp;DATE($I$2,D$4,1),DATA!$N:$N,"&lt;="&amp;DATE($I$2,D$4,D$5))</f>
        <v/>
      </c>
      <c r="E663" s="321">
        <f>SUMIFS(DATA!$M:$M,DATA!$C:$C,$B662,DATA!$N:$N,"&gt;="&amp;DATE($I$2,E$4,1),DATA!$N:$N,"&lt;="&amp;DATE($I$2,E$4,E$5))</f>
        <v/>
      </c>
      <c r="F663" s="321">
        <f>SUMIFS(DATA!$M:$M,DATA!$C:$C,$B662,DATA!$N:$N,"&gt;="&amp;DATE($I$2,F$4,1),DATA!$N:$N,"&lt;="&amp;DATE($I$2,F$4,F$5))</f>
        <v/>
      </c>
      <c r="G663" s="321">
        <f>SUMIFS(DATA!$M:$M,DATA!$C:$C,$B662,DATA!$N:$N,"&gt;="&amp;DATE($I$2,G$4,1),DATA!$N:$N,"&lt;="&amp;DATE($I$2,G$4,G$5))</f>
        <v/>
      </c>
      <c r="H663" s="321">
        <f>SUMIFS(DATA!$M:$M,DATA!$C:$C,$B662,DATA!$N:$N,"&gt;="&amp;DATE($I$2,H$4,1),DATA!$N:$N,"&lt;="&amp;DATE($I$2,H$4,H$5))</f>
        <v/>
      </c>
      <c r="I663" s="321">
        <f>SUMIFS(DATA!$M:$M,DATA!$C:$C,$B662,DATA!$N:$N,"&gt;="&amp;DATE($I$2,I$4,1),DATA!$N:$N,"&lt;="&amp;DATE($I$2,I$4,I$5))</f>
        <v/>
      </c>
      <c r="J663" s="321">
        <f>SUMIFS(DATA!$M:$M,DATA!$C:$C,$B662,DATA!$N:$N,"&gt;="&amp;DATE($I$2,J$4,1),DATA!$N:$N,"&lt;="&amp;DATE($I$2,J$4,J$5))</f>
        <v/>
      </c>
      <c r="K663" s="321">
        <f>SUMIFS(DATA!$M:$M,DATA!$C:$C,$B662,DATA!$N:$N,"&gt;="&amp;DATE($I$2,K$4,1),DATA!$N:$N,"&lt;="&amp;DATE($I$2,K$4,K$5))</f>
        <v/>
      </c>
      <c r="L663" s="321">
        <f>SUMIFS(DATA!$M:$M,DATA!$C:$C,$B662,DATA!$N:$N,"&gt;="&amp;DATE($I$2,L$4,1),DATA!$N:$N,"&lt;="&amp;DATE($I$2,L$4,L$5))</f>
        <v/>
      </c>
      <c r="M663" s="321">
        <f>SUMIFS(DATA!$M:$M,DATA!$C:$C,$B662,DATA!$N:$N,"&gt;="&amp;DATE($I$2,M$4,1),DATA!$N:$N,"&lt;="&amp;DATE($I$2,M$4,M$5))</f>
        <v/>
      </c>
      <c r="N663" s="321">
        <f>SUMIFS(DATA!$M:$M,DATA!$C:$C,$B662,DATA!$N:$N,"&gt;="&amp;DATE($I$2,N$4,1),DATA!$N:$N,"&lt;="&amp;DATE($I$2,N$4,N$5))</f>
        <v/>
      </c>
      <c r="O663" s="321">
        <f>SUMIFS(DATA!$M:$M,DATA!$C:$C,$B662,DATA!$N:$N,"&gt;="&amp;DATE($I$2,O$4,1),DATA!$N:$N,"&lt;="&amp;DATE($I$2,O$4,O$5))</f>
        <v/>
      </c>
      <c r="P663" s="322">
        <f>SUM(D663:O663)</f>
        <v/>
      </c>
      <c r="Q663" s="118" t="n"/>
    </row>
    <row r="664" hidden="1" outlineLevel="1" ht="15" customHeight="1">
      <c r="A664" s="269" t="n">
        <v>330</v>
      </c>
      <c r="B664" s="125" t="n"/>
      <c r="C664" s="119" t="inlineStr">
        <is>
          <t>Kế hoạch</t>
        </is>
      </c>
      <c r="D664" s="321">
        <f>SUMIFS(DATA!$I:$I,DATA!$C:$C,$B664,DATA!$J:$J,"&gt;="&amp;DATE($I$2,D$4,1),DATA!$J:$J,"&lt;="&amp;DATE($I$2,D$4,D$5))</f>
        <v/>
      </c>
      <c r="E664" s="321">
        <f>SUMIFS(DATA!$I:$I,DATA!$C:$C,$B664,DATA!$J:$J,"&gt;="&amp;DATE($I$2,E$4,1),DATA!$J:$J,"&lt;="&amp;DATE($I$2,E$4,E$5))</f>
        <v/>
      </c>
      <c r="F664" s="321">
        <f>SUMIFS(DATA!$I:$I,DATA!$C:$C,$B664,DATA!$J:$J,"&gt;="&amp;DATE($I$2,F$4,1),DATA!$J:$J,"&lt;="&amp;DATE($I$2,F$4,F$5))</f>
        <v/>
      </c>
      <c r="G664" s="321">
        <f>SUMIFS(DATA!$I:$I,DATA!$C:$C,$B664,DATA!$J:$J,"&gt;="&amp;DATE($I$2,G$4,1),DATA!$J:$J,"&lt;="&amp;DATE($I$2,G$4,G$5))</f>
        <v/>
      </c>
      <c r="H664" s="321">
        <f>SUMIFS(DATA!$I:$I,DATA!$C:$C,$B664,DATA!$J:$J,"&gt;="&amp;DATE($I$2,H$4,1),DATA!$J:$J,"&lt;="&amp;DATE($I$2,H$4,H$5))</f>
        <v/>
      </c>
      <c r="I664" s="321">
        <f>SUMIFS(DATA!$I:$I,DATA!$C:$C,$B664,DATA!$J:$J,"&gt;="&amp;DATE($I$2,I$4,1),DATA!$J:$J,"&lt;="&amp;DATE($I$2,I$4,I$5))</f>
        <v/>
      </c>
      <c r="J664" s="321">
        <f>SUMIFS(DATA!$I:$I,DATA!$C:$C,$B664,DATA!$J:$J,"&gt;="&amp;DATE($I$2,J$4,1),DATA!$J:$J,"&lt;="&amp;DATE($I$2,J$4,J$5))</f>
        <v/>
      </c>
      <c r="K664" s="321">
        <f>SUMIFS(DATA!$I:$I,DATA!$C:$C,$B664,DATA!$J:$J,"&gt;="&amp;DATE($I$2,K$4,1),DATA!$J:$J,"&lt;="&amp;DATE($I$2,K$4,K$5))</f>
        <v/>
      </c>
      <c r="L664" s="321">
        <f>SUMIFS(DATA!$I:$I,DATA!$C:$C,$B664,DATA!$J:$J,"&gt;="&amp;DATE($I$2,L$4,1),DATA!$J:$J,"&lt;="&amp;DATE($I$2,L$4,L$5))</f>
        <v/>
      </c>
      <c r="M664" s="321">
        <f>SUMIFS(DATA!$I:$I,DATA!$C:$C,$B664,DATA!$J:$J,"&gt;="&amp;DATE($I$2,M$4,1),DATA!$J:$J,"&lt;="&amp;DATE($I$2,M$4,M$5))</f>
        <v/>
      </c>
      <c r="N664" s="321">
        <f>SUMIFS(DATA!$I:$I,DATA!$C:$C,$B664,DATA!$J:$J,"&gt;="&amp;DATE($I$2,N$4,1),DATA!$J:$J,"&lt;="&amp;DATE($I$2,N$4,N$5))</f>
        <v/>
      </c>
      <c r="O664" s="321">
        <f>SUMIFS(DATA!$I:$I,DATA!$C:$C,$B664,DATA!$J:$J,"&gt;="&amp;DATE($I$2,O$4,1),DATA!$J:$J,"&lt;="&amp;DATE($I$2,O$4,O$5))</f>
        <v/>
      </c>
      <c r="P664" s="322">
        <f>SUM(D664:O664)</f>
        <v/>
      </c>
      <c r="Q664" s="118" t="n"/>
    </row>
    <row r="665" hidden="1" outlineLevel="1" ht="15" customHeight="1">
      <c r="A665" s="266" t="n"/>
      <c r="B665" s="126" t="n"/>
      <c r="C665" s="119" t="inlineStr">
        <is>
          <t>Thực tế</t>
        </is>
      </c>
      <c r="D665" s="321">
        <f>SUMIFS(DATA!$M:$M,DATA!$C:$C,$B664,DATA!$N:$N,"&gt;="&amp;DATE($I$2,D$4,1),DATA!$N:$N,"&lt;="&amp;DATE($I$2,D$4,D$5))</f>
        <v/>
      </c>
      <c r="E665" s="321">
        <f>SUMIFS(DATA!$M:$M,DATA!$C:$C,$B664,DATA!$N:$N,"&gt;="&amp;DATE($I$2,E$4,1),DATA!$N:$N,"&lt;="&amp;DATE($I$2,E$4,E$5))</f>
        <v/>
      </c>
      <c r="F665" s="321">
        <f>SUMIFS(DATA!$M:$M,DATA!$C:$C,$B664,DATA!$N:$N,"&gt;="&amp;DATE($I$2,F$4,1),DATA!$N:$N,"&lt;="&amp;DATE($I$2,F$4,F$5))</f>
        <v/>
      </c>
      <c r="G665" s="321">
        <f>SUMIFS(DATA!$M:$M,DATA!$C:$C,$B664,DATA!$N:$N,"&gt;="&amp;DATE($I$2,G$4,1),DATA!$N:$N,"&lt;="&amp;DATE($I$2,G$4,G$5))</f>
        <v/>
      </c>
      <c r="H665" s="321">
        <f>SUMIFS(DATA!$M:$M,DATA!$C:$C,$B664,DATA!$N:$N,"&gt;="&amp;DATE($I$2,H$4,1),DATA!$N:$N,"&lt;="&amp;DATE($I$2,H$4,H$5))</f>
        <v/>
      </c>
      <c r="I665" s="321">
        <f>SUMIFS(DATA!$M:$M,DATA!$C:$C,$B664,DATA!$N:$N,"&gt;="&amp;DATE($I$2,I$4,1),DATA!$N:$N,"&lt;="&amp;DATE($I$2,I$4,I$5))</f>
        <v/>
      </c>
      <c r="J665" s="321">
        <f>SUMIFS(DATA!$M:$M,DATA!$C:$C,$B664,DATA!$N:$N,"&gt;="&amp;DATE($I$2,J$4,1),DATA!$N:$N,"&lt;="&amp;DATE($I$2,J$4,J$5))</f>
        <v/>
      </c>
      <c r="K665" s="321">
        <f>SUMIFS(DATA!$M:$M,DATA!$C:$C,$B664,DATA!$N:$N,"&gt;="&amp;DATE($I$2,K$4,1),DATA!$N:$N,"&lt;="&amp;DATE($I$2,K$4,K$5))</f>
        <v/>
      </c>
      <c r="L665" s="321">
        <f>SUMIFS(DATA!$M:$M,DATA!$C:$C,$B664,DATA!$N:$N,"&gt;="&amp;DATE($I$2,L$4,1),DATA!$N:$N,"&lt;="&amp;DATE($I$2,L$4,L$5))</f>
        <v/>
      </c>
      <c r="M665" s="321">
        <f>SUMIFS(DATA!$M:$M,DATA!$C:$C,$B664,DATA!$N:$N,"&gt;="&amp;DATE($I$2,M$4,1),DATA!$N:$N,"&lt;="&amp;DATE($I$2,M$4,M$5))</f>
        <v/>
      </c>
      <c r="N665" s="321">
        <f>SUMIFS(DATA!$M:$M,DATA!$C:$C,$B664,DATA!$N:$N,"&gt;="&amp;DATE($I$2,N$4,1),DATA!$N:$N,"&lt;="&amp;DATE($I$2,N$4,N$5))</f>
        <v/>
      </c>
      <c r="O665" s="321">
        <f>SUMIFS(DATA!$M:$M,DATA!$C:$C,$B664,DATA!$N:$N,"&gt;="&amp;DATE($I$2,O$4,1),DATA!$N:$N,"&lt;="&amp;DATE($I$2,O$4,O$5))</f>
        <v/>
      </c>
      <c r="P665" s="322">
        <f>SUM(D665:O665)</f>
        <v/>
      </c>
      <c r="Q665" s="118" t="n"/>
    </row>
    <row r="666" hidden="1" outlineLevel="1" ht="15" customHeight="1">
      <c r="A666" s="269" t="n">
        <v>331</v>
      </c>
      <c r="B666" s="125" t="n"/>
      <c r="C666" s="119" t="inlineStr">
        <is>
          <t>Kế hoạch</t>
        </is>
      </c>
      <c r="D666" s="321">
        <f>SUMIFS(DATA!$I:$I,DATA!$C:$C,$B666,DATA!$J:$J,"&gt;="&amp;DATE($I$2,D$4,1),DATA!$J:$J,"&lt;="&amp;DATE($I$2,D$4,D$5))</f>
        <v/>
      </c>
      <c r="E666" s="321">
        <f>SUMIFS(DATA!$I:$I,DATA!$C:$C,$B666,DATA!$J:$J,"&gt;="&amp;DATE($I$2,E$4,1),DATA!$J:$J,"&lt;="&amp;DATE($I$2,E$4,E$5))</f>
        <v/>
      </c>
      <c r="F666" s="321">
        <f>SUMIFS(DATA!$I:$I,DATA!$C:$C,$B666,DATA!$J:$J,"&gt;="&amp;DATE($I$2,F$4,1),DATA!$J:$J,"&lt;="&amp;DATE($I$2,F$4,F$5))</f>
        <v/>
      </c>
      <c r="G666" s="321">
        <f>SUMIFS(DATA!$I:$I,DATA!$C:$C,$B666,DATA!$J:$J,"&gt;="&amp;DATE($I$2,G$4,1),DATA!$J:$J,"&lt;="&amp;DATE($I$2,G$4,G$5))</f>
        <v/>
      </c>
      <c r="H666" s="321">
        <f>SUMIFS(DATA!$I:$I,DATA!$C:$C,$B666,DATA!$J:$J,"&gt;="&amp;DATE($I$2,H$4,1),DATA!$J:$J,"&lt;="&amp;DATE($I$2,H$4,H$5))</f>
        <v/>
      </c>
      <c r="I666" s="321">
        <f>SUMIFS(DATA!$I:$I,DATA!$C:$C,$B666,DATA!$J:$J,"&gt;="&amp;DATE($I$2,I$4,1),DATA!$J:$J,"&lt;="&amp;DATE($I$2,I$4,I$5))</f>
        <v/>
      </c>
      <c r="J666" s="321">
        <f>SUMIFS(DATA!$I:$I,DATA!$C:$C,$B666,DATA!$J:$J,"&gt;="&amp;DATE($I$2,J$4,1),DATA!$J:$J,"&lt;="&amp;DATE($I$2,J$4,J$5))</f>
        <v/>
      </c>
      <c r="K666" s="321">
        <f>SUMIFS(DATA!$I:$I,DATA!$C:$C,$B666,DATA!$J:$J,"&gt;="&amp;DATE($I$2,K$4,1),DATA!$J:$J,"&lt;="&amp;DATE($I$2,K$4,K$5))</f>
        <v/>
      </c>
      <c r="L666" s="321">
        <f>SUMIFS(DATA!$I:$I,DATA!$C:$C,$B666,DATA!$J:$J,"&gt;="&amp;DATE($I$2,L$4,1),DATA!$J:$J,"&lt;="&amp;DATE($I$2,L$4,L$5))</f>
        <v/>
      </c>
      <c r="M666" s="321">
        <f>SUMIFS(DATA!$I:$I,DATA!$C:$C,$B666,DATA!$J:$J,"&gt;="&amp;DATE($I$2,M$4,1),DATA!$J:$J,"&lt;="&amp;DATE($I$2,M$4,M$5))</f>
        <v/>
      </c>
      <c r="N666" s="321">
        <f>SUMIFS(DATA!$I:$I,DATA!$C:$C,$B666,DATA!$J:$J,"&gt;="&amp;DATE($I$2,N$4,1),DATA!$J:$J,"&lt;="&amp;DATE($I$2,N$4,N$5))</f>
        <v/>
      </c>
      <c r="O666" s="321">
        <f>SUMIFS(DATA!$I:$I,DATA!$C:$C,$B666,DATA!$J:$J,"&gt;="&amp;DATE($I$2,O$4,1),DATA!$J:$J,"&lt;="&amp;DATE($I$2,O$4,O$5))</f>
        <v/>
      </c>
      <c r="P666" s="322">
        <f>SUM(D666:O666)</f>
        <v/>
      </c>
      <c r="Q666" s="118" t="n"/>
    </row>
    <row r="667" hidden="1" outlineLevel="1" ht="15" customHeight="1">
      <c r="A667" s="266" t="n"/>
      <c r="B667" s="126" t="n"/>
      <c r="C667" s="119" t="inlineStr">
        <is>
          <t>Thực tế</t>
        </is>
      </c>
      <c r="D667" s="321">
        <f>SUMIFS(DATA!$M:$M,DATA!$C:$C,$B666,DATA!$N:$N,"&gt;="&amp;DATE($I$2,D$4,1),DATA!$N:$N,"&lt;="&amp;DATE($I$2,D$4,D$5))</f>
        <v/>
      </c>
      <c r="E667" s="321">
        <f>SUMIFS(DATA!$M:$M,DATA!$C:$C,$B666,DATA!$N:$N,"&gt;="&amp;DATE($I$2,E$4,1),DATA!$N:$N,"&lt;="&amp;DATE($I$2,E$4,E$5))</f>
        <v/>
      </c>
      <c r="F667" s="321">
        <f>SUMIFS(DATA!$M:$M,DATA!$C:$C,$B666,DATA!$N:$N,"&gt;="&amp;DATE($I$2,F$4,1),DATA!$N:$N,"&lt;="&amp;DATE($I$2,F$4,F$5))</f>
        <v/>
      </c>
      <c r="G667" s="321">
        <f>SUMIFS(DATA!$M:$M,DATA!$C:$C,$B666,DATA!$N:$N,"&gt;="&amp;DATE($I$2,G$4,1),DATA!$N:$N,"&lt;="&amp;DATE($I$2,G$4,G$5))</f>
        <v/>
      </c>
      <c r="H667" s="321">
        <f>SUMIFS(DATA!$M:$M,DATA!$C:$C,$B666,DATA!$N:$N,"&gt;="&amp;DATE($I$2,H$4,1),DATA!$N:$N,"&lt;="&amp;DATE($I$2,H$4,H$5))</f>
        <v/>
      </c>
      <c r="I667" s="321">
        <f>SUMIFS(DATA!$M:$M,DATA!$C:$C,$B666,DATA!$N:$N,"&gt;="&amp;DATE($I$2,I$4,1),DATA!$N:$N,"&lt;="&amp;DATE($I$2,I$4,I$5))</f>
        <v/>
      </c>
      <c r="J667" s="321">
        <f>SUMIFS(DATA!$M:$M,DATA!$C:$C,$B666,DATA!$N:$N,"&gt;="&amp;DATE($I$2,J$4,1),DATA!$N:$N,"&lt;="&amp;DATE($I$2,J$4,J$5))</f>
        <v/>
      </c>
      <c r="K667" s="321">
        <f>SUMIFS(DATA!$M:$M,DATA!$C:$C,$B666,DATA!$N:$N,"&gt;="&amp;DATE($I$2,K$4,1),DATA!$N:$N,"&lt;="&amp;DATE($I$2,K$4,K$5))</f>
        <v/>
      </c>
      <c r="L667" s="321">
        <f>SUMIFS(DATA!$M:$M,DATA!$C:$C,$B666,DATA!$N:$N,"&gt;="&amp;DATE($I$2,L$4,1),DATA!$N:$N,"&lt;="&amp;DATE($I$2,L$4,L$5))</f>
        <v/>
      </c>
      <c r="M667" s="321">
        <f>SUMIFS(DATA!$M:$M,DATA!$C:$C,$B666,DATA!$N:$N,"&gt;="&amp;DATE($I$2,M$4,1),DATA!$N:$N,"&lt;="&amp;DATE($I$2,M$4,M$5))</f>
        <v/>
      </c>
      <c r="N667" s="321">
        <f>SUMIFS(DATA!$M:$M,DATA!$C:$C,$B666,DATA!$N:$N,"&gt;="&amp;DATE($I$2,N$4,1),DATA!$N:$N,"&lt;="&amp;DATE($I$2,N$4,N$5))</f>
        <v/>
      </c>
      <c r="O667" s="321">
        <f>SUMIFS(DATA!$M:$M,DATA!$C:$C,$B666,DATA!$N:$N,"&gt;="&amp;DATE($I$2,O$4,1),DATA!$N:$N,"&lt;="&amp;DATE($I$2,O$4,O$5))</f>
        <v/>
      </c>
      <c r="P667" s="322">
        <f>SUM(D667:O667)</f>
        <v/>
      </c>
      <c r="Q667" s="118" t="n"/>
    </row>
    <row r="668" hidden="1" outlineLevel="1" ht="15" customHeight="1">
      <c r="A668" s="269" t="n">
        <v>332</v>
      </c>
      <c r="B668" s="125" t="n"/>
      <c r="C668" s="119" t="inlineStr">
        <is>
          <t>Kế hoạch</t>
        </is>
      </c>
      <c r="D668" s="321">
        <f>SUMIFS(DATA!$I:$I,DATA!$C:$C,$B668,DATA!$J:$J,"&gt;="&amp;DATE($I$2,D$4,1),DATA!$J:$J,"&lt;="&amp;DATE($I$2,D$4,D$5))</f>
        <v/>
      </c>
      <c r="E668" s="321">
        <f>SUMIFS(DATA!$I:$I,DATA!$C:$C,$B668,DATA!$J:$J,"&gt;="&amp;DATE($I$2,E$4,1),DATA!$J:$J,"&lt;="&amp;DATE($I$2,E$4,E$5))</f>
        <v/>
      </c>
      <c r="F668" s="321">
        <f>SUMIFS(DATA!$I:$I,DATA!$C:$C,$B668,DATA!$J:$J,"&gt;="&amp;DATE($I$2,F$4,1),DATA!$J:$J,"&lt;="&amp;DATE($I$2,F$4,F$5))</f>
        <v/>
      </c>
      <c r="G668" s="321">
        <f>SUMIFS(DATA!$I:$I,DATA!$C:$C,$B668,DATA!$J:$J,"&gt;="&amp;DATE($I$2,G$4,1),DATA!$J:$J,"&lt;="&amp;DATE($I$2,G$4,G$5))</f>
        <v/>
      </c>
      <c r="H668" s="321">
        <f>SUMIFS(DATA!$I:$I,DATA!$C:$C,$B668,DATA!$J:$J,"&gt;="&amp;DATE($I$2,H$4,1),DATA!$J:$J,"&lt;="&amp;DATE($I$2,H$4,H$5))</f>
        <v/>
      </c>
      <c r="I668" s="321">
        <f>SUMIFS(DATA!$I:$I,DATA!$C:$C,$B668,DATA!$J:$J,"&gt;="&amp;DATE($I$2,I$4,1),DATA!$J:$J,"&lt;="&amp;DATE($I$2,I$4,I$5))</f>
        <v/>
      </c>
      <c r="J668" s="321">
        <f>SUMIFS(DATA!$I:$I,DATA!$C:$C,$B668,DATA!$J:$J,"&gt;="&amp;DATE($I$2,J$4,1),DATA!$J:$J,"&lt;="&amp;DATE($I$2,J$4,J$5))</f>
        <v/>
      </c>
      <c r="K668" s="321">
        <f>SUMIFS(DATA!$I:$I,DATA!$C:$C,$B668,DATA!$J:$J,"&gt;="&amp;DATE($I$2,K$4,1),DATA!$J:$J,"&lt;="&amp;DATE($I$2,K$4,K$5))</f>
        <v/>
      </c>
      <c r="L668" s="321">
        <f>SUMIFS(DATA!$I:$I,DATA!$C:$C,$B668,DATA!$J:$J,"&gt;="&amp;DATE($I$2,L$4,1),DATA!$J:$J,"&lt;="&amp;DATE($I$2,L$4,L$5))</f>
        <v/>
      </c>
      <c r="M668" s="321">
        <f>SUMIFS(DATA!$I:$I,DATA!$C:$C,$B668,DATA!$J:$J,"&gt;="&amp;DATE($I$2,M$4,1),DATA!$J:$J,"&lt;="&amp;DATE($I$2,M$4,M$5))</f>
        <v/>
      </c>
      <c r="N668" s="321">
        <f>SUMIFS(DATA!$I:$I,DATA!$C:$C,$B668,DATA!$J:$J,"&gt;="&amp;DATE($I$2,N$4,1),DATA!$J:$J,"&lt;="&amp;DATE($I$2,N$4,N$5))</f>
        <v/>
      </c>
      <c r="O668" s="321">
        <f>SUMIFS(DATA!$I:$I,DATA!$C:$C,$B668,DATA!$J:$J,"&gt;="&amp;DATE($I$2,O$4,1),DATA!$J:$J,"&lt;="&amp;DATE($I$2,O$4,O$5))</f>
        <v/>
      </c>
      <c r="P668" s="322">
        <f>SUM(D668:O668)</f>
        <v/>
      </c>
      <c r="Q668" s="118" t="n"/>
    </row>
    <row r="669" hidden="1" outlineLevel="1" ht="15" customHeight="1">
      <c r="A669" s="266" t="n"/>
      <c r="B669" s="126" t="n"/>
      <c r="C669" s="119" t="inlineStr">
        <is>
          <t>Thực tế</t>
        </is>
      </c>
      <c r="D669" s="321">
        <f>SUMIFS(DATA!$M:$M,DATA!$C:$C,$B668,DATA!$N:$N,"&gt;="&amp;DATE($I$2,D$4,1),DATA!$N:$N,"&lt;="&amp;DATE($I$2,D$4,D$5))</f>
        <v/>
      </c>
      <c r="E669" s="321">
        <f>SUMIFS(DATA!$M:$M,DATA!$C:$C,$B668,DATA!$N:$N,"&gt;="&amp;DATE($I$2,E$4,1),DATA!$N:$N,"&lt;="&amp;DATE($I$2,E$4,E$5))</f>
        <v/>
      </c>
      <c r="F669" s="321">
        <f>SUMIFS(DATA!$M:$M,DATA!$C:$C,$B668,DATA!$N:$N,"&gt;="&amp;DATE($I$2,F$4,1),DATA!$N:$N,"&lt;="&amp;DATE($I$2,F$4,F$5))</f>
        <v/>
      </c>
      <c r="G669" s="321">
        <f>SUMIFS(DATA!$M:$M,DATA!$C:$C,$B668,DATA!$N:$N,"&gt;="&amp;DATE($I$2,G$4,1),DATA!$N:$N,"&lt;="&amp;DATE($I$2,G$4,G$5))</f>
        <v/>
      </c>
      <c r="H669" s="321">
        <f>SUMIFS(DATA!$M:$M,DATA!$C:$C,$B668,DATA!$N:$N,"&gt;="&amp;DATE($I$2,H$4,1),DATA!$N:$N,"&lt;="&amp;DATE($I$2,H$4,H$5))</f>
        <v/>
      </c>
      <c r="I669" s="321">
        <f>SUMIFS(DATA!$M:$M,DATA!$C:$C,$B668,DATA!$N:$N,"&gt;="&amp;DATE($I$2,I$4,1),DATA!$N:$N,"&lt;="&amp;DATE($I$2,I$4,I$5))</f>
        <v/>
      </c>
      <c r="J669" s="321">
        <f>SUMIFS(DATA!$M:$M,DATA!$C:$C,$B668,DATA!$N:$N,"&gt;="&amp;DATE($I$2,J$4,1),DATA!$N:$N,"&lt;="&amp;DATE($I$2,J$4,J$5))</f>
        <v/>
      </c>
      <c r="K669" s="321">
        <f>SUMIFS(DATA!$M:$M,DATA!$C:$C,$B668,DATA!$N:$N,"&gt;="&amp;DATE($I$2,K$4,1),DATA!$N:$N,"&lt;="&amp;DATE($I$2,K$4,K$5))</f>
        <v/>
      </c>
      <c r="L669" s="321">
        <f>SUMIFS(DATA!$M:$M,DATA!$C:$C,$B668,DATA!$N:$N,"&gt;="&amp;DATE($I$2,L$4,1),DATA!$N:$N,"&lt;="&amp;DATE($I$2,L$4,L$5))</f>
        <v/>
      </c>
      <c r="M669" s="321">
        <f>SUMIFS(DATA!$M:$M,DATA!$C:$C,$B668,DATA!$N:$N,"&gt;="&amp;DATE($I$2,M$4,1),DATA!$N:$N,"&lt;="&amp;DATE($I$2,M$4,M$5))</f>
        <v/>
      </c>
      <c r="N669" s="321">
        <f>SUMIFS(DATA!$M:$M,DATA!$C:$C,$B668,DATA!$N:$N,"&gt;="&amp;DATE($I$2,N$4,1),DATA!$N:$N,"&lt;="&amp;DATE($I$2,N$4,N$5))</f>
        <v/>
      </c>
      <c r="O669" s="321">
        <f>SUMIFS(DATA!$M:$M,DATA!$C:$C,$B668,DATA!$N:$N,"&gt;="&amp;DATE($I$2,O$4,1),DATA!$N:$N,"&lt;="&amp;DATE($I$2,O$4,O$5))</f>
        <v/>
      </c>
      <c r="P669" s="322">
        <f>SUM(D669:O669)</f>
        <v/>
      </c>
      <c r="Q669" s="118" t="n"/>
    </row>
    <row r="670" hidden="1" outlineLevel="1" ht="15" customHeight="1">
      <c r="A670" s="269" t="n">
        <v>333</v>
      </c>
      <c r="B670" s="125" t="n"/>
      <c r="C670" s="119" t="inlineStr">
        <is>
          <t>Kế hoạch</t>
        </is>
      </c>
      <c r="D670" s="321">
        <f>SUMIFS(DATA!$I:$I,DATA!$C:$C,$B670,DATA!$J:$J,"&gt;="&amp;DATE($I$2,D$4,1),DATA!$J:$J,"&lt;="&amp;DATE($I$2,D$4,D$5))</f>
        <v/>
      </c>
      <c r="E670" s="321">
        <f>SUMIFS(DATA!$I:$I,DATA!$C:$C,$B670,DATA!$J:$J,"&gt;="&amp;DATE($I$2,E$4,1),DATA!$J:$J,"&lt;="&amp;DATE($I$2,E$4,E$5))</f>
        <v/>
      </c>
      <c r="F670" s="321">
        <f>SUMIFS(DATA!$I:$I,DATA!$C:$C,$B670,DATA!$J:$J,"&gt;="&amp;DATE($I$2,F$4,1),DATA!$J:$J,"&lt;="&amp;DATE($I$2,F$4,F$5))</f>
        <v/>
      </c>
      <c r="G670" s="321">
        <f>SUMIFS(DATA!$I:$I,DATA!$C:$C,$B670,DATA!$J:$J,"&gt;="&amp;DATE($I$2,G$4,1),DATA!$J:$J,"&lt;="&amp;DATE($I$2,G$4,G$5))</f>
        <v/>
      </c>
      <c r="H670" s="321">
        <f>SUMIFS(DATA!$I:$I,DATA!$C:$C,$B670,DATA!$J:$J,"&gt;="&amp;DATE($I$2,H$4,1),DATA!$J:$J,"&lt;="&amp;DATE($I$2,H$4,H$5))</f>
        <v/>
      </c>
      <c r="I670" s="321">
        <f>SUMIFS(DATA!$I:$I,DATA!$C:$C,$B670,DATA!$J:$J,"&gt;="&amp;DATE($I$2,I$4,1),DATA!$J:$J,"&lt;="&amp;DATE($I$2,I$4,I$5))</f>
        <v/>
      </c>
      <c r="J670" s="321">
        <f>SUMIFS(DATA!$I:$I,DATA!$C:$C,$B670,DATA!$J:$J,"&gt;="&amp;DATE($I$2,J$4,1),DATA!$J:$J,"&lt;="&amp;DATE($I$2,J$4,J$5))</f>
        <v/>
      </c>
      <c r="K670" s="321">
        <f>SUMIFS(DATA!$I:$I,DATA!$C:$C,$B670,DATA!$J:$J,"&gt;="&amp;DATE($I$2,K$4,1),DATA!$J:$J,"&lt;="&amp;DATE($I$2,K$4,K$5))</f>
        <v/>
      </c>
      <c r="L670" s="321">
        <f>SUMIFS(DATA!$I:$I,DATA!$C:$C,$B670,DATA!$J:$J,"&gt;="&amp;DATE($I$2,L$4,1),DATA!$J:$J,"&lt;="&amp;DATE($I$2,L$4,L$5))</f>
        <v/>
      </c>
      <c r="M670" s="321">
        <f>SUMIFS(DATA!$I:$I,DATA!$C:$C,$B670,DATA!$J:$J,"&gt;="&amp;DATE($I$2,M$4,1),DATA!$J:$J,"&lt;="&amp;DATE($I$2,M$4,M$5))</f>
        <v/>
      </c>
      <c r="N670" s="321">
        <f>SUMIFS(DATA!$I:$I,DATA!$C:$C,$B670,DATA!$J:$J,"&gt;="&amp;DATE($I$2,N$4,1),DATA!$J:$J,"&lt;="&amp;DATE($I$2,N$4,N$5))</f>
        <v/>
      </c>
      <c r="O670" s="321">
        <f>SUMIFS(DATA!$I:$I,DATA!$C:$C,$B670,DATA!$J:$J,"&gt;="&amp;DATE($I$2,O$4,1),DATA!$J:$J,"&lt;="&amp;DATE($I$2,O$4,O$5))</f>
        <v/>
      </c>
      <c r="P670" s="322">
        <f>SUM(D670:O670)</f>
        <v/>
      </c>
      <c r="Q670" s="118" t="n"/>
    </row>
    <row r="671" hidden="1" outlineLevel="1" ht="15" customHeight="1">
      <c r="A671" s="266" t="n"/>
      <c r="B671" s="126" t="n"/>
      <c r="C671" s="119" t="inlineStr">
        <is>
          <t>Thực tế</t>
        </is>
      </c>
      <c r="D671" s="321">
        <f>SUMIFS(DATA!$M:$M,DATA!$C:$C,$B670,DATA!$N:$N,"&gt;="&amp;DATE($I$2,D$4,1),DATA!$N:$N,"&lt;="&amp;DATE($I$2,D$4,D$5))</f>
        <v/>
      </c>
      <c r="E671" s="321">
        <f>SUMIFS(DATA!$M:$M,DATA!$C:$C,$B670,DATA!$N:$N,"&gt;="&amp;DATE($I$2,E$4,1),DATA!$N:$N,"&lt;="&amp;DATE($I$2,E$4,E$5))</f>
        <v/>
      </c>
      <c r="F671" s="321">
        <f>SUMIFS(DATA!$M:$M,DATA!$C:$C,$B670,DATA!$N:$N,"&gt;="&amp;DATE($I$2,F$4,1),DATA!$N:$N,"&lt;="&amp;DATE($I$2,F$4,F$5))</f>
        <v/>
      </c>
      <c r="G671" s="321">
        <f>SUMIFS(DATA!$M:$M,DATA!$C:$C,$B670,DATA!$N:$N,"&gt;="&amp;DATE($I$2,G$4,1),DATA!$N:$N,"&lt;="&amp;DATE($I$2,G$4,G$5))</f>
        <v/>
      </c>
      <c r="H671" s="321">
        <f>SUMIFS(DATA!$M:$M,DATA!$C:$C,$B670,DATA!$N:$N,"&gt;="&amp;DATE($I$2,H$4,1),DATA!$N:$N,"&lt;="&amp;DATE($I$2,H$4,H$5))</f>
        <v/>
      </c>
      <c r="I671" s="321">
        <f>SUMIFS(DATA!$M:$M,DATA!$C:$C,$B670,DATA!$N:$N,"&gt;="&amp;DATE($I$2,I$4,1),DATA!$N:$N,"&lt;="&amp;DATE($I$2,I$4,I$5))</f>
        <v/>
      </c>
      <c r="J671" s="321">
        <f>SUMIFS(DATA!$M:$M,DATA!$C:$C,$B670,DATA!$N:$N,"&gt;="&amp;DATE($I$2,J$4,1),DATA!$N:$N,"&lt;="&amp;DATE($I$2,J$4,J$5))</f>
        <v/>
      </c>
      <c r="K671" s="321">
        <f>SUMIFS(DATA!$M:$M,DATA!$C:$C,$B670,DATA!$N:$N,"&gt;="&amp;DATE($I$2,K$4,1),DATA!$N:$N,"&lt;="&amp;DATE($I$2,K$4,K$5))</f>
        <v/>
      </c>
      <c r="L671" s="321">
        <f>SUMIFS(DATA!$M:$M,DATA!$C:$C,$B670,DATA!$N:$N,"&gt;="&amp;DATE($I$2,L$4,1),DATA!$N:$N,"&lt;="&amp;DATE($I$2,L$4,L$5))</f>
        <v/>
      </c>
      <c r="M671" s="321">
        <f>SUMIFS(DATA!$M:$M,DATA!$C:$C,$B670,DATA!$N:$N,"&gt;="&amp;DATE($I$2,M$4,1),DATA!$N:$N,"&lt;="&amp;DATE($I$2,M$4,M$5))</f>
        <v/>
      </c>
      <c r="N671" s="321">
        <f>SUMIFS(DATA!$M:$M,DATA!$C:$C,$B670,DATA!$N:$N,"&gt;="&amp;DATE($I$2,N$4,1),DATA!$N:$N,"&lt;="&amp;DATE($I$2,N$4,N$5))</f>
        <v/>
      </c>
      <c r="O671" s="321">
        <f>SUMIFS(DATA!$M:$M,DATA!$C:$C,$B670,DATA!$N:$N,"&gt;="&amp;DATE($I$2,O$4,1),DATA!$N:$N,"&lt;="&amp;DATE($I$2,O$4,O$5))</f>
        <v/>
      </c>
      <c r="P671" s="322">
        <f>SUM(D671:O671)</f>
        <v/>
      </c>
      <c r="Q671" s="118" t="n"/>
    </row>
    <row r="672" hidden="1" outlineLevel="1" ht="15" customHeight="1">
      <c r="A672" s="269" t="n">
        <v>334</v>
      </c>
      <c r="B672" s="125" t="n"/>
      <c r="C672" s="119" t="inlineStr">
        <is>
          <t>Kế hoạch</t>
        </is>
      </c>
      <c r="D672" s="321">
        <f>SUMIFS(DATA!$I:$I,DATA!$C:$C,$B672,DATA!$J:$J,"&gt;="&amp;DATE($I$2,D$4,1),DATA!$J:$J,"&lt;="&amp;DATE($I$2,D$4,D$5))</f>
        <v/>
      </c>
      <c r="E672" s="321">
        <f>SUMIFS(DATA!$I:$I,DATA!$C:$C,$B672,DATA!$J:$J,"&gt;="&amp;DATE($I$2,E$4,1),DATA!$J:$J,"&lt;="&amp;DATE($I$2,E$4,E$5))</f>
        <v/>
      </c>
      <c r="F672" s="321">
        <f>SUMIFS(DATA!$I:$I,DATA!$C:$C,$B672,DATA!$J:$J,"&gt;="&amp;DATE($I$2,F$4,1),DATA!$J:$J,"&lt;="&amp;DATE($I$2,F$4,F$5))</f>
        <v/>
      </c>
      <c r="G672" s="321">
        <f>SUMIFS(DATA!$I:$I,DATA!$C:$C,$B672,DATA!$J:$J,"&gt;="&amp;DATE($I$2,G$4,1),DATA!$J:$J,"&lt;="&amp;DATE($I$2,G$4,G$5))</f>
        <v/>
      </c>
      <c r="H672" s="321">
        <f>SUMIFS(DATA!$I:$I,DATA!$C:$C,$B672,DATA!$J:$J,"&gt;="&amp;DATE($I$2,H$4,1),DATA!$J:$J,"&lt;="&amp;DATE($I$2,H$4,H$5))</f>
        <v/>
      </c>
      <c r="I672" s="321">
        <f>SUMIFS(DATA!$I:$I,DATA!$C:$C,$B672,DATA!$J:$J,"&gt;="&amp;DATE($I$2,I$4,1),DATA!$J:$J,"&lt;="&amp;DATE($I$2,I$4,I$5))</f>
        <v/>
      </c>
      <c r="J672" s="321">
        <f>SUMIFS(DATA!$I:$I,DATA!$C:$C,$B672,DATA!$J:$J,"&gt;="&amp;DATE($I$2,J$4,1),DATA!$J:$J,"&lt;="&amp;DATE($I$2,J$4,J$5))</f>
        <v/>
      </c>
      <c r="K672" s="321">
        <f>SUMIFS(DATA!$I:$I,DATA!$C:$C,$B672,DATA!$J:$J,"&gt;="&amp;DATE($I$2,K$4,1),DATA!$J:$J,"&lt;="&amp;DATE($I$2,K$4,K$5))</f>
        <v/>
      </c>
      <c r="L672" s="321">
        <f>SUMIFS(DATA!$I:$I,DATA!$C:$C,$B672,DATA!$J:$J,"&gt;="&amp;DATE($I$2,L$4,1),DATA!$J:$J,"&lt;="&amp;DATE($I$2,L$4,L$5))</f>
        <v/>
      </c>
      <c r="M672" s="321">
        <f>SUMIFS(DATA!$I:$I,DATA!$C:$C,$B672,DATA!$J:$J,"&gt;="&amp;DATE($I$2,M$4,1),DATA!$J:$J,"&lt;="&amp;DATE($I$2,M$4,M$5))</f>
        <v/>
      </c>
      <c r="N672" s="321">
        <f>SUMIFS(DATA!$I:$I,DATA!$C:$C,$B672,DATA!$J:$J,"&gt;="&amp;DATE($I$2,N$4,1),DATA!$J:$J,"&lt;="&amp;DATE($I$2,N$4,N$5))</f>
        <v/>
      </c>
      <c r="O672" s="321">
        <f>SUMIFS(DATA!$I:$I,DATA!$C:$C,$B672,DATA!$J:$J,"&gt;="&amp;DATE($I$2,O$4,1),DATA!$J:$J,"&lt;="&amp;DATE($I$2,O$4,O$5))</f>
        <v/>
      </c>
      <c r="P672" s="322">
        <f>SUM(D672:O672)</f>
        <v/>
      </c>
      <c r="Q672" s="118" t="n"/>
    </row>
    <row r="673" hidden="1" outlineLevel="1" ht="15" customHeight="1">
      <c r="A673" s="266" t="n"/>
      <c r="B673" s="126" t="n"/>
      <c r="C673" s="119" t="inlineStr">
        <is>
          <t>Thực tế</t>
        </is>
      </c>
      <c r="D673" s="321">
        <f>SUMIFS(DATA!$M:$M,DATA!$C:$C,$B672,DATA!$N:$N,"&gt;="&amp;DATE($I$2,D$4,1),DATA!$N:$N,"&lt;="&amp;DATE($I$2,D$4,D$5))</f>
        <v/>
      </c>
      <c r="E673" s="321">
        <f>SUMIFS(DATA!$M:$M,DATA!$C:$C,$B672,DATA!$N:$N,"&gt;="&amp;DATE($I$2,E$4,1),DATA!$N:$N,"&lt;="&amp;DATE($I$2,E$4,E$5))</f>
        <v/>
      </c>
      <c r="F673" s="321">
        <f>SUMIFS(DATA!$M:$M,DATA!$C:$C,$B672,DATA!$N:$N,"&gt;="&amp;DATE($I$2,F$4,1),DATA!$N:$N,"&lt;="&amp;DATE($I$2,F$4,F$5))</f>
        <v/>
      </c>
      <c r="G673" s="321">
        <f>SUMIFS(DATA!$M:$M,DATA!$C:$C,$B672,DATA!$N:$N,"&gt;="&amp;DATE($I$2,G$4,1),DATA!$N:$N,"&lt;="&amp;DATE($I$2,G$4,G$5))</f>
        <v/>
      </c>
      <c r="H673" s="321">
        <f>SUMIFS(DATA!$M:$M,DATA!$C:$C,$B672,DATA!$N:$N,"&gt;="&amp;DATE($I$2,H$4,1),DATA!$N:$N,"&lt;="&amp;DATE($I$2,H$4,H$5))</f>
        <v/>
      </c>
      <c r="I673" s="321">
        <f>SUMIFS(DATA!$M:$M,DATA!$C:$C,$B672,DATA!$N:$N,"&gt;="&amp;DATE($I$2,I$4,1),DATA!$N:$N,"&lt;="&amp;DATE($I$2,I$4,I$5))</f>
        <v/>
      </c>
      <c r="J673" s="321">
        <f>SUMIFS(DATA!$M:$M,DATA!$C:$C,$B672,DATA!$N:$N,"&gt;="&amp;DATE($I$2,J$4,1),DATA!$N:$N,"&lt;="&amp;DATE($I$2,J$4,J$5))</f>
        <v/>
      </c>
      <c r="K673" s="321">
        <f>SUMIFS(DATA!$M:$M,DATA!$C:$C,$B672,DATA!$N:$N,"&gt;="&amp;DATE($I$2,K$4,1),DATA!$N:$N,"&lt;="&amp;DATE($I$2,K$4,K$5))</f>
        <v/>
      </c>
      <c r="L673" s="321">
        <f>SUMIFS(DATA!$M:$M,DATA!$C:$C,$B672,DATA!$N:$N,"&gt;="&amp;DATE($I$2,L$4,1),DATA!$N:$N,"&lt;="&amp;DATE($I$2,L$4,L$5))</f>
        <v/>
      </c>
      <c r="M673" s="321">
        <f>SUMIFS(DATA!$M:$M,DATA!$C:$C,$B672,DATA!$N:$N,"&gt;="&amp;DATE($I$2,M$4,1),DATA!$N:$N,"&lt;="&amp;DATE($I$2,M$4,M$5))</f>
        <v/>
      </c>
      <c r="N673" s="321">
        <f>SUMIFS(DATA!$M:$M,DATA!$C:$C,$B672,DATA!$N:$N,"&gt;="&amp;DATE($I$2,N$4,1),DATA!$N:$N,"&lt;="&amp;DATE($I$2,N$4,N$5))</f>
        <v/>
      </c>
      <c r="O673" s="321">
        <f>SUMIFS(DATA!$M:$M,DATA!$C:$C,$B672,DATA!$N:$N,"&gt;="&amp;DATE($I$2,O$4,1),DATA!$N:$N,"&lt;="&amp;DATE($I$2,O$4,O$5))</f>
        <v/>
      </c>
      <c r="P673" s="322">
        <f>SUM(D673:O673)</f>
        <v/>
      </c>
      <c r="Q673" s="118" t="n"/>
    </row>
    <row r="674" hidden="1" outlineLevel="1" ht="15" customHeight="1">
      <c r="A674" s="269" t="n">
        <v>335</v>
      </c>
      <c r="B674" s="125" t="n"/>
      <c r="C674" s="119" t="inlineStr">
        <is>
          <t>Kế hoạch</t>
        </is>
      </c>
      <c r="D674" s="321">
        <f>SUMIFS(DATA!$I:$I,DATA!$C:$C,$B674,DATA!$J:$J,"&gt;="&amp;DATE($I$2,D$4,1),DATA!$J:$J,"&lt;="&amp;DATE($I$2,D$4,D$5))</f>
        <v/>
      </c>
      <c r="E674" s="321">
        <f>SUMIFS(DATA!$I:$I,DATA!$C:$C,$B674,DATA!$J:$J,"&gt;="&amp;DATE($I$2,E$4,1),DATA!$J:$J,"&lt;="&amp;DATE($I$2,E$4,E$5))</f>
        <v/>
      </c>
      <c r="F674" s="321">
        <f>SUMIFS(DATA!$I:$I,DATA!$C:$C,$B674,DATA!$J:$J,"&gt;="&amp;DATE($I$2,F$4,1),DATA!$J:$J,"&lt;="&amp;DATE($I$2,F$4,F$5))</f>
        <v/>
      </c>
      <c r="G674" s="321">
        <f>SUMIFS(DATA!$I:$I,DATA!$C:$C,$B674,DATA!$J:$J,"&gt;="&amp;DATE($I$2,G$4,1),DATA!$J:$J,"&lt;="&amp;DATE($I$2,G$4,G$5))</f>
        <v/>
      </c>
      <c r="H674" s="321">
        <f>SUMIFS(DATA!$I:$I,DATA!$C:$C,$B674,DATA!$J:$J,"&gt;="&amp;DATE($I$2,H$4,1),DATA!$J:$J,"&lt;="&amp;DATE($I$2,H$4,H$5))</f>
        <v/>
      </c>
      <c r="I674" s="321">
        <f>SUMIFS(DATA!$I:$I,DATA!$C:$C,$B674,DATA!$J:$J,"&gt;="&amp;DATE($I$2,I$4,1),DATA!$J:$J,"&lt;="&amp;DATE($I$2,I$4,I$5))</f>
        <v/>
      </c>
      <c r="J674" s="321">
        <f>SUMIFS(DATA!$I:$I,DATA!$C:$C,$B674,DATA!$J:$J,"&gt;="&amp;DATE($I$2,J$4,1),DATA!$J:$J,"&lt;="&amp;DATE($I$2,J$4,J$5))</f>
        <v/>
      </c>
      <c r="K674" s="321">
        <f>SUMIFS(DATA!$I:$I,DATA!$C:$C,$B674,DATA!$J:$J,"&gt;="&amp;DATE($I$2,K$4,1),DATA!$J:$J,"&lt;="&amp;DATE($I$2,K$4,K$5))</f>
        <v/>
      </c>
      <c r="L674" s="321">
        <f>SUMIFS(DATA!$I:$I,DATA!$C:$C,$B674,DATA!$J:$J,"&gt;="&amp;DATE($I$2,L$4,1),DATA!$J:$J,"&lt;="&amp;DATE($I$2,L$4,L$5))</f>
        <v/>
      </c>
      <c r="M674" s="321">
        <f>SUMIFS(DATA!$I:$I,DATA!$C:$C,$B674,DATA!$J:$J,"&gt;="&amp;DATE($I$2,M$4,1),DATA!$J:$J,"&lt;="&amp;DATE($I$2,M$4,M$5))</f>
        <v/>
      </c>
      <c r="N674" s="321">
        <f>SUMIFS(DATA!$I:$I,DATA!$C:$C,$B674,DATA!$J:$J,"&gt;="&amp;DATE($I$2,N$4,1),DATA!$J:$J,"&lt;="&amp;DATE($I$2,N$4,N$5))</f>
        <v/>
      </c>
      <c r="O674" s="321">
        <f>SUMIFS(DATA!$I:$I,DATA!$C:$C,$B674,DATA!$J:$J,"&gt;="&amp;DATE($I$2,O$4,1),DATA!$J:$J,"&lt;="&amp;DATE($I$2,O$4,O$5))</f>
        <v/>
      </c>
      <c r="P674" s="322">
        <f>SUM(D674:O674)</f>
        <v/>
      </c>
      <c r="Q674" s="118" t="n"/>
    </row>
    <row r="675" hidden="1" outlineLevel="1" ht="15" customHeight="1">
      <c r="A675" s="266" t="n"/>
      <c r="B675" s="126" t="n"/>
      <c r="C675" s="119" t="inlineStr">
        <is>
          <t>Thực tế</t>
        </is>
      </c>
      <c r="D675" s="321">
        <f>SUMIFS(DATA!$M:$M,DATA!$C:$C,$B674,DATA!$N:$N,"&gt;="&amp;DATE($I$2,D$4,1),DATA!$N:$N,"&lt;="&amp;DATE($I$2,D$4,D$5))</f>
        <v/>
      </c>
      <c r="E675" s="321">
        <f>SUMIFS(DATA!$M:$M,DATA!$C:$C,$B674,DATA!$N:$N,"&gt;="&amp;DATE($I$2,E$4,1),DATA!$N:$N,"&lt;="&amp;DATE($I$2,E$4,E$5))</f>
        <v/>
      </c>
      <c r="F675" s="321">
        <f>SUMIFS(DATA!$M:$M,DATA!$C:$C,$B674,DATA!$N:$N,"&gt;="&amp;DATE($I$2,F$4,1),DATA!$N:$N,"&lt;="&amp;DATE($I$2,F$4,F$5))</f>
        <v/>
      </c>
      <c r="G675" s="321">
        <f>SUMIFS(DATA!$M:$M,DATA!$C:$C,$B674,DATA!$N:$N,"&gt;="&amp;DATE($I$2,G$4,1),DATA!$N:$N,"&lt;="&amp;DATE($I$2,G$4,G$5))</f>
        <v/>
      </c>
      <c r="H675" s="321">
        <f>SUMIFS(DATA!$M:$M,DATA!$C:$C,$B674,DATA!$N:$N,"&gt;="&amp;DATE($I$2,H$4,1),DATA!$N:$N,"&lt;="&amp;DATE($I$2,H$4,H$5))</f>
        <v/>
      </c>
      <c r="I675" s="321">
        <f>SUMIFS(DATA!$M:$M,DATA!$C:$C,$B674,DATA!$N:$N,"&gt;="&amp;DATE($I$2,I$4,1),DATA!$N:$N,"&lt;="&amp;DATE($I$2,I$4,I$5))</f>
        <v/>
      </c>
      <c r="J675" s="321">
        <f>SUMIFS(DATA!$M:$M,DATA!$C:$C,$B674,DATA!$N:$N,"&gt;="&amp;DATE($I$2,J$4,1),DATA!$N:$N,"&lt;="&amp;DATE($I$2,J$4,J$5))</f>
        <v/>
      </c>
      <c r="K675" s="321">
        <f>SUMIFS(DATA!$M:$M,DATA!$C:$C,$B674,DATA!$N:$N,"&gt;="&amp;DATE($I$2,K$4,1),DATA!$N:$N,"&lt;="&amp;DATE($I$2,K$4,K$5))</f>
        <v/>
      </c>
      <c r="L675" s="321">
        <f>SUMIFS(DATA!$M:$M,DATA!$C:$C,$B674,DATA!$N:$N,"&gt;="&amp;DATE($I$2,L$4,1),DATA!$N:$N,"&lt;="&amp;DATE($I$2,L$4,L$5))</f>
        <v/>
      </c>
      <c r="M675" s="321">
        <f>SUMIFS(DATA!$M:$M,DATA!$C:$C,$B674,DATA!$N:$N,"&gt;="&amp;DATE($I$2,M$4,1),DATA!$N:$N,"&lt;="&amp;DATE($I$2,M$4,M$5))</f>
        <v/>
      </c>
      <c r="N675" s="321">
        <f>SUMIFS(DATA!$M:$M,DATA!$C:$C,$B674,DATA!$N:$N,"&gt;="&amp;DATE($I$2,N$4,1),DATA!$N:$N,"&lt;="&amp;DATE($I$2,N$4,N$5))</f>
        <v/>
      </c>
      <c r="O675" s="321">
        <f>SUMIFS(DATA!$M:$M,DATA!$C:$C,$B674,DATA!$N:$N,"&gt;="&amp;DATE($I$2,O$4,1),DATA!$N:$N,"&lt;="&amp;DATE($I$2,O$4,O$5))</f>
        <v/>
      </c>
      <c r="P675" s="322">
        <f>SUM(D675:O675)</f>
        <v/>
      </c>
      <c r="Q675" s="118" t="n"/>
    </row>
    <row r="676" hidden="1" outlineLevel="1" ht="15" customHeight="1">
      <c r="A676" s="269" t="n">
        <v>336</v>
      </c>
      <c r="B676" s="125" t="n"/>
      <c r="C676" s="119" t="inlineStr">
        <is>
          <t>Kế hoạch</t>
        </is>
      </c>
      <c r="D676" s="321">
        <f>SUMIFS(DATA!$I:$I,DATA!$C:$C,$B676,DATA!$J:$J,"&gt;="&amp;DATE($I$2,D$4,1),DATA!$J:$J,"&lt;="&amp;DATE($I$2,D$4,D$5))</f>
        <v/>
      </c>
      <c r="E676" s="321">
        <f>SUMIFS(DATA!$I:$I,DATA!$C:$C,$B676,DATA!$J:$J,"&gt;="&amp;DATE($I$2,E$4,1),DATA!$J:$J,"&lt;="&amp;DATE($I$2,E$4,E$5))</f>
        <v/>
      </c>
      <c r="F676" s="321">
        <f>SUMIFS(DATA!$I:$I,DATA!$C:$C,$B676,DATA!$J:$J,"&gt;="&amp;DATE($I$2,F$4,1),DATA!$J:$J,"&lt;="&amp;DATE($I$2,F$4,F$5))</f>
        <v/>
      </c>
      <c r="G676" s="321">
        <f>SUMIFS(DATA!$I:$I,DATA!$C:$C,$B676,DATA!$J:$J,"&gt;="&amp;DATE($I$2,G$4,1),DATA!$J:$J,"&lt;="&amp;DATE($I$2,G$4,G$5))</f>
        <v/>
      </c>
      <c r="H676" s="321">
        <f>SUMIFS(DATA!$I:$I,DATA!$C:$C,$B676,DATA!$J:$J,"&gt;="&amp;DATE($I$2,H$4,1),DATA!$J:$J,"&lt;="&amp;DATE($I$2,H$4,H$5))</f>
        <v/>
      </c>
      <c r="I676" s="321">
        <f>SUMIFS(DATA!$I:$I,DATA!$C:$C,$B676,DATA!$J:$J,"&gt;="&amp;DATE($I$2,I$4,1),DATA!$J:$J,"&lt;="&amp;DATE($I$2,I$4,I$5))</f>
        <v/>
      </c>
      <c r="J676" s="321">
        <f>SUMIFS(DATA!$I:$I,DATA!$C:$C,$B676,DATA!$J:$J,"&gt;="&amp;DATE($I$2,J$4,1),DATA!$J:$J,"&lt;="&amp;DATE($I$2,J$4,J$5))</f>
        <v/>
      </c>
      <c r="K676" s="321">
        <f>SUMIFS(DATA!$I:$I,DATA!$C:$C,$B676,DATA!$J:$J,"&gt;="&amp;DATE($I$2,K$4,1),DATA!$J:$J,"&lt;="&amp;DATE($I$2,K$4,K$5))</f>
        <v/>
      </c>
      <c r="L676" s="321">
        <f>SUMIFS(DATA!$I:$I,DATA!$C:$C,$B676,DATA!$J:$J,"&gt;="&amp;DATE($I$2,L$4,1),DATA!$J:$J,"&lt;="&amp;DATE($I$2,L$4,L$5))</f>
        <v/>
      </c>
      <c r="M676" s="321">
        <f>SUMIFS(DATA!$I:$I,DATA!$C:$C,$B676,DATA!$J:$J,"&gt;="&amp;DATE($I$2,M$4,1),DATA!$J:$J,"&lt;="&amp;DATE($I$2,M$4,M$5))</f>
        <v/>
      </c>
      <c r="N676" s="321">
        <f>SUMIFS(DATA!$I:$I,DATA!$C:$C,$B676,DATA!$J:$J,"&gt;="&amp;DATE($I$2,N$4,1),DATA!$J:$J,"&lt;="&amp;DATE($I$2,N$4,N$5))</f>
        <v/>
      </c>
      <c r="O676" s="321">
        <f>SUMIFS(DATA!$I:$I,DATA!$C:$C,$B676,DATA!$J:$J,"&gt;="&amp;DATE($I$2,O$4,1),DATA!$J:$J,"&lt;="&amp;DATE($I$2,O$4,O$5))</f>
        <v/>
      </c>
      <c r="P676" s="322">
        <f>SUM(D676:O676)</f>
        <v/>
      </c>
      <c r="Q676" s="118" t="n"/>
    </row>
    <row r="677" hidden="1" outlineLevel="1" ht="15" customHeight="1">
      <c r="A677" s="266" t="n"/>
      <c r="B677" s="126" t="n"/>
      <c r="C677" s="119" t="inlineStr">
        <is>
          <t>Thực tế</t>
        </is>
      </c>
      <c r="D677" s="321">
        <f>SUMIFS(DATA!$M:$M,DATA!$C:$C,$B676,DATA!$N:$N,"&gt;="&amp;DATE($I$2,D$4,1),DATA!$N:$N,"&lt;="&amp;DATE($I$2,D$4,D$5))</f>
        <v/>
      </c>
      <c r="E677" s="321">
        <f>SUMIFS(DATA!$M:$M,DATA!$C:$C,$B676,DATA!$N:$N,"&gt;="&amp;DATE($I$2,E$4,1),DATA!$N:$N,"&lt;="&amp;DATE($I$2,E$4,E$5))</f>
        <v/>
      </c>
      <c r="F677" s="321">
        <f>SUMIFS(DATA!$M:$M,DATA!$C:$C,$B676,DATA!$N:$N,"&gt;="&amp;DATE($I$2,F$4,1),DATA!$N:$N,"&lt;="&amp;DATE($I$2,F$4,F$5))</f>
        <v/>
      </c>
      <c r="G677" s="321">
        <f>SUMIFS(DATA!$M:$M,DATA!$C:$C,$B676,DATA!$N:$N,"&gt;="&amp;DATE($I$2,G$4,1),DATA!$N:$N,"&lt;="&amp;DATE($I$2,G$4,G$5))</f>
        <v/>
      </c>
      <c r="H677" s="321">
        <f>SUMIFS(DATA!$M:$M,DATA!$C:$C,$B676,DATA!$N:$N,"&gt;="&amp;DATE($I$2,H$4,1),DATA!$N:$N,"&lt;="&amp;DATE($I$2,H$4,H$5))</f>
        <v/>
      </c>
      <c r="I677" s="321">
        <f>SUMIFS(DATA!$M:$M,DATA!$C:$C,$B676,DATA!$N:$N,"&gt;="&amp;DATE($I$2,I$4,1),DATA!$N:$N,"&lt;="&amp;DATE($I$2,I$4,I$5))</f>
        <v/>
      </c>
      <c r="J677" s="321">
        <f>SUMIFS(DATA!$M:$M,DATA!$C:$C,$B676,DATA!$N:$N,"&gt;="&amp;DATE($I$2,J$4,1),DATA!$N:$N,"&lt;="&amp;DATE($I$2,J$4,J$5))</f>
        <v/>
      </c>
      <c r="K677" s="321">
        <f>SUMIFS(DATA!$M:$M,DATA!$C:$C,$B676,DATA!$N:$N,"&gt;="&amp;DATE($I$2,K$4,1),DATA!$N:$N,"&lt;="&amp;DATE($I$2,K$4,K$5))</f>
        <v/>
      </c>
      <c r="L677" s="321">
        <f>SUMIFS(DATA!$M:$M,DATA!$C:$C,$B676,DATA!$N:$N,"&gt;="&amp;DATE($I$2,L$4,1),DATA!$N:$N,"&lt;="&amp;DATE($I$2,L$4,L$5))</f>
        <v/>
      </c>
      <c r="M677" s="321">
        <f>SUMIFS(DATA!$M:$M,DATA!$C:$C,$B676,DATA!$N:$N,"&gt;="&amp;DATE($I$2,M$4,1),DATA!$N:$N,"&lt;="&amp;DATE($I$2,M$4,M$5))</f>
        <v/>
      </c>
      <c r="N677" s="321">
        <f>SUMIFS(DATA!$M:$M,DATA!$C:$C,$B676,DATA!$N:$N,"&gt;="&amp;DATE($I$2,N$4,1),DATA!$N:$N,"&lt;="&amp;DATE($I$2,N$4,N$5))</f>
        <v/>
      </c>
      <c r="O677" s="321">
        <f>SUMIFS(DATA!$M:$M,DATA!$C:$C,$B676,DATA!$N:$N,"&gt;="&amp;DATE($I$2,O$4,1),DATA!$N:$N,"&lt;="&amp;DATE($I$2,O$4,O$5))</f>
        <v/>
      </c>
      <c r="P677" s="322">
        <f>SUM(D677:O677)</f>
        <v/>
      </c>
      <c r="Q677" s="118" t="n"/>
    </row>
    <row r="678" hidden="1" outlineLevel="1" ht="15" customHeight="1">
      <c r="A678" s="269" t="n">
        <v>337</v>
      </c>
      <c r="B678" s="125" t="n"/>
      <c r="C678" s="119" t="inlineStr">
        <is>
          <t>Kế hoạch</t>
        </is>
      </c>
      <c r="D678" s="321">
        <f>SUMIFS(DATA!$I:$I,DATA!$C:$C,$B678,DATA!$J:$J,"&gt;="&amp;DATE($I$2,D$4,1),DATA!$J:$J,"&lt;="&amp;DATE($I$2,D$4,D$5))</f>
        <v/>
      </c>
      <c r="E678" s="321">
        <f>SUMIFS(DATA!$I:$I,DATA!$C:$C,$B678,DATA!$J:$J,"&gt;="&amp;DATE($I$2,E$4,1),DATA!$J:$J,"&lt;="&amp;DATE($I$2,E$4,E$5))</f>
        <v/>
      </c>
      <c r="F678" s="321">
        <f>SUMIFS(DATA!$I:$I,DATA!$C:$C,$B678,DATA!$J:$J,"&gt;="&amp;DATE($I$2,F$4,1),DATA!$J:$J,"&lt;="&amp;DATE($I$2,F$4,F$5))</f>
        <v/>
      </c>
      <c r="G678" s="321">
        <f>SUMIFS(DATA!$I:$I,DATA!$C:$C,$B678,DATA!$J:$J,"&gt;="&amp;DATE($I$2,G$4,1),DATA!$J:$J,"&lt;="&amp;DATE($I$2,G$4,G$5))</f>
        <v/>
      </c>
      <c r="H678" s="321">
        <f>SUMIFS(DATA!$I:$I,DATA!$C:$C,$B678,DATA!$J:$J,"&gt;="&amp;DATE($I$2,H$4,1),DATA!$J:$J,"&lt;="&amp;DATE($I$2,H$4,H$5))</f>
        <v/>
      </c>
      <c r="I678" s="321">
        <f>SUMIFS(DATA!$I:$I,DATA!$C:$C,$B678,DATA!$J:$J,"&gt;="&amp;DATE($I$2,I$4,1),DATA!$J:$J,"&lt;="&amp;DATE($I$2,I$4,I$5))</f>
        <v/>
      </c>
      <c r="J678" s="321">
        <f>SUMIFS(DATA!$I:$I,DATA!$C:$C,$B678,DATA!$J:$J,"&gt;="&amp;DATE($I$2,J$4,1),DATA!$J:$J,"&lt;="&amp;DATE($I$2,J$4,J$5))</f>
        <v/>
      </c>
      <c r="K678" s="321">
        <f>SUMIFS(DATA!$I:$I,DATA!$C:$C,$B678,DATA!$J:$J,"&gt;="&amp;DATE($I$2,K$4,1),DATA!$J:$J,"&lt;="&amp;DATE($I$2,K$4,K$5))</f>
        <v/>
      </c>
      <c r="L678" s="321">
        <f>SUMIFS(DATA!$I:$I,DATA!$C:$C,$B678,DATA!$J:$J,"&gt;="&amp;DATE($I$2,L$4,1),DATA!$J:$J,"&lt;="&amp;DATE($I$2,L$4,L$5))</f>
        <v/>
      </c>
      <c r="M678" s="321">
        <f>SUMIFS(DATA!$I:$I,DATA!$C:$C,$B678,DATA!$J:$J,"&gt;="&amp;DATE($I$2,M$4,1),DATA!$J:$J,"&lt;="&amp;DATE($I$2,M$4,M$5))</f>
        <v/>
      </c>
      <c r="N678" s="321">
        <f>SUMIFS(DATA!$I:$I,DATA!$C:$C,$B678,DATA!$J:$J,"&gt;="&amp;DATE($I$2,N$4,1),DATA!$J:$J,"&lt;="&amp;DATE($I$2,N$4,N$5))</f>
        <v/>
      </c>
      <c r="O678" s="321">
        <f>SUMIFS(DATA!$I:$I,DATA!$C:$C,$B678,DATA!$J:$J,"&gt;="&amp;DATE($I$2,O$4,1),DATA!$J:$J,"&lt;="&amp;DATE($I$2,O$4,O$5))</f>
        <v/>
      </c>
      <c r="P678" s="322">
        <f>SUM(D678:O678)</f>
        <v/>
      </c>
      <c r="Q678" s="118" t="n"/>
    </row>
    <row r="679" hidden="1" outlineLevel="1" ht="15" customHeight="1">
      <c r="A679" s="266" t="n"/>
      <c r="B679" s="126" t="n"/>
      <c r="C679" s="119" t="inlineStr">
        <is>
          <t>Thực tế</t>
        </is>
      </c>
      <c r="D679" s="321">
        <f>SUMIFS(DATA!$M:$M,DATA!$C:$C,$B678,DATA!$N:$N,"&gt;="&amp;DATE($I$2,D$4,1),DATA!$N:$N,"&lt;="&amp;DATE($I$2,D$4,D$5))</f>
        <v/>
      </c>
      <c r="E679" s="321">
        <f>SUMIFS(DATA!$M:$M,DATA!$C:$C,$B678,DATA!$N:$N,"&gt;="&amp;DATE($I$2,E$4,1),DATA!$N:$N,"&lt;="&amp;DATE($I$2,E$4,E$5))</f>
        <v/>
      </c>
      <c r="F679" s="321">
        <f>SUMIFS(DATA!$M:$M,DATA!$C:$C,$B678,DATA!$N:$N,"&gt;="&amp;DATE($I$2,F$4,1),DATA!$N:$N,"&lt;="&amp;DATE($I$2,F$4,F$5))</f>
        <v/>
      </c>
      <c r="G679" s="321">
        <f>SUMIFS(DATA!$M:$M,DATA!$C:$C,$B678,DATA!$N:$N,"&gt;="&amp;DATE($I$2,G$4,1),DATA!$N:$N,"&lt;="&amp;DATE($I$2,G$4,G$5))</f>
        <v/>
      </c>
      <c r="H679" s="321">
        <f>SUMIFS(DATA!$M:$M,DATA!$C:$C,$B678,DATA!$N:$N,"&gt;="&amp;DATE($I$2,H$4,1),DATA!$N:$N,"&lt;="&amp;DATE($I$2,H$4,H$5))</f>
        <v/>
      </c>
      <c r="I679" s="321">
        <f>SUMIFS(DATA!$M:$M,DATA!$C:$C,$B678,DATA!$N:$N,"&gt;="&amp;DATE($I$2,I$4,1),DATA!$N:$N,"&lt;="&amp;DATE($I$2,I$4,I$5))</f>
        <v/>
      </c>
      <c r="J679" s="321">
        <f>SUMIFS(DATA!$M:$M,DATA!$C:$C,$B678,DATA!$N:$N,"&gt;="&amp;DATE($I$2,J$4,1),DATA!$N:$N,"&lt;="&amp;DATE($I$2,J$4,J$5))</f>
        <v/>
      </c>
      <c r="K679" s="321">
        <f>SUMIFS(DATA!$M:$M,DATA!$C:$C,$B678,DATA!$N:$N,"&gt;="&amp;DATE($I$2,K$4,1),DATA!$N:$N,"&lt;="&amp;DATE($I$2,K$4,K$5))</f>
        <v/>
      </c>
      <c r="L679" s="321">
        <f>SUMIFS(DATA!$M:$M,DATA!$C:$C,$B678,DATA!$N:$N,"&gt;="&amp;DATE($I$2,L$4,1),DATA!$N:$N,"&lt;="&amp;DATE($I$2,L$4,L$5))</f>
        <v/>
      </c>
      <c r="M679" s="321">
        <f>SUMIFS(DATA!$M:$M,DATA!$C:$C,$B678,DATA!$N:$N,"&gt;="&amp;DATE($I$2,M$4,1),DATA!$N:$N,"&lt;="&amp;DATE($I$2,M$4,M$5))</f>
        <v/>
      </c>
      <c r="N679" s="321">
        <f>SUMIFS(DATA!$M:$M,DATA!$C:$C,$B678,DATA!$N:$N,"&gt;="&amp;DATE($I$2,N$4,1),DATA!$N:$N,"&lt;="&amp;DATE($I$2,N$4,N$5))</f>
        <v/>
      </c>
      <c r="O679" s="321">
        <f>SUMIFS(DATA!$M:$M,DATA!$C:$C,$B678,DATA!$N:$N,"&gt;="&amp;DATE($I$2,O$4,1),DATA!$N:$N,"&lt;="&amp;DATE($I$2,O$4,O$5))</f>
        <v/>
      </c>
      <c r="P679" s="322">
        <f>SUM(D679:O679)</f>
        <v/>
      </c>
      <c r="Q679" s="118" t="n"/>
    </row>
    <row r="680" hidden="1" outlineLevel="1" ht="15" customHeight="1">
      <c r="A680" s="269" t="n">
        <v>338</v>
      </c>
      <c r="B680" s="125" t="n"/>
      <c r="C680" s="119" t="inlineStr">
        <is>
          <t>Kế hoạch</t>
        </is>
      </c>
      <c r="D680" s="321">
        <f>SUMIFS(DATA!$I:$I,DATA!$C:$C,$B680,DATA!$J:$J,"&gt;="&amp;DATE($I$2,D$4,1),DATA!$J:$J,"&lt;="&amp;DATE($I$2,D$4,D$5))</f>
        <v/>
      </c>
      <c r="E680" s="321">
        <f>SUMIFS(DATA!$I:$I,DATA!$C:$C,$B680,DATA!$J:$J,"&gt;="&amp;DATE($I$2,E$4,1),DATA!$J:$J,"&lt;="&amp;DATE($I$2,E$4,E$5))</f>
        <v/>
      </c>
      <c r="F680" s="321">
        <f>SUMIFS(DATA!$I:$I,DATA!$C:$C,$B680,DATA!$J:$J,"&gt;="&amp;DATE($I$2,F$4,1),DATA!$J:$J,"&lt;="&amp;DATE($I$2,F$4,F$5))</f>
        <v/>
      </c>
      <c r="G680" s="321">
        <f>SUMIFS(DATA!$I:$I,DATA!$C:$C,$B680,DATA!$J:$J,"&gt;="&amp;DATE($I$2,G$4,1),DATA!$J:$J,"&lt;="&amp;DATE($I$2,G$4,G$5))</f>
        <v/>
      </c>
      <c r="H680" s="321">
        <f>SUMIFS(DATA!$I:$I,DATA!$C:$C,$B680,DATA!$J:$J,"&gt;="&amp;DATE($I$2,H$4,1),DATA!$J:$J,"&lt;="&amp;DATE($I$2,H$4,H$5))</f>
        <v/>
      </c>
      <c r="I680" s="321">
        <f>SUMIFS(DATA!$I:$I,DATA!$C:$C,$B680,DATA!$J:$J,"&gt;="&amp;DATE($I$2,I$4,1),DATA!$J:$J,"&lt;="&amp;DATE($I$2,I$4,I$5))</f>
        <v/>
      </c>
      <c r="J680" s="321">
        <f>SUMIFS(DATA!$I:$I,DATA!$C:$C,$B680,DATA!$J:$J,"&gt;="&amp;DATE($I$2,J$4,1),DATA!$J:$J,"&lt;="&amp;DATE($I$2,J$4,J$5))</f>
        <v/>
      </c>
      <c r="K680" s="321">
        <f>SUMIFS(DATA!$I:$I,DATA!$C:$C,$B680,DATA!$J:$J,"&gt;="&amp;DATE($I$2,K$4,1),DATA!$J:$J,"&lt;="&amp;DATE($I$2,K$4,K$5))</f>
        <v/>
      </c>
      <c r="L680" s="321">
        <f>SUMIFS(DATA!$I:$I,DATA!$C:$C,$B680,DATA!$J:$J,"&gt;="&amp;DATE($I$2,L$4,1),DATA!$J:$J,"&lt;="&amp;DATE($I$2,L$4,L$5))</f>
        <v/>
      </c>
      <c r="M680" s="321">
        <f>SUMIFS(DATA!$I:$I,DATA!$C:$C,$B680,DATA!$J:$J,"&gt;="&amp;DATE($I$2,M$4,1),DATA!$J:$J,"&lt;="&amp;DATE($I$2,M$4,M$5))</f>
        <v/>
      </c>
      <c r="N680" s="321">
        <f>SUMIFS(DATA!$I:$I,DATA!$C:$C,$B680,DATA!$J:$J,"&gt;="&amp;DATE($I$2,N$4,1),DATA!$J:$J,"&lt;="&amp;DATE($I$2,N$4,N$5))</f>
        <v/>
      </c>
      <c r="O680" s="321">
        <f>SUMIFS(DATA!$I:$I,DATA!$C:$C,$B680,DATA!$J:$J,"&gt;="&amp;DATE($I$2,O$4,1),DATA!$J:$J,"&lt;="&amp;DATE($I$2,O$4,O$5))</f>
        <v/>
      </c>
      <c r="P680" s="322">
        <f>SUM(D680:O680)</f>
        <v/>
      </c>
      <c r="Q680" s="118" t="n"/>
    </row>
    <row r="681" hidden="1" outlineLevel="1" ht="15" customHeight="1">
      <c r="A681" s="266" t="n"/>
      <c r="B681" s="126" t="n"/>
      <c r="C681" s="119" t="inlineStr">
        <is>
          <t>Thực tế</t>
        </is>
      </c>
      <c r="D681" s="321">
        <f>SUMIFS(DATA!$M:$M,DATA!$C:$C,$B680,DATA!$N:$N,"&gt;="&amp;DATE($I$2,D$4,1),DATA!$N:$N,"&lt;="&amp;DATE($I$2,D$4,D$5))</f>
        <v/>
      </c>
      <c r="E681" s="321">
        <f>SUMIFS(DATA!$M:$M,DATA!$C:$C,$B680,DATA!$N:$N,"&gt;="&amp;DATE($I$2,E$4,1),DATA!$N:$N,"&lt;="&amp;DATE($I$2,E$4,E$5))</f>
        <v/>
      </c>
      <c r="F681" s="321">
        <f>SUMIFS(DATA!$M:$M,DATA!$C:$C,$B680,DATA!$N:$N,"&gt;="&amp;DATE($I$2,F$4,1),DATA!$N:$N,"&lt;="&amp;DATE($I$2,F$4,F$5))</f>
        <v/>
      </c>
      <c r="G681" s="321">
        <f>SUMIFS(DATA!$M:$M,DATA!$C:$C,$B680,DATA!$N:$N,"&gt;="&amp;DATE($I$2,G$4,1),DATA!$N:$N,"&lt;="&amp;DATE($I$2,G$4,G$5))</f>
        <v/>
      </c>
      <c r="H681" s="321">
        <f>SUMIFS(DATA!$M:$M,DATA!$C:$C,$B680,DATA!$N:$N,"&gt;="&amp;DATE($I$2,H$4,1),DATA!$N:$N,"&lt;="&amp;DATE($I$2,H$4,H$5))</f>
        <v/>
      </c>
      <c r="I681" s="321">
        <f>SUMIFS(DATA!$M:$M,DATA!$C:$C,$B680,DATA!$N:$N,"&gt;="&amp;DATE($I$2,I$4,1),DATA!$N:$N,"&lt;="&amp;DATE($I$2,I$4,I$5))</f>
        <v/>
      </c>
      <c r="J681" s="321">
        <f>SUMIFS(DATA!$M:$M,DATA!$C:$C,$B680,DATA!$N:$N,"&gt;="&amp;DATE($I$2,J$4,1),DATA!$N:$N,"&lt;="&amp;DATE($I$2,J$4,J$5))</f>
        <v/>
      </c>
      <c r="K681" s="321">
        <f>SUMIFS(DATA!$M:$M,DATA!$C:$C,$B680,DATA!$N:$N,"&gt;="&amp;DATE($I$2,K$4,1),DATA!$N:$N,"&lt;="&amp;DATE($I$2,K$4,K$5))</f>
        <v/>
      </c>
      <c r="L681" s="321">
        <f>SUMIFS(DATA!$M:$M,DATA!$C:$C,$B680,DATA!$N:$N,"&gt;="&amp;DATE($I$2,L$4,1),DATA!$N:$N,"&lt;="&amp;DATE($I$2,L$4,L$5))</f>
        <v/>
      </c>
      <c r="M681" s="321">
        <f>SUMIFS(DATA!$M:$M,DATA!$C:$C,$B680,DATA!$N:$N,"&gt;="&amp;DATE($I$2,M$4,1),DATA!$N:$N,"&lt;="&amp;DATE($I$2,M$4,M$5))</f>
        <v/>
      </c>
      <c r="N681" s="321">
        <f>SUMIFS(DATA!$M:$M,DATA!$C:$C,$B680,DATA!$N:$N,"&gt;="&amp;DATE($I$2,N$4,1),DATA!$N:$N,"&lt;="&amp;DATE($I$2,N$4,N$5))</f>
        <v/>
      </c>
      <c r="O681" s="321">
        <f>SUMIFS(DATA!$M:$M,DATA!$C:$C,$B680,DATA!$N:$N,"&gt;="&amp;DATE($I$2,O$4,1),DATA!$N:$N,"&lt;="&amp;DATE($I$2,O$4,O$5))</f>
        <v/>
      </c>
      <c r="P681" s="322">
        <f>SUM(D681:O681)</f>
        <v/>
      </c>
      <c r="Q681" s="118" t="n"/>
    </row>
    <row r="682" hidden="1" outlineLevel="1" ht="15" customHeight="1">
      <c r="A682" s="269" t="n">
        <v>339</v>
      </c>
      <c r="B682" s="125" t="n"/>
      <c r="C682" s="119" t="inlineStr">
        <is>
          <t>Kế hoạch</t>
        </is>
      </c>
      <c r="D682" s="321">
        <f>SUMIFS(DATA!$I:$I,DATA!$C:$C,$B682,DATA!$J:$J,"&gt;="&amp;DATE($I$2,D$4,1),DATA!$J:$J,"&lt;="&amp;DATE($I$2,D$4,D$5))</f>
        <v/>
      </c>
      <c r="E682" s="321">
        <f>SUMIFS(DATA!$I:$I,DATA!$C:$C,$B682,DATA!$J:$J,"&gt;="&amp;DATE($I$2,E$4,1),DATA!$J:$J,"&lt;="&amp;DATE($I$2,E$4,E$5))</f>
        <v/>
      </c>
      <c r="F682" s="321">
        <f>SUMIFS(DATA!$I:$I,DATA!$C:$C,$B682,DATA!$J:$J,"&gt;="&amp;DATE($I$2,F$4,1),DATA!$J:$J,"&lt;="&amp;DATE($I$2,F$4,F$5))</f>
        <v/>
      </c>
      <c r="G682" s="321">
        <f>SUMIFS(DATA!$I:$I,DATA!$C:$C,$B682,DATA!$J:$J,"&gt;="&amp;DATE($I$2,G$4,1),DATA!$J:$J,"&lt;="&amp;DATE($I$2,G$4,G$5))</f>
        <v/>
      </c>
      <c r="H682" s="321">
        <f>SUMIFS(DATA!$I:$I,DATA!$C:$C,$B682,DATA!$J:$J,"&gt;="&amp;DATE($I$2,H$4,1),DATA!$J:$J,"&lt;="&amp;DATE($I$2,H$4,H$5))</f>
        <v/>
      </c>
      <c r="I682" s="321">
        <f>SUMIFS(DATA!$I:$I,DATA!$C:$C,$B682,DATA!$J:$J,"&gt;="&amp;DATE($I$2,I$4,1),DATA!$J:$J,"&lt;="&amp;DATE($I$2,I$4,I$5))</f>
        <v/>
      </c>
      <c r="J682" s="321">
        <f>SUMIFS(DATA!$I:$I,DATA!$C:$C,$B682,DATA!$J:$J,"&gt;="&amp;DATE($I$2,J$4,1),DATA!$J:$J,"&lt;="&amp;DATE($I$2,J$4,J$5))</f>
        <v/>
      </c>
      <c r="K682" s="321">
        <f>SUMIFS(DATA!$I:$I,DATA!$C:$C,$B682,DATA!$J:$J,"&gt;="&amp;DATE($I$2,K$4,1),DATA!$J:$J,"&lt;="&amp;DATE($I$2,K$4,K$5))</f>
        <v/>
      </c>
      <c r="L682" s="321">
        <f>SUMIFS(DATA!$I:$I,DATA!$C:$C,$B682,DATA!$J:$J,"&gt;="&amp;DATE($I$2,L$4,1),DATA!$J:$J,"&lt;="&amp;DATE($I$2,L$4,L$5))</f>
        <v/>
      </c>
      <c r="M682" s="321">
        <f>SUMIFS(DATA!$I:$I,DATA!$C:$C,$B682,DATA!$J:$J,"&gt;="&amp;DATE($I$2,M$4,1),DATA!$J:$J,"&lt;="&amp;DATE($I$2,M$4,M$5))</f>
        <v/>
      </c>
      <c r="N682" s="321">
        <f>SUMIFS(DATA!$I:$I,DATA!$C:$C,$B682,DATA!$J:$J,"&gt;="&amp;DATE($I$2,N$4,1),DATA!$J:$J,"&lt;="&amp;DATE($I$2,N$4,N$5))</f>
        <v/>
      </c>
      <c r="O682" s="321">
        <f>SUMIFS(DATA!$I:$I,DATA!$C:$C,$B682,DATA!$J:$J,"&gt;="&amp;DATE($I$2,O$4,1),DATA!$J:$J,"&lt;="&amp;DATE($I$2,O$4,O$5))</f>
        <v/>
      </c>
      <c r="P682" s="322">
        <f>SUM(D682:O682)</f>
        <v/>
      </c>
      <c r="Q682" s="118" t="n"/>
    </row>
    <row r="683" hidden="1" outlineLevel="1" ht="15" customHeight="1">
      <c r="A683" s="266" t="n"/>
      <c r="B683" s="126" t="n"/>
      <c r="C683" s="119" t="inlineStr">
        <is>
          <t>Thực tế</t>
        </is>
      </c>
      <c r="D683" s="321">
        <f>SUMIFS(DATA!$M:$M,DATA!$C:$C,$B682,DATA!$N:$N,"&gt;="&amp;DATE($I$2,D$4,1),DATA!$N:$N,"&lt;="&amp;DATE($I$2,D$4,D$5))</f>
        <v/>
      </c>
      <c r="E683" s="321">
        <f>SUMIFS(DATA!$M:$M,DATA!$C:$C,$B682,DATA!$N:$N,"&gt;="&amp;DATE($I$2,E$4,1),DATA!$N:$N,"&lt;="&amp;DATE($I$2,E$4,E$5))</f>
        <v/>
      </c>
      <c r="F683" s="321">
        <f>SUMIFS(DATA!$M:$M,DATA!$C:$C,$B682,DATA!$N:$N,"&gt;="&amp;DATE($I$2,F$4,1),DATA!$N:$N,"&lt;="&amp;DATE($I$2,F$4,F$5))</f>
        <v/>
      </c>
      <c r="G683" s="321">
        <f>SUMIFS(DATA!$M:$M,DATA!$C:$C,$B682,DATA!$N:$N,"&gt;="&amp;DATE($I$2,G$4,1),DATA!$N:$N,"&lt;="&amp;DATE($I$2,G$4,G$5))</f>
        <v/>
      </c>
      <c r="H683" s="321">
        <f>SUMIFS(DATA!$M:$M,DATA!$C:$C,$B682,DATA!$N:$N,"&gt;="&amp;DATE($I$2,H$4,1),DATA!$N:$N,"&lt;="&amp;DATE($I$2,H$4,H$5))</f>
        <v/>
      </c>
      <c r="I683" s="321">
        <f>SUMIFS(DATA!$M:$M,DATA!$C:$C,$B682,DATA!$N:$N,"&gt;="&amp;DATE($I$2,I$4,1),DATA!$N:$N,"&lt;="&amp;DATE($I$2,I$4,I$5))</f>
        <v/>
      </c>
      <c r="J683" s="321">
        <f>SUMIFS(DATA!$M:$M,DATA!$C:$C,$B682,DATA!$N:$N,"&gt;="&amp;DATE($I$2,J$4,1),DATA!$N:$N,"&lt;="&amp;DATE($I$2,J$4,J$5))</f>
        <v/>
      </c>
      <c r="K683" s="321">
        <f>SUMIFS(DATA!$M:$M,DATA!$C:$C,$B682,DATA!$N:$N,"&gt;="&amp;DATE($I$2,K$4,1),DATA!$N:$N,"&lt;="&amp;DATE($I$2,K$4,K$5))</f>
        <v/>
      </c>
      <c r="L683" s="321">
        <f>SUMIFS(DATA!$M:$M,DATA!$C:$C,$B682,DATA!$N:$N,"&gt;="&amp;DATE($I$2,L$4,1),DATA!$N:$N,"&lt;="&amp;DATE($I$2,L$4,L$5))</f>
        <v/>
      </c>
      <c r="M683" s="321">
        <f>SUMIFS(DATA!$M:$M,DATA!$C:$C,$B682,DATA!$N:$N,"&gt;="&amp;DATE($I$2,M$4,1),DATA!$N:$N,"&lt;="&amp;DATE($I$2,M$4,M$5))</f>
        <v/>
      </c>
      <c r="N683" s="321">
        <f>SUMIFS(DATA!$M:$M,DATA!$C:$C,$B682,DATA!$N:$N,"&gt;="&amp;DATE($I$2,N$4,1),DATA!$N:$N,"&lt;="&amp;DATE($I$2,N$4,N$5))</f>
        <v/>
      </c>
      <c r="O683" s="321">
        <f>SUMIFS(DATA!$M:$M,DATA!$C:$C,$B682,DATA!$N:$N,"&gt;="&amp;DATE($I$2,O$4,1),DATA!$N:$N,"&lt;="&amp;DATE($I$2,O$4,O$5))</f>
        <v/>
      </c>
      <c r="P683" s="322">
        <f>SUM(D683:O683)</f>
        <v/>
      </c>
      <c r="Q683" s="118" t="n"/>
    </row>
    <row r="684" hidden="1" outlineLevel="1" ht="15" customHeight="1">
      <c r="A684" s="269" t="n">
        <v>340</v>
      </c>
      <c r="B684" s="125" t="n"/>
      <c r="C684" s="119" t="inlineStr">
        <is>
          <t>Kế hoạch</t>
        </is>
      </c>
      <c r="D684" s="321">
        <f>SUMIFS(DATA!$I:$I,DATA!$C:$C,$B684,DATA!$J:$J,"&gt;="&amp;DATE($I$2,D$4,1),DATA!$J:$J,"&lt;="&amp;DATE($I$2,D$4,D$5))</f>
        <v/>
      </c>
      <c r="E684" s="321">
        <f>SUMIFS(DATA!$I:$I,DATA!$C:$C,$B684,DATA!$J:$J,"&gt;="&amp;DATE($I$2,E$4,1),DATA!$J:$J,"&lt;="&amp;DATE($I$2,E$4,E$5))</f>
        <v/>
      </c>
      <c r="F684" s="321">
        <f>SUMIFS(DATA!$I:$I,DATA!$C:$C,$B684,DATA!$J:$J,"&gt;="&amp;DATE($I$2,F$4,1),DATA!$J:$J,"&lt;="&amp;DATE($I$2,F$4,F$5))</f>
        <v/>
      </c>
      <c r="G684" s="321">
        <f>SUMIFS(DATA!$I:$I,DATA!$C:$C,$B684,DATA!$J:$J,"&gt;="&amp;DATE($I$2,G$4,1),DATA!$J:$J,"&lt;="&amp;DATE($I$2,G$4,G$5))</f>
        <v/>
      </c>
      <c r="H684" s="321">
        <f>SUMIFS(DATA!$I:$I,DATA!$C:$C,$B684,DATA!$J:$J,"&gt;="&amp;DATE($I$2,H$4,1),DATA!$J:$J,"&lt;="&amp;DATE($I$2,H$4,H$5))</f>
        <v/>
      </c>
      <c r="I684" s="321">
        <f>SUMIFS(DATA!$I:$I,DATA!$C:$C,$B684,DATA!$J:$J,"&gt;="&amp;DATE($I$2,I$4,1),DATA!$J:$J,"&lt;="&amp;DATE($I$2,I$4,I$5))</f>
        <v/>
      </c>
      <c r="J684" s="321">
        <f>SUMIFS(DATA!$I:$I,DATA!$C:$C,$B684,DATA!$J:$J,"&gt;="&amp;DATE($I$2,J$4,1),DATA!$J:$J,"&lt;="&amp;DATE($I$2,J$4,J$5))</f>
        <v/>
      </c>
      <c r="K684" s="321">
        <f>SUMIFS(DATA!$I:$I,DATA!$C:$C,$B684,DATA!$J:$J,"&gt;="&amp;DATE($I$2,K$4,1),DATA!$J:$J,"&lt;="&amp;DATE($I$2,K$4,K$5))</f>
        <v/>
      </c>
      <c r="L684" s="321">
        <f>SUMIFS(DATA!$I:$I,DATA!$C:$C,$B684,DATA!$J:$J,"&gt;="&amp;DATE($I$2,L$4,1),DATA!$J:$J,"&lt;="&amp;DATE($I$2,L$4,L$5))</f>
        <v/>
      </c>
      <c r="M684" s="321">
        <f>SUMIFS(DATA!$I:$I,DATA!$C:$C,$B684,DATA!$J:$J,"&gt;="&amp;DATE($I$2,M$4,1),DATA!$J:$J,"&lt;="&amp;DATE($I$2,M$4,M$5))</f>
        <v/>
      </c>
      <c r="N684" s="321">
        <f>SUMIFS(DATA!$I:$I,DATA!$C:$C,$B684,DATA!$J:$J,"&gt;="&amp;DATE($I$2,N$4,1),DATA!$J:$J,"&lt;="&amp;DATE($I$2,N$4,N$5))</f>
        <v/>
      </c>
      <c r="O684" s="321">
        <f>SUMIFS(DATA!$I:$I,DATA!$C:$C,$B684,DATA!$J:$J,"&gt;="&amp;DATE($I$2,O$4,1),DATA!$J:$J,"&lt;="&amp;DATE($I$2,O$4,O$5))</f>
        <v/>
      </c>
      <c r="P684" s="322">
        <f>SUM(D684:O684)</f>
        <v/>
      </c>
      <c r="Q684" s="118" t="n"/>
    </row>
    <row r="685" hidden="1" outlineLevel="1" ht="15" customHeight="1">
      <c r="A685" s="266" t="n"/>
      <c r="B685" s="126" t="n"/>
      <c r="C685" s="119" t="inlineStr">
        <is>
          <t>Thực tế</t>
        </is>
      </c>
      <c r="D685" s="321">
        <f>SUMIFS(DATA!$M:$M,DATA!$C:$C,$B684,DATA!$N:$N,"&gt;="&amp;DATE($I$2,D$4,1),DATA!$N:$N,"&lt;="&amp;DATE($I$2,D$4,D$5))</f>
        <v/>
      </c>
      <c r="E685" s="321">
        <f>SUMIFS(DATA!$M:$M,DATA!$C:$C,$B684,DATA!$N:$N,"&gt;="&amp;DATE($I$2,E$4,1),DATA!$N:$N,"&lt;="&amp;DATE($I$2,E$4,E$5))</f>
        <v/>
      </c>
      <c r="F685" s="321">
        <f>SUMIFS(DATA!$M:$M,DATA!$C:$C,$B684,DATA!$N:$N,"&gt;="&amp;DATE($I$2,F$4,1),DATA!$N:$N,"&lt;="&amp;DATE($I$2,F$4,F$5))</f>
        <v/>
      </c>
      <c r="G685" s="321">
        <f>SUMIFS(DATA!$M:$M,DATA!$C:$C,$B684,DATA!$N:$N,"&gt;="&amp;DATE($I$2,G$4,1),DATA!$N:$N,"&lt;="&amp;DATE($I$2,G$4,G$5))</f>
        <v/>
      </c>
      <c r="H685" s="321">
        <f>SUMIFS(DATA!$M:$M,DATA!$C:$C,$B684,DATA!$N:$N,"&gt;="&amp;DATE($I$2,H$4,1),DATA!$N:$N,"&lt;="&amp;DATE($I$2,H$4,H$5))</f>
        <v/>
      </c>
      <c r="I685" s="321">
        <f>SUMIFS(DATA!$M:$M,DATA!$C:$C,$B684,DATA!$N:$N,"&gt;="&amp;DATE($I$2,I$4,1),DATA!$N:$N,"&lt;="&amp;DATE($I$2,I$4,I$5))</f>
        <v/>
      </c>
      <c r="J685" s="321">
        <f>SUMIFS(DATA!$M:$M,DATA!$C:$C,$B684,DATA!$N:$N,"&gt;="&amp;DATE($I$2,J$4,1),DATA!$N:$N,"&lt;="&amp;DATE($I$2,J$4,J$5))</f>
        <v/>
      </c>
      <c r="K685" s="321">
        <f>SUMIFS(DATA!$M:$M,DATA!$C:$C,$B684,DATA!$N:$N,"&gt;="&amp;DATE($I$2,K$4,1),DATA!$N:$N,"&lt;="&amp;DATE($I$2,K$4,K$5))</f>
        <v/>
      </c>
      <c r="L685" s="321">
        <f>SUMIFS(DATA!$M:$M,DATA!$C:$C,$B684,DATA!$N:$N,"&gt;="&amp;DATE($I$2,L$4,1),DATA!$N:$N,"&lt;="&amp;DATE($I$2,L$4,L$5))</f>
        <v/>
      </c>
      <c r="M685" s="321">
        <f>SUMIFS(DATA!$M:$M,DATA!$C:$C,$B684,DATA!$N:$N,"&gt;="&amp;DATE($I$2,M$4,1),DATA!$N:$N,"&lt;="&amp;DATE($I$2,M$4,M$5))</f>
        <v/>
      </c>
      <c r="N685" s="321">
        <f>SUMIFS(DATA!$M:$M,DATA!$C:$C,$B684,DATA!$N:$N,"&gt;="&amp;DATE($I$2,N$4,1),DATA!$N:$N,"&lt;="&amp;DATE($I$2,N$4,N$5))</f>
        <v/>
      </c>
      <c r="O685" s="321">
        <f>SUMIFS(DATA!$M:$M,DATA!$C:$C,$B684,DATA!$N:$N,"&gt;="&amp;DATE($I$2,O$4,1),DATA!$N:$N,"&lt;="&amp;DATE($I$2,O$4,O$5))</f>
        <v/>
      </c>
      <c r="P685" s="322">
        <f>SUM(D685:O685)</f>
        <v/>
      </c>
      <c r="Q685" s="118" t="n"/>
    </row>
    <row r="686" hidden="1" outlineLevel="1" ht="15" customHeight="1">
      <c r="A686" s="269" t="n">
        <v>341</v>
      </c>
      <c r="B686" s="125" t="n"/>
      <c r="C686" s="119" t="inlineStr">
        <is>
          <t>Kế hoạch</t>
        </is>
      </c>
      <c r="D686" s="321">
        <f>SUMIFS(DATA!$I:$I,DATA!$C:$C,$B686,DATA!$J:$J,"&gt;="&amp;DATE($I$2,D$4,1),DATA!$J:$J,"&lt;="&amp;DATE($I$2,D$4,D$5))</f>
        <v/>
      </c>
      <c r="E686" s="321">
        <f>SUMIFS(DATA!$I:$I,DATA!$C:$C,$B686,DATA!$J:$J,"&gt;="&amp;DATE($I$2,E$4,1),DATA!$J:$J,"&lt;="&amp;DATE($I$2,E$4,E$5))</f>
        <v/>
      </c>
      <c r="F686" s="321">
        <f>SUMIFS(DATA!$I:$I,DATA!$C:$C,$B686,DATA!$J:$J,"&gt;="&amp;DATE($I$2,F$4,1),DATA!$J:$J,"&lt;="&amp;DATE($I$2,F$4,F$5))</f>
        <v/>
      </c>
      <c r="G686" s="321">
        <f>SUMIFS(DATA!$I:$I,DATA!$C:$C,$B686,DATA!$J:$J,"&gt;="&amp;DATE($I$2,G$4,1),DATA!$J:$J,"&lt;="&amp;DATE($I$2,G$4,G$5))</f>
        <v/>
      </c>
      <c r="H686" s="321">
        <f>SUMIFS(DATA!$I:$I,DATA!$C:$C,$B686,DATA!$J:$J,"&gt;="&amp;DATE($I$2,H$4,1),DATA!$J:$J,"&lt;="&amp;DATE($I$2,H$4,H$5))</f>
        <v/>
      </c>
      <c r="I686" s="321">
        <f>SUMIFS(DATA!$I:$I,DATA!$C:$C,$B686,DATA!$J:$J,"&gt;="&amp;DATE($I$2,I$4,1),DATA!$J:$J,"&lt;="&amp;DATE($I$2,I$4,I$5))</f>
        <v/>
      </c>
      <c r="J686" s="321">
        <f>SUMIFS(DATA!$I:$I,DATA!$C:$C,$B686,DATA!$J:$J,"&gt;="&amp;DATE($I$2,J$4,1),DATA!$J:$J,"&lt;="&amp;DATE($I$2,J$4,J$5))</f>
        <v/>
      </c>
      <c r="K686" s="321">
        <f>SUMIFS(DATA!$I:$I,DATA!$C:$C,$B686,DATA!$J:$J,"&gt;="&amp;DATE($I$2,K$4,1),DATA!$J:$J,"&lt;="&amp;DATE($I$2,K$4,K$5))</f>
        <v/>
      </c>
      <c r="L686" s="321">
        <f>SUMIFS(DATA!$I:$I,DATA!$C:$C,$B686,DATA!$J:$J,"&gt;="&amp;DATE($I$2,L$4,1),DATA!$J:$J,"&lt;="&amp;DATE($I$2,L$4,L$5))</f>
        <v/>
      </c>
      <c r="M686" s="321">
        <f>SUMIFS(DATA!$I:$I,DATA!$C:$C,$B686,DATA!$J:$J,"&gt;="&amp;DATE($I$2,M$4,1),DATA!$J:$J,"&lt;="&amp;DATE($I$2,M$4,M$5))</f>
        <v/>
      </c>
      <c r="N686" s="321">
        <f>SUMIFS(DATA!$I:$I,DATA!$C:$C,$B686,DATA!$J:$J,"&gt;="&amp;DATE($I$2,N$4,1),DATA!$J:$J,"&lt;="&amp;DATE($I$2,N$4,N$5))</f>
        <v/>
      </c>
      <c r="O686" s="321">
        <f>SUMIFS(DATA!$I:$I,DATA!$C:$C,$B686,DATA!$J:$J,"&gt;="&amp;DATE($I$2,O$4,1),DATA!$J:$J,"&lt;="&amp;DATE($I$2,O$4,O$5))</f>
        <v/>
      </c>
      <c r="P686" s="322">
        <f>SUM(D686:O686)</f>
        <v/>
      </c>
      <c r="Q686" s="118" t="n"/>
    </row>
    <row r="687" hidden="1" outlineLevel="1" ht="15" customHeight="1">
      <c r="A687" s="266" t="n"/>
      <c r="B687" s="126" t="n"/>
      <c r="C687" s="119" t="inlineStr">
        <is>
          <t>Thực tế</t>
        </is>
      </c>
      <c r="D687" s="321">
        <f>SUMIFS(DATA!$M:$M,DATA!$C:$C,$B686,DATA!$N:$N,"&gt;="&amp;DATE($I$2,D$4,1),DATA!$N:$N,"&lt;="&amp;DATE($I$2,D$4,D$5))</f>
        <v/>
      </c>
      <c r="E687" s="321">
        <f>SUMIFS(DATA!$M:$M,DATA!$C:$C,$B686,DATA!$N:$N,"&gt;="&amp;DATE($I$2,E$4,1),DATA!$N:$N,"&lt;="&amp;DATE($I$2,E$4,E$5))</f>
        <v/>
      </c>
      <c r="F687" s="321">
        <f>SUMIFS(DATA!$M:$M,DATA!$C:$C,$B686,DATA!$N:$N,"&gt;="&amp;DATE($I$2,F$4,1),DATA!$N:$N,"&lt;="&amp;DATE($I$2,F$4,F$5))</f>
        <v/>
      </c>
      <c r="G687" s="321">
        <f>SUMIFS(DATA!$M:$M,DATA!$C:$C,$B686,DATA!$N:$N,"&gt;="&amp;DATE($I$2,G$4,1),DATA!$N:$N,"&lt;="&amp;DATE($I$2,G$4,G$5))</f>
        <v/>
      </c>
      <c r="H687" s="321">
        <f>SUMIFS(DATA!$M:$M,DATA!$C:$C,$B686,DATA!$N:$N,"&gt;="&amp;DATE($I$2,H$4,1),DATA!$N:$N,"&lt;="&amp;DATE($I$2,H$4,H$5))</f>
        <v/>
      </c>
      <c r="I687" s="321">
        <f>SUMIFS(DATA!$M:$M,DATA!$C:$C,$B686,DATA!$N:$N,"&gt;="&amp;DATE($I$2,I$4,1),DATA!$N:$N,"&lt;="&amp;DATE($I$2,I$4,I$5))</f>
        <v/>
      </c>
      <c r="J687" s="321">
        <f>SUMIFS(DATA!$M:$M,DATA!$C:$C,$B686,DATA!$N:$N,"&gt;="&amp;DATE($I$2,J$4,1),DATA!$N:$N,"&lt;="&amp;DATE($I$2,J$4,J$5))</f>
        <v/>
      </c>
      <c r="K687" s="321">
        <f>SUMIFS(DATA!$M:$M,DATA!$C:$C,$B686,DATA!$N:$N,"&gt;="&amp;DATE($I$2,K$4,1),DATA!$N:$N,"&lt;="&amp;DATE($I$2,K$4,K$5))</f>
        <v/>
      </c>
      <c r="L687" s="321">
        <f>SUMIFS(DATA!$M:$M,DATA!$C:$C,$B686,DATA!$N:$N,"&gt;="&amp;DATE($I$2,L$4,1),DATA!$N:$N,"&lt;="&amp;DATE($I$2,L$4,L$5))</f>
        <v/>
      </c>
      <c r="M687" s="321">
        <f>SUMIFS(DATA!$M:$M,DATA!$C:$C,$B686,DATA!$N:$N,"&gt;="&amp;DATE($I$2,M$4,1),DATA!$N:$N,"&lt;="&amp;DATE($I$2,M$4,M$5))</f>
        <v/>
      </c>
      <c r="N687" s="321">
        <f>SUMIFS(DATA!$M:$M,DATA!$C:$C,$B686,DATA!$N:$N,"&gt;="&amp;DATE($I$2,N$4,1),DATA!$N:$N,"&lt;="&amp;DATE($I$2,N$4,N$5))</f>
        <v/>
      </c>
      <c r="O687" s="321">
        <f>SUMIFS(DATA!$M:$M,DATA!$C:$C,$B686,DATA!$N:$N,"&gt;="&amp;DATE($I$2,O$4,1),DATA!$N:$N,"&lt;="&amp;DATE($I$2,O$4,O$5))</f>
        <v/>
      </c>
      <c r="P687" s="322">
        <f>SUM(D687:O687)</f>
        <v/>
      </c>
      <c r="Q687" s="118" t="n"/>
    </row>
    <row r="688" hidden="1" outlineLevel="1" ht="15" customHeight="1">
      <c r="A688" s="269" t="n">
        <v>342</v>
      </c>
      <c r="B688" s="125" t="n"/>
      <c r="C688" s="119" t="inlineStr">
        <is>
          <t>Kế hoạch</t>
        </is>
      </c>
      <c r="D688" s="321">
        <f>SUMIFS(DATA!$I:$I,DATA!$C:$C,$B688,DATA!$J:$J,"&gt;="&amp;DATE($I$2,D$4,1),DATA!$J:$J,"&lt;="&amp;DATE($I$2,D$4,D$5))</f>
        <v/>
      </c>
      <c r="E688" s="321">
        <f>SUMIFS(DATA!$I:$I,DATA!$C:$C,$B688,DATA!$J:$J,"&gt;="&amp;DATE($I$2,E$4,1),DATA!$J:$J,"&lt;="&amp;DATE($I$2,E$4,E$5))</f>
        <v/>
      </c>
      <c r="F688" s="321">
        <f>SUMIFS(DATA!$I:$I,DATA!$C:$C,$B688,DATA!$J:$J,"&gt;="&amp;DATE($I$2,F$4,1),DATA!$J:$J,"&lt;="&amp;DATE($I$2,F$4,F$5))</f>
        <v/>
      </c>
      <c r="G688" s="321">
        <f>SUMIFS(DATA!$I:$I,DATA!$C:$C,$B688,DATA!$J:$J,"&gt;="&amp;DATE($I$2,G$4,1),DATA!$J:$J,"&lt;="&amp;DATE($I$2,G$4,G$5))</f>
        <v/>
      </c>
      <c r="H688" s="321">
        <f>SUMIFS(DATA!$I:$I,DATA!$C:$C,$B688,DATA!$J:$J,"&gt;="&amp;DATE($I$2,H$4,1),DATA!$J:$J,"&lt;="&amp;DATE($I$2,H$4,H$5))</f>
        <v/>
      </c>
      <c r="I688" s="321">
        <f>SUMIFS(DATA!$I:$I,DATA!$C:$C,$B688,DATA!$J:$J,"&gt;="&amp;DATE($I$2,I$4,1),DATA!$J:$J,"&lt;="&amp;DATE($I$2,I$4,I$5))</f>
        <v/>
      </c>
      <c r="J688" s="321">
        <f>SUMIFS(DATA!$I:$I,DATA!$C:$C,$B688,DATA!$J:$J,"&gt;="&amp;DATE($I$2,J$4,1),DATA!$J:$J,"&lt;="&amp;DATE($I$2,J$4,J$5))</f>
        <v/>
      </c>
      <c r="K688" s="321">
        <f>SUMIFS(DATA!$I:$I,DATA!$C:$C,$B688,DATA!$J:$J,"&gt;="&amp;DATE($I$2,K$4,1),DATA!$J:$J,"&lt;="&amp;DATE($I$2,K$4,K$5))</f>
        <v/>
      </c>
      <c r="L688" s="321">
        <f>SUMIFS(DATA!$I:$I,DATA!$C:$C,$B688,DATA!$J:$J,"&gt;="&amp;DATE($I$2,L$4,1),DATA!$J:$J,"&lt;="&amp;DATE($I$2,L$4,L$5))</f>
        <v/>
      </c>
      <c r="M688" s="321">
        <f>SUMIFS(DATA!$I:$I,DATA!$C:$C,$B688,DATA!$J:$J,"&gt;="&amp;DATE($I$2,M$4,1),DATA!$J:$J,"&lt;="&amp;DATE($I$2,M$4,M$5))</f>
        <v/>
      </c>
      <c r="N688" s="321">
        <f>SUMIFS(DATA!$I:$I,DATA!$C:$C,$B688,DATA!$J:$J,"&gt;="&amp;DATE($I$2,N$4,1),DATA!$J:$J,"&lt;="&amp;DATE($I$2,N$4,N$5))</f>
        <v/>
      </c>
      <c r="O688" s="321">
        <f>SUMIFS(DATA!$I:$I,DATA!$C:$C,$B688,DATA!$J:$J,"&gt;="&amp;DATE($I$2,O$4,1),DATA!$J:$J,"&lt;="&amp;DATE($I$2,O$4,O$5))</f>
        <v/>
      </c>
      <c r="P688" s="322">
        <f>SUM(D688:O688)</f>
        <v/>
      </c>
      <c r="Q688" s="118" t="n"/>
    </row>
    <row r="689" hidden="1" outlineLevel="1" ht="15" customHeight="1">
      <c r="A689" s="266" t="n"/>
      <c r="B689" s="126" t="n"/>
      <c r="C689" s="119" t="inlineStr">
        <is>
          <t>Thực tế</t>
        </is>
      </c>
      <c r="D689" s="321">
        <f>SUMIFS(DATA!$M:$M,DATA!$C:$C,$B688,DATA!$N:$N,"&gt;="&amp;DATE($I$2,D$4,1),DATA!$N:$N,"&lt;="&amp;DATE($I$2,D$4,D$5))</f>
        <v/>
      </c>
      <c r="E689" s="321">
        <f>SUMIFS(DATA!$M:$M,DATA!$C:$C,$B688,DATA!$N:$N,"&gt;="&amp;DATE($I$2,E$4,1),DATA!$N:$N,"&lt;="&amp;DATE($I$2,E$4,E$5))</f>
        <v/>
      </c>
      <c r="F689" s="321">
        <f>SUMIFS(DATA!$M:$M,DATA!$C:$C,$B688,DATA!$N:$N,"&gt;="&amp;DATE($I$2,F$4,1),DATA!$N:$N,"&lt;="&amp;DATE($I$2,F$4,F$5))</f>
        <v/>
      </c>
      <c r="G689" s="321">
        <f>SUMIFS(DATA!$M:$M,DATA!$C:$C,$B688,DATA!$N:$N,"&gt;="&amp;DATE($I$2,G$4,1),DATA!$N:$N,"&lt;="&amp;DATE($I$2,G$4,G$5))</f>
        <v/>
      </c>
      <c r="H689" s="321">
        <f>SUMIFS(DATA!$M:$M,DATA!$C:$C,$B688,DATA!$N:$N,"&gt;="&amp;DATE($I$2,H$4,1),DATA!$N:$N,"&lt;="&amp;DATE($I$2,H$4,H$5))</f>
        <v/>
      </c>
      <c r="I689" s="321">
        <f>SUMIFS(DATA!$M:$M,DATA!$C:$C,$B688,DATA!$N:$N,"&gt;="&amp;DATE($I$2,I$4,1),DATA!$N:$N,"&lt;="&amp;DATE($I$2,I$4,I$5))</f>
        <v/>
      </c>
      <c r="J689" s="321">
        <f>SUMIFS(DATA!$M:$M,DATA!$C:$C,$B688,DATA!$N:$N,"&gt;="&amp;DATE($I$2,J$4,1),DATA!$N:$N,"&lt;="&amp;DATE($I$2,J$4,J$5))</f>
        <v/>
      </c>
      <c r="K689" s="321">
        <f>SUMIFS(DATA!$M:$M,DATA!$C:$C,$B688,DATA!$N:$N,"&gt;="&amp;DATE($I$2,K$4,1),DATA!$N:$N,"&lt;="&amp;DATE($I$2,K$4,K$5))</f>
        <v/>
      </c>
      <c r="L689" s="321">
        <f>SUMIFS(DATA!$M:$M,DATA!$C:$C,$B688,DATA!$N:$N,"&gt;="&amp;DATE($I$2,L$4,1),DATA!$N:$N,"&lt;="&amp;DATE($I$2,L$4,L$5))</f>
        <v/>
      </c>
      <c r="M689" s="321">
        <f>SUMIFS(DATA!$M:$M,DATA!$C:$C,$B688,DATA!$N:$N,"&gt;="&amp;DATE($I$2,M$4,1),DATA!$N:$N,"&lt;="&amp;DATE($I$2,M$4,M$5))</f>
        <v/>
      </c>
      <c r="N689" s="321">
        <f>SUMIFS(DATA!$M:$M,DATA!$C:$C,$B688,DATA!$N:$N,"&gt;="&amp;DATE($I$2,N$4,1),DATA!$N:$N,"&lt;="&amp;DATE($I$2,N$4,N$5))</f>
        <v/>
      </c>
      <c r="O689" s="321">
        <f>SUMIFS(DATA!$M:$M,DATA!$C:$C,$B688,DATA!$N:$N,"&gt;="&amp;DATE($I$2,O$4,1),DATA!$N:$N,"&lt;="&amp;DATE($I$2,O$4,O$5))</f>
        <v/>
      </c>
      <c r="P689" s="322">
        <f>SUM(D689:O689)</f>
        <v/>
      </c>
      <c r="Q689" s="118" t="n"/>
    </row>
    <row r="690" hidden="1" outlineLevel="1" ht="15" customHeight="1">
      <c r="A690" s="269" t="n">
        <v>343</v>
      </c>
      <c r="B690" s="125" t="n"/>
      <c r="C690" s="119" t="inlineStr">
        <is>
          <t>Kế hoạch</t>
        </is>
      </c>
      <c r="D690" s="321">
        <f>SUMIFS(DATA!$I:$I,DATA!$C:$C,$B690,DATA!$J:$J,"&gt;="&amp;DATE($I$2,D$4,1),DATA!$J:$J,"&lt;="&amp;DATE($I$2,D$4,D$5))</f>
        <v/>
      </c>
      <c r="E690" s="321">
        <f>SUMIFS(DATA!$I:$I,DATA!$C:$C,$B690,DATA!$J:$J,"&gt;="&amp;DATE($I$2,E$4,1),DATA!$J:$J,"&lt;="&amp;DATE($I$2,E$4,E$5))</f>
        <v/>
      </c>
      <c r="F690" s="321">
        <f>SUMIFS(DATA!$I:$I,DATA!$C:$C,$B690,DATA!$J:$J,"&gt;="&amp;DATE($I$2,F$4,1),DATA!$J:$J,"&lt;="&amp;DATE($I$2,F$4,F$5))</f>
        <v/>
      </c>
      <c r="G690" s="321">
        <f>SUMIFS(DATA!$I:$I,DATA!$C:$C,$B690,DATA!$J:$J,"&gt;="&amp;DATE($I$2,G$4,1),DATA!$J:$J,"&lt;="&amp;DATE($I$2,G$4,G$5))</f>
        <v/>
      </c>
      <c r="H690" s="321">
        <f>SUMIFS(DATA!$I:$I,DATA!$C:$C,$B690,DATA!$J:$J,"&gt;="&amp;DATE($I$2,H$4,1),DATA!$J:$J,"&lt;="&amp;DATE($I$2,H$4,H$5))</f>
        <v/>
      </c>
      <c r="I690" s="321">
        <f>SUMIFS(DATA!$I:$I,DATA!$C:$C,$B690,DATA!$J:$J,"&gt;="&amp;DATE($I$2,I$4,1),DATA!$J:$J,"&lt;="&amp;DATE($I$2,I$4,I$5))</f>
        <v/>
      </c>
      <c r="J690" s="321">
        <f>SUMIFS(DATA!$I:$I,DATA!$C:$C,$B690,DATA!$J:$J,"&gt;="&amp;DATE($I$2,J$4,1),DATA!$J:$J,"&lt;="&amp;DATE($I$2,J$4,J$5))</f>
        <v/>
      </c>
      <c r="K690" s="321">
        <f>SUMIFS(DATA!$I:$I,DATA!$C:$C,$B690,DATA!$J:$J,"&gt;="&amp;DATE($I$2,K$4,1),DATA!$J:$J,"&lt;="&amp;DATE($I$2,K$4,K$5))</f>
        <v/>
      </c>
      <c r="L690" s="321">
        <f>SUMIFS(DATA!$I:$I,DATA!$C:$C,$B690,DATA!$J:$J,"&gt;="&amp;DATE($I$2,L$4,1),DATA!$J:$J,"&lt;="&amp;DATE($I$2,L$4,L$5))</f>
        <v/>
      </c>
      <c r="M690" s="321">
        <f>SUMIFS(DATA!$I:$I,DATA!$C:$C,$B690,DATA!$J:$J,"&gt;="&amp;DATE($I$2,M$4,1),DATA!$J:$J,"&lt;="&amp;DATE($I$2,M$4,M$5))</f>
        <v/>
      </c>
      <c r="N690" s="321">
        <f>SUMIFS(DATA!$I:$I,DATA!$C:$C,$B690,DATA!$J:$J,"&gt;="&amp;DATE($I$2,N$4,1),DATA!$J:$J,"&lt;="&amp;DATE($I$2,N$4,N$5))</f>
        <v/>
      </c>
      <c r="O690" s="321">
        <f>SUMIFS(DATA!$I:$I,DATA!$C:$C,$B690,DATA!$J:$J,"&gt;="&amp;DATE($I$2,O$4,1),DATA!$J:$J,"&lt;="&amp;DATE($I$2,O$4,O$5))</f>
        <v/>
      </c>
      <c r="P690" s="322">
        <f>SUM(D690:O690)</f>
        <v/>
      </c>
      <c r="Q690" s="118" t="n"/>
    </row>
    <row r="691" hidden="1" outlineLevel="1" ht="15" customHeight="1">
      <c r="A691" s="266" t="n"/>
      <c r="B691" s="126" t="n"/>
      <c r="C691" s="119" t="inlineStr">
        <is>
          <t>Thực tế</t>
        </is>
      </c>
      <c r="D691" s="321">
        <f>SUMIFS(DATA!$M:$M,DATA!$C:$C,$B690,DATA!$N:$N,"&gt;="&amp;DATE($I$2,D$4,1),DATA!$N:$N,"&lt;="&amp;DATE($I$2,D$4,D$5))</f>
        <v/>
      </c>
      <c r="E691" s="321">
        <f>SUMIFS(DATA!$M:$M,DATA!$C:$C,$B690,DATA!$N:$N,"&gt;="&amp;DATE($I$2,E$4,1),DATA!$N:$N,"&lt;="&amp;DATE($I$2,E$4,E$5))</f>
        <v/>
      </c>
      <c r="F691" s="321">
        <f>SUMIFS(DATA!$M:$M,DATA!$C:$C,$B690,DATA!$N:$N,"&gt;="&amp;DATE($I$2,F$4,1),DATA!$N:$N,"&lt;="&amp;DATE($I$2,F$4,F$5))</f>
        <v/>
      </c>
      <c r="G691" s="321">
        <f>SUMIFS(DATA!$M:$M,DATA!$C:$C,$B690,DATA!$N:$N,"&gt;="&amp;DATE($I$2,G$4,1),DATA!$N:$N,"&lt;="&amp;DATE($I$2,G$4,G$5))</f>
        <v/>
      </c>
      <c r="H691" s="321">
        <f>SUMIFS(DATA!$M:$M,DATA!$C:$C,$B690,DATA!$N:$N,"&gt;="&amp;DATE($I$2,H$4,1),DATA!$N:$N,"&lt;="&amp;DATE($I$2,H$4,H$5))</f>
        <v/>
      </c>
      <c r="I691" s="321">
        <f>SUMIFS(DATA!$M:$M,DATA!$C:$C,$B690,DATA!$N:$N,"&gt;="&amp;DATE($I$2,I$4,1),DATA!$N:$N,"&lt;="&amp;DATE($I$2,I$4,I$5))</f>
        <v/>
      </c>
      <c r="J691" s="321">
        <f>SUMIFS(DATA!$M:$M,DATA!$C:$C,$B690,DATA!$N:$N,"&gt;="&amp;DATE($I$2,J$4,1),DATA!$N:$N,"&lt;="&amp;DATE($I$2,J$4,J$5))</f>
        <v/>
      </c>
      <c r="K691" s="321">
        <f>SUMIFS(DATA!$M:$M,DATA!$C:$C,$B690,DATA!$N:$N,"&gt;="&amp;DATE($I$2,K$4,1),DATA!$N:$N,"&lt;="&amp;DATE($I$2,K$4,K$5))</f>
        <v/>
      </c>
      <c r="L691" s="321">
        <f>SUMIFS(DATA!$M:$M,DATA!$C:$C,$B690,DATA!$N:$N,"&gt;="&amp;DATE($I$2,L$4,1),DATA!$N:$N,"&lt;="&amp;DATE($I$2,L$4,L$5))</f>
        <v/>
      </c>
      <c r="M691" s="321">
        <f>SUMIFS(DATA!$M:$M,DATA!$C:$C,$B690,DATA!$N:$N,"&gt;="&amp;DATE($I$2,M$4,1),DATA!$N:$N,"&lt;="&amp;DATE($I$2,M$4,M$5))</f>
        <v/>
      </c>
      <c r="N691" s="321">
        <f>SUMIFS(DATA!$M:$M,DATA!$C:$C,$B690,DATA!$N:$N,"&gt;="&amp;DATE($I$2,N$4,1),DATA!$N:$N,"&lt;="&amp;DATE($I$2,N$4,N$5))</f>
        <v/>
      </c>
      <c r="O691" s="321">
        <f>SUMIFS(DATA!$M:$M,DATA!$C:$C,$B690,DATA!$N:$N,"&gt;="&amp;DATE($I$2,O$4,1),DATA!$N:$N,"&lt;="&amp;DATE($I$2,O$4,O$5))</f>
        <v/>
      </c>
      <c r="P691" s="322">
        <f>SUM(D691:O691)</f>
        <v/>
      </c>
      <c r="Q691" s="118" t="n"/>
    </row>
    <row r="692" hidden="1" outlineLevel="1" ht="15" customHeight="1">
      <c r="A692" s="269" t="n">
        <v>344</v>
      </c>
      <c r="B692" s="125" t="n"/>
      <c r="C692" s="119" t="inlineStr">
        <is>
          <t>Kế hoạch</t>
        </is>
      </c>
      <c r="D692" s="321">
        <f>SUMIFS(DATA!$I:$I,DATA!$C:$C,$B692,DATA!$J:$J,"&gt;="&amp;DATE($I$2,D$4,1),DATA!$J:$J,"&lt;="&amp;DATE($I$2,D$4,D$5))</f>
        <v/>
      </c>
      <c r="E692" s="321">
        <f>SUMIFS(DATA!$I:$I,DATA!$C:$C,$B692,DATA!$J:$J,"&gt;="&amp;DATE($I$2,E$4,1),DATA!$J:$J,"&lt;="&amp;DATE($I$2,E$4,E$5))</f>
        <v/>
      </c>
      <c r="F692" s="321">
        <f>SUMIFS(DATA!$I:$I,DATA!$C:$C,$B692,DATA!$J:$J,"&gt;="&amp;DATE($I$2,F$4,1),DATA!$J:$J,"&lt;="&amp;DATE($I$2,F$4,F$5))</f>
        <v/>
      </c>
      <c r="G692" s="321">
        <f>SUMIFS(DATA!$I:$I,DATA!$C:$C,$B692,DATA!$J:$J,"&gt;="&amp;DATE($I$2,G$4,1),DATA!$J:$J,"&lt;="&amp;DATE($I$2,G$4,G$5))</f>
        <v/>
      </c>
      <c r="H692" s="321">
        <f>SUMIFS(DATA!$I:$I,DATA!$C:$C,$B692,DATA!$J:$J,"&gt;="&amp;DATE($I$2,H$4,1),DATA!$J:$J,"&lt;="&amp;DATE($I$2,H$4,H$5))</f>
        <v/>
      </c>
      <c r="I692" s="321">
        <f>SUMIFS(DATA!$I:$I,DATA!$C:$C,$B692,DATA!$J:$J,"&gt;="&amp;DATE($I$2,I$4,1),DATA!$J:$J,"&lt;="&amp;DATE($I$2,I$4,I$5))</f>
        <v/>
      </c>
      <c r="J692" s="321">
        <f>SUMIFS(DATA!$I:$I,DATA!$C:$C,$B692,DATA!$J:$J,"&gt;="&amp;DATE($I$2,J$4,1),DATA!$J:$J,"&lt;="&amp;DATE($I$2,J$4,J$5))</f>
        <v/>
      </c>
      <c r="K692" s="321">
        <f>SUMIFS(DATA!$I:$I,DATA!$C:$C,$B692,DATA!$J:$J,"&gt;="&amp;DATE($I$2,K$4,1),DATA!$J:$J,"&lt;="&amp;DATE($I$2,K$4,K$5))</f>
        <v/>
      </c>
      <c r="L692" s="321">
        <f>SUMIFS(DATA!$I:$I,DATA!$C:$C,$B692,DATA!$J:$J,"&gt;="&amp;DATE($I$2,L$4,1),DATA!$J:$J,"&lt;="&amp;DATE($I$2,L$4,L$5))</f>
        <v/>
      </c>
      <c r="M692" s="321">
        <f>SUMIFS(DATA!$I:$I,DATA!$C:$C,$B692,DATA!$J:$J,"&gt;="&amp;DATE($I$2,M$4,1),DATA!$J:$J,"&lt;="&amp;DATE($I$2,M$4,M$5))</f>
        <v/>
      </c>
      <c r="N692" s="321">
        <f>SUMIFS(DATA!$I:$I,DATA!$C:$C,$B692,DATA!$J:$J,"&gt;="&amp;DATE($I$2,N$4,1),DATA!$J:$J,"&lt;="&amp;DATE($I$2,N$4,N$5))</f>
        <v/>
      </c>
      <c r="O692" s="321">
        <f>SUMIFS(DATA!$I:$I,DATA!$C:$C,$B692,DATA!$J:$J,"&gt;="&amp;DATE($I$2,O$4,1),DATA!$J:$J,"&lt;="&amp;DATE($I$2,O$4,O$5))</f>
        <v/>
      </c>
      <c r="P692" s="322">
        <f>SUM(D692:O692)</f>
        <v/>
      </c>
      <c r="Q692" s="118" t="n"/>
    </row>
    <row r="693" hidden="1" outlineLevel="1" ht="15" customHeight="1">
      <c r="A693" s="266" t="n"/>
      <c r="B693" s="126" t="n"/>
      <c r="C693" s="119" t="inlineStr">
        <is>
          <t>Thực tế</t>
        </is>
      </c>
      <c r="D693" s="321">
        <f>SUMIFS(DATA!$M:$M,DATA!$C:$C,$B692,DATA!$N:$N,"&gt;="&amp;DATE($I$2,D$4,1),DATA!$N:$N,"&lt;="&amp;DATE($I$2,D$4,D$5))</f>
        <v/>
      </c>
      <c r="E693" s="321">
        <f>SUMIFS(DATA!$M:$M,DATA!$C:$C,$B692,DATA!$N:$N,"&gt;="&amp;DATE($I$2,E$4,1),DATA!$N:$N,"&lt;="&amp;DATE($I$2,E$4,E$5))</f>
        <v/>
      </c>
      <c r="F693" s="321">
        <f>SUMIFS(DATA!$M:$M,DATA!$C:$C,$B692,DATA!$N:$N,"&gt;="&amp;DATE($I$2,F$4,1),DATA!$N:$N,"&lt;="&amp;DATE($I$2,F$4,F$5))</f>
        <v/>
      </c>
      <c r="G693" s="321">
        <f>SUMIFS(DATA!$M:$M,DATA!$C:$C,$B692,DATA!$N:$N,"&gt;="&amp;DATE($I$2,G$4,1),DATA!$N:$N,"&lt;="&amp;DATE($I$2,G$4,G$5))</f>
        <v/>
      </c>
      <c r="H693" s="321">
        <f>SUMIFS(DATA!$M:$M,DATA!$C:$C,$B692,DATA!$N:$N,"&gt;="&amp;DATE($I$2,H$4,1),DATA!$N:$N,"&lt;="&amp;DATE($I$2,H$4,H$5))</f>
        <v/>
      </c>
      <c r="I693" s="321">
        <f>SUMIFS(DATA!$M:$M,DATA!$C:$C,$B692,DATA!$N:$N,"&gt;="&amp;DATE($I$2,I$4,1),DATA!$N:$N,"&lt;="&amp;DATE($I$2,I$4,I$5))</f>
        <v/>
      </c>
      <c r="J693" s="321">
        <f>SUMIFS(DATA!$M:$M,DATA!$C:$C,$B692,DATA!$N:$N,"&gt;="&amp;DATE($I$2,J$4,1),DATA!$N:$N,"&lt;="&amp;DATE($I$2,J$4,J$5))</f>
        <v/>
      </c>
      <c r="K693" s="321">
        <f>SUMIFS(DATA!$M:$M,DATA!$C:$C,$B692,DATA!$N:$N,"&gt;="&amp;DATE($I$2,K$4,1),DATA!$N:$N,"&lt;="&amp;DATE($I$2,K$4,K$5))</f>
        <v/>
      </c>
      <c r="L693" s="321">
        <f>SUMIFS(DATA!$M:$M,DATA!$C:$C,$B692,DATA!$N:$N,"&gt;="&amp;DATE($I$2,L$4,1),DATA!$N:$N,"&lt;="&amp;DATE($I$2,L$4,L$5))</f>
        <v/>
      </c>
      <c r="M693" s="321">
        <f>SUMIFS(DATA!$M:$M,DATA!$C:$C,$B692,DATA!$N:$N,"&gt;="&amp;DATE($I$2,M$4,1),DATA!$N:$N,"&lt;="&amp;DATE($I$2,M$4,M$5))</f>
        <v/>
      </c>
      <c r="N693" s="321">
        <f>SUMIFS(DATA!$M:$M,DATA!$C:$C,$B692,DATA!$N:$N,"&gt;="&amp;DATE($I$2,N$4,1),DATA!$N:$N,"&lt;="&amp;DATE($I$2,N$4,N$5))</f>
        <v/>
      </c>
      <c r="O693" s="321">
        <f>SUMIFS(DATA!$M:$M,DATA!$C:$C,$B692,DATA!$N:$N,"&gt;="&amp;DATE($I$2,O$4,1),DATA!$N:$N,"&lt;="&amp;DATE($I$2,O$4,O$5))</f>
        <v/>
      </c>
      <c r="P693" s="322">
        <f>SUM(D693:O693)</f>
        <v/>
      </c>
      <c r="Q693" s="118" t="n"/>
    </row>
    <row r="694" hidden="1" outlineLevel="1" ht="15" customHeight="1">
      <c r="A694" s="269" t="n">
        <v>345</v>
      </c>
      <c r="B694" s="125" t="n"/>
      <c r="C694" s="119" t="inlineStr">
        <is>
          <t>Kế hoạch</t>
        </is>
      </c>
      <c r="D694" s="321">
        <f>SUMIFS(DATA!$I:$I,DATA!$C:$C,$B694,DATA!$J:$J,"&gt;="&amp;DATE($I$2,D$4,1),DATA!$J:$J,"&lt;="&amp;DATE($I$2,D$4,D$5))</f>
        <v/>
      </c>
      <c r="E694" s="321">
        <f>SUMIFS(DATA!$I:$I,DATA!$C:$C,$B694,DATA!$J:$J,"&gt;="&amp;DATE($I$2,E$4,1),DATA!$J:$J,"&lt;="&amp;DATE($I$2,E$4,E$5))</f>
        <v/>
      </c>
      <c r="F694" s="321">
        <f>SUMIFS(DATA!$I:$I,DATA!$C:$C,$B694,DATA!$J:$J,"&gt;="&amp;DATE($I$2,F$4,1),DATA!$J:$J,"&lt;="&amp;DATE($I$2,F$4,F$5))</f>
        <v/>
      </c>
      <c r="G694" s="321">
        <f>SUMIFS(DATA!$I:$I,DATA!$C:$C,$B694,DATA!$J:$J,"&gt;="&amp;DATE($I$2,G$4,1),DATA!$J:$J,"&lt;="&amp;DATE($I$2,G$4,G$5))</f>
        <v/>
      </c>
      <c r="H694" s="321">
        <f>SUMIFS(DATA!$I:$I,DATA!$C:$C,$B694,DATA!$J:$J,"&gt;="&amp;DATE($I$2,H$4,1),DATA!$J:$J,"&lt;="&amp;DATE($I$2,H$4,H$5))</f>
        <v/>
      </c>
      <c r="I694" s="321">
        <f>SUMIFS(DATA!$I:$I,DATA!$C:$C,$B694,DATA!$J:$J,"&gt;="&amp;DATE($I$2,I$4,1),DATA!$J:$J,"&lt;="&amp;DATE($I$2,I$4,I$5))</f>
        <v/>
      </c>
      <c r="J694" s="321">
        <f>SUMIFS(DATA!$I:$I,DATA!$C:$C,$B694,DATA!$J:$J,"&gt;="&amp;DATE($I$2,J$4,1),DATA!$J:$J,"&lt;="&amp;DATE($I$2,J$4,J$5))</f>
        <v/>
      </c>
      <c r="K694" s="321">
        <f>SUMIFS(DATA!$I:$I,DATA!$C:$C,$B694,DATA!$J:$J,"&gt;="&amp;DATE($I$2,K$4,1),DATA!$J:$J,"&lt;="&amp;DATE($I$2,K$4,K$5))</f>
        <v/>
      </c>
      <c r="L694" s="321">
        <f>SUMIFS(DATA!$I:$I,DATA!$C:$C,$B694,DATA!$J:$J,"&gt;="&amp;DATE($I$2,L$4,1),DATA!$J:$J,"&lt;="&amp;DATE($I$2,L$4,L$5))</f>
        <v/>
      </c>
      <c r="M694" s="321">
        <f>SUMIFS(DATA!$I:$I,DATA!$C:$C,$B694,DATA!$J:$J,"&gt;="&amp;DATE($I$2,M$4,1),DATA!$J:$J,"&lt;="&amp;DATE($I$2,M$4,M$5))</f>
        <v/>
      </c>
      <c r="N694" s="321">
        <f>SUMIFS(DATA!$I:$I,DATA!$C:$C,$B694,DATA!$J:$J,"&gt;="&amp;DATE($I$2,N$4,1),DATA!$J:$J,"&lt;="&amp;DATE($I$2,N$4,N$5))</f>
        <v/>
      </c>
      <c r="O694" s="321">
        <f>SUMIFS(DATA!$I:$I,DATA!$C:$C,$B694,DATA!$J:$J,"&gt;="&amp;DATE($I$2,O$4,1),DATA!$J:$J,"&lt;="&amp;DATE($I$2,O$4,O$5))</f>
        <v/>
      </c>
      <c r="P694" s="322">
        <f>SUM(D694:O694)</f>
        <v/>
      </c>
      <c r="Q694" s="118" t="n"/>
    </row>
    <row r="695" hidden="1" outlineLevel="1" ht="15" customHeight="1">
      <c r="A695" s="266" t="n"/>
      <c r="B695" s="126" t="n"/>
      <c r="C695" s="119" t="inlineStr">
        <is>
          <t>Thực tế</t>
        </is>
      </c>
      <c r="D695" s="321">
        <f>SUMIFS(DATA!$M:$M,DATA!$C:$C,$B694,DATA!$N:$N,"&gt;="&amp;DATE($I$2,D$4,1),DATA!$N:$N,"&lt;="&amp;DATE($I$2,D$4,D$5))</f>
        <v/>
      </c>
      <c r="E695" s="321">
        <f>SUMIFS(DATA!$M:$M,DATA!$C:$C,$B694,DATA!$N:$N,"&gt;="&amp;DATE($I$2,E$4,1),DATA!$N:$N,"&lt;="&amp;DATE($I$2,E$4,E$5))</f>
        <v/>
      </c>
      <c r="F695" s="321">
        <f>SUMIFS(DATA!$M:$M,DATA!$C:$C,$B694,DATA!$N:$N,"&gt;="&amp;DATE($I$2,F$4,1),DATA!$N:$N,"&lt;="&amp;DATE($I$2,F$4,F$5))</f>
        <v/>
      </c>
      <c r="G695" s="321">
        <f>SUMIFS(DATA!$M:$M,DATA!$C:$C,$B694,DATA!$N:$N,"&gt;="&amp;DATE($I$2,G$4,1),DATA!$N:$N,"&lt;="&amp;DATE($I$2,G$4,G$5))</f>
        <v/>
      </c>
      <c r="H695" s="321">
        <f>SUMIFS(DATA!$M:$M,DATA!$C:$C,$B694,DATA!$N:$N,"&gt;="&amp;DATE($I$2,H$4,1),DATA!$N:$N,"&lt;="&amp;DATE($I$2,H$4,H$5))</f>
        <v/>
      </c>
      <c r="I695" s="321">
        <f>SUMIFS(DATA!$M:$M,DATA!$C:$C,$B694,DATA!$N:$N,"&gt;="&amp;DATE($I$2,I$4,1),DATA!$N:$N,"&lt;="&amp;DATE($I$2,I$4,I$5))</f>
        <v/>
      </c>
      <c r="J695" s="321">
        <f>SUMIFS(DATA!$M:$M,DATA!$C:$C,$B694,DATA!$N:$N,"&gt;="&amp;DATE($I$2,J$4,1),DATA!$N:$N,"&lt;="&amp;DATE($I$2,J$4,J$5))</f>
        <v/>
      </c>
      <c r="K695" s="321">
        <f>SUMIFS(DATA!$M:$M,DATA!$C:$C,$B694,DATA!$N:$N,"&gt;="&amp;DATE($I$2,K$4,1),DATA!$N:$N,"&lt;="&amp;DATE($I$2,K$4,K$5))</f>
        <v/>
      </c>
      <c r="L695" s="321">
        <f>SUMIFS(DATA!$M:$M,DATA!$C:$C,$B694,DATA!$N:$N,"&gt;="&amp;DATE($I$2,L$4,1),DATA!$N:$N,"&lt;="&amp;DATE($I$2,L$4,L$5))</f>
        <v/>
      </c>
      <c r="M695" s="321">
        <f>SUMIFS(DATA!$M:$M,DATA!$C:$C,$B694,DATA!$N:$N,"&gt;="&amp;DATE($I$2,M$4,1),DATA!$N:$N,"&lt;="&amp;DATE($I$2,M$4,M$5))</f>
        <v/>
      </c>
      <c r="N695" s="321">
        <f>SUMIFS(DATA!$M:$M,DATA!$C:$C,$B694,DATA!$N:$N,"&gt;="&amp;DATE($I$2,N$4,1),DATA!$N:$N,"&lt;="&amp;DATE($I$2,N$4,N$5))</f>
        <v/>
      </c>
      <c r="O695" s="321">
        <f>SUMIFS(DATA!$M:$M,DATA!$C:$C,$B694,DATA!$N:$N,"&gt;="&amp;DATE($I$2,O$4,1),DATA!$N:$N,"&lt;="&amp;DATE($I$2,O$4,O$5))</f>
        <v/>
      </c>
      <c r="P695" s="322">
        <f>SUM(D695:O695)</f>
        <v/>
      </c>
      <c r="Q695" s="118" t="n"/>
    </row>
    <row r="696" hidden="1" outlineLevel="1" ht="15" customHeight="1">
      <c r="A696" s="269" t="n">
        <v>346</v>
      </c>
      <c r="B696" s="125" t="n"/>
      <c r="C696" s="119" t="inlineStr">
        <is>
          <t>Kế hoạch</t>
        </is>
      </c>
      <c r="D696" s="321">
        <f>SUMIFS(DATA!$I:$I,DATA!$C:$C,$B696,DATA!$J:$J,"&gt;="&amp;DATE($I$2,D$4,1),DATA!$J:$J,"&lt;="&amp;DATE($I$2,D$4,D$5))</f>
        <v/>
      </c>
      <c r="E696" s="321">
        <f>SUMIFS(DATA!$I:$I,DATA!$C:$C,$B696,DATA!$J:$J,"&gt;="&amp;DATE($I$2,E$4,1),DATA!$J:$J,"&lt;="&amp;DATE($I$2,E$4,E$5))</f>
        <v/>
      </c>
      <c r="F696" s="321">
        <f>SUMIFS(DATA!$I:$I,DATA!$C:$C,$B696,DATA!$J:$J,"&gt;="&amp;DATE($I$2,F$4,1),DATA!$J:$J,"&lt;="&amp;DATE($I$2,F$4,F$5))</f>
        <v/>
      </c>
      <c r="G696" s="321">
        <f>SUMIFS(DATA!$I:$I,DATA!$C:$C,$B696,DATA!$J:$J,"&gt;="&amp;DATE($I$2,G$4,1),DATA!$J:$J,"&lt;="&amp;DATE($I$2,G$4,G$5))</f>
        <v/>
      </c>
      <c r="H696" s="321">
        <f>SUMIFS(DATA!$I:$I,DATA!$C:$C,$B696,DATA!$J:$J,"&gt;="&amp;DATE($I$2,H$4,1),DATA!$J:$J,"&lt;="&amp;DATE($I$2,H$4,H$5))</f>
        <v/>
      </c>
      <c r="I696" s="321">
        <f>SUMIFS(DATA!$I:$I,DATA!$C:$C,$B696,DATA!$J:$J,"&gt;="&amp;DATE($I$2,I$4,1),DATA!$J:$J,"&lt;="&amp;DATE($I$2,I$4,I$5))</f>
        <v/>
      </c>
      <c r="J696" s="321">
        <f>SUMIFS(DATA!$I:$I,DATA!$C:$C,$B696,DATA!$J:$J,"&gt;="&amp;DATE($I$2,J$4,1),DATA!$J:$J,"&lt;="&amp;DATE($I$2,J$4,J$5))</f>
        <v/>
      </c>
      <c r="K696" s="321">
        <f>SUMIFS(DATA!$I:$I,DATA!$C:$C,$B696,DATA!$J:$J,"&gt;="&amp;DATE($I$2,K$4,1),DATA!$J:$J,"&lt;="&amp;DATE($I$2,K$4,K$5))</f>
        <v/>
      </c>
      <c r="L696" s="321">
        <f>SUMIFS(DATA!$I:$I,DATA!$C:$C,$B696,DATA!$J:$J,"&gt;="&amp;DATE($I$2,L$4,1),DATA!$J:$J,"&lt;="&amp;DATE($I$2,L$4,L$5))</f>
        <v/>
      </c>
      <c r="M696" s="321">
        <f>SUMIFS(DATA!$I:$I,DATA!$C:$C,$B696,DATA!$J:$J,"&gt;="&amp;DATE($I$2,M$4,1),DATA!$J:$J,"&lt;="&amp;DATE($I$2,M$4,M$5))</f>
        <v/>
      </c>
      <c r="N696" s="321">
        <f>SUMIFS(DATA!$I:$I,DATA!$C:$C,$B696,DATA!$J:$J,"&gt;="&amp;DATE($I$2,N$4,1),DATA!$J:$J,"&lt;="&amp;DATE($I$2,N$4,N$5))</f>
        <v/>
      </c>
      <c r="O696" s="321">
        <f>SUMIFS(DATA!$I:$I,DATA!$C:$C,$B696,DATA!$J:$J,"&gt;="&amp;DATE($I$2,O$4,1),DATA!$J:$J,"&lt;="&amp;DATE($I$2,O$4,O$5))</f>
        <v/>
      </c>
      <c r="P696" s="322">
        <f>SUM(D696:O696)</f>
        <v/>
      </c>
      <c r="Q696" s="118" t="n"/>
    </row>
    <row r="697" hidden="1" outlineLevel="1" ht="15" customHeight="1">
      <c r="A697" s="266" t="n"/>
      <c r="B697" s="126" t="n"/>
      <c r="C697" s="119" t="inlineStr">
        <is>
          <t>Thực tế</t>
        </is>
      </c>
      <c r="D697" s="321">
        <f>SUMIFS(DATA!$M:$M,DATA!$C:$C,$B696,DATA!$N:$N,"&gt;="&amp;DATE($I$2,D$4,1),DATA!$N:$N,"&lt;="&amp;DATE($I$2,D$4,D$5))</f>
        <v/>
      </c>
      <c r="E697" s="321">
        <f>SUMIFS(DATA!$M:$M,DATA!$C:$C,$B696,DATA!$N:$N,"&gt;="&amp;DATE($I$2,E$4,1),DATA!$N:$N,"&lt;="&amp;DATE($I$2,E$4,E$5))</f>
        <v/>
      </c>
      <c r="F697" s="321">
        <f>SUMIFS(DATA!$M:$M,DATA!$C:$C,$B696,DATA!$N:$N,"&gt;="&amp;DATE($I$2,F$4,1),DATA!$N:$N,"&lt;="&amp;DATE($I$2,F$4,F$5))</f>
        <v/>
      </c>
      <c r="G697" s="321">
        <f>SUMIFS(DATA!$M:$M,DATA!$C:$C,$B696,DATA!$N:$N,"&gt;="&amp;DATE($I$2,G$4,1),DATA!$N:$N,"&lt;="&amp;DATE($I$2,G$4,G$5))</f>
        <v/>
      </c>
      <c r="H697" s="321">
        <f>SUMIFS(DATA!$M:$M,DATA!$C:$C,$B696,DATA!$N:$N,"&gt;="&amp;DATE($I$2,H$4,1),DATA!$N:$N,"&lt;="&amp;DATE($I$2,H$4,H$5))</f>
        <v/>
      </c>
      <c r="I697" s="321">
        <f>SUMIFS(DATA!$M:$M,DATA!$C:$C,$B696,DATA!$N:$N,"&gt;="&amp;DATE($I$2,I$4,1),DATA!$N:$N,"&lt;="&amp;DATE($I$2,I$4,I$5))</f>
        <v/>
      </c>
      <c r="J697" s="321">
        <f>SUMIFS(DATA!$M:$M,DATA!$C:$C,$B696,DATA!$N:$N,"&gt;="&amp;DATE($I$2,J$4,1),DATA!$N:$N,"&lt;="&amp;DATE($I$2,J$4,J$5))</f>
        <v/>
      </c>
      <c r="K697" s="321">
        <f>SUMIFS(DATA!$M:$M,DATA!$C:$C,$B696,DATA!$N:$N,"&gt;="&amp;DATE($I$2,K$4,1),DATA!$N:$N,"&lt;="&amp;DATE($I$2,K$4,K$5))</f>
        <v/>
      </c>
      <c r="L697" s="321">
        <f>SUMIFS(DATA!$M:$M,DATA!$C:$C,$B696,DATA!$N:$N,"&gt;="&amp;DATE($I$2,L$4,1),DATA!$N:$N,"&lt;="&amp;DATE($I$2,L$4,L$5))</f>
        <v/>
      </c>
      <c r="M697" s="321">
        <f>SUMIFS(DATA!$M:$M,DATA!$C:$C,$B696,DATA!$N:$N,"&gt;="&amp;DATE($I$2,M$4,1),DATA!$N:$N,"&lt;="&amp;DATE($I$2,M$4,M$5))</f>
        <v/>
      </c>
      <c r="N697" s="321">
        <f>SUMIFS(DATA!$M:$M,DATA!$C:$C,$B696,DATA!$N:$N,"&gt;="&amp;DATE($I$2,N$4,1),DATA!$N:$N,"&lt;="&amp;DATE($I$2,N$4,N$5))</f>
        <v/>
      </c>
      <c r="O697" s="321">
        <f>SUMIFS(DATA!$M:$M,DATA!$C:$C,$B696,DATA!$N:$N,"&gt;="&amp;DATE($I$2,O$4,1),DATA!$N:$N,"&lt;="&amp;DATE($I$2,O$4,O$5))</f>
        <v/>
      </c>
      <c r="P697" s="322">
        <f>SUM(D697:O697)</f>
        <v/>
      </c>
      <c r="Q697" s="118" t="n"/>
    </row>
    <row r="698" hidden="1" outlineLevel="1" ht="15" customHeight="1">
      <c r="A698" s="269" t="n">
        <v>347</v>
      </c>
      <c r="B698" s="125" t="n"/>
      <c r="C698" s="119" t="inlineStr">
        <is>
          <t>Kế hoạch</t>
        </is>
      </c>
      <c r="D698" s="321">
        <f>SUMIFS(DATA!$I:$I,DATA!$C:$C,$B698,DATA!$J:$J,"&gt;="&amp;DATE($I$2,D$4,1),DATA!$J:$J,"&lt;="&amp;DATE($I$2,D$4,D$5))</f>
        <v/>
      </c>
      <c r="E698" s="321">
        <f>SUMIFS(DATA!$I:$I,DATA!$C:$C,$B698,DATA!$J:$J,"&gt;="&amp;DATE($I$2,E$4,1),DATA!$J:$J,"&lt;="&amp;DATE($I$2,E$4,E$5))</f>
        <v/>
      </c>
      <c r="F698" s="321">
        <f>SUMIFS(DATA!$I:$I,DATA!$C:$C,$B698,DATA!$J:$J,"&gt;="&amp;DATE($I$2,F$4,1),DATA!$J:$J,"&lt;="&amp;DATE($I$2,F$4,F$5))</f>
        <v/>
      </c>
      <c r="G698" s="321">
        <f>SUMIFS(DATA!$I:$I,DATA!$C:$C,$B698,DATA!$J:$J,"&gt;="&amp;DATE($I$2,G$4,1),DATA!$J:$J,"&lt;="&amp;DATE($I$2,G$4,G$5))</f>
        <v/>
      </c>
      <c r="H698" s="321">
        <f>SUMIFS(DATA!$I:$I,DATA!$C:$C,$B698,DATA!$J:$J,"&gt;="&amp;DATE($I$2,H$4,1),DATA!$J:$J,"&lt;="&amp;DATE($I$2,H$4,H$5))</f>
        <v/>
      </c>
      <c r="I698" s="321">
        <f>SUMIFS(DATA!$I:$I,DATA!$C:$C,$B698,DATA!$J:$J,"&gt;="&amp;DATE($I$2,I$4,1),DATA!$J:$J,"&lt;="&amp;DATE($I$2,I$4,I$5))</f>
        <v/>
      </c>
      <c r="J698" s="321">
        <f>SUMIFS(DATA!$I:$I,DATA!$C:$C,$B698,DATA!$J:$J,"&gt;="&amp;DATE($I$2,J$4,1),DATA!$J:$J,"&lt;="&amp;DATE($I$2,J$4,J$5))</f>
        <v/>
      </c>
      <c r="K698" s="321">
        <f>SUMIFS(DATA!$I:$I,DATA!$C:$C,$B698,DATA!$J:$J,"&gt;="&amp;DATE($I$2,K$4,1),DATA!$J:$J,"&lt;="&amp;DATE($I$2,K$4,K$5))</f>
        <v/>
      </c>
      <c r="L698" s="321">
        <f>SUMIFS(DATA!$I:$I,DATA!$C:$C,$B698,DATA!$J:$J,"&gt;="&amp;DATE($I$2,L$4,1),DATA!$J:$J,"&lt;="&amp;DATE($I$2,L$4,L$5))</f>
        <v/>
      </c>
      <c r="M698" s="321">
        <f>SUMIFS(DATA!$I:$I,DATA!$C:$C,$B698,DATA!$J:$J,"&gt;="&amp;DATE($I$2,M$4,1),DATA!$J:$J,"&lt;="&amp;DATE($I$2,M$4,M$5))</f>
        <v/>
      </c>
      <c r="N698" s="321">
        <f>SUMIFS(DATA!$I:$I,DATA!$C:$C,$B698,DATA!$J:$J,"&gt;="&amp;DATE($I$2,N$4,1),DATA!$J:$J,"&lt;="&amp;DATE($I$2,N$4,N$5))</f>
        <v/>
      </c>
      <c r="O698" s="321">
        <f>SUMIFS(DATA!$I:$I,DATA!$C:$C,$B698,DATA!$J:$J,"&gt;="&amp;DATE($I$2,O$4,1),DATA!$J:$J,"&lt;="&amp;DATE($I$2,O$4,O$5))</f>
        <v/>
      </c>
      <c r="P698" s="322">
        <f>SUM(D698:O698)</f>
        <v/>
      </c>
      <c r="Q698" s="118" t="n"/>
    </row>
    <row r="699" hidden="1" outlineLevel="1" ht="15" customHeight="1">
      <c r="A699" s="266" t="n"/>
      <c r="B699" s="126" t="n"/>
      <c r="C699" s="119" t="inlineStr">
        <is>
          <t>Thực tế</t>
        </is>
      </c>
      <c r="D699" s="321">
        <f>SUMIFS(DATA!$M:$M,DATA!$C:$C,$B698,DATA!$N:$N,"&gt;="&amp;DATE($I$2,D$4,1),DATA!$N:$N,"&lt;="&amp;DATE($I$2,D$4,D$5))</f>
        <v/>
      </c>
      <c r="E699" s="321">
        <f>SUMIFS(DATA!$M:$M,DATA!$C:$C,$B698,DATA!$N:$N,"&gt;="&amp;DATE($I$2,E$4,1),DATA!$N:$N,"&lt;="&amp;DATE($I$2,E$4,E$5))</f>
        <v/>
      </c>
      <c r="F699" s="321">
        <f>SUMIFS(DATA!$M:$M,DATA!$C:$C,$B698,DATA!$N:$N,"&gt;="&amp;DATE($I$2,F$4,1),DATA!$N:$N,"&lt;="&amp;DATE($I$2,F$4,F$5))</f>
        <v/>
      </c>
      <c r="G699" s="321">
        <f>SUMIFS(DATA!$M:$M,DATA!$C:$C,$B698,DATA!$N:$N,"&gt;="&amp;DATE($I$2,G$4,1),DATA!$N:$N,"&lt;="&amp;DATE($I$2,G$4,G$5))</f>
        <v/>
      </c>
      <c r="H699" s="321">
        <f>SUMIFS(DATA!$M:$M,DATA!$C:$C,$B698,DATA!$N:$N,"&gt;="&amp;DATE($I$2,H$4,1),DATA!$N:$N,"&lt;="&amp;DATE($I$2,H$4,H$5))</f>
        <v/>
      </c>
      <c r="I699" s="321">
        <f>SUMIFS(DATA!$M:$M,DATA!$C:$C,$B698,DATA!$N:$N,"&gt;="&amp;DATE($I$2,I$4,1),DATA!$N:$N,"&lt;="&amp;DATE($I$2,I$4,I$5))</f>
        <v/>
      </c>
      <c r="J699" s="321">
        <f>SUMIFS(DATA!$M:$M,DATA!$C:$C,$B698,DATA!$N:$N,"&gt;="&amp;DATE($I$2,J$4,1),DATA!$N:$N,"&lt;="&amp;DATE($I$2,J$4,J$5))</f>
        <v/>
      </c>
      <c r="K699" s="321">
        <f>SUMIFS(DATA!$M:$M,DATA!$C:$C,$B698,DATA!$N:$N,"&gt;="&amp;DATE($I$2,K$4,1),DATA!$N:$N,"&lt;="&amp;DATE($I$2,K$4,K$5))</f>
        <v/>
      </c>
      <c r="L699" s="321">
        <f>SUMIFS(DATA!$M:$M,DATA!$C:$C,$B698,DATA!$N:$N,"&gt;="&amp;DATE($I$2,L$4,1),DATA!$N:$N,"&lt;="&amp;DATE($I$2,L$4,L$5))</f>
        <v/>
      </c>
      <c r="M699" s="321">
        <f>SUMIFS(DATA!$M:$M,DATA!$C:$C,$B698,DATA!$N:$N,"&gt;="&amp;DATE($I$2,M$4,1),DATA!$N:$N,"&lt;="&amp;DATE($I$2,M$4,M$5))</f>
        <v/>
      </c>
      <c r="N699" s="321">
        <f>SUMIFS(DATA!$M:$M,DATA!$C:$C,$B698,DATA!$N:$N,"&gt;="&amp;DATE($I$2,N$4,1),DATA!$N:$N,"&lt;="&amp;DATE($I$2,N$4,N$5))</f>
        <v/>
      </c>
      <c r="O699" s="321">
        <f>SUMIFS(DATA!$M:$M,DATA!$C:$C,$B698,DATA!$N:$N,"&gt;="&amp;DATE($I$2,O$4,1),DATA!$N:$N,"&lt;="&amp;DATE($I$2,O$4,O$5))</f>
        <v/>
      </c>
      <c r="P699" s="322">
        <f>SUM(D699:O699)</f>
        <v/>
      </c>
      <c r="Q699" s="118" t="n"/>
    </row>
    <row r="700" hidden="1" outlineLevel="1" ht="15" customHeight="1">
      <c r="A700" s="269" t="n">
        <v>348</v>
      </c>
      <c r="B700" s="125" t="n"/>
      <c r="C700" s="119" t="inlineStr">
        <is>
          <t>Kế hoạch</t>
        </is>
      </c>
      <c r="D700" s="321">
        <f>SUMIFS(DATA!$I:$I,DATA!$C:$C,$B700,DATA!$J:$J,"&gt;="&amp;DATE($I$2,D$4,1),DATA!$J:$J,"&lt;="&amp;DATE($I$2,D$4,D$5))</f>
        <v/>
      </c>
      <c r="E700" s="321">
        <f>SUMIFS(DATA!$I:$I,DATA!$C:$C,$B700,DATA!$J:$J,"&gt;="&amp;DATE($I$2,E$4,1),DATA!$J:$J,"&lt;="&amp;DATE($I$2,E$4,E$5))</f>
        <v/>
      </c>
      <c r="F700" s="321">
        <f>SUMIFS(DATA!$I:$I,DATA!$C:$C,$B700,DATA!$J:$J,"&gt;="&amp;DATE($I$2,F$4,1),DATA!$J:$J,"&lt;="&amp;DATE($I$2,F$4,F$5))</f>
        <v/>
      </c>
      <c r="G700" s="321">
        <f>SUMIFS(DATA!$I:$I,DATA!$C:$C,$B700,DATA!$J:$J,"&gt;="&amp;DATE($I$2,G$4,1),DATA!$J:$J,"&lt;="&amp;DATE($I$2,G$4,G$5))</f>
        <v/>
      </c>
      <c r="H700" s="321">
        <f>SUMIFS(DATA!$I:$I,DATA!$C:$C,$B700,DATA!$J:$J,"&gt;="&amp;DATE($I$2,H$4,1),DATA!$J:$J,"&lt;="&amp;DATE($I$2,H$4,H$5))</f>
        <v/>
      </c>
      <c r="I700" s="321">
        <f>SUMIFS(DATA!$I:$I,DATA!$C:$C,$B700,DATA!$J:$J,"&gt;="&amp;DATE($I$2,I$4,1),DATA!$J:$J,"&lt;="&amp;DATE($I$2,I$4,I$5))</f>
        <v/>
      </c>
      <c r="J700" s="321">
        <f>SUMIFS(DATA!$I:$I,DATA!$C:$C,$B700,DATA!$J:$J,"&gt;="&amp;DATE($I$2,J$4,1),DATA!$J:$J,"&lt;="&amp;DATE($I$2,J$4,J$5))</f>
        <v/>
      </c>
      <c r="K700" s="321">
        <f>SUMIFS(DATA!$I:$I,DATA!$C:$C,$B700,DATA!$J:$J,"&gt;="&amp;DATE($I$2,K$4,1),DATA!$J:$J,"&lt;="&amp;DATE($I$2,K$4,K$5))</f>
        <v/>
      </c>
      <c r="L700" s="321">
        <f>SUMIFS(DATA!$I:$I,DATA!$C:$C,$B700,DATA!$J:$J,"&gt;="&amp;DATE($I$2,L$4,1),DATA!$J:$J,"&lt;="&amp;DATE($I$2,L$4,L$5))</f>
        <v/>
      </c>
      <c r="M700" s="321">
        <f>SUMIFS(DATA!$I:$I,DATA!$C:$C,$B700,DATA!$J:$J,"&gt;="&amp;DATE($I$2,M$4,1),DATA!$J:$J,"&lt;="&amp;DATE($I$2,M$4,M$5))</f>
        <v/>
      </c>
      <c r="N700" s="321">
        <f>SUMIFS(DATA!$I:$I,DATA!$C:$C,$B700,DATA!$J:$J,"&gt;="&amp;DATE($I$2,N$4,1),DATA!$J:$J,"&lt;="&amp;DATE($I$2,N$4,N$5))</f>
        <v/>
      </c>
      <c r="O700" s="321">
        <f>SUMIFS(DATA!$I:$I,DATA!$C:$C,$B700,DATA!$J:$J,"&gt;="&amp;DATE($I$2,O$4,1),DATA!$J:$J,"&lt;="&amp;DATE($I$2,O$4,O$5))</f>
        <v/>
      </c>
      <c r="P700" s="322">
        <f>SUM(D700:O700)</f>
        <v/>
      </c>
      <c r="Q700" s="118" t="n"/>
    </row>
    <row r="701" hidden="1" outlineLevel="1" ht="15" customHeight="1">
      <c r="A701" s="266" t="n"/>
      <c r="B701" s="126" t="n"/>
      <c r="C701" s="119" t="inlineStr">
        <is>
          <t>Thực tế</t>
        </is>
      </c>
      <c r="D701" s="321">
        <f>SUMIFS(DATA!$M:$M,DATA!$C:$C,$B700,DATA!$N:$N,"&gt;="&amp;DATE($I$2,D$4,1),DATA!$N:$N,"&lt;="&amp;DATE($I$2,D$4,D$5))</f>
        <v/>
      </c>
      <c r="E701" s="321">
        <f>SUMIFS(DATA!$M:$M,DATA!$C:$C,$B700,DATA!$N:$N,"&gt;="&amp;DATE($I$2,E$4,1),DATA!$N:$N,"&lt;="&amp;DATE($I$2,E$4,E$5))</f>
        <v/>
      </c>
      <c r="F701" s="321">
        <f>SUMIFS(DATA!$M:$M,DATA!$C:$C,$B700,DATA!$N:$N,"&gt;="&amp;DATE($I$2,F$4,1),DATA!$N:$N,"&lt;="&amp;DATE($I$2,F$4,F$5))</f>
        <v/>
      </c>
      <c r="G701" s="321">
        <f>SUMIFS(DATA!$M:$M,DATA!$C:$C,$B700,DATA!$N:$N,"&gt;="&amp;DATE($I$2,G$4,1),DATA!$N:$N,"&lt;="&amp;DATE($I$2,G$4,G$5))</f>
        <v/>
      </c>
      <c r="H701" s="321">
        <f>SUMIFS(DATA!$M:$M,DATA!$C:$C,$B700,DATA!$N:$N,"&gt;="&amp;DATE($I$2,H$4,1),DATA!$N:$N,"&lt;="&amp;DATE($I$2,H$4,H$5))</f>
        <v/>
      </c>
      <c r="I701" s="321">
        <f>SUMIFS(DATA!$M:$M,DATA!$C:$C,$B700,DATA!$N:$N,"&gt;="&amp;DATE($I$2,I$4,1),DATA!$N:$N,"&lt;="&amp;DATE($I$2,I$4,I$5))</f>
        <v/>
      </c>
      <c r="J701" s="321">
        <f>SUMIFS(DATA!$M:$M,DATA!$C:$C,$B700,DATA!$N:$N,"&gt;="&amp;DATE($I$2,J$4,1),DATA!$N:$N,"&lt;="&amp;DATE($I$2,J$4,J$5))</f>
        <v/>
      </c>
      <c r="K701" s="321">
        <f>SUMIFS(DATA!$M:$M,DATA!$C:$C,$B700,DATA!$N:$N,"&gt;="&amp;DATE($I$2,K$4,1),DATA!$N:$N,"&lt;="&amp;DATE($I$2,K$4,K$5))</f>
        <v/>
      </c>
      <c r="L701" s="321">
        <f>SUMIFS(DATA!$M:$M,DATA!$C:$C,$B700,DATA!$N:$N,"&gt;="&amp;DATE($I$2,L$4,1),DATA!$N:$N,"&lt;="&amp;DATE($I$2,L$4,L$5))</f>
        <v/>
      </c>
      <c r="M701" s="321">
        <f>SUMIFS(DATA!$M:$M,DATA!$C:$C,$B700,DATA!$N:$N,"&gt;="&amp;DATE($I$2,M$4,1),DATA!$N:$N,"&lt;="&amp;DATE($I$2,M$4,M$5))</f>
        <v/>
      </c>
      <c r="N701" s="321">
        <f>SUMIFS(DATA!$M:$M,DATA!$C:$C,$B700,DATA!$N:$N,"&gt;="&amp;DATE($I$2,N$4,1),DATA!$N:$N,"&lt;="&amp;DATE($I$2,N$4,N$5))</f>
        <v/>
      </c>
      <c r="O701" s="321">
        <f>SUMIFS(DATA!$M:$M,DATA!$C:$C,$B700,DATA!$N:$N,"&gt;="&amp;DATE($I$2,O$4,1),DATA!$N:$N,"&lt;="&amp;DATE($I$2,O$4,O$5))</f>
        <v/>
      </c>
      <c r="P701" s="322">
        <f>SUM(D701:O701)</f>
        <v/>
      </c>
      <c r="Q701" s="118" t="n"/>
    </row>
    <row r="702" hidden="1" outlineLevel="1" ht="15" customHeight="1">
      <c r="A702" s="269" t="n">
        <v>349</v>
      </c>
      <c r="B702" s="125" t="n"/>
      <c r="C702" s="119" t="inlineStr">
        <is>
          <t>Kế hoạch</t>
        </is>
      </c>
      <c r="D702" s="321">
        <f>SUMIFS(DATA!$I:$I,DATA!$C:$C,$B702,DATA!$J:$J,"&gt;="&amp;DATE($I$2,D$4,1),DATA!$J:$J,"&lt;="&amp;DATE($I$2,D$4,D$5))</f>
        <v/>
      </c>
      <c r="E702" s="321">
        <f>SUMIFS(DATA!$I:$I,DATA!$C:$C,$B702,DATA!$J:$J,"&gt;="&amp;DATE($I$2,E$4,1),DATA!$J:$J,"&lt;="&amp;DATE($I$2,E$4,E$5))</f>
        <v/>
      </c>
      <c r="F702" s="321">
        <f>SUMIFS(DATA!$I:$I,DATA!$C:$C,$B702,DATA!$J:$J,"&gt;="&amp;DATE($I$2,F$4,1),DATA!$J:$J,"&lt;="&amp;DATE($I$2,F$4,F$5))</f>
        <v/>
      </c>
      <c r="G702" s="321">
        <f>SUMIFS(DATA!$I:$I,DATA!$C:$C,$B702,DATA!$J:$J,"&gt;="&amp;DATE($I$2,G$4,1),DATA!$J:$J,"&lt;="&amp;DATE($I$2,G$4,G$5))</f>
        <v/>
      </c>
      <c r="H702" s="321">
        <f>SUMIFS(DATA!$I:$I,DATA!$C:$C,$B702,DATA!$J:$J,"&gt;="&amp;DATE($I$2,H$4,1),DATA!$J:$J,"&lt;="&amp;DATE($I$2,H$4,H$5))</f>
        <v/>
      </c>
      <c r="I702" s="321">
        <f>SUMIFS(DATA!$I:$I,DATA!$C:$C,$B702,DATA!$J:$J,"&gt;="&amp;DATE($I$2,I$4,1),DATA!$J:$J,"&lt;="&amp;DATE($I$2,I$4,I$5))</f>
        <v/>
      </c>
      <c r="J702" s="321">
        <f>SUMIFS(DATA!$I:$I,DATA!$C:$C,$B702,DATA!$J:$J,"&gt;="&amp;DATE($I$2,J$4,1),DATA!$J:$J,"&lt;="&amp;DATE($I$2,J$4,J$5))</f>
        <v/>
      </c>
      <c r="K702" s="321">
        <f>SUMIFS(DATA!$I:$I,DATA!$C:$C,$B702,DATA!$J:$J,"&gt;="&amp;DATE($I$2,K$4,1),DATA!$J:$J,"&lt;="&amp;DATE($I$2,K$4,K$5))</f>
        <v/>
      </c>
      <c r="L702" s="321">
        <f>SUMIFS(DATA!$I:$I,DATA!$C:$C,$B702,DATA!$J:$J,"&gt;="&amp;DATE($I$2,L$4,1),DATA!$J:$J,"&lt;="&amp;DATE($I$2,L$4,L$5))</f>
        <v/>
      </c>
      <c r="M702" s="321">
        <f>SUMIFS(DATA!$I:$I,DATA!$C:$C,$B702,DATA!$J:$J,"&gt;="&amp;DATE($I$2,M$4,1),DATA!$J:$J,"&lt;="&amp;DATE($I$2,M$4,M$5))</f>
        <v/>
      </c>
      <c r="N702" s="321">
        <f>SUMIFS(DATA!$I:$I,DATA!$C:$C,$B702,DATA!$J:$J,"&gt;="&amp;DATE($I$2,N$4,1),DATA!$J:$J,"&lt;="&amp;DATE($I$2,N$4,N$5))</f>
        <v/>
      </c>
      <c r="O702" s="321">
        <f>SUMIFS(DATA!$I:$I,DATA!$C:$C,$B702,DATA!$J:$J,"&gt;="&amp;DATE($I$2,O$4,1),DATA!$J:$J,"&lt;="&amp;DATE($I$2,O$4,O$5))</f>
        <v/>
      </c>
      <c r="P702" s="322">
        <f>SUM(D702:O702)</f>
        <v/>
      </c>
      <c r="Q702" s="118" t="n"/>
    </row>
    <row r="703" hidden="1" outlineLevel="1" ht="15" customHeight="1">
      <c r="A703" s="266" t="n"/>
      <c r="B703" s="126" t="n"/>
      <c r="C703" s="119" t="inlineStr">
        <is>
          <t>Thực tế</t>
        </is>
      </c>
      <c r="D703" s="321">
        <f>SUMIFS(DATA!$M:$M,DATA!$C:$C,$B702,DATA!$N:$N,"&gt;="&amp;DATE($I$2,D$4,1),DATA!$N:$N,"&lt;="&amp;DATE($I$2,D$4,D$5))</f>
        <v/>
      </c>
      <c r="E703" s="321">
        <f>SUMIFS(DATA!$M:$M,DATA!$C:$C,$B702,DATA!$N:$N,"&gt;="&amp;DATE($I$2,E$4,1),DATA!$N:$N,"&lt;="&amp;DATE($I$2,E$4,E$5))</f>
        <v/>
      </c>
      <c r="F703" s="321">
        <f>SUMIFS(DATA!$M:$M,DATA!$C:$C,$B702,DATA!$N:$N,"&gt;="&amp;DATE($I$2,F$4,1),DATA!$N:$N,"&lt;="&amp;DATE($I$2,F$4,F$5))</f>
        <v/>
      </c>
      <c r="G703" s="321">
        <f>SUMIFS(DATA!$M:$M,DATA!$C:$C,$B702,DATA!$N:$N,"&gt;="&amp;DATE($I$2,G$4,1),DATA!$N:$N,"&lt;="&amp;DATE($I$2,G$4,G$5))</f>
        <v/>
      </c>
      <c r="H703" s="321">
        <f>SUMIFS(DATA!$M:$M,DATA!$C:$C,$B702,DATA!$N:$N,"&gt;="&amp;DATE($I$2,H$4,1),DATA!$N:$N,"&lt;="&amp;DATE($I$2,H$4,H$5))</f>
        <v/>
      </c>
      <c r="I703" s="321">
        <f>SUMIFS(DATA!$M:$M,DATA!$C:$C,$B702,DATA!$N:$N,"&gt;="&amp;DATE($I$2,I$4,1),DATA!$N:$N,"&lt;="&amp;DATE($I$2,I$4,I$5))</f>
        <v/>
      </c>
      <c r="J703" s="321">
        <f>SUMIFS(DATA!$M:$M,DATA!$C:$C,$B702,DATA!$N:$N,"&gt;="&amp;DATE($I$2,J$4,1),DATA!$N:$N,"&lt;="&amp;DATE($I$2,J$4,J$5))</f>
        <v/>
      </c>
      <c r="K703" s="321">
        <f>SUMIFS(DATA!$M:$M,DATA!$C:$C,$B702,DATA!$N:$N,"&gt;="&amp;DATE($I$2,K$4,1),DATA!$N:$N,"&lt;="&amp;DATE($I$2,K$4,K$5))</f>
        <v/>
      </c>
      <c r="L703" s="321">
        <f>SUMIFS(DATA!$M:$M,DATA!$C:$C,$B702,DATA!$N:$N,"&gt;="&amp;DATE($I$2,L$4,1),DATA!$N:$N,"&lt;="&amp;DATE($I$2,L$4,L$5))</f>
        <v/>
      </c>
      <c r="M703" s="321">
        <f>SUMIFS(DATA!$M:$M,DATA!$C:$C,$B702,DATA!$N:$N,"&gt;="&amp;DATE($I$2,M$4,1),DATA!$N:$N,"&lt;="&amp;DATE($I$2,M$4,M$5))</f>
        <v/>
      </c>
      <c r="N703" s="321">
        <f>SUMIFS(DATA!$M:$M,DATA!$C:$C,$B702,DATA!$N:$N,"&gt;="&amp;DATE($I$2,N$4,1),DATA!$N:$N,"&lt;="&amp;DATE($I$2,N$4,N$5))</f>
        <v/>
      </c>
      <c r="O703" s="321">
        <f>SUMIFS(DATA!$M:$M,DATA!$C:$C,$B702,DATA!$N:$N,"&gt;="&amp;DATE($I$2,O$4,1),DATA!$N:$N,"&lt;="&amp;DATE($I$2,O$4,O$5))</f>
        <v/>
      </c>
      <c r="P703" s="322">
        <f>SUM(D703:O703)</f>
        <v/>
      </c>
      <c r="Q703" s="118" t="n"/>
    </row>
    <row r="704" hidden="1" outlineLevel="1" ht="15" customHeight="1">
      <c r="A704" s="269" t="n">
        <v>350</v>
      </c>
      <c r="B704" s="125" t="n"/>
      <c r="C704" s="119" t="inlineStr">
        <is>
          <t>Kế hoạch</t>
        </is>
      </c>
      <c r="D704" s="321">
        <f>SUMIFS(DATA!$I:$I,DATA!$C:$C,$B704,DATA!$J:$J,"&gt;="&amp;DATE($I$2,D$4,1),DATA!$J:$J,"&lt;="&amp;DATE($I$2,D$4,D$5))</f>
        <v/>
      </c>
      <c r="E704" s="321">
        <f>SUMIFS(DATA!$I:$I,DATA!$C:$C,$B704,DATA!$J:$J,"&gt;="&amp;DATE($I$2,E$4,1),DATA!$J:$J,"&lt;="&amp;DATE($I$2,E$4,E$5))</f>
        <v/>
      </c>
      <c r="F704" s="321">
        <f>SUMIFS(DATA!$I:$I,DATA!$C:$C,$B704,DATA!$J:$J,"&gt;="&amp;DATE($I$2,F$4,1),DATA!$J:$J,"&lt;="&amp;DATE($I$2,F$4,F$5))</f>
        <v/>
      </c>
      <c r="G704" s="321">
        <f>SUMIFS(DATA!$I:$I,DATA!$C:$C,$B704,DATA!$J:$J,"&gt;="&amp;DATE($I$2,G$4,1),DATA!$J:$J,"&lt;="&amp;DATE($I$2,G$4,G$5))</f>
        <v/>
      </c>
      <c r="H704" s="321">
        <f>SUMIFS(DATA!$I:$I,DATA!$C:$C,$B704,DATA!$J:$J,"&gt;="&amp;DATE($I$2,H$4,1),DATA!$J:$J,"&lt;="&amp;DATE($I$2,H$4,H$5))</f>
        <v/>
      </c>
      <c r="I704" s="321">
        <f>SUMIFS(DATA!$I:$I,DATA!$C:$C,$B704,DATA!$J:$J,"&gt;="&amp;DATE($I$2,I$4,1),DATA!$J:$J,"&lt;="&amp;DATE($I$2,I$4,I$5))</f>
        <v/>
      </c>
      <c r="J704" s="321">
        <f>SUMIFS(DATA!$I:$I,DATA!$C:$C,$B704,DATA!$J:$J,"&gt;="&amp;DATE($I$2,J$4,1),DATA!$J:$J,"&lt;="&amp;DATE($I$2,J$4,J$5))</f>
        <v/>
      </c>
      <c r="K704" s="321">
        <f>SUMIFS(DATA!$I:$I,DATA!$C:$C,$B704,DATA!$J:$J,"&gt;="&amp;DATE($I$2,K$4,1),DATA!$J:$J,"&lt;="&amp;DATE($I$2,K$4,K$5))</f>
        <v/>
      </c>
      <c r="L704" s="321">
        <f>SUMIFS(DATA!$I:$I,DATA!$C:$C,$B704,DATA!$J:$J,"&gt;="&amp;DATE($I$2,L$4,1),DATA!$J:$J,"&lt;="&amp;DATE($I$2,L$4,L$5))</f>
        <v/>
      </c>
      <c r="M704" s="321">
        <f>SUMIFS(DATA!$I:$I,DATA!$C:$C,$B704,DATA!$J:$J,"&gt;="&amp;DATE($I$2,M$4,1),DATA!$J:$J,"&lt;="&amp;DATE($I$2,M$4,M$5))</f>
        <v/>
      </c>
      <c r="N704" s="321">
        <f>SUMIFS(DATA!$I:$I,DATA!$C:$C,$B704,DATA!$J:$J,"&gt;="&amp;DATE($I$2,N$4,1),DATA!$J:$J,"&lt;="&amp;DATE($I$2,N$4,N$5))</f>
        <v/>
      </c>
      <c r="O704" s="321">
        <f>SUMIFS(DATA!$I:$I,DATA!$C:$C,$B704,DATA!$J:$J,"&gt;="&amp;DATE($I$2,O$4,1),DATA!$J:$J,"&lt;="&amp;DATE($I$2,O$4,O$5))</f>
        <v/>
      </c>
      <c r="P704" s="322">
        <f>SUM(D704:O704)</f>
        <v/>
      </c>
      <c r="Q704" s="118" t="n"/>
    </row>
    <row r="705" hidden="1" outlineLevel="1" ht="15" customHeight="1">
      <c r="A705" s="266" t="n"/>
      <c r="B705" s="126" t="n"/>
      <c r="C705" s="119" t="inlineStr">
        <is>
          <t>Thực tế</t>
        </is>
      </c>
      <c r="D705" s="321">
        <f>SUMIFS(DATA!$M:$M,DATA!$C:$C,$B704,DATA!$N:$N,"&gt;="&amp;DATE($I$2,D$4,1),DATA!$N:$N,"&lt;="&amp;DATE($I$2,D$4,D$5))</f>
        <v/>
      </c>
      <c r="E705" s="321">
        <f>SUMIFS(DATA!$M:$M,DATA!$C:$C,$B704,DATA!$N:$N,"&gt;="&amp;DATE($I$2,E$4,1),DATA!$N:$N,"&lt;="&amp;DATE($I$2,E$4,E$5))</f>
        <v/>
      </c>
      <c r="F705" s="321">
        <f>SUMIFS(DATA!$M:$M,DATA!$C:$C,$B704,DATA!$N:$N,"&gt;="&amp;DATE($I$2,F$4,1),DATA!$N:$N,"&lt;="&amp;DATE($I$2,F$4,F$5))</f>
        <v/>
      </c>
      <c r="G705" s="321">
        <f>SUMIFS(DATA!$M:$M,DATA!$C:$C,$B704,DATA!$N:$N,"&gt;="&amp;DATE($I$2,G$4,1),DATA!$N:$N,"&lt;="&amp;DATE($I$2,G$4,G$5))</f>
        <v/>
      </c>
      <c r="H705" s="321">
        <f>SUMIFS(DATA!$M:$M,DATA!$C:$C,$B704,DATA!$N:$N,"&gt;="&amp;DATE($I$2,H$4,1),DATA!$N:$N,"&lt;="&amp;DATE($I$2,H$4,H$5))</f>
        <v/>
      </c>
      <c r="I705" s="321">
        <f>SUMIFS(DATA!$M:$M,DATA!$C:$C,$B704,DATA!$N:$N,"&gt;="&amp;DATE($I$2,I$4,1),DATA!$N:$N,"&lt;="&amp;DATE($I$2,I$4,I$5))</f>
        <v/>
      </c>
      <c r="J705" s="321">
        <f>SUMIFS(DATA!$M:$M,DATA!$C:$C,$B704,DATA!$N:$N,"&gt;="&amp;DATE($I$2,J$4,1),DATA!$N:$N,"&lt;="&amp;DATE($I$2,J$4,J$5))</f>
        <v/>
      </c>
      <c r="K705" s="321">
        <f>SUMIFS(DATA!$M:$M,DATA!$C:$C,$B704,DATA!$N:$N,"&gt;="&amp;DATE($I$2,K$4,1),DATA!$N:$N,"&lt;="&amp;DATE($I$2,K$4,K$5))</f>
        <v/>
      </c>
      <c r="L705" s="321">
        <f>SUMIFS(DATA!$M:$M,DATA!$C:$C,$B704,DATA!$N:$N,"&gt;="&amp;DATE($I$2,L$4,1),DATA!$N:$N,"&lt;="&amp;DATE($I$2,L$4,L$5))</f>
        <v/>
      </c>
      <c r="M705" s="321">
        <f>SUMIFS(DATA!$M:$M,DATA!$C:$C,$B704,DATA!$N:$N,"&gt;="&amp;DATE($I$2,M$4,1),DATA!$N:$N,"&lt;="&amp;DATE($I$2,M$4,M$5))</f>
        <v/>
      </c>
      <c r="N705" s="321">
        <f>SUMIFS(DATA!$M:$M,DATA!$C:$C,$B704,DATA!$N:$N,"&gt;="&amp;DATE($I$2,N$4,1),DATA!$N:$N,"&lt;="&amp;DATE($I$2,N$4,N$5))</f>
        <v/>
      </c>
      <c r="O705" s="321">
        <f>SUMIFS(DATA!$M:$M,DATA!$C:$C,$B704,DATA!$N:$N,"&gt;="&amp;DATE($I$2,O$4,1),DATA!$N:$N,"&lt;="&amp;DATE($I$2,O$4,O$5))</f>
        <v/>
      </c>
      <c r="P705" s="322">
        <f>SUM(D705:O705)</f>
        <v/>
      </c>
      <c r="Q705" s="118" t="n"/>
    </row>
    <row r="706" hidden="1" outlineLevel="1" ht="15" customHeight="1">
      <c r="A706" s="269" t="n">
        <v>351</v>
      </c>
      <c r="B706" s="125" t="n"/>
      <c r="C706" s="119" t="inlineStr">
        <is>
          <t>Kế hoạch</t>
        </is>
      </c>
      <c r="D706" s="321">
        <f>SUMIFS(DATA!$I:$I,DATA!$C:$C,$B706,DATA!$J:$J,"&gt;="&amp;DATE($I$2,D$4,1),DATA!$J:$J,"&lt;="&amp;DATE($I$2,D$4,D$5))</f>
        <v/>
      </c>
      <c r="E706" s="321">
        <f>SUMIFS(DATA!$I:$I,DATA!$C:$C,$B706,DATA!$J:$J,"&gt;="&amp;DATE($I$2,E$4,1),DATA!$J:$J,"&lt;="&amp;DATE($I$2,E$4,E$5))</f>
        <v/>
      </c>
      <c r="F706" s="321">
        <f>SUMIFS(DATA!$I:$I,DATA!$C:$C,$B706,DATA!$J:$J,"&gt;="&amp;DATE($I$2,F$4,1),DATA!$J:$J,"&lt;="&amp;DATE($I$2,F$4,F$5))</f>
        <v/>
      </c>
      <c r="G706" s="321">
        <f>SUMIFS(DATA!$I:$I,DATA!$C:$C,$B706,DATA!$J:$J,"&gt;="&amp;DATE($I$2,G$4,1),DATA!$J:$J,"&lt;="&amp;DATE($I$2,G$4,G$5))</f>
        <v/>
      </c>
      <c r="H706" s="321">
        <f>SUMIFS(DATA!$I:$I,DATA!$C:$C,$B706,DATA!$J:$J,"&gt;="&amp;DATE($I$2,H$4,1),DATA!$J:$J,"&lt;="&amp;DATE($I$2,H$4,H$5))</f>
        <v/>
      </c>
      <c r="I706" s="321">
        <f>SUMIFS(DATA!$I:$I,DATA!$C:$C,$B706,DATA!$J:$J,"&gt;="&amp;DATE($I$2,I$4,1),DATA!$J:$J,"&lt;="&amp;DATE($I$2,I$4,I$5))</f>
        <v/>
      </c>
      <c r="J706" s="321">
        <f>SUMIFS(DATA!$I:$I,DATA!$C:$C,$B706,DATA!$J:$J,"&gt;="&amp;DATE($I$2,J$4,1),DATA!$J:$J,"&lt;="&amp;DATE($I$2,J$4,J$5))</f>
        <v/>
      </c>
      <c r="K706" s="321">
        <f>SUMIFS(DATA!$I:$I,DATA!$C:$C,$B706,DATA!$J:$J,"&gt;="&amp;DATE($I$2,K$4,1),DATA!$J:$J,"&lt;="&amp;DATE($I$2,K$4,K$5))</f>
        <v/>
      </c>
      <c r="L706" s="321">
        <f>SUMIFS(DATA!$I:$I,DATA!$C:$C,$B706,DATA!$J:$J,"&gt;="&amp;DATE($I$2,L$4,1),DATA!$J:$J,"&lt;="&amp;DATE($I$2,L$4,L$5))</f>
        <v/>
      </c>
      <c r="M706" s="321">
        <f>SUMIFS(DATA!$I:$I,DATA!$C:$C,$B706,DATA!$J:$J,"&gt;="&amp;DATE($I$2,M$4,1),DATA!$J:$J,"&lt;="&amp;DATE($I$2,M$4,M$5))</f>
        <v/>
      </c>
      <c r="N706" s="321">
        <f>SUMIFS(DATA!$I:$I,DATA!$C:$C,$B706,DATA!$J:$J,"&gt;="&amp;DATE($I$2,N$4,1),DATA!$J:$J,"&lt;="&amp;DATE($I$2,N$4,N$5))</f>
        <v/>
      </c>
      <c r="O706" s="321">
        <f>SUMIFS(DATA!$I:$I,DATA!$C:$C,$B706,DATA!$J:$J,"&gt;="&amp;DATE($I$2,O$4,1),DATA!$J:$J,"&lt;="&amp;DATE($I$2,O$4,O$5))</f>
        <v/>
      </c>
      <c r="P706" s="322">
        <f>SUM(D706:O706)</f>
        <v/>
      </c>
      <c r="Q706" s="118" t="n"/>
    </row>
    <row r="707" hidden="1" outlineLevel="1" ht="15" customHeight="1">
      <c r="A707" s="266" t="n"/>
      <c r="B707" s="126" t="n"/>
      <c r="C707" s="119" t="inlineStr">
        <is>
          <t>Thực tế</t>
        </is>
      </c>
      <c r="D707" s="321">
        <f>SUMIFS(DATA!$M:$M,DATA!$C:$C,$B706,DATA!$N:$N,"&gt;="&amp;DATE($I$2,D$4,1),DATA!$N:$N,"&lt;="&amp;DATE($I$2,D$4,D$5))</f>
        <v/>
      </c>
      <c r="E707" s="321">
        <f>SUMIFS(DATA!$M:$M,DATA!$C:$C,$B706,DATA!$N:$N,"&gt;="&amp;DATE($I$2,E$4,1),DATA!$N:$N,"&lt;="&amp;DATE($I$2,E$4,E$5))</f>
        <v/>
      </c>
      <c r="F707" s="321">
        <f>SUMIFS(DATA!$M:$M,DATA!$C:$C,$B706,DATA!$N:$N,"&gt;="&amp;DATE($I$2,F$4,1),DATA!$N:$N,"&lt;="&amp;DATE($I$2,F$4,F$5))</f>
        <v/>
      </c>
      <c r="G707" s="321">
        <f>SUMIFS(DATA!$M:$M,DATA!$C:$C,$B706,DATA!$N:$N,"&gt;="&amp;DATE($I$2,G$4,1),DATA!$N:$N,"&lt;="&amp;DATE($I$2,G$4,G$5))</f>
        <v/>
      </c>
      <c r="H707" s="321">
        <f>SUMIFS(DATA!$M:$M,DATA!$C:$C,$B706,DATA!$N:$N,"&gt;="&amp;DATE($I$2,H$4,1),DATA!$N:$N,"&lt;="&amp;DATE($I$2,H$4,H$5))</f>
        <v/>
      </c>
      <c r="I707" s="321">
        <f>SUMIFS(DATA!$M:$M,DATA!$C:$C,$B706,DATA!$N:$N,"&gt;="&amp;DATE($I$2,I$4,1),DATA!$N:$N,"&lt;="&amp;DATE($I$2,I$4,I$5))</f>
        <v/>
      </c>
      <c r="J707" s="321">
        <f>SUMIFS(DATA!$M:$M,DATA!$C:$C,$B706,DATA!$N:$N,"&gt;="&amp;DATE($I$2,J$4,1),DATA!$N:$N,"&lt;="&amp;DATE($I$2,J$4,J$5))</f>
        <v/>
      </c>
      <c r="K707" s="321">
        <f>SUMIFS(DATA!$M:$M,DATA!$C:$C,$B706,DATA!$N:$N,"&gt;="&amp;DATE($I$2,K$4,1),DATA!$N:$N,"&lt;="&amp;DATE($I$2,K$4,K$5))</f>
        <v/>
      </c>
      <c r="L707" s="321">
        <f>SUMIFS(DATA!$M:$M,DATA!$C:$C,$B706,DATA!$N:$N,"&gt;="&amp;DATE($I$2,L$4,1),DATA!$N:$N,"&lt;="&amp;DATE($I$2,L$4,L$5))</f>
        <v/>
      </c>
      <c r="M707" s="321">
        <f>SUMIFS(DATA!$M:$M,DATA!$C:$C,$B706,DATA!$N:$N,"&gt;="&amp;DATE($I$2,M$4,1),DATA!$N:$N,"&lt;="&amp;DATE($I$2,M$4,M$5))</f>
        <v/>
      </c>
      <c r="N707" s="321">
        <f>SUMIFS(DATA!$M:$M,DATA!$C:$C,$B706,DATA!$N:$N,"&gt;="&amp;DATE($I$2,N$4,1),DATA!$N:$N,"&lt;="&amp;DATE($I$2,N$4,N$5))</f>
        <v/>
      </c>
      <c r="O707" s="321">
        <f>SUMIFS(DATA!$M:$M,DATA!$C:$C,$B706,DATA!$N:$N,"&gt;="&amp;DATE($I$2,O$4,1),DATA!$N:$N,"&lt;="&amp;DATE($I$2,O$4,O$5))</f>
        <v/>
      </c>
      <c r="P707" s="322">
        <f>SUM(D707:O707)</f>
        <v/>
      </c>
      <c r="Q707" s="118" t="n"/>
    </row>
    <row r="708" hidden="1" outlineLevel="1" ht="15" customHeight="1">
      <c r="A708" s="269" t="n">
        <v>352</v>
      </c>
      <c r="B708" s="125" t="n"/>
      <c r="C708" s="119" t="inlineStr">
        <is>
          <t>Kế hoạch</t>
        </is>
      </c>
      <c r="D708" s="321">
        <f>SUMIFS(DATA!$I:$I,DATA!$C:$C,$B708,DATA!$J:$J,"&gt;="&amp;DATE($I$2,D$4,1),DATA!$J:$J,"&lt;="&amp;DATE($I$2,D$4,D$5))</f>
        <v/>
      </c>
      <c r="E708" s="321">
        <f>SUMIFS(DATA!$I:$I,DATA!$C:$C,$B708,DATA!$J:$J,"&gt;="&amp;DATE($I$2,E$4,1),DATA!$J:$J,"&lt;="&amp;DATE($I$2,E$4,E$5))</f>
        <v/>
      </c>
      <c r="F708" s="321">
        <f>SUMIFS(DATA!$I:$I,DATA!$C:$C,$B708,DATA!$J:$J,"&gt;="&amp;DATE($I$2,F$4,1),DATA!$J:$J,"&lt;="&amp;DATE($I$2,F$4,F$5))</f>
        <v/>
      </c>
      <c r="G708" s="321">
        <f>SUMIFS(DATA!$I:$I,DATA!$C:$C,$B708,DATA!$J:$J,"&gt;="&amp;DATE($I$2,G$4,1),DATA!$J:$J,"&lt;="&amp;DATE($I$2,G$4,G$5))</f>
        <v/>
      </c>
      <c r="H708" s="321">
        <f>SUMIFS(DATA!$I:$I,DATA!$C:$C,$B708,DATA!$J:$J,"&gt;="&amp;DATE($I$2,H$4,1),DATA!$J:$J,"&lt;="&amp;DATE($I$2,H$4,H$5))</f>
        <v/>
      </c>
      <c r="I708" s="321">
        <f>SUMIFS(DATA!$I:$I,DATA!$C:$C,$B708,DATA!$J:$J,"&gt;="&amp;DATE($I$2,I$4,1),DATA!$J:$J,"&lt;="&amp;DATE($I$2,I$4,I$5))</f>
        <v/>
      </c>
      <c r="J708" s="321">
        <f>SUMIFS(DATA!$I:$I,DATA!$C:$C,$B708,DATA!$J:$J,"&gt;="&amp;DATE($I$2,J$4,1),DATA!$J:$J,"&lt;="&amp;DATE($I$2,J$4,J$5))</f>
        <v/>
      </c>
      <c r="K708" s="321">
        <f>SUMIFS(DATA!$I:$I,DATA!$C:$C,$B708,DATA!$J:$J,"&gt;="&amp;DATE($I$2,K$4,1),DATA!$J:$J,"&lt;="&amp;DATE($I$2,K$4,K$5))</f>
        <v/>
      </c>
      <c r="L708" s="321">
        <f>SUMIFS(DATA!$I:$I,DATA!$C:$C,$B708,DATA!$J:$J,"&gt;="&amp;DATE($I$2,L$4,1),DATA!$J:$J,"&lt;="&amp;DATE($I$2,L$4,L$5))</f>
        <v/>
      </c>
      <c r="M708" s="321">
        <f>SUMIFS(DATA!$I:$I,DATA!$C:$C,$B708,DATA!$J:$J,"&gt;="&amp;DATE($I$2,M$4,1),DATA!$J:$J,"&lt;="&amp;DATE($I$2,M$4,M$5))</f>
        <v/>
      </c>
      <c r="N708" s="321">
        <f>SUMIFS(DATA!$I:$I,DATA!$C:$C,$B708,DATA!$J:$J,"&gt;="&amp;DATE($I$2,N$4,1),DATA!$J:$J,"&lt;="&amp;DATE($I$2,N$4,N$5))</f>
        <v/>
      </c>
      <c r="O708" s="321">
        <f>SUMIFS(DATA!$I:$I,DATA!$C:$C,$B708,DATA!$J:$J,"&gt;="&amp;DATE($I$2,O$4,1),DATA!$J:$J,"&lt;="&amp;DATE($I$2,O$4,O$5))</f>
        <v/>
      </c>
      <c r="P708" s="322">
        <f>SUM(D708:O708)</f>
        <v/>
      </c>
      <c r="Q708" s="118" t="n"/>
    </row>
    <row r="709" hidden="1" outlineLevel="1" ht="15" customHeight="1">
      <c r="A709" s="266" t="n"/>
      <c r="B709" s="126" t="n"/>
      <c r="C709" s="119" t="inlineStr">
        <is>
          <t>Thực tế</t>
        </is>
      </c>
      <c r="D709" s="321">
        <f>SUMIFS(DATA!$M:$M,DATA!$C:$C,$B708,DATA!$N:$N,"&gt;="&amp;DATE($I$2,D$4,1),DATA!$N:$N,"&lt;="&amp;DATE($I$2,D$4,D$5))</f>
        <v/>
      </c>
      <c r="E709" s="321">
        <f>SUMIFS(DATA!$M:$M,DATA!$C:$C,$B708,DATA!$N:$N,"&gt;="&amp;DATE($I$2,E$4,1),DATA!$N:$N,"&lt;="&amp;DATE($I$2,E$4,E$5))</f>
        <v/>
      </c>
      <c r="F709" s="321">
        <f>SUMIFS(DATA!$M:$M,DATA!$C:$C,$B708,DATA!$N:$N,"&gt;="&amp;DATE($I$2,F$4,1),DATA!$N:$N,"&lt;="&amp;DATE($I$2,F$4,F$5))</f>
        <v/>
      </c>
      <c r="G709" s="321">
        <f>SUMIFS(DATA!$M:$M,DATA!$C:$C,$B708,DATA!$N:$N,"&gt;="&amp;DATE($I$2,G$4,1),DATA!$N:$N,"&lt;="&amp;DATE($I$2,G$4,G$5))</f>
        <v/>
      </c>
      <c r="H709" s="321">
        <f>SUMIFS(DATA!$M:$M,DATA!$C:$C,$B708,DATA!$N:$N,"&gt;="&amp;DATE($I$2,H$4,1),DATA!$N:$N,"&lt;="&amp;DATE($I$2,H$4,H$5))</f>
        <v/>
      </c>
      <c r="I709" s="321">
        <f>SUMIFS(DATA!$M:$M,DATA!$C:$C,$B708,DATA!$N:$N,"&gt;="&amp;DATE($I$2,I$4,1),DATA!$N:$N,"&lt;="&amp;DATE($I$2,I$4,I$5))</f>
        <v/>
      </c>
      <c r="J709" s="321">
        <f>SUMIFS(DATA!$M:$M,DATA!$C:$C,$B708,DATA!$N:$N,"&gt;="&amp;DATE($I$2,J$4,1),DATA!$N:$N,"&lt;="&amp;DATE($I$2,J$4,J$5))</f>
        <v/>
      </c>
      <c r="K709" s="321">
        <f>SUMIFS(DATA!$M:$M,DATA!$C:$C,$B708,DATA!$N:$N,"&gt;="&amp;DATE($I$2,K$4,1),DATA!$N:$N,"&lt;="&amp;DATE($I$2,K$4,K$5))</f>
        <v/>
      </c>
      <c r="L709" s="321">
        <f>SUMIFS(DATA!$M:$M,DATA!$C:$C,$B708,DATA!$N:$N,"&gt;="&amp;DATE($I$2,L$4,1),DATA!$N:$N,"&lt;="&amp;DATE($I$2,L$4,L$5))</f>
        <v/>
      </c>
      <c r="M709" s="321">
        <f>SUMIFS(DATA!$M:$M,DATA!$C:$C,$B708,DATA!$N:$N,"&gt;="&amp;DATE($I$2,M$4,1),DATA!$N:$N,"&lt;="&amp;DATE($I$2,M$4,M$5))</f>
        <v/>
      </c>
      <c r="N709" s="321">
        <f>SUMIFS(DATA!$M:$M,DATA!$C:$C,$B708,DATA!$N:$N,"&gt;="&amp;DATE($I$2,N$4,1),DATA!$N:$N,"&lt;="&amp;DATE($I$2,N$4,N$5))</f>
        <v/>
      </c>
      <c r="O709" s="321">
        <f>SUMIFS(DATA!$M:$M,DATA!$C:$C,$B708,DATA!$N:$N,"&gt;="&amp;DATE($I$2,O$4,1),DATA!$N:$N,"&lt;="&amp;DATE($I$2,O$4,O$5))</f>
        <v/>
      </c>
      <c r="P709" s="322">
        <f>SUM(D709:O709)</f>
        <v/>
      </c>
      <c r="Q709" s="118" t="n"/>
    </row>
    <row r="710" hidden="1" outlineLevel="1" ht="15" customHeight="1">
      <c r="A710" s="269" t="n">
        <v>353</v>
      </c>
      <c r="B710" s="125" t="n"/>
      <c r="C710" s="119" t="inlineStr">
        <is>
          <t>Kế hoạch</t>
        </is>
      </c>
      <c r="D710" s="321">
        <f>SUMIFS(DATA!$I:$I,DATA!$C:$C,$B710,DATA!$J:$J,"&gt;="&amp;DATE($I$2,D$4,1),DATA!$J:$J,"&lt;="&amp;DATE($I$2,D$4,D$5))</f>
        <v/>
      </c>
      <c r="E710" s="321">
        <f>SUMIFS(DATA!$I:$I,DATA!$C:$C,$B710,DATA!$J:$J,"&gt;="&amp;DATE($I$2,E$4,1),DATA!$J:$J,"&lt;="&amp;DATE($I$2,E$4,E$5))</f>
        <v/>
      </c>
      <c r="F710" s="321">
        <f>SUMIFS(DATA!$I:$I,DATA!$C:$C,$B710,DATA!$J:$J,"&gt;="&amp;DATE($I$2,F$4,1),DATA!$J:$J,"&lt;="&amp;DATE($I$2,F$4,F$5))</f>
        <v/>
      </c>
      <c r="G710" s="321">
        <f>SUMIFS(DATA!$I:$I,DATA!$C:$C,$B710,DATA!$J:$J,"&gt;="&amp;DATE($I$2,G$4,1),DATA!$J:$J,"&lt;="&amp;DATE($I$2,G$4,G$5))</f>
        <v/>
      </c>
      <c r="H710" s="321">
        <f>SUMIFS(DATA!$I:$I,DATA!$C:$C,$B710,DATA!$J:$J,"&gt;="&amp;DATE($I$2,H$4,1),DATA!$J:$J,"&lt;="&amp;DATE($I$2,H$4,H$5))</f>
        <v/>
      </c>
      <c r="I710" s="321">
        <f>SUMIFS(DATA!$I:$I,DATA!$C:$C,$B710,DATA!$J:$J,"&gt;="&amp;DATE($I$2,I$4,1),DATA!$J:$J,"&lt;="&amp;DATE($I$2,I$4,I$5))</f>
        <v/>
      </c>
      <c r="J710" s="321">
        <f>SUMIFS(DATA!$I:$I,DATA!$C:$C,$B710,DATA!$J:$J,"&gt;="&amp;DATE($I$2,J$4,1),DATA!$J:$J,"&lt;="&amp;DATE($I$2,J$4,J$5))</f>
        <v/>
      </c>
      <c r="K710" s="321">
        <f>SUMIFS(DATA!$I:$I,DATA!$C:$C,$B710,DATA!$J:$J,"&gt;="&amp;DATE($I$2,K$4,1),DATA!$J:$J,"&lt;="&amp;DATE($I$2,K$4,K$5))</f>
        <v/>
      </c>
      <c r="L710" s="321">
        <f>SUMIFS(DATA!$I:$I,DATA!$C:$C,$B710,DATA!$J:$J,"&gt;="&amp;DATE($I$2,L$4,1),DATA!$J:$J,"&lt;="&amp;DATE($I$2,L$4,L$5))</f>
        <v/>
      </c>
      <c r="M710" s="321">
        <f>SUMIFS(DATA!$I:$I,DATA!$C:$C,$B710,DATA!$J:$J,"&gt;="&amp;DATE($I$2,M$4,1),DATA!$J:$J,"&lt;="&amp;DATE($I$2,M$4,M$5))</f>
        <v/>
      </c>
      <c r="N710" s="321">
        <f>SUMIFS(DATA!$I:$I,DATA!$C:$C,$B710,DATA!$J:$J,"&gt;="&amp;DATE($I$2,N$4,1),DATA!$J:$J,"&lt;="&amp;DATE($I$2,N$4,N$5))</f>
        <v/>
      </c>
      <c r="O710" s="321">
        <f>SUMIFS(DATA!$I:$I,DATA!$C:$C,$B710,DATA!$J:$J,"&gt;="&amp;DATE($I$2,O$4,1),DATA!$J:$J,"&lt;="&amp;DATE($I$2,O$4,O$5))</f>
        <v/>
      </c>
      <c r="P710" s="322">
        <f>SUM(D710:O710)</f>
        <v/>
      </c>
      <c r="Q710" s="118" t="n"/>
    </row>
    <row r="711" hidden="1" outlineLevel="1" ht="15" customHeight="1">
      <c r="A711" s="266" t="n"/>
      <c r="B711" s="126" t="n"/>
      <c r="C711" s="119" t="inlineStr">
        <is>
          <t>Thực tế</t>
        </is>
      </c>
      <c r="D711" s="321">
        <f>SUMIFS(DATA!$M:$M,DATA!$C:$C,$B710,DATA!$N:$N,"&gt;="&amp;DATE($I$2,D$4,1),DATA!$N:$N,"&lt;="&amp;DATE($I$2,D$4,D$5))</f>
        <v/>
      </c>
      <c r="E711" s="321">
        <f>SUMIFS(DATA!$M:$M,DATA!$C:$C,$B710,DATA!$N:$N,"&gt;="&amp;DATE($I$2,E$4,1),DATA!$N:$N,"&lt;="&amp;DATE($I$2,E$4,E$5))</f>
        <v/>
      </c>
      <c r="F711" s="321">
        <f>SUMIFS(DATA!$M:$M,DATA!$C:$C,$B710,DATA!$N:$N,"&gt;="&amp;DATE($I$2,F$4,1),DATA!$N:$N,"&lt;="&amp;DATE($I$2,F$4,F$5))</f>
        <v/>
      </c>
      <c r="G711" s="321">
        <f>SUMIFS(DATA!$M:$M,DATA!$C:$C,$B710,DATA!$N:$N,"&gt;="&amp;DATE($I$2,G$4,1),DATA!$N:$N,"&lt;="&amp;DATE($I$2,G$4,G$5))</f>
        <v/>
      </c>
      <c r="H711" s="321">
        <f>SUMIFS(DATA!$M:$M,DATA!$C:$C,$B710,DATA!$N:$N,"&gt;="&amp;DATE($I$2,H$4,1),DATA!$N:$N,"&lt;="&amp;DATE($I$2,H$4,H$5))</f>
        <v/>
      </c>
      <c r="I711" s="321">
        <f>SUMIFS(DATA!$M:$M,DATA!$C:$C,$B710,DATA!$N:$N,"&gt;="&amp;DATE($I$2,I$4,1),DATA!$N:$N,"&lt;="&amp;DATE($I$2,I$4,I$5))</f>
        <v/>
      </c>
      <c r="J711" s="321">
        <f>SUMIFS(DATA!$M:$M,DATA!$C:$C,$B710,DATA!$N:$N,"&gt;="&amp;DATE($I$2,J$4,1),DATA!$N:$N,"&lt;="&amp;DATE($I$2,J$4,J$5))</f>
        <v/>
      </c>
      <c r="K711" s="321">
        <f>SUMIFS(DATA!$M:$M,DATA!$C:$C,$B710,DATA!$N:$N,"&gt;="&amp;DATE($I$2,K$4,1),DATA!$N:$N,"&lt;="&amp;DATE($I$2,K$4,K$5))</f>
        <v/>
      </c>
      <c r="L711" s="321">
        <f>SUMIFS(DATA!$M:$M,DATA!$C:$C,$B710,DATA!$N:$N,"&gt;="&amp;DATE($I$2,L$4,1),DATA!$N:$N,"&lt;="&amp;DATE($I$2,L$4,L$5))</f>
        <v/>
      </c>
      <c r="M711" s="321">
        <f>SUMIFS(DATA!$M:$M,DATA!$C:$C,$B710,DATA!$N:$N,"&gt;="&amp;DATE($I$2,M$4,1),DATA!$N:$N,"&lt;="&amp;DATE($I$2,M$4,M$5))</f>
        <v/>
      </c>
      <c r="N711" s="321">
        <f>SUMIFS(DATA!$M:$M,DATA!$C:$C,$B710,DATA!$N:$N,"&gt;="&amp;DATE($I$2,N$4,1),DATA!$N:$N,"&lt;="&amp;DATE($I$2,N$4,N$5))</f>
        <v/>
      </c>
      <c r="O711" s="321">
        <f>SUMIFS(DATA!$M:$M,DATA!$C:$C,$B710,DATA!$N:$N,"&gt;="&amp;DATE($I$2,O$4,1),DATA!$N:$N,"&lt;="&amp;DATE($I$2,O$4,O$5))</f>
        <v/>
      </c>
      <c r="P711" s="322">
        <f>SUM(D711:O711)</f>
        <v/>
      </c>
      <c r="Q711" s="118" t="n"/>
    </row>
    <row r="712" hidden="1" outlineLevel="1" ht="15" customHeight="1">
      <c r="A712" s="269" t="n">
        <v>354</v>
      </c>
      <c r="B712" s="125" t="n"/>
      <c r="C712" s="119" t="inlineStr">
        <is>
          <t>Kế hoạch</t>
        </is>
      </c>
      <c r="D712" s="321">
        <f>SUMIFS(DATA!$I:$I,DATA!$C:$C,$B712,DATA!$J:$J,"&gt;="&amp;DATE($I$2,D$4,1),DATA!$J:$J,"&lt;="&amp;DATE($I$2,D$4,D$5))</f>
        <v/>
      </c>
      <c r="E712" s="321">
        <f>SUMIFS(DATA!$I:$I,DATA!$C:$C,$B712,DATA!$J:$J,"&gt;="&amp;DATE($I$2,E$4,1),DATA!$J:$J,"&lt;="&amp;DATE($I$2,E$4,E$5))</f>
        <v/>
      </c>
      <c r="F712" s="321">
        <f>SUMIFS(DATA!$I:$I,DATA!$C:$C,$B712,DATA!$J:$J,"&gt;="&amp;DATE($I$2,F$4,1),DATA!$J:$J,"&lt;="&amp;DATE($I$2,F$4,F$5))</f>
        <v/>
      </c>
      <c r="G712" s="321">
        <f>SUMIFS(DATA!$I:$I,DATA!$C:$C,$B712,DATA!$J:$J,"&gt;="&amp;DATE($I$2,G$4,1),DATA!$J:$J,"&lt;="&amp;DATE($I$2,G$4,G$5))</f>
        <v/>
      </c>
      <c r="H712" s="321">
        <f>SUMIFS(DATA!$I:$I,DATA!$C:$C,$B712,DATA!$J:$J,"&gt;="&amp;DATE($I$2,H$4,1),DATA!$J:$J,"&lt;="&amp;DATE($I$2,H$4,H$5))</f>
        <v/>
      </c>
      <c r="I712" s="321">
        <f>SUMIFS(DATA!$I:$I,DATA!$C:$C,$B712,DATA!$J:$J,"&gt;="&amp;DATE($I$2,I$4,1),DATA!$J:$J,"&lt;="&amp;DATE($I$2,I$4,I$5))</f>
        <v/>
      </c>
      <c r="J712" s="321">
        <f>SUMIFS(DATA!$I:$I,DATA!$C:$C,$B712,DATA!$J:$J,"&gt;="&amp;DATE($I$2,J$4,1),DATA!$J:$J,"&lt;="&amp;DATE($I$2,J$4,J$5))</f>
        <v/>
      </c>
      <c r="K712" s="321">
        <f>SUMIFS(DATA!$I:$I,DATA!$C:$C,$B712,DATA!$J:$J,"&gt;="&amp;DATE($I$2,K$4,1),DATA!$J:$J,"&lt;="&amp;DATE($I$2,K$4,K$5))</f>
        <v/>
      </c>
      <c r="L712" s="321">
        <f>SUMIFS(DATA!$I:$I,DATA!$C:$C,$B712,DATA!$J:$J,"&gt;="&amp;DATE($I$2,L$4,1),DATA!$J:$J,"&lt;="&amp;DATE($I$2,L$4,L$5))</f>
        <v/>
      </c>
      <c r="M712" s="321">
        <f>SUMIFS(DATA!$I:$I,DATA!$C:$C,$B712,DATA!$J:$J,"&gt;="&amp;DATE($I$2,M$4,1),DATA!$J:$J,"&lt;="&amp;DATE($I$2,M$4,M$5))</f>
        <v/>
      </c>
      <c r="N712" s="321">
        <f>SUMIFS(DATA!$I:$I,DATA!$C:$C,$B712,DATA!$J:$J,"&gt;="&amp;DATE($I$2,N$4,1),DATA!$J:$J,"&lt;="&amp;DATE($I$2,N$4,N$5))</f>
        <v/>
      </c>
      <c r="O712" s="321">
        <f>SUMIFS(DATA!$I:$I,DATA!$C:$C,$B712,DATA!$J:$J,"&gt;="&amp;DATE($I$2,O$4,1),DATA!$J:$J,"&lt;="&amp;DATE($I$2,O$4,O$5))</f>
        <v/>
      </c>
      <c r="P712" s="322">
        <f>SUM(D712:O712)</f>
        <v/>
      </c>
      <c r="Q712" s="118" t="n"/>
    </row>
    <row r="713" hidden="1" outlineLevel="1" ht="15" customHeight="1">
      <c r="A713" s="266" t="n"/>
      <c r="B713" s="126" t="n"/>
      <c r="C713" s="119" t="inlineStr">
        <is>
          <t>Thực tế</t>
        </is>
      </c>
      <c r="D713" s="321">
        <f>SUMIFS(DATA!$M:$M,DATA!$C:$C,$B712,DATA!$N:$N,"&gt;="&amp;DATE($I$2,D$4,1),DATA!$N:$N,"&lt;="&amp;DATE($I$2,D$4,D$5))</f>
        <v/>
      </c>
      <c r="E713" s="321">
        <f>SUMIFS(DATA!$M:$M,DATA!$C:$C,$B712,DATA!$N:$N,"&gt;="&amp;DATE($I$2,E$4,1),DATA!$N:$N,"&lt;="&amp;DATE($I$2,E$4,E$5))</f>
        <v/>
      </c>
      <c r="F713" s="321">
        <f>SUMIFS(DATA!$M:$M,DATA!$C:$C,$B712,DATA!$N:$N,"&gt;="&amp;DATE($I$2,F$4,1),DATA!$N:$N,"&lt;="&amp;DATE($I$2,F$4,F$5))</f>
        <v/>
      </c>
      <c r="G713" s="321">
        <f>SUMIFS(DATA!$M:$M,DATA!$C:$C,$B712,DATA!$N:$N,"&gt;="&amp;DATE($I$2,G$4,1),DATA!$N:$N,"&lt;="&amp;DATE($I$2,G$4,G$5))</f>
        <v/>
      </c>
      <c r="H713" s="321">
        <f>SUMIFS(DATA!$M:$M,DATA!$C:$C,$B712,DATA!$N:$N,"&gt;="&amp;DATE($I$2,H$4,1),DATA!$N:$N,"&lt;="&amp;DATE($I$2,H$4,H$5))</f>
        <v/>
      </c>
      <c r="I713" s="321">
        <f>SUMIFS(DATA!$M:$M,DATA!$C:$C,$B712,DATA!$N:$N,"&gt;="&amp;DATE($I$2,I$4,1),DATA!$N:$N,"&lt;="&amp;DATE($I$2,I$4,I$5))</f>
        <v/>
      </c>
      <c r="J713" s="321">
        <f>SUMIFS(DATA!$M:$M,DATA!$C:$C,$B712,DATA!$N:$N,"&gt;="&amp;DATE($I$2,J$4,1),DATA!$N:$N,"&lt;="&amp;DATE($I$2,J$4,J$5))</f>
        <v/>
      </c>
      <c r="K713" s="321">
        <f>SUMIFS(DATA!$M:$M,DATA!$C:$C,$B712,DATA!$N:$N,"&gt;="&amp;DATE($I$2,K$4,1),DATA!$N:$N,"&lt;="&amp;DATE($I$2,K$4,K$5))</f>
        <v/>
      </c>
      <c r="L713" s="321">
        <f>SUMIFS(DATA!$M:$M,DATA!$C:$C,$B712,DATA!$N:$N,"&gt;="&amp;DATE($I$2,L$4,1),DATA!$N:$N,"&lt;="&amp;DATE($I$2,L$4,L$5))</f>
        <v/>
      </c>
      <c r="M713" s="321">
        <f>SUMIFS(DATA!$M:$M,DATA!$C:$C,$B712,DATA!$N:$N,"&gt;="&amp;DATE($I$2,M$4,1),DATA!$N:$N,"&lt;="&amp;DATE($I$2,M$4,M$5))</f>
        <v/>
      </c>
      <c r="N713" s="321">
        <f>SUMIFS(DATA!$M:$M,DATA!$C:$C,$B712,DATA!$N:$N,"&gt;="&amp;DATE($I$2,N$4,1),DATA!$N:$N,"&lt;="&amp;DATE($I$2,N$4,N$5))</f>
        <v/>
      </c>
      <c r="O713" s="321">
        <f>SUMIFS(DATA!$M:$M,DATA!$C:$C,$B712,DATA!$N:$N,"&gt;="&amp;DATE($I$2,O$4,1),DATA!$N:$N,"&lt;="&amp;DATE($I$2,O$4,O$5))</f>
        <v/>
      </c>
      <c r="P713" s="322">
        <f>SUM(D713:O713)</f>
        <v/>
      </c>
      <c r="Q713" s="118" t="n"/>
    </row>
    <row r="714" hidden="1" outlineLevel="1" ht="15" customHeight="1">
      <c r="A714" s="269" t="n">
        <v>355</v>
      </c>
      <c r="B714" s="125" t="n"/>
      <c r="C714" s="119" t="inlineStr">
        <is>
          <t>Kế hoạch</t>
        </is>
      </c>
      <c r="D714" s="321">
        <f>SUMIFS(DATA!$I:$I,DATA!$C:$C,$B714,DATA!$J:$J,"&gt;="&amp;DATE($I$2,D$4,1),DATA!$J:$J,"&lt;="&amp;DATE($I$2,D$4,D$5))</f>
        <v/>
      </c>
      <c r="E714" s="321">
        <f>SUMIFS(DATA!$I:$I,DATA!$C:$C,$B714,DATA!$J:$J,"&gt;="&amp;DATE($I$2,E$4,1),DATA!$J:$J,"&lt;="&amp;DATE($I$2,E$4,E$5))</f>
        <v/>
      </c>
      <c r="F714" s="321">
        <f>SUMIFS(DATA!$I:$I,DATA!$C:$C,$B714,DATA!$J:$J,"&gt;="&amp;DATE($I$2,F$4,1),DATA!$J:$J,"&lt;="&amp;DATE($I$2,F$4,F$5))</f>
        <v/>
      </c>
      <c r="G714" s="321">
        <f>SUMIFS(DATA!$I:$I,DATA!$C:$C,$B714,DATA!$J:$J,"&gt;="&amp;DATE($I$2,G$4,1),DATA!$J:$J,"&lt;="&amp;DATE($I$2,G$4,G$5))</f>
        <v/>
      </c>
      <c r="H714" s="321">
        <f>SUMIFS(DATA!$I:$I,DATA!$C:$C,$B714,DATA!$J:$J,"&gt;="&amp;DATE($I$2,H$4,1),DATA!$J:$J,"&lt;="&amp;DATE($I$2,H$4,H$5))</f>
        <v/>
      </c>
      <c r="I714" s="321">
        <f>SUMIFS(DATA!$I:$I,DATA!$C:$C,$B714,DATA!$J:$J,"&gt;="&amp;DATE($I$2,I$4,1),DATA!$J:$J,"&lt;="&amp;DATE($I$2,I$4,I$5))</f>
        <v/>
      </c>
      <c r="J714" s="321">
        <f>SUMIFS(DATA!$I:$I,DATA!$C:$C,$B714,DATA!$J:$J,"&gt;="&amp;DATE($I$2,J$4,1),DATA!$J:$J,"&lt;="&amp;DATE($I$2,J$4,J$5))</f>
        <v/>
      </c>
      <c r="K714" s="321">
        <f>SUMIFS(DATA!$I:$I,DATA!$C:$C,$B714,DATA!$J:$J,"&gt;="&amp;DATE($I$2,K$4,1),DATA!$J:$J,"&lt;="&amp;DATE($I$2,K$4,K$5))</f>
        <v/>
      </c>
      <c r="L714" s="321">
        <f>SUMIFS(DATA!$I:$I,DATA!$C:$C,$B714,DATA!$J:$J,"&gt;="&amp;DATE($I$2,L$4,1),DATA!$J:$J,"&lt;="&amp;DATE($I$2,L$4,L$5))</f>
        <v/>
      </c>
      <c r="M714" s="321">
        <f>SUMIFS(DATA!$I:$I,DATA!$C:$C,$B714,DATA!$J:$J,"&gt;="&amp;DATE($I$2,M$4,1),DATA!$J:$J,"&lt;="&amp;DATE($I$2,M$4,M$5))</f>
        <v/>
      </c>
      <c r="N714" s="321">
        <f>SUMIFS(DATA!$I:$I,DATA!$C:$C,$B714,DATA!$J:$J,"&gt;="&amp;DATE($I$2,N$4,1),DATA!$J:$J,"&lt;="&amp;DATE($I$2,N$4,N$5))</f>
        <v/>
      </c>
      <c r="O714" s="321">
        <f>SUMIFS(DATA!$I:$I,DATA!$C:$C,$B714,DATA!$J:$J,"&gt;="&amp;DATE($I$2,O$4,1),DATA!$J:$J,"&lt;="&amp;DATE($I$2,O$4,O$5))</f>
        <v/>
      </c>
      <c r="P714" s="322">
        <f>SUM(D714:O714)</f>
        <v/>
      </c>
      <c r="Q714" s="118" t="n"/>
    </row>
    <row r="715" hidden="1" outlineLevel="1" ht="15" customHeight="1">
      <c r="A715" s="266" t="n"/>
      <c r="B715" s="126" t="n"/>
      <c r="C715" s="119" t="inlineStr">
        <is>
          <t>Thực tế</t>
        </is>
      </c>
      <c r="D715" s="321">
        <f>SUMIFS(DATA!$M:$M,DATA!$C:$C,$B714,DATA!$N:$N,"&gt;="&amp;DATE($I$2,D$4,1),DATA!$N:$N,"&lt;="&amp;DATE($I$2,D$4,D$5))</f>
        <v/>
      </c>
      <c r="E715" s="321">
        <f>SUMIFS(DATA!$M:$M,DATA!$C:$C,$B714,DATA!$N:$N,"&gt;="&amp;DATE($I$2,E$4,1),DATA!$N:$N,"&lt;="&amp;DATE($I$2,E$4,E$5))</f>
        <v/>
      </c>
      <c r="F715" s="321">
        <f>SUMIFS(DATA!$M:$M,DATA!$C:$C,$B714,DATA!$N:$N,"&gt;="&amp;DATE($I$2,F$4,1),DATA!$N:$N,"&lt;="&amp;DATE($I$2,F$4,F$5))</f>
        <v/>
      </c>
      <c r="G715" s="321">
        <f>SUMIFS(DATA!$M:$M,DATA!$C:$C,$B714,DATA!$N:$N,"&gt;="&amp;DATE($I$2,G$4,1),DATA!$N:$N,"&lt;="&amp;DATE($I$2,G$4,G$5))</f>
        <v/>
      </c>
      <c r="H715" s="321">
        <f>SUMIFS(DATA!$M:$M,DATA!$C:$C,$B714,DATA!$N:$N,"&gt;="&amp;DATE($I$2,H$4,1),DATA!$N:$N,"&lt;="&amp;DATE($I$2,H$4,H$5))</f>
        <v/>
      </c>
      <c r="I715" s="321">
        <f>SUMIFS(DATA!$M:$M,DATA!$C:$C,$B714,DATA!$N:$N,"&gt;="&amp;DATE($I$2,I$4,1),DATA!$N:$N,"&lt;="&amp;DATE($I$2,I$4,I$5))</f>
        <v/>
      </c>
      <c r="J715" s="321">
        <f>SUMIFS(DATA!$M:$M,DATA!$C:$C,$B714,DATA!$N:$N,"&gt;="&amp;DATE($I$2,J$4,1),DATA!$N:$N,"&lt;="&amp;DATE($I$2,J$4,J$5))</f>
        <v/>
      </c>
      <c r="K715" s="321">
        <f>SUMIFS(DATA!$M:$M,DATA!$C:$C,$B714,DATA!$N:$N,"&gt;="&amp;DATE($I$2,K$4,1),DATA!$N:$N,"&lt;="&amp;DATE($I$2,K$4,K$5))</f>
        <v/>
      </c>
      <c r="L715" s="321">
        <f>SUMIFS(DATA!$M:$M,DATA!$C:$C,$B714,DATA!$N:$N,"&gt;="&amp;DATE($I$2,L$4,1),DATA!$N:$N,"&lt;="&amp;DATE($I$2,L$4,L$5))</f>
        <v/>
      </c>
      <c r="M715" s="321">
        <f>SUMIFS(DATA!$M:$M,DATA!$C:$C,$B714,DATA!$N:$N,"&gt;="&amp;DATE($I$2,M$4,1),DATA!$N:$N,"&lt;="&amp;DATE($I$2,M$4,M$5))</f>
        <v/>
      </c>
      <c r="N715" s="321">
        <f>SUMIFS(DATA!$M:$M,DATA!$C:$C,$B714,DATA!$N:$N,"&gt;="&amp;DATE($I$2,N$4,1),DATA!$N:$N,"&lt;="&amp;DATE($I$2,N$4,N$5))</f>
        <v/>
      </c>
      <c r="O715" s="321">
        <f>SUMIFS(DATA!$M:$M,DATA!$C:$C,$B714,DATA!$N:$N,"&gt;="&amp;DATE($I$2,O$4,1),DATA!$N:$N,"&lt;="&amp;DATE($I$2,O$4,O$5))</f>
        <v/>
      </c>
      <c r="P715" s="322">
        <f>SUM(D715:O715)</f>
        <v/>
      </c>
      <c r="Q715" s="118" t="n"/>
    </row>
    <row r="716" hidden="1" outlineLevel="1" ht="15" customHeight="1">
      <c r="A716" s="269" t="n">
        <v>356</v>
      </c>
      <c r="B716" s="125" t="n"/>
      <c r="C716" s="119" t="inlineStr">
        <is>
          <t>Kế hoạch</t>
        </is>
      </c>
      <c r="D716" s="321">
        <f>SUMIFS(DATA!$I:$I,DATA!$C:$C,$B716,DATA!$J:$J,"&gt;="&amp;DATE($I$2,D$4,1),DATA!$J:$J,"&lt;="&amp;DATE($I$2,D$4,D$5))</f>
        <v/>
      </c>
      <c r="E716" s="321">
        <f>SUMIFS(DATA!$I:$I,DATA!$C:$C,$B716,DATA!$J:$J,"&gt;="&amp;DATE($I$2,E$4,1),DATA!$J:$J,"&lt;="&amp;DATE($I$2,E$4,E$5))</f>
        <v/>
      </c>
      <c r="F716" s="321">
        <f>SUMIFS(DATA!$I:$I,DATA!$C:$C,$B716,DATA!$J:$J,"&gt;="&amp;DATE($I$2,F$4,1),DATA!$J:$J,"&lt;="&amp;DATE($I$2,F$4,F$5))</f>
        <v/>
      </c>
      <c r="G716" s="321">
        <f>SUMIFS(DATA!$I:$I,DATA!$C:$C,$B716,DATA!$J:$J,"&gt;="&amp;DATE($I$2,G$4,1),DATA!$J:$J,"&lt;="&amp;DATE($I$2,G$4,G$5))</f>
        <v/>
      </c>
      <c r="H716" s="321">
        <f>SUMIFS(DATA!$I:$I,DATA!$C:$C,$B716,DATA!$J:$J,"&gt;="&amp;DATE($I$2,H$4,1),DATA!$J:$J,"&lt;="&amp;DATE($I$2,H$4,H$5))</f>
        <v/>
      </c>
      <c r="I716" s="321">
        <f>SUMIFS(DATA!$I:$I,DATA!$C:$C,$B716,DATA!$J:$J,"&gt;="&amp;DATE($I$2,I$4,1),DATA!$J:$J,"&lt;="&amp;DATE($I$2,I$4,I$5))</f>
        <v/>
      </c>
      <c r="J716" s="321">
        <f>SUMIFS(DATA!$I:$I,DATA!$C:$C,$B716,DATA!$J:$J,"&gt;="&amp;DATE($I$2,J$4,1),DATA!$J:$J,"&lt;="&amp;DATE($I$2,J$4,J$5))</f>
        <v/>
      </c>
      <c r="K716" s="321">
        <f>SUMIFS(DATA!$I:$I,DATA!$C:$C,$B716,DATA!$J:$J,"&gt;="&amp;DATE($I$2,K$4,1),DATA!$J:$J,"&lt;="&amp;DATE($I$2,K$4,K$5))</f>
        <v/>
      </c>
      <c r="L716" s="321">
        <f>SUMIFS(DATA!$I:$I,DATA!$C:$C,$B716,DATA!$J:$J,"&gt;="&amp;DATE($I$2,L$4,1),DATA!$J:$J,"&lt;="&amp;DATE($I$2,L$4,L$5))</f>
        <v/>
      </c>
      <c r="M716" s="321">
        <f>SUMIFS(DATA!$I:$I,DATA!$C:$C,$B716,DATA!$J:$J,"&gt;="&amp;DATE($I$2,M$4,1),DATA!$J:$J,"&lt;="&amp;DATE($I$2,M$4,M$5))</f>
        <v/>
      </c>
      <c r="N716" s="321">
        <f>SUMIFS(DATA!$I:$I,DATA!$C:$C,$B716,DATA!$J:$J,"&gt;="&amp;DATE($I$2,N$4,1),DATA!$J:$J,"&lt;="&amp;DATE($I$2,N$4,N$5))</f>
        <v/>
      </c>
      <c r="O716" s="321">
        <f>SUMIFS(DATA!$I:$I,DATA!$C:$C,$B716,DATA!$J:$J,"&gt;="&amp;DATE($I$2,O$4,1),DATA!$J:$J,"&lt;="&amp;DATE($I$2,O$4,O$5))</f>
        <v/>
      </c>
      <c r="P716" s="322">
        <f>SUM(D716:O716)</f>
        <v/>
      </c>
      <c r="Q716" s="118" t="n"/>
    </row>
    <row r="717" hidden="1" outlineLevel="1" ht="15" customHeight="1">
      <c r="A717" s="266" t="n"/>
      <c r="B717" s="126" t="n"/>
      <c r="C717" s="119" t="inlineStr">
        <is>
          <t>Thực tế</t>
        </is>
      </c>
      <c r="D717" s="321">
        <f>SUMIFS(DATA!$M:$M,DATA!$C:$C,$B716,DATA!$N:$N,"&gt;="&amp;DATE($I$2,D$4,1),DATA!$N:$N,"&lt;="&amp;DATE($I$2,D$4,D$5))</f>
        <v/>
      </c>
      <c r="E717" s="321">
        <f>SUMIFS(DATA!$M:$M,DATA!$C:$C,$B716,DATA!$N:$N,"&gt;="&amp;DATE($I$2,E$4,1),DATA!$N:$N,"&lt;="&amp;DATE($I$2,E$4,E$5))</f>
        <v/>
      </c>
      <c r="F717" s="321">
        <f>SUMIFS(DATA!$M:$M,DATA!$C:$C,$B716,DATA!$N:$N,"&gt;="&amp;DATE($I$2,F$4,1),DATA!$N:$N,"&lt;="&amp;DATE($I$2,F$4,F$5))</f>
        <v/>
      </c>
      <c r="G717" s="321">
        <f>SUMIFS(DATA!$M:$M,DATA!$C:$C,$B716,DATA!$N:$N,"&gt;="&amp;DATE($I$2,G$4,1),DATA!$N:$N,"&lt;="&amp;DATE($I$2,G$4,G$5))</f>
        <v/>
      </c>
      <c r="H717" s="321">
        <f>SUMIFS(DATA!$M:$M,DATA!$C:$C,$B716,DATA!$N:$N,"&gt;="&amp;DATE($I$2,H$4,1),DATA!$N:$N,"&lt;="&amp;DATE($I$2,H$4,H$5))</f>
        <v/>
      </c>
      <c r="I717" s="321">
        <f>SUMIFS(DATA!$M:$M,DATA!$C:$C,$B716,DATA!$N:$N,"&gt;="&amp;DATE($I$2,I$4,1),DATA!$N:$N,"&lt;="&amp;DATE($I$2,I$4,I$5))</f>
        <v/>
      </c>
      <c r="J717" s="321">
        <f>SUMIFS(DATA!$M:$M,DATA!$C:$C,$B716,DATA!$N:$N,"&gt;="&amp;DATE($I$2,J$4,1),DATA!$N:$N,"&lt;="&amp;DATE($I$2,J$4,J$5))</f>
        <v/>
      </c>
      <c r="K717" s="321">
        <f>SUMIFS(DATA!$M:$M,DATA!$C:$C,$B716,DATA!$N:$N,"&gt;="&amp;DATE($I$2,K$4,1),DATA!$N:$N,"&lt;="&amp;DATE($I$2,K$4,K$5))</f>
        <v/>
      </c>
      <c r="L717" s="321">
        <f>SUMIFS(DATA!$M:$M,DATA!$C:$C,$B716,DATA!$N:$N,"&gt;="&amp;DATE($I$2,L$4,1),DATA!$N:$N,"&lt;="&amp;DATE($I$2,L$4,L$5))</f>
        <v/>
      </c>
      <c r="M717" s="321">
        <f>SUMIFS(DATA!$M:$M,DATA!$C:$C,$B716,DATA!$N:$N,"&gt;="&amp;DATE($I$2,M$4,1),DATA!$N:$N,"&lt;="&amp;DATE($I$2,M$4,M$5))</f>
        <v/>
      </c>
      <c r="N717" s="321">
        <f>SUMIFS(DATA!$M:$M,DATA!$C:$C,$B716,DATA!$N:$N,"&gt;="&amp;DATE($I$2,N$4,1),DATA!$N:$N,"&lt;="&amp;DATE($I$2,N$4,N$5))</f>
        <v/>
      </c>
      <c r="O717" s="321">
        <f>SUMIFS(DATA!$M:$M,DATA!$C:$C,$B716,DATA!$N:$N,"&gt;="&amp;DATE($I$2,O$4,1),DATA!$N:$N,"&lt;="&amp;DATE($I$2,O$4,O$5))</f>
        <v/>
      </c>
      <c r="P717" s="322">
        <f>SUM(D717:O717)</f>
        <v/>
      </c>
      <c r="Q717" s="118" t="n"/>
    </row>
    <row r="718" hidden="1" outlineLevel="1" ht="15" customHeight="1">
      <c r="A718" s="269" t="n">
        <v>357</v>
      </c>
      <c r="B718" s="125" t="n"/>
      <c r="C718" s="119" t="inlineStr">
        <is>
          <t>Kế hoạch</t>
        </is>
      </c>
      <c r="D718" s="321">
        <f>SUMIFS(DATA!$I:$I,DATA!$C:$C,$B718,DATA!$J:$J,"&gt;="&amp;DATE($I$2,D$4,1),DATA!$J:$J,"&lt;="&amp;DATE($I$2,D$4,D$5))</f>
        <v/>
      </c>
      <c r="E718" s="321">
        <f>SUMIFS(DATA!$I:$I,DATA!$C:$C,$B718,DATA!$J:$J,"&gt;="&amp;DATE($I$2,E$4,1),DATA!$J:$J,"&lt;="&amp;DATE($I$2,E$4,E$5))</f>
        <v/>
      </c>
      <c r="F718" s="321">
        <f>SUMIFS(DATA!$I:$I,DATA!$C:$C,$B718,DATA!$J:$J,"&gt;="&amp;DATE($I$2,F$4,1),DATA!$J:$J,"&lt;="&amp;DATE($I$2,F$4,F$5))</f>
        <v/>
      </c>
      <c r="G718" s="321">
        <f>SUMIFS(DATA!$I:$I,DATA!$C:$C,$B718,DATA!$J:$J,"&gt;="&amp;DATE($I$2,G$4,1),DATA!$J:$J,"&lt;="&amp;DATE($I$2,G$4,G$5))</f>
        <v/>
      </c>
      <c r="H718" s="321">
        <f>SUMIFS(DATA!$I:$I,DATA!$C:$C,$B718,DATA!$J:$J,"&gt;="&amp;DATE($I$2,H$4,1),DATA!$J:$J,"&lt;="&amp;DATE($I$2,H$4,H$5))</f>
        <v/>
      </c>
      <c r="I718" s="321">
        <f>SUMIFS(DATA!$I:$I,DATA!$C:$C,$B718,DATA!$J:$J,"&gt;="&amp;DATE($I$2,I$4,1),DATA!$J:$J,"&lt;="&amp;DATE($I$2,I$4,I$5))</f>
        <v/>
      </c>
      <c r="J718" s="321">
        <f>SUMIFS(DATA!$I:$I,DATA!$C:$C,$B718,DATA!$J:$J,"&gt;="&amp;DATE($I$2,J$4,1),DATA!$J:$J,"&lt;="&amp;DATE($I$2,J$4,J$5))</f>
        <v/>
      </c>
      <c r="K718" s="321">
        <f>SUMIFS(DATA!$I:$I,DATA!$C:$C,$B718,DATA!$J:$J,"&gt;="&amp;DATE($I$2,K$4,1),DATA!$J:$J,"&lt;="&amp;DATE($I$2,K$4,K$5))</f>
        <v/>
      </c>
      <c r="L718" s="321">
        <f>SUMIFS(DATA!$I:$I,DATA!$C:$C,$B718,DATA!$J:$J,"&gt;="&amp;DATE($I$2,L$4,1),DATA!$J:$J,"&lt;="&amp;DATE($I$2,L$4,L$5))</f>
        <v/>
      </c>
      <c r="M718" s="321">
        <f>SUMIFS(DATA!$I:$I,DATA!$C:$C,$B718,DATA!$J:$J,"&gt;="&amp;DATE($I$2,M$4,1),DATA!$J:$J,"&lt;="&amp;DATE($I$2,M$4,M$5))</f>
        <v/>
      </c>
      <c r="N718" s="321">
        <f>SUMIFS(DATA!$I:$I,DATA!$C:$C,$B718,DATA!$J:$J,"&gt;="&amp;DATE($I$2,N$4,1),DATA!$J:$J,"&lt;="&amp;DATE($I$2,N$4,N$5))</f>
        <v/>
      </c>
      <c r="O718" s="321">
        <f>SUMIFS(DATA!$I:$I,DATA!$C:$C,$B718,DATA!$J:$J,"&gt;="&amp;DATE($I$2,O$4,1),DATA!$J:$J,"&lt;="&amp;DATE($I$2,O$4,O$5))</f>
        <v/>
      </c>
      <c r="P718" s="322">
        <f>SUM(D718:O718)</f>
        <v/>
      </c>
      <c r="Q718" s="118" t="n"/>
    </row>
    <row r="719" hidden="1" outlineLevel="1" ht="15" customHeight="1">
      <c r="A719" s="266" t="n"/>
      <c r="B719" s="126" t="n"/>
      <c r="C719" s="119" t="inlineStr">
        <is>
          <t>Thực tế</t>
        </is>
      </c>
      <c r="D719" s="321">
        <f>SUMIFS(DATA!$M:$M,DATA!$C:$C,$B718,DATA!$N:$N,"&gt;="&amp;DATE($I$2,D$4,1),DATA!$N:$N,"&lt;="&amp;DATE($I$2,D$4,D$5))</f>
        <v/>
      </c>
      <c r="E719" s="321">
        <f>SUMIFS(DATA!$M:$M,DATA!$C:$C,$B718,DATA!$N:$N,"&gt;="&amp;DATE($I$2,E$4,1),DATA!$N:$N,"&lt;="&amp;DATE($I$2,E$4,E$5))</f>
        <v/>
      </c>
      <c r="F719" s="321">
        <f>SUMIFS(DATA!$M:$M,DATA!$C:$C,$B718,DATA!$N:$N,"&gt;="&amp;DATE($I$2,F$4,1),DATA!$N:$N,"&lt;="&amp;DATE($I$2,F$4,F$5))</f>
        <v/>
      </c>
      <c r="G719" s="321">
        <f>SUMIFS(DATA!$M:$M,DATA!$C:$C,$B718,DATA!$N:$N,"&gt;="&amp;DATE($I$2,G$4,1),DATA!$N:$N,"&lt;="&amp;DATE($I$2,G$4,G$5))</f>
        <v/>
      </c>
      <c r="H719" s="321">
        <f>SUMIFS(DATA!$M:$M,DATA!$C:$C,$B718,DATA!$N:$N,"&gt;="&amp;DATE($I$2,H$4,1),DATA!$N:$N,"&lt;="&amp;DATE($I$2,H$4,H$5))</f>
        <v/>
      </c>
      <c r="I719" s="321">
        <f>SUMIFS(DATA!$M:$M,DATA!$C:$C,$B718,DATA!$N:$N,"&gt;="&amp;DATE($I$2,I$4,1),DATA!$N:$N,"&lt;="&amp;DATE($I$2,I$4,I$5))</f>
        <v/>
      </c>
      <c r="J719" s="321">
        <f>SUMIFS(DATA!$M:$M,DATA!$C:$C,$B718,DATA!$N:$N,"&gt;="&amp;DATE($I$2,J$4,1),DATA!$N:$N,"&lt;="&amp;DATE($I$2,J$4,J$5))</f>
        <v/>
      </c>
      <c r="K719" s="321">
        <f>SUMIFS(DATA!$M:$M,DATA!$C:$C,$B718,DATA!$N:$N,"&gt;="&amp;DATE($I$2,K$4,1),DATA!$N:$N,"&lt;="&amp;DATE($I$2,K$4,K$5))</f>
        <v/>
      </c>
      <c r="L719" s="321">
        <f>SUMIFS(DATA!$M:$M,DATA!$C:$C,$B718,DATA!$N:$N,"&gt;="&amp;DATE($I$2,L$4,1),DATA!$N:$N,"&lt;="&amp;DATE($I$2,L$4,L$5))</f>
        <v/>
      </c>
      <c r="M719" s="321">
        <f>SUMIFS(DATA!$M:$M,DATA!$C:$C,$B718,DATA!$N:$N,"&gt;="&amp;DATE($I$2,M$4,1),DATA!$N:$N,"&lt;="&amp;DATE($I$2,M$4,M$5))</f>
        <v/>
      </c>
      <c r="N719" s="321">
        <f>SUMIFS(DATA!$M:$M,DATA!$C:$C,$B718,DATA!$N:$N,"&gt;="&amp;DATE($I$2,N$4,1),DATA!$N:$N,"&lt;="&amp;DATE($I$2,N$4,N$5))</f>
        <v/>
      </c>
      <c r="O719" s="321">
        <f>SUMIFS(DATA!$M:$M,DATA!$C:$C,$B718,DATA!$N:$N,"&gt;="&amp;DATE($I$2,O$4,1),DATA!$N:$N,"&lt;="&amp;DATE($I$2,O$4,O$5))</f>
        <v/>
      </c>
      <c r="P719" s="322">
        <f>SUM(D719:O719)</f>
        <v/>
      </c>
      <c r="Q719" s="118" t="n"/>
    </row>
    <row r="720" hidden="1" outlineLevel="1" ht="15" customHeight="1">
      <c r="A720" s="269" t="n">
        <v>358</v>
      </c>
      <c r="B720" s="125" t="n"/>
      <c r="C720" s="119" t="inlineStr">
        <is>
          <t>Kế hoạch</t>
        </is>
      </c>
      <c r="D720" s="321">
        <f>SUMIFS(DATA!$I:$I,DATA!$C:$C,$B720,DATA!$J:$J,"&gt;="&amp;DATE($I$2,D$4,1),DATA!$J:$J,"&lt;="&amp;DATE($I$2,D$4,D$5))</f>
        <v/>
      </c>
      <c r="E720" s="321">
        <f>SUMIFS(DATA!$I:$I,DATA!$C:$C,$B720,DATA!$J:$J,"&gt;="&amp;DATE($I$2,E$4,1),DATA!$J:$J,"&lt;="&amp;DATE($I$2,E$4,E$5))</f>
        <v/>
      </c>
      <c r="F720" s="321">
        <f>SUMIFS(DATA!$I:$I,DATA!$C:$C,$B720,DATA!$J:$J,"&gt;="&amp;DATE($I$2,F$4,1),DATA!$J:$J,"&lt;="&amp;DATE($I$2,F$4,F$5))</f>
        <v/>
      </c>
      <c r="G720" s="321">
        <f>SUMIFS(DATA!$I:$I,DATA!$C:$C,$B720,DATA!$J:$J,"&gt;="&amp;DATE($I$2,G$4,1),DATA!$J:$J,"&lt;="&amp;DATE($I$2,G$4,G$5))</f>
        <v/>
      </c>
      <c r="H720" s="321">
        <f>SUMIFS(DATA!$I:$I,DATA!$C:$C,$B720,DATA!$J:$J,"&gt;="&amp;DATE($I$2,H$4,1),DATA!$J:$J,"&lt;="&amp;DATE($I$2,H$4,H$5))</f>
        <v/>
      </c>
      <c r="I720" s="321">
        <f>SUMIFS(DATA!$I:$I,DATA!$C:$C,$B720,DATA!$J:$J,"&gt;="&amp;DATE($I$2,I$4,1),DATA!$J:$J,"&lt;="&amp;DATE($I$2,I$4,I$5))</f>
        <v/>
      </c>
      <c r="J720" s="321">
        <f>SUMIFS(DATA!$I:$I,DATA!$C:$C,$B720,DATA!$J:$J,"&gt;="&amp;DATE($I$2,J$4,1),DATA!$J:$J,"&lt;="&amp;DATE($I$2,J$4,J$5))</f>
        <v/>
      </c>
      <c r="K720" s="321">
        <f>SUMIFS(DATA!$I:$I,DATA!$C:$C,$B720,DATA!$J:$J,"&gt;="&amp;DATE($I$2,K$4,1),DATA!$J:$J,"&lt;="&amp;DATE($I$2,K$4,K$5))</f>
        <v/>
      </c>
      <c r="L720" s="321">
        <f>SUMIFS(DATA!$I:$I,DATA!$C:$C,$B720,DATA!$J:$J,"&gt;="&amp;DATE($I$2,L$4,1),DATA!$J:$J,"&lt;="&amp;DATE($I$2,L$4,L$5))</f>
        <v/>
      </c>
      <c r="M720" s="321">
        <f>SUMIFS(DATA!$I:$I,DATA!$C:$C,$B720,DATA!$J:$J,"&gt;="&amp;DATE($I$2,M$4,1),DATA!$J:$J,"&lt;="&amp;DATE($I$2,M$4,M$5))</f>
        <v/>
      </c>
      <c r="N720" s="321">
        <f>SUMIFS(DATA!$I:$I,DATA!$C:$C,$B720,DATA!$J:$J,"&gt;="&amp;DATE($I$2,N$4,1),DATA!$J:$J,"&lt;="&amp;DATE($I$2,N$4,N$5))</f>
        <v/>
      </c>
      <c r="O720" s="321">
        <f>SUMIFS(DATA!$I:$I,DATA!$C:$C,$B720,DATA!$J:$J,"&gt;="&amp;DATE($I$2,O$4,1),DATA!$J:$J,"&lt;="&amp;DATE($I$2,O$4,O$5))</f>
        <v/>
      </c>
      <c r="P720" s="322">
        <f>SUM(D720:O720)</f>
        <v/>
      </c>
      <c r="Q720" s="118" t="n"/>
    </row>
    <row r="721" hidden="1" outlineLevel="1" ht="15" customHeight="1">
      <c r="A721" s="266" t="n"/>
      <c r="B721" s="126" t="n"/>
      <c r="C721" s="119" t="inlineStr">
        <is>
          <t>Thực tế</t>
        </is>
      </c>
      <c r="D721" s="321">
        <f>SUMIFS(DATA!$M:$M,DATA!$C:$C,$B720,DATA!$N:$N,"&gt;="&amp;DATE($I$2,D$4,1),DATA!$N:$N,"&lt;="&amp;DATE($I$2,D$4,D$5))</f>
        <v/>
      </c>
      <c r="E721" s="321">
        <f>SUMIFS(DATA!$M:$M,DATA!$C:$C,$B720,DATA!$N:$N,"&gt;="&amp;DATE($I$2,E$4,1),DATA!$N:$N,"&lt;="&amp;DATE($I$2,E$4,E$5))</f>
        <v/>
      </c>
      <c r="F721" s="321">
        <f>SUMIFS(DATA!$M:$M,DATA!$C:$C,$B720,DATA!$N:$N,"&gt;="&amp;DATE($I$2,F$4,1),DATA!$N:$N,"&lt;="&amp;DATE($I$2,F$4,F$5))</f>
        <v/>
      </c>
      <c r="G721" s="321">
        <f>SUMIFS(DATA!$M:$M,DATA!$C:$C,$B720,DATA!$N:$N,"&gt;="&amp;DATE($I$2,G$4,1),DATA!$N:$N,"&lt;="&amp;DATE($I$2,G$4,G$5))</f>
        <v/>
      </c>
      <c r="H721" s="321">
        <f>SUMIFS(DATA!$M:$M,DATA!$C:$C,$B720,DATA!$N:$N,"&gt;="&amp;DATE($I$2,H$4,1),DATA!$N:$N,"&lt;="&amp;DATE($I$2,H$4,H$5))</f>
        <v/>
      </c>
      <c r="I721" s="321">
        <f>SUMIFS(DATA!$M:$M,DATA!$C:$C,$B720,DATA!$N:$N,"&gt;="&amp;DATE($I$2,I$4,1),DATA!$N:$N,"&lt;="&amp;DATE($I$2,I$4,I$5))</f>
        <v/>
      </c>
      <c r="J721" s="321">
        <f>SUMIFS(DATA!$M:$M,DATA!$C:$C,$B720,DATA!$N:$N,"&gt;="&amp;DATE($I$2,J$4,1),DATA!$N:$N,"&lt;="&amp;DATE($I$2,J$4,J$5))</f>
        <v/>
      </c>
      <c r="K721" s="321">
        <f>SUMIFS(DATA!$M:$M,DATA!$C:$C,$B720,DATA!$N:$N,"&gt;="&amp;DATE($I$2,K$4,1),DATA!$N:$N,"&lt;="&amp;DATE($I$2,K$4,K$5))</f>
        <v/>
      </c>
      <c r="L721" s="321">
        <f>SUMIFS(DATA!$M:$M,DATA!$C:$C,$B720,DATA!$N:$N,"&gt;="&amp;DATE($I$2,L$4,1),DATA!$N:$N,"&lt;="&amp;DATE($I$2,L$4,L$5))</f>
        <v/>
      </c>
      <c r="M721" s="321">
        <f>SUMIFS(DATA!$M:$M,DATA!$C:$C,$B720,DATA!$N:$N,"&gt;="&amp;DATE($I$2,M$4,1),DATA!$N:$N,"&lt;="&amp;DATE($I$2,M$4,M$5))</f>
        <v/>
      </c>
      <c r="N721" s="321">
        <f>SUMIFS(DATA!$M:$M,DATA!$C:$C,$B720,DATA!$N:$N,"&gt;="&amp;DATE($I$2,N$4,1),DATA!$N:$N,"&lt;="&amp;DATE($I$2,N$4,N$5))</f>
        <v/>
      </c>
      <c r="O721" s="321">
        <f>SUMIFS(DATA!$M:$M,DATA!$C:$C,$B720,DATA!$N:$N,"&gt;="&amp;DATE($I$2,O$4,1),DATA!$N:$N,"&lt;="&amp;DATE($I$2,O$4,O$5))</f>
        <v/>
      </c>
      <c r="P721" s="322">
        <f>SUM(D721:O721)</f>
        <v/>
      </c>
      <c r="Q721" s="118" t="n"/>
    </row>
    <row r="722" hidden="1" outlineLevel="1" ht="15" customHeight="1">
      <c r="A722" s="269" t="n">
        <v>359</v>
      </c>
      <c r="B722" s="125" t="n"/>
      <c r="C722" s="119" t="inlineStr">
        <is>
          <t>Kế hoạch</t>
        </is>
      </c>
      <c r="D722" s="321">
        <f>SUMIFS(DATA!$I:$I,DATA!$C:$C,$B722,DATA!$J:$J,"&gt;="&amp;DATE($I$2,D$4,1),DATA!$J:$J,"&lt;="&amp;DATE($I$2,D$4,D$5))</f>
        <v/>
      </c>
      <c r="E722" s="321">
        <f>SUMIFS(DATA!$I:$I,DATA!$C:$C,$B722,DATA!$J:$J,"&gt;="&amp;DATE($I$2,E$4,1),DATA!$J:$J,"&lt;="&amp;DATE($I$2,E$4,E$5))</f>
        <v/>
      </c>
      <c r="F722" s="321">
        <f>SUMIFS(DATA!$I:$I,DATA!$C:$C,$B722,DATA!$J:$J,"&gt;="&amp;DATE($I$2,F$4,1),DATA!$J:$J,"&lt;="&amp;DATE($I$2,F$4,F$5))</f>
        <v/>
      </c>
      <c r="G722" s="321">
        <f>SUMIFS(DATA!$I:$I,DATA!$C:$C,$B722,DATA!$J:$J,"&gt;="&amp;DATE($I$2,G$4,1),DATA!$J:$J,"&lt;="&amp;DATE($I$2,G$4,G$5))</f>
        <v/>
      </c>
      <c r="H722" s="321">
        <f>SUMIFS(DATA!$I:$I,DATA!$C:$C,$B722,DATA!$J:$J,"&gt;="&amp;DATE($I$2,H$4,1),DATA!$J:$J,"&lt;="&amp;DATE($I$2,H$4,H$5))</f>
        <v/>
      </c>
      <c r="I722" s="321">
        <f>SUMIFS(DATA!$I:$I,DATA!$C:$C,$B722,DATA!$J:$J,"&gt;="&amp;DATE($I$2,I$4,1),DATA!$J:$J,"&lt;="&amp;DATE($I$2,I$4,I$5))</f>
        <v/>
      </c>
      <c r="J722" s="321">
        <f>SUMIFS(DATA!$I:$I,DATA!$C:$C,$B722,DATA!$J:$J,"&gt;="&amp;DATE($I$2,J$4,1),DATA!$J:$J,"&lt;="&amp;DATE($I$2,J$4,J$5))</f>
        <v/>
      </c>
      <c r="K722" s="321">
        <f>SUMIFS(DATA!$I:$I,DATA!$C:$C,$B722,DATA!$J:$J,"&gt;="&amp;DATE($I$2,K$4,1),DATA!$J:$J,"&lt;="&amp;DATE($I$2,K$4,K$5))</f>
        <v/>
      </c>
      <c r="L722" s="321">
        <f>SUMIFS(DATA!$I:$I,DATA!$C:$C,$B722,DATA!$J:$J,"&gt;="&amp;DATE($I$2,L$4,1),DATA!$J:$J,"&lt;="&amp;DATE($I$2,L$4,L$5))</f>
        <v/>
      </c>
      <c r="M722" s="321">
        <f>SUMIFS(DATA!$I:$I,DATA!$C:$C,$B722,DATA!$J:$J,"&gt;="&amp;DATE($I$2,M$4,1),DATA!$J:$J,"&lt;="&amp;DATE($I$2,M$4,M$5))</f>
        <v/>
      </c>
      <c r="N722" s="321">
        <f>SUMIFS(DATA!$I:$I,DATA!$C:$C,$B722,DATA!$J:$J,"&gt;="&amp;DATE($I$2,N$4,1),DATA!$J:$J,"&lt;="&amp;DATE($I$2,N$4,N$5))</f>
        <v/>
      </c>
      <c r="O722" s="321">
        <f>SUMIFS(DATA!$I:$I,DATA!$C:$C,$B722,DATA!$J:$J,"&gt;="&amp;DATE($I$2,O$4,1),DATA!$J:$J,"&lt;="&amp;DATE($I$2,O$4,O$5))</f>
        <v/>
      </c>
      <c r="P722" s="322">
        <f>SUM(D722:O722)</f>
        <v/>
      </c>
      <c r="Q722" s="118" t="n"/>
    </row>
    <row r="723" hidden="1" outlineLevel="1" ht="15" customHeight="1">
      <c r="A723" s="266" t="n"/>
      <c r="B723" s="126" t="n"/>
      <c r="C723" s="119" t="inlineStr">
        <is>
          <t>Thực tế</t>
        </is>
      </c>
      <c r="D723" s="321">
        <f>SUMIFS(DATA!$M:$M,DATA!$C:$C,$B722,DATA!$N:$N,"&gt;="&amp;DATE($I$2,D$4,1),DATA!$N:$N,"&lt;="&amp;DATE($I$2,D$4,D$5))</f>
        <v/>
      </c>
      <c r="E723" s="321">
        <f>SUMIFS(DATA!$M:$M,DATA!$C:$C,$B722,DATA!$N:$N,"&gt;="&amp;DATE($I$2,E$4,1),DATA!$N:$N,"&lt;="&amp;DATE($I$2,E$4,E$5))</f>
        <v/>
      </c>
      <c r="F723" s="321">
        <f>SUMIFS(DATA!$M:$M,DATA!$C:$C,$B722,DATA!$N:$N,"&gt;="&amp;DATE($I$2,F$4,1),DATA!$N:$N,"&lt;="&amp;DATE($I$2,F$4,F$5))</f>
        <v/>
      </c>
      <c r="G723" s="321">
        <f>SUMIFS(DATA!$M:$M,DATA!$C:$C,$B722,DATA!$N:$N,"&gt;="&amp;DATE($I$2,G$4,1),DATA!$N:$N,"&lt;="&amp;DATE($I$2,G$4,G$5))</f>
        <v/>
      </c>
      <c r="H723" s="321">
        <f>SUMIFS(DATA!$M:$M,DATA!$C:$C,$B722,DATA!$N:$N,"&gt;="&amp;DATE($I$2,H$4,1),DATA!$N:$N,"&lt;="&amp;DATE($I$2,H$4,H$5))</f>
        <v/>
      </c>
      <c r="I723" s="321">
        <f>SUMIFS(DATA!$M:$M,DATA!$C:$C,$B722,DATA!$N:$N,"&gt;="&amp;DATE($I$2,I$4,1),DATA!$N:$N,"&lt;="&amp;DATE($I$2,I$4,I$5))</f>
        <v/>
      </c>
      <c r="J723" s="321">
        <f>SUMIFS(DATA!$M:$M,DATA!$C:$C,$B722,DATA!$N:$N,"&gt;="&amp;DATE($I$2,J$4,1),DATA!$N:$N,"&lt;="&amp;DATE($I$2,J$4,J$5))</f>
        <v/>
      </c>
      <c r="K723" s="321">
        <f>SUMIFS(DATA!$M:$M,DATA!$C:$C,$B722,DATA!$N:$N,"&gt;="&amp;DATE($I$2,K$4,1),DATA!$N:$N,"&lt;="&amp;DATE($I$2,K$4,K$5))</f>
        <v/>
      </c>
      <c r="L723" s="321">
        <f>SUMIFS(DATA!$M:$M,DATA!$C:$C,$B722,DATA!$N:$N,"&gt;="&amp;DATE($I$2,L$4,1),DATA!$N:$N,"&lt;="&amp;DATE($I$2,L$4,L$5))</f>
        <v/>
      </c>
      <c r="M723" s="321">
        <f>SUMIFS(DATA!$M:$M,DATA!$C:$C,$B722,DATA!$N:$N,"&gt;="&amp;DATE($I$2,M$4,1),DATA!$N:$N,"&lt;="&amp;DATE($I$2,M$4,M$5))</f>
        <v/>
      </c>
      <c r="N723" s="321">
        <f>SUMIFS(DATA!$M:$M,DATA!$C:$C,$B722,DATA!$N:$N,"&gt;="&amp;DATE($I$2,N$4,1),DATA!$N:$N,"&lt;="&amp;DATE($I$2,N$4,N$5))</f>
        <v/>
      </c>
      <c r="O723" s="321">
        <f>SUMIFS(DATA!$M:$M,DATA!$C:$C,$B722,DATA!$N:$N,"&gt;="&amp;DATE($I$2,O$4,1),DATA!$N:$N,"&lt;="&amp;DATE($I$2,O$4,O$5))</f>
        <v/>
      </c>
      <c r="P723" s="322">
        <f>SUM(D723:O723)</f>
        <v/>
      </c>
      <c r="Q723" s="118" t="n"/>
    </row>
    <row r="724" hidden="1" outlineLevel="1" ht="15" customHeight="1">
      <c r="A724" s="269" t="n">
        <v>360</v>
      </c>
      <c r="B724" s="125" t="n"/>
      <c r="C724" s="119" t="inlineStr">
        <is>
          <t>Kế hoạch</t>
        </is>
      </c>
      <c r="D724" s="321">
        <f>SUMIFS(DATA!$I:$I,DATA!$C:$C,$B724,DATA!$J:$J,"&gt;="&amp;DATE($I$2,D$4,1),DATA!$J:$J,"&lt;="&amp;DATE($I$2,D$4,D$5))</f>
        <v/>
      </c>
      <c r="E724" s="321">
        <f>SUMIFS(DATA!$I:$I,DATA!$C:$C,$B724,DATA!$J:$J,"&gt;="&amp;DATE($I$2,E$4,1),DATA!$J:$J,"&lt;="&amp;DATE($I$2,E$4,E$5))</f>
        <v/>
      </c>
      <c r="F724" s="321">
        <f>SUMIFS(DATA!$I:$I,DATA!$C:$C,$B724,DATA!$J:$J,"&gt;="&amp;DATE($I$2,F$4,1),DATA!$J:$J,"&lt;="&amp;DATE($I$2,F$4,F$5))</f>
        <v/>
      </c>
      <c r="G724" s="321">
        <f>SUMIFS(DATA!$I:$I,DATA!$C:$C,$B724,DATA!$J:$J,"&gt;="&amp;DATE($I$2,G$4,1),DATA!$J:$J,"&lt;="&amp;DATE($I$2,G$4,G$5))</f>
        <v/>
      </c>
      <c r="H724" s="321">
        <f>SUMIFS(DATA!$I:$I,DATA!$C:$C,$B724,DATA!$J:$J,"&gt;="&amp;DATE($I$2,H$4,1),DATA!$J:$J,"&lt;="&amp;DATE($I$2,H$4,H$5))</f>
        <v/>
      </c>
      <c r="I724" s="321">
        <f>SUMIFS(DATA!$I:$I,DATA!$C:$C,$B724,DATA!$J:$J,"&gt;="&amp;DATE($I$2,I$4,1),DATA!$J:$J,"&lt;="&amp;DATE($I$2,I$4,I$5))</f>
        <v/>
      </c>
      <c r="J724" s="321">
        <f>SUMIFS(DATA!$I:$I,DATA!$C:$C,$B724,DATA!$J:$J,"&gt;="&amp;DATE($I$2,J$4,1),DATA!$J:$J,"&lt;="&amp;DATE($I$2,J$4,J$5))</f>
        <v/>
      </c>
      <c r="K724" s="321">
        <f>SUMIFS(DATA!$I:$I,DATA!$C:$C,$B724,DATA!$J:$J,"&gt;="&amp;DATE($I$2,K$4,1),DATA!$J:$J,"&lt;="&amp;DATE($I$2,K$4,K$5))</f>
        <v/>
      </c>
      <c r="L724" s="321">
        <f>SUMIFS(DATA!$I:$I,DATA!$C:$C,$B724,DATA!$J:$J,"&gt;="&amp;DATE($I$2,L$4,1),DATA!$J:$J,"&lt;="&amp;DATE($I$2,L$4,L$5))</f>
        <v/>
      </c>
      <c r="M724" s="321">
        <f>SUMIFS(DATA!$I:$I,DATA!$C:$C,$B724,DATA!$J:$J,"&gt;="&amp;DATE($I$2,M$4,1),DATA!$J:$J,"&lt;="&amp;DATE($I$2,M$4,M$5))</f>
        <v/>
      </c>
      <c r="N724" s="321">
        <f>SUMIFS(DATA!$I:$I,DATA!$C:$C,$B724,DATA!$J:$J,"&gt;="&amp;DATE($I$2,N$4,1),DATA!$J:$J,"&lt;="&amp;DATE($I$2,N$4,N$5))</f>
        <v/>
      </c>
      <c r="O724" s="321">
        <f>SUMIFS(DATA!$I:$I,DATA!$C:$C,$B724,DATA!$J:$J,"&gt;="&amp;DATE($I$2,O$4,1),DATA!$J:$J,"&lt;="&amp;DATE($I$2,O$4,O$5))</f>
        <v/>
      </c>
      <c r="P724" s="322">
        <f>SUM(D724:O724)</f>
        <v/>
      </c>
      <c r="Q724" s="118" t="n"/>
    </row>
    <row r="725" hidden="1" outlineLevel="1" ht="15" customHeight="1">
      <c r="A725" s="266" t="n"/>
      <c r="B725" s="126" t="n"/>
      <c r="C725" s="119" t="inlineStr">
        <is>
          <t>Thực tế</t>
        </is>
      </c>
      <c r="D725" s="321">
        <f>SUMIFS(DATA!$M:$M,DATA!$C:$C,$B724,DATA!$N:$N,"&gt;="&amp;DATE($I$2,D$4,1),DATA!$N:$N,"&lt;="&amp;DATE($I$2,D$4,D$5))</f>
        <v/>
      </c>
      <c r="E725" s="321">
        <f>SUMIFS(DATA!$M:$M,DATA!$C:$C,$B724,DATA!$N:$N,"&gt;="&amp;DATE($I$2,E$4,1),DATA!$N:$N,"&lt;="&amp;DATE($I$2,E$4,E$5))</f>
        <v/>
      </c>
      <c r="F725" s="321">
        <f>SUMIFS(DATA!$M:$M,DATA!$C:$C,$B724,DATA!$N:$N,"&gt;="&amp;DATE($I$2,F$4,1),DATA!$N:$N,"&lt;="&amp;DATE($I$2,F$4,F$5))</f>
        <v/>
      </c>
      <c r="G725" s="321">
        <f>SUMIFS(DATA!$M:$M,DATA!$C:$C,$B724,DATA!$N:$N,"&gt;="&amp;DATE($I$2,G$4,1),DATA!$N:$N,"&lt;="&amp;DATE($I$2,G$4,G$5))</f>
        <v/>
      </c>
      <c r="H725" s="321">
        <f>SUMIFS(DATA!$M:$M,DATA!$C:$C,$B724,DATA!$N:$N,"&gt;="&amp;DATE($I$2,H$4,1),DATA!$N:$N,"&lt;="&amp;DATE($I$2,H$4,H$5))</f>
        <v/>
      </c>
      <c r="I725" s="321">
        <f>SUMIFS(DATA!$M:$M,DATA!$C:$C,$B724,DATA!$N:$N,"&gt;="&amp;DATE($I$2,I$4,1),DATA!$N:$N,"&lt;="&amp;DATE($I$2,I$4,I$5))</f>
        <v/>
      </c>
      <c r="J725" s="321">
        <f>SUMIFS(DATA!$M:$M,DATA!$C:$C,$B724,DATA!$N:$N,"&gt;="&amp;DATE($I$2,J$4,1),DATA!$N:$N,"&lt;="&amp;DATE($I$2,J$4,J$5))</f>
        <v/>
      </c>
      <c r="K725" s="321">
        <f>SUMIFS(DATA!$M:$M,DATA!$C:$C,$B724,DATA!$N:$N,"&gt;="&amp;DATE($I$2,K$4,1),DATA!$N:$N,"&lt;="&amp;DATE($I$2,K$4,K$5))</f>
        <v/>
      </c>
      <c r="L725" s="321">
        <f>SUMIFS(DATA!$M:$M,DATA!$C:$C,$B724,DATA!$N:$N,"&gt;="&amp;DATE($I$2,L$4,1),DATA!$N:$N,"&lt;="&amp;DATE($I$2,L$4,L$5))</f>
        <v/>
      </c>
      <c r="M725" s="321">
        <f>SUMIFS(DATA!$M:$M,DATA!$C:$C,$B724,DATA!$N:$N,"&gt;="&amp;DATE($I$2,M$4,1),DATA!$N:$N,"&lt;="&amp;DATE($I$2,M$4,M$5))</f>
        <v/>
      </c>
      <c r="N725" s="321">
        <f>SUMIFS(DATA!$M:$M,DATA!$C:$C,$B724,DATA!$N:$N,"&gt;="&amp;DATE($I$2,N$4,1),DATA!$N:$N,"&lt;="&amp;DATE($I$2,N$4,N$5))</f>
        <v/>
      </c>
      <c r="O725" s="321">
        <f>SUMIFS(DATA!$M:$M,DATA!$C:$C,$B724,DATA!$N:$N,"&gt;="&amp;DATE($I$2,O$4,1),DATA!$N:$N,"&lt;="&amp;DATE($I$2,O$4,O$5))</f>
        <v/>
      </c>
      <c r="P725" s="322">
        <f>SUM(D725:O725)</f>
        <v/>
      </c>
      <c r="Q725" s="118" t="n"/>
    </row>
    <row r="726" hidden="1" outlineLevel="1" ht="15" customHeight="1">
      <c r="A726" s="269" t="n">
        <v>361</v>
      </c>
      <c r="B726" s="125" t="n"/>
      <c r="C726" s="119" t="inlineStr">
        <is>
          <t>Kế hoạch</t>
        </is>
      </c>
      <c r="D726" s="321">
        <f>SUMIFS(DATA!$I:$I,DATA!$C:$C,$B726,DATA!$J:$J,"&gt;="&amp;DATE($I$2,D$4,1),DATA!$J:$J,"&lt;="&amp;DATE($I$2,D$4,D$5))</f>
        <v/>
      </c>
      <c r="E726" s="321">
        <f>SUMIFS(DATA!$I:$I,DATA!$C:$C,$B726,DATA!$J:$J,"&gt;="&amp;DATE($I$2,E$4,1),DATA!$J:$J,"&lt;="&amp;DATE($I$2,E$4,E$5))</f>
        <v/>
      </c>
      <c r="F726" s="321">
        <f>SUMIFS(DATA!$I:$I,DATA!$C:$C,$B726,DATA!$J:$J,"&gt;="&amp;DATE($I$2,F$4,1),DATA!$J:$J,"&lt;="&amp;DATE($I$2,F$4,F$5))</f>
        <v/>
      </c>
      <c r="G726" s="321">
        <f>SUMIFS(DATA!$I:$I,DATA!$C:$C,$B726,DATA!$J:$J,"&gt;="&amp;DATE($I$2,G$4,1),DATA!$J:$J,"&lt;="&amp;DATE($I$2,G$4,G$5))</f>
        <v/>
      </c>
      <c r="H726" s="321">
        <f>SUMIFS(DATA!$I:$I,DATA!$C:$C,$B726,DATA!$J:$J,"&gt;="&amp;DATE($I$2,H$4,1),DATA!$J:$J,"&lt;="&amp;DATE($I$2,H$4,H$5))</f>
        <v/>
      </c>
      <c r="I726" s="321">
        <f>SUMIFS(DATA!$I:$I,DATA!$C:$C,$B726,DATA!$J:$J,"&gt;="&amp;DATE($I$2,I$4,1),DATA!$J:$J,"&lt;="&amp;DATE($I$2,I$4,I$5))</f>
        <v/>
      </c>
      <c r="J726" s="321">
        <f>SUMIFS(DATA!$I:$I,DATA!$C:$C,$B726,DATA!$J:$J,"&gt;="&amp;DATE($I$2,J$4,1),DATA!$J:$J,"&lt;="&amp;DATE($I$2,J$4,J$5))</f>
        <v/>
      </c>
      <c r="K726" s="321">
        <f>SUMIFS(DATA!$I:$I,DATA!$C:$C,$B726,DATA!$J:$J,"&gt;="&amp;DATE($I$2,K$4,1),DATA!$J:$J,"&lt;="&amp;DATE($I$2,K$4,K$5))</f>
        <v/>
      </c>
      <c r="L726" s="321">
        <f>SUMIFS(DATA!$I:$I,DATA!$C:$C,$B726,DATA!$J:$J,"&gt;="&amp;DATE($I$2,L$4,1),DATA!$J:$J,"&lt;="&amp;DATE($I$2,L$4,L$5))</f>
        <v/>
      </c>
      <c r="M726" s="321">
        <f>SUMIFS(DATA!$I:$I,DATA!$C:$C,$B726,DATA!$J:$J,"&gt;="&amp;DATE($I$2,M$4,1),DATA!$J:$J,"&lt;="&amp;DATE($I$2,M$4,M$5))</f>
        <v/>
      </c>
      <c r="N726" s="321">
        <f>SUMIFS(DATA!$I:$I,DATA!$C:$C,$B726,DATA!$J:$J,"&gt;="&amp;DATE($I$2,N$4,1),DATA!$J:$J,"&lt;="&amp;DATE($I$2,N$4,N$5))</f>
        <v/>
      </c>
      <c r="O726" s="321">
        <f>SUMIFS(DATA!$I:$I,DATA!$C:$C,$B726,DATA!$J:$J,"&gt;="&amp;DATE($I$2,O$4,1),DATA!$J:$J,"&lt;="&amp;DATE($I$2,O$4,O$5))</f>
        <v/>
      </c>
      <c r="P726" s="322">
        <f>SUM(D726:O726)</f>
        <v/>
      </c>
      <c r="Q726" s="118" t="n"/>
    </row>
    <row r="727" hidden="1" outlineLevel="1" ht="15" customHeight="1">
      <c r="A727" s="266" t="n"/>
      <c r="B727" s="126" t="n"/>
      <c r="C727" s="119" t="inlineStr">
        <is>
          <t>Thực tế</t>
        </is>
      </c>
      <c r="D727" s="321">
        <f>SUMIFS(DATA!$M:$M,DATA!$C:$C,$B726,DATA!$N:$N,"&gt;="&amp;DATE($I$2,D$4,1),DATA!$N:$N,"&lt;="&amp;DATE($I$2,D$4,D$5))</f>
        <v/>
      </c>
      <c r="E727" s="321">
        <f>SUMIFS(DATA!$M:$M,DATA!$C:$C,$B726,DATA!$N:$N,"&gt;="&amp;DATE($I$2,E$4,1),DATA!$N:$N,"&lt;="&amp;DATE($I$2,E$4,E$5))</f>
        <v/>
      </c>
      <c r="F727" s="321">
        <f>SUMIFS(DATA!$M:$M,DATA!$C:$C,$B726,DATA!$N:$N,"&gt;="&amp;DATE($I$2,F$4,1),DATA!$N:$N,"&lt;="&amp;DATE($I$2,F$4,F$5))</f>
        <v/>
      </c>
      <c r="G727" s="321">
        <f>SUMIFS(DATA!$M:$M,DATA!$C:$C,$B726,DATA!$N:$N,"&gt;="&amp;DATE($I$2,G$4,1),DATA!$N:$N,"&lt;="&amp;DATE($I$2,G$4,G$5))</f>
        <v/>
      </c>
      <c r="H727" s="321">
        <f>SUMIFS(DATA!$M:$M,DATA!$C:$C,$B726,DATA!$N:$N,"&gt;="&amp;DATE($I$2,H$4,1),DATA!$N:$N,"&lt;="&amp;DATE($I$2,H$4,H$5))</f>
        <v/>
      </c>
      <c r="I727" s="321">
        <f>SUMIFS(DATA!$M:$M,DATA!$C:$C,$B726,DATA!$N:$N,"&gt;="&amp;DATE($I$2,I$4,1),DATA!$N:$N,"&lt;="&amp;DATE($I$2,I$4,I$5))</f>
        <v/>
      </c>
      <c r="J727" s="321">
        <f>SUMIFS(DATA!$M:$M,DATA!$C:$C,$B726,DATA!$N:$N,"&gt;="&amp;DATE($I$2,J$4,1),DATA!$N:$N,"&lt;="&amp;DATE($I$2,J$4,J$5))</f>
        <v/>
      </c>
      <c r="K727" s="321">
        <f>SUMIFS(DATA!$M:$M,DATA!$C:$C,$B726,DATA!$N:$N,"&gt;="&amp;DATE($I$2,K$4,1),DATA!$N:$N,"&lt;="&amp;DATE($I$2,K$4,K$5))</f>
        <v/>
      </c>
      <c r="L727" s="321">
        <f>SUMIFS(DATA!$M:$M,DATA!$C:$C,$B726,DATA!$N:$N,"&gt;="&amp;DATE($I$2,L$4,1),DATA!$N:$N,"&lt;="&amp;DATE($I$2,L$4,L$5))</f>
        <v/>
      </c>
      <c r="M727" s="321">
        <f>SUMIFS(DATA!$M:$M,DATA!$C:$C,$B726,DATA!$N:$N,"&gt;="&amp;DATE($I$2,M$4,1),DATA!$N:$N,"&lt;="&amp;DATE($I$2,M$4,M$5))</f>
        <v/>
      </c>
      <c r="N727" s="321">
        <f>SUMIFS(DATA!$M:$M,DATA!$C:$C,$B726,DATA!$N:$N,"&gt;="&amp;DATE($I$2,N$4,1),DATA!$N:$N,"&lt;="&amp;DATE($I$2,N$4,N$5))</f>
        <v/>
      </c>
      <c r="O727" s="321">
        <f>SUMIFS(DATA!$M:$M,DATA!$C:$C,$B726,DATA!$N:$N,"&gt;="&amp;DATE($I$2,O$4,1),DATA!$N:$N,"&lt;="&amp;DATE($I$2,O$4,O$5))</f>
        <v/>
      </c>
      <c r="P727" s="322">
        <f>SUM(D727:O727)</f>
        <v/>
      </c>
      <c r="Q727" s="118" t="n"/>
    </row>
    <row r="728" hidden="1" outlineLevel="1" ht="15" customHeight="1">
      <c r="A728" s="269" t="n">
        <v>362</v>
      </c>
      <c r="B728" s="125" t="n"/>
      <c r="C728" s="119" t="inlineStr">
        <is>
          <t>Kế hoạch</t>
        </is>
      </c>
      <c r="D728" s="321">
        <f>SUMIFS(DATA!$I:$I,DATA!$C:$C,$B728,DATA!$J:$J,"&gt;="&amp;DATE($I$2,D$4,1),DATA!$J:$J,"&lt;="&amp;DATE($I$2,D$4,D$5))</f>
        <v/>
      </c>
      <c r="E728" s="321">
        <f>SUMIFS(DATA!$I:$I,DATA!$C:$C,$B728,DATA!$J:$J,"&gt;="&amp;DATE($I$2,E$4,1),DATA!$J:$J,"&lt;="&amp;DATE($I$2,E$4,E$5))</f>
        <v/>
      </c>
      <c r="F728" s="321">
        <f>SUMIFS(DATA!$I:$I,DATA!$C:$C,$B728,DATA!$J:$J,"&gt;="&amp;DATE($I$2,F$4,1),DATA!$J:$J,"&lt;="&amp;DATE($I$2,F$4,F$5))</f>
        <v/>
      </c>
      <c r="G728" s="321">
        <f>SUMIFS(DATA!$I:$I,DATA!$C:$C,$B728,DATA!$J:$J,"&gt;="&amp;DATE($I$2,G$4,1),DATA!$J:$J,"&lt;="&amp;DATE($I$2,G$4,G$5))</f>
        <v/>
      </c>
      <c r="H728" s="321">
        <f>SUMIFS(DATA!$I:$I,DATA!$C:$C,$B728,DATA!$J:$J,"&gt;="&amp;DATE($I$2,H$4,1),DATA!$J:$J,"&lt;="&amp;DATE($I$2,H$4,H$5))</f>
        <v/>
      </c>
      <c r="I728" s="321">
        <f>SUMIFS(DATA!$I:$I,DATA!$C:$C,$B728,DATA!$J:$J,"&gt;="&amp;DATE($I$2,I$4,1),DATA!$J:$J,"&lt;="&amp;DATE($I$2,I$4,I$5))</f>
        <v/>
      </c>
      <c r="J728" s="321">
        <f>SUMIFS(DATA!$I:$I,DATA!$C:$C,$B728,DATA!$J:$J,"&gt;="&amp;DATE($I$2,J$4,1),DATA!$J:$J,"&lt;="&amp;DATE($I$2,J$4,J$5))</f>
        <v/>
      </c>
      <c r="K728" s="321">
        <f>SUMIFS(DATA!$I:$I,DATA!$C:$C,$B728,DATA!$J:$J,"&gt;="&amp;DATE($I$2,K$4,1),DATA!$J:$J,"&lt;="&amp;DATE($I$2,K$4,K$5))</f>
        <v/>
      </c>
      <c r="L728" s="321">
        <f>SUMIFS(DATA!$I:$I,DATA!$C:$C,$B728,DATA!$J:$J,"&gt;="&amp;DATE($I$2,L$4,1),DATA!$J:$J,"&lt;="&amp;DATE($I$2,L$4,L$5))</f>
        <v/>
      </c>
      <c r="M728" s="321">
        <f>SUMIFS(DATA!$I:$I,DATA!$C:$C,$B728,DATA!$J:$J,"&gt;="&amp;DATE($I$2,M$4,1),DATA!$J:$J,"&lt;="&amp;DATE($I$2,M$4,M$5))</f>
        <v/>
      </c>
      <c r="N728" s="321">
        <f>SUMIFS(DATA!$I:$I,DATA!$C:$C,$B728,DATA!$J:$J,"&gt;="&amp;DATE($I$2,N$4,1),DATA!$J:$J,"&lt;="&amp;DATE($I$2,N$4,N$5))</f>
        <v/>
      </c>
      <c r="O728" s="321">
        <f>SUMIFS(DATA!$I:$I,DATA!$C:$C,$B728,DATA!$J:$J,"&gt;="&amp;DATE($I$2,O$4,1),DATA!$J:$J,"&lt;="&amp;DATE($I$2,O$4,O$5))</f>
        <v/>
      </c>
      <c r="P728" s="322">
        <f>SUM(D728:O728)</f>
        <v/>
      </c>
      <c r="Q728" s="118" t="n"/>
    </row>
    <row r="729" hidden="1" outlineLevel="1" ht="15" customHeight="1">
      <c r="A729" s="266" t="n"/>
      <c r="B729" s="126" t="n"/>
      <c r="C729" s="119" t="inlineStr">
        <is>
          <t>Thực tế</t>
        </is>
      </c>
      <c r="D729" s="321">
        <f>SUMIFS(DATA!$M:$M,DATA!$C:$C,$B728,DATA!$N:$N,"&gt;="&amp;DATE($I$2,D$4,1),DATA!$N:$N,"&lt;="&amp;DATE($I$2,D$4,D$5))</f>
        <v/>
      </c>
      <c r="E729" s="321">
        <f>SUMIFS(DATA!$M:$M,DATA!$C:$C,$B728,DATA!$N:$N,"&gt;="&amp;DATE($I$2,E$4,1),DATA!$N:$N,"&lt;="&amp;DATE($I$2,E$4,E$5))</f>
        <v/>
      </c>
      <c r="F729" s="321">
        <f>SUMIFS(DATA!$M:$M,DATA!$C:$C,$B728,DATA!$N:$N,"&gt;="&amp;DATE($I$2,F$4,1),DATA!$N:$N,"&lt;="&amp;DATE($I$2,F$4,F$5))</f>
        <v/>
      </c>
      <c r="G729" s="321">
        <f>SUMIFS(DATA!$M:$M,DATA!$C:$C,$B728,DATA!$N:$N,"&gt;="&amp;DATE($I$2,G$4,1),DATA!$N:$N,"&lt;="&amp;DATE($I$2,G$4,G$5))</f>
        <v/>
      </c>
      <c r="H729" s="321">
        <f>SUMIFS(DATA!$M:$M,DATA!$C:$C,$B728,DATA!$N:$N,"&gt;="&amp;DATE($I$2,H$4,1),DATA!$N:$N,"&lt;="&amp;DATE($I$2,H$4,H$5))</f>
        <v/>
      </c>
      <c r="I729" s="321">
        <f>SUMIFS(DATA!$M:$M,DATA!$C:$C,$B728,DATA!$N:$N,"&gt;="&amp;DATE($I$2,I$4,1),DATA!$N:$N,"&lt;="&amp;DATE($I$2,I$4,I$5))</f>
        <v/>
      </c>
      <c r="J729" s="321">
        <f>SUMIFS(DATA!$M:$M,DATA!$C:$C,$B728,DATA!$N:$N,"&gt;="&amp;DATE($I$2,J$4,1),DATA!$N:$N,"&lt;="&amp;DATE($I$2,J$4,J$5))</f>
        <v/>
      </c>
      <c r="K729" s="321">
        <f>SUMIFS(DATA!$M:$M,DATA!$C:$C,$B728,DATA!$N:$N,"&gt;="&amp;DATE($I$2,K$4,1),DATA!$N:$N,"&lt;="&amp;DATE($I$2,K$4,K$5))</f>
        <v/>
      </c>
      <c r="L729" s="321">
        <f>SUMIFS(DATA!$M:$M,DATA!$C:$C,$B728,DATA!$N:$N,"&gt;="&amp;DATE($I$2,L$4,1),DATA!$N:$N,"&lt;="&amp;DATE($I$2,L$4,L$5))</f>
        <v/>
      </c>
      <c r="M729" s="321">
        <f>SUMIFS(DATA!$M:$M,DATA!$C:$C,$B728,DATA!$N:$N,"&gt;="&amp;DATE($I$2,M$4,1),DATA!$N:$N,"&lt;="&amp;DATE($I$2,M$4,M$5))</f>
        <v/>
      </c>
      <c r="N729" s="321">
        <f>SUMIFS(DATA!$M:$M,DATA!$C:$C,$B728,DATA!$N:$N,"&gt;="&amp;DATE($I$2,N$4,1),DATA!$N:$N,"&lt;="&amp;DATE($I$2,N$4,N$5))</f>
        <v/>
      </c>
      <c r="O729" s="321">
        <f>SUMIFS(DATA!$M:$M,DATA!$C:$C,$B728,DATA!$N:$N,"&gt;="&amp;DATE($I$2,O$4,1),DATA!$N:$N,"&lt;="&amp;DATE($I$2,O$4,O$5))</f>
        <v/>
      </c>
      <c r="P729" s="322">
        <f>SUM(D729:O729)</f>
        <v/>
      </c>
      <c r="Q729" s="118" t="n"/>
    </row>
    <row r="730" hidden="1" outlineLevel="1" ht="15" customHeight="1">
      <c r="A730" s="269" t="n">
        <v>363</v>
      </c>
      <c r="B730" s="125" t="n"/>
      <c r="C730" s="119" t="inlineStr">
        <is>
          <t>Kế hoạch</t>
        </is>
      </c>
      <c r="D730" s="321">
        <f>SUMIFS(DATA!$I:$I,DATA!$C:$C,$B730,DATA!$J:$J,"&gt;="&amp;DATE($I$2,D$4,1),DATA!$J:$J,"&lt;="&amp;DATE($I$2,D$4,D$5))</f>
        <v/>
      </c>
      <c r="E730" s="321">
        <f>SUMIFS(DATA!$I:$I,DATA!$C:$C,$B730,DATA!$J:$J,"&gt;="&amp;DATE($I$2,E$4,1),DATA!$J:$J,"&lt;="&amp;DATE($I$2,E$4,E$5))</f>
        <v/>
      </c>
      <c r="F730" s="321">
        <f>SUMIFS(DATA!$I:$I,DATA!$C:$C,$B730,DATA!$J:$J,"&gt;="&amp;DATE($I$2,F$4,1),DATA!$J:$J,"&lt;="&amp;DATE($I$2,F$4,F$5))</f>
        <v/>
      </c>
      <c r="G730" s="321">
        <f>SUMIFS(DATA!$I:$I,DATA!$C:$C,$B730,DATA!$J:$J,"&gt;="&amp;DATE($I$2,G$4,1),DATA!$J:$J,"&lt;="&amp;DATE($I$2,G$4,G$5))</f>
        <v/>
      </c>
      <c r="H730" s="321">
        <f>SUMIFS(DATA!$I:$I,DATA!$C:$C,$B730,DATA!$J:$J,"&gt;="&amp;DATE($I$2,H$4,1),DATA!$J:$J,"&lt;="&amp;DATE($I$2,H$4,H$5))</f>
        <v/>
      </c>
      <c r="I730" s="321">
        <f>SUMIFS(DATA!$I:$I,DATA!$C:$C,$B730,DATA!$J:$J,"&gt;="&amp;DATE($I$2,I$4,1),DATA!$J:$J,"&lt;="&amp;DATE($I$2,I$4,I$5))</f>
        <v/>
      </c>
      <c r="J730" s="321">
        <f>SUMIFS(DATA!$I:$I,DATA!$C:$C,$B730,DATA!$J:$J,"&gt;="&amp;DATE($I$2,J$4,1),DATA!$J:$J,"&lt;="&amp;DATE($I$2,J$4,J$5))</f>
        <v/>
      </c>
      <c r="K730" s="321">
        <f>SUMIFS(DATA!$I:$I,DATA!$C:$C,$B730,DATA!$J:$J,"&gt;="&amp;DATE($I$2,K$4,1),DATA!$J:$J,"&lt;="&amp;DATE($I$2,K$4,K$5))</f>
        <v/>
      </c>
      <c r="L730" s="321">
        <f>SUMIFS(DATA!$I:$I,DATA!$C:$C,$B730,DATA!$J:$J,"&gt;="&amp;DATE($I$2,L$4,1),DATA!$J:$J,"&lt;="&amp;DATE($I$2,L$4,L$5))</f>
        <v/>
      </c>
      <c r="M730" s="321">
        <f>SUMIFS(DATA!$I:$I,DATA!$C:$C,$B730,DATA!$J:$J,"&gt;="&amp;DATE($I$2,M$4,1),DATA!$J:$J,"&lt;="&amp;DATE($I$2,M$4,M$5))</f>
        <v/>
      </c>
      <c r="N730" s="321">
        <f>SUMIFS(DATA!$I:$I,DATA!$C:$C,$B730,DATA!$J:$J,"&gt;="&amp;DATE($I$2,N$4,1),DATA!$J:$J,"&lt;="&amp;DATE($I$2,N$4,N$5))</f>
        <v/>
      </c>
      <c r="O730" s="321">
        <f>SUMIFS(DATA!$I:$I,DATA!$C:$C,$B730,DATA!$J:$J,"&gt;="&amp;DATE($I$2,O$4,1),DATA!$J:$J,"&lt;="&amp;DATE($I$2,O$4,O$5))</f>
        <v/>
      </c>
      <c r="P730" s="322">
        <f>SUM(D730:O730)</f>
        <v/>
      </c>
      <c r="Q730" s="118" t="n"/>
    </row>
    <row r="731" hidden="1" outlineLevel="1" ht="15" customHeight="1">
      <c r="A731" s="266" t="n"/>
      <c r="B731" s="126" t="n"/>
      <c r="C731" s="119" t="inlineStr">
        <is>
          <t>Thực tế</t>
        </is>
      </c>
      <c r="D731" s="321">
        <f>SUMIFS(DATA!$M:$M,DATA!$C:$C,$B730,DATA!$N:$N,"&gt;="&amp;DATE($I$2,D$4,1),DATA!$N:$N,"&lt;="&amp;DATE($I$2,D$4,D$5))</f>
        <v/>
      </c>
      <c r="E731" s="321">
        <f>SUMIFS(DATA!$M:$M,DATA!$C:$C,$B730,DATA!$N:$N,"&gt;="&amp;DATE($I$2,E$4,1),DATA!$N:$N,"&lt;="&amp;DATE($I$2,E$4,E$5))</f>
        <v/>
      </c>
      <c r="F731" s="321">
        <f>SUMIFS(DATA!$M:$M,DATA!$C:$C,$B730,DATA!$N:$N,"&gt;="&amp;DATE($I$2,F$4,1),DATA!$N:$N,"&lt;="&amp;DATE($I$2,F$4,F$5))</f>
        <v/>
      </c>
      <c r="G731" s="321">
        <f>SUMIFS(DATA!$M:$M,DATA!$C:$C,$B730,DATA!$N:$N,"&gt;="&amp;DATE($I$2,G$4,1),DATA!$N:$N,"&lt;="&amp;DATE($I$2,G$4,G$5))</f>
        <v/>
      </c>
      <c r="H731" s="321">
        <f>SUMIFS(DATA!$M:$M,DATA!$C:$C,$B730,DATA!$N:$N,"&gt;="&amp;DATE($I$2,H$4,1),DATA!$N:$N,"&lt;="&amp;DATE($I$2,H$4,H$5))</f>
        <v/>
      </c>
      <c r="I731" s="321">
        <f>SUMIFS(DATA!$M:$M,DATA!$C:$C,$B730,DATA!$N:$N,"&gt;="&amp;DATE($I$2,I$4,1),DATA!$N:$N,"&lt;="&amp;DATE($I$2,I$4,I$5))</f>
        <v/>
      </c>
      <c r="J731" s="321">
        <f>SUMIFS(DATA!$M:$M,DATA!$C:$C,$B730,DATA!$N:$N,"&gt;="&amp;DATE($I$2,J$4,1),DATA!$N:$N,"&lt;="&amp;DATE($I$2,J$4,J$5))</f>
        <v/>
      </c>
      <c r="K731" s="321">
        <f>SUMIFS(DATA!$M:$M,DATA!$C:$C,$B730,DATA!$N:$N,"&gt;="&amp;DATE($I$2,K$4,1),DATA!$N:$N,"&lt;="&amp;DATE($I$2,K$4,K$5))</f>
        <v/>
      </c>
      <c r="L731" s="321">
        <f>SUMIFS(DATA!$M:$M,DATA!$C:$C,$B730,DATA!$N:$N,"&gt;="&amp;DATE($I$2,L$4,1),DATA!$N:$N,"&lt;="&amp;DATE($I$2,L$4,L$5))</f>
        <v/>
      </c>
      <c r="M731" s="321">
        <f>SUMIFS(DATA!$M:$M,DATA!$C:$C,$B730,DATA!$N:$N,"&gt;="&amp;DATE($I$2,M$4,1),DATA!$N:$N,"&lt;="&amp;DATE($I$2,M$4,M$5))</f>
        <v/>
      </c>
      <c r="N731" s="321">
        <f>SUMIFS(DATA!$M:$M,DATA!$C:$C,$B730,DATA!$N:$N,"&gt;="&amp;DATE($I$2,N$4,1),DATA!$N:$N,"&lt;="&amp;DATE($I$2,N$4,N$5))</f>
        <v/>
      </c>
      <c r="O731" s="321">
        <f>SUMIFS(DATA!$M:$M,DATA!$C:$C,$B730,DATA!$N:$N,"&gt;="&amp;DATE($I$2,O$4,1),DATA!$N:$N,"&lt;="&amp;DATE($I$2,O$4,O$5))</f>
        <v/>
      </c>
      <c r="P731" s="322">
        <f>SUM(D731:O731)</f>
        <v/>
      </c>
      <c r="Q731" s="118" t="n"/>
    </row>
    <row r="732" hidden="1" outlineLevel="1" ht="15" customHeight="1">
      <c r="A732" s="269" t="n">
        <v>364</v>
      </c>
      <c r="B732" s="125" t="n"/>
      <c r="C732" s="119" t="inlineStr">
        <is>
          <t>Kế hoạch</t>
        </is>
      </c>
      <c r="D732" s="321">
        <f>SUMIFS(DATA!$I:$I,DATA!$C:$C,$B732,DATA!$J:$J,"&gt;="&amp;DATE($I$2,D$4,1),DATA!$J:$J,"&lt;="&amp;DATE($I$2,D$4,D$5))</f>
        <v/>
      </c>
      <c r="E732" s="321">
        <f>SUMIFS(DATA!$I:$I,DATA!$C:$C,$B732,DATA!$J:$J,"&gt;="&amp;DATE($I$2,E$4,1),DATA!$J:$J,"&lt;="&amp;DATE($I$2,E$4,E$5))</f>
        <v/>
      </c>
      <c r="F732" s="321">
        <f>SUMIFS(DATA!$I:$I,DATA!$C:$C,$B732,DATA!$J:$J,"&gt;="&amp;DATE($I$2,F$4,1),DATA!$J:$J,"&lt;="&amp;DATE($I$2,F$4,F$5))</f>
        <v/>
      </c>
      <c r="G732" s="321">
        <f>SUMIFS(DATA!$I:$I,DATA!$C:$C,$B732,DATA!$J:$J,"&gt;="&amp;DATE($I$2,G$4,1),DATA!$J:$J,"&lt;="&amp;DATE($I$2,G$4,G$5))</f>
        <v/>
      </c>
      <c r="H732" s="321">
        <f>SUMIFS(DATA!$I:$I,DATA!$C:$C,$B732,DATA!$J:$J,"&gt;="&amp;DATE($I$2,H$4,1),DATA!$J:$J,"&lt;="&amp;DATE($I$2,H$4,H$5))</f>
        <v/>
      </c>
      <c r="I732" s="321">
        <f>SUMIFS(DATA!$I:$I,DATA!$C:$C,$B732,DATA!$J:$J,"&gt;="&amp;DATE($I$2,I$4,1),DATA!$J:$J,"&lt;="&amp;DATE($I$2,I$4,I$5))</f>
        <v/>
      </c>
      <c r="J732" s="321">
        <f>SUMIFS(DATA!$I:$I,DATA!$C:$C,$B732,DATA!$J:$J,"&gt;="&amp;DATE($I$2,J$4,1),DATA!$J:$J,"&lt;="&amp;DATE($I$2,J$4,J$5))</f>
        <v/>
      </c>
      <c r="K732" s="321">
        <f>SUMIFS(DATA!$I:$I,DATA!$C:$C,$B732,DATA!$J:$J,"&gt;="&amp;DATE($I$2,K$4,1),DATA!$J:$J,"&lt;="&amp;DATE($I$2,K$4,K$5))</f>
        <v/>
      </c>
      <c r="L732" s="321">
        <f>SUMIFS(DATA!$I:$I,DATA!$C:$C,$B732,DATA!$J:$J,"&gt;="&amp;DATE($I$2,L$4,1),DATA!$J:$J,"&lt;="&amp;DATE($I$2,L$4,L$5))</f>
        <v/>
      </c>
      <c r="M732" s="321">
        <f>SUMIFS(DATA!$I:$I,DATA!$C:$C,$B732,DATA!$J:$J,"&gt;="&amp;DATE($I$2,M$4,1),DATA!$J:$J,"&lt;="&amp;DATE($I$2,M$4,M$5))</f>
        <v/>
      </c>
      <c r="N732" s="321">
        <f>SUMIFS(DATA!$I:$I,DATA!$C:$C,$B732,DATA!$J:$J,"&gt;="&amp;DATE($I$2,N$4,1),DATA!$J:$J,"&lt;="&amp;DATE($I$2,N$4,N$5))</f>
        <v/>
      </c>
      <c r="O732" s="321">
        <f>SUMIFS(DATA!$I:$I,DATA!$C:$C,$B732,DATA!$J:$J,"&gt;="&amp;DATE($I$2,O$4,1),DATA!$J:$J,"&lt;="&amp;DATE($I$2,O$4,O$5))</f>
        <v/>
      </c>
      <c r="P732" s="322">
        <f>SUM(D732:O732)</f>
        <v/>
      </c>
      <c r="Q732" s="118" t="n"/>
    </row>
    <row r="733" hidden="1" outlineLevel="1" ht="15" customHeight="1">
      <c r="A733" s="266" t="n"/>
      <c r="B733" s="126" t="n"/>
      <c r="C733" s="119" t="inlineStr">
        <is>
          <t>Thực tế</t>
        </is>
      </c>
      <c r="D733" s="321">
        <f>SUMIFS(DATA!$M:$M,DATA!$C:$C,$B732,DATA!$N:$N,"&gt;="&amp;DATE($I$2,D$4,1),DATA!$N:$N,"&lt;="&amp;DATE($I$2,D$4,D$5))</f>
        <v/>
      </c>
      <c r="E733" s="321">
        <f>SUMIFS(DATA!$M:$M,DATA!$C:$C,$B732,DATA!$N:$N,"&gt;="&amp;DATE($I$2,E$4,1),DATA!$N:$N,"&lt;="&amp;DATE($I$2,E$4,E$5))</f>
        <v/>
      </c>
      <c r="F733" s="321">
        <f>SUMIFS(DATA!$M:$M,DATA!$C:$C,$B732,DATA!$N:$N,"&gt;="&amp;DATE($I$2,F$4,1),DATA!$N:$N,"&lt;="&amp;DATE($I$2,F$4,F$5))</f>
        <v/>
      </c>
      <c r="G733" s="321">
        <f>SUMIFS(DATA!$M:$M,DATA!$C:$C,$B732,DATA!$N:$N,"&gt;="&amp;DATE($I$2,G$4,1),DATA!$N:$N,"&lt;="&amp;DATE($I$2,G$4,G$5))</f>
        <v/>
      </c>
      <c r="H733" s="321">
        <f>SUMIFS(DATA!$M:$M,DATA!$C:$C,$B732,DATA!$N:$N,"&gt;="&amp;DATE($I$2,H$4,1),DATA!$N:$N,"&lt;="&amp;DATE($I$2,H$4,H$5))</f>
        <v/>
      </c>
      <c r="I733" s="321">
        <f>SUMIFS(DATA!$M:$M,DATA!$C:$C,$B732,DATA!$N:$N,"&gt;="&amp;DATE($I$2,I$4,1),DATA!$N:$N,"&lt;="&amp;DATE($I$2,I$4,I$5))</f>
        <v/>
      </c>
      <c r="J733" s="321">
        <f>SUMIFS(DATA!$M:$M,DATA!$C:$C,$B732,DATA!$N:$N,"&gt;="&amp;DATE($I$2,J$4,1),DATA!$N:$N,"&lt;="&amp;DATE($I$2,J$4,J$5))</f>
        <v/>
      </c>
      <c r="K733" s="321">
        <f>SUMIFS(DATA!$M:$M,DATA!$C:$C,$B732,DATA!$N:$N,"&gt;="&amp;DATE($I$2,K$4,1),DATA!$N:$N,"&lt;="&amp;DATE($I$2,K$4,K$5))</f>
        <v/>
      </c>
      <c r="L733" s="321">
        <f>SUMIFS(DATA!$M:$M,DATA!$C:$C,$B732,DATA!$N:$N,"&gt;="&amp;DATE($I$2,L$4,1),DATA!$N:$N,"&lt;="&amp;DATE($I$2,L$4,L$5))</f>
        <v/>
      </c>
      <c r="M733" s="321">
        <f>SUMIFS(DATA!$M:$M,DATA!$C:$C,$B732,DATA!$N:$N,"&gt;="&amp;DATE($I$2,M$4,1),DATA!$N:$N,"&lt;="&amp;DATE($I$2,M$4,M$5))</f>
        <v/>
      </c>
      <c r="N733" s="321">
        <f>SUMIFS(DATA!$M:$M,DATA!$C:$C,$B732,DATA!$N:$N,"&gt;="&amp;DATE($I$2,N$4,1),DATA!$N:$N,"&lt;="&amp;DATE($I$2,N$4,N$5))</f>
        <v/>
      </c>
      <c r="O733" s="321">
        <f>SUMIFS(DATA!$M:$M,DATA!$C:$C,$B732,DATA!$N:$N,"&gt;="&amp;DATE($I$2,O$4,1),DATA!$N:$N,"&lt;="&amp;DATE($I$2,O$4,O$5))</f>
        <v/>
      </c>
      <c r="P733" s="322">
        <f>SUM(D733:O733)</f>
        <v/>
      </c>
      <c r="Q733" s="118" t="n"/>
    </row>
    <row r="734" hidden="1" outlineLevel="1" ht="15" customHeight="1">
      <c r="A734" s="269" t="n">
        <v>365</v>
      </c>
      <c r="B734" s="125" t="n"/>
      <c r="C734" s="119" t="inlineStr">
        <is>
          <t>Kế hoạch</t>
        </is>
      </c>
      <c r="D734" s="321">
        <f>SUMIFS(DATA!$I:$I,DATA!$C:$C,$B734,DATA!$J:$J,"&gt;="&amp;DATE($I$2,D$4,1),DATA!$J:$J,"&lt;="&amp;DATE($I$2,D$4,D$5))</f>
        <v/>
      </c>
      <c r="E734" s="321">
        <f>SUMIFS(DATA!$I:$I,DATA!$C:$C,$B734,DATA!$J:$J,"&gt;="&amp;DATE($I$2,E$4,1),DATA!$J:$J,"&lt;="&amp;DATE($I$2,E$4,E$5))</f>
        <v/>
      </c>
      <c r="F734" s="321">
        <f>SUMIFS(DATA!$I:$I,DATA!$C:$C,$B734,DATA!$J:$J,"&gt;="&amp;DATE($I$2,F$4,1),DATA!$J:$J,"&lt;="&amp;DATE($I$2,F$4,F$5))</f>
        <v/>
      </c>
      <c r="G734" s="321">
        <f>SUMIFS(DATA!$I:$I,DATA!$C:$C,$B734,DATA!$J:$J,"&gt;="&amp;DATE($I$2,G$4,1),DATA!$J:$J,"&lt;="&amp;DATE($I$2,G$4,G$5))</f>
        <v/>
      </c>
      <c r="H734" s="321">
        <f>SUMIFS(DATA!$I:$I,DATA!$C:$C,$B734,DATA!$J:$J,"&gt;="&amp;DATE($I$2,H$4,1),DATA!$J:$J,"&lt;="&amp;DATE($I$2,H$4,H$5))</f>
        <v/>
      </c>
      <c r="I734" s="321">
        <f>SUMIFS(DATA!$I:$I,DATA!$C:$C,$B734,DATA!$J:$J,"&gt;="&amp;DATE($I$2,I$4,1),DATA!$J:$J,"&lt;="&amp;DATE($I$2,I$4,I$5))</f>
        <v/>
      </c>
      <c r="J734" s="321">
        <f>SUMIFS(DATA!$I:$I,DATA!$C:$C,$B734,DATA!$J:$J,"&gt;="&amp;DATE($I$2,J$4,1),DATA!$J:$J,"&lt;="&amp;DATE($I$2,J$4,J$5))</f>
        <v/>
      </c>
      <c r="K734" s="321">
        <f>SUMIFS(DATA!$I:$I,DATA!$C:$C,$B734,DATA!$J:$J,"&gt;="&amp;DATE($I$2,K$4,1),DATA!$J:$J,"&lt;="&amp;DATE($I$2,K$4,K$5))</f>
        <v/>
      </c>
      <c r="L734" s="321">
        <f>SUMIFS(DATA!$I:$I,DATA!$C:$C,$B734,DATA!$J:$J,"&gt;="&amp;DATE($I$2,L$4,1),DATA!$J:$J,"&lt;="&amp;DATE($I$2,L$4,L$5))</f>
        <v/>
      </c>
      <c r="M734" s="321">
        <f>SUMIFS(DATA!$I:$I,DATA!$C:$C,$B734,DATA!$J:$J,"&gt;="&amp;DATE($I$2,M$4,1),DATA!$J:$J,"&lt;="&amp;DATE($I$2,M$4,M$5))</f>
        <v/>
      </c>
      <c r="N734" s="321">
        <f>SUMIFS(DATA!$I:$I,DATA!$C:$C,$B734,DATA!$J:$J,"&gt;="&amp;DATE($I$2,N$4,1),DATA!$J:$J,"&lt;="&amp;DATE($I$2,N$4,N$5))</f>
        <v/>
      </c>
      <c r="O734" s="321">
        <f>SUMIFS(DATA!$I:$I,DATA!$C:$C,$B734,DATA!$J:$J,"&gt;="&amp;DATE($I$2,O$4,1),DATA!$J:$J,"&lt;="&amp;DATE($I$2,O$4,O$5))</f>
        <v/>
      </c>
      <c r="P734" s="322">
        <f>SUM(D734:O734)</f>
        <v/>
      </c>
      <c r="Q734" s="118" t="n"/>
    </row>
    <row r="735" hidden="1" outlineLevel="1" ht="15" customHeight="1">
      <c r="A735" s="266" t="n"/>
      <c r="B735" s="126" t="n"/>
      <c r="C735" s="119" t="inlineStr">
        <is>
          <t>Thực tế</t>
        </is>
      </c>
      <c r="D735" s="321">
        <f>SUMIFS(DATA!$M:$M,DATA!$C:$C,$B734,DATA!$N:$N,"&gt;="&amp;DATE($I$2,D$4,1),DATA!$N:$N,"&lt;="&amp;DATE($I$2,D$4,D$5))</f>
        <v/>
      </c>
      <c r="E735" s="321">
        <f>SUMIFS(DATA!$M:$M,DATA!$C:$C,$B734,DATA!$N:$N,"&gt;="&amp;DATE($I$2,E$4,1),DATA!$N:$N,"&lt;="&amp;DATE($I$2,E$4,E$5))</f>
        <v/>
      </c>
      <c r="F735" s="321">
        <f>SUMIFS(DATA!$M:$M,DATA!$C:$C,$B734,DATA!$N:$N,"&gt;="&amp;DATE($I$2,F$4,1),DATA!$N:$N,"&lt;="&amp;DATE($I$2,F$4,F$5))</f>
        <v/>
      </c>
      <c r="G735" s="321">
        <f>SUMIFS(DATA!$M:$M,DATA!$C:$C,$B734,DATA!$N:$N,"&gt;="&amp;DATE($I$2,G$4,1),DATA!$N:$N,"&lt;="&amp;DATE($I$2,G$4,G$5))</f>
        <v/>
      </c>
      <c r="H735" s="321">
        <f>SUMIFS(DATA!$M:$M,DATA!$C:$C,$B734,DATA!$N:$N,"&gt;="&amp;DATE($I$2,H$4,1),DATA!$N:$N,"&lt;="&amp;DATE($I$2,H$4,H$5))</f>
        <v/>
      </c>
      <c r="I735" s="321">
        <f>SUMIFS(DATA!$M:$M,DATA!$C:$C,$B734,DATA!$N:$N,"&gt;="&amp;DATE($I$2,I$4,1),DATA!$N:$N,"&lt;="&amp;DATE($I$2,I$4,I$5))</f>
        <v/>
      </c>
      <c r="J735" s="321">
        <f>SUMIFS(DATA!$M:$M,DATA!$C:$C,$B734,DATA!$N:$N,"&gt;="&amp;DATE($I$2,J$4,1),DATA!$N:$N,"&lt;="&amp;DATE($I$2,J$4,J$5))</f>
        <v/>
      </c>
      <c r="K735" s="321">
        <f>SUMIFS(DATA!$M:$M,DATA!$C:$C,$B734,DATA!$N:$N,"&gt;="&amp;DATE($I$2,K$4,1),DATA!$N:$N,"&lt;="&amp;DATE($I$2,K$4,K$5))</f>
        <v/>
      </c>
      <c r="L735" s="321">
        <f>SUMIFS(DATA!$M:$M,DATA!$C:$C,$B734,DATA!$N:$N,"&gt;="&amp;DATE($I$2,L$4,1),DATA!$N:$N,"&lt;="&amp;DATE($I$2,L$4,L$5))</f>
        <v/>
      </c>
      <c r="M735" s="321">
        <f>SUMIFS(DATA!$M:$M,DATA!$C:$C,$B734,DATA!$N:$N,"&gt;="&amp;DATE($I$2,M$4,1),DATA!$N:$N,"&lt;="&amp;DATE($I$2,M$4,M$5))</f>
        <v/>
      </c>
      <c r="N735" s="321">
        <f>SUMIFS(DATA!$M:$M,DATA!$C:$C,$B734,DATA!$N:$N,"&gt;="&amp;DATE($I$2,N$4,1),DATA!$N:$N,"&lt;="&amp;DATE($I$2,N$4,N$5))</f>
        <v/>
      </c>
      <c r="O735" s="321">
        <f>SUMIFS(DATA!$M:$M,DATA!$C:$C,$B734,DATA!$N:$N,"&gt;="&amp;DATE($I$2,O$4,1),DATA!$N:$N,"&lt;="&amp;DATE($I$2,O$4,O$5))</f>
        <v/>
      </c>
      <c r="P735" s="322">
        <f>SUM(D735:O735)</f>
        <v/>
      </c>
      <c r="Q735" s="118" t="n"/>
    </row>
    <row r="736" hidden="1" outlineLevel="1" ht="15" customHeight="1">
      <c r="A736" s="269" t="n">
        <v>366</v>
      </c>
      <c r="B736" s="125" t="n"/>
      <c r="C736" s="119" t="inlineStr">
        <is>
          <t>Kế hoạch</t>
        </is>
      </c>
      <c r="D736" s="321">
        <f>SUMIFS(DATA!$I:$I,DATA!$C:$C,$B736,DATA!$J:$J,"&gt;="&amp;DATE($I$2,D$4,1),DATA!$J:$J,"&lt;="&amp;DATE($I$2,D$4,D$5))</f>
        <v/>
      </c>
      <c r="E736" s="321">
        <f>SUMIFS(DATA!$I:$I,DATA!$C:$C,$B736,DATA!$J:$J,"&gt;="&amp;DATE($I$2,E$4,1),DATA!$J:$J,"&lt;="&amp;DATE($I$2,E$4,E$5))</f>
        <v/>
      </c>
      <c r="F736" s="321">
        <f>SUMIFS(DATA!$I:$I,DATA!$C:$C,$B736,DATA!$J:$J,"&gt;="&amp;DATE($I$2,F$4,1),DATA!$J:$J,"&lt;="&amp;DATE($I$2,F$4,F$5))</f>
        <v/>
      </c>
      <c r="G736" s="321">
        <f>SUMIFS(DATA!$I:$I,DATA!$C:$C,$B736,DATA!$J:$J,"&gt;="&amp;DATE($I$2,G$4,1),DATA!$J:$J,"&lt;="&amp;DATE($I$2,G$4,G$5))</f>
        <v/>
      </c>
      <c r="H736" s="321">
        <f>SUMIFS(DATA!$I:$I,DATA!$C:$C,$B736,DATA!$J:$J,"&gt;="&amp;DATE($I$2,H$4,1),DATA!$J:$J,"&lt;="&amp;DATE($I$2,H$4,H$5))</f>
        <v/>
      </c>
      <c r="I736" s="321">
        <f>SUMIFS(DATA!$I:$I,DATA!$C:$C,$B736,DATA!$J:$J,"&gt;="&amp;DATE($I$2,I$4,1),DATA!$J:$J,"&lt;="&amp;DATE($I$2,I$4,I$5))</f>
        <v/>
      </c>
      <c r="J736" s="321">
        <f>SUMIFS(DATA!$I:$I,DATA!$C:$C,$B736,DATA!$J:$J,"&gt;="&amp;DATE($I$2,J$4,1),DATA!$J:$J,"&lt;="&amp;DATE($I$2,J$4,J$5))</f>
        <v/>
      </c>
      <c r="K736" s="321">
        <f>SUMIFS(DATA!$I:$I,DATA!$C:$C,$B736,DATA!$J:$J,"&gt;="&amp;DATE($I$2,K$4,1),DATA!$J:$J,"&lt;="&amp;DATE($I$2,K$4,K$5))</f>
        <v/>
      </c>
      <c r="L736" s="321">
        <f>SUMIFS(DATA!$I:$I,DATA!$C:$C,$B736,DATA!$J:$J,"&gt;="&amp;DATE($I$2,L$4,1),DATA!$J:$J,"&lt;="&amp;DATE($I$2,L$4,L$5))</f>
        <v/>
      </c>
      <c r="M736" s="321">
        <f>SUMIFS(DATA!$I:$I,DATA!$C:$C,$B736,DATA!$J:$J,"&gt;="&amp;DATE($I$2,M$4,1),DATA!$J:$J,"&lt;="&amp;DATE($I$2,M$4,M$5))</f>
        <v/>
      </c>
      <c r="N736" s="321">
        <f>SUMIFS(DATA!$I:$I,DATA!$C:$C,$B736,DATA!$J:$J,"&gt;="&amp;DATE($I$2,N$4,1),DATA!$J:$J,"&lt;="&amp;DATE($I$2,N$4,N$5))</f>
        <v/>
      </c>
      <c r="O736" s="321">
        <f>SUMIFS(DATA!$I:$I,DATA!$C:$C,$B736,DATA!$J:$J,"&gt;="&amp;DATE($I$2,O$4,1),DATA!$J:$J,"&lt;="&amp;DATE($I$2,O$4,O$5))</f>
        <v/>
      </c>
      <c r="P736" s="322">
        <f>SUM(D736:O736)</f>
        <v/>
      </c>
      <c r="Q736" s="118" t="n"/>
    </row>
    <row r="737" hidden="1" outlineLevel="1" ht="15" customHeight="1">
      <c r="A737" s="266" t="n"/>
      <c r="B737" s="126" t="n"/>
      <c r="C737" s="119" t="inlineStr">
        <is>
          <t>Thực tế</t>
        </is>
      </c>
      <c r="D737" s="321">
        <f>SUMIFS(DATA!$M:$M,DATA!$C:$C,$B736,DATA!$N:$N,"&gt;="&amp;DATE($I$2,D$4,1),DATA!$N:$N,"&lt;="&amp;DATE($I$2,D$4,D$5))</f>
        <v/>
      </c>
      <c r="E737" s="321">
        <f>SUMIFS(DATA!$M:$M,DATA!$C:$C,$B736,DATA!$N:$N,"&gt;="&amp;DATE($I$2,E$4,1),DATA!$N:$N,"&lt;="&amp;DATE($I$2,E$4,E$5))</f>
        <v/>
      </c>
      <c r="F737" s="321">
        <f>SUMIFS(DATA!$M:$M,DATA!$C:$C,$B736,DATA!$N:$N,"&gt;="&amp;DATE($I$2,F$4,1),DATA!$N:$N,"&lt;="&amp;DATE($I$2,F$4,F$5))</f>
        <v/>
      </c>
      <c r="G737" s="321">
        <f>SUMIFS(DATA!$M:$M,DATA!$C:$C,$B736,DATA!$N:$N,"&gt;="&amp;DATE($I$2,G$4,1),DATA!$N:$N,"&lt;="&amp;DATE($I$2,G$4,G$5))</f>
        <v/>
      </c>
      <c r="H737" s="321">
        <f>SUMIFS(DATA!$M:$M,DATA!$C:$C,$B736,DATA!$N:$N,"&gt;="&amp;DATE($I$2,H$4,1),DATA!$N:$N,"&lt;="&amp;DATE($I$2,H$4,H$5))</f>
        <v/>
      </c>
      <c r="I737" s="321">
        <f>SUMIFS(DATA!$M:$M,DATA!$C:$C,$B736,DATA!$N:$N,"&gt;="&amp;DATE($I$2,I$4,1),DATA!$N:$N,"&lt;="&amp;DATE($I$2,I$4,I$5))</f>
        <v/>
      </c>
      <c r="J737" s="321">
        <f>SUMIFS(DATA!$M:$M,DATA!$C:$C,$B736,DATA!$N:$N,"&gt;="&amp;DATE($I$2,J$4,1),DATA!$N:$N,"&lt;="&amp;DATE($I$2,J$4,J$5))</f>
        <v/>
      </c>
      <c r="K737" s="321">
        <f>SUMIFS(DATA!$M:$M,DATA!$C:$C,$B736,DATA!$N:$N,"&gt;="&amp;DATE($I$2,K$4,1),DATA!$N:$N,"&lt;="&amp;DATE($I$2,K$4,K$5))</f>
        <v/>
      </c>
      <c r="L737" s="321">
        <f>SUMIFS(DATA!$M:$M,DATA!$C:$C,$B736,DATA!$N:$N,"&gt;="&amp;DATE($I$2,L$4,1),DATA!$N:$N,"&lt;="&amp;DATE($I$2,L$4,L$5))</f>
        <v/>
      </c>
      <c r="M737" s="321">
        <f>SUMIFS(DATA!$M:$M,DATA!$C:$C,$B736,DATA!$N:$N,"&gt;="&amp;DATE($I$2,M$4,1),DATA!$N:$N,"&lt;="&amp;DATE($I$2,M$4,M$5))</f>
        <v/>
      </c>
      <c r="N737" s="321">
        <f>SUMIFS(DATA!$M:$M,DATA!$C:$C,$B736,DATA!$N:$N,"&gt;="&amp;DATE($I$2,N$4,1),DATA!$N:$N,"&lt;="&amp;DATE($I$2,N$4,N$5))</f>
        <v/>
      </c>
      <c r="O737" s="321">
        <f>SUMIFS(DATA!$M:$M,DATA!$C:$C,$B736,DATA!$N:$N,"&gt;="&amp;DATE($I$2,O$4,1),DATA!$N:$N,"&lt;="&amp;DATE($I$2,O$4,O$5))</f>
        <v/>
      </c>
      <c r="P737" s="322">
        <f>SUM(D737:O737)</f>
        <v/>
      </c>
      <c r="Q737" s="118" t="n"/>
    </row>
    <row r="738" hidden="1" outlineLevel="1" ht="15" customHeight="1">
      <c r="A738" s="269" t="n">
        <v>367</v>
      </c>
      <c r="B738" s="125" t="n"/>
      <c r="C738" s="119" t="inlineStr">
        <is>
          <t>Kế hoạch</t>
        </is>
      </c>
      <c r="D738" s="321">
        <f>SUMIFS(DATA!$I:$I,DATA!$C:$C,$B738,DATA!$J:$J,"&gt;="&amp;DATE($I$2,D$4,1),DATA!$J:$J,"&lt;="&amp;DATE($I$2,D$4,D$5))</f>
        <v/>
      </c>
      <c r="E738" s="321">
        <f>SUMIFS(DATA!$I:$I,DATA!$C:$C,$B738,DATA!$J:$J,"&gt;="&amp;DATE($I$2,E$4,1),DATA!$J:$J,"&lt;="&amp;DATE($I$2,E$4,E$5))</f>
        <v/>
      </c>
      <c r="F738" s="321">
        <f>SUMIFS(DATA!$I:$I,DATA!$C:$C,$B738,DATA!$J:$J,"&gt;="&amp;DATE($I$2,F$4,1),DATA!$J:$J,"&lt;="&amp;DATE($I$2,F$4,F$5))</f>
        <v/>
      </c>
      <c r="G738" s="321">
        <f>SUMIFS(DATA!$I:$I,DATA!$C:$C,$B738,DATA!$J:$J,"&gt;="&amp;DATE($I$2,G$4,1),DATA!$J:$J,"&lt;="&amp;DATE($I$2,G$4,G$5))</f>
        <v/>
      </c>
      <c r="H738" s="321">
        <f>SUMIFS(DATA!$I:$I,DATA!$C:$C,$B738,DATA!$J:$J,"&gt;="&amp;DATE($I$2,H$4,1),DATA!$J:$J,"&lt;="&amp;DATE($I$2,H$4,H$5))</f>
        <v/>
      </c>
      <c r="I738" s="321">
        <f>SUMIFS(DATA!$I:$I,DATA!$C:$C,$B738,DATA!$J:$J,"&gt;="&amp;DATE($I$2,I$4,1),DATA!$J:$J,"&lt;="&amp;DATE($I$2,I$4,I$5))</f>
        <v/>
      </c>
      <c r="J738" s="321">
        <f>SUMIFS(DATA!$I:$I,DATA!$C:$C,$B738,DATA!$J:$J,"&gt;="&amp;DATE($I$2,J$4,1),DATA!$J:$J,"&lt;="&amp;DATE($I$2,J$4,J$5))</f>
        <v/>
      </c>
      <c r="K738" s="321">
        <f>SUMIFS(DATA!$I:$I,DATA!$C:$C,$B738,DATA!$J:$J,"&gt;="&amp;DATE($I$2,K$4,1),DATA!$J:$J,"&lt;="&amp;DATE($I$2,K$4,K$5))</f>
        <v/>
      </c>
      <c r="L738" s="321">
        <f>SUMIFS(DATA!$I:$I,DATA!$C:$C,$B738,DATA!$J:$J,"&gt;="&amp;DATE($I$2,L$4,1),DATA!$J:$J,"&lt;="&amp;DATE($I$2,L$4,L$5))</f>
        <v/>
      </c>
      <c r="M738" s="321">
        <f>SUMIFS(DATA!$I:$I,DATA!$C:$C,$B738,DATA!$J:$J,"&gt;="&amp;DATE($I$2,M$4,1),DATA!$J:$J,"&lt;="&amp;DATE($I$2,M$4,M$5))</f>
        <v/>
      </c>
      <c r="N738" s="321">
        <f>SUMIFS(DATA!$I:$I,DATA!$C:$C,$B738,DATA!$J:$J,"&gt;="&amp;DATE($I$2,N$4,1),DATA!$J:$J,"&lt;="&amp;DATE($I$2,N$4,N$5))</f>
        <v/>
      </c>
      <c r="O738" s="321">
        <f>SUMIFS(DATA!$I:$I,DATA!$C:$C,$B738,DATA!$J:$J,"&gt;="&amp;DATE($I$2,O$4,1),DATA!$J:$J,"&lt;="&amp;DATE($I$2,O$4,O$5))</f>
        <v/>
      </c>
      <c r="P738" s="322">
        <f>SUM(D738:O738)</f>
        <v/>
      </c>
      <c r="Q738" s="118" t="n"/>
    </row>
    <row r="739" hidden="1" outlineLevel="1" ht="15" customHeight="1">
      <c r="A739" s="266" t="n"/>
      <c r="B739" s="126" t="n"/>
      <c r="C739" s="119" t="inlineStr">
        <is>
          <t>Thực tế</t>
        </is>
      </c>
      <c r="D739" s="321">
        <f>SUMIFS(DATA!$M:$M,DATA!$C:$C,$B738,DATA!$N:$N,"&gt;="&amp;DATE($I$2,D$4,1),DATA!$N:$N,"&lt;="&amp;DATE($I$2,D$4,D$5))</f>
        <v/>
      </c>
      <c r="E739" s="321">
        <f>SUMIFS(DATA!$M:$M,DATA!$C:$C,$B738,DATA!$N:$N,"&gt;="&amp;DATE($I$2,E$4,1),DATA!$N:$N,"&lt;="&amp;DATE($I$2,E$4,E$5))</f>
        <v/>
      </c>
      <c r="F739" s="321">
        <f>SUMIFS(DATA!$M:$M,DATA!$C:$C,$B738,DATA!$N:$N,"&gt;="&amp;DATE($I$2,F$4,1),DATA!$N:$N,"&lt;="&amp;DATE($I$2,F$4,F$5))</f>
        <v/>
      </c>
      <c r="G739" s="321">
        <f>SUMIFS(DATA!$M:$M,DATA!$C:$C,$B738,DATA!$N:$N,"&gt;="&amp;DATE($I$2,G$4,1),DATA!$N:$N,"&lt;="&amp;DATE($I$2,G$4,G$5))</f>
        <v/>
      </c>
      <c r="H739" s="321">
        <f>SUMIFS(DATA!$M:$M,DATA!$C:$C,$B738,DATA!$N:$N,"&gt;="&amp;DATE($I$2,H$4,1),DATA!$N:$N,"&lt;="&amp;DATE($I$2,H$4,H$5))</f>
        <v/>
      </c>
      <c r="I739" s="321">
        <f>SUMIFS(DATA!$M:$M,DATA!$C:$C,$B738,DATA!$N:$N,"&gt;="&amp;DATE($I$2,I$4,1),DATA!$N:$N,"&lt;="&amp;DATE($I$2,I$4,I$5))</f>
        <v/>
      </c>
      <c r="J739" s="321">
        <f>SUMIFS(DATA!$M:$M,DATA!$C:$C,$B738,DATA!$N:$N,"&gt;="&amp;DATE($I$2,J$4,1),DATA!$N:$N,"&lt;="&amp;DATE($I$2,J$4,J$5))</f>
        <v/>
      </c>
      <c r="K739" s="321">
        <f>SUMIFS(DATA!$M:$M,DATA!$C:$C,$B738,DATA!$N:$N,"&gt;="&amp;DATE($I$2,K$4,1),DATA!$N:$N,"&lt;="&amp;DATE($I$2,K$4,K$5))</f>
        <v/>
      </c>
      <c r="L739" s="321">
        <f>SUMIFS(DATA!$M:$M,DATA!$C:$C,$B738,DATA!$N:$N,"&gt;="&amp;DATE($I$2,L$4,1),DATA!$N:$N,"&lt;="&amp;DATE($I$2,L$4,L$5))</f>
        <v/>
      </c>
      <c r="M739" s="321">
        <f>SUMIFS(DATA!$M:$M,DATA!$C:$C,$B738,DATA!$N:$N,"&gt;="&amp;DATE($I$2,M$4,1),DATA!$N:$N,"&lt;="&amp;DATE($I$2,M$4,M$5))</f>
        <v/>
      </c>
      <c r="N739" s="321">
        <f>SUMIFS(DATA!$M:$M,DATA!$C:$C,$B738,DATA!$N:$N,"&gt;="&amp;DATE($I$2,N$4,1),DATA!$N:$N,"&lt;="&amp;DATE($I$2,N$4,N$5))</f>
        <v/>
      </c>
      <c r="O739" s="321">
        <f>SUMIFS(DATA!$M:$M,DATA!$C:$C,$B738,DATA!$N:$N,"&gt;="&amp;DATE($I$2,O$4,1),DATA!$N:$N,"&lt;="&amp;DATE($I$2,O$4,O$5))</f>
        <v/>
      </c>
      <c r="P739" s="322">
        <f>SUM(D739:O739)</f>
        <v/>
      </c>
      <c r="Q739" s="118" t="n"/>
    </row>
    <row r="740" hidden="1" outlineLevel="1" ht="26.45" customHeight="1">
      <c r="A740" s="269" t="n">
        <v>368</v>
      </c>
      <c r="B740" s="125" t="n"/>
      <c r="C740" s="119" t="inlineStr">
        <is>
          <t>Kế hoạch</t>
        </is>
      </c>
      <c r="D740" s="321">
        <f>SUMIFS(DATA!$I:$I,DATA!$C:$C,$B740,DATA!$J:$J,"&gt;="&amp;DATE($I$2,D$4,1),DATA!$J:$J,"&lt;="&amp;DATE($I$2,D$4,D$5))</f>
        <v/>
      </c>
      <c r="E740" s="321">
        <f>SUMIFS(DATA!$I:$I,DATA!$C:$C,$B740,DATA!$J:$J,"&gt;="&amp;DATE($I$2,E$4,1),DATA!$J:$J,"&lt;="&amp;DATE($I$2,E$4,E$5))</f>
        <v/>
      </c>
      <c r="F740" s="321">
        <f>SUMIFS(DATA!$I:$I,DATA!$C:$C,$B740,DATA!$J:$J,"&gt;="&amp;DATE($I$2,F$4,1),DATA!$J:$J,"&lt;="&amp;DATE($I$2,F$4,F$5))</f>
        <v/>
      </c>
      <c r="G740" s="321">
        <f>SUMIFS(DATA!$I:$I,DATA!$C:$C,$B740,DATA!$J:$J,"&gt;="&amp;DATE($I$2,G$4,1),DATA!$J:$J,"&lt;="&amp;DATE($I$2,G$4,G$5))</f>
        <v/>
      </c>
      <c r="H740" s="321">
        <f>SUMIFS(DATA!$I:$I,DATA!$C:$C,$B740,DATA!$J:$J,"&gt;="&amp;DATE($I$2,H$4,1),DATA!$J:$J,"&lt;="&amp;DATE($I$2,H$4,H$5))</f>
        <v/>
      </c>
      <c r="I740" s="321">
        <f>SUMIFS(DATA!$I:$I,DATA!$C:$C,$B740,DATA!$J:$J,"&gt;="&amp;DATE($I$2,I$4,1),DATA!$J:$J,"&lt;="&amp;DATE($I$2,I$4,I$5))</f>
        <v/>
      </c>
      <c r="J740" s="321">
        <f>SUMIFS(DATA!$I:$I,DATA!$C:$C,$B740,DATA!$J:$J,"&gt;="&amp;DATE($I$2,J$4,1),DATA!$J:$J,"&lt;="&amp;DATE($I$2,J$4,J$5))</f>
        <v/>
      </c>
      <c r="K740" s="321">
        <f>SUMIFS(DATA!$I:$I,DATA!$C:$C,$B740,DATA!$J:$J,"&gt;="&amp;DATE($I$2,K$4,1),DATA!$J:$J,"&lt;="&amp;DATE($I$2,K$4,K$5))</f>
        <v/>
      </c>
      <c r="L740" s="321">
        <f>SUMIFS(DATA!$I:$I,DATA!$C:$C,$B740,DATA!$J:$J,"&gt;="&amp;DATE($I$2,L$4,1),DATA!$J:$J,"&lt;="&amp;DATE($I$2,L$4,L$5))</f>
        <v/>
      </c>
      <c r="M740" s="321">
        <f>SUMIFS(DATA!$I:$I,DATA!$C:$C,$B740,DATA!$J:$J,"&gt;="&amp;DATE($I$2,M$4,1),DATA!$J:$J,"&lt;="&amp;DATE($I$2,M$4,M$5))</f>
        <v/>
      </c>
      <c r="N740" s="321">
        <f>SUMIFS(DATA!$I:$I,DATA!$C:$C,$B740,DATA!$J:$J,"&gt;="&amp;DATE($I$2,N$4,1),DATA!$J:$J,"&lt;="&amp;DATE($I$2,N$4,N$5))</f>
        <v/>
      </c>
      <c r="O740" s="321">
        <f>SUMIFS(DATA!$I:$I,DATA!$C:$C,$B740,DATA!$J:$J,"&gt;="&amp;DATE($I$2,O$4,1),DATA!$J:$J,"&lt;="&amp;DATE($I$2,O$4,O$5))</f>
        <v/>
      </c>
      <c r="P740" s="322">
        <f>SUM(D740:O740)</f>
        <v/>
      </c>
      <c r="Q740" s="118" t="n"/>
    </row>
    <row r="741" hidden="1" outlineLevel="1" ht="18" customHeight="1">
      <c r="A741" s="266" t="n"/>
      <c r="B741" s="126" t="n"/>
      <c r="C741" s="119" t="inlineStr">
        <is>
          <t>Thực tế</t>
        </is>
      </c>
      <c r="D741" s="321">
        <f>SUMIFS(DATA!$M:$M,DATA!$C:$C,$B740,DATA!$N:$N,"&gt;="&amp;DATE($I$2,D$4,1),DATA!$N:$N,"&lt;="&amp;DATE($I$2,D$4,D$5))</f>
        <v/>
      </c>
      <c r="E741" s="321">
        <f>SUMIFS(DATA!$M:$M,DATA!$C:$C,$B740,DATA!$N:$N,"&gt;="&amp;DATE($I$2,E$4,1),DATA!$N:$N,"&lt;="&amp;DATE($I$2,E$4,E$5))</f>
        <v/>
      </c>
      <c r="F741" s="321">
        <f>SUMIFS(DATA!$M:$M,DATA!$C:$C,$B740,DATA!$N:$N,"&gt;="&amp;DATE($I$2,F$4,1),DATA!$N:$N,"&lt;="&amp;DATE($I$2,F$4,F$5))</f>
        <v/>
      </c>
      <c r="G741" s="321">
        <f>SUMIFS(DATA!$M:$M,DATA!$C:$C,$B740,DATA!$N:$N,"&gt;="&amp;DATE($I$2,G$4,1),DATA!$N:$N,"&lt;="&amp;DATE($I$2,G$4,G$5))</f>
        <v/>
      </c>
      <c r="H741" s="321">
        <f>SUMIFS(DATA!$M:$M,DATA!$C:$C,$B740,DATA!$N:$N,"&gt;="&amp;DATE($I$2,H$4,1),DATA!$N:$N,"&lt;="&amp;DATE($I$2,H$4,H$5))</f>
        <v/>
      </c>
      <c r="I741" s="321">
        <f>SUMIFS(DATA!$M:$M,DATA!$C:$C,$B740,DATA!$N:$N,"&gt;="&amp;DATE($I$2,I$4,1),DATA!$N:$N,"&lt;="&amp;DATE($I$2,I$4,I$5))</f>
        <v/>
      </c>
      <c r="J741" s="321">
        <f>SUMIFS(DATA!$M:$M,DATA!$C:$C,$B740,DATA!$N:$N,"&gt;="&amp;DATE($I$2,J$4,1),DATA!$N:$N,"&lt;="&amp;DATE($I$2,J$4,J$5))</f>
        <v/>
      </c>
      <c r="K741" s="321">
        <f>SUMIFS(DATA!$M:$M,DATA!$C:$C,$B740,DATA!$N:$N,"&gt;="&amp;DATE($I$2,K$4,1),DATA!$N:$N,"&lt;="&amp;DATE($I$2,K$4,K$5))</f>
        <v/>
      </c>
      <c r="L741" s="321">
        <f>SUMIFS(DATA!$M:$M,DATA!$C:$C,$B740,DATA!$N:$N,"&gt;="&amp;DATE($I$2,L$4,1),DATA!$N:$N,"&lt;="&amp;DATE($I$2,L$4,L$5))</f>
        <v/>
      </c>
      <c r="M741" s="321">
        <f>SUMIFS(DATA!$M:$M,DATA!$C:$C,$B740,DATA!$N:$N,"&gt;="&amp;DATE($I$2,M$4,1),DATA!$N:$N,"&lt;="&amp;DATE($I$2,M$4,M$5))</f>
        <v/>
      </c>
      <c r="N741" s="321">
        <f>SUMIFS(DATA!$M:$M,DATA!$C:$C,$B740,DATA!$N:$N,"&gt;="&amp;DATE($I$2,N$4,1),DATA!$N:$N,"&lt;="&amp;DATE($I$2,N$4,N$5))</f>
        <v/>
      </c>
      <c r="O741" s="321">
        <f>SUMIFS(DATA!$M:$M,DATA!$C:$C,$B740,DATA!$N:$N,"&gt;="&amp;DATE($I$2,O$4,1),DATA!$N:$N,"&lt;="&amp;DATE($I$2,O$4,O$5))</f>
        <v/>
      </c>
      <c r="P741" s="322">
        <f>SUM(D741:O741)</f>
        <v/>
      </c>
      <c r="Q741" s="122" t="n"/>
    </row>
    <row r="742" hidden="1" outlineLevel="1" ht="18" customHeight="1">
      <c r="A742" s="269" t="n">
        <v>369</v>
      </c>
      <c r="B742" s="125" t="n"/>
      <c r="C742" s="119" t="inlineStr">
        <is>
          <t>Kế hoạch</t>
        </is>
      </c>
      <c r="D742" s="321">
        <f>SUMIFS(DATA!$I:$I,DATA!$C:$C,$B742,DATA!$J:$J,"&gt;="&amp;DATE($I$2,D$4,1),DATA!$J:$J,"&lt;="&amp;DATE($I$2,D$4,D$5))</f>
        <v/>
      </c>
      <c r="E742" s="321">
        <f>SUMIFS(DATA!$I:$I,DATA!$C:$C,$B742,DATA!$J:$J,"&gt;="&amp;DATE($I$2,E$4,1),DATA!$J:$J,"&lt;="&amp;DATE($I$2,E$4,E$5))</f>
        <v/>
      </c>
      <c r="F742" s="321">
        <f>SUMIFS(DATA!$I:$I,DATA!$C:$C,$B742,DATA!$J:$J,"&gt;="&amp;DATE($I$2,F$4,1),DATA!$J:$J,"&lt;="&amp;DATE($I$2,F$4,F$5))</f>
        <v/>
      </c>
      <c r="G742" s="321">
        <f>SUMIFS(DATA!$I:$I,DATA!$C:$C,$B742,DATA!$J:$J,"&gt;="&amp;DATE($I$2,G$4,1),DATA!$J:$J,"&lt;="&amp;DATE($I$2,G$4,G$5))</f>
        <v/>
      </c>
      <c r="H742" s="321">
        <f>SUMIFS(DATA!$I:$I,DATA!$C:$C,$B742,DATA!$J:$J,"&gt;="&amp;DATE($I$2,H$4,1),DATA!$J:$J,"&lt;="&amp;DATE($I$2,H$4,H$5))</f>
        <v/>
      </c>
      <c r="I742" s="321">
        <f>SUMIFS(DATA!$I:$I,DATA!$C:$C,$B742,DATA!$J:$J,"&gt;="&amp;DATE($I$2,I$4,1),DATA!$J:$J,"&lt;="&amp;DATE($I$2,I$4,I$5))</f>
        <v/>
      </c>
      <c r="J742" s="321">
        <f>SUMIFS(DATA!$I:$I,DATA!$C:$C,$B742,DATA!$J:$J,"&gt;="&amp;DATE($I$2,J$4,1),DATA!$J:$J,"&lt;="&amp;DATE($I$2,J$4,J$5))</f>
        <v/>
      </c>
      <c r="K742" s="321">
        <f>SUMIFS(DATA!$I:$I,DATA!$C:$C,$B742,DATA!$J:$J,"&gt;="&amp;DATE($I$2,K$4,1),DATA!$J:$J,"&lt;="&amp;DATE($I$2,K$4,K$5))</f>
        <v/>
      </c>
      <c r="L742" s="321">
        <f>SUMIFS(DATA!$I:$I,DATA!$C:$C,$B742,DATA!$J:$J,"&gt;="&amp;DATE($I$2,L$4,1),DATA!$J:$J,"&lt;="&amp;DATE($I$2,L$4,L$5))</f>
        <v/>
      </c>
      <c r="M742" s="321">
        <f>SUMIFS(DATA!$I:$I,DATA!$C:$C,$B742,DATA!$J:$J,"&gt;="&amp;DATE($I$2,M$4,1),DATA!$J:$J,"&lt;="&amp;DATE($I$2,M$4,M$5))</f>
        <v/>
      </c>
      <c r="N742" s="321">
        <f>SUMIFS(DATA!$I:$I,DATA!$C:$C,$B742,DATA!$J:$J,"&gt;="&amp;DATE($I$2,N$4,1),DATA!$J:$J,"&lt;="&amp;DATE($I$2,N$4,N$5))</f>
        <v/>
      </c>
      <c r="O742" s="321">
        <f>SUMIFS(DATA!$I:$I,DATA!$C:$C,$B742,DATA!$J:$J,"&gt;="&amp;DATE($I$2,O$4,1),DATA!$J:$J,"&lt;="&amp;DATE($I$2,O$4,O$5))</f>
        <v/>
      </c>
      <c r="P742" s="322">
        <f>SUM(D742:O742)</f>
        <v/>
      </c>
      <c r="Q742" s="122" t="n"/>
    </row>
    <row r="743" hidden="1" outlineLevel="1" ht="18" customHeight="1">
      <c r="A743" s="266" t="n"/>
      <c r="B743" s="126" t="n"/>
      <c r="C743" s="119" t="inlineStr">
        <is>
          <t>Thực tế</t>
        </is>
      </c>
      <c r="D743" s="321">
        <f>SUMIFS(DATA!$M:$M,DATA!$C:$C,$B742,DATA!$N:$N,"&gt;="&amp;DATE($I$2,D$4,1),DATA!$N:$N,"&lt;="&amp;DATE($I$2,D$4,D$5))</f>
        <v/>
      </c>
      <c r="E743" s="321">
        <f>SUMIFS(DATA!$M:$M,DATA!$C:$C,$B742,DATA!$N:$N,"&gt;="&amp;DATE($I$2,E$4,1),DATA!$N:$N,"&lt;="&amp;DATE($I$2,E$4,E$5))</f>
        <v/>
      </c>
      <c r="F743" s="321">
        <f>SUMIFS(DATA!$M:$M,DATA!$C:$C,$B742,DATA!$N:$N,"&gt;="&amp;DATE($I$2,F$4,1),DATA!$N:$N,"&lt;="&amp;DATE($I$2,F$4,F$5))</f>
        <v/>
      </c>
      <c r="G743" s="321">
        <f>SUMIFS(DATA!$M:$M,DATA!$C:$C,$B742,DATA!$N:$N,"&gt;="&amp;DATE($I$2,G$4,1),DATA!$N:$N,"&lt;="&amp;DATE($I$2,G$4,G$5))</f>
        <v/>
      </c>
      <c r="H743" s="321">
        <f>SUMIFS(DATA!$M:$M,DATA!$C:$C,$B742,DATA!$N:$N,"&gt;="&amp;DATE($I$2,H$4,1),DATA!$N:$N,"&lt;="&amp;DATE($I$2,H$4,H$5))</f>
        <v/>
      </c>
      <c r="I743" s="321">
        <f>SUMIFS(DATA!$M:$M,DATA!$C:$C,$B742,DATA!$N:$N,"&gt;="&amp;DATE($I$2,I$4,1),DATA!$N:$N,"&lt;="&amp;DATE($I$2,I$4,I$5))</f>
        <v/>
      </c>
      <c r="J743" s="321">
        <f>SUMIFS(DATA!$M:$M,DATA!$C:$C,$B742,DATA!$N:$N,"&gt;="&amp;DATE($I$2,J$4,1),DATA!$N:$N,"&lt;="&amp;DATE($I$2,J$4,J$5))</f>
        <v/>
      </c>
      <c r="K743" s="321">
        <f>SUMIFS(DATA!$M:$M,DATA!$C:$C,$B742,DATA!$N:$N,"&gt;="&amp;DATE($I$2,K$4,1),DATA!$N:$N,"&lt;="&amp;DATE($I$2,K$4,K$5))</f>
        <v/>
      </c>
      <c r="L743" s="321">
        <f>SUMIFS(DATA!$M:$M,DATA!$C:$C,$B742,DATA!$N:$N,"&gt;="&amp;DATE($I$2,L$4,1),DATA!$N:$N,"&lt;="&amp;DATE($I$2,L$4,L$5))</f>
        <v/>
      </c>
      <c r="M743" s="321">
        <f>SUMIFS(DATA!$M:$M,DATA!$C:$C,$B742,DATA!$N:$N,"&gt;="&amp;DATE($I$2,M$4,1),DATA!$N:$N,"&lt;="&amp;DATE($I$2,M$4,M$5))</f>
        <v/>
      </c>
      <c r="N743" s="321">
        <f>SUMIFS(DATA!$M:$M,DATA!$C:$C,$B742,DATA!$N:$N,"&gt;="&amp;DATE($I$2,N$4,1),DATA!$N:$N,"&lt;="&amp;DATE($I$2,N$4,N$5))</f>
        <v/>
      </c>
      <c r="O743" s="321">
        <f>SUMIFS(DATA!$M:$M,DATA!$C:$C,$B742,DATA!$N:$N,"&gt;="&amp;DATE($I$2,O$4,1),DATA!$N:$N,"&lt;="&amp;DATE($I$2,O$4,O$5))</f>
        <v/>
      </c>
      <c r="P743" s="322">
        <f>SUM(D743:O743)</f>
        <v/>
      </c>
      <c r="Q743" s="122" t="n"/>
    </row>
    <row r="744" hidden="1" outlineLevel="1" ht="30" customHeight="1">
      <c r="A744" s="269" t="n">
        <v>370</v>
      </c>
      <c r="B744" s="125" t="n"/>
      <c r="C744" s="119" t="inlineStr">
        <is>
          <t>Kế hoạch</t>
        </is>
      </c>
      <c r="D744" s="321">
        <f>SUMIFS(DATA!$I:$I,DATA!$C:$C,$B744,DATA!$J:$J,"&gt;="&amp;DATE($I$2,D$4,1),DATA!$J:$J,"&lt;="&amp;DATE($I$2,D$4,D$5))</f>
        <v/>
      </c>
      <c r="E744" s="321">
        <f>SUMIFS(DATA!$I:$I,DATA!$C:$C,$B744,DATA!$J:$J,"&gt;="&amp;DATE($I$2,E$4,1),DATA!$J:$J,"&lt;="&amp;DATE($I$2,E$4,E$5))</f>
        <v/>
      </c>
      <c r="F744" s="321">
        <f>SUMIFS(DATA!$I:$I,DATA!$C:$C,$B744,DATA!$J:$J,"&gt;="&amp;DATE($I$2,F$4,1),DATA!$J:$J,"&lt;="&amp;DATE($I$2,F$4,F$5))</f>
        <v/>
      </c>
      <c r="G744" s="321">
        <f>SUMIFS(DATA!$I:$I,DATA!$C:$C,$B744,DATA!$J:$J,"&gt;="&amp;DATE($I$2,G$4,1),DATA!$J:$J,"&lt;="&amp;DATE($I$2,G$4,G$5))</f>
        <v/>
      </c>
      <c r="H744" s="321">
        <f>SUMIFS(DATA!$I:$I,DATA!$C:$C,$B744,DATA!$J:$J,"&gt;="&amp;DATE($I$2,H$4,1),DATA!$J:$J,"&lt;="&amp;DATE($I$2,H$4,H$5))</f>
        <v/>
      </c>
      <c r="I744" s="321">
        <f>SUMIFS(DATA!$I:$I,DATA!$C:$C,$B744,DATA!$J:$J,"&gt;="&amp;DATE($I$2,I$4,1),DATA!$J:$J,"&lt;="&amp;DATE($I$2,I$4,I$5))</f>
        <v/>
      </c>
      <c r="J744" s="321">
        <f>SUMIFS(DATA!$I:$I,DATA!$C:$C,$B744,DATA!$J:$J,"&gt;="&amp;DATE($I$2,J$4,1),DATA!$J:$J,"&lt;="&amp;DATE($I$2,J$4,J$5))</f>
        <v/>
      </c>
      <c r="K744" s="321">
        <f>SUMIFS(DATA!$I:$I,DATA!$C:$C,$B744,DATA!$J:$J,"&gt;="&amp;DATE($I$2,K$4,1),DATA!$J:$J,"&lt;="&amp;DATE($I$2,K$4,K$5))</f>
        <v/>
      </c>
      <c r="L744" s="321">
        <f>SUMIFS(DATA!$I:$I,DATA!$C:$C,$B744,DATA!$J:$J,"&gt;="&amp;DATE($I$2,L$4,1),DATA!$J:$J,"&lt;="&amp;DATE($I$2,L$4,L$5))</f>
        <v/>
      </c>
      <c r="M744" s="321">
        <f>SUMIFS(DATA!$I:$I,DATA!$C:$C,$B744,DATA!$J:$J,"&gt;="&amp;DATE($I$2,M$4,1),DATA!$J:$J,"&lt;="&amp;DATE($I$2,M$4,M$5))</f>
        <v/>
      </c>
      <c r="N744" s="321">
        <f>SUMIFS(DATA!$I:$I,DATA!$C:$C,$B744,DATA!$J:$J,"&gt;="&amp;DATE($I$2,N$4,1),DATA!$J:$J,"&lt;="&amp;DATE($I$2,N$4,N$5))</f>
        <v/>
      </c>
      <c r="O744" s="321">
        <f>SUMIFS(DATA!$I:$I,DATA!$C:$C,$B744,DATA!$J:$J,"&gt;="&amp;DATE($I$2,O$4,1),DATA!$J:$J,"&lt;="&amp;DATE($I$2,O$4,O$5))</f>
        <v/>
      </c>
      <c r="P744" s="322">
        <f>SUM(D744:O744)</f>
        <v/>
      </c>
      <c r="Q744" s="122" t="n"/>
    </row>
    <row r="745" hidden="1" outlineLevel="1" ht="25.15" customHeight="1">
      <c r="A745" s="266" t="n"/>
      <c r="B745" s="126" t="n"/>
      <c r="C745" s="119" t="inlineStr">
        <is>
          <t>Thực tế</t>
        </is>
      </c>
      <c r="D745" s="321">
        <f>SUMIFS(DATA!$M:$M,DATA!$C:$C,$B744,DATA!$N:$N,"&gt;="&amp;DATE($I$2,D$4,1),DATA!$N:$N,"&lt;="&amp;DATE($I$2,D$4,D$5))</f>
        <v/>
      </c>
      <c r="E745" s="321">
        <f>SUMIFS(DATA!$M:$M,DATA!$C:$C,$B744,DATA!$N:$N,"&gt;="&amp;DATE($I$2,E$4,1),DATA!$N:$N,"&lt;="&amp;DATE($I$2,E$4,E$5))</f>
        <v/>
      </c>
      <c r="F745" s="321">
        <f>SUMIFS(DATA!$M:$M,DATA!$C:$C,$B744,DATA!$N:$N,"&gt;="&amp;DATE($I$2,F$4,1),DATA!$N:$N,"&lt;="&amp;DATE($I$2,F$4,F$5))</f>
        <v/>
      </c>
      <c r="G745" s="321">
        <f>SUMIFS(DATA!$M:$M,DATA!$C:$C,$B744,DATA!$N:$N,"&gt;="&amp;DATE($I$2,G$4,1),DATA!$N:$N,"&lt;="&amp;DATE($I$2,G$4,G$5))</f>
        <v/>
      </c>
      <c r="H745" s="321">
        <f>SUMIFS(DATA!$M:$M,DATA!$C:$C,$B744,DATA!$N:$N,"&gt;="&amp;DATE($I$2,H$4,1),DATA!$N:$N,"&lt;="&amp;DATE($I$2,H$4,H$5))</f>
        <v/>
      </c>
      <c r="I745" s="321">
        <f>SUMIFS(DATA!$M:$M,DATA!$C:$C,$B744,DATA!$N:$N,"&gt;="&amp;DATE($I$2,I$4,1),DATA!$N:$N,"&lt;="&amp;DATE($I$2,I$4,I$5))</f>
        <v/>
      </c>
      <c r="J745" s="321">
        <f>SUMIFS(DATA!$M:$M,DATA!$C:$C,$B744,DATA!$N:$N,"&gt;="&amp;DATE($I$2,J$4,1),DATA!$N:$N,"&lt;="&amp;DATE($I$2,J$4,J$5))</f>
        <v/>
      </c>
      <c r="K745" s="321">
        <f>SUMIFS(DATA!$M:$M,DATA!$C:$C,$B744,DATA!$N:$N,"&gt;="&amp;DATE($I$2,K$4,1),DATA!$N:$N,"&lt;="&amp;DATE($I$2,K$4,K$5))</f>
        <v/>
      </c>
      <c r="L745" s="321">
        <f>SUMIFS(DATA!$M:$M,DATA!$C:$C,$B744,DATA!$N:$N,"&gt;="&amp;DATE($I$2,L$4,1),DATA!$N:$N,"&lt;="&amp;DATE($I$2,L$4,L$5))</f>
        <v/>
      </c>
      <c r="M745" s="321">
        <f>SUMIFS(DATA!$M:$M,DATA!$C:$C,$B744,DATA!$N:$N,"&gt;="&amp;DATE($I$2,M$4,1),DATA!$N:$N,"&lt;="&amp;DATE($I$2,M$4,M$5))</f>
        <v/>
      </c>
      <c r="N745" s="321">
        <f>SUMIFS(DATA!$M:$M,DATA!$C:$C,$B744,DATA!$N:$N,"&gt;="&amp;DATE($I$2,N$4,1),DATA!$N:$N,"&lt;="&amp;DATE($I$2,N$4,N$5))</f>
        <v/>
      </c>
      <c r="O745" s="321">
        <f>SUMIFS(DATA!$M:$M,DATA!$C:$C,$B744,DATA!$N:$N,"&gt;="&amp;DATE($I$2,O$4,1),DATA!$N:$N,"&lt;="&amp;DATE($I$2,O$4,O$5))</f>
        <v/>
      </c>
      <c r="P745" s="322">
        <f>SUM(D745:O745)</f>
        <v/>
      </c>
      <c r="Q745" s="118" t="n"/>
    </row>
    <row r="746" hidden="1" outlineLevel="1" ht="39.95" customHeight="1">
      <c r="A746" s="269" t="n">
        <v>371</v>
      </c>
      <c r="B746" s="125" t="n"/>
      <c r="C746" s="119" t="inlineStr">
        <is>
          <t>Kế hoạch</t>
        </is>
      </c>
      <c r="D746" s="321">
        <f>SUMIFS(DATA!$I:$I,DATA!$C:$C,$B746,DATA!$J:$J,"&gt;="&amp;DATE($I$2,D$4,1),DATA!$J:$J,"&lt;="&amp;DATE($I$2,D$4,D$5))</f>
        <v/>
      </c>
      <c r="E746" s="321">
        <f>SUMIFS(DATA!$I:$I,DATA!$C:$C,$B746,DATA!$J:$J,"&gt;="&amp;DATE($I$2,E$4,1),DATA!$J:$J,"&lt;="&amp;DATE($I$2,E$4,E$5))</f>
        <v/>
      </c>
      <c r="F746" s="321">
        <f>SUMIFS(DATA!$I:$I,DATA!$C:$C,$B746,DATA!$J:$J,"&gt;="&amp;DATE($I$2,F$4,1),DATA!$J:$J,"&lt;="&amp;DATE($I$2,F$4,F$5))</f>
        <v/>
      </c>
      <c r="G746" s="321">
        <f>SUMIFS(DATA!$I:$I,DATA!$C:$C,$B746,DATA!$J:$J,"&gt;="&amp;DATE($I$2,G$4,1),DATA!$J:$J,"&lt;="&amp;DATE($I$2,G$4,G$5))</f>
        <v/>
      </c>
      <c r="H746" s="321">
        <f>SUMIFS(DATA!$I:$I,DATA!$C:$C,$B746,DATA!$J:$J,"&gt;="&amp;DATE($I$2,H$4,1),DATA!$J:$J,"&lt;="&amp;DATE($I$2,H$4,H$5))</f>
        <v/>
      </c>
      <c r="I746" s="321">
        <f>SUMIFS(DATA!$I:$I,DATA!$C:$C,$B746,DATA!$J:$J,"&gt;="&amp;DATE($I$2,I$4,1),DATA!$J:$J,"&lt;="&amp;DATE($I$2,I$4,I$5))</f>
        <v/>
      </c>
      <c r="J746" s="321">
        <f>SUMIFS(DATA!$I:$I,DATA!$C:$C,$B746,DATA!$J:$J,"&gt;="&amp;DATE($I$2,J$4,1),DATA!$J:$J,"&lt;="&amp;DATE($I$2,J$4,J$5))</f>
        <v/>
      </c>
      <c r="K746" s="321">
        <f>SUMIFS(DATA!$I:$I,DATA!$C:$C,$B746,DATA!$J:$J,"&gt;="&amp;DATE($I$2,K$4,1),DATA!$J:$J,"&lt;="&amp;DATE($I$2,K$4,K$5))</f>
        <v/>
      </c>
      <c r="L746" s="321">
        <f>SUMIFS(DATA!$I:$I,DATA!$C:$C,$B746,DATA!$J:$J,"&gt;="&amp;DATE($I$2,L$4,1),DATA!$J:$J,"&lt;="&amp;DATE($I$2,L$4,L$5))</f>
        <v/>
      </c>
      <c r="M746" s="321">
        <f>SUMIFS(DATA!$I:$I,DATA!$C:$C,$B746,DATA!$J:$J,"&gt;="&amp;DATE($I$2,M$4,1),DATA!$J:$J,"&lt;="&amp;DATE($I$2,M$4,M$5))</f>
        <v/>
      </c>
      <c r="N746" s="321">
        <f>SUMIFS(DATA!$I:$I,DATA!$C:$C,$B746,DATA!$J:$J,"&gt;="&amp;DATE($I$2,N$4,1),DATA!$J:$J,"&lt;="&amp;DATE($I$2,N$4,N$5))</f>
        <v/>
      </c>
      <c r="O746" s="321">
        <f>SUMIFS(DATA!$I:$I,DATA!$C:$C,$B746,DATA!$J:$J,"&gt;="&amp;DATE($I$2,O$4,1),DATA!$J:$J,"&lt;="&amp;DATE($I$2,O$4,O$5))</f>
        <v/>
      </c>
      <c r="P746" s="322">
        <f>SUM(D746:O746)</f>
        <v/>
      </c>
      <c r="Q746" s="122">
        <f>P1010/P1009</f>
        <v/>
      </c>
    </row>
    <row r="747" hidden="1" outlineLevel="1" ht="39.95" customHeight="1">
      <c r="A747" s="266" t="n"/>
      <c r="B747" s="126" t="n"/>
      <c r="C747" s="119" t="inlineStr">
        <is>
          <t>Thực tế</t>
        </is>
      </c>
      <c r="D747" s="321">
        <f>SUMIFS(DATA!$M:$M,DATA!$C:$C,$B746,DATA!$N:$N,"&gt;="&amp;DATE($I$2,D$4,1),DATA!$N:$N,"&lt;="&amp;DATE($I$2,D$4,D$5))</f>
        <v/>
      </c>
      <c r="E747" s="321">
        <f>SUMIFS(DATA!$M:$M,DATA!$C:$C,$B746,DATA!$N:$N,"&gt;="&amp;DATE($I$2,E$4,1),DATA!$N:$N,"&lt;="&amp;DATE($I$2,E$4,E$5))</f>
        <v/>
      </c>
      <c r="F747" s="321">
        <f>SUMIFS(DATA!$M:$M,DATA!$C:$C,$B746,DATA!$N:$N,"&gt;="&amp;DATE($I$2,F$4,1),DATA!$N:$N,"&lt;="&amp;DATE($I$2,F$4,F$5))</f>
        <v/>
      </c>
      <c r="G747" s="321">
        <f>SUMIFS(DATA!$M:$M,DATA!$C:$C,$B746,DATA!$N:$N,"&gt;="&amp;DATE($I$2,G$4,1),DATA!$N:$N,"&lt;="&amp;DATE($I$2,G$4,G$5))</f>
        <v/>
      </c>
      <c r="H747" s="321">
        <f>SUMIFS(DATA!$M:$M,DATA!$C:$C,$B746,DATA!$N:$N,"&gt;="&amp;DATE($I$2,H$4,1),DATA!$N:$N,"&lt;="&amp;DATE($I$2,H$4,H$5))</f>
        <v/>
      </c>
      <c r="I747" s="321">
        <f>SUMIFS(DATA!$M:$M,DATA!$C:$C,$B746,DATA!$N:$N,"&gt;="&amp;DATE($I$2,I$4,1),DATA!$N:$N,"&lt;="&amp;DATE($I$2,I$4,I$5))</f>
        <v/>
      </c>
      <c r="J747" s="321">
        <f>SUMIFS(DATA!$M:$M,DATA!$C:$C,$B746,DATA!$N:$N,"&gt;="&amp;DATE($I$2,J$4,1),DATA!$N:$N,"&lt;="&amp;DATE($I$2,J$4,J$5))</f>
        <v/>
      </c>
      <c r="K747" s="321">
        <f>SUMIFS(DATA!$M:$M,DATA!$C:$C,$B746,DATA!$N:$N,"&gt;="&amp;DATE($I$2,K$4,1),DATA!$N:$N,"&lt;="&amp;DATE($I$2,K$4,K$5))</f>
        <v/>
      </c>
      <c r="L747" s="321">
        <f>SUMIFS(DATA!$M:$M,DATA!$C:$C,$B746,DATA!$N:$N,"&gt;="&amp;DATE($I$2,L$4,1),DATA!$N:$N,"&lt;="&amp;DATE($I$2,L$4,L$5))</f>
        <v/>
      </c>
      <c r="M747" s="321">
        <f>SUMIFS(DATA!$M:$M,DATA!$C:$C,$B746,DATA!$N:$N,"&gt;="&amp;DATE($I$2,M$4,1),DATA!$N:$N,"&lt;="&amp;DATE($I$2,M$4,M$5))</f>
        <v/>
      </c>
      <c r="N747" s="321">
        <f>SUMIFS(DATA!$M:$M,DATA!$C:$C,$B746,DATA!$N:$N,"&gt;="&amp;DATE($I$2,N$4,1),DATA!$N:$N,"&lt;="&amp;DATE($I$2,N$4,N$5))</f>
        <v/>
      </c>
      <c r="O747" s="321">
        <f>SUMIFS(DATA!$M:$M,DATA!$C:$C,$B746,DATA!$N:$N,"&gt;="&amp;DATE($I$2,O$4,1),DATA!$N:$N,"&lt;="&amp;DATE($I$2,O$4,O$5))</f>
        <v/>
      </c>
      <c r="P747" s="322">
        <f>SUM(D747:O747)</f>
        <v/>
      </c>
      <c r="Q747" s="122">
        <f>P1011/P1009</f>
        <v/>
      </c>
    </row>
    <row r="748" hidden="1" outlineLevel="1" ht="15" customHeight="1">
      <c r="A748" s="269" t="n">
        <v>372</v>
      </c>
      <c r="B748" s="125" t="n"/>
      <c r="C748" s="119" t="inlineStr">
        <is>
          <t>Kế hoạch</t>
        </is>
      </c>
      <c r="D748" s="321">
        <f>SUMIFS(DATA!$I:$I,DATA!$C:$C,$B748,DATA!$J:$J,"&gt;="&amp;DATE($I$2,D$4,1),DATA!$J:$J,"&lt;="&amp;DATE($I$2,D$4,D$5))</f>
        <v/>
      </c>
      <c r="E748" s="321">
        <f>SUMIFS(DATA!$I:$I,DATA!$C:$C,$B748,DATA!$J:$J,"&gt;="&amp;DATE($I$2,E$4,1),DATA!$J:$J,"&lt;="&amp;DATE($I$2,E$4,E$5))</f>
        <v/>
      </c>
      <c r="F748" s="321">
        <f>SUMIFS(DATA!$I:$I,DATA!$C:$C,$B748,DATA!$J:$J,"&gt;="&amp;DATE($I$2,F$4,1),DATA!$J:$J,"&lt;="&amp;DATE($I$2,F$4,F$5))</f>
        <v/>
      </c>
      <c r="G748" s="321">
        <f>SUMIFS(DATA!$I:$I,DATA!$C:$C,$B748,DATA!$J:$J,"&gt;="&amp;DATE($I$2,G$4,1),DATA!$J:$J,"&lt;="&amp;DATE($I$2,G$4,G$5))</f>
        <v/>
      </c>
      <c r="H748" s="321">
        <f>SUMIFS(DATA!$I:$I,DATA!$C:$C,$B748,DATA!$J:$J,"&gt;="&amp;DATE($I$2,H$4,1),DATA!$J:$J,"&lt;="&amp;DATE($I$2,H$4,H$5))</f>
        <v/>
      </c>
      <c r="I748" s="321">
        <f>SUMIFS(DATA!$I:$I,DATA!$C:$C,$B748,DATA!$J:$J,"&gt;="&amp;DATE($I$2,I$4,1),DATA!$J:$J,"&lt;="&amp;DATE($I$2,I$4,I$5))</f>
        <v/>
      </c>
      <c r="J748" s="321">
        <f>SUMIFS(DATA!$I:$I,DATA!$C:$C,$B748,DATA!$J:$J,"&gt;="&amp;DATE($I$2,J$4,1),DATA!$J:$J,"&lt;="&amp;DATE($I$2,J$4,J$5))</f>
        <v/>
      </c>
      <c r="K748" s="321">
        <f>SUMIFS(DATA!$I:$I,DATA!$C:$C,$B748,DATA!$J:$J,"&gt;="&amp;DATE($I$2,K$4,1),DATA!$J:$J,"&lt;="&amp;DATE($I$2,K$4,K$5))</f>
        <v/>
      </c>
      <c r="L748" s="321">
        <f>SUMIFS(DATA!$I:$I,DATA!$C:$C,$B748,DATA!$J:$J,"&gt;="&amp;DATE($I$2,L$4,1),DATA!$J:$J,"&lt;="&amp;DATE($I$2,L$4,L$5))</f>
        <v/>
      </c>
      <c r="M748" s="321">
        <f>SUMIFS(DATA!$I:$I,DATA!$C:$C,$B748,DATA!$J:$J,"&gt;="&amp;DATE($I$2,M$4,1),DATA!$J:$J,"&lt;="&amp;DATE($I$2,M$4,M$5))</f>
        <v/>
      </c>
      <c r="N748" s="321">
        <f>SUMIFS(DATA!$I:$I,DATA!$C:$C,$B748,DATA!$J:$J,"&gt;="&amp;DATE($I$2,N$4,1),DATA!$J:$J,"&lt;="&amp;DATE($I$2,N$4,N$5))</f>
        <v/>
      </c>
      <c r="O748" s="321">
        <f>SUMIFS(DATA!$I:$I,DATA!$C:$C,$B748,DATA!$J:$J,"&gt;="&amp;DATE($I$2,O$4,1),DATA!$J:$J,"&lt;="&amp;DATE($I$2,O$4,O$5))</f>
        <v/>
      </c>
      <c r="P748" s="322">
        <f>SUM(D748:O748)</f>
        <v/>
      </c>
    </row>
    <row r="749" hidden="1" outlineLevel="1" ht="15" customHeight="1">
      <c r="A749" s="266" t="n"/>
      <c r="B749" s="126" t="n"/>
      <c r="C749" s="119" t="inlineStr">
        <is>
          <t>Thực tế</t>
        </is>
      </c>
      <c r="D749" s="321">
        <f>SUMIFS(DATA!$M:$M,DATA!$C:$C,$B748,DATA!$N:$N,"&gt;="&amp;DATE($I$2,D$4,1),DATA!$N:$N,"&lt;="&amp;DATE($I$2,D$4,D$5))</f>
        <v/>
      </c>
      <c r="E749" s="321">
        <f>SUMIFS(DATA!$M:$M,DATA!$C:$C,$B748,DATA!$N:$N,"&gt;="&amp;DATE($I$2,E$4,1),DATA!$N:$N,"&lt;="&amp;DATE($I$2,E$4,E$5))</f>
        <v/>
      </c>
      <c r="F749" s="321">
        <f>SUMIFS(DATA!$M:$M,DATA!$C:$C,$B748,DATA!$N:$N,"&gt;="&amp;DATE($I$2,F$4,1),DATA!$N:$N,"&lt;="&amp;DATE($I$2,F$4,F$5))</f>
        <v/>
      </c>
      <c r="G749" s="321">
        <f>SUMIFS(DATA!$M:$M,DATA!$C:$C,$B748,DATA!$N:$N,"&gt;="&amp;DATE($I$2,G$4,1),DATA!$N:$N,"&lt;="&amp;DATE($I$2,G$4,G$5))</f>
        <v/>
      </c>
      <c r="H749" s="321">
        <f>SUMIFS(DATA!$M:$M,DATA!$C:$C,$B748,DATA!$N:$N,"&gt;="&amp;DATE($I$2,H$4,1),DATA!$N:$N,"&lt;="&amp;DATE($I$2,H$4,H$5))</f>
        <v/>
      </c>
      <c r="I749" s="321">
        <f>SUMIFS(DATA!$M:$M,DATA!$C:$C,$B748,DATA!$N:$N,"&gt;="&amp;DATE($I$2,I$4,1),DATA!$N:$N,"&lt;="&amp;DATE($I$2,I$4,I$5))</f>
        <v/>
      </c>
      <c r="J749" s="321">
        <f>SUMIFS(DATA!$M:$M,DATA!$C:$C,$B748,DATA!$N:$N,"&gt;="&amp;DATE($I$2,J$4,1),DATA!$N:$N,"&lt;="&amp;DATE($I$2,J$4,J$5))</f>
        <v/>
      </c>
      <c r="K749" s="321">
        <f>SUMIFS(DATA!$M:$M,DATA!$C:$C,$B748,DATA!$N:$N,"&gt;="&amp;DATE($I$2,K$4,1),DATA!$N:$N,"&lt;="&amp;DATE($I$2,K$4,K$5))</f>
        <v/>
      </c>
      <c r="L749" s="321">
        <f>SUMIFS(DATA!$M:$M,DATA!$C:$C,$B748,DATA!$N:$N,"&gt;="&amp;DATE($I$2,L$4,1),DATA!$N:$N,"&lt;="&amp;DATE($I$2,L$4,L$5))</f>
        <v/>
      </c>
      <c r="M749" s="321">
        <f>SUMIFS(DATA!$M:$M,DATA!$C:$C,$B748,DATA!$N:$N,"&gt;="&amp;DATE($I$2,M$4,1),DATA!$N:$N,"&lt;="&amp;DATE($I$2,M$4,M$5))</f>
        <v/>
      </c>
      <c r="N749" s="321">
        <f>SUMIFS(DATA!$M:$M,DATA!$C:$C,$B748,DATA!$N:$N,"&gt;="&amp;DATE($I$2,N$4,1),DATA!$N:$N,"&lt;="&amp;DATE($I$2,N$4,N$5))</f>
        <v/>
      </c>
      <c r="O749" s="321">
        <f>SUMIFS(DATA!$M:$M,DATA!$C:$C,$B748,DATA!$N:$N,"&gt;="&amp;DATE($I$2,O$4,1),DATA!$N:$N,"&lt;="&amp;DATE($I$2,O$4,O$5))</f>
        <v/>
      </c>
      <c r="P749" s="322">
        <f>SUM(D749:O749)</f>
        <v/>
      </c>
    </row>
    <row r="750" hidden="1" outlineLevel="1" ht="15" customHeight="1">
      <c r="A750" s="269" t="n">
        <v>373</v>
      </c>
      <c r="B750" s="125" t="n"/>
      <c r="C750" s="119" t="inlineStr">
        <is>
          <t>Kế hoạch</t>
        </is>
      </c>
      <c r="D750" s="321">
        <f>SUMIFS(DATA!$I:$I,DATA!$C:$C,$B750,DATA!$J:$J,"&gt;="&amp;DATE($I$2,D$4,1),DATA!$J:$J,"&lt;="&amp;DATE($I$2,D$4,D$5))</f>
        <v/>
      </c>
      <c r="E750" s="321">
        <f>SUMIFS(DATA!$I:$I,DATA!$C:$C,$B750,DATA!$J:$J,"&gt;="&amp;DATE($I$2,E$4,1),DATA!$J:$J,"&lt;="&amp;DATE($I$2,E$4,E$5))</f>
        <v/>
      </c>
      <c r="F750" s="321">
        <f>SUMIFS(DATA!$I:$I,DATA!$C:$C,$B750,DATA!$J:$J,"&gt;="&amp;DATE($I$2,F$4,1),DATA!$J:$J,"&lt;="&amp;DATE($I$2,F$4,F$5))</f>
        <v/>
      </c>
      <c r="G750" s="321">
        <f>SUMIFS(DATA!$I:$I,DATA!$C:$C,$B750,DATA!$J:$J,"&gt;="&amp;DATE($I$2,G$4,1),DATA!$J:$J,"&lt;="&amp;DATE($I$2,G$4,G$5))</f>
        <v/>
      </c>
      <c r="H750" s="321">
        <f>SUMIFS(DATA!$I:$I,DATA!$C:$C,$B750,DATA!$J:$J,"&gt;="&amp;DATE($I$2,H$4,1),DATA!$J:$J,"&lt;="&amp;DATE($I$2,H$4,H$5))</f>
        <v/>
      </c>
      <c r="I750" s="321">
        <f>SUMIFS(DATA!$I:$I,DATA!$C:$C,$B750,DATA!$J:$J,"&gt;="&amp;DATE($I$2,I$4,1),DATA!$J:$J,"&lt;="&amp;DATE($I$2,I$4,I$5))</f>
        <v/>
      </c>
      <c r="J750" s="321">
        <f>SUMIFS(DATA!$I:$I,DATA!$C:$C,$B750,DATA!$J:$J,"&gt;="&amp;DATE($I$2,J$4,1),DATA!$J:$J,"&lt;="&amp;DATE($I$2,J$4,J$5))</f>
        <v/>
      </c>
      <c r="K750" s="321">
        <f>SUMIFS(DATA!$I:$I,DATA!$C:$C,$B750,DATA!$J:$J,"&gt;="&amp;DATE($I$2,K$4,1),DATA!$J:$J,"&lt;="&amp;DATE($I$2,K$4,K$5))</f>
        <v/>
      </c>
      <c r="L750" s="321">
        <f>SUMIFS(DATA!$I:$I,DATA!$C:$C,$B750,DATA!$J:$J,"&gt;="&amp;DATE($I$2,L$4,1),DATA!$J:$J,"&lt;="&amp;DATE($I$2,L$4,L$5))</f>
        <v/>
      </c>
      <c r="M750" s="321">
        <f>SUMIFS(DATA!$I:$I,DATA!$C:$C,$B750,DATA!$J:$J,"&gt;="&amp;DATE($I$2,M$4,1),DATA!$J:$J,"&lt;="&amp;DATE($I$2,M$4,M$5))</f>
        <v/>
      </c>
      <c r="N750" s="321">
        <f>SUMIFS(DATA!$I:$I,DATA!$C:$C,$B750,DATA!$J:$J,"&gt;="&amp;DATE($I$2,N$4,1),DATA!$J:$J,"&lt;="&amp;DATE($I$2,N$4,N$5))</f>
        <v/>
      </c>
      <c r="O750" s="321">
        <f>SUMIFS(DATA!$I:$I,DATA!$C:$C,$B750,DATA!$J:$J,"&gt;="&amp;DATE($I$2,O$4,1),DATA!$J:$J,"&lt;="&amp;DATE($I$2,O$4,O$5))</f>
        <v/>
      </c>
      <c r="P750" s="322">
        <f>SUM(D750:O750)</f>
        <v/>
      </c>
    </row>
    <row r="751" hidden="1" outlineLevel="1" ht="15" customHeight="1">
      <c r="A751" s="266" t="n"/>
      <c r="B751" s="126" t="n"/>
      <c r="C751" s="119" t="inlineStr">
        <is>
          <t>Thực tế</t>
        </is>
      </c>
      <c r="D751" s="321">
        <f>SUMIFS(DATA!$M:$M,DATA!$C:$C,$B750,DATA!$N:$N,"&gt;="&amp;DATE($I$2,D$4,1),DATA!$N:$N,"&lt;="&amp;DATE($I$2,D$4,D$5))</f>
        <v/>
      </c>
      <c r="E751" s="321">
        <f>SUMIFS(DATA!$M:$M,DATA!$C:$C,$B750,DATA!$N:$N,"&gt;="&amp;DATE($I$2,E$4,1),DATA!$N:$N,"&lt;="&amp;DATE($I$2,E$4,E$5))</f>
        <v/>
      </c>
      <c r="F751" s="321">
        <f>SUMIFS(DATA!$M:$M,DATA!$C:$C,$B750,DATA!$N:$N,"&gt;="&amp;DATE($I$2,F$4,1),DATA!$N:$N,"&lt;="&amp;DATE($I$2,F$4,F$5))</f>
        <v/>
      </c>
      <c r="G751" s="321">
        <f>SUMIFS(DATA!$M:$M,DATA!$C:$C,$B750,DATA!$N:$N,"&gt;="&amp;DATE($I$2,G$4,1),DATA!$N:$N,"&lt;="&amp;DATE($I$2,G$4,G$5))</f>
        <v/>
      </c>
      <c r="H751" s="321">
        <f>SUMIFS(DATA!$M:$M,DATA!$C:$C,$B750,DATA!$N:$N,"&gt;="&amp;DATE($I$2,H$4,1),DATA!$N:$N,"&lt;="&amp;DATE($I$2,H$4,H$5))</f>
        <v/>
      </c>
      <c r="I751" s="321">
        <f>SUMIFS(DATA!$M:$M,DATA!$C:$C,$B750,DATA!$N:$N,"&gt;="&amp;DATE($I$2,I$4,1),DATA!$N:$N,"&lt;="&amp;DATE($I$2,I$4,I$5))</f>
        <v/>
      </c>
      <c r="J751" s="321">
        <f>SUMIFS(DATA!$M:$M,DATA!$C:$C,$B750,DATA!$N:$N,"&gt;="&amp;DATE($I$2,J$4,1),DATA!$N:$N,"&lt;="&amp;DATE($I$2,J$4,J$5))</f>
        <v/>
      </c>
      <c r="K751" s="321">
        <f>SUMIFS(DATA!$M:$M,DATA!$C:$C,$B750,DATA!$N:$N,"&gt;="&amp;DATE($I$2,K$4,1),DATA!$N:$N,"&lt;="&amp;DATE($I$2,K$4,K$5))</f>
        <v/>
      </c>
      <c r="L751" s="321">
        <f>SUMIFS(DATA!$M:$M,DATA!$C:$C,$B750,DATA!$N:$N,"&gt;="&amp;DATE($I$2,L$4,1),DATA!$N:$N,"&lt;="&amp;DATE($I$2,L$4,L$5))</f>
        <v/>
      </c>
      <c r="M751" s="321">
        <f>SUMIFS(DATA!$M:$M,DATA!$C:$C,$B750,DATA!$N:$N,"&gt;="&amp;DATE($I$2,M$4,1),DATA!$N:$N,"&lt;="&amp;DATE($I$2,M$4,M$5))</f>
        <v/>
      </c>
      <c r="N751" s="321">
        <f>SUMIFS(DATA!$M:$M,DATA!$C:$C,$B750,DATA!$N:$N,"&gt;="&amp;DATE($I$2,N$4,1),DATA!$N:$N,"&lt;="&amp;DATE($I$2,N$4,N$5))</f>
        <v/>
      </c>
      <c r="O751" s="321">
        <f>SUMIFS(DATA!$M:$M,DATA!$C:$C,$B750,DATA!$N:$N,"&gt;="&amp;DATE($I$2,O$4,1),DATA!$N:$N,"&lt;="&amp;DATE($I$2,O$4,O$5))</f>
        <v/>
      </c>
      <c r="P751" s="322">
        <f>SUM(D751:O751)</f>
        <v/>
      </c>
    </row>
    <row r="752" hidden="1" outlineLevel="1" ht="15" customHeight="1">
      <c r="A752" s="269" t="n">
        <v>374</v>
      </c>
      <c r="B752" s="125" t="n"/>
      <c r="C752" s="119" t="inlineStr">
        <is>
          <t>Kế hoạch</t>
        </is>
      </c>
      <c r="D752" s="321">
        <f>SUMIFS(DATA!$I:$I,DATA!$C:$C,$B752,DATA!$J:$J,"&gt;="&amp;DATE($I$2,D$4,1),DATA!$J:$J,"&lt;="&amp;DATE($I$2,D$4,D$5))</f>
        <v/>
      </c>
      <c r="E752" s="321">
        <f>SUMIFS(DATA!$I:$I,DATA!$C:$C,$B752,DATA!$J:$J,"&gt;="&amp;DATE($I$2,E$4,1),DATA!$J:$J,"&lt;="&amp;DATE($I$2,E$4,E$5))</f>
        <v/>
      </c>
      <c r="F752" s="321">
        <f>SUMIFS(DATA!$I:$I,DATA!$C:$C,$B752,DATA!$J:$J,"&gt;="&amp;DATE($I$2,F$4,1),DATA!$J:$J,"&lt;="&amp;DATE($I$2,F$4,F$5))</f>
        <v/>
      </c>
      <c r="G752" s="321">
        <f>SUMIFS(DATA!$I:$I,DATA!$C:$C,$B752,DATA!$J:$J,"&gt;="&amp;DATE($I$2,G$4,1),DATA!$J:$J,"&lt;="&amp;DATE($I$2,G$4,G$5))</f>
        <v/>
      </c>
      <c r="H752" s="321">
        <f>SUMIFS(DATA!$I:$I,DATA!$C:$C,$B752,DATA!$J:$J,"&gt;="&amp;DATE($I$2,H$4,1),DATA!$J:$J,"&lt;="&amp;DATE($I$2,H$4,H$5))</f>
        <v/>
      </c>
      <c r="I752" s="321">
        <f>SUMIFS(DATA!$I:$I,DATA!$C:$C,$B752,DATA!$J:$J,"&gt;="&amp;DATE($I$2,I$4,1),DATA!$J:$J,"&lt;="&amp;DATE($I$2,I$4,I$5))</f>
        <v/>
      </c>
      <c r="J752" s="321">
        <f>SUMIFS(DATA!$I:$I,DATA!$C:$C,$B752,DATA!$J:$J,"&gt;="&amp;DATE($I$2,J$4,1),DATA!$J:$J,"&lt;="&amp;DATE($I$2,J$4,J$5))</f>
        <v/>
      </c>
      <c r="K752" s="321">
        <f>SUMIFS(DATA!$I:$I,DATA!$C:$C,$B752,DATA!$J:$J,"&gt;="&amp;DATE($I$2,K$4,1),DATA!$J:$J,"&lt;="&amp;DATE($I$2,K$4,K$5))</f>
        <v/>
      </c>
      <c r="L752" s="321">
        <f>SUMIFS(DATA!$I:$I,DATA!$C:$C,$B752,DATA!$J:$J,"&gt;="&amp;DATE($I$2,L$4,1),DATA!$J:$J,"&lt;="&amp;DATE($I$2,L$4,L$5))</f>
        <v/>
      </c>
      <c r="M752" s="321">
        <f>SUMIFS(DATA!$I:$I,DATA!$C:$C,$B752,DATA!$J:$J,"&gt;="&amp;DATE($I$2,M$4,1),DATA!$J:$J,"&lt;="&amp;DATE($I$2,M$4,M$5))</f>
        <v/>
      </c>
      <c r="N752" s="321">
        <f>SUMIFS(DATA!$I:$I,DATA!$C:$C,$B752,DATA!$J:$J,"&gt;="&amp;DATE($I$2,N$4,1),DATA!$J:$J,"&lt;="&amp;DATE($I$2,N$4,N$5))</f>
        <v/>
      </c>
      <c r="O752" s="321">
        <f>SUMIFS(DATA!$I:$I,DATA!$C:$C,$B752,DATA!$J:$J,"&gt;="&amp;DATE($I$2,O$4,1),DATA!$J:$J,"&lt;="&amp;DATE($I$2,O$4,O$5))</f>
        <v/>
      </c>
      <c r="P752" s="322">
        <f>SUM(D752:O752)</f>
        <v/>
      </c>
    </row>
    <row r="753" hidden="1" outlineLevel="1" ht="15" customHeight="1">
      <c r="A753" s="266" t="n"/>
      <c r="B753" s="126" t="n"/>
      <c r="C753" s="119" t="inlineStr">
        <is>
          <t>Thực tế</t>
        </is>
      </c>
      <c r="D753" s="321">
        <f>SUMIFS(DATA!$M:$M,DATA!$C:$C,$B752,DATA!$N:$N,"&gt;="&amp;DATE($I$2,D$4,1),DATA!$N:$N,"&lt;="&amp;DATE($I$2,D$4,D$5))</f>
        <v/>
      </c>
      <c r="E753" s="321">
        <f>SUMIFS(DATA!$M:$M,DATA!$C:$C,$B752,DATA!$N:$N,"&gt;="&amp;DATE($I$2,E$4,1),DATA!$N:$N,"&lt;="&amp;DATE($I$2,E$4,E$5))</f>
        <v/>
      </c>
      <c r="F753" s="321">
        <f>SUMIFS(DATA!$M:$M,DATA!$C:$C,$B752,DATA!$N:$N,"&gt;="&amp;DATE($I$2,F$4,1),DATA!$N:$N,"&lt;="&amp;DATE($I$2,F$4,F$5))</f>
        <v/>
      </c>
      <c r="G753" s="321">
        <f>SUMIFS(DATA!$M:$M,DATA!$C:$C,$B752,DATA!$N:$N,"&gt;="&amp;DATE($I$2,G$4,1),DATA!$N:$N,"&lt;="&amp;DATE($I$2,G$4,G$5))</f>
        <v/>
      </c>
      <c r="H753" s="321">
        <f>SUMIFS(DATA!$M:$M,DATA!$C:$C,$B752,DATA!$N:$N,"&gt;="&amp;DATE($I$2,H$4,1),DATA!$N:$N,"&lt;="&amp;DATE($I$2,H$4,H$5))</f>
        <v/>
      </c>
      <c r="I753" s="321">
        <f>SUMIFS(DATA!$M:$M,DATA!$C:$C,$B752,DATA!$N:$N,"&gt;="&amp;DATE($I$2,I$4,1),DATA!$N:$N,"&lt;="&amp;DATE($I$2,I$4,I$5))</f>
        <v/>
      </c>
      <c r="J753" s="321">
        <f>SUMIFS(DATA!$M:$M,DATA!$C:$C,$B752,DATA!$N:$N,"&gt;="&amp;DATE($I$2,J$4,1),DATA!$N:$N,"&lt;="&amp;DATE($I$2,J$4,J$5))</f>
        <v/>
      </c>
      <c r="K753" s="321">
        <f>SUMIFS(DATA!$M:$M,DATA!$C:$C,$B752,DATA!$N:$N,"&gt;="&amp;DATE($I$2,K$4,1),DATA!$N:$N,"&lt;="&amp;DATE($I$2,K$4,K$5))</f>
        <v/>
      </c>
      <c r="L753" s="321">
        <f>SUMIFS(DATA!$M:$M,DATA!$C:$C,$B752,DATA!$N:$N,"&gt;="&amp;DATE($I$2,L$4,1),DATA!$N:$N,"&lt;="&amp;DATE($I$2,L$4,L$5))</f>
        <v/>
      </c>
      <c r="M753" s="321">
        <f>SUMIFS(DATA!$M:$M,DATA!$C:$C,$B752,DATA!$N:$N,"&gt;="&amp;DATE($I$2,M$4,1),DATA!$N:$N,"&lt;="&amp;DATE($I$2,M$4,M$5))</f>
        <v/>
      </c>
      <c r="N753" s="321">
        <f>SUMIFS(DATA!$M:$M,DATA!$C:$C,$B752,DATA!$N:$N,"&gt;="&amp;DATE($I$2,N$4,1),DATA!$N:$N,"&lt;="&amp;DATE($I$2,N$4,N$5))</f>
        <v/>
      </c>
      <c r="O753" s="321">
        <f>SUMIFS(DATA!$M:$M,DATA!$C:$C,$B752,DATA!$N:$N,"&gt;="&amp;DATE($I$2,O$4,1),DATA!$N:$N,"&lt;="&amp;DATE($I$2,O$4,O$5))</f>
        <v/>
      </c>
      <c r="P753" s="322">
        <f>SUM(D753:O753)</f>
        <v/>
      </c>
    </row>
    <row r="754" hidden="1" outlineLevel="1" ht="15" customHeight="1">
      <c r="A754" s="269" t="n">
        <v>375</v>
      </c>
      <c r="B754" s="125" t="n"/>
      <c r="C754" s="119" t="inlineStr">
        <is>
          <t>Kế hoạch</t>
        </is>
      </c>
      <c r="D754" s="321">
        <f>SUMIFS(DATA!$I:$I,DATA!$C:$C,$B754,DATA!$J:$J,"&gt;="&amp;DATE($I$2,D$4,1),DATA!$J:$J,"&lt;="&amp;DATE($I$2,D$4,D$5))</f>
        <v/>
      </c>
      <c r="E754" s="321">
        <f>SUMIFS(DATA!$I:$I,DATA!$C:$C,$B754,DATA!$J:$J,"&gt;="&amp;DATE($I$2,E$4,1),DATA!$J:$J,"&lt;="&amp;DATE($I$2,E$4,E$5))</f>
        <v/>
      </c>
      <c r="F754" s="321">
        <f>SUMIFS(DATA!$I:$I,DATA!$C:$C,$B754,DATA!$J:$J,"&gt;="&amp;DATE($I$2,F$4,1),DATA!$J:$J,"&lt;="&amp;DATE($I$2,F$4,F$5))</f>
        <v/>
      </c>
      <c r="G754" s="321">
        <f>SUMIFS(DATA!$I:$I,DATA!$C:$C,$B754,DATA!$J:$J,"&gt;="&amp;DATE($I$2,G$4,1),DATA!$J:$J,"&lt;="&amp;DATE($I$2,G$4,G$5))</f>
        <v/>
      </c>
      <c r="H754" s="321">
        <f>SUMIFS(DATA!$I:$I,DATA!$C:$C,$B754,DATA!$J:$J,"&gt;="&amp;DATE($I$2,H$4,1),DATA!$J:$J,"&lt;="&amp;DATE($I$2,H$4,H$5))</f>
        <v/>
      </c>
      <c r="I754" s="321">
        <f>SUMIFS(DATA!$I:$I,DATA!$C:$C,$B754,DATA!$J:$J,"&gt;="&amp;DATE($I$2,I$4,1),DATA!$J:$J,"&lt;="&amp;DATE($I$2,I$4,I$5))</f>
        <v/>
      </c>
      <c r="J754" s="321">
        <f>SUMIFS(DATA!$I:$I,DATA!$C:$C,$B754,DATA!$J:$J,"&gt;="&amp;DATE($I$2,J$4,1),DATA!$J:$J,"&lt;="&amp;DATE($I$2,J$4,J$5))</f>
        <v/>
      </c>
      <c r="K754" s="321">
        <f>SUMIFS(DATA!$I:$I,DATA!$C:$C,$B754,DATA!$J:$J,"&gt;="&amp;DATE($I$2,K$4,1),DATA!$J:$J,"&lt;="&amp;DATE($I$2,K$4,K$5))</f>
        <v/>
      </c>
      <c r="L754" s="321">
        <f>SUMIFS(DATA!$I:$I,DATA!$C:$C,$B754,DATA!$J:$J,"&gt;="&amp;DATE($I$2,L$4,1),DATA!$J:$J,"&lt;="&amp;DATE($I$2,L$4,L$5))</f>
        <v/>
      </c>
      <c r="M754" s="321">
        <f>SUMIFS(DATA!$I:$I,DATA!$C:$C,$B754,DATA!$J:$J,"&gt;="&amp;DATE($I$2,M$4,1),DATA!$J:$J,"&lt;="&amp;DATE($I$2,M$4,M$5))</f>
        <v/>
      </c>
      <c r="N754" s="321">
        <f>SUMIFS(DATA!$I:$I,DATA!$C:$C,$B754,DATA!$J:$J,"&gt;="&amp;DATE($I$2,N$4,1),DATA!$J:$J,"&lt;="&amp;DATE($I$2,N$4,N$5))</f>
        <v/>
      </c>
      <c r="O754" s="321">
        <f>SUMIFS(DATA!$I:$I,DATA!$C:$C,$B754,DATA!$J:$J,"&gt;="&amp;DATE($I$2,O$4,1),DATA!$J:$J,"&lt;="&amp;DATE($I$2,O$4,O$5))</f>
        <v/>
      </c>
      <c r="P754" s="322">
        <f>SUM(D754:O754)</f>
        <v/>
      </c>
    </row>
    <row r="755" hidden="1" outlineLevel="1" ht="15" customHeight="1">
      <c r="A755" s="266" t="n"/>
      <c r="B755" s="126" t="n"/>
      <c r="C755" s="119" t="inlineStr">
        <is>
          <t>Thực tế</t>
        </is>
      </c>
      <c r="D755" s="321">
        <f>SUMIFS(DATA!$M:$M,DATA!$C:$C,$B754,DATA!$N:$N,"&gt;="&amp;DATE($I$2,D$4,1),DATA!$N:$N,"&lt;="&amp;DATE($I$2,D$4,D$5))</f>
        <v/>
      </c>
      <c r="E755" s="321">
        <f>SUMIFS(DATA!$M:$M,DATA!$C:$C,$B754,DATA!$N:$N,"&gt;="&amp;DATE($I$2,E$4,1),DATA!$N:$N,"&lt;="&amp;DATE($I$2,E$4,E$5))</f>
        <v/>
      </c>
      <c r="F755" s="321">
        <f>SUMIFS(DATA!$M:$M,DATA!$C:$C,$B754,DATA!$N:$N,"&gt;="&amp;DATE($I$2,F$4,1),DATA!$N:$N,"&lt;="&amp;DATE($I$2,F$4,F$5))</f>
        <v/>
      </c>
      <c r="G755" s="321">
        <f>SUMIFS(DATA!$M:$M,DATA!$C:$C,$B754,DATA!$N:$N,"&gt;="&amp;DATE($I$2,G$4,1),DATA!$N:$N,"&lt;="&amp;DATE($I$2,G$4,G$5))</f>
        <v/>
      </c>
      <c r="H755" s="321">
        <f>SUMIFS(DATA!$M:$M,DATA!$C:$C,$B754,DATA!$N:$N,"&gt;="&amp;DATE($I$2,H$4,1),DATA!$N:$N,"&lt;="&amp;DATE($I$2,H$4,H$5))</f>
        <v/>
      </c>
      <c r="I755" s="321">
        <f>SUMIFS(DATA!$M:$M,DATA!$C:$C,$B754,DATA!$N:$N,"&gt;="&amp;DATE($I$2,I$4,1),DATA!$N:$N,"&lt;="&amp;DATE($I$2,I$4,I$5))</f>
        <v/>
      </c>
      <c r="J755" s="321">
        <f>SUMIFS(DATA!$M:$M,DATA!$C:$C,$B754,DATA!$N:$N,"&gt;="&amp;DATE($I$2,J$4,1),DATA!$N:$N,"&lt;="&amp;DATE($I$2,J$4,J$5))</f>
        <v/>
      </c>
      <c r="K755" s="321">
        <f>SUMIFS(DATA!$M:$M,DATA!$C:$C,$B754,DATA!$N:$N,"&gt;="&amp;DATE($I$2,K$4,1),DATA!$N:$N,"&lt;="&amp;DATE($I$2,K$4,K$5))</f>
        <v/>
      </c>
      <c r="L755" s="321">
        <f>SUMIFS(DATA!$M:$M,DATA!$C:$C,$B754,DATA!$N:$N,"&gt;="&amp;DATE($I$2,L$4,1),DATA!$N:$N,"&lt;="&amp;DATE($I$2,L$4,L$5))</f>
        <v/>
      </c>
      <c r="M755" s="321">
        <f>SUMIFS(DATA!$M:$M,DATA!$C:$C,$B754,DATA!$N:$N,"&gt;="&amp;DATE($I$2,M$4,1),DATA!$N:$N,"&lt;="&amp;DATE($I$2,M$4,M$5))</f>
        <v/>
      </c>
      <c r="N755" s="321">
        <f>SUMIFS(DATA!$M:$M,DATA!$C:$C,$B754,DATA!$N:$N,"&gt;="&amp;DATE($I$2,N$4,1),DATA!$N:$N,"&lt;="&amp;DATE($I$2,N$4,N$5))</f>
        <v/>
      </c>
      <c r="O755" s="321">
        <f>SUMIFS(DATA!$M:$M,DATA!$C:$C,$B754,DATA!$N:$N,"&gt;="&amp;DATE($I$2,O$4,1),DATA!$N:$N,"&lt;="&amp;DATE($I$2,O$4,O$5))</f>
        <v/>
      </c>
      <c r="P755" s="322">
        <f>SUM(D755:O755)</f>
        <v/>
      </c>
    </row>
    <row r="756" hidden="1" outlineLevel="1" ht="15" customHeight="1">
      <c r="A756" s="269" t="n">
        <v>376</v>
      </c>
      <c r="B756" s="125" t="n"/>
      <c r="C756" s="119" t="inlineStr">
        <is>
          <t>Kế hoạch</t>
        </is>
      </c>
      <c r="D756" s="321">
        <f>SUMIFS(DATA!$I:$I,DATA!$C:$C,$B756,DATA!$J:$J,"&gt;="&amp;DATE($I$2,D$4,1),DATA!$J:$J,"&lt;="&amp;DATE($I$2,D$4,D$5))</f>
        <v/>
      </c>
      <c r="E756" s="321">
        <f>SUMIFS(DATA!$I:$I,DATA!$C:$C,$B756,DATA!$J:$J,"&gt;="&amp;DATE($I$2,E$4,1),DATA!$J:$J,"&lt;="&amp;DATE($I$2,E$4,E$5))</f>
        <v/>
      </c>
      <c r="F756" s="321">
        <f>SUMIFS(DATA!$I:$I,DATA!$C:$C,$B756,DATA!$J:$J,"&gt;="&amp;DATE($I$2,F$4,1),DATA!$J:$J,"&lt;="&amp;DATE($I$2,F$4,F$5))</f>
        <v/>
      </c>
      <c r="G756" s="321">
        <f>SUMIFS(DATA!$I:$I,DATA!$C:$C,$B756,DATA!$J:$J,"&gt;="&amp;DATE($I$2,G$4,1),DATA!$J:$J,"&lt;="&amp;DATE($I$2,G$4,G$5))</f>
        <v/>
      </c>
      <c r="H756" s="321">
        <f>SUMIFS(DATA!$I:$I,DATA!$C:$C,$B756,DATA!$J:$J,"&gt;="&amp;DATE($I$2,H$4,1),DATA!$J:$J,"&lt;="&amp;DATE($I$2,H$4,H$5))</f>
        <v/>
      </c>
      <c r="I756" s="321">
        <f>SUMIFS(DATA!$I:$I,DATA!$C:$C,$B756,DATA!$J:$J,"&gt;="&amp;DATE($I$2,I$4,1),DATA!$J:$J,"&lt;="&amp;DATE($I$2,I$4,I$5))</f>
        <v/>
      </c>
      <c r="J756" s="321">
        <f>SUMIFS(DATA!$I:$I,DATA!$C:$C,$B756,DATA!$J:$J,"&gt;="&amp;DATE($I$2,J$4,1),DATA!$J:$J,"&lt;="&amp;DATE($I$2,J$4,J$5))</f>
        <v/>
      </c>
      <c r="K756" s="321">
        <f>SUMIFS(DATA!$I:$I,DATA!$C:$C,$B756,DATA!$J:$J,"&gt;="&amp;DATE($I$2,K$4,1),DATA!$J:$J,"&lt;="&amp;DATE($I$2,K$4,K$5))</f>
        <v/>
      </c>
      <c r="L756" s="321">
        <f>SUMIFS(DATA!$I:$I,DATA!$C:$C,$B756,DATA!$J:$J,"&gt;="&amp;DATE($I$2,L$4,1),DATA!$J:$J,"&lt;="&amp;DATE($I$2,L$4,L$5))</f>
        <v/>
      </c>
      <c r="M756" s="321">
        <f>SUMIFS(DATA!$I:$I,DATA!$C:$C,$B756,DATA!$J:$J,"&gt;="&amp;DATE($I$2,M$4,1),DATA!$J:$J,"&lt;="&amp;DATE($I$2,M$4,M$5))</f>
        <v/>
      </c>
      <c r="N756" s="321">
        <f>SUMIFS(DATA!$I:$I,DATA!$C:$C,$B756,DATA!$J:$J,"&gt;="&amp;DATE($I$2,N$4,1),DATA!$J:$J,"&lt;="&amp;DATE($I$2,N$4,N$5))</f>
        <v/>
      </c>
      <c r="O756" s="321">
        <f>SUMIFS(DATA!$I:$I,DATA!$C:$C,$B756,DATA!$J:$J,"&gt;="&amp;DATE($I$2,O$4,1),DATA!$J:$J,"&lt;="&amp;DATE($I$2,O$4,O$5))</f>
        <v/>
      </c>
      <c r="P756" s="322">
        <f>SUM(D756:O756)</f>
        <v/>
      </c>
    </row>
    <row r="757" hidden="1" outlineLevel="1" ht="15" customHeight="1">
      <c r="A757" s="266" t="n"/>
      <c r="B757" s="126" t="n"/>
      <c r="C757" s="119" t="inlineStr">
        <is>
          <t>Thực tế</t>
        </is>
      </c>
      <c r="D757" s="321">
        <f>SUMIFS(DATA!$M:$M,DATA!$C:$C,$B756,DATA!$N:$N,"&gt;="&amp;DATE($I$2,D$4,1),DATA!$N:$N,"&lt;="&amp;DATE($I$2,D$4,D$5))</f>
        <v/>
      </c>
      <c r="E757" s="321">
        <f>SUMIFS(DATA!$M:$M,DATA!$C:$C,$B756,DATA!$N:$N,"&gt;="&amp;DATE($I$2,E$4,1),DATA!$N:$N,"&lt;="&amp;DATE($I$2,E$4,E$5))</f>
        <v/>
      </c>
      <c r="F757" s="321">
        <f>SUMIFS(DATA!$M:$M,DATA!$C:$C,$B756,DATA!$N:$N,"&gt;="&amp;DATE($I$2,F$4,1),DATA!$N:$N,"&lt;="&amp;DATE($I$2,F$4,F$5))</f>
        <v/>
      </c>
      <c r="G757" s="321">
        <f>SUMIFS(DATA!$M:$M,DATA!$C:$C,$B756,DATA!$N:$N,"&gt;="&amp;DATE($I$2,G$4,1),DATA!$N:$N,"&lt;="&amp;DATE($I$2,G$4,G$5))</f>
        <v/>
      </c>
      <c r="H757" s="321">
        <f>SUMIFS(DATA!$M:$M,DATA!$C:$C,$B756,DATA!$N:$N,"&gt;="&amp;DATE($I$2,H$4,1),DATA!$N:$N,"&lt;="&amp;DATE($I$2,H$4,H$5))</f>
        <v/>
      </c>
      <c r="I757" s="321">
        <f>SUMIFS(DATA!$M:$M,DATA!$C:$C,$B756,DATA!$N:$N,"&gt;="&amp;DATE($I$2,I$4,1),DATA!$N:$N,"&lt;="&amp;DATE($I$2,I$4,I$5))</f>
        <v/>
      </c>
      <c r="J757" s="321">
        <f>SUMIFS(DATA!$M:$M,DATA!$C:$C,$B756,DATA!$N:$N,"&gt;="&amp;DATE($I$2,J$4,1),DATA!$N:$N,"&lt;="&amp;DATE($I$2,J$4,J$5))</f>
        <v/>
      </c>
      <c r="K757" s="321">
        <f>SUMIFS(DATA!$M:$M,DATA!$C:$C,$B756,DATA!$N:$N,"&gt;="&amp;DATE($I$2,K$4,1),DATA!$N:$N,"&lt;="&amp;DATE($I$2,K$4,K$5))</f>
        <v/>
      </c>
      <c r="L757" s="321">
        <f>SUMIFS(DATA!$M:$M,DATA!$C:$C,$B756,DATA!$N:$N,"&gt;="&amp;DATE($I$2,L$4,1),DATA!$N:$N,"&lt;="&amp;DATE($I$2,L$4,L$5))</f>
        <v/>
      </c>
      <c r="M757" s="321">
        <f>SUMIFS(DATA!$M:$M,DATA!$C:$C,$B756,DATA!$N:$N,"&gt;="&amp;DATE($I$2,M$4,1),DATA!$N:$N,"&lt;="&amp;DATE($I$2,M$4,M$5))</f>
        <v/>
      </c>
      <c r="N757" s="321">
        <f>SUMIFS(DATA!$M:$M,DATA!$C:$C,$B756,DATA!$N:$N,"&gt;="&amp;DATE($I$2,N$4,1),DATA!$N:$N,"&lt;="&amp;DATE($I$2,N$4,N$5))</f>
        <v/>
      </c>
      <c r="O757" s="321">
        <f>SUMIFS(DATA!$M:$M,DATA!$C:$C,$B756,DATA!$N:$N,"&gt;="&amp;DATE($I$2,O$4,1),DATA!$N:$N,"&lt;="&amp;DATE($I$2,O$4,O$5))</f>
        <v/>
      </c>
      <c r="P757" s="322">
        <f>SUM(D757:O757)</f>
        <v/>
      </c>
    </row>
    <row r="758" hidden="1" outlineLevel="1" ht="15" customHeight="1">
      <c r="A758" s="269" t="n">
        <v>377</v>
      </c>
      <c r="B758" s="125" t="n"/>
      <c r="C758" s="119" t="inlineStr">
        <is>
          <t>Kế hoạch</t>
        </is>
      </c>
      <c r="D758" s="321">
        <f>SUMIFS(DATA!$I:$I,DATA!$C:$C,$B758,DATA!$J:$J,"&gt;="&amp;DATE($I$2,D$4,1),DATA!$J:$J,"&lt;="&amp;DATE($I$2,D$4,D$5))</f>
        <v/>
      </c>
      <c r="E758" s="321">
        <f>SUMIFS(DATA!$I:$I,DATA!$C:$C,$B758,DATA!$J:$J,"&gt;="&amp;DATE($I$2,E$4,1),DATA!$J:$J,"&lt;="&amp;DATE($I$2,E$4,E$5))</f>
        <v/>
      </c>
      <c r="F758" s="321">
        <f>SUMIFS(DATA!$I:$I,DATA!$C:$C,$B758,DATA!$J:$J,"&gt;="&amp;DATE($I$2,F$4,1),DATA!$J:$J,"&lt;="&amp;DATE($I$2,F$4,F$5))</f>
        <v/>
      </c>
      <c r="G758" s="321">
        <f>SUMIFS(DATA!$I:$I,DATA!$C:$C,$B758,DATA!$J:$J,"&gt;="&amp;DATE($I$2,G$4,1),DATA!$J:$J,"&lt;="&amp;DATE($I$2,G$4,G$5))</f>
        <v/>
      </c>
      <c r="H758" s="321">
        <f>SUMIFS(DATA!$I:$I,DATA!$C:$C,$B758,DATA!$J:$J,"&gt;="&amp;DATE($I$2,H$4,1),DATA!$J:$J,"&lt;="&amp;DATE($I$2,H$4,H$5))</f>
        <v/>
      </c>
      <c r="I758" s="321">
        <f>SUMIFS(DATA!$I:$I,DATA!$C:$C,$B758,DATA!$J:$J,"&gt;="&amp;DATE($I$2,I$4,1),DATA!$J:$J,"&lt;="&amp;DATE($I$2,I$4,I$5))</f>
        <v/>
      </c>
      <c r="J758" s="321">
        <f>SUMIFS(DATA!$I:$I,DATA!$C:$C,$B758,DATA!$J:$J,"&gt;="&amp;DATE($I$2,J$4,1),DATA!$J:$J,"&lt;="&amp;DATE($I$2,J$4,J$5))</f>
        <v/>
      </c>
      <c r="K758" s="321">
        <f>SUMIFS(DATA!$I:$I,DATA!$C:$C,$B758,DATA!$J:$J,"&gt;="&amp;DATE($I$2,K$4,1),DATA!$J:$J,"&lt;="&amp;DATE($I$2,K$4,K$5))</f>
        <v/>
      </c>
      <c r="L758" s="321">
        <f>SUMIFS(DATA!$I:$I,DATA!$C:$C,$B758,DATA!$J:$J,"&gt;="&amp;DATE($I$2,L$4,1),DATA!$J:$J,"&lt;="&amp;DATE($I$2,L$4,L$5))</f>
        <v/>
      </c>
      <c r="M758" s="321">
        <f>SUMIFS(DATA!$I:$I,DATA!$C:$C,$B758,DATA!$J:$J,"&gt;="&amp;DATE($I$2,M$4,1),DATA!$J:$J,"&lt;="&amp;DATE($I$2,M$4,M$5))</f>
        <v/>
      </c>
      <c r="N758" s="321">
        <f>SUMIFS(DATA!$I:$I,DATA!$C:$C,$B758,DATA!$J:$J,"&gt;="&amp;DATE($I$2,N$4,1),DATA!$J:$J,"&lt;="&amp;DATE($I$2,N$4,N$5))</f>
        <v/>
      </c>
      <c r="O758" s="321">
        <f>SUMIFS(DATA!$I:$I,DATA!$C:$C,$B758,DATA!$J:$J,"&gt;="&amp;DATE($I$2,O$4,1),DATA!$J:$J,"&lt;="&amp;DATE($I$2,O$4,O$5))</f>
        <v/>
      </c>
      <c r="P758" s="322">
        <f>SUM(D758:O758)</f>
        <v/>
      </c>
    </row>
    <row r="759" hidden="1" outlineLevel="1" ht="15" customHeight="1">
      <c r="A759" s="266" t="n"/>
      <c r="B759" s="126" t="n"/>
      <c r="C759" s="119" t="inlineStr">
        <is>
          <t>Thực tế</t>
        </is>
      </c>
      <c r="D759" s="321">
        <f>SUMIFS(DATA!$M:$M,DATA!$C:$C,$B758,DATA!$N:$N,"&gt;="&amp;DATE($I$2,D$4,1),DATA!$N:$N,"&lt;="&amp;DATE($I$2,D$4,D$5))</f>
        <v/>
      </c>
      <c r="E759" s="321">
        <f>SUMIFS(DATA!$M:$M,DATA!$C:$C,$B758,DATA!$N:$N,"&gt;="&amp;DATE($I$2,E$4,1),DATA!$N:$N,"&lt;="&amp;DATE($I$2,E$4,E$5))</f>
        <v/>
      </c>
      <c r="F759" s="321">
        <f>SUMIFS(DATA!$M:$M,DATA!$C:$C,$B758,DATA!$N:$N,"&gt;="&amp;DATE($I$2,F$4,1),DATA!$N:$N,"&lt;="&amp;DATE($I$2,F$4,F$5))</f>
        <v/>
      </c>
      <c r="G759" s="321">
        <f>SUMIFS(DATA!$M:$M,DATA!$C:$C,$B758,DATA!$N:$N,"&gt;="&amp;DATE($I$2,G$4,1),DATA!$N:$N,"&lt;="&amp;DATE($I$2,G$4,G$5))</f>
        <v/>
      </c>
      <c r="H759" s="321">
        <f>SUMIFS(DATA!$M:$M,DATA!$C:$C,$B758,DATA!$N:$N,"&gt;="&amp;DATE($I$2,H$4,1),DATA!$N:$N,"&lt;="&amp;DATE($I$2,H$4,H$5))</f>
        <v/>
      </c>
      <c r="I759" s="321">
        <f>SUMIFS(DATA!$M:$M,DATA!$C:$C,$B758,DATA!$N:$N,"&gt;="&amp;DATE($I$2,I$4,1),DATA!$N:$N,"&lt;="&amp;DATE($I$2,I$4,I$5))</f>
        <v/>
      </c>
      <c r="J759" s="321">
        <f>SUMIFS(DATA!$M:$M,DATA!$C:$C,$B758,DATA!$N:$N,"&gt;="&amp;DATE($I$2,J$4,1),DATA!$N:$N,"&lt;="&amp;DATE($I$2,J$4,J$5))</f>
        <v/>
      </c>
      <c r="K759" s="321">
        <f>SUMIFS(DATA!$M:$M,DATA!$C:$C,$B758,DATA!$N:$N,"&gt;="&amp;DATE($I$2,K$4,1),DATA!$N:$N,"&lt;="&amp;DATE($I$2,K$4,K$5))</f>
        <v/>
      </c>
      <c r="L759" s="321">
        <f>SUMIFS(DATA!$M:$M,DATA!$C:$C,$B758,DATA!$N:$N,"&gt;="&amp;DATE($I$2,L$4,1),DATA!$N:$N,"&lt;="&amp;DATE($I$2,L$4,L$5))</f>
        <v/>
      </c>
      <c r="M759" s="321">
        <f>SUMIFS(DATA!$M:$M,DATA!$C:$C,$B758,DATA!$N:$N,"&gt;="&amp;DATE($I$2,M$4,1),DATA!$N:$N,"&lt;="&amp;DATE($I$2,M$4,M$5))</f>
        <v/>
      </c>
      <c r="N759" s="321">
        <f>SUMIFS(DATA!$M:$M,DATA!$C:$C,$B758,DATA!$N:$N,"&gt;="&amp;DATE($I$2,N$4,1),DATA!$N:$N,"&lt;="&amp;DATE($I$2,N$4,N$5))</f>
        <v/>
      </c>
      <c r="O759" s="321">
        <f>SUMIFS(DATA!$M:$M,DATA!$C:$C,$B758,DATA!$N:$N,"&gt;="&amp;DATE($I$2,O$4,1),DATA!$N:$N,"&lt;="&amp;DATE($I$2,O$4,O$5))</f>
        <v/>
      </c>
      <c r="P759" s="322">
        <f>SUM(D759:O759)</f>
        <v/>
      </c>
    </row>
    <row r="760" hidden="1" outlineLevel="1" ht="15" customHeight="1">
      <c r="A760" s="269" t="n">
        <v>378</v>
      </c>
      <c r="B760" s="125" t="n"/>
      <c r="C760" s="119" t="inlineStr">
        <is>
          <t>Kế hoạch</t>
        </is>
      </c>
      <c r="D760" s="321">
        <f>SUMIFS(DATA!$I:$I,DATA!$C:$C,$B760,DATA!$J:$J,"&gt;="&amp;DATE($I$2,D$4,1),DATA!$J:$J,"&lt;="&amp;DATE($I$2,D$4,D$5))</f>
        <v/>
      </c>
      <c r="E760" s="321">
        <f>SUMIFS(DATA!$I:$I,DATA!$C:$C,$B760,DATA!$J:$J,"&gt;="&amp;DATE($I$2,E$4,1),DATA!$J:$J,"&lt;="&amp;DATE($I$2,E$4,E$5))</f>
        <v/>
      </c>
      <c r="F760" s="321">
        <f>SUMIFS(DATA!$I:$I,DATA!$C:$C,$B760,DATA!$J:$J,"&gt;="&amp;DATE($I$2,F$4,1),DATA!$J:$J,"&lt;="&amp;DATE($I$2,F$4,F$5))</f>
        <v/>
      </c>
      <c r="G760" s="321">
        <f>SUMIFS(DATA!$I:$I,DATA!$C:$C,$B760,DATA!$J:$J,"&gt;="&amp;DATE($I$2,G$4,1),DATA!$J:$J,"&lt;="&amp;DATE($I$2,G$4,G$5))</f>
        <v/>
      </c>
      <c r="H760" s="321">
        <f>SUMIFS(DATA!$I:$I,DATA!$C:$C,$B760,DATA!$J:$J,"&gt;="&amp;DATE($I$2,H$4,1),DATA!$J:$J,"&lt;="&amp;DATE($I$2,H$4,H$5))</f>
        <v/>
      </c>
      <c r="I760" s="321">
        <f>SUMIFS(DATA!$I:$I,DATA!$C:$C,$B760,DATA!$J:$J,"&gt;="&amp;DATE($I$2,I$4,1),DATA!$J:$J,"&lt;="&amp;DATE($I$2,I$4,I$5))</f>
        <v/>
      </c>
      <c r="J760" s="321">
        <f>SUMIFS(DATA!$I:$I,DATA!$C:$C,$B760,DATA!$J:$J,"&gt;="&amp;DATE($I$2,J$4,1),DATA!$J:$J,"&lt;="&amp;DATE($I$2,J$4,J$5))</f>
        <v/>
      </c>
      <c r="K760" s="321">
        <f>SUMIFS(DATA!$I:$I,DATA!$C:$C,$B760,DATA!$J:$J,"&gt;="&amp;DATE($I$2,K$4,1),DATA!$J:$J,"&lt;="&amp;DATE($I$2,K$4,K$5))</f>
        <v/>
      </c>
      <c r="L760" s="321">
        <f>SUMIFS(DATA!$I:$I,DATA!$C:$C,$B760,DATA!$J:$J,"&gt;="&amp;DATE($I$2,L$4,1),DATA!$J:$J,"&lt;="&amp;DATE($I$2,L$4,L$5))</f>
        <v/>
      </c>
      <c r="M760" s="321">
        <f>SUMIFS(DATA!$I:$I,DATA!$C:$C,$B760,DATA!$J:$J,"&gt;="&amp;DATE($I$2,M$4,1),DATA!$J:$J,"&lt;="&amp;DATE($I$2,M$4,M$5))</f>
        <v/>
      </c>
      <c r="N760" s="321">
        <f>SUMIFS(DATA!$I:$I,DATA!$C:$C,$B760,DATA!$J:$J,"&gt;="&amp;DATE($I$2,N$4,1),DATA!$J:$J,"&lt;="&amp;DATE($I$2,N$4,N$5))</f>
        <v/>
      </c>
      <c r="O760" s="321">
        <f>SUMIFS(DATA!$I:$I,DATA!$C:$C,$B760,DATA!$J:$J,"&gt;="&amp;DATE($I$2,O$4,1),DATA!$J:$J,"&lt;="&amp;DATE($I$2,O$4,O$5))</f>
        <v/>
      </c>
      <c r="P760" s="322">
        <f>SUM(D760:O760)</f>
        <v/>
      </c>
    </row>
    <row r="761" hidden="1" outlineLevel="1" ht="15" customHeight="1">
      <c r="A761" s="266" t="n"/>
      <c r="B761" s="126" t="n"/>
      <c r="C761" s="119" t="inlineStr">
        <is>
          <t>Thực tế</t>
        </is>
      </c>
      <c r="D761" s="321">
        <f>SUMIFS(DATA!$M:$M,DATA!$C:$C,$B760,DATA!$N:$N,"&gt;="&amp;DATE($I$2,D$4,1),DATA!$N:$N,"&lt;="&amp;DATE($I$2,D$4,D$5))</f>
        <v/>
      </c>
      <c r="E761" s="321">
        <f>SUMIFS(DATA!$M:$M,DATA!$C:$C,$B760,DATA!$N:$N,"&gt;="&amp;DATE($I$2,E$4,1),DATA!$N:$N,"&lt;="&amp;DATE($I$2,E$4,E$5))</f>
        <v/>
      </c>
      <c r="F761" s="321">
        <f>SUMIFS(DATA!$M:$M,DATA!$C:$C,$B760,DATA!$N:$N,"&gt;="&amp;DATE($I$2,F$4,1),DATA!$N:$N,"&lt;="&amp;DATE($I$2,F$4,F$5))</f>
        <v/>
      </c>
      <c r="G761" s="321">
        <f>SUMIFS(DATA!$M:$M,DATA!$C:$C,$B760,DATA!$N:$N,"&gt;="&amp;DATE($I$2,G$4,1),DATA!$N:$N,"&lt;="&amp;DATE($I$2,G$4,G$5))</f>
        <v/>
      </c>
      <c r="H761" s="321">
        <f>SUMIFS(DATA!$M:$M,DATA!$C:$C,$B760,DATA!$N:$N,"&gt;="&amp;DATE($I$2,H$4,1),DATA!$N:$N,"&lt;="&amp;DATE($I$2,H$4,H$5))</f>
        <v/>
      </c>
      <c r="I761" s="321">
        <f>SUMIFS(DATA!$M:$M,DATA!$C:$C,$B760,DATA!$N:$N,"&gt;="&amp;DATE($I$2,I$4,1),DATA!$N:$N,"&lt;="&amp;DATE($I$2,I$4,I$5))</f>
        <v/>
      </c>
      <c r="J761" s="321">
        <f>SUMIFS(DATA!$M:$M,DATA!$C:$C,$B760,DATA!$N:$N,"&gt;="&amp;DATE($I$2,J$4,1),DATA!$N:$N,"&lt;="&amp;DATE($I$2,J$4,J$5))</f>
        <v/>
      </c>
      <c r="K761" s="321">
        <f>SUMIFS(DATA!$M:$M,DATA!$C:$C,$B760,DATA!$N:$N,"&gt;="&amp;DATE($I$2,K$4,1),DATA!$N:$N,"&lt;="&amp;DATE($I$2,K$4,K$5))</f>
        <v/>
      </c>
      <c r="L761" s="321">
        <f>SUMIFS(DATA!$M:$M,DATA!$C:$C,$B760,DATA!$N:$N,"&gt;="&amp;DATE($I$2,L$4,1),DATA!$N:$N,"&lt;="&amp;DATE($I$2,L$4,L$5))</f>
        <v/>
      </c>
      <c r="M761" s="321">
        <f>SUMIFS(DATA!$M:$M,DATA!$C:$C,$B760,DATA!$N:$N,"&gt;="&amp;DATE($I$2,M$4,1),DATA!$N:$N,"&lt;="&amp;DATE($I$2,M$4,M$5))</f>
        <v/>
      </c>
      <c r="N761" s="321">
        <f>SUMIFS(DATA!$M:$M,DATA!$C:$C,$B760,DATA!$N:$N,"&gt;="&amp;DATE($I$2,N$4,1),DATA!$N:$N,"&lt;="&amp;DATE($I$2,N$4,N$5))</f>
        <v/>
      </c>
      <c r="O761" s="321">
        <f>SUMIFS(DATA!$M:$M,DATA!$C:$C,$B760,DATA!$N:$N,"&gt;="&amp;DATE($I$2,O$4,1),DATA!$N:$N,"&lt;="&amp;DATE($I$2,O$4,O$5))</f>
        <v/>
      </c>
      <c r="P761" s="322">
        <f>SUM(D761:O761)</f>
        <v/>
      </c>
    </row>
    <row r="762" hidden="1" outlineLevel="1" ht="15" customHeight="1">
      <c r="A762" s="269" t="n">
        <v>379</v>
      </c>
      <c r="B762" s="125" t="n"/>
      <c r="C762" s="119" t="inlineStr">
        <is>
          <t>Kế hoạch</t>
        </is>
      </c>
      <c r="D762" s="321">
        <f>SUMIFS(DATA!$I:$I,DATA!$C:$C,$B762,DATA!$J:$J,"&gt;="&amp;DATE($I$2,D$4,1),DATA!$J:$J,"&lt;="&amp;DATE($I$2,D$4,D$5))</f>
        <v/>
      </c>
      <c r="E762" s="321">
        <f>SUMIFS(DATA!$I:$I,DATA!$C:$C,$B762,DATA!$J:$J,"&gt;="&amp;DATE($I$2,E$4,1),DATA!$J:$J,"&lt;="&amp;DATE($I$2,E$4,E$5))</f>
        <v/>
      </c>
      <c r="F762" s="321">
        <f>SUMIFS(DATA!$I:$I,DATA!$C:$C,$B762,DATA!$J:$J,"&gt;="&amp;DATE($I$2,F$4,1),DATA!$J:$J,"&lt;="&amp;DATE($I$2,F$4,F$5))</f>
        <v/>
      </c>
      <c r="G762" s="321">
        <f>SUMIFS(DATA!$I:$I,DATA!$C:$C,$B762,DATA!$J:$J,"&gt;="&amp;DATE($I$2,G$4,1),DATA!$J:$J,"&lt;="&amp;DATE($I$2,G$4,G$5))</f>
        <v/>
      </c>
      <c r="H762" s="321">
        <f>SUMIFS(DATA!$I:$I,DATA!$C:$C,$B762,DATA!$J:$J,"&gt;="&amp;DATE($I$2,H$4,1),DATA!$J:$J,"&lt;="&amp;DATE($I$2,H$4,H$5))</f>
        <v/>
      </c>
      <c r="I762" s="321">
        <f>SUMIFS(DATA!$I:$I,DATA!$C:$C,$B762,DATA!$J:$J,"&gt;="&amp;DATE($I$2,I$4,1),DATA!$J:$J,"&lt;="&amp;DATE($I$2,I$4,I$5))</f>
        <v/>
      </c>
      <c r="J762" s="321">
        <f>SUMIFS(DATA!$I:$I,DATA!$C:$C,$B762,DATA!$J:$J,"&gt;="&amp;DATE($I$2,J$4,1),DATA!$J:$J,"&lt;="&amp;DATE($I$2,J$4,J$5))</f>
        <v/>
      </c>
      <c r="K762" s="321">
        <f>SUMIFS(DATA!$I:$I,DATA!$C:$C,$B762,DATA!$J:$J,"&gt;="&amp;DATE($I$2,K$4,1),DATA!$J:$J,"&lt;="&amp;DATE($I$2,K$4,K$5))</f>
        <v/>
      </c>
      <c r="L762" s="321">
        <f>SUMIFS(DATA!$I:$I,DATA!$C:$C,$B762,DATA!$J:$J,"&gt;="&amp;DATE($I$2,L$4,1),DATA!$J:$J,"&lt;="&amp;DATE($I$2,L$4,L$5))</f>
        <v/>
      </c>
      <c r="M762" s="321">
        <f>SUMIFS(DATA!$I:$I,DATA!$C:$C,$B762,DATA!$J:$J,"&gt;="&amp;DATE($I$2,M$4,1),DATA!$J:$J,"&lt;="&amp;DATE($I$2,M$4,M$5))</f>
        <v/>
      </c>
      <c r="N762" s="321">
        <f>SUMIFS(DATA!$I:$I,DATA!$C:$C,$B762,DATA!$J:$J,"&gt;="&amp;DATE($I$2,N$4,1),DATA!$J:$J,"&lt;="&amp;DATE($I$2,N$4,N$5))</f>
        <v/>
      </c>
      <c r="O762" s="321">
        <f>SUMIFS(DATA!$I:$I,DATA!$C:$C,$B762,DATA!$J:$J,"&gt;="&amp;DATE($I$2,O$4,1),DATA!$J:$J,"&lt;="&amp;DATE($I$2,O$4,O$5))</f>
        <v/>
      </c>
      <c r="P762" s="322">
        <f>SUM(D762:O762)</f>
        <v/>
      </c>
    </row>
    <row r="763" hidden="1" outlineLevel="1" ht="15" customHeight="1">
      <c r="A763" s="266" t="n"/>
      <c r="B763" s="126" t="n"/>
      <c r="C763" s="119" t="inlineStr">
        <is>
          <t>Thực tế</t>
        </is>
      </c>
      <c r="D763" s="321">
        <f>SUMIFS(DATA!$M:$M,DATA!$C:$C,$B762,DATA!$N:$N,"&gt;="&amp;DATE($I$2,D$4,1),DATA!$N:$N,"&lt;="&amp;DATE($I$2,D$4,D$5))</f>
        <v/>
      </c>
      <c r="E763" s="321">
        <f>SUMIFS(DATA!$M:$M,DATA!$C:$C,$B762,DATA!$N:$N,"&gt;="&amp;DATE($I$2,E$4,1),DATA!$N:$N,"&lt;="&amp;DATE($I$2,E$4,E$5))</f>
        <v/>
      </c>
      <c r="F763" s="321">
        <f>SUMIFS(DATA!$M:$M,DATA!$C:$C,$B762,DATA!$N:$N,"&gt;="&amp;DATE($I$2,F$4,1),DATA!$N:$N,"&lt;="&amp;DATE($I$2,F$4,F$5))</f>
        <v/>
      </c>
      <c r="G763" s="321">
        <f>SUMIFS(DATA!$M:$M,DATA!$C:$C,$B762,DATA!$N:$N,"&gt;="&amp;DATE($I$2,G$4,1),DATA!$N:$N,"&lt;="&amp;DATE($I$2,G$4,G$5))</f>
        <v/>
      </c>
      <c r="H763" s="321">
        <f>SUMIFS(DATA!$M:$M,DATA!$C:$C,$B762,DATA!$N:$N,"&gt;="&amp;DATE($I$2,H$4,1),DATA!$N:$N,"&lt;="&amp;DATE($I$2,H$4,H$5))</f>
        <v/>
      </c>
      <c r="I763" s="321">
        <f>SUMIFS(DATA!$M:$M,DATA!$C:$C,$B762,DATA!$N:$N,"&gt;="&amp;DATE($I$2,I$4,1),DATA!$N:$N,"&lt;="&amp;DATE($I$2,I$4,I$5))</f>
        <v/>
      </c>
      <c r="J763" s="321">
        <f>SUMIFS(DATA!$M:$M,DATA!$C:$C,$B762,DATA!$N:$N,"&gt;="&amp;DATE($I$2,J$4,1),DATA!$N:$N,"&lt;="&amp;DATE($I$2,J$4,J$5))</f>
        <v/>
      </c>
      <c r="K763" s="321">
        <f>SUMIFS(DATA!$M:$M,DATA!$C:$C,$B762,DATA!$N:$N,"&gt;="&amp;DATE($I$2,K$4,1),DATA!$N:$N,"&lt;="&amp;DATE($I$2,K$4,K$5))</f>
        <v/>
      </c>
      <c r="L763" s="321">
        <f>SUMIFS(DATA!$M:$M,DATA!$C:$C,$B762,DATA!$N:$N,"&gt;="&amp;DATE($I$2,L$4,1),DATA!$N:$N,"&lt;="&amp;DATE($I$2,L$4,L$5))</f>
        <v/>
      </c>
      <c r="M763" s="321">
        <f>SUMIFS(DATA!$M:$M,DATA!$C:$C,$B762,DATA!$N:$N,"&gt;="&amp;DATE($I$2,M$4,1),DATA!$N:$N,"&lt;="&amp;DATE($I$2,M$4,M$5))</f>
        <v/>
      </c>
      <c r="N763" s="321">
        <f>SUMIFS(DATA!$M:$M,DATA!$C:$C,$B762,DATA!$N:$N,"&gt;="&amp;DATE($I$2,N$4,1),DATA!$N:$N,"&lt;="&amp;DATE($I$2,N$4,N$5))</f>
        <v/>
      </c>
      <c r="O763" s="321">
        <f>SUMIFS(DATA!$M:$M,DATA!$C:$C,$B762,DATA!$N:$N,"&gt;="&amp;DATE($I$2,O$4,1),DATA!$N:$N,"&lt;="&amp;DATE($I$2,O$4,O$5))</f>
        <v/>
      </c>
      <c r="P763" s="322">
        <f>SUM(D763:O763)</f>
        <v/>
      </c>
    </row>
    <row r="764" hidden="1" outlineLevel="1" ht="15" customHeight="1">
      <c r="A764" s="269" t="n">
        <v>380</v>
      </c>
      <c r="B764" s="125" t="n"/>
      <c r="C764" s="119" t="inlineStr">
        <is>
          <t>Kế hoạch</t>
        </is>
      </c>
      <c r="D764" s="321">
        <f>SUMIFS(DATA!$I:$I,DATA!$C:$C,$B764,DATA!$J:$J,"&gt;="&amp;DATE($I$2,D$4,1),DATA!$J:$J,"&lt;="&amp;DATE($I$2,D$4,D$5))</f>
        <v/>
      </c>
      <c r="E764" s="321">
        <f>SUMIFS(DATA!$I:$I,DATA!$C:$C,$B764,DATA!$J:$J,"&gt;="&amp;DATE($I$2,E$4,1),DATA!$J:$J,"&lt;="&amp;DATE($I$2,E$4,E$5))</f>
        <v/>
      </c>
      <c r="F764" s="321">
        <f>SUMIFS(DATA!$I:$I,DATA!$C:$C,$B764,DATA!$J:$J,"&gt;="&amp;DATE($I$2,F$4,1),DATA!$J:$J,"&lt;="&amp;DATE($I$2,F$4,F$5))</f>
        <v/>
      </c>
      <c r="G764" s="321">
        <f>SUMIFS(DATA!$I:$I,DATA!$C:$C,$B764,DATA!$J:$J,"&gt;="&amp;DATE($I$2,G$4,1),DATA!$J:$J,"&lt;="&amp;DATE($I$2,G$4,G$5))</f>
        <v/>
      </c>
      <c r="H764" s="321">
        <f>SUMIFS(DATA!$I:$I,DATA!$C:$C,$B764,DATA!$J:$J,"&gt;="&amp;DATE($I$2,H$4,1),DATA!$J:$J,"&lt;="&amp;DATE($I$2,H$4,H$5))</f>
        <v/>
      </c>
      <c r="I764" s="321">
        <f>SUMIFS(DATA!$I:$I,DATA!$C:$C,$B764,DATA!$J:$J,"&gt;="&amp;DATE($I$2,I$4,1),DATA!$J:$J,"&lt;="&amp;DATE($I$2,I$4,I$5))</f>
        <v/>
      </c>
      <c r="J764" s="321">
        <f>SUMIFS(DATA!$I:$I,DATA!$C:$C,$B764,DATA!$J:$J,"&gt;="&amp;DATE($I$2,J$4,1),DATA!$J:$J,"&lt;="&amp;DATE($I$2,J$4,J$5))</f>
        <v/>
      </c>
      <c r="K764" s="321">
        <f>SUMIFS(DATA!$I:$I,DATA!$C:$C,$B764,DATA!$J:$J,"&gt;="&amp;DATE($I$2,K$4,1),DATA!$J:$J,"&lt;="&amp;DATE($I$2,K$4,K$5))</f>
        <v/>
      </c>
      <c r="L764" s="321">
        <f>SUMIFS(DATA!$I:$I,DATA!$C:$C,$B764,DATA!$J:$J,"&gt;="&amp;DATE($I$2,L$4,1),DATA!$J:$J,"&lt;="&amp;DATE($I$2,L$4,L$5))</f>
        <v/>
      </c>
      <c r="M764" s="321">
        <f>SUMIFS(DATA!$I:$I,DATA!$C:$C,$B764,DATA!$J:$J,"&gt;="&amp;DATE($I$2,M$4,1),DATA!$J:$J,"&lt;="&amp;DATE($I$2,M$4,M$5))</f>
        <v/>
      </c>
      <c r="N764" s="321">
        <f>SUMIFS(DATA!$I:$I,DATA!$C:$C,$B764,DATA!$J:$J,"&gt;="&amp;DATE($I$2,N$4,1),DATA!$J:$J,"&lt;="&amp;DATE($I$2,N$4,N$5))</f>
        <v/>
      </c>
      <c r="O764" s="321">
        <f>SUMIFS(DATA!$I:$I,DATA!$C:$C,$B764,DATA!$J:$J,"&gt;="&amp;DATE($I$2,O$4,1),DATA!$J:$J,"&lt;="&amp;DATE($I$2,O$4,O$5))</f>
        <v/>
      </c>
      <c r="P764" s="322">
        <f>SUM(D764:O764)</f>
        <v/>
      </c>
    </row>
    <row r="765" hidden="1" outlineLevel="1" ht="15" customHeight="1">
      <c r="A765" s="266" t="n"/>
      <c r="B765" s="126" t="n"/>
      <c r="C765" s="119" t="inlineStr">
        <is>
          <t>Thực tế</t>
        </is>
      </c>
      <c r="D765" s="321">
        <f>SUMIFS(DATA!$M:$M,DATA!$C:$C,$B764,DATA!$N:$N,"&gt;="&amp;DATE($I$2,D$4,1),DATA!$N:$N,"&lt;="&amp;DATE($I$2,D$4,D$5))</f>
        <v/>
      </c>
      <c r="E765" s="321">
        <f>SUMIFS(DATA!$M:$M,DATA!$C:$C,$B764,DATA!$N:$N,"&gt;="&amp;DATE($I$2,E$4,1),DATA!$N:$N,"&lt;="&amp;DATE($I$2,E$4,E$5))</f>
        <v/>
      </c>
      <c r="F765" s="321">
        <f>SUMIFS(DATA!$M:$M,DATA!$C:$C,$B764,DATA!$N:$N,"&gt;="&amp;DATE($I$2,F$4,1),DATA!$N:$N,"&lt;="&amp;DATE($I$2,F$4,F$5))</f>
        <v/>
      </c>
      <c r="G765" s="321">
        <f>SUMIFS(DATA!$M:$M,DATA!$C:$C,$B764,DATA!$N:$N,"&gt;="&amp;DATE($I$2,G$4,1),DATA!$N:$N,"&lt;="&amp;DATE($I$2,G$4,G$5))</f>
        <v/>
      </c>
      <c r="H765" s="321">
        <f>SUMIFS(DATA!$M:$M,DATA!$C:$C,$B764,DATA!$N:$N,"&gt;="&amp;DATE($I$2,H$4,1),DATA!$N:$N,"&lt;="&amp;DATE($I$2,H$4,H$5))</f>
        <v/>
      </c>
      <c r="I765" s="321">
        <f>SUMIFS(DATA!$M:$M,DATA!$C:$C,$B764,DATA!$N:$N,"&gt;="&amp;DATE($I$2,I$4,1),DATA!$N:$N,"&lt;="&amp;DATE($I$2,I$4,I$5))</f>
        <v/>
      </c>
      <c r="J765" s="321">
        <f>SUMIFS(DATA!$M:$M,DATA!$C:$C,$B764,DATA!$N:$N,"&gt;="&amp;DATE($I$2,J$4,1),DATA!$N:$N,"&lt;="&amp;DATE($I$2,J$4,J$5))</f>
        <v/>
      </c>
      <c r="K765" s="321">
        <f>SUMIFS(DATA!$M:$M,DATA!$C:$C,$B764,DATA!$N:$N,"&gt;="&amp;DATE($I$2,K$4,1),DATA!$N:$N,"&lt;="&amp;DATE($I$2,K$4,K$5))</f>
        <v/>
      </c>
      <c r="L765" s="321">
        <f>SUMIFS(DATA!$M:$M,DATA!$C:$C,$B764,DATA!$N:$N,"&gt;="&amp;DATE($I$2,L$4,1),DATA!$N:$N,"&lt;="&amp;DATE($I$2,L$4,L$5))</f>
        <v/>
      </c>
      <c r="M765" s="321">
        <f>SUMIFS(DATA!$M:$M,DATA!$C:$C,$B764,DATA!$N:$N,"&gt;="&amp;DATE($I$2,M$4,1),DATA!$N:$N,"&lt;="&amp;DATE($I$2,M$4,M$5))</f>
        <v/>
      </c>
      <c r="N765" s="321">
        <f>SUMIFS(DATA!$M:$M,DATA!$C:$C,$B764,DATA!$N:$N,"&gt;="&amp;DATE($I$2,N$4,1),DATA!$N:$N,"&lt;="&amp;DATE($I$2,N$4,N$5))</f>
        <v/>
      </c>
      <c r="O765" s="321">
        <f>SUMIFS(DATA!$M:$M,DATA!$C:$C,$B764,DATA!$N:$N,"&gt;="&amp;DATE($I$2,O$4,1),DATA!$N:$N,"&lt;="&amp;DATE($I$2,O$4,O$5))</f>
        <v/>
      </c>
      <c r="P765" s="322">
        <f>SUM(D765:O765)</f>
        <v/>
      </c>
    </row>
    <row r="766" hidden="1" outlineLevel="1" ht="15" customHeight="1">
      <c r="A766" s="269" t="n">
        <v>381</v>
      </c>
      <c r="B766" s="125" t="n"/>
      <c r="C766" s="119" t="inlineStr">
        <is>
          <t>Kế hoạch</t>
        </is>
      </c>
      <c r="D766" s="321">
        <f>SUMIFS(DATA!$I:$I,DATA!$C:$C,$B766,DATA!$J:$J,"&gt;="&amp;DATE($I$2,D$4,1),DATA!$J:$J,"&lt;="&amp;DATE($I$2,D$4,D$5))</f>
        <v/>
      </c>
      <c r="E766" s="321">
        <f>SUMIFS(DATA!$I:$I,DATA!$C:$C,$B766,DATA!$J:$J,"&gt;="&amp;DATE($I$2,E$4,1),DATA!$J:$J,"&lt;="&amp;DATE($I$2,E$4,E$5))</f>
        <v/>
      </c>
      <c r="F766" s="321">
        <f>SUMIFS(DATA!$I:$I,DATA!$C:$C,$B766,DATA!$J:$J,"&gt;="&amp;DATE($I$2,F$4,1),DATA!$J:$J,"&lt;="&amp;DATE($I$2,F$4,F$5))</f>
        <v/>
      </c>
      <c r="G766" s="321">
        <f>SUMIFS(DATA!$I:$I,DATA!$C:$C,$B766,DATA!$J:$J,"&gt;="&amp;DATE($I$2,G$4,1),DATA!$J:$J,"&lt;="&amp;DATE($I$2,G$4,G$5))</f>
        <v/>
      </c>
      <c r="H766" s="321">
        <f>SUMIFS(DATA!$I:$I,DATA!$C:$C,$B766,DATA!$J:$J,"&gt;="&amp;DATE($I$2,H$4,1),DATA!$J:$J,"&lt;="&amp;DATE($I$2,H$4,H$5))</f>
        <v/>
      </c>
      <c r="I766" s="321">
        <f>SUMIFS(DATA!$I:$I,DATA!$C:$C,$B766,DATA!$J:$J,"&gt;="&amp;DATE($I$2,I$4,1),DATA!$J:$J,"&lt;="&amp;DATE($I$2,I$4,I$5))</f>
        <v/>
      </c>
      <c r="J766" s="321">
        <f>SUMIFS(DATA!$I:$I,DATA!$C:$C,$B766,DATA!$J:$J,"&gt;="&amp;DATE($I$2,J$4,1),DATA!$J:$J,"&lt;="&amp;DATE($I$2,J$4,J$5))</f>
        <v/>
      </c>
      <c r="K766" s="321">
        <f>SUMIFS(DATA!$I:$I,DATA!$C:$C,$B766,DATA!$J:$J,"&gt;="&amp;DATE($I$2,K$4,1),DATA!$J:$J,"&lt;="&amp;DATE($I$2,K$4,K$5))</f>
        <v/>
      </c>
      <c r="L766" s="321">
        <f>SUMIFS(DATA!$I:$I,DATA!$C:$C,$B766,DATA!$J:$J,"&gt;="&amp;DATE($I$2,L$4,1),DATA!$J:$J,"&lt;="&amp;DATE($I$2,L$4,L$5))</f>
        <v/>
      </c>
      <c r="M766" s="321">
        <f>SUMIFS(DATA!$I:$I,DATA!$C:$C,$B766,DATA!$J:$J,"&gt;="&amp;DATE($I$2,M$4,1),DATA!$J:$J,"&lt;="&amp;DATE($I$2,M$4,M$5))</f>
        <v/>
      </c>
      <c r="N766" s="321">
        <f>SUMIFS(DATA!$I:$I,DATA!$C:$C,$B766,DATA!$J:$J,"&gt;="&amp;DATE($I$2,N$4,1),DATA!$J:$J,"&lt;="&amp;DATE($I$2,N$4,N$5))</f>
        <v/>
      </c>
      <c r="O766" s="321">
        <f>SUMIFS(DATA!$I:$I,DATA!$C:$C,$B766,DATA!$J:$J,"&gt;="&amp;DATE($I$2,O$4,1),DATA!$J:$J,"&lt;="&amp;DATE($I$2,O$4,O$5))</f>
        <v/>
      </c>
      <c r="P766" s="322">
        <f>SUM(D766:O766)</f>
        <v/>
      </c>
    </row>
    <row r="767" hidden="1" outlineLevel="1" ht="15" customHeight="1">
      <c r="A767" s="266" t="n"/>
      <c r="B767" s="126" t="n"/>
      <c r="C767" s="119" t="inlineStr">
        <is>
          <t>Thực tế</t>
        </is>
      </c>
      <c r="D767" s="321">
        <f>SUMIFS(DATA!$M:$M,DATA!$C:$C,$B766,DATA!$N:$N,"&gt;="&amp;DATE($I$2,D$4,1),DATA!$N:$N,"&lt;="&amp;DATE($I$2,D$4,D$5))</f>
        <v/>
      </c>
      <c r="E767" s="321">
        <f>SUMIFS(DATA!$M:$M,DATA!$C:$C,$B766,DATA!$N:$N,"&gt;="&amp;DATE($I$2,E$4,1),DATA!$N:$N,"&lt;="&amp;DATE($I$2,E$4,E$5))</f>
        <v/>
      </c>
      <c r="F767" s="321">
        <f>SUMIFS(DATA!$M:$M,DATA!$C:$C,$B766,DATA!$N:$N,"&gt;="&amp;DATE($I$2,F$4,1),DATA!$N:$N,"&lt;="&amp;DATE($I$2,F$4,F$5))</f>
        <v/>
      </c>
      <c r="G767" s="321">
        <f>SUMIFS(DATA!$M:$M,DATA!$C:$C,$B766,DATA!$N:$N,"&gt;="&amp;DATE($I$2,G$4,1),DATA!$N:$N,"&lt;="&amp;DATE($I$2,G$4,G$5))</f>
        <v/>
      </c>
      <c r="H767" s="321">
        <f>SUMIFS(DATA!$M:$M,DATA!$C:$C,$B766,DATA!$N:$N,"&gt;="&amp;DATE($I$2,H$4,1),DATA!$N:$N,"&lt;="&amp;DATE($I$2,H$4,H$5))</f>
        <v/>
      </c>
      <c r="I767" s="321">
        <f>SUMIFS(DATA!$M:$M,DATA!$C:$C,$B766,DATA!$N:$N,"&gt;="&amp;DATE($I$2,I$4,1),DATA!$N:$N,"&lt;="&amp;DATE($I$2,I$4,I$5))</f>
        <v/>
      </c>
      <c r="J767" s="321">
        <f>SUMIFS(DATA!$M:$M,DATA!$C:$C,$B766,DATA!$N:$N,"&gt;="&amp;DATE($I$2,J$4,1),DATA!$N:$N,"&lt;="&amp;DATE($I$2,J$4,J$5))</f>
        <v/>
      </c>
      <c r="K767" s="321">
        <f>SUMIFS(DATA!$M:$M,DATA!$C:$C,$B766,DATA!$N:$N,"&gt;="&amp;DATE($I$2,K$4,1),DATA!$N:$N,"&lt;="&amp;DATE($I$2,K$4,K$5))</f>
        <v/>
      </c>
      <c r="L767" s="321">
        <f>SUMIFS(DATA!$M:$M,DATA!$C:$C,$B766,DATA!$N:$N,"&gt;="&amp;DATE($I$2,L$4,1),DATA!$N:$N,"&lt;="&amp;DATE($I$2,L$4,L$5))</f>
        <v/>
      </c>
      <c r="M767" s="321">
        <f>SUMIFS(DATA!$M:$M,DATA!$C:$C,$B766,DATA!$N:$N,"&gt;="&amp;DATE($I$2,M$4,1),DATA!$N:$N,"&lt;="&amp;DATE($I$2,M$4,M$5))</f>
        <v/>
      </c>
      <c r="N767" s="321">
        <f>SUMIFS(DATA!$M:$M,DATA!$C:$C,$B766,DATA!$N:$N,"&gt;="&amp;DATE($I$2,N$4,1),DATA!$N:$N,"&lt;="&amp;DATE($I$2,N$4,N$5))</f>
        <v/>
      </c>
      <c r="O767" s="321">
        <f>SUMIFS(DATA!$M:$M,DATA!$C:$C,$B766,DATA!$N:$N,"&gt;="&amp;DATE($I$2,O$4,1),DATA!$N:$N,"&lt;="&amp;DATE($I$2,O$4,O$5))</f>
        <v/>
      </c>
      <c r="P767" s="322">
        <f>SUM(D767:O767)</f>
        <v/>
      </c>
    </row>
    <row r="768" hidden="1" outlineLevel="1" ht="15" customHeight="1">
      <c r="A768" s="269" t="n">
        <v>382</v>
      </c>
      <c r="B768" s="125" t="n"/>
      <c r="C768" s="119" t="inlineStr">
        <is>
          <t>Kế hoạch</t>
        </is>
      </c>
      <c r="D768" s="321">
        <f>SUMIFS(DATA!$I:$I,DATA!$C:$C,$B768,DATA!$J:$J,"&gt;="&amp;DATE($I$2,D$4,1),DATA!$J:$J,"&lt;="&amp;DATE($I$2,D$4,D$5))</f>
        <v/>
      </c>
      <c r="E768" s="321">
        <f>SUMIFS(DATA!$I:$I,DATA!$C:$C,$B768,DATA!$J:$J,"&gt;="&amp;DATE($I$2,E$4,1),DATA!$J:$J,"&lt;="&amp;DATE($I$2,E$4,E$5))</f>
        <v/>
      </c>
      <c r="F768" s="321">
        <f>SUMIFS(DATA!$I:$I,DATA!$C:$C,$B768,DATA!$J:$J,"&gt;="&amp;DATE($I$2,F$4,1),DATA!$J:$J,"&lt;="&amp;DATE($I$2,F$4,F$5))</f>
        <v/>
      </c>
      <c r="G768" s="321">
        <f>SUMIFS(DATA!$I:$I,DATA!$C:$C,$B768,DATA!$J:$J,"&gt;="&amp;DATE($I$2,G$4,1),DATA!$J:$J,"&lt;="&amp;DATE($I$2,G$4,G$5))</f>
        <v/>
      </c>
      <c r="H768" s="321">
        <f>SUMIFS(DATA!$I:$I,DATA!$C:$C,$B768,DATA!$J:$J,"&gt;="&amp;DATE($I$2,H$4,1),DATA!$J:$J,"&lt;="&amp;DATE($I$2,H$4,H$5))</f>
        <v/>
      </c>
      <c r="I768" s="321">
        <f>SUMIFS(DATA!$I:$I,DATA!$C:$C,$B768,DATA!$J:$J,"&gt;="&amp;DATE($I$2,I$4,1),DATA!$J:$J,"&lt;="&amp;DATE($I$2,I$4,I$5))</f>
        <v/>
      </c>
      <c r="J768" s="321">
        <f>SUMIFS(DATA!$I:$I,DATA!$C:$C,$B768,DATA!$J:$J,"&gt;="&amp;DATE($I$2,J$4,1),DATA!$J:$J,"&lt;="&amp;DATE($I$2,J$4,J$5))</f>
        <v/>
      </c>
      <c r="K768" s="321">
        <f>SUMIFS(DATA!$I:$I,DATA!$C:$C,$B768,DATA!$J:$J,"&gt;="&amp;DATE($I$2,K$4,1),DATA!$J:$J,"&lt;="&amp;DATE($I$2,K$4,K$5))</f>
        <v/>
      </c>
      <c r="L768" s="321">
        <f>SUMIFS(DATA!$I:$I,DATA!$C:$C,$B768,DATA!$J:$J,"&gt;="&amp;DATE($I$2,L$4,1),DATA!$J:$J,"&lt;="&amp;DATE($I$2,L$4,L$5))</f>
        <v/>
      </c>
      <c r="M768" s="321">
        <f>SUMIFS(DATA!$I:$I,DATA!$C:$C,$B768,DATA!$J:$J,"&gt;="&amp;DATE($I$2,M$4,1),DATA!$J:$J,"&lt;="&amp;DATE($I$2,M$4,M$5))</f>
        <v/>
      </c>
      <c r="N768" s="321">
        <f>SUMIFS(DATA!$I:$I,DATA!$C:$C,$B768,DATA!$J:$J,"&gt;="&amp;DATE($I$2,N$4,1),DATA!$J:$J,"&lt;="&amp;DATE($I$2,N$4,N$5))</f>
        <v/>
      </c>
      <c r="O768" s="321">
        <f>SUMIFS(DATA!$I:$I,DATA!$C:$C,$B768,DATA!$J:$J,"&gt;="&amp;DATE($I$2,O$4,1),DATA!$J:$J,"&lt;="&amp;DATE($I$2,O$4,O$5))</f>
        <v/>
      </c>
      <c r="P768" s="322">
        <f>SUM(D768:O768)</f>
        <v/>
      </c>
    </row>
    <row r="769" hidden="1" outlineLevel="1" ht="15" customHeight="1">
      <c r="A769" s="266" t="n"/>
      <c r="B769" s="126" t="n"/>
      <c r="C769" s="119" t="inlineStr">
        <is>
          <t>Thực tế</t>
        </is>
      </c>
      <c r="D769" s="321">
        <f>SUMIFS(DATA!$M:$M,DATA!$C:$C,$B768,DATA!$N:$N,"&gt;="&amp;DATE($I$2,D$4,1),DATA!$N:$N,"&lt;="&amp;DATE($I$2,D$4,D$5))</f>
        <v/>
      </c>
      <c r="E769" s="321">
        <f>SUMIFS(DATA!$M:$M,DATA!$C:$C,$B768,DATA!$N:$N,"&gt;="&amp;DATE($I$2,E$4,1),DATA!$N:$N,"&lt;="&amp;DATE($I$2,E$4,E$5))</f>
        <v/>
      </c>
      <c r="F769" s="321">
        <f>SUMIFS(DATA!$M:$M,DATA!$C:$C,$B768,DATA!$N:$N,"&gt;="&amp;DATE($I$2,F$4,1),DATA!$N:$N,"&lt;="&amp;DATE($I$2,F$4,F$5))</f>
        <v/>
      </c>
      <c r="G769" s="321">
        <f>SUMIFS(DATA!$M:$M,DATA!$C:$C,$B768,DATA!$N:$N,"&gt;="&amp;DATE($I$2,G$4,1),DATA!$N:$N,"&lt;="&amp;DATE($I$2,G$4,G$5))</f>
        <v/>
      </c>
      <c r="H769" s="321">
        <f>SUMIFS(DATA!$M:$M,DATA!$C:$C,$B768,DATA!$N:$N,"&gt;="&amp;DATE($I$2,H$4,1),DATA!$N:$N,"&lt;="&amp;DATE($I$2,H$4,H$5))</f>
        <v/>
      </c>
      <c r="I769" s="321">
        <f>SUMIFS(DATA!$M:$M,DATA!$C:$C,$B768,DATA!$N:$N,"&gt;="&amp;DATE($I$2,I$4,1),DATA!$N:$N,"&lt;="&amp;DATE($I$2,I$4,I$5))</f>
        <v/>
      </c>
      <c r="J769" s="321">
        <f>SUMIFS(DATA!$M:$M,DATA!$C:$C,$B768,DATA!$N:$N,"&gt;="&amp;DATE($I$2,J$4,1),DATA!$N:$N,"&lt;="&amp;DATE($I$2,J$4,J$5))</f>
        <v/>
      </c>
      <c r="K769" s="321">
        <f>SUMIFS(DATA!$M:$M,DATA!$C:$C,$B768,DATA!$N:$N,"&gt;="&amp;DATE($I$2,K$4,1),DATA!$N:$N,"&lt;="&amp;DATE($I$2,K$4,K$5))</f>
        <v/>
      </c>
      <c r="L769" s="321">
        <f>SUMIFS(DATA!$M:$M,DATA!$C:$C,$B768,DATA!$N:$N,"&gt;="&amp;DATE($I$2,L$4,1),DATA!$N:$N,"&lt;="&amp;DATE($I$2,L$4,L$5))</f>
        <v/>
      </c>
      <c r="M769" s="321">
        <f>SUMIFS(DATA!$M:$M,DATA!$C:$C,$B768,DATA!$N:$N,"&gt;="&amp;DATE($I$2,M$4,1),DATA!$N:$N,"&lt;="&amp;DATE($I$2,M$4,M$5))</f>
        <v/>
      </c>
      <c r="N769" s="321">
        <f>SUMIFS(DATA!$M:$M,DATA!$C:$C,$B768,DATA!$N:$N,"&gt;="&amp;DATE($I$2,N$4,1),DATA!$N:$N,"&lt;="&amp;DATE($I$2,N$4,N$5))</f>
        <v/>
      </c>
      <c r="O769" s="321">
        <f>SUMIFS(DATA!$M:$M,DATA!$C:$C,$B768,DATA!$N:$N,"&gt;="&amp;DATE($I$2,O$4,1),DATA!$N:$N,"&lt;="&amp;DATE($I$2,O$4,O$5))</f>
        <v/>
      </c>
      <c r="P769" s="322">
        <f>SUM(D769:O769)</f>
        <v/>
      </c>
    </row>
    <row r="770" hidden="1" outlineLevel="1" ht="15" customHeight="1">
      <c r="A770" s="269" t="n">
        <v>383</v>
      </c>
      <c r="B770" s="125" t="n"/>
      <c r="C770" s="119" t="inlineStr">
        <is>
          <t>Kế hoạch</t>
        </is>
      </c>
      <c r="D770" s="321">
        <f>SUMIFS(DATA!$I:$I,DATA!$C:$C,$B770,DATA!$J:$J,"&gt;="&amp;DATE($I$2,D$4,1),DATA!$J:$J,"&lt;="&amp;DATE($I$2,D$4,D$5))</f>
        <v/>
      </c>
      <c r="E770" s="321">
        <f>SUMIFS(DATA!$I:$I,DATA!$C:$C,$B770,DATA!$J:$J,"&gt;="&amp;DATE($I$2,E$4,1),DATA!$J:$J,"&lt;="&amp;DATE($I$2,E$4,E$5))</f>
        <v/>
      </c>
      <c r="F770" s="321">
        <f>SUMIFS(DATA!$I:$I,DATA!$C:$C,$B770,DATA!$J:$J,"&gt;="&amp;DATE($I$2,F$4,1),DATA!$J:$J,"&lt;="&amp;DATE($I$2,F$4,F$5))</f>
        <v/>
      </c>
      <c r="G770" s="321">
        <f>SUMIFS(DATA!$I:$I,DATA!$C:$C,$B770,DATA!$J:$J,"&gt;="&amp;DATE($I$2,G$4,1),DATA!$J:$J,"&lt;="&amp;DATE($I$2,G$4,G$5))</f>
        <v/>
      </c>
      <c r="H770" s="321">
        <f>SUMIFS(DATA!$I:$I,DATA!$C:$C,$B770,DATA!$J:$J,"&gt;="&amp;DATE($I$2,H$4,1),DATA!$J:$J,"&lt;="&amp;DATE($I$2,H$4,H$5))</f>
        <v/>
      </c>
      <c r="I770" s="321">
        <f>SUMIFS(DATA!$I:$I,DATA!$C:$C,$B770,DATA!$J:$J,"&gt;="&amp;DATE($I$2,I$4,1),DATA!$J:$J,"&lt;="&amp;DATE($I$2,I$4,I$5))</f>
        <v/>
      </c>
      <c r="J770" s="321">
        <f>SUMIFS(DATA!$I:$I,DATA!$C:$C,$B770,DATA!$J:$J,"&gt;="&amp;DATE($I$2,J$4,1),DATA!$J:$J,"&lt;="&amp;DATE($I$2,J$4,J$5))</f>
        <v/>
      </c>
      <c r="K770" s="321">
        <f>SUMIFS(DATA!$I:$I,DATA!$C:$C,$B770,DATA!$J:$J,"&gt;="&amp;DATE($I$2,K$4,1),DATA!$J:$J,"&lt;="&amp;DATE($I$2,K$4,K$5))</f>
        <v/>
      </c>
      <c r="L770" s="321">
        <f>SUMIFS(DATA!$I:$I,DATA!$C:$C,$B770,DATA!$J:$J,"&gt;="&amp;DATE($I$2,L$4,1),DATA!$J:$J,"&lt;="&amp;DATE($I$2,L$4,L$5))</f>
        <v/>
      </c>
      <c r="M770" s="321">
        <f>SUMIFS(DATA!$I:$I,DATA!$C:$C,$B770,DATA!$J:$J,"&gt;="&amp;DATE($I$2,M$4,1),DATA!$J:$J,"&lt;="&amp;DATE($I$2,M$4,M$5))</f>
        <v/>
      </c>
      <c r="N770" s="321">
        <f>SUMIFS(DATA!$I:$I,DATA!$C:$C,$B770,DATA!$J:$J,"&gt;="&amp;DATE($I$2,N$4,1),DATA!$J:$J,"&lt;="&amp;DATE($I$2,N$4,N$5))</f>
        <v/>
      </c>
      <c r="O770" s="321">
        <f>SUMIFS(DATA!$I:$I,DATA!$C:$C,$B770,DATA!$J:$J,"&gt;="&amp;DATE($I$2,O$4,1),DATA!$J:$J,"&lt;="&amp;DATE($I$2,O$4,O$5))</f>
        <v/>
      </c>
      <c r="P770" s="322">
        <f>SUM(D770:O770)</f>
        <v/>
      </c>
    </row>
    <row r="771" hidden="1" outlineLevel="1" ht="15" customHeight="1">
      <c r="A771" s="266" t="n"/>
      <c r="B771" s="126" t="n"/>
      <c r="C771" s="119" t="inlineStr">
        <is>
          <t>Thực tế</t>
        </is>
      </c>
      <c r="D771" s="321">
        <f>SUMIFS(DATA!$M:$M,DATA!$C:$C,$B770,DATA!$N:$N,"&gt;="&amp;DATE($I$2,D$4,1),DATA!$N:$N,"&lt;="&amp;DATE($I$2,D$4,D$5))</f>
        <v/>
      </c>
      <c r="E771" s="321">
        <f>SUMIFS(DATA!$M:$M,DATA!$C:$C,$B770,DATA!$N:$N,"&gt;="&amp;DATE($I$2,E$4,1),DATA!$N:$N,"&lt;="&amp;DATE($I$2,E$4,E$5))</f>
        <v/>
      </c>
      <c r="F771" s="321">
        <f>SUMIFS(DATA!$M:$M,DATA!$C:$C,$B770,DATA!$N:$N,"&gt;="&amp;DATE($I$2,F$4,1),DATA!$N:$N,"&lt;="&amp;DATE($I$2,F$4,F$5))</f>
        <v/>
      </c>
      <c r="G771" s="321">
        <f>SUMIFS(DATA!$M:$M,DATA!$C:$C,$B770,DATA!$N:$N,"&gt;="&amp;DATE($I$2,G$4,1),DATA!$N:$N,"&lt;="&amp;DATE($I$2,G$4,G$5))</f>
        <v/>
      </c>
      <c r="H771" s="321">
        <f>SUMIFS(DATA!$M:$M,DATA!$C:$C,$B770,DATA!$N:$N,"&gt;="&amp;DATE($I$2,H$4,1),DATA!$N:$N,"&lt;="&amp;DATE($I$2,H$4,H$5))</f>
        <v/>
      </c>
      <c r="I771" s="321">
        <f>SUMIFS(DATA!$M:$M,DATA!$C:$C,$B770,DATA!$N:$N,"&gt;="&amp;DATE($I$2,I$4,1),DATA!$N:$N,"&lt;="&amp;DATE($I$2,I$4,I$5))</f>
        <v/>
      </c>
      <c r="J771" s="321">
        <f>SUMIFS(DATA!$M:$M,DATA!$C:$C,$B770,DATA!$N:$N,"&gt;="&amp;DATE($I$2,J$4,1),DATA!$N:$N,"&lt;="&amp;DATE($I$2,J$4,J$5))</f>
        <v/>
      </c>
      <c r="K771" s="321">
        <f>SUMIFS(DATA!$M:$M,DATA!$C:$C,$B770,DATA!$N:$N,"&gt;="&amp;DATE($I$2,K$4,1),DATA!$N:$N,"&lt;="&amp;DATE($I$2,K$4,K$5))</f>
        <v/>
      </c>
      <c r="L771" s="321">
        <f>SUMIFS(DATA!$M:$M,DATA!$C:$C,$B770,DATA!$N:$N,"&gt;="&amp;DATE($I$2,L$4,1),DATA!$N:$N,"&lt;="&amp;DATE($I$2,L$4,L$5))</f>
        <v/>
      </c>
      <c r="M771" s="321">
        <f>SUMIFS(DATA!$M:$M,DATA!$C:$C,$B770,DATA!$N:$N,"&gt;="&amp;DATE($I$2,M$4,1),DATA!$N:$N,"&lt;="&amp;DATE($I$2,M$4,M$5))</f>
        <v/>
      </c>
      <c r="N771" s="321">
        <f>SUMIFS(DATA!$M:$M,DATA!$C:$C,$B770,DATA!$N:$N,"&gt;="&amp;DATE($I$2,N$4,1),DATA!$N:$N,"&lt;="&amp;DATE($I$2,N$4,N$5))</f>
        <v/>
      </c>
      <c r="O771" s="321">
        <f>SUMIFS(DATA!$M:$M,DATA!$C:$C,$B770,DATA!$N:$N,"&gt;="&amp;DATE($I$2,O$4,1),DATA!$N:$N,"&lt;="&amp;DATE($I$2,O$4,O$5))</f>
        <v/>
      </c>
      <c r="P771" s="322">
        <f>SUM(D771:O771)</f>
        <v/>
      </c>
    </row>
    <row r="772" hidden="1" outlineLevel="1" ht="15" customHeight="1">
      <c r="A772" s="269" t="n">
        <v>384</v>
      </c>
      <c r="B772" s="125" t="n"/>
      <c r="C772" s="119" t="inlineStr">
        <is>
          <t>Kế hoạch</t>
        </is>
      </c>
      <c r="D772" s="321">
        <f>SUMIFS(DATA!$I:$I,DATA!$C:$C,$B772,DATA!$J:$J,"&gt;="&amp;DATE($I$2,D$4,1),DATA!$J:$J,"&lt;="&amp;DATE($I$2,D$4,D$5))</f>
        <v/>
      </c>
      <c r="E772" s="321">
        <f>SUMIFS(DATA!$I:$I,DATA!$C:$C,$B772,DATA!$J:$J,"&gt;="&amp;DATE($I$2,E$4,1),DATA!$J:$J,"&lt;="&amp;DATE($I$2,E$4,E$5))</f>
        <v/>
      </c>
      <c r="F772" s="321">
        <f>SUMIFS(DATA!$I:$I,DATA!$C:$C,$B772,DATA!$J:$J,"&gt;="&amp;DATE($I$2,F$4,1),DATA!$J:$J,"&lt;="&amp;DATE($I$2,F$4,F$5))</f>
        <v/>
      </c>
      <c r="G772" s="321">
        <f>SUMIFS(DATA!$I:$I,DATA!$C:$C,$B772,DATA!$J:$J,"&gt;="&amp;DATE($I$2,G$4,1),DATA!$J:$J,"&lt;="&amp;DATE($I$2,G$4,G$5))</f>
        <v/>
      </c>
      <c r="H772" s="321">
        <f>SUMIFS(DATA!$I:$I,DATA!$C:$C,$B772,DATA!$J:$J,"&gt;="&amp;DATE($I$2,H$4,1),DATA!$J:$J,"&lt;="&amp;DATE($I$2,H$4,H$5))</f>
        <v/>
      </c>
      <c r="I772" s="321">
        <f>SUMIFS(DATA!$I:$I,DATA!$C:$C,$B772,DATA!$J:$J,"&gt;="&amp;DATE($I$2,I$4,1),DATA!$J:$J,"&lt;="&amp;DATE($I$2,I$4,I$5))</f>
        <v/>
      </c>
      <c r="J772" s="321">
        <f>SUMIFS(DATA!$I:$I,DATA!$C:$C,$B772,DATA!$J:$J,"&gt;="&amp;DATE($I$2,J$4,1),DATA!$J:$J,"&lt;="&amp;DATE($I$2,J$4,J$5))</f>
        <v/>
      </c>
      <c r="K772" s="321">
        <f>SUMIFS(DATA!$I:$I,DATA!$C:$C,$B772,DATA!$J:$J,"&gt;="&amp;DATE($I$2,K$4,1),DATA!$J:$J,"&lt;="&amp;DATE($I$2,K$4,K$5))</f>
        <v/>
      </c>
      <c r="L772" s="321">
        <f>SUMIFS(DATA!$I:$I,DATA!$C:$C,$B772,DATA!$J:$J,"&gt;="&amp;DATE($I$2,L$4,1),DATA!$J:$J,"&lt;="&amp;DATE($I$2,L$4,L$5))</f>
        <v/>
      </c>
      <c r="M772" s="321">
        <f>SUMIFS(DATA!$I:$I,DATA!$C:$C,$B772,DATA!$J:$J,"&gt;="&amp;DATE($I$2,M$4,1),DATA!$J:$J,"&lt;="&amp;DATE($I$2,M$4,M$5))</f>
        <v/>
      </c>
      <c r="N772" s="321">
        <f>SUMIFS(DATA!$I:$I,DATA!$C:$C,$B772,DATA!$J:$J,"&gt;="&amp;DATE($I$2,N$4,1),DATA!$J:$J,"&lt;="&amp;DATE($I$2,N$4,N$5))</f>
        <v/>
      </c>
      <c r="O772" s="321">
        <f>SUMIFS(DATA!$I:$I,DATA!$C:$C,$B772,DATA!$J:$J,"&gt;="&amp;DATE($I$2,O$4,1),DATA!$J:$J,"&lt;="&amp;DATE($I$2,O$4,O$5))</f>
        <v/>
      </c>
      <c r="P772" s="322">
        <f>SUM(D772:O772)</f>
        <v/>
      </c>
    </row>
    <row r="773" hidden="1" outlineLevel="1" ht="15" customHeight="1">
      <c r="A773" s="266" t="n"/>
      <c r="B773" s="126" t="n"/>
      <c r="C773" s="119" t="inlineStr">
        <is>
          <t>Thực tế</t>
        </is>
      </c>
      <c r="D773" s="321">
        <f>SUMIFS(DATA!$M:$M,DATA!$C:$C,$B772,DATA!$N:$N,"&gt;="&amp;DATE($I$2,D$4,1),DATA!$N:$N,"&lt;="&amp;DATE($I$2,D$4,D$5))</f>
        <v/>
      </c>
      <c r="E773" s="321">
        <f>SUMIFS(DATA!$M:$M,DATA!$C:$C,$B772,DATA!$N:$N,"&gt;="&amp;DATE($I$2,E$4,1),DATA!$N:$N,"&lt;="&amp;DATE($I$2,E$4,E$5))</f>
        <v/>
      </c>
      <c r="F773" s="321">
        <f>SUMIFS(DATA!$M:$M,DATA!$C:$C,$B772,DATA!$N:$N,"&gt;="&amp;DATE($I$2,F$4,1),DATA!$N:$N,"&lt;="&amp;DATE($I$2,F$4,F$5))</f>
        <v/>
      </c>
      <c r="G773" s="321">
        <f>SUMIFS(DATA!$M:$M,DATA!$C:$C,$B772,DATA!$N:$N,"&gt;="&amp;DATE($I$2,G$4,1),DATA!$N:$N,"&lt;="&amp;DATE($I$2,G$4,G$5))</f>
        <v/>
      </c>
      <c r="H773" s="321">
        <f>SUMIFS(DATA!$M:$M,DATA!$C:$C,$B772,DATA!$N:$N,"&gt;="&amp;DATE($I$2,H$4,1),DATA!$N:$N,"&lt;="&amp;DATE($I$2,H$4,H$5))</f>
        <v/>
      </c>
      <c r="I773" s="321">
        <f>SUMIFS(DATA!$M:$M,DATA!$C:$C,$B772,DATA!$N:$N,"&gt;="&amp;DATE($I$2,I$4,1),DATA!$N:$N,"&lt;="&amp;DATE($I$2,I$4,I$5))</f>
        <v/>
      </c>
      <c r="J773" s="321">
        <f>SUMIFS(DATA!$M:$M,DATA!$C:$C,$B772,DATA!$N:$N,"&gt;="&amp;DATE($I$2,J$4,1),DATA!$N:$N,"&lt;="&amp;DATE($I$2,J$4,J$5))</f>
        <v/>
      </c>
      <c r="K773" s="321">
        <f>SUMIFS(DATA!$M:$M,DATA!$C:$C,$B772,DATA!$N:$N,"&gt;="&amp;DATE($I$2,K$4,1),DATA!$N:$N,"&lt;="&amp;DATE($I$2,K$4,K$5))</f>
        <v/>
      </c>
      <c r="L773" s="321">
        <f>SUMIFS(DATA!$M:$M,DATA!$C:$C,$B772,DATA!$N:$N,"&gt;="&amp;DATE($I$2,L$4,1),DATA!$N:$N,"&lt;="&amp;DATE($I$2,L$4,L$5))</f>
        <v/>
      </c>
      <c r="M773" s="321">
        <f>SUMIFS(DATA!$M:$M,DATA!$C:$C,$B772,DATA!$N:$N,"&gt;="&amp;DATE($I$2,M$4,1),DATA!$N:$N,"&lt;="&amp;DATE($I$2,M$4,M$5))</f>
        <v/>
      </c>
      <c r="N773" s="321">
        <f>SUMIFS(DATA!$M:$M,DATA!$C:$C,$B772,DATA!$N:$N,"&gt;="&amp;DATE($I$2,N$4,1),DATA!$N:$N,"&lt;="&amp;DATE($I$2,N$4,N$5))</f>
        <v/>
      </c>
      <c r="O773" s="321">
        <f>SUMIFS(DATA!$M:$M,DATA!$C:$C,$B772,DATA!$N:$N,"&gt;="&amp;DATE($I$2,O$4,1),DATA!$N:$N,"&lt;="&amp;DATE($I$2,O$4,O$5))</f>
        <v/>
      </c>
      <c r="P773" s="322">
        <f>SUM(D773:O773)</f>
        <v/>
      </c>
    </row>
    <row r="774" hidden="1" outlineLevel="1" ht="15" customHeight="1">
      <c r="A774" s="269" t="n">
        <v>385</v>
      </c>
      <c r="B774" s="125" t="n"/>
      <c r="C774" s="119" t="inlineStr">
        <is>
          <t>Kế hoạch</t>
        </is>
      </c>
      <c r="D774" s="321">
        <f>SUMIFS(DATA!$I:$I,DATA!$C:$C,$B774,DATA!$J:$J,"&gt;="&amp;DATE($I$2,D$4,1),DATA!$J:$J,"&lt;="&amp;DATE($I$2,D$4,D$5))</f>
        <v/>
      </c>
      <c r="E774" s="321">
        <f>SUMIFS(DATA!$I:$I,DATA!$C:$C,$B774,DATA!$J:$J,"&gt;="&amp;DATE($I$2,E$4,1),DATA!$J:$J,"&lt;="&amp;DATE($I$2,E$4,E$5))</f>
        <v/>
      </c>
      <c r="F774" s="321">
        <f>SUMIFS(DATA!$I:$I,DATA!$C:$C,$B774,DATA!$J:$J,"&gt;="&amp;DATE($I$2,F$4,1),DATA!$J:$J,"&lt;="&amp;DATE($I$2,F$4,F$5))</f>
        <v/>
      </c>
      <c r="G774" s="321">
        <f>SUMIFS(DATA!$I:$I,DATA!$C:$C,$B774,DATA!$J:$J,"&gt;="&amp;DATE($I$2,G$4,1),DATA!$J:$J,"&lt;="&amp;DATE($I$2,G$4,G$5))</f>
        <v/>
      </c>
      <c r="H774" s="321">
        <f>SUMIFS(DATA!$I:$I,DATA!$C:$C,$B774,DATA!$J:$J,"&gt;="&amp;DATE($I$2,H$4,1),DATA!$J:$J,"&lt;="&amp;DATE($I$2,H$4,H$5))</f>
        <v/>
      </c>
      <c r="I774" s="321">
        <f>SUMIFS(DATA!$I:$I,DATA!$C:$C,$B774,DATA!$J:$J,"&gt;="&amp;DATE($I$2,I$4,1),DATA!$J:$J,"&lt;="&amp;DATE($I$2,I$4,I$5))</f>
        <v/>
      </c>
      <c r="J774" s="321">
        <f>SUMIFS(DATA!$I:$I,DATA!$C:$C,$B774,DATA!$J:$J,"&gt;="&amp;DATE($I$2,J$4,1),DATA!$J:$J,"&lt;="&amp;DATE($I$2,J$4,J$5))</f>
        <v/>
      </c>
      <c r="K774" s="321">
        <f>SUMIFS(DATA!$I:$I,DATA!$C:$C,$B774,DATA!$J:$J,"&gt;="&amp;DATE($I$2,K$4,1),DATA!$J:$J,"&lt;="&amp;DATE($I$2,K$4,K$5))</f>
        <v/>
      </c>
      <c r="L774" s="321">
        <f>SUMIFS(DATA!$I:$I,DATA!$C:$C,$B774,DATA!$J:$J,"&gt;="&amp;DATE($I$2,L$4,1),DATA!$J:$J,"&lt;="&amp;DATE($I$2,L$4,L$5))</f>
        <v/>
      </c>
      <c r="M774" s="321">
        <f>SUMIFS(DATA!$I:$I,DATA!$C:$C,$B774,DATA!$J:$J,"&gt;="&amp;DATE($I$2,M$4,1),DATA!$J:$J,"&lt;="&amp;DATE($I$2,M$4,M$5))</f>
        <v/>
      </c>
      <c r="N774" s="321">
        <f>SUMIFS(DATA!$I:$I,DATA!$C:$C,$B774,DATA!$J:$J,"&gt;="&amp;DATE($I$2,N$4,1),DATA!$J:$J,"&lt;="&amp;DATE($I$2,N$4,N$5))</f>
        <v/>
      </c>
      <c r="O774" s="321">
        <f>SUMIFS(DATA!$I:$I,DATA!$C:$C,$B774,DATA!$J:$J,"&gt;="&amp;DATE($I$2,O$4,1),DATA!$J:$J,"&lt;="&amp;DATE($I$2,O$4,O$5))</f>
        <v/>
      </c>
      <c r="P774" s="322">
        <f>SUM(D774:O774)</f>
        <v/>
      </c>
    </row>
    <row r="775" hidden="1" outlineLevel="1" ht="15" customHeight="1">
      <c r="A775" s="266" t="n"/>
      <c r="B775" s="126" t="n"/>
      <c r="C775" s="119" t="inlineStr">
        <is>
          <t>Thực tế</t>
        </is>
      </c>
      <c r="D775" s="321">
        <f>SUMIFS(DATA!$M:$M,DATA!$C:$C,$B774,DATA!$N:$N,"&gt;="&amp;DATE($I$2,D$4,1),DATA!$N:$N,"&lt;="&amp;DATE($I$2,D$4,D$5))</f>
        <v/>
      </c>
      <c r="E775" s="321">
        <f>SUMIFS(DATA!$M:$M,DATA!$C:$C,$B774,DATA!$N:$N,"&gt;="&amp;DATE($I$2,E$4,1),DATA!$N:$N,"&lt;="&amp;DATE($I$2,E$4,E$5))</f>
        <v/>
      </c>
      <c r="F775" s="321">
        <f>SUMIFS(DATA!$M:$M,DATA!$C:$C,$B774,DATA!$N:$N,"&gt;="&amp;DATE($I$2,F$4,1),DATA!$N:$N,"&lt;="&amp;DATE($I$2,F$4,F$5))</f>
        <v/>
      </c>
      <c r="G775" s="321">
        <f>SUMIFS(DATA!$M:$M,DATA!$C:$C,$B774,DATA!$N:$N,"&gt;="&amp;DATE($I$2,G$4,1),DATA!$N:$N,"&lt;="&amp;DATE($I$2,G$4,G$5))</f>
        <v/>
      </c>
      <c r="H775" s="321">
        <f>SUMIFS(DATA!$M:$M,DATA!$C:$C,$B774,DATA!$N:$N,"&gt;="&amp;DATE($I$2,H$4,1),DATA!$N:$N,"&lt;="&amp;DATE($I$2,H$4,H$5))</f>
        <v/>
      </c>
      <c r="I775" s="321">
        <f>SUMIFS(DATA!$M:$M,DATA!$C:$C,$B774,DATA!$N:$N,"&gt;="&amp;DATE($I$2,I$4,1),DATA!$N:$N,"&lt;="&amp;DATE($I$2,I$4,I$5))</f>
        <v/>
      </c>
      <c r="J775" s="321">
        <f>SUMIFS(DATA!$M:$M,DATA!$C:$C,$B774,DATA!$N:$N,"&gt;="&amp;DATE($I$2,J$4,1),DATA!$N:$N,"&lt;="&amp;DATE($I$2,J$4,J$5))</f>
        <v/>
      </c>
      <c r="K775" s="321">
        <f>SUMIFS(DATA!$M:$M,DATA!$C:$C,$B774,DATA!$N:$N,"&gt;="&amp;DATE($I$2,K$4,1),DATA!$N:$N,"&lt;="&amp;DATE($I$2,K$4,K$5))</f>
        <v/>
      </c>
      <c r="L775" s="321">
        <f>SUMIFS(DATA!$M:$M,DATA!$C:$C,$B774,DATA!$N:$N,"&gt;="&amp;DATE($I$2,L$4,1),DATA!$N:$N,"&lt;="&amp;DATE($I$2,L$4,L$5))</f>
        <v/>
      </c>
      <c r="M775" s="321">
        <f>SUMIFS(DATA!$M:$M,DATA!$C:$C,$B774,DATA!$N:$N,"&gt;="&amp;DATE($I$2,M$4,1),DATA!$N:$N,"&lt;="&amp;DATE($I$2,M$4,M$5))</f>
        <v/>
      </c>
      <c r="N775" s="321">
        <f>SUMIFS(DATA!$M:$M,DATA!$C:$C,$B774,DATA!$N:$N,"&gt;="&amp;DATE($I$2,N$4,1),DATA!$N:$N,"&lt;="&amp;DATE($I$2,N$4,N$5))</f>
        <v/>
      </c>
      <c r="O775" s="321">
        <f>SUMIFS(DATA!$M:$M,DATA!$C:$C,$B774,DATA!$N:$N,"&gt;="&amp;DATE($I$2,O$4,1),DATA!$N:$N,"&lt;="&amp;DATE($I$2,O$4,O$5))</f>
        <v/>
      </c>
      <c r="P775" s="322">
        <f>SUM(D775:O775)</f>
        <v/>
      </c>
    </row>
    <row r="776" hidden="1" outlineLevel="1" ht="15" customHeight="1">
      <c r="A776" s="269" t="n">
        <v>386</v>
      </c>
      <c r="B776" s="125" t="n"/>
      <c r="C776" s="119" t="inlineStr">
        <is>
          <t>Kế hoạch</t>
        </is>
      </c>
      <c r="D776" s="321">
        <f>SUMIFS(DATA!$I:$I,DATA!$C:$C,$B776,DATA!$J:$J,"&gt;="&amp;DATE($I$2,D$4,1),DATA!$J:$J,"&lt;="&amp;DATE($I$2,D$4,D$5))</f>
        <v/>
      </c>
      <c r="E776" s="321">
        <f>SUMIFS(DATA!$I:$I,DATA!$C:$C,$B776,DATA!$J:$J,"&gt;="&amp;DATE($I$2,E$4,1),DATA!$J:$J,"&lt;="&amp;DATE($I$2,E$4,E$5))</f>
        <v/>
      </c>
      <c r="F776" s="321">
        <f>SUMIFS(DATA!$I:$I,DATA!$C:$C,$B776,DATA!$J:$J,"&gt;="&amp;DATE($I$2,F$4,1),DATA!$J:$J,"&lt;="&amp;DATE($I$2,F$4,F$5))</f>
        <v/>
      </c>
      <c r="G776" s="321">
        <f>SUMIFS(DATA!$I:$I,DATA!$C:$C,$B776,DATA!$J:$J,"&gt;="&amp;DATE($I$2,G$4,1),DATA!$J:$J,"&lt;="&amp;DATE($I$2,G$4,G$5))</f>
        <v/>
      </c>
      <c r="H776" s="321">
        <f>SUMIFS(DATA!$I:$I,DATA!$C:$C,$B776,DATA!$J:$J,"&gt;="&amp;DATE($I$2,H$4,1),DATA!$J:$J,"&lt;="&amp;DATE($I$2,H$4,H$5))</f>
        <v/>
      </c>
      <c r="I776" s="321">
        <f>SUMIFS(DATA!$I:$I,DATA!$C:$C,$B776,DATA!$J:$J,"&gt;="&amp;DATE($I$2,I$4,1),DATA!$J:$J,"&lt;="&amp;DATE($I$2,I$4,I$5))</f>
        <v/>
      </c>
      <c r="J776" s="321">
        <f>SUMIFS(DATA!$I:$I,DATA!$C:$C,$B776,DATA!$J:$J,"&gt;="&amp;DATE($I$2,J$4,1),DATA!$J:$J,"&lt;="&amp;DATE($I$2,J$4,J$5))</f>
        <v/>
      </c>
      <c r="K776" s="321">
        <f>SUMIFS(DATA!$I:$I,DATA!$C:$C,$B776,DATA!$J:$J,"&gt;="&amp;DATE($I$2,K$4,1),DATA!$J:$J,"&lt;="&amp;DATE($I$2,K$4,K$5))</f>
        <v/>
      </c>
      <c r="L776" s="321">
        <f>SUMIFS(DATA!$I:$I,DATA!$C:$C,$B776,DATA!$J:$J,"&gt;="&amp;DATE($I$2,L$4,1),DATA!$J:$J,"&lt;="&amp;DATE($I$2,L$4,L$5))</f>
        <v/>
      </c>
      <c r="M776" s="321">
        <f>SUMIFS(DATA!$I:$I,DATA!$C:$C,$B776,DATA!$J:$J,"&gt;="&amp;DATE($I$2,M$4,1),DATA!$J:$J,"&lt;="&amp;DATE($I$2,M$4,M$5))</f>
        <v/>
      </c>
      <c r="N776" s="321">
        <f>SUMIFS(DATA!$I:$I,DATA!$C:$C,$B776,DATA!$J:$J,"&gt;="&amp;DATE($I$2,N$4,1),DATA!$J:$J,"&lt;="&amp;DATE($I$2,N$4,N$5))</f>
        <v/>
      </c>
      <c r="O776" s="321">
        <f>SUMIFS(DATA!$I:$I,DATA!$C:$C,$B776,DATA!$J:$J,"&gt;="&amp;DATE($I$2,O$4,1),DATA!$J:$J,"&lt;="&amp;DATE($I$2,O$4,O$5))</f>
        <v/>
      </c>
      <c r="P776" s="322">
        <f>SUM(D776:O776)</f>
        <v/>
      </c>
    </row>
    <row r="777" hidden="1" outlineLevel="1" ht="15" customHeight="1">
      <c r="A777" s="266" t="n"/>
      <c r="B777" s="126" t="n"/>
      <c r="C777" s="119" t="inlineStr">
        <is>
          <t>Thực tế</t>
        </is>
      </c>
      <c r="D777" s="321">
        <f>SUMIFS(DATA!$M:$M,DATA!$C:$C,$B776,DATA!$N:$N,"&gt;="&amp;DATE($I$2,D$4,1),DATA!$N:$N,"&lt;="&amp;DATE($I$2,D$4,D$5))</f>
        <v/>
      </c>
      <c r="E777" s="321">
        <f>SUMIFS(DATA!$M:$M,DATA!$C:$C,$B776,DATA!$N:$N,"&gt;="&amp;DATE($I$2,E$4,1),DATA!$N:$N,"&lt;="&amp;DATE($I$2,E$4,E$5))</f>
        <v/>
      </c>
      <c r="F777" s="321">
        <f>SUMIFS(DATA!$M:$M,DATA!$C:$C,$B776,DATA!$N:$N,"&gt;="&amp;DATE($I$2,F$4,1),DATA!$N:$N,"&lt;="&amp;DATE($I$2,F$4,F$5))</f>
        <v/>
      </c>
      <c r="G777" s="321">
        <f>SUMIFS(DATA!$M:$M,DATA!$C:$C,$B776,DATA!$N:$N,"&gt;="&amp;DATE($I$2,G$4,1),DATA!$N:$N,"&lt;="&amp;DATE($I$2,G$4,G$5))</f>
        <v/>
      </c>
      <c r="H777" s="321">
        <f>SUMIFS(DATA!$M:$M,DATA!$C:$C,$B776,DATA!$N:$N,"&gt;="&amp;DATE($I$2,H$4,1),DATA!$N:$N,"&lt;="&amp;DATE($I$2,H$4,H$5))</f>
        <v/>
      </c>
      <c r="I777" s="321">
        <f>SUMIFS(DATA!$M:$M,DATA!$C:$C,$B776,DATA!$N:$N,"&gt;="&amp;DATE($I$2,I$4,1),DATA!$N:$N,"&lt;="&amp;DATE($I$2,I$4,I$5))</f>
        <v/>
      </c>
      <c r="J777" s="321">
        <f>SUMIFS(DATA!$M:$M,DATA!$C:$C,$B776,DATA!$N:$N,"&gt;="&amp;DATE($I$2,J$4,1),DATA!$N:$N,"&lt;="&amp;DATE($I$2,J$4,J$5))</f>
        <v/>
      </c>
      <c r="K777" s="321">
        <f>SUMIFS(DATA!$M:$M,DATA!$C:$C,$B776,DATA!$N:$N,"&gt;="&amp;DATE($I$2,K$4,1),DATA!$N:$N,"&lt;="&amp;DATE($I$2,K$4,K$5))</f>
        <v/>
      </c>
      <c r="L777" s="321">
        <f>SUMIFS(DATA!$M:$M,DATA!$C:$C,$B776,DATA!$N:$N,"&gt;="&amp;DATE($I$2,L$4,1),DATA!$N:$N,"&lt;="&amp;DATE($I$2,L$4,L$5))</f>
        <v/>
      </c>
      <c r="M777" s="321">
        <f>SUMIFS(DATA!$M:$M,DATA!$C:$C,$B776,DATA!$N:$N,"&gt;="&amp;DATE($I$2,M$4,1),DATA!$N:$N,"&lt;="&amp;DATE($I$2,M$4,M$5))</f>
        <v/>
      </c>
      <c r="N777" s="321">
        <f>SUMIFS(DATA!$M:$M,DATA!$C:$C,$B776,DATA!$N:$N,"&gt;="&amp;DATE($I$2,N$4,1),DATA!$N:$N,"&lt;="&amp;DATE($I$2,N$4,N$5))</f>
        <v/>
      </c>
      <c r="O777" s="321">
        <f>SUMIFS(DATA!$M:$M,DATA!$C:$C,$B776,DATA!$N:$N,"&gt;="&amp;DATE($I$2,O$4,1),DATA!$N:$N,"&lt;="&amp;DATE($I$2,O$4,O$5))</f>
        <v/>
      </c>
      <c r="P777" s="322">
        <f>SUM(D777:O777)</f>
        <v/>
      </c>
    </row>
    <row r="778" hidden="1" outlineLevel="1" ht="15" customHeight="1">
      <c r="A778" s="269" t="n">
        <v>387</v>
      </c>
      <c r="B778" s="125" t="n"/>
      <c r="C778" s="119" t="inlineStr">
        <is>
          <t>Kế hoạch</t>
        </is>
      </c>
      <c r="D778" s="321">
        <f>SUMIFS(DATA!$I:$I,DATA!$C:$C,$B778,DATA!$J:$J,"&gt;="&amp;DATE($I$2,D$4,1),DATA!$J:$J,"&lt;="&amp;DATE($I$2,D$4,D$5))</f>
        <v/>
      </c>
      <c r="E778" s="321">
        <f>SUMIFS(DATA!$I:$I,DATA!$C:$C,$B778,DATA!$J:$J,"&gt;="&amp;DATE($I$2,E$4,1),DATA!$J:$J,"&lt;="&amp;DATE($I$2,E$4,E$5))</f>
        <v/>
      </c>
      <c r="F778" s="321">
        <f>SUMIFS(DATA!$I:$I,DATA!$C:$C,$B778,DATA!$J:$J,"&gt;="&amp;DATE($I$2,F$4,1),DATA!$J:$J,"&lt;="&amp;DATE($I$2,F$4,F$5))</f>
        <v/>
      </c>
      <c r="G778" s="321">
        <f>SUMIFS(DATA!$I:$I,DATA!$C:$C,$B778,DATA!$J:$J,"&gt;="&amp;DATE($I$2,G$4,1),DATA!$J:$J,"&lt;="&amp;DATE($I$2,G$4,G$5))</f>
        <v/>
      </c>
      <c r="H778" s="321">
        <f>SUMIFS(DATA!$I:$I,DATA!$C:$C,$B778,DATA!$J:$J,"&gt;="&amp;DATE($I$2,H$4,1),DATA!$J:$J,"&lt;="&amp;DATE($I$2,H$4,H$5))</f>
        <v/>
      </c>
      <c r="I778" s="321">
        <f>SUMIFS(DATA!$I:$I,DATA!$C:$C,$B778,DATA!$J:$J,"&gt;="&amp;DATE($I$2,I$4,1),DATA!$J:$J,"&lt;="&amp;DATE($I$2,I$4,I$5))</f>
        <v/>
      </c>
      <c r="J778" s="321">
        <f>SUMIFS(DATA!$I:$I,DATA!$C:$C,$B778,DATA!$J:$J,"&gt;="&amp;DATE($I$2,J$4,1),DATA!$J:$J,"&lt;="&amp;DATE($I$2,J$4,J$5))</f>
        <v/>
      </c>
      <c r="K778" s="321">
        <f>SUMIFS(DATA!$I:$I,DATA!$C:$C,$B778,DATA!$J:$J,"&gt;="&amp;DATE($I$2,K$4,1),DATA!$J:$J,"&lt;="&amp;DATE($I$2,K$4,K$5))</f>
        <v/>
      </c>
      <c r="L778" s="321">
        <f>SUMIFS(DATA!$I:$I,DATA!$C:$C,$B778,DATA!$J:$J,"&gt;="&amp;DATE($I$2,L$4,1),DATA!$J:$J,"&lt;="&amp;DATE($I$2,L$4,L$5))</f>
        <v/>
      </c>
      <c r="M778" s="321">
        <f>SUMIFS(DATA!$I:$I,DATA!$C:$C,$B778,DATA!$J:$J,"&gt;="&amp;DATE($I$2,M$4,1),DATA!$J:$J,"&lt;="&amp;DATE($I$2,M$4,M$5))</f>
        <v/>
      </c>
      <c r="N778" s="321">
        <f>SUMIFS(DATA!$I:$I,DATA!$C:$C,$B778,DATA!$J:$J,"&gt;="&amp;DATE($I$2,N$4,1),DATA!$J:$J,"&lt;="&amp;DATE($I$2,N$4,N$5))</f>
        <v/>
      </c>
      <c r="O778" s="321">
        <f>SUMIFS(DATA!$I:$I,DATA!$C:$C,$B778,DATA!$J:$J,"&gt;="&amp;DATE($I$2,O$4,1),DATA!$J:$J,"&lt;="&amp;DATE($I$2,O$4,O$5))</f>
        <v/>
      </c>
      <c r="P778" s="322">
        <f>SUM(D778:O778)</f>
        <v/>
      </c>
    </row>
    <row r="779" hidden="1" outlineLevel="1" ht="15" customHeight="1">
      <c r="A779" s="266" t="n"/>
      <c r="B779" s="126" t="n"/>
      <c r="C779" s="119" t="inlineStr">
        <is>
          <t>Thực tế</t>
        </is>
      </c>
      <c r="D779" s="321">
        <f>SUMIFS(DATA!$M:$M,DATA!$C:$C,$B778,DATA!$N:$N,"&gt;="&amp;DATE($I$2,D$4,1),DATA!$N:$N,"&lt;="&amp;DATE($I$2,D$4,D$5))</f>
        <v/>
      </c>
      <c r="E779" s="321">
        <f>SUMIFS(DATA!$M:$M,DATA!$C:$C,$B778,DATA!$N:$N,"&gt;="&amp;DATE($I$2,E$4,1),DATA!$N:$N,"&lt;="&amp;DATE($I$2,E$4,E$5))</f>
        <v/>
      </c>
      <c r="F779" s="321">
        <f>SUMIFS(DATA!$M:$M,DATA!$C:$C,$B778,DATA!$N:$N,"&gt;="&amp;DATE($I$2,F$4,1),DATA!$N:$N,"&lt;="&amp;DATE($I$2,F$4,F$5))</f>
        <v/>
      </c>
      <c r="G779" s="321">
        <f>SUMIFS(DATA!$M:$M,DATA!$C:$C,$B778,DATA!$N:$N,"&gt;="&amp;DATE($I$2,G$4,1),DATA!$N:$N,"&lt;="&amp;DATE($I$2,G$4,G$5))</f>
        <v/>
      </c>
      <c r="H779" s="321">
        <f>SUMIFS(DATA!$M:$M,DATA!$C:$C,$B778,DATA!$N:$N,"&gt;="&amp;DATE($I$2,H$4,1),DATA!$N:$N,"&lt;="&amp;DATE($I$2,H$4,H$5))</f>
        <v/>
      </c>
      <c r="I779" s="321">
        <f>SUMIFS(DATA!$M:$M,DATA!$C:$C,$B778,DATA!$N:$N,"&gt;="&amp;DATE($I$2,I$4,1),DATA!$N:$N,"&lt;="&amp;DATE($I$2,I$4,I$5))</f>
        <v/>
      </c>
      <c r="J779" s="321">
        <f>SUMIFS(DATA!$M:$M,DATA!$C:$C,$B778,DATA!$N:$N,"&gt;="&amp;DATE($I$2,J$4,1),DATA!$N:$N,"&lt;="&amp;DATE($I$2,J$4,J$5))</f>
        <v/>
      </c>
      <c r="K779" s="321">
        <f>SUMIFS(DATA!$M:$M,DATA!$C:$C,$B778,DATA!$N:$N,"&gt;="&amp;DATE($I$2,K$4,1),DATA!$N:$N,"&lt;="&amp;DATE($I$2,K$4,K$5))</f>
        <v/>
      </c>
      <c r="L779" s="321">
        <f>SUMIFS(DATA!$M:$M,DATA!$C:$C,$B778,DATA!$N:$N,"&gt;="&amp;DATE($I$2,L$4,1),DATA!$N:$N,"&lt;="&amp;DATE($I$2,L$4,L$5))</f>
        <v/>
      </c>
      <c r="M779" s="321">
        <f>SUMIFS(DATA!$M:$M,DATA!$C:$C,$B778,DATA!$N:$N,"&gt;="&amp;DATE($I$2,M$4,1),DATA!$N:$N,"&lt;="&amp;DATE($I$2,M$4,M$5))</f>
        <v/>
      </c>
      <c r="N779" s="321">
        <f>SUMIFS(DATA!$M:$M,DATA!$C:$C,$B778,DATA!$N:$N,"&gt;="&amp;DATE($I$2,N$4,1),DATA!$N:$N,"&lt;="&amp;DATE($I$2,N$4,N$5))</f>
        <v/>
      </c>
      <c r="O779" s="321">
        <f>SUMIFS(DATA!$M:$M,DATA!$C:$C,$B778,DATA!$N:$N,"&gt;="&amp;DATE($I$2,O$4,1),DATA!$N:$N,"&lt;="&amp;DATE($I$2,O$4,O$5))</f>
        <v/>
      </c>
      <c r="P779" s="322">
        <f>SUM(D779:O779)</f>
        <v/>
      </c>
    </row>
    <row r="780" hidden="1" outlineLevel="1" ht="15" customHeight="1">
      <c r="A780" s="269" t="n">
        <v>388</v>
      </c>
      <c r="B780" s="125" t="n"/>
      <c r="C780" s="119" t="inlineStr">
        <is>
          <t>Kế hoạch</t>
        </is>
      </c>
      <c r="D780" s="321">
        <f>SUMIFS(DATA!$I:$I,DATA!$C:$C,$B780,DATA!$J:$J,"&gt;="&amp;DATE($I$2,D$4,1),DATA!$J:$J,"&lt;="&amp;DATE($I$2,D$4,D$5))</f>
        <v/>
      </c>
      <c r="E780" s="321">
        <f>SUMIFS(DATA!$I:$I,DATA!$C:$C,$B780,DATA!$J:$J,"&gt;="&amp;DATE($I$2,E$4,1),DATA!$J:$J,"&lt;="&amp;DATE($I$2,E$4,E$5))</f>
        <v/>
      </c>
      <c r="F780" s="321">
        <f>SUMIFS(DATA!$I:$I,DATA!$C:$C,$B780,DATA!$J:$J,"&gt;="&amp;DATE($I$2,F$4,1),DATA!$J:$J,"&lt;="&amp;DATE($I$2,F$4,F$5))</f>
        <v/>
      </c>
      <c r="G780" s="321">
        <f>SUMIFS(DATA!$I:$I,DATA!$C:$C,$B780,DATA!$J:$J,"&gt;="&amp;DATE($I$2,G$4,1),DATA!$J:$J,"&lt;="&amp;DATE($I$2,G$4,G$5))</f>
        <v/>
      </c>
      <c r="H780" s="321">
        <f>SUMIFS(DATA!$I:$I,DATA!$C:$C,$B780,DATA!$J:$J,"&gt;="&amp;DATE($I$2,H$4,1),DATA!$J:$J,"&lt;="&amp;DATE($I$2,H$4,H$5))</f>
        <v/>
      </c>
      <c r="I780" s="321">
        <f>SUMIFS(DATA!$I:$I,DATA!$C:$C,$B780,DATA!$J:$J,"&gt;="&amp;DATE($I$2,I$4,1),DATA!$J:$J,"&lt;="&amp;DATE($I$2,I$4,I$5))</f>
        <v/>
      </c>
      <c r="J780" s="321">
        <f>SUMIFS(DATA!$I:$I,DATA!$C:$C,$B780,DATA!$J:$J,"&gt;="&amp;DATE($I$2,J$4,1),DATA!$J:$J,"&lt;="&amp;DATE($I$2,J$4,J$5))</f>
        <v/>
      </c>
      <c r="K780" s="321">
        <f>SUMIFS(DATA!$I:$I,DATA!$C:$C,$B780,DATA!$J:$J,"&gt;="&amp;DATE($I$2,K$4,1),DATA!$J:$J,"&lt;="&amp;DATE($I$2,K$4,K$5))</f>
        <v/>
      </c>
      <c r="L780" s="321">
        <f>SUMIFS(DATA!$I:$I,DATA!$C:$C,$B780,DATA!$J:$J,"&gt;="&amp;DATE($I$2,L$4,1),DATA!$J:$J,"&lt;="&amp;DATE($I$2,L$4,L$5))</f>
        <v/>
      </c>
      <c r="M780" s="321">
        <f>SUMIFS(DATA!$I:$I,DATA!$C:$C,$B780,DATA!$J:$J,"&gt;="&amp;DATE($I$2,M$4,1),DATA!$J:$J,"&lt;="&amp;DATE($I$2,M$4,M$5))</f>
        <v/>
      </c>
      <c r="N780" s="321">
        <f>SUMIFS(DATA!$I:$I,DATA!$C:$C,$B780,DATA!$J:$J,"&gt;="&amp;DATE($I$2,N$4,1),DATA!$J:$J,"&lt;="&amp;DATE($I$2,N$4,N$5))</f>
        <v/>
      </c>
      <c r="O780" s="321">
        <f>SUMIFS(DATA!$I:$I,DATA!$C:$C,$B780,DATA!$J:$J,"&gt;="&amp;DATE($I$2,O$4,1),DATA!$J:$J,"&lt;="&amp;DATE($I$2,O$4,O$5))</f>
        <v/>
      </c>
      <c r="P780" s="322">
        <f>SUM(D780:O780)</f>
        <v/>
      </c>
    </row>
    <row r="781" hidden="1" outlineLevel="1" ht="15" customHeight="1">
      <c r="A781" s="266" t="n"/>
      <c r="B781" s="126" t="n"/>
      <c r="C781" s="119" t="inlineStr">
        <is>
          <t>Thực tế</t>
        </is>
      </c>
      <c r="D781" s="321">
        <f>SUMIFS(DATA!$M:$M,DATA!$C:$C,$B780,DATA!$N:$N,"&gt;="&amp;DATE($I$2,D$4,1),DATA!$N:$N,"&lt;="&amp;DATE($I$2,D$4,D$5))</f>
        <v/>
      </c>
      <c r="E781" s="321">
        <f>SUMIFS(DATA!$M:$M,DATA!$C:$C,$B780,DATA!$N:$N,"&gt;="&amp;DATE($I$2,E$4,1),DATA!$N:$N,"&lt;="&amp;DATE($I$2,E$4,E$5))</f>
        <v/>
      </c>
      <c r="F781" s="321">
        <f>SUMIFS(DATA!$M:$M,DATA!$C:$C,$B780,DATA!$N:$N,"&gt;="&amp;DATE($I$2,F$4,1),DATA!$N:$N,"&lt;="&amp;DATE($I$2,F$4,F$5))</f>
        <v/>
      </c>
      <c r="G781" s="321">
        <f>SUMIFS(DATA!$M:$M,DATA!$C:$C,$B780,DATA!$N:$N,"&gt;="&amp;DATE($I$2,G$4,1),DATA!$N:$N,"&lt;="&amp;DATE($I$2,G$4,G$5))</f>
        <v/>
      </c>
      <c r="H781" s="321">
        <f>SUMIFS(DATA!$M:$M,DATA!$C:$C,$B780,DATA!$N:$N,"&gt;="&amp;DATE($I$2,H$4,1),DATA!$N:$N,"&lt;="&amp;DATE($I$2,H$4,H$5))</f>
        <v/>
      </c>
      <c r="I781" s="321">
        <f>SUMIFS(DATA!$M:$M,DATA!$C:$C,$B780,DATA!$N:$N,"&gt;="&amp;DATE($I$2,I$4,1),DATA!$N:$N,"&lt;="&amp;DATE($I$2,I$4,I$5))</f>
        <v/>
      </c>
      <c r="J781" s="321">
        <f>SUMIFS(DATA!$M:$M,DATA!$C:$C,$B780,DATA!$N:$N,"&gt;="&amp;DATE($I$2,J$4,1),DATA!$N:$N,"&lt;="&amp;DATE($I$2,J$4,J$5))</f>
        <v/>
      </c>
      <c r="K781" s="321">
        <f>SUMIFS(DATA!$M:$M,DATA!$C:$C,$B780,DATA!$N:$N,"&gt;="&amp;DATE($I$2,K$4,1),DATA!$N:$N,"&lt;="&amp;DATE($I$2,K$4,K$5))</f>
        <v/>
      </c>
      <c r="L781" s="321">
        <f>SUMIFS(DATA!$M:$M,DATA!$C:$C,$B780,DATA!$N:$N,"&gt;="&amp;DATE($I$2,L$4,1),DATA!$N:$N,"&lt;="&amp;DATE($I$2,L$4,L$5))</f>
        <v/>
      </c>
      <c r="M781" s="321">
        <f>SUMIFS(DATA!$M:$M,DATA!$C:$C,$B780,DATA!$N:$N,"&gt;="&amp;DATE($I$2,M$4,1),DATA!$N:$N,"&lt;="&amp;DATE($I$2,M$4,M$5))</f>
        <v/>
      </c>
      <c r="N781" s="321">
        <f>SUMIFS(DATA!$M:$M,DATA!$C:$C,$B780,DATA!$N:$N,"&gt;="&amp;DATE($I$2,N$4,1),DATA!$N:$N,"&lt;="&amp;DATE($I$2,N$4,N$5))</f>
        <v/>
      </c>
      <c r="O781" s="321">
        <f>SUMIFS(DATA!$M:$M,DATA!$C:$C,$B780,DATA!$N:$N,"&gt;="&amp;DATE($I$2,O$4,1),DATA!$N:$N,"&lt;="&amp;DATE($I$2,O$4,O$5))</f>
        <v/>
      </c>
      <c r="P781" s="322">
        <f>SUM(D781:O781)</f>
        <v/>
      </c>
    </row>
    <row r="782" hidden="1" outlineLevel="1" ht="15" customHeight="1">
      <c r="A782" s="269" t="n">
        <v>389</v>
      </c>
      <c r="B782" s="125" t="n"/>
      <c r="C782" s="119" t="inlineStr">
        <is>
          <t>Kế hoạch</t>
        </is>
      </c>
      <c r="D782" s="321">
        <f>SUMIFS(DATA!$I:$I,DATA!$C:$C,$B782,DATA!$J:$J,"&gt;="&amp;DATE($I$2,D$4,1),DATA!$J:$J,"&lt;="&amp;DATE($I$2,D$4,D$5))</f>
        <v/>
      </c>
      <c r="E782" s="321">
        <f>SUMIFS(DATA!$I:$I,DATA!$C:$C,$B782,DATA!$J:$J,"&gt;="&amp;DATE($I$2,E$4,1),DATA!$J:$J,"&lt;="&amp;DATE($I$2,E$4,E$5))</f>
        <v/>
      </c>
      <c r="F782" s="321">
        <f>SUMIFS(DATA!$I:$I,DATA!$C:$C,$B782,DATA!$J:$J,"&gt;="&amp;DATE($I$2,F$4,1),DATA!$J:$J,"&lt;="&amp;DATE($I$2,F$4,F$5))</f>
        <v/>
      </c>
      <c r="G782" s="321">
        <f>SUMIFS(DATA!$I:$I,DATA!$C:$C,$B782,DATA!$J:$J,"&gt;="&amp;DATE($I$2,G$4,1),DATA!$J:$J,"&lt;="&amp;DATE($I$2,G$4,G$5))</f>
        <v/>
      </c>
      <c r="H782" s="321">
        <f>SUMIFS(DATA!$I:$I,DATA!$C:$C,$B782,DATA!$J:$J,"&gt;="&amp;DATE($I$2,H$4,1),DATA!$J:$J,"&lt;="&amp;DATE($I$2,H$4,H$5))</f>
        <v/>
      </c>
      <c r="I782" s="321">
        <f>SUMIFS(DATA!$I:$I,DATA!$C:$C,$B782,DATA!$J:$J,"&gt;="&amp;DATE($I$2,I$4,1),DATA!$J:$J,"&lt;="&amp;DATE($I$2,I$4,I$5))</f>
        <v/>
      </c>
      <c r="J782" s="321">
        <f>SUMIFS(DATA!$I:$I,DATA!$C:$C,$B782,DATA!$J:$J,"&gt;="&amp;DATE($I$2,J$4,1),DATA!$J:$J,"&lt;="&amp;DATE($I$2,J$4,J$5))</f>
        <v/>
      </c>
      <c r="K782" s="321">
        <f>SUMIFS(DATA!$I:$I,DATA!$C:$C,$B782,DATA!$J:$J,"&gt;="&amp;DATE($I$2,K$4,1),DATA!$J:$J,"&lt;="&amp;DATE($I$2,K$4,K$5))</f>
        <v/>
      </c>
      <c r="L782" s="321">
        <f>SUMIFS(DATA!$I:$I,DATA!$C:$C,$B782,DATA!$J:$J,"&gt;="&amp;DATE($I$2,L$4,1),DATA!$J:$J,"&lt;="&amp;DATE($I$2,L$4,L$5))</f>
        <v/>
      </c>
      <c r="M782" s="321">
        <f>SUMIFS(DATA!$I:$I,DATA!$C:$C,$B782,DATA!$J:$J,"&gt;="&amp;DATE($I$2,M$4,1),DATA!$J:$J,"&lt;="&amp;DATE($I$2,M$4,M$5))</f>
        <v/>
      </c>
      <c r="N782" s="321">
        <f>SUMIFS(DATA!$I:$I,DATA!$C:$C,$B782,DATA!$J:$J,"&gt;="&amp;DATE($I$2,N$4,1),DATA!$J:$J,"&lt;="&amp;DATE($I$2,N$4,N$5))</f>
        <v/>
      </c>
      <c r="O782" s="321">
        <f>SUMIFS(DATA!$I:$I,DATA!$C:$C,$B782,DATA!$J:$J,"&gt;="&amp;DATE($I$2,O$4,1),DATA!$J:$J,"&lt;="&amp;DATE($I$2,O$4,O$5))</f>
        <v/>
      </c>
      <c r="P782" s="322">
        <f>SUM(D782:O782)</f>
        <v/>
      </c>
    </row>
    <row r="783" hidden="1" outlineLevel="1" ht="7.5" customHeight="1">
      <c r="A783" s="266" t="n"/>
      <c r="B783" s="126" t="n"/>
      <c r="C783" s="119" t="inlineStr">
        <is>
          <t>Thực tế</t>
        </is>
      </c>
      <c r="D783" s="321">
        <f>SUMIFS(DATA!$M:$M,DATA!$C:$C,$B782,DATA!$N:$N,"&gt;="&amp;DATE($I$2,D$4,1),DATA!$N:$N,"&lt;="&amp;DATE($I$2,D$4,D$5))</f>
        <v/>
      </c>
      <c r="E783" s="321">
        <f>SUMIFS(DATA!$M:$M,DATA!$C:$C,$B782,DATA!$N:$N,"&gt;="&amp;DATE($I$2,E$4,1),DATA!$N:$N,"&lt;="&amp;DATE($I$2,E$4,E$5))</f>
        <v/>
      </c>
      <c r="F783" s="321">
        <f>SUMIFS(DATA!$M:$M,DATA!$C:$C,$B782,DATA!$N:$N,"&gt;="&amp;DATE($I$2,F$4,1),DATA!$N:$N,"&lt;="&amp;DATE($I$2,F$4,F$5))</f>
        <v/>
      </c>
      <c r="G783" s="321">
        <f>SUMIFS(DATA!$M:$M,DATA!$C:$C,$B782,DATA!$N:$N,"&gt;="&amp;DATE($I$2,G$4,1),DATA!$N:$N,"&lt;="&amp;DATE($I$2,G$4,G$5))</f>
        <v/>
      </c>
      <c r="H783" s="321">
        <f>SUMIFS(DATA!$M:$M,DATA!$C:$C,$B782,DATA!$N:$N,"&gt;="&amp;DATE($I$2,H$4,1),DATA!$N:$N,"&lt;="&amp;DATE($I$2,H$4,H$5))</f>
        <v/>
      </c>
      <c r="I783" s="321">
        <f>SUMIFS(DATA!$M:$M,DATA!$C:$C,$B782,DATA!$N:$N,"&gt;="&amp;DATE($I$2,I$4,1),DATA!$N:$N,"&lt;="&amp;DATE($I$2,I$4,I$5))</f>
        <v/>
      </c>
      <c r="J783" s="321">
        <f>SUMIFS(DATA!$M:$M,DATA!$C:$C,$B782,DATA!$N:$N,"&gt;="&amp;DATE($I$2,J$4,1),DATA!$N:$N,"&lt;="&amp;DATE($I$2,J$4,J$5))</f>
        <v/>
      </c>
      <c r="K783" s="321">
        <f>SUMIFS(DATA!$M:$M,DATA!$C:$C,$B782,DATA!$N:$N,"&gt;="&amp;DATE($I$2,K$4,1),DATA!$N:$N,"&lt;="&amp;DATE($I$2,K$4,K$5))</f>
        <v/>
      </c>
      <c r="L783" s="321">
        <f>SUMIFS(DATA!$M:$M,DATA!$C:$C,$B782,DATA!$N:$N,"&gt;="&amp;DATE($I$2,L$4,1),DATA!$N:$N,"&lt;="&amp;DATE($I$2,L$4,L$5))</f>
        <v/>
      </c>
      <c r="M783" s="321">
        <f>SUMIFS(DATA!$M:$M,DATA!$C:$C,$B782,DATA!$N:$N,"&gt;="&amp;DATE($I$2,M$4,1),DATA!$N:$N,"&lt;="&amp;DATE($I$2,M$4,M$5))</f>
        <v/>
      </c>
      <c r="N783" s="321">
        <f>SUMIFS(DATA!$M:$M,DATA!$C:$C,$B782,DATA!$N:$N,"&gt;="&amp;DATE($I$2,N$4,1),DATA!$N:$N,"&lt;="&amp;DATE($I$2,N$4,N$5))</f>
        <v/>
      </c>
      <c r="O783" s="321">
        <f>SUMIFS(DATA!$M:$M,DATA!$C:$C,$B782,DATA!$N:$N,"&gt;="&amp;DATE($I$2,O$4,1),DATA!$N:$N,"&lt;="&amp;DATE($I$2,O$4,O$5))</f>
        <v/>
      </c>
      <c r="P783" s="322">
        <f>SUM(D783:O783)</f>
        <v/>
      </c>
    </row>
    <row r="784" hidden="1" outlineLevel="1" ht="15" customHeight="1">
      <c r="A784" s="269" t="n">
        <v>390</v>
      </c>
      <c r="B784" s="125" t="n"/>
      <c r="C784" s="119" t="inlineStr">
        <is>
          <t>Kế hoạch</t>
        </is>
      </c>
      <c r="D784" s="321">
        <f>SUMIFS(DATA!$I:$I,DATA!$C:$C,$B784,DATA!$J:$J,"&gt;="&amp;DATE($I$2,D$4,1),DATA!$J:$J,"&lt;="&amp;DATE($I$2,D$4,D$5))</f>
        <v/>
      </c>
      <c r="E784" s="321">
        <f>SUMIFS(DATA!$I:$I,DATA!$C:$C,$B784,DATA!$J:$J,"&gt;="&amp;DATE($I$2,E$4,1),DATA!$J:$J,"&lt;="&amp;DATE($I$2,E$4,E$5))</f>
        <v/>
      </c>
      <c r="F784" s="321">
        <f>SUMIFS(DATA!$I:$I,DATA!$C:$C,$B784,DATA!$J:$J,"&gt;="&amp;DATE($I$2,F$4,1),DATA!$J:$J,"&lt;="&amp;DATE($I$2,F$4,F$5))</f>
        <v/>
      </c>
      <c r="G784" s="321">
        <f>SUMIFS(DATA!$I:$I,DATA!$C:$C,$B784,DATA!$J:$J,"&gt;="&amp;DATE($I$2,G$4,1),DATA!$J:$J,"&lt;="&amp;DATE($I$2,G$4,G$5))</f>
        <v/>
      </c>
      <c r="H784" s="321">
        <f>SUMIFS(DATA!$I:$I,DATA!$C:$C,$B784,DATA!$J:$J,"&gt;="&amp;DATE($I$2,H$4,1),DATA!$J:$J,"&lt;="&amp;DATE($I$2,H$4,H$5))</f>
        <v/>
      </c>
      <c r="I784" s="321">
        <f>SUMIFS(DATA!$I:$I,DATA!$C:$C,$B784,DATA!$J:$J,"&gt;="&amp;DATE($I$2,I$4,1),DATA!$J:$J,"&lt;="&amp;DATE($I$2,I$4,I$5))</f>
        <v/>
      </c>
      <c r="J784" s="321">
        <f>SUMIFS(DATA!$I:$I,DATA!$C:$C,$B784,DATA!$J:$J,"&gt;="&amp;DATE($I$2,J$4,1),DATA!$J:$J,"&lt;="&amp;DATE($I$2,J$4,J$5))</f>
        <v/>
      </c>
      <c r="K784" s="321">
        <f>SUMIFS(DATA!$I:$I,DATA!$C:$C,$B784,DATA!$J:$J,"&gt;="&amp;DATE($I$2,K$4,1),DATA!$J:$J,"&lt;="&amp;DATE($I$2,K$4,K$5))</f>
        <v/>
      </c>
      <c r="L784" s="321">
        <f>SUMIFS(DATA!$I:$I,DATA!$C:$C,$B784,DATA!$J:$J,"&gt;="&amp;DATE($I$2,L$4,1),DATA!$J:$J,"&lt;="&amp;DATE($I$2,L$4,L$5))</f>
        <v/>
      </c>
      <c r="M784" s="321">
        <f>SUMIFS(DATA!$I:$I,DATA!$C:$C,$B784,DATA!$J:$J,"&gt;="&amp;DATE($I$2,M$4,1),DATA!$J:$J,"&lt;="&amp;DATE($I$2,M$4,M$5))</f>
        <v/>
      </c>
      <c r="N784" s="321">
        <f>SUMIFS(DATA!$I:$I,DATA!$C:$C,$B784,DATA!$J:$J,"&gt;="&amp;DATE($I$2,N$4,1),DATA!$J:$J,"&lt;="&amp;DATE($I$2,N$4,N$5))</f>
        <v/>
      </c>
      <c r="O784" s="321">
        <f>SUMIFS(DATA!$I:$I,DATA!$C:$C,$B784,DATA!$J:$J,"&gt;="&amp;DATE($I$2,O$4,1),DATA!$J:$J,"&lt;="&amp;DATE($I$2,O$4,O$5))</f>
        <v/>
      </c>
      <c r="P784" s="322">
        <f>SUM(D784:O784)</f>
        <v/>
      </c>
    </row>
    <row r="785" hidden="1" outlineLevel="1" ht="15" customHeight="1">
      <c r="A785" s="266" t="n"/>
      <c r="B785" s="126" t="n"/>
      <c r="C785" s="119" t="inlineStr">
        <is>
          <t>Thực tế</t>
        </is>
      </c>
      <c r="D785" s="321">
        <f>SUMIFS(DATA!$M:$M,DATA!$C:$C,$B784,DATA!$N:$N,"&gt;="&amp;DATE($I$2,D$4,1),DATA!$N:$N,"&lt;="&amp;DATE($I$2,D$4,D$5))</f>
        <v/>
      </c>
      <c r="E785" s="321">
        <f>SUMIFS(DATA!$M:$M,DATA!$C:$C,$B784,DATA!$N:$N,"&gt;="&amp;DATE($I$2,E$4,1),DATA!$N:$N,"&lt;="&amp;DATE($I$2,E$4,E$5))</f>
        <v/>
      </c>
      <c r="F785" s="321">
        <f>SUMIFS(DATA!$M:$M,DATA!$C:$C,$B784,DATA!$N:$N,"&gt;="&amp;DATE($I$2,F$4,1),DATA!$N:$N,"&lt;="&amp;DATE($I$2,F$4,F$5))</f>
        <v/>
      </c>
      <c r="G785" s="321">
        <f>SUMIFS(DATA!$M:$M,DATA!$C:$C,$B784,DATA!$N:$N,"&gt;="&amp;DATE($I$2,G$4,1),DATA!$N:$N,"&lt;="&amp;DATE($I$2,G$4,G$5))</f>
        <v/>
      </c>
      <c r="H785" s="321">
        <f>SUMIFS(DATA!$M:$M,DATA!$C:$C,$B784,DATA!$N:$N,"&gt;="&amp;DATE($I$2,H$4,1),DATA!$N:$N,"&lt;="&amp;DATE($I$2,H$4,H$5))</f>
        <v/>
      </c>
      <c r="I785" s="321">
        <f>SUMIFS(DATA!$M:$M,DATA!$C:$C,$B784,DATA!$N:$N,"&gt;="&amp;DATE($I$2,I$4,1),DATA!$N:$N,"&lt;="&amp;DATE($I$2,I$4,I$5))</f>
        <v/>
      </c>
      <c r="J785" s="321">
        <f>SUMIFS(DATA!$M:$M,DATA!$C:$C,$B784,DATA!$N:$N,"&gt;="&amp;DATE($I$2,J$4,1),DATA!$N:$N,"&lt;="&amp;DATE($I$2,J$4,J$5))</f>
        <v/>
      </c>
      <c r="K785" s="321">
        <f>SUMIFS(DATA!$M:$M,DATA!$C:$C,$B784,DATA!$N:$N,"&gt;="&amp;DATE($I$2,K$4,1),DATA!$N:$N,"&lt;="&amp;DATE($I$2,K$4,K$5))</f>
        <v/>
      </c>
      <c r="L785" s="321">
        <f>SUMIFS(DATA!$M:$M,DATA!$C:$C,$B784,DATA!$N:$N,"&gt;="&amp;DATE($I$2,L$4,1),DATA!$N:$N,"&lt;="&amp;DATE($I$2,L$4,L$5))</f>
        <v/>
      </c>
      <c r="M785" s="321">
        <f>SUMIFS(DATA!$M:$M,DATA!$C:$C,$B784,DATA!$N:$N,"&gt;="&amp;DATE($I$2,M$4,1),DATA!$N:$N,"&lt;="&amp;DATE($I$2,M$4,M$5))</f>
        <v/>
      </c>
      <c r="N785" s="321">
        <f>SUMIFS(DATA!$M:$M,DATA!$C:$C,$B784,DATA!$N:$N,"&gt;="&amp;DATE($I$2,N$4,1),DATA!$N:$N,"&lt;="&amp;DATE($I$2,N$4,N$5))</f>
        <v/>
      </c>
      <c r="O785" s="321">
        <f>SUMIFS(DATA!$M:$M,DATA!$C:$C,$B784,DATA!$N:$N,"&gt;="&amp;DATE($I$2,O$4,1),DATA!$N:$N,"&lt;="&amp;DATE($I$2,O$4,O$5))</f>
        <v/>
      </c>
      <c r="P785" s="322">
        <f>SUM(D785:O785)</f>
        <v/>
      </c>
    </row>
    <row r="786" hidden="1" outlineLevel="1" ht="15" customHeight="1">
      <c r="A786" s="269" t="n">
        <v>391</v>
      </c>
      <c r="B786" s="125" t="n"/>
      <c r="C786" s="119" t="inlineStr">
        <is>
          <t>Kế hoạch</t>
        </is>
      </c>
      <c r="D786" s="321">
        <f>SUMIFS(DATA!$I:$I,DATA!$C:$C,$B786,DATA!$J:$J,"&gt;="&amp;DATE($I$2,D$4,1),DATA!$J:$J,"&lt;="&amp;DATE($I$2,D$4,D$5))</f>
        <v/>
      </c>
      <c r="E786" s="321">
        <f>SUMIFS(DATA!$I:$I,DATA!$C:$C,$B786,DATA!$J:$J,"&gt;="&amp;DATE($I$2,E$4,1),DATA!$J:$J,"&lt;="&amp;DATE($I$2,E$4,E$5))</f>
        <v/>
      </c>
      <c r="F786" s="321">
        <f>SUMIFS(DATA!$I:$I,DATA!$C:$C,$B786,DATA!$J:$J,"&gt;="&amp;DATE($I$2,F$4,1),DATA!$J:$J,"&lt;="&amp;DATE($I$2,F$4,F$5))</f>
        <v/>
      </c>
      <c r="G786" s="321">
        <f>SUMIFS(DATA!$I:$I,DATA!$C:$C,$B786,DATA!$J:$J,"&gt;="&amp;DATE($I$2,G$4,1),DATA!$J:$J,"&lt;="&amp;DATE($I$2,G$4,G$5))</f>
        <v/>
      </c>
      <c r="H786" s="321">
        <f>SUMIFS(DATA!$I:$I,DATA!$C:$C,$B786,DATA!$J:$J,"&gt;="&amp;DATE($I$2,H$4,1),DATA!$J:$J,"&lt;="&amp;DATE($I$2,H$4,H$5))</f>
        <v/>
      </c>
      <c r="I786" s="321">
        <f>SUMIFS(DATA!$I:$I,DATA!$C:$C,$B786,DATA!$J:$J,"&gt;="&amp;DATE($I$2,I$4,1),DATA!$J:$J,"&lt;="&amp;DATE($I$2,I$4,I$5))</f>
        <v/>
      </c>
      <c r="J786" s="321">
        <f>SUMIFS(DATA!$I:$I,DATA!$C:$C,$B786,DATA!$J:$J,"&gt;="&amp;DATE($I$2,J$4,1),DATA!$J:$J,"&lt;="&amp;DATE($I$2,J$4,J$5))</f>
        <v/>
      </c>
      <c r="K786" s="321">
        <f>SUMIFS(DATA!$I:$I,DATA!$C:$C,$B786,DATA!$J:$J,"&gt;="&amp;DATE($I$2,K$4,1),DATA!$J:$J,"&lt;="&amp;DATE($I$2,K$4,K$5))</f>
        <v/>
      </c>
      <c r="L786" s="321">
        <f>SUMIFS(DATA!$I:$I,DATA!$C:$C,$B786,DATA!$J:$J,"&gt;="&amp;DATE($I$2,L$4,1),DATA!$J:$J,"&lt;="&amp;DATE($I$2,L$4,L$5))</f>
        <v/>
      </c>
      <c r="M786" s="321">
        <f>SUMIFS(DATA!$I:$I,DATA!$C:$C,$B786,DATA!$J:$J,"&gt;="&amp;DATE($I$2,M$4,1),DATA!$J:$J,"&lt;="&amp;DATE($I$2,M$4,M$5))</f>
        <v/>
      </c>
      <c r="N786" s="321">
        <f>SUMIFS(DATA!$I:$I,DATA!$C:$C,$B786,DATA!$J:$J,"&gt;="&amp;DATE($I$2,N$4,1),DATA!$J:$J,"&lt;="&amp;DATE($I$2,N$4,N$5))</f>
        <v/>
      </c>
      <c r="O786" s="321">
        <f>SUMIFS(DATA!$I:$I,DATA!$C:$C,$B786,DATA!$J:$J,"&gt;="&amp;DATE($I$2,O$4,1),DATA!$J:$J,"&lt;="&amp;DATE($I$2,O$4,O$5))</f>
        <v/>
      </c>
      <c r="P786" s="322">
        <f>SUM(D786:O786)</f>
        <v/>
      </c>
    </row>
    <row r="787" hidden="1" outlineLevel="1" ht="15" customHeight="1">
      <c r="A787" s="266" t="n"/>
      <c r="B787" s="126" t="n"/>
      <c r="C787" s="119" t="inlineStr">
        <is>
          <t>Thực tế</t>
        </is>
      </c>
      <c r="D787" s="321">
        <f>SUMIFS(DATA!$M:$M,DATA!$C:$C,$B786,DATA!$N:$N,"&gt;="&amp;DATE($I$2,D$4,1),DATA!$N:$N,"&lt;="&amp;DATE($I$2,D$4,D$5))</f>
        <v/>
      </c>
      <c r="E787" s="321">
        <f>SUMIFS(DATA!$M:$M,DATA!$C:$C,$B786,DATA!$N:$N,"&gt;="&amp;DATE($I$2,E$4,1),DATA!$N:$N,"&lt;="&amp;DATE($I$2,E$4,E$5))</f>
        <v/>
      </c>
      <c r="F787" s="321">
        <f>SUMIFS(DATA!$M:$M,DATA!$C:$C,$B786,DATA!$N:$N,"&gt;="&amp;DATE($I$2,F$4,1),DATA!$N:$N,"&lt;="&amp;DATE($I$2,F$4,F$5))</f>
        <v/>
      </c>
      <c r="G787" s="321">
        <f>SUMIFS(DATA!$M:$M,DATA!$C:$C,$B786,DATA!$N:$N,"&gt;="&amp;DATE($I$2,G$4,1),DATA!$N:$N,"&lt;="&amp;DATE($I$2,G$4,G$5))</f>
        <v/>
      </c>
      <c r="H787" s="321">
        <f>SUMIFS(DATA!$M:$M,DATA!$C:$C,$B786,DATA!$N:$N,"&gt;="&amp;DATE($I$2,H$4,1),DATA!$N:$N,"&lt;="&amp;DATE($I$2,H$4,H$5))</f>
        <v/>
      </c>
      <c r="I787" s="321">
        <f>SUMIFS(DATA!$M:$M,DATA!$C:$C,$B786,DATA!$N:$N,"&gt;="&amp;DATE($I$2,I$4,1),DATA!$N:$N,"&lt;="&amp;DATE($I$2,I$4,I$5))</f>
        <v/>
      </c>
      <c r="J787" s="321">
        <f>SUMIFS(DATA!$M:$M,DATA!$C:$C,$B786,DATA!$N:$N,"&gt;="&amp;DATE($I$2,J$4,1),DATA!$N:$N,"&lt;="&amp;DATE($I$2,J$4,J$5))</f>
        <v/>
      </c>
      <c r="K787" s="321">
        <f>SUMIFS(DATA!$M:$M,DATA!$C:$C,$B786,DATA!$N:$N,"&gt;="&amp;DATE($I$2,K$4,1),DATA!$N:$N,"&lt;="&amp;DATE($I$2,K$4,K$5))</f>
        <v/>
      </c>
      <c r="L787" s="321">
        <f>SUMIFS(DATA!$M:$M,DATA!$C:$C,$B786,DATA!$N:$N,"&gt;="&amp;DATE($I$2,L$4,1),DATA!$N:$N,"&lt;="&amp;DATE($I$2,L$4,L$5))</f>
        <v/>
      </c>
      <c r="M787" s="321">
        <f>SUMIFS(DATA!$M:$M,DATA!$C:$C,$B786,DATA!$N:$N,"&gt;="&amp;DATE($I$2,M$4,1),DATA!$N:$N,"&lt;="&amp;DATE($I$2,M$4,M$5))</f>
        <v/>
      </c>
      <c r="N787" s="321">
        <f>SUMIFS(DATA!$M:$M,DATA!$C:$C,$B786,DATA!$N:$N,"&gt;="&amp;DATE($I$2,N$4,1),DATA!$N:$N,"&lt;="&amp;DATE($I$2,N$4,N$5))</f>
        <v/>
      </c>
      <c r="O787" s="321">
        <f>SUMIFS(DATA!$M:$M,DATA!$C:$C,$B786,DATA!$N:$N,"&gt;="&amp;DATE($I$2,O$4,1),DATA!$N:$N,"&lt;="&amp;DATE($I$2,O$4,O$5))</f>
        <v/>
      </c>
      <c r="P787" s="322">
        <f>SUM(D787:O787)</f>
        <v/>
      </c>
    </row>
    <row r="788" hidden="1" outlineLevel="1" ht="15" customHeight="1">
      <c r="A788" s="269" t="n">
        <v>392</v>
      </c>
      <c r="B788" s="125" t="n"/>
      <c r="C788" s="119" t="inlineStr">
        <is>
          <t>Kế hoạch</t>
        </is>
      </c>
      <c r="D788" s="321">
        <f>SUMIFS(DATA!$I:$I,DATA!$C:$C,$B788,DATA!$J:$J,"&gt;="&amp;DATE($I$2,D$4,1),DATA!$J:$J,"&lt;="&amp;DATE($I$2,D$4,D$5))</f>
        <v/>
      </c>
      <c r="E788" s="321">
        <f>SUMIFS(DATA!$I:$I,DATA!$C:$C,$B788,DATA!$J:$J,"&gt;="&amp;DATE($I$2,E$4,1),DATA!$J:$J,"&lt;="&amp;DATE($I$2,E$4,E$5))</f>
        <v/>
      </c>
      <c r="F788" s="321">
        <f>SUMIFS(DATA!$I:$I,DATA!$C:$C,$B788,DATA!$J:$J,"&gt;="&amp;DATE($I$2,F$4,1),DATA!$J:$J,"&lt;="&amp;DATE($I$2,F$4,F$5))</f>
        <v/>
      </c>
      <c r="G788" s="321">
        <f>SUMIFS(DATA!$I:$I,DATA!$C:$C,$B788,DATA!$J:$J,"&gt;="&amp;DATE($I$2,G$4,1),DATA!$J:$J,"&lt;="&amp;DATE($I$2,G$4,G$5))</f>
        <v/>
      </c>
      <c r="H788" s="321">
        <f>SUMIFS(DATA!$I:$I,DATA!$C:$C,$B788,DATA!$J:$J,"&gt;="&amp;DATE($I$2,H$4,1),DATA!$J:$J,"&lt;="&amp;DATE($I$2,H$4,H$5))</f>
        <v/>
      </c>
      <c r="I788" s="321">
        <f>SUMIFS(DATA!$I:$I,DATA!$C:$C,$B788,DATA!$J:$J,"&gt;="&amp;DATE($I$2,I$4,1),DATA!$J:$J,"&lt;="&amp;DATE($I$2,I$4,I$5))</f>
        <v/>
      </c>
      <c r="J788" s="321">
        <f>SUMIFS(DATA!$I:$I,DATA!$C:$C,$B788,DATA!$J:$J,"&gt;="&amp;DATE($I$2,J$4,1),DATA!$J:$J,"&lt;="&amp;DATE($I$2,J$4,J$5))</f>
        <v/>
      </c>
      <c r="K788" s="321">
        <f>SUMIFS(DATA!$I:$I,DATA!$C:$C,$B788,DATA!$J:$J,"&gt;="&amp;DATE($I$2,K$4,1),DATA!$J:$J,"&lt;="&amp;DATE($I$2,K$4,K$5))</f>
        <v/>
      </c>
      <c r="L788" s="321">
        <f>SUMIFS(DATA!$I:$I,DATA!$C:$C,$B788,DATA!$J:$J,"&gt;="&amp;DATE($I$2,L$4,1),DATA!$J:$J,"&lt;="&amp;DATE($I$2,L$4,L$5))</f>
        <v/>
      </c>
      <c r="M788" s="321">
        <f>SUMIFS(DATA!$I:$I,DATA!$C:$C,$B788,DATA!$J:$J,"&gt;="&amp;DATE($I$2,M$4,1),DATA!$J:$J,"&lt;="&amp;DATE($I$2,M$4,M$5))</f>
        <v/>
      </c>
      <c r="N788" s="321">
        <f>SUMIFS(DATA!$I:$I,DATA!$C:$C,$B788,DATA!$J:$J,"&gt;="&amp;DATE($I$2,N$4,1),DATA!$J:$J,"&lt;="&amp;DATE($I$2,N$4,N$5))</f>
        <v/>
      </c>
      <c r="O788" s="321">
        <f>SUMIFS(DATA!$I:$I,DATA!$C:$C,$B788,DATA!$J:$J,"&gt;="&amp;DATE($I$2,O$4,1),DATA!$J:$J,"&lt;="&amp;DATE($I$2,O$4,O$5))</f>
        <v/>
      </c>
      <c r="P788" s="322">
        <f>SUM(D788:O788)</f>
        <v/>
      </c>
    </row>
    <row r="789" hidden="1" outlineLevel="1" ht="15" customHeight="1">
      <c r="A789" s="266" t="n"/>
      <c r="B789" s="126" t="n"/>
      <c r="C789" s="119" t="inlineStr">
        <is>
          <t>Thực tế</t>
        </is>
      </c>
      <c r="D789" s="321">
        <f>SUMIFS(DATA!$M:$M,DATA!$C:$C,$B788,DATA!$N:$N,"&gt;="&amp;DATE($I$2,D$4,1),DATA!$N:$N,"&lt;="&amp;DATE($I$2,D$4,D$5))</f>
        <v/>
      </c>
      <c r="E789" s="321">
        <f>SUMIFS(DATA!$M:$M,DATA!$C:$C,$B788,DATA!$N:$N,"&gt;="&amp;DATE($I$2,E$4,1),DATA!$N:$N,"&lt;="&amp;DATE($I$2,E$4,E$5))</f>
        <v/>
      </c>
      <c r="F789" s="321">
        <f>SUMIFS(DATA!$M:$M,DATA!$C:$C,$B788,DATA!$N:$N,"&gt;="&amp;DATE($I$2,F$4,1),DATA!$N:$N,"&lt;="&amp;DATE($I$2,F$4,F$5))</f>
        <v/>
      </c>
      <c r="G789" s="321">
        <f>SUMIFS(DATA!$M:$M,DATA!$C:$C,$B788,DATA!$N:$N,"&gt;="&amp;DATE($I$2,G$4,1),DATA!$N:$N,"&lt;="&amp;DATE($I$2,G$4,G$5))</f>
        <v/>
      </c>
      <c r="H789" s="321">
        <f>SUMIFS(DATA!$M:$M,DATA!$C:$C,$B788,DATA!$N:$N,"&gt;="&amp;DATE($I$2,H$4,1),DATA!$N:$N,"&lt;="&amp;DATE($I$2,H$4,H$5))</f>
        <v/>
      </c>
      <c r="I789" s="321">
        <f>SUMIFS(DATA!$M:$M,DATA!$C:$C,$B788,DATA!$N:$N,"&gt;="&amp;DATE($I$2,I$4,1),DATA!$N:$N,"&lt;="&amp;DATE($I$2,I$4,I$5))</f>
        <v/>
      </c>
      <c r="J789" s="321">
        <f>SUMIFS(DATA!$M:$M,DATA!$C:$C,$B788,DATA!$N:$N,"&gt;="&amp;DATE($I$2,J$4,1),DATA!$N:$N,"&lt;="&amp;DATE($I$2,J$4,J$5))</f>
        <v/>
      </c>
      <c r="K789" s="321">
        <f>SUMIFS(DATA!$M:$M,DATA!$C:$C,$B788,DATA!$N:$N,"&gt;="&amp;DATE($I$2,K$4,1),DATA!$N:$N,"&lt;="&amp;DATE($I$2,K$4,K$5))</f>
        <v/>
      </c>
      <c r="L789" s="321">
        <f>SUMIFS(DATA!$M:$M,DATA!$C:$C,$B788,DATA!$N:$N,"&gt;="&amp;DATE($I$2,L$4,1),DATA!$N:$N,"&lt;="&amp;DATE($I$2,L$4,L$5))</f>
        <v/>
      </c>
      <c r="M789" s="321">
        <f>SUMIFS(DATA!$M:$M,DATA!$C:$C,$B788,DATA!$N:$N,"&gt;="&amp;DATE($I$2,M$4,1),DATA!$N:$N,"&lt;="&amp;DATE($I$2,M$4,M$5))</f>
        <v/>
      </c>
      <c r="N789" s="321">
        <f>SUMIFS(DATA!$M:$M,DATA!$C:$C,$B788,DATA!$N:$N,"&gt;="&amp;DATE($I$2,N$4,1),DATA!$N:$N,"&lt;="&amp;DATE($I$2,N$4,N$5))</f>
        <v/>
      </c>
      <c r="O789" s="321">
        <f>SUMIFS(DATA!$M:$M,DATA!$C:$C,$B788,DATA!$N:$N,"&gt;="&amp;DATE($I$2,O$4,1),DATA!$N:$N,"&lt;="&amp;DATE($I$2,O$4,O$5))</f>
        <v/>
      </c>
      <c r="P789" s="322">
        <f>SUM(D789:O789)</f>
        <v/>
      </c>
    </row>
    <row r="790" hidden="1" outlineLevel="1" ht="15" customHeight="1">
      <c r="A790" s="269" t="n">
        <v>393</v>
      </c>
      <c r="B790" s="125" t="n"/>
      <c r="C790" s="119" t="inlineStr">
        <is>
          <t>Kế hoạch</t>
        </is>
      </c>
      <c r="D790" s="321">
        <f>SUMIFS(DATA!$I:$I,DATA!$C:$C,$B790,DATA!$J:$J,"&gt;="&amp;DATE($I$2,D$4,1),DATA!$J:$J,"&lt;="&amp;DATE($I$2,D$4,D$5))</f>
        <v/>
      </c>
      <c r="E790" s="321">
        <f>SUMIFS(DATA!$I:$I,DATA!$C:$C,$B790,DATA!$J:$J,"&gt;="&amp;DATE($I$2,E$4,1),DATA!$J:$J,"&lt;="&amp;DATE($I$2,E$4,E$5))</f>
        <v/>
      </c>
      <c r="F790" s="321">
        <f>SUMIFS(DATA!$I:$I,DATA!$C:$C,$B790,DATA!$J:$J,"&gt;="&amp;DATE($I$2,F$4,1),DATA!$J:$J,"&lt;="&amp;DATE($I$2,F$4,F$5))</f>
        <v/>
      </c>
      <c r="G790" s="321">
        <f>SUMIFS(DATA!$I:$I,DATA!$C:$C,$B790,DATA!$J:$J,"&gt;="&amp;DATE($I$2,G$4,1),DATA!$J:$J,"&lt;="&amp;DATE($I$2,G$4,G$5))</f>
        <v/>
      </c>
      <c r="H790" s="321">
        <f>SUMIFS(DATA!$I:$I,DATA!$C:$C,$B790,DATA!$J:$J,"&gt;="&amp;DATE($I$2,H$4,1),DATA!$J:$J,"&lt;="&amp;DATE($I$2,H$4,H$5))</f>
        <v/>
      </c>
      <c r="I790" s="321">
        <f>SUMIFS(DATA!$I:$I,DATA!$C:$C,$B790,DATA!$J:$J,"&gt;="&amp;DATE($I$2,I$4,1),DATA!$J:$J,"&lt;="&amp;DATE($I$2,I$4,I$5))</f>
        <v/>
      </c>
      <c r="J790" s="321">
        <f>SUMIFS(DATA!$I:$I,DATA!$C:$C,$B790,DATA!$J:$J,"&gt;="&amp;DATE($I$2,J$4,1),DATA!$J:$J,"&lt;="&amp;DATE($I$2,J$4,J$5))</f>
        <v/>
      </c>
      <c r="K790" s="321">
        <f>SUMIFS(DATA!$I:$I,DATA!$C:$C,$B790,DATA!$J:$J,"&gt;="&amp;DATE($I$2,K$4,1),DATA!$J:$J,"&lt;="&amp;DATE($I$2,K$4,K$5))</f>
        <v/>
      </c>
      <c r="L790" s="321">
        <f>SUMIFS(DATA!$I:$I,DATA!$C:$C,$B790,DATA!$J:$J,"&gt;="&amp;DATE($I$2,L$4,1),DATA!$J:$J,"&lt;="&amp;DATE($I$2,L$4,L$5))</f>
        <v/>
      </c>
      <c r="M790" s="321">
        <f>SUMIFS(DATA!$I:$I,DATA!$C:$C,$B790,DATA!$J:$J,"&gt;="&amp;DATE($I$2,M$4,1),DATA!$J:$J,"&lt;="&amp;DATE($I$2,M$4,M$5))</f>
        <v/>
      </c>
      <c r="N790" s="321">
        <f>SUMIFS(DATA!$I:$I,DATA!$C:$C,$B790,DATA!$J:$J,"&gt;="&amp;DATE($I$2,N$4,1),DATA!$J:$J,"&lt;="&amp;DATE($I$2,N$4,N$5))</f>
        <v/>
      </c>
      <c r="O790" s="321">
        <f>SUMIFS(DATA!$I:$I,DATA!$C:$C,$B790,DATA!$J:$J,"&gt;="&amp;DATE($I$2,O$4,1),DATA!$J:$J,"&lt;="&amp;DATE($I$2,O$4,O$5))</f>
        <v/>
      </c>
      <c r="P790" s="322">
        <f>SUM(D790:O790)</f>
        <v/>
      </c>
    </row>
    <row r="791" hidden="1" outlineLevel="1" ht="15" customHeight="1">
      <c r="A791" s="266" t="n"/>
      <c r="B791" s="126" t="n"/>
      <c r="C791" s="119" t="inlineStr">
        <is>
          <t>Thực tế</t>
        </is>
      </c>
      <c r="D791" s="321">
        <f>SUMIFS(DATA!$M:$M,DATA!$C:$C,$B790,DATA!$N:$N,"&gt;="&amp;DATE($I$2,D$4,1),DATA!$N:$N,"&lt;="&amp;DATE($I$2,D$4,D$5))</f>
        <v/>
      </c>
      <c r="E791" s="321">
        <f>SUMIFS(DATA!$M:$M,DATA!$C:$C,$B790,DATA!$N:$N,"&gt;="&amp;DATE($I$2,E$4,1),DATA!$N:$N,"&lt;="&amp;DATE($I$2,E$4,E$5))</f>
        <v/>
      </c>
      <c r="F791" s="321">
        <f>SUMIFS(DATA!$M:$M,DATA!$C:$C,$B790,DATA!$N:$N,"&gt;="&amp;DATE($I$2,F$4,1),DATA!$N:$N,"&lt;="&amp;DATE($I$2,F$4,F$5))</f>
        <v/>
      </c>
      <c r="G791" s="321">
        <f>SUMIFS(DATA!$M:$M,DATA!$C:$C,$B790,DATA!$N:$N,"&gt;="&amp;DATE($I$2,G$4,1),DATA!$N:$N,"&lt;="&amp;DATE($I$2,G$4,G$5))</f>
        <v/>
      </c>
      <c r="H791" s="321">
        <f>SUMIFS(DATA!$M:$M,DATA!$C:$C,$B790,DATA!$N:$N,"&gt;="&amp;DATE($I$2,H$4,1),DATA!$N:$N,"&lt;="&amp;DATE($I$2,H$4,H$5))</f>
        <v/>
      </c>
      <c r="I791" s="321">
        <f>SUMIFS(DATA!$M:$M,DATA!$C:$C,$B790,DATA!$N:$N,"&gt;="&amp;DATE($I$2,I$4,1),DATA!$N:$N,"&lt;="&amp;DATE($I$2,I$4,I$5))</f>
        <v/>
      </c>
      <c r="J791" s="321">
        <f>SUMIFS(DATA!$M:$M,DATA!$C:$C,$B790,DATA!$N:$N,"&gt;="&amp;DATE($I$2,J$4,1),DATA!$N:$N,"&lt;="&amp;DATE($I$2,J$4,J$5))</f>
        <v/>
      </c>
      <c r="K791" s="321">
        <f>SUMIFS(DATA!$M:$M,DATA!$C:$C,$B790,DATA!$N:$N,"&gt;="&amp;DATE($I$2,K$4,1),DATA!$N:$N,"&lt;="&amp;DATE($I$2,K$4,K$5))</f>
        <v/>
      </c>
      <c r="L791" s="321">
        <f>SUMIFS(DATA!$M:$M,DATA!$C:$C,$B790,DATA!$N:$N,"&gt;="&amp;DATE($I$2,L$4,1),DATA!$N:$N,"&lt;="&amp;DATE($I$2,L$4,L$5))</f>
        <v/>
      </c>
      <c r="M791" s="321">
        <f>SUMIFS(DATA!$M:$M,DATA!$C:$C,$B790,DATA!$N:$N,"&gt;="&amp;DATE($I$2,M$4,1),DATA!$N:$N,"&lt;="&amp;DATE($I$2,M$4,M$5))</f>
        <v/>
      </c>
      <c r="N791" s="321">
        <f>SUMIFS(DATA!$M:$M,DATA!$C:$C,$B790,DATA!$N:$N,"&gt;="&amp;DATE($I$2,N$4,1),DATA!$N:$N,"&lt;="&amp;DATE($I$2,N$4,N$5))</f>
        <v/>
      </c>
      <c r="O791" s="321">
        <f>SUMIFS(DATA!$M:$M,DATA!$C:$C,$B790,DATA!$N:$N,"&gt;="&amp;DATE($I$2,O$4,1),DATA!$N:$N,"&lt;="&amp;DATE($I$2,O$4,O$5))</f>
        <v/>
      </c>
      <c r="P791" s="322">
        <f>SUM(D791:O791)</f>
        <v/>
      </c>
    </row>
    <row r="792" hidden="1" outlineLevel="1" ht="15" customHeight="1">
      <c r="A792" s="269" t="n">
        <v>394</v>
      </c>
      <c r="B792" s="125" t="n"/>
      <c r="C792" s="119" t="inlineStr">
        <is>
          <t>Kế hoạch</t>
        </is>
      </c>
      <c r="D792" s="321">
        <f>SUMIFS(DATA!$I:$I,DATA!$C:$C,$B792,DATA!$J:$J,"&gt;="&amp;DATE($I$2,D$4,1),DATA!$J:$J,"&lt;="&amp;DATE($I$2,D$4,D$5))</f>
        <v/>
      </c>
      <c r="E792" s="321">
        <f>SUMIFS(DATA!$I:$I,DATA!$C:$C,$B792,DATA!$J:$J,"&gt;="&amp;DATE($I$2,E$4,1),DATA!$J:$J,"&lt;="&amp;DATE($I$2,E$4,E$5))</f>
        <v/>
      </c>
      <c r="F792" s="321">
        <f>SUMIFS(DATA!$I:$I,DATA!$C:$C,$B792,DATA!$J:$J,"&gt;="&amp;DATE($I$2,F$4,1),DATA!$J:$J,"&lt;="&amp;DATE($I$2,F$4,F$5))</f>
        <v/>
      </c>
      <c r="G792" s="321">
        <f>SUMIFS(DATA!$I:$I,DATA!$C:$C,$B792,DATA!$J:$J,"&gt;="&amp;DATE($I$2,G$4,1),DATA!$J:$J,"&lt;="&amp;DATE($I$2,G$4,G$5))</f>
        <v/>
      </c>
      <c r="H792" s="321">
        <f>SUMIFS(DATA!$I:$I,DATA!$C:$C,$B792,DATA!$J:$J,"&gt;="&amp;DATE($I$2,H$4,1),DATA!$J:$J,"&lt;="&amp;DATE($I$2,H$4,H$5))</f>
        <v/>
      </c>
      <c r="I792" s="321">
        <f>SUMIFS(DATA!$I:$I,DATA!$C:$C,$B792,DATA!$J:$J,"&gt;="&amp;DATE($I$2,I$4,1),DATA!$J:$J,"&lt;="&amp;DATE($I$2,I$4,I$5))</f>
        <v/>
      </c>
      <c r="J792" s="321">
        <f>SUMIFS(DATA!$I:$I,DATA!$C:$C,$B792,DATA!$J:$J,"&gt;="&amp;DATE($I$2,J$4,1),DATA!$J:$J,"&lt;="&amp;DATE($I$2,J$4,J$5))</f>
        <v/>
      </c>
      <c r="K792" s="321">
        <f>SUMIFS(DATA!$I:$I,DATA!$C:$C,$B792,DATA!$J:$J,"&gt;="&amp;DATE($I$2,K$4,1),DATA!$J:$J,"&lt;="&amp;DATE($I$2,K$4,K$5))</f>
        <v/>
      </c>
      <c r="L792" s="321">
        <f>SUMIFS(DATA!$I:$I,DATA!$C:$C,$B792,DATA!$J:$J,"&gt;="&amp;DATE($I$2,L$4,1),DATA!$J:$J,"&lt;="&amp;DATE($I$2,L$4,L$5))</f>
        <v/>
      </c>
      <c r="M792" s="321">
        <f>SUMIFS(DATA!$I:$I,DATA!$C:$C,$B792,DATA!$J:$J,"&gt;="&amp;DATE($I$2,M$4,1),DATA!$J:$J,"&lt;="&amp;DATE($I$2,M$4,M$5))</f>
        <v/>
      </c>
      <c r="N792" s="321">
        <f>SUMIFS(DATA!$I:$I,DATA!$C:$C,$B792,DATA!$J:$J,"&gt;="&amp;DATE($I$2,N$4,1),DATA!$J:$J,"&lt;="&amp;DATE($I$2,N$4,N$5))</f>
        <v/>
      </c>
      <c r="O792" s="321">
        <f>SUMIFS(DATA!$I:$I,DATA!$C:$C,$B792,DATA!$J:$J,"&gt;="&amp;DATE($I$2,O$4,1),DATA!$J:$J,"&lt;="&amp;DATE($I$2,O$4,O$5))</f>
        <v/>
      </c>
      <c r="P792" s="322">
        <f>SUM(D792:O792)</f>
        <v/>
      </c>
    </row>
    <row r="793" hidden="1" outlineLevel="1" ht="15" customHeight="1">
      <c r="A793" s="266" t="n"/>
      <c r="B793" s="126" t="n"/>
      <c r="C793" s="119" t="inlineStr">
        <is>
          <t>Thực tế</t>
        </is>
      </c>
      <c r="D793" s="321">
        <f>SUMIFS(DATA!$M:$M,DATA!$C:$C,$B792,DATA!$N:$N,"&gt;="&amp;DATE($I$2,D$4,1),DATA!$N:$N,"&lt;="&amp;DATE($I$2,D$4,D$5))</f>
        <v/>
      </c>
      <c r="E793" s="321">
        <f>SUMIFS(DATA!$M:$M,DATA!$C:$C,$B792,DATA!$N:$N,"&gt;="&amp;DATE($I$2,E$4,1),DATA!$N:$N,"&lt;="&amp;DATE($I$2,E$4,E$5))</f>
        <v/>
      </c>
      <c r="F793" s="321">
        <f>SUMIFS(DATA!$M:$M,DATA!$C:$C,$B792,DATA!$N:$N,"&gt;="&amp;DATE($I$2,F$4,1),DATA!$N:$N,"&lt;="&amp;DATE($I$2,F$4,F$5))</f>
        <v/>
      </c>
      <c r="G793" s="321">
        <f>SUMIFS(DATA!$M:$M,DATA!$C:$C,$B792,DATA!$N:$N,"&gt;="&amp;DATE($I$2,G$4,1),DATA!$N:$N,"&lt;="&amp;DATE($I$2,G$4,G$5))</f>
        <v/>
      </c>
      <c r="H793" s="321">
        <f>SUMIFS(DATA!$M:$M,DATA!$C:$C,$B792,DATA!$N:$N,"&gt;="&amp;DATE($I$2,H$4,1),DATA!$N:$N,"&lt;="&amp;DATE($I$2,H$4,H$5))</f>
        <v/>
      </c>
      <c r="I793" s="321">
        <f>SUMIFS(DATA!$M:$M,DATA!$C:$C,$B792,DATA!$N:$N,"&gt;="&amp;DATE($I$2,I$4,1),DATA!$N:$N,"&lt;="&amp;DATE($I$2,I$4,I$5))</f>
        <v/>
      </c>
      <c r="J793" s="321">
        <f>SUMIFS(DATA!$M:$M,DATA!$C:$C,$B792,DATA!$N:$N,"&gt;="&amp;DATE($I$2,J$4,1),DATA!$N:$N,"&lt;="&amp;DATE($I$2,J$4,J$5))</f>
        <v/>
      </c>
      <c r="K793" s="321">
        <f>SUMIFS(DATA!$M:$M,DATA!$C:$C,$B792,DATA!$N:$N,"&gt;="&amp;DATE($I$2,K$4,1),DATA!$N:$N,"&lt;="&amp;DATE($I$2,K$4,K$5))</f>
        <v/>
      </c>
      <c r="L793" s="321">
        <f>SUMIFS(DATA!$M:$M,DATA!$C:$C,$B792,DATA!$N:$N,"&gt;="&amp;DATE($I$2,L$4,1),DATA!$N:$N,"&lt;="&amp;DATE($I$2,L$4,L$5))</f>
        <v/>
      </c>
      <c r="M793" s="321">
        <f>SUMIFS(DATA!$M:$M,DATA!$C:$C,$B792,DATA!$N:$N,"&gt;="&amp;DATE($I$2,M$4,1),DATA!$N:$N,"&lt;="&amp;DATE($I$2,M$4,M$5))</f>
        <v/>
      </c>
      <c r="N793" s="321">
        <f>SUMIFS(DATA!$M:$M,DATA!$C:$C,$B792,DATA!$N:$N,"&gt;="&amp;DATE($I$2,N$4,1),DATA!$N:$N,"&lt;="&amp;DATE($I$2,N$4,N$5))</f>
        <v/>
      </c>
      <c r="O793" s="321">
        <f>SUMIFS(DATA!$M:$M,DATA!$C:$C,$B792,DATA!$N:$N,"&gt;="&amp;DATE($I$2,O$4,1),DATA!$N:$N,"&lt;="&amp;DATE($I$2,O$4,O$5))</f>
        <v/>
      </c>
      <c r="P793" s="322">
        <f>SUM(D793:O793)</f>
        <v/>
      </c>
    </row>
    <row r="794" hidden="1" outlineLevel="1" ht="15" customHeight="1">
      <c r="A794" s="269" t="n">
        <v>395</v>
      </c>
      <c r="B794" s="125" t="n"/>
      <c r="C794" s="119" t="inlineStr">
        <is>
          <t>Kế hoạch</t>
        </is>
      </c>
      <c r="D794" s="321">
        <f>SUMIFS(DATA!$I:$I,DATA!$C:$C,$B794,DATA!$J:$J,"&gt;="&amp;DATE($I$2,D$4,1),DATA!$J:$J,"&lt;="&amp;DATE($I$2,D$4,D$5))</f>
        <v/>
      </c>
      <c r="E794" s="321">
        <f>SUMIFS(DATA!$I:$I,DATA!$C:$C,$B794,DATA!$J:$J,"&gt;="&amp;DATE($I$2,E$4,1),DATA!$J:$J,"&lt;="&amp;DATE($I$2,E$4,E$5))</f>
        <v/>
      </c>
      <c r="F794" s="321">
        <f>SUMIFS(DATA!$I:$I,DATA!$C:$C,$B794,DATA!$J:$J,"&gt;="&amp;DATE($I$2,F$4,1),DATA!$J:$J,"&lt;="&amp;DATE($I$2,F$4,F$5))</f>
        <v/>
      </c>
      <c r="G794" s="321">
        <f>SUMIFS(DATA!$I:$I,DATA!$C:$C,$B794,DATA!$J:$J,"&gt;="&amp;DATE($I$2,G$4,1),DATA!$J:$J,"&lt;="&amp;DATE($I$2,G$4,G$5))</f>
        <v/>
      </c>
      <c r="H794" s="321">
        <f>SUMIFS(DATA!$I:$I,DATA!$C:$C,$B794,DATA!$J:$J,"&gt;="&amp;DATE($I$2,H$4,1),DATA!$J:$J,"&lt;="&amp;DATE($I$2,H$4,H$5))</f>
        <v/>
      </c>
      <c r="I794" s="321">
        <f>SUMIFS(DATA!$I:$I,DATA!$C:$C,$B794,DATA!$J:$J,"&gt;="&amp;DATE($I$2,I$4,1),DATA!$J:$J,"&lt;="&amp;DATE($I$2,I$4,I$5))</f>
        <v/>
      </c>
      <c r="J794" s="321">
        <f>SUMIFS(DATA!$I:$I,DATA!$C:$C,$B794,DATA!$J:$J,"&gt;="&amp;DATE($I$2,J$4,1),DATA!$J:$J,"&lt;="&amp;DATE($I$2,J$4,J$5))</f>
        <v/>
      </c>
      <c r="K794" s="321">
        <f>SUMIFS(DATA!$I:$I,DATA!$C:$C,$B794,DATA!$J:$J,"&gt;="&amp;DATE($I$2,K$4,1),DATA!$J:$J,"&lt;="&amp;DATE($I$2,K$4,K$5))</f>
        <v/>
      </c>
      <c r="L794" s="321">
        <f>SUMIFS(DATA!$I:$I,DATA!$C:$C,$B794,DATA!$J:$J,"&gt;="&amp;DATE($I$2,L$4,1),DATA!$J:$J,"&lt;="&amp;DATE($I$2,L$4,L$5))</f>
        <v/>
      </c>
      <c r="M794" s="321">
        <f>SUMIFS(DATA!$I:$I,DATA!$C:$C,$B794,DATA!$J:$J,"&gt;="&amp;DATE($I$2,M$4,1),DATA!$J:$J,"&lt;="&amp;DATE($I$2,M$4,M$5))</f>
        <v/>
      </c>
      <c r="N794" s="321">
        <f>SUMIFS(DATA!$I:$I,DATA!$C:$C,$B794,DATA!$J:$J,"&gt;="&amp;DATE($I$2,N$4,1),DATA!$J:$J,"&lt;="&amp;DATE($I$2,N$4,N$5))</f>
        <v/>
      </c>
      <c r="O794" s="321">
        <f>SUMIFS(DATA!$I:$I,DATA!$C:$C,$B794,DATA!$J:$J,"&gt;="&amp;DATE($I$2,O$4,1),DATA!$J:$J,"&lt;="&amp;DATE($I$2,O$4,O$5))</f>
        <v/>
      </c>
      <c r="P794" s="322">
        <f>SUM(D794:O794)</f>
        <v/>
      </c>
    </row>
    <row r="795" hidden="1" outlineLevel="1" ht="15" customHeight="1">
      <c r="A795" s="266" t="n"/>
      <c r="B795" s="126" t="n"/>
      <c r="C795" s="119" t="inlineStr">
        <is>
          <t>Thực tế</t>
        </is>
      </c>
      <c r="D795" s="321">
        <f>SUMIFS(DATA!$M:$M,DATA!$C:$C,$B794,DATA!$N:$N,"&gt;="&amp;DATE($I$2,D$4,1),DATA!$N:$N,"&lt;="&amp;DATE($I$2,D$4,D$5))</f>
        <v/>
      </c>
      <c r="E795" s="321">
        <f>SUMIFS(DATA!$M:$M,DATA!$C:$C,$B794,DATA!$N:$N,"&gt;="&amp;DATE($I$2,E$4,1),DATA!$N:$N,"&lt;="&amp;DATE($I$2,E$4,E$5))</f>
        <v/>
      </c>
      <c r="F795" s="321">
        <f>SUMIFS(DATA!$M:$M,DATA!$C:$C,$B794,DATA!$N:$N,"&gt;="&amp;DATE($I$2,F$4,1),DATA!$N:$N,"&lt;="&amp;DATE($I$2,F$4,F$5))</f>
        <v/>
      </c>
      <c r="G795" s="321">
        <f>SUMIFS(DATA!$M:$M,DATA!$C:$C,$B794,DATA!$N:$N,"&gt;="&amp;DATE($I$2,G$4,1),DATA!$N:$N,"&lt;="&amp;DATE($I$2,G$4,G$5))</f>
        <v/>
      </c>
      <c r="H795" s="321">
        <f>SUMIFS(DATA!$M:$M,DATA!$C:$C,$B794,DATA!$N:$N,"&gt;="&amp;DATE($I$2,H$4,1),DATA!$N:$N,"&lt;="&amp;DATE($I$2,H$4,H$5))</f>
        <v/>
      </c>
      <c r="I795" s="321">
        <f>SUMIFS(DATA!$M:$M,DATA!$C:$C,$B794,DATA!$N:$N,"&gt;="&amp;DATE($I$2,I$4,1),DATA!$N:$N,"&lt;="&amp;DATE($I$2,I$4,I$5))</f>
        <v/>
      </c>
      <c r="J795" s="321">
        <f>SUMIFS(DATA!$M:$M,DATA!$C:$C,$B794,DATA!$N:$N,"&gt;="&amp;DATE($I$2,J$4,1),DATA!$N:$N,"&lt;="&amp;DATE($I$2,J$4,J$5))</f>
        <v/>
      </c>
      <c r="K795" s="321">
        <f>SUMIFS(DATA!$M:$M,DATA!$C:$C,$B794,DATA!$N:$N,"&gt;="&amp;DATE($I$2,K$4,1),DATA!$N:$N,"&lt;="&amp;DATE($I$2,K$4,K$5))</f>
        <v/>
      </c>
      <c r="L795" s="321">
        <f>SUMIFS(DATA!$M:$M,DATA!$C:$C,$B794,DATA!$N:$N,"&gt;="&amp;DATE($I$2,L$4,1),DATA!$N:$N,"&lt;="&amp;DATE($I$2,L$4,L$5))</f>
        <v/>
      </c>
      <c r="M795" s="321">
        <f>SUMIFS(DATA!$M:$M,DATA!$C:$C,$B794,DATA!$N:$N,"&gt;="&amp;DATE($I$2,M$4,1),DATA!$N:$N,"&lt;="&amp;DATE($I$2,M$4,M$5))</f>
        <v/>
      </c>
      <c r="N795" s="321">
        <f>SUMIFS(DATA!$M:$M,DATA!$C:$C,$B794,DATA!$N:$N,"&gt;="&amp;DATE($I$2,N$4,1),DATA!$N:$N,"&lt;="&amp;DATE($I$2,N$4,N$5))</f>
        <v/>
      </c>
      <c r="O795" s="321">
        <f>SUMIFS(DATA!$M:$M,DATA!$C:$C,$B794,DATA!$N:$N,"&gt;="&amp;DATE($I$2,O$4,1),DATA!$N:$N,"&lt;="&amp;DATE($I$2,O$4,O$5))</f>
        <v/>
      </c>
      <c r="P795" s="322">
        <f>SUM(D795:O795)</f>
        <v/>
      </c>
    </row>
    <row r="796" hidden="1" outlineLevel="1" ht="15" customHeight="1">
      <c r="A796" s="269" t="n">
        <v>396</v>
      </c>
      <c r="B796" s="125" t="n"/>
      <c r="C796" s="119" t="inlineStr">
        <is>
          <t>Kế hoạch</t>
        </is>
      </c>
      <c r="D796" s="321">
        <f>SUMIFS(DATA!$I:$I,DATA!$C:$C,$B796,DATA!$J:$J,"&gt;="&amp;DATE($I$2,D$4,1),DATA!$J:$J,"&lt;="&amp;DATE($I$2,D$4,D$5))</f>
        <v/>
      </c>
      <c r="E796" s="321">
        <f>SUMIFS(DATA!$I:$I,DATA!$C:$C,$B796,DATA!$J:$J,"&gt;="&amp;DATE($I$2,E$4,1),DATA!$J:$J,"&lt;="&amp;DATE($I$2,E$4,E$5))</f>
        <v/>
      </c>
      <c r="F796" s="321">
        <f>SUMIFS(DATA!$I:$I,DATA!$C:$C,$B796,DATA!$J:$J,"&gt;="&amp;DATE($I$2,F$4,1),DATA!$J:$J,"&lt;="&amp;DATE($I$2,F$4,F$5))</f>
        <v/>
      </c>
      <c r="G796" s="321">
        <f>SUMIFS(DATA!$I:$I,DATA!$C:$C,$B796,DATA!$J:$J,"&gt;="&amp;DATE($I$2,G$4,1),DATA!$J:$J,"&lt;="&amp;DATE($I$2,G$4,G$5))</f>
        <v/>
      </c>
      <c r="H796" s="321">
        <f>SUMIFS(DATA!$I:$I,DATA!$C:$C,$B796,DATA!$J:$J,"&gt;="&amp;DATE($I$2,H$4,1),DATA!$J:$J,"&lt;="&amp;DATE($I$2,H$4,H$5))</f>
        <v/>
      </c>
      <c r="I796" s="321">
        <f>SUMIFS(DATA!$I:$I,DATA!$C:$C,$B796,DATA!$J:$J,"&gt;="&amp;DATE($I$2,I$4,1),DATA!$J:$J,"&lt;="&amp;DATE($I$2,I$4,I$5))</f>
        <v/>
      </c>
      <c r="J796" s="321">
        <f>SUMIFS(DATA!$I:$I,DATA!$C:$C,$B796,DATA!$J:$J,"&gt;="&amp;DATE($I$2,J$4,1),DATA!$J:$J,"&lt;="&amp;DATE($I$2,J$4,J$5))</f>
        <v/>
      </c>
      <c r="K796" s="321">
        <f>SUMIFS(DATA!$I:$I,DATA!$C:$C,$B796,DATA!$J:$J,"&gt;="&amp;DATE($I$2,K$4,1),DATA!$J:$J,"&lt;="&amp;DATE($I$2,K$4,K$5))</f>
        <v/>
      </c>
      <c r="L796" s="321">
        <f>SUMIFS(DATA!$I:$I,DATA!$C:$C,$B796,DATA!$J:$J,"&gt;="&amp;DATE($I$2,L$4,1),DATA!$J:$J,"&lt;="&amp;DATE($I$2,L$4,L$5))</f>
        <v/>
      </c>
      <c r="M796" s="321">
        <f>SUMIFS(DATA!$I:$I,DATA!$C:$C,$B796,DATA!$J:$J,"&gt;="&amp;DATE($I$2,M$4,1),DATA!$J:$J,"&lt;="&amp;DATE($I$2,M$4,M$5))</f>
        <v/>
      </c>
      <c r="N796" s="321">
        <f>SUMIFS(DATA!$I:$I,DATA!$C:$C,$B796,DATA!$J:$J,"&gt;="&amp;DATE($I$2,N$4,1),DATA!$J:$J,"&lt;="&amp;DATE($I$2,N$4,N$5))</f>
        <v/>
      </c>
      <c r="O796" s="321">
        <f>SUMIFS(DATA!$I:$I,DATA!$C:$C,$B796,DATA!$J:$J,"&gt;="&amp;DATE($I$2,O$4,1),DATA!$J:$J,"&lt;="&amp;DATE($I$2,O$4,O$5))</f>
        <v/>
      </c>
      <c r="P796" s="322">
        <f>SUM(D796:O796)</f>
        <v/>
      </c>
    </row>
    <row r="797" hidden="1" outlineLevel="1" ht="15" customHeight="1">
      <c r="A797" s="266" t="n"/>
      <c r="B797" s="126" t="n"/>
      <c r="C797" s="119" t="inlineStr">
        <is>
          <t>Thực tế</t>
        </is>
      </c>
      <c r="D797" s="321">
        <f>SUMIFS(DATA!$M:$M,DATA!$C:$C,$B796,DATA!$N:$N,"&gt;="&amp;DATE($I$2,D$4,1),DATA!$N:$N,"&lt;="&amp;DATE($I$2,D$4,D$5))</f>
        <v/>
      </c>
      <c r="E797" s="321">
        <f>SUMIFS(DATA!$M:$M,DATA!$C:$C,$B796,DATA!$N:$N,"&gt;="&amp;DATE($I$2,E$4,1),DATA!$N:$N,"&lt;="&amp;DATE($I$2,E$4,E$5))</f>
        <v/>
      </c>
      <c r="F797" s="321">
        <f>SUMIFS(DATA!$M:$M,DATA!$C:$C,$B796,DATA!$N:$N,"&gt;="&amp;DATE($I$2,F$4,1),DATA!$N:$N,"&lt;="&amp;DATE($I$2,F$4,F$5))</f>
        <v/>
      </c>
      <c r="G797" s="321">
        <f>SUMIFS(DATA!$M:$M,DATA!$C:$C,$B796,DATA!$N:$N,"&gt;="&amp;DATE($I$2,G$4,1),DATA!$N:$N,"&lt;="&amp;DATE($I$2,G$4,G$5))</f>
        <v/>
      </c>
      <c r="H797" s="321">
        <f>SUMIFS(DATA!$M:$M,DATA!$C:$C,$B796,DATA!$N:$N,"&gt;="&amp;DATE($I$2,H$4,1),DATA!$N:$N,"&lt;="&amp;DATE($I$2,H$4,H$5))</f>
        <v/>
      </c>
      <c r="I797" s="321">
        <f>SUMIFS(DATA!$M:$M,DATA!$C:$C,$B796,DATA!$N:$N,"&gt;="&amp;DATE($I$2,I$4,1),DATA!$N:$N,"&lt;="&amp;DATE($I$2,I$4,I$5))</f>
        <v/>
      </c>
      <c r="J797" s="321">
        <f>SUMIFS(DATA!$M:$M,DATA!$C:$C,$B796,DATA!$N:$N,"&gt;="&amp;DATE($I$2,J$4,1),DATA!$N:$N,"&lt;="&amp;DATE($I$2,J$4,J$5))</f>
        <v/>
      </c>
      <c r="K797" s="321">
        <f>SUMIFS(DATA!$M:$M,DATA!$C:$C,$B796,DATA!$N:$N,"&gt;="&amp;DATE($I$2,K$4,1),DATA!$N:$N,"&lt;="&amp;DATE($I$2,K$4,K$5))</f>
        <v/>
      </c>
      <c r="L797" s="321">
        <f>SUMIFS(DATA!$M:$M,DATA!$C:$C,$B796,DATA!$N:$N,"&gt;="&amp;DATE($I$2,L$4,1),DATA!$N:$N,"&lt;="&amp;DATE($I$2,L$4,L$5))</f>
        <v/>
      </c>
      <c r="M797" s="321">
        <f>SUMIFS(DATA!$M:$M,DATA!$C:$C,$B796,DATA!$N:$N,"&gt;="&amp;DATE($I$2,M$4,1),DATA!$N:$N,"&lt;="&amp;DATE($I$2,M$4,M$5))</f>
        <v/>
      </c>
      <c r="N797" s="321">
        <f>SUMIFS(DATA!$M:$M,DATA!$C:$C,$B796,DATA!$N:$N,"&gt;="&amp;DATE($I$2,N$4,1),DATA!$N:$N,"&lt;="&amp;DATE($I$2,N$4,N$5))</f>
        <v/>
      </c>
      <c r="O797" s="321">
        <f>SUMIFS(DATA!$M:$M,DATA!$C:$C,$B796,DATA!$N:$N,"&gt;="&amp;DATE($I$2,O$4,1),DATA!$N:$N,"&lt;="&amp;DATE($I$2,O$4,O$5))</f>
        <v/>
      </c>
      <c r="P797" s="322">
        <f>SUM(D797:O797)</f>
        <v/>
      </c>
    </row>
    <row r="798" hidden="1" outlineLevel="1" ht="15" customHeight="1">
      <c r="A798" s="269" t="n">
        <v>397</v>
      </c>
      <c r="B798" s="125" t="n"/>
      <c r="C798" s="119" t="inlineStr">
        <is>
          <t>Kế hoạch</t>
        </is>
      </c>
      <c r="D798" s="321">
        <f>SUMIFS(DATA!$I:$I,DATA!$C:$C,$B798,DATA!$J:$J,"&gt;="&amp;DATE($I$2,D$4,1),DATA!$J:$J,"&lt;="&amp;DATE($I$2,D$4,D$5))</f>
        <v/>
      </c>
      <c r="E798" s="321">
        <f>SUMIFS(DATA!$I:$I,DATA!$C:$C,$B798,DATA!$J:$J,"&gt;="&amp;DATE($I$2,E$4,1),DATA!$J:$J,"&lt;="&amp;DATE($I$2,E$4,E$5))</f>
        <v/>
      </c>
      <c r="F798" s="321">
        <f>SUMIFS(DATA!$I:$I,DATA!$C:$C,$B798,DATA!$J:$J,"&gt;="&amp;DATE($I$2,F$4,1),DATA!$J:$J,"&lt;="&amp;DATE($I$2,F$4,F$5))</f>
        <v/>
      </c>
      <c r="G798" s="321">
        <f>SUMIFS(DATA!$I:$I,DATA!$C:$C,$B798,DATA!$J:$J,"&gt;="&amp;DATE($I$2,G$4,1),DATA!$J:$J,"&lt;="&amp;DATE($I$2,G$4,G$5))</f>
        <v/>
      </c>
      <c r="H798" s="321">
        <f>SUMIFS(DATA!$I:$I,DATA!$C:$C,$B798,DATA!$J:$J,"&gt;="&amp;DATE($I$2,H$4,1),DATA!$J:$J,"&lt;="&amp;DATE($I$2,H$4,H$5))</f>
        <v/>
      </c>
      <c r="I798" s="321">
        <f>SUMIFS(DATA!$I:$I,DATA!$C:$C,$B798,DATA!$J:$J,"&gt;="&amp;DATE($I$2,I$4,1),DATA!$J:$J,"&lt;="&amp;DATE($I$2,I$4,I$5))</f>
        <v/>
      </c>
      <c r="J798" s="321">
        <f>SUMIFS(DATA!$I:$I,DATA!$C:$C,$B798,DATA!$J:$J,"&gt;="&amp;DATE($I$2,J$4,1),DATA!$J:$J,"&lt;="&amp;DATE($I$2,J$4,J$5))</f>
        <v/>
      </c>
      <c r="K798" s="321">
        <f>SUMIFS(DATA!$I:$I,DATA!$C:$C,$B798,DATA!$J:$J,"&gt;="&amp;DATE($I$2,K$4,1),DATA!$J:$J,"&lt;="&amp;DATE($I$2,K$4,K$5))</f>
        <v/>
      </c>
      <c r="L798" s="321">
        <f>SUMIFS(DATA!$I:$I,DATA!$C:$C,$B798,DATA!$J:$J,"&gt;="&amp;DATE($I$2,L$4,1),DATA!$J:$J,"&lt;="&amp;DATE($I$2,L$4,L$5))</f>
        <v/>
      </c>
      <c r="M798" s="321">
        <f>SUMIFS(DATA!$I:$I,DATA!$C:$C,$B798,DATA!$J:$J,"&gt;="&amp;DATE($I$2,M$4,1),DATA!$J:$J,"&lt;="&amp;DATE($I$2,M$4,M$5))</f>
        <v/>
      </c>
      <c r="N798" s="321">
        <f>SUMIFS(DATA!$I:$I,DATA!$C:$C,$B798,DATA!$J:$J,"&gt;="&amp;DATE($I$2,N$4,1),DATA!$J:$J,"&lt;="&amp;DATE($I$2,N$4,N$5))</f>
        <v/>
      </c>
      <c r="O798" s="321">
        <f>SUMIFS(DATA!$I:$I,DATA!$C:$C,$B798,DATA!$J:$J,"&gt;="&amp;DATE($I$2,O$4,1),DATA!$J:$J,"&lt;="&amp;DATE($I$2,O$4,O$5))</f>
        <v/>
      </c>
      <c r="P798" s="322">
        <f>SUM(D798:O798)</f>
        <v/>
      </c>
    </row>
    <row r="799" hidden="1" outlineLevel="1" ht="15" customHeight="1">
      <c r="A799" s="266" t="n"/>
      <c r="B799" s="126" t="n"/>
      <c r="C799" s="119" t="inlineStr">
        <is>
          <t>Thực tế</t>
        </is>
      </c>
      <c r="D799" s="321">
        <f>SUMIFS(DATA!$M:$M,DATA!$C:$C,$B798,DATA!$N:$N,"&gt;="&amp;DATE($I$2,D$4,1),DATA!$N:$N,"&lt;="&amp;DATE($I$2,D$4,D$5))</f>
        <v/>
      </c>
      <c r="E799" s="321">
        <f>SUMIFS(DATA!$M:$M,DATA!$C:$C,$B798,DATA!$N:$N,"&gt;="&amp;DATE($I$2,E$4,1),DATA!$N:$N,"&lt;="&amp;DATE($I$2,E$4,E$5))</f>
        <v/>
      </c>
      <c r="F799" s="321">
        <f>SUMIFS(DATA!$M:$M,DATA!$C:$C,$B798,DATA!$N:$N,"&gt;="&amp;DATE($I$2,F$4,1),DATA!$N:$N,"&lt;="&amp;DATE($I$2,F$4,F$5))</f>
        <v/>
      </c>
      <c r="G799" s="321">
        <f>SUMIFS(DATA!$M:$M,DATA!$C:$C,$B798,DATA!$N:$N,"&gt;="&amp;DATE($I$2,G$4,1),DATA!$N:$N,"&lt;="&amp;DATE($I$2,G$4,G$5))</f>
        <v/>
      </c>
      <c r="H799" s="321">
        <f>SUMIFS(DATA!$M:$M,DATA!$C:$C,$B798,DATA!$N:$N,"&gt;="&amp;DATE($I$2,H$4,1),DATA!$N:$N,"&lt;="&amp;DATE($I$2,H$4,H$5))</f>
        <v/>
      </c>
      <c r="I799" s="321">
        <f>SUMIFS(DATA!$M:$M,DATA!$C:$C,$B798,DATA!$N:$N,"&gt;="&amp;DATE($I$2,I$4,1),DATA!$N:$N,"&lt;="&amp;DATE($I$2,I$4,I$5))</f>
        <v/>
      </c>
      <c r="J799" s="321">
        <f>SUMIFS(DATA!$M:$M,DATA!$C:$C,$B798,DATA!$N:$N,"&gt;="&amp;DATE($I$2,J$4,1),DATA!$N:$N,"&lt;="&amp;DATE($I$2,J$4,J$5))</f>
        <v/>
      </c>
      <c r="K799" s="321">
        <f>SUMIFS(DATA!$M:$M,DATA!$C:$C,$B798,DATA!$N:$N,"&gt;="&amp;DATE($I$2,K$4,1),DATA!$N:$N,"&lt;="&amp;DATE($I$2,K$4,K$5))</f>
        <v/>
      </c>
      <c r="L799" s="321">
        <f>SUMIFS(DATA!$M:$M,DATA!$C:$C,$B798,DATA!$N:$N,"&gt;="&amp;DATE($I$2,L$4,1),DATA!$N:$N,"&lt;="&amp;DATE($I$2,L$4,L$5))</f>
        <v/>
      </c>
      <c r="M799" s="321">
        <f>SUMIFS(DATA!$M:$M,DATA!$C:$C,$B798,DATA!$N:$N,"&gt;="&amp;DATE($I$2,M$4,1),DATA!$N:$N,"&lt;="&amp;DATE($I$2,M$4,M$5))</f>
        <v/>
      </c>
      <c r="N799" s="321">
        <f>SUMIFS(DATA!$M:$M,DATA!$C:$C,$B798,DATA!$N:$N,"&gt;="&amp;DATE($I$2,N$4,1),DATA!$N:$N,"&lt;="&amp;DATE($I$2,N$4,N$5))</f>
        <v/>
      </c>
      <c r="O799" s="321">
        <f>SUMIFS(DATA!$M:$M,DATA!$C:$C,$B798,DATA!$N:$N,"&gt;="&amp;DATE($I$2,O$4,1),DATA!$N:$N,"&lt;="&amp;DATE($I$2,O$4,O$5))</f>
        <v/>
      </c>
      <c r="P799" s="322">
        <f>SUM(D799:O799)</f>
        <v/>
      </c>
    </row>
    <row r="800" hidden="1" outlineLevel="1" ht="15" customHeight="1">
      <c r="A800" s="269" t="n">
        <v>398</v>
      </c>
      <c r="B800" s="125" t="n"/>
      <c r="C800" s="119" t="inlineStr">
        <is>
          <t>Kế hoạch</t>
        </is>
      </c>
      <c r="D800" s="321">
        <f>SUMIFS(DATA!$I:$I,DATA!$C:$C,$B800,DATA!$J:$J,"&gt;="&amp;DATE($I$2,D$4,1),DATA!$J:$J,"&lt;="&amp;DATE($I$2,D$4,D$5))</f>
        <v/>
      </c>
      <c r="E800" s="321">
        <f>SUMIFS(DATA!$I:$I,DATA!$C:$C,$B800,DATA!$J:$J,"&gt;="&amp;DATE($I$2,E$4,1),DATA!$J:$J,"&lt;="&amp;DATE($I$2,E$4,E$5))</f>
        <v/>
      </c>
      <c r="F800" s="321">
        <f>SUMIFS(DATA!$I:$I,DATA!$C:$C,$B800,DATA!$J:$J,"&gt;="&amp;DATE($I$2,F$4,1),DATA!$J:$J,"&lt;="&amp;DATE($I$2,F$4,F$5))</f>
        <v/>
      </c>
      <c r="G800" s="321">
        <f>SUMIFS(DATA!$I:$I,DATA!$C:$C,$B800,DATA!$J:$J,"&gt;="&amp;DATE($I$2,G$4,1),DATA!$J:$J,"&lt;="&amp;DATE($I$2,G$4,G$5))</f>
        <v/>
      </c>
      <c r="H800" s="321">
        <f>SUMIFS(DATA!$I:$I,DATA!$C:$C,$B800,DATA!$J:$J,"&gt;="&amp;DATE($I$2,H$4,1),DATA!$J:$J,"&lt;="&amp;DATE($I$2,H$4,H$5))</f>
        <v/>
      </c>
      <c r="I800" s="321">
        <f>SUMIFS(DATA!$I:$I,DATA!$C:$C,$B800,DATA!$J:$J,"&gt;="&amp;DATE($I$2,I$4,1),DATA!$J:$J,"&lt;="&amp;DATE($I$2,I$4,I$5))</f>
        <v/>
      </c>
      <c r="J800" s="321">
        <f>SUMIFS(DATA!$I:$I,DATA!$C:$C,$B800,DATA!$J:$J,"&gt;="&amp;DATE($I$2,J$4,1),DATA!$J:$J,"&lt;="&amp;DATE($I$2,J$4,J$5))</f>
        <v/>
      </c>
      <c r="K800" s="321">
        <f>SUMIFS(DATA!$I:$I,DATA!$C:$C,$B800,DATA!$J:$J,"&gt;="&amp;DATE($I$2,K$4,1),DATA!$J:$J,"&lt;="&amp;DATE($I$2,K$4,K$5))</f>
        <v/>
      </c>
      <c r="L800" s="321">
        <f>SUMIFS(DATA!$I:$I,DATA!$C:$C,$B800,DATA!$J:$J,"&gt;="&amp;DATE($I$2,L$4,1),DATA!$J:$J,"&lt;="&amp;DATE($I$2,L$4,L$5))</f>
        <v/>
      </c>
      <c r="M800" s="321">
        <f>SUMIFS(DATA!$I:$I,DATA!$C:$C,$B800,DATA!$J:$J,"&gt;="&amp;DATE($I$2,M$4,1),DATA!$J:$J,"&lt;="&amp;DATE($I$2,M$4,M$5))</f>
        <v/>
      </c>
      <c r="N800" s="321">
        <f>SUMIFS(DATA!$I:$I,DATA!$C:$C,$B800,DATA!$J:$J,"&gt;="&amp;DATE($I$2,N$4,1),DATA!$J:$J,"&lt;="&amp;DATE($I$2,N$4,N$5))</f>
        <v/>
      </c>
      <c r="O800" s="321">
        <f>SUMIFS(DATA!$I:$I,DATA!$C:$C,$B800,DATA!$J:$J,"&gt;="&amp;DATE($I$2,O$4,1),DATA!$J:$J,"&lt;="&amp;DATE($I$2,O$4,O$5))</f>
        <v/>
      </c>
      <c r="P800" s="322">
        <f>SUM(D800:O800)</f>
        <v/>
      </c>
    </row>
    <row r="801" hidden="1" outlineLevel="1" ht="15" customHeight="1">
      <c r="A801" s="266" t="n"/>
      <c r="B801" s="126" t="n"/>
      <c r="C801" s="119" t="inlineStr">
        <is>
          <t>Thực tế</t>
        </is>
      </c>
      <c r="D801" s="321">
        <f>SUMIFS(DATA!$M:$M,DATA!$C:$C,$B800,DATA!$N:$N,"&gt;="&amp;DATE($I$2,D$4,1),DATA!$N:$N,"&lt;="&amp;DATE($I$2,D$4,D$5))</f>
        <v/>
      </c>
      <c r="E801" s="321">
        <f>SUMIFS(DATA!$M:$M,DATA!$C:$C,$B800,DATA!$N:$N,"&gt;="&amp;DATE($I$2,E$4,1),DATA!$N:$N,"&lt;="&amp;DATE($I$2,E$4,E$5))</f>
        <v/>
      </c>
      <c r="F801" s="321">
        <f>SUMIFS(DATA!$M:$M,DATA!$C:$C,$B800,DATA!$N:$N,"&gt;="&amp;DATE($I$2,F$4,1),DATA!$N:$N,"&lt;="&amp;DATE($I$2,F$4,F$5))</f>
        <v/>
      </c>
      <c r="G801" s="321">
        <f>SUMIFS(DATA!$M:$M,DATA!$C:$C,$B800,DATA!$N:$N,"&gt;="&amp;DATE($I$2,G$4,1),DATA!$N:$N,"&lt;="&amp;DATE($I$2,G$4,G$5))</f>
        <v/>
      </c>
      <c r="H801" s="321">
        <f>SUMIFS(DATA!$M:$M,DATA!$C:$C,$B800,DATA!$N:$N,"&gt;="&amp;DATE($I$2,H$4,1),DATA!$N:$N,"&lt;="&amp;DATE($I$2,H$4,H$5))</f>
        <v/>
      </c>
      <c r="I801" s="321">
        <f>SUMIFS(DATA!$M:$M,DATA!$C:$C,$B800,DATA!$N:$N,"&gt;="&amp;DATE($I$2,I$4,1),DATA!$N:$N,"&lt;="&amp;DATE($I$2,I$4,I$5))</f>
        <v/>
      </c>
      <c r="J801" s="321">
        <f>SUMIFS(DATA!$M:$M,DATA!$C:$C,$B800,DATA!$N:$N,"&gt;="&amp;DATE($I$2,J$4,1),DATA!$N:$N,"&lt;="&amp;DATE($I$2,J$4,J$5))</f>
        <v/>
      </c>
      <c r="K801" s="321">
        <f>SUMIFS(DATA!$M:$M,DATA!$C:$C,$B800,DATA!$N:$N,"&gt;="&amp;DATE($I$2,K$4,1),DATA!$N:$N,"&lt;="&amp;DATE($I$2,K$4,K$5))</f>
        <v/>
      </c>
      <c r="L801" s="321">
        <f>SUMIFS(DATA!$M:$M,DATA!$C:$C,$B800,DATA!$N:$N,"&gt;="&amp;DATE($I$2,L$4,1),DATA!$N:$N,"&lt;="&amp;DATE($I$2,L$4,L$5))</f>
        <v/>
      </c>
      <c r="M801" s="321">
        <f>SUMIFS(DATA!$M:$M,DATA!$C:$C,$B800,DATA!$N:$N,"&gt;="&amp;DATE($I$2,M$4,1),DATA!$N:$N,"&lt;="&amp;DATE($I$2,M$4,M$5))</f>
        <v/>
      </c>
      <c r="N801" s="321">
        <f>SUMIFS(DATA!$M:$M,DATA!$C:$C,$B800,DATA!$N:$N,"&gt;="&amp;DATE($I$2,N$4,1),DATA!$N:$N,"&lt;="&amp;DATE($I$2,N$4,N$5))</f>
        <v/>
      </c>
      <c r="O801" s="321">
        <f>SUMIFS(DATA!$M:$M,DATA!$C:$C,$B800,DATA!$N:$N,"&gt;="&amp;DATE($I$2,O$4,1),DATA!$N:$N,"&lt;="&amp;DATE($I$2,O$4,O$5))</f>
        <v/>
      </c>
      <c r="P801" s="322">
        <f>SUM(D801:O801)</f>
        <v/>
      </c>
    </row>
    <row r="802" hidden="1" outlineLevel="1" ht="15" customHeight="1">
      <c r="A802" s="269" t="n">
        <v>399</v>
      </c>
      <c r="B802" s="125" t="n"/>
      <c r="C802" s="119" t="inlineStr">
        <is>
          <t>Kế hoạch</t>
        </is>
      </c>
      <c r="D802" s="321">
        <f>SUMIFS(DATA!$I:$I,DATA!$C:$C,$B802,DATA!$J:$J,"&gt;="&amp;DATE($I$2,D$4,1),DATA!$J:$J,"&lt;="&amp;DATE($I$2,D$4,D$5))</f>
        <v/>
      </c>
      <c r="E802" s="321">
        <f>SUMIFS(DATA!$I:$I,DATA!$C:$C,$B802,DATA!$J:$J,"&gt;="&amp;DATE($I$2,E$4,1),DATA!$J:$J,"&lt;="&amp;DATE($I$2,E$4,E$5))</f>
        <v/>
      </c>
      <c r="F802" s="321">
        <f>SUMIFS(DATA!$I:$I,DATA!$C:$C,$B802,DATA!$J:$J,"&gt;="&amp;DATE($I$2,F$4,1),DATA!$J:$J,"&lt;="&amp;DATE($I$2,F$4,F$5))</f>
        <v/>
      </c>
      <c r="G802" s="321">
        <f>SUMIFS(DATA!$I:$I,DATA!$C:$C,$B802,DATA!$J:$J,"&gt;="&amp;DATE($I$2,G$4,1),DATA!$J:$J,"&lt;="&amp;DATE($I$2,G$4,G$5))</f>
        <v/>
      </c>
      <c r="H802" s="321">
        <f>SUMIFS(DATA!$I:$I,DATA!$C:$C,$B802,DATA!$J:$J,"&gt;="&amp;DATE($I$2,H$4,1),DATA!$J:$J,"&lt;="&amp;DATE($I$2,H$4,H$5))</f>
        <v/>
      </c>
      <c r="I802" s="321">
        <f>SUMIFS(DATA!$I:$I,DATA!$C:$C,$B802,DATA!$J:$J,"&gt;="&amp;DATE($I$2,I$4,1),DATA!$J:$J,"&lt;="&amp;DATE($I$2,I$4,I$5))</f>
        <v/>
      </c>
      <c r="J802" s="321">
        <f>SUMIFS(DATA!$I:$I,DATA!$C:$C,$B802,DATA!$J:$J,"&gt;="&amp;DATE($I$2,J$4,1),DATA!$J:$J,"&lt;="&amp;DATE($I$2,J$4,J$5))</f>
        <v/>
      </c>
      <c r="K802" s="321">
        <f>SUMIFS(DATA!$I:$I,DATA!$C:$C,$B802,DATA!$J:$J,"&gt;="&amp;DATE($I$2,K$4,1),DATA!$J:$J,"&lt;="&amp;DATE($I$2,K$4,K$5))</f>
        <v/>
      </c>
      <c r="L802" s="321">
        <f>SUMIFS(DATA!$I:$I,DATA!$C:$C,$B802,DATA!$J:$J,"&gt;="&amp;DATE($I$2,L$4,1),DATA!$J:$J,"&lt;="&amp;DATE($I$2,L$4,L$5))</f>
        <v/>
      </c>
      <c r="M802" s="321">
        <f>SUMIFS(DATA!$I:$I,DATA!$C:$C,$B802,DATA!$J:$J,"&gt;="&amp;DATE($I$2,M$4,1),DATA!$J:$J,"&lt;="&amp;DATE($I$2,M$4,M$5))</f>
        <v/>
      </c>
      <c r="N802" s="321">
        <f>SUMIFS(DATA!$I:$I,DATA!$C:$C,$B802,DATA!$J:$J,"&gt;="&amp;DATE($I$2,N$4,1),DATA!$J:$J,"&lt;="&amp;DATE($I$2,N$4,N$5))</f>
        <v/>
      </c>
      <c r="O802" s="321">
        <f>SUMIFS(DATA!$I:$I,DATA!$C:$C,$B802,DATA!$J:$J,"&gt;="&amp;DATE($I$2,O$4,1),DATA!$J:$J,"&lt;="&amp;DATE($I$2,O$4,O$5))</f>
        <v/>
      </c>
      <c r="P802" s="322">
        <f>SUM(D802:O802)</f>
        <v/>
      </c>
    </row>
    <row r="803" hidden="1" outlineLevel="1" ht="15" customHeight="1">
      <c r="A803" s="266" t="n"/>
      <c r="B803" s="126" t="n"/>
      <c r="C803" s="119" t="inlineStr">
        <is>
          <t>Thực tế</t>
        </is>
      </c>
      <c r="D803" s="321">
        <f>SUMIFS(DATA!$M:$M,DATA!$C:$C,$B802,DATA!$N:$N,"&gt;="&amp;DATE($I$2,D$4,1),DATA!$N:$N,"&lt;="&amp;DATE($I$2,D$4,D$5))</f>
        <v/>
      </c>
      <c r="E803" s="321">
        <f>SUMIFS(DATA!$M:$M,DATA!$C:$C,$B802,DATA!$N:$N,"&gt;="&amp;DATE($I$2,E$4,1),DATA!$N:$N,"&lt;="&amp;DATE($I$2,E$4,E$5))</f>
        <v/>
      </c>
      <c r="F803" s="321">
        <f>SUMIFS(DATA!$M:$M,DATA!$C:$C,$B802,DATA!$N:$N,"&gt;="&amp;DATE($I$2,F$4,1),DATA!$N:$N,"&lt;="&amp;DATE($I$2,F$4,F$5))</f>
        <v/>
      </c>
      <c r="G803" s="321">
        <f>SUMIFS(DATA!$M:$M,DATA!$C:$C,$B802,DATA!$N:$N,"&gt;="&amp;DATE($I$2,G$4,1),DATA!$N:$N,"&lt;="&amp;DATE($I$2,G$4,G$5))</f>
        <v/>
      </c>
      <c r="H803" s="321">
        <f>SUMIFS(DATA!$M:$M,DATA!$C:$C,$B802,DATA!$N:$N,"&gt;="&amp;DATE($I$2,H$4,1),DATA!$N:$N,"&lt;="&amp;DATE($I$2,H$4,H$5))</f>
        <v/>
      </c>
      <c r="I803" s="321">
        <f>SUMIFS(DATA!$M:$M,DATA!$C:$C,$B802,DATA!$N:$N,"&gt;="&amp;DATE($I$2,I$4,1),DATA!$N:$N,"&lt;="&amp;DATE($I$2,I$4,I$5))</f>
        <v/>
      </c>
      <c r="J803" s="321">
        <f>SUMIFS(DATA!$M:$M,DATA!$C:$C,$B802,DATA!$N:$N,"&gt;="&amp;DATE($I$2,J$4,1),DATA!$N:$N,"&lt;="&amp;DATE($I$2,J$4,J$5))</f>
        <v/>
      </c>
      <c r="K803" s="321">
        <f>SUMIFS(DATA!$M:$M,DATA!$C:$C,$B802,DATA!$N:$N,"&gt;="&amp;DATE($I$2,K$4,1),DATA!$N:$N,"&lt;="&amp;DATE($I$2,K$4,K$5))</f>
        <v/>
      </c>
      <c r="L803" s="321">
        <f>SUMIFS(DATA!$M:$M,DATA!$C:$C,$B802,DATA!$N:$N,"&gt;="&amp;DATE($I$2,L$4,1),DATA!$N:$N,"&lt;="&amp;DATE($I$2,L$4,L$5))</f>
        <v/>
      </c>
      <c r="M803" s="321">
        <f>SUMIFS(DATA!$M:$M,DATA!$C:$C,$B802,DATA!$N:$N,"&gt;="&amp;DATE($I$2,M$4,1),DATA!$N:$N,"&lt;="&amp;DATE($I$2,M$4,M$5))</f>
        <v/>
      </c>
      <c r="N803" s="321">
        <f>SUMIFS(DATA!$M:$M,DATA!$C:$C,$B802,DATA!$N:$N,"&gt;="&amp;DATE($I$2,N$4,1),DATA!$N:$N,"&lt;="&amp;DATE($I$2,N$4,N$5))</f>
        <v/>
      </c>
      <c r="O803" s="321">
        <f>SUMIFS(DATA!$M:$M,DATA!$C:$C,$B802,DATA!$N:$N,"&gt;="&amp;DATE($I$2,O$4,1),DATA!$N:$N,"&lt;="&amp;DATE($I$2,O$4,O$5))</f>
        <v/>
      </c>
      <c r="P803" s="322">
        <f>SUM(D803:O803)</f>
        <v/>
      </c>
    </row>
    <row r="804" hidden="1" outlineLevel="1" ht="15" customHeight="1">
      <c r="A804" s="269" t="n">
        <v>400</v>
      </c>
      <c r="B804" s="125" t="n"/>
      <c r="C804" s="119" t="inlineStr">
        <is>
          <t>Kế hoạch</t>
        </is>
      </c>
      <c r="D804" s="321">
        <f>SUMIFS(DATA!$I:$I,DATA!$C:$C,$B804,DATA!$J:$J,"&gt;="&amp;DATE($I$2,D$4,1),DATA!$J:$J,"&lt;="&amp;DATE($I$2,D$4,D$5))</f>
        <v/>
      </c>
      <c r="E804" s="321">
        <f>SUMIFS(DATA!$I:$I,DATA!$C:$C,$B804,DATA!$J:$J,"&gt;="&amp;DATE($I$2,E$4,1),DATA!$J:$J,"&lt;="&amp;DATE($I$2,E$4,E$5))</f>
        <v/>
      </c>
      <c r="F804" s="321">
        <f>SUMIFS(DATA!$I:$I,DATA!$C:$C,$B804,DATA!$J:$J,"&gt;="&amp;DATE($I$2,F$4,1),DATA!$J:$J,"&lt;="&amp;DATE($I$2,F$4,F$5))</f>
        <v/>
      </c>
      <c r="G804" s="321">
        <f>SUMIFS(DATA!$I:$I,DATA!$C:$C,$B804,DATA!$J:$J,"&gt;="&amp;DATE($I$2,G$4,1),DATA!$J:$J,"&lt;="&amp;DATE($I$2,G$4,G$5))</f>
        <v/>
      </c>
      <c r="H804" s="321">
        <f>SUMIFS(DATA!$I:$I,DATA!$C:$C,$B804,DATA!$J:$J,"&gt;="&amp;DATE($I$2,H$4,1),DATA!$J:$J,"&lt;="&amp;DATE($I$2,H$4,H$5))</f>
        <v/>
      </c>
      <c r="I804" s="321">
        <f>SUMIFS(DATA!$I:$I,DATA!$C:$C,$B804,DATA!$J:$J,"&gt;="&amp;DATE($I$2,I$4,1),DATA!$J:$J,"&lt;="&amp;DATE($I$2,I$4,I$5))</f>
        <v/>
      </c>
      <c r="J804" s="321">
        <f>SUMIFS(DATA!$I:$I,DATA!$C:$C,$B804,DATA!$J:$J,"&gt;="&amp;DATE($I$2,J$4,1),DATA!$J:$J,"&lt;="&amp;DATE($I$2,J$4,J$5))</f>
        <v/>
      </c>
      <c r="K804" s="321">
        <f>SUMIFS(DATA!$I:$I,DATA!$C:$C,$B804,DATA!$J:$J,"&gt;="&amp;DATE($I$2,K$4,1),DATA!$J:$J,"&lt;="&amp;DATE($I$2,K$4,K$5))</f>
        <v/>
      </c>
      <c r="L804" s="321">
        <f>SUMIFS(DATA!$I:$I,DATA!$C:$C,$B804,DATA!$J:$J,"&gt;="&amp;DATE($I$2,L$4,1),DATA!$J:$J,"&lt;="&amp;DATE($I$2,L$4,L$5))</f>
        <v/>
      </c>
      <c r="M804" s="321">
        <f>SUMIFS(DATA!$I:$I,DATA!$C:$C,$B804,DATA!$J:$J,"&gt;="&amp;DATE($I$2,M$4,1),DATA!$J:$J,"&lt;="&amp;DATE($I$2,M$4,M$5))</f>
        <v/>
      </c>
      <c r="N804" s="321">
        <f>SUMIFS(DATA!$I:$I,DATA!$C:$C,$B804,DATA!$J:$J,"&gt;="&amp;DATE($I$2,N$4,1),DATA!$J:$J,"&lt;="&amp;DATE($I$2,N$4,N$5))</f>
        <v/>
      </c>
      <c r="O804" s="321">
        <f>SUMIFS(DATA!$I:$I,DATA!$C:$C,$B804,DATA!$J:$J,"&gt;="&amp;DATE($I$2,O$4,1),DATA!$J:$J,"&lt;="&amp;DATE($I$2,O$4,O$5))</f>
        <v/>
      </c>
      <c r="P804" s="322">
        <f>SUM(D804:O804)</f>
        <v/>
      </c>
    </row>
    <row r="805" hidden="1" outlineLevel="1" ht="15" customHeight="1">
      <c r="A805" s="266" t="n"/>
      <c r="B805" s="126" t="n"/>
      <c r="C805" s="119" t="inlineStr">
        <is>
          <t>Thực tế</t>
        </is>
      </c>
      <c r="D805" s="321">
        <f>SUMIFS(DATA!$M:$M,DATA!$C:$C,$B804,DATA!$N:$N,"&gt;="&amp;DATE($I$2,D$4,1),DATA!$N:$N,"&lt;="&amp;DATE($I$2,D$4,D$5))</f>
        <v/>
      </c>
      <c r="E805" s="321">
        <f>SUMIFS(DATA!$M:$M,DATA!$C:$C,$B804,DATA!$N:$N,"&gt;="&amp;DATE($I$2,E$4,1),DATA!$N:$N,"&lt;="&amp;DATE($I$2,E$4,E$5))</f>
        <v/>
      </c>
      <c r="F805" s="321">
        <f>SUMIFS(DATA!$M:$M,DATA!$C:$C,$B804,DATA!$N:$N,"&gt;="&amp;DATE($I$2,F$4,1),DATA!$N:$N,"&lt;="&amp;DATE($I$2,F$4,F$5))</f>
        <v/>
      </c>
      <c r="G805" s="321">
        <f>SUMIFS(DATA!$M:$M,DATA!$C:$C,$B804,DATA!$N:$N,"&gt;="&amp;DATE($I$2,G$4,1),DATA!$N:$N,"&lt;="&amp;DATE($I$2,G$4,G$5))</f>
        <v/>
      </c>
      <c r="H805" s="321">
        <f>SUMIFS(DATA!$M:$M,DATA!$C:$C,$B804,DATA!$N:$N,"&gt;="&amp;DATE($I$2,H$4,1),DATA!$N:$N,"&lt;="&amp;DATE($I$2,H$4,H$5))</f>
        <v/>
      </c>
      <c r="I805" s="321">
        <f>SUMIFS(DATA!$M:$M,DATA!$C:$C,$B804,DATA!$N:$N,"&gt;="&amp;DATE($I$2,I$4,1),DATA!$N:$N,"&lt;="&amp;DATE($I$2,I$4,I$5))</f>
        <v/>
      </c>
      <c r="J805" s="321">
        <f>SUMIFS(DATA!$M:$M,DATA!$C:$C,$B804,DATA!$N:$N,"&gt;="&amp;DATE($I$2,J$4,1),DATA!$N:$N,"&lt;="&amp;DATE($I$2,J$4,J$5))</f>
        <v/>
      </c>
      <c r="K805" s="321">
        <f>SUMIFS(DATA!$M:$M,DATA!$C:$C,$B804,DATA!$N:$N,"&gt;="&amp;DATE($I$2,K$4,1),DATA!$N:$N,"&lt;="&amp;DATE($I$2,K$4,K$5))</f>
        <v/>
      </c>
      <c r="L805" s="321">
        <f>SUMIFS(DATA!$M:$M,DATA!$C:$C,$B804,DATA!$N:$N,"&gt;="&amp;DATE($I$2,L$4,1),DATA!$N:$N,"&lt;="&amp;DATE($I$2,L$4,L$5))</f>
        <v/>
      </c>
      <c r="M805" s="321">
        <f>SUMIFS(DATA!$M:$M,DATA!$C:$C,$B804,DATA!$N:$N,"&gt;="&amp;DATE($I$2,M$4,1),DATA!$N:$N,"&lt;="&amp;DATE($I$2,M$4,M$5))</f>
        <v/>
      </c>
      <c r="N805" s="321">
        <f>SUMIFS(DATA!$M:$M,DATA!$C:$C,$B804,DATA!$N:$N,"&gt;="&amp;DATE($I$2,N$4,1),DATA!$N:$N,"&lt;="&amp;DATE($I$2,N$4,N$5))</f>
        <v/>
      </c>
      <c r="O805" s="321">
        <f>SUMIFS(DATA!$M:$M,DATA!$C:$C,$B804,DATA!$N:$N,"&gt;="&amp;DATE($I$2,O$4,1),DATA!$N:$N,"&lt;="&amp;DATE($I$2,O$4,O$5))</f>
        <v/>
      </c>
      <c r="P805" s="322">
        <f>SUM(D805:O805)</f>
        <v/>
      </c>
    </row>
    <row r="806" hidden="1" outlineLevel="1" ht="15" customHeight="1">
      <c r="A806" s="269" t="n">
        <v>401</v>
      </c>
      <c r="B806" s="125" t="n"/>
      <c r="C806" s="119" t="inlineStr">
        <is>
          <t>Kế hoạch</t>
        </is>
      </c>
      <c r="D806" s="321">
        <f>SUMIFS(DATA!$I:$I,DATA!$C:$C,$B806,DATA!$J:$J,"&gt;="&amp;DATE($I$2,D$4,1),DATA!$J:$J,"&lt;="&amp;DATE($I$2,D$4,D$5))</f>
        <v/>
      </c>
      <c r="E806" s="321">
        <f>SUMIFS(DATA!$I:$I,DATA!$C:$C,$B806,DATA!$J:$J,"&gt;="&amp;DATE($I$2,E$4,1),DATA!$J:$J,"&lt;="&amp;DATE($I$2,E$4,E$5))</f>
        <v/>
      </c>
      <c r="F806" s="321">
        <f>SUMIFS(DATA!$I:$I,DATA!$C:$C,$B806,DATA!$J:$J,"&gt;="&amp;DATE($I$2,F$4,1),DATA!$J:$J,"&lt;="&amp;DATE($I$2,F$4,F$5))</f>
        <v/>
      </c>
      <c r="G806" s="321">
        <f>SUMIFS(DATA!$I:$I,DATA!$C:$C,$B806,DATA!$J:$J,"&gt;="&amp;DATE($I$2,G$4,1),DATA!$J:$J,"&lt;="&amp;DATE($I$2,G$4,G$5))</f>
        <v/>
      </c>
      <c r="H806" s="321">
        <f>SUMIFS(DATA!$I:$I,DATA!$C:$C,$B806,DATA!$J:$J,"&gt;="&amp;DATE($I$2,H$4,1),DATA!$J:$J,"&lt;="&amp;DATE($I$2,H$4,H$5))</f>
        <v/>
      </c>
      <c r="I806" s="321">
        <f>SUMIFS(DATA!$I:$I,DATA!$C:$C,$B806,DATA!$J:$J,"&gt;="&amp;DATE($I$2,I$4,1),DATA!$J:$J,"&lt;="&amp;DATE($I$2,I$4,I$5))</f>
        <v/>
      </c>
      <c r="J806" s="321">
        <f>SUMIFS(DATA!$I:$I,DATA!$C:$C,$B806,DATA!$J:$J,"&gt;="&amp;DATE($I$2,J$4,1),DATA!$J:$J,"&lt;="&amp;DATE($I$2,J$4,J$5))</f>
        <v/>
      </c>
      <c r="K806" s="321">
        <f>SUMIFS(DATA!$I:$I,DATA!$C:$C,$B806,DATA!$J:$J,"&gt;="&amp;DATE($I$2,K$4,1),DATA!$J:$J,"&lt;="&amp;DATE($I$2,K$4,K$5))</f>
        <v/>
      </c>
      <c r="L806" s="321">
        <f>SUMIFS(DATA!$I:$I,DATA!$C:$C,$B806,DATA!$J:$J,"&gt;="&amp;DATE($I$2,L$4,1),DATA!$J:$J,"&lt;="&amp;DATE($I$2,L$4,L$5))</f>
        <v/>
      </c>
      <c r="M806" s="321">
        <f>SUMIFS(DATA!$I:$I,DATA!$C:$C,$B806,DATA!$J:$J,"&gt;="&amp;DATE($I$2,M$4,1),DATA!$J:$J,"&lt;="&amp;DATE($I$2,M$4,M$5))</f>
        <v/>
      </c>
      <c r="N806" s="321">
        <f>SUMIFS(DATA!$I:$I,DATA!$C:$C,$B806,DATA!$J:$J,"&gt;="&amp;DATE($I$2,N$4,1),DATA!$J:$J,"&lt;="&amp;DATE($I$2,N$4,N$5))</f>
        <v/>
      </c>
      <c r="O806" s="321">
        <f>SUMIFS(DATA!$I:$I,DATA!$C:$C,$B806,DATA!$J:$J,"&gt;="&amp;DATE($I$2,O$4,1),DATA!$J:$J,"&lt;="&amp;DATE($I$2,O$4,O$5))</f>
        <v/>
      </c>
      <c r="P806" s="322">
        <f>SUM(D806:O806)</f>
        <v/>
      </c>
    </row>
    <row r="807" hidden="1" outlineLevel="1" ht="15" customHeight="1">
      <c r="A807" s="266" t="n"/>
      <c r="B807" s="126" t="n"/>
      <c r="C807" s="119" t="inlineStr">
        <is>
          <t>Thực tế</t>
        </is>
      </c>
      <c r="D807" s="321">
        <f>SUMIFS(DATA!$M:$M,DATA!$C:$C,$B806,DATA!$N:$N,"&gt;="&amp;DATE($I$2,D$4,1),DATA!$N:$N,"&lt;="&amp;DATE($I$2,D$4,D$5))</f>
        <v/>
      </c>
      <c r="E807" s="321">
        <f>SUMIFS(DATA!$M:$M,DATA!$C:$C,$B806,DATA!$N:$N,"&gt;="&amp;DATE($I$2,E$4,1),DATA!$N:$N,"&lt;="&amp;DATE($I$2,E$4,E$5))</f>
        <v/>
      </c>
      <c r="F807" s="321">
        <f>SUMIFS(DATA!$M:$M,DATA!$C:$C,$B806,DATA!$N:$N,"&gt;="&amp;DATE($I$2,F$4,1),DATA!$N:$N,"&lt;="&amp;DATE($I$2,F$4,F$5))</f>
        <v/>
      </c>
      <c r="G807" s="321">
        <f>SUMIFS(DATA!$M:$M,DATA!$C:$C,$B806,DATA!$N:$N,"&gt;="&amp;DATE($I$2,G$4,1),DATA!$N:$N,"&lt;="&amp;DATE($I$2,G$4,G$5))</f>
        <v/>
      </c>
      <c r="H807" s="321">
        <f>SUMIFS(DATA!$M:$M,DATA!$C:$C,$B806,DATA!$N:$N,"&gt;="&amp;DATE($I$2,H$4,1),DATA!$N:$N,"&lt;="&amp;DATE($I$2,H$4,H$5))</f>
        <v/>
      </c>
      <c r="I807" s="321">
        <f>SUMIFS(DATA!$M:$M,DATA!$C:$C,$B806,DATA!$N:$N,"&gt;="&amp;DATE($I$2,I$4,1),DATA!$N:$N,"&lt;="&amp;DATE($I$2,I$4,I$5))</f>
        <v/>
      </c>
      <c r="J807" s="321">
        <f>SUMIFS(DATA!$M:$M,DATA!$C:$C,$B806,DATA!$N:$N,"&gt;="&amp;DATE($I$2,J$4,1),DATA!$N:$N,"&lt;="&amp;DATE($I$2,J$4,J$5))</f>
        <v/>
      </c>
      <c r="K807" s="321">
        <f>SUMIFS(DATA!$M:$M,DATA!$C:$C,$B806,DATA!$N:$N,"&gt;="&amp;DATE($I$2,K$4,1),DATA!$N:$N,"&lt;="&amp;DATE($I$2,K$4,K$5))</f>
        <v/>
      </c>
      <c r="L807" s="321">
        <f>SUMIFS(DATA!$M:$M,DATA!$C:$C,$B806,DATA!$N:$N,"&gt;="&amp;DATE($I$2,L$4,1),DATA!$N:$N,"&lt;="&amp;DATE($I$2,L$4,L$5))</f>
        <v/>
      </c>
      <c r="M807" s="321">
        <f>SUMIFS(DATA!$M:$M,DATA!$C:$C,$B806,DATA!$N:$N,"&gt;="&amp;DATE($I$2,M$4,1),DATA!$N:$N,"&lt;="&amp;DATE($I$2,M$4,M$5))</f>
        <v/>
      </c>
      <c r="N807" s="321">
        <f>SUMIFS(DATA!$M:$M,DATA!$C:$C,$B806,DATA!$N:$N,"&gt;="&amp;DATE($I$2,N$4,1),DATA!$N:$N,"&lt;="&amp;DATE($I$2,N$4,N$5))</f>
        <v/>
      </c>
      <c r="O807" s="321">
        <f>SUMIFS(DATA!$M:$M,DATA!$C:$C,$B806,DATA!$N:$N,"&gt;="&amp;DATE($I$2,O$4,1),DATA!$N:$N,"&lt;="&amp;DATE($I$2,O$4,O$5))</f>
        <v/>
      </c>
      <c r="P807" s="322">
        <f>SUM(D807:O807)</f>
        <v/>
      </c>
    </row>
    <row r="808" hidden="1" outlineLevel="1" ht="15" customHeight="1">
      <c r="A808" s="269" t="n">
        <v>402</v>
      </c>
      <c r="B808" s="125" t="n"/>
      <c r="C808" s="119" t="inlineStr">
        <is>
          <t>Kế hoạch</t>
        </is>
      </c>
      <c r="D808" s="321">
        <f>SUMIFS(DATA!$I:$I,DATA!$C:$C,$B808,DATA!$J:$J,"&gt;="&amp;DATE($I$2,D$4,1),DATA!$J:$J,"&lt;="&amp;DATE($I$2,D$4,D$5))</f>
        <v/>
      </c>
      <c r="E808" s="321">
        <f>SUMIFS(DATA!$I:$I,DATA!$C:$C,$B808,DATA!$J:$J,"&gt;="&amp;DATE($I$2,E$4,1),DATA!$J:$J,"&lt;="&amp;DATE($I$2,E$4,E$5))</f>
        <v/>
      </c>
      <c r="F808" s="321">
        <f>SUMIFS(DATA!$I:$I,DATA!$C:$C,$B808,DATA!$J:$J,"&gt;="&amp;DATE($I$2,F$4,1),DATA!$J:$J,"&lt;="&amp;DATE($I$2,F$4,F$5))</f>
        <v/>
      </c>
      <c r="G808" s="321">
        <f>SUMIFS(DATA!$I:$I,DATA!$C:$C,$B808,DATA!$J:$J,"&gt;="&amp;DATE($I$2,G$4,1),DATA!$J:$J,"&lt;="&amp;DATE($I$2,G$4,G$5))</f>
        <v/>
      </c>
      <c r="H808" s="321">
        <f>SUMIFS(DATA!$I:$I,DATA!$C:$C,$B808,DATA!$J:$J,"&gt;="&amp;DATE($I$2,H$4,1),DATA!$J:$J,"&lt;="&amp;DATE($I$2,H$4,H$5))</f>
        <v/>
      </c>
      <c r="I808" s="321">
        <f>SUMIFS(DATA!$I:$I,DATA!$C:$C,$B808,DATA!$J:$J,"&gt;="&amp;DATE($I$2,I$4,1),DATA!$J:$J,"&lt;="&amp;DATE($I$2,I$4,I$5))</f>
        <v/>
      </c>
      <c r="J808" s="321">
        <f>SUMIFS(DATA!$I:$I,DATA!$C:$C,$B808,DATA!$J:$J,"&gt;="&amp;DATE($I$2,J$4,1),DATA!$J:$J,"&lt;="&amp;DATE($I$2,J$4,J$5))</f>
        <v/>
      </c>
      <c r="K808" s="321">
        <f>SUMIFS(DATA!$I:$I,DATA!$C:$C,$B808,DATA!$J:$J,"&gt;="&amp;DATE($I$2,K$4,1),DATA!$J:$J,"&lt;="&amp;DATE($I$2,K$4,K$5))</f>
        <v/>
      </c>
      <c r="L808" s="321">
        <f>SUMIFS(DATA!$I:$I,DATA!$C:$C,$B808,DATA!$J:$J,"&gt;="&amp;DATE($I$2,L$4,1),DATA!$J:$J,"&lt;="&amp;DATE($I$2,L$4,L$5))</f>
        <v/>
      </c>
      <c r="M808" s="321">
        <f>SUMIFS(DATA!$I:$I,DATA!$C:$C,$B808,DATA!$J:$J,"&gt;="&amp;DATE($I$2,M$4,1),DATA!$J:$J,"&lt;="&amp;DATE($I$2,M$4,M$5))</f>
        <v/>
      </c>
      <c r="N808" s="321">
        <f>SUMIFS(DATA!$I:$I,DATA!$C:$C,$B808,DATA!$J:$J,"&gt;="&amp;DATE($I$2,N$4,1),DATA!$J:$J,"&lt;="&amp;DATE($I$2,N$4,N$5))</f>
        <v/>
      </c>
      <c r="O808" s="321">
        <f>SUMIFS(DATA!$I:$I,DATA!$C:$C,$B808,DATA!$J:$J,"&gt;="&amp;DATE($I$2,O$4,1),DATA!$J:$J,"&lt;="&amp;DATE($I$2,O$4,O$5))</f>
        <v/>
      </c>
      <c r="P808" s="322">
        <f>SUM(D808:O808)</f>
        <v/>
      </c>
    </row>
    <row r="809" hidden="1" outlineLevel="1" ht="15" customHeight="1">
      <c r="A809" s="266" t="n"/>
      <c r="B809" s="126" t="n"/>
      <c r="C809" s="119" t="inlineStr">
        <is>
          <t>Thực tế</t>
        </is>
      </c>
      <c r="D809" s="321">
        <f>SUMIFS(DATA!$M:$M,DATA!$C:$C,$B808,DATA!$N:$N,"&gt;="&amp;DATE($I$2,D$4,1),DATA!$N:$N,"&lt;="&amp;DATE($I$2,D$4,D$5))</f>
        <v/>
      </c>
      <c r="E809" s="321">
        <f>SUMIFS(DATA!$M:$M,DATA!$C:$C,$B808,DATA!$N:$N,"&gt;="&amp;DATE($I$2,E$4,1),DATA!$N:$N,"&lt;="&amp;DATE($I$2,E$4,E$5))</f>
        <v/>
      </c>
      <c r="F809" s="321">
        <f>SUMIFS(DATA!$M:$M,DATA!$C:$C,$B808,DATA!$N:$N,"&gt;="&amp;DATE($I$2,F$4,1),DATA!$N:$N,"&lt;="&amp;DATE($I$2,F$4,F$5))</f>
        <v/>
      </c>
      <c r="G809" s="321">
        <f>SUMIFS(DATA!$M:$M,DATA!$C:$C,$B808,DATA!$N:$N,"&gt;="&amp;DATE($I$2,G$4,1),DATA!$N:$N,"&lt;="&amp;DATE($I$2,G$4,G$5))</f>
        <v/>
      </c>
      <c r="H809" s="321">
        <f>SUMIFS(DATA!$M:$M,DATA!$C:$C,$B808,DATA!$N:$N,"&gt;="&amp;DATE($I$2,H$4,1),DATA!$N:$N,"&lt;="&amp;DATE($I$2,H$4,H$5))</f>
        <v/>
      </c>
      <c r="I809" s="321">
        <f>SUMIFS(DATA!$M:$M,DATA!$C:$C,$B808,DATA!$N:$N,"&gt;="&amp;DATE($I$2,I$4,1),DATA!$N:$N,"&lt;="&amp;DATE($I$2,I$4,I$5))</f>
        <v/>
      </c>
      <c r="J809" s="321">
        <f>SUMIFS(DATA!$M:$M,DATA!$C:$C,$B808,DATA!$N:$N,"&gt;="&amp;DATE($I$2,J$4,1),DATA!$N:$N,"&lt;="&amp;DATE($I$2,J$4,J$5))</f>
        <v/>
      </c>
      <c r="K809" s="321">
        <f>SUMIFS(DATA!$M:$M,DATA!$C:$C,$B808,DATA!$N:$N,"&gt;="&amp;DATE($I$2,K$4,1),DATA!$N:$N,"&lt;="&amp;DATE($I$2,K$4,K$5))</f>
        <v/>
      </c>
      <c r="L809" s="321">
        <f>SUMIFS(DATA!$M:$M,DATA!$C:$C,$B808,DATA!$N:$N,"&gt;="&amp;DATE($I$2,L$4,1),DATA!$N:$N,"&lt;="&amp;DATE($I$2,L$4,L$5))</f>
        <v/>
      </c>
      <c r="M809" s="321">
        <f>SUMIFS(DATA!$M:$M,DATA!$C:$C,$B808,DATA!$N:$N,"&gt;="&amp;DATE($I$2,M$4,1),DATA!$N:$N,"&lt;="&amp;DATE($I$2,M$4,M$5))</f>
        <v/>
      </c>
      <c r="N809" s="321">
        <f>SUMIFS(DATA!$M:$M,DATA!$C:$C,$B808,DATA!$N:$N,"&gt;="&amp;DATE($I$2,N$4,1),DATA!$N:$N,"&lt;="&amp;DATE($I$2,N$4,N$5))</f>
        <v/>
      </c>
      <c r="O809" s="321">
        <f>SUMIFS(DATA!$M:$M,DATA!$C:$C,$B808,DATA!$N:$N,"&gt;="&amp;DATE($I$2,O$4,1),DATA!$N:$N,"&lt;="&amp;DATE($I$2,O$4,O$5))</f>
        <v/>
      </c>
      <c r="P809" s="322">
        <f>SUM(D809:O809)</f>
        <v/>
      </c>
    </row>
    <row r="810" hidden="1" outlineLevel="1" ht="15" customHeight="1">
      <c r="A810" s="269" t="n">
        <v>403</v>
      </c>
      <c r="B810" s="125" t="n"/>
      <c r="C810" s="119" t="inlineStr">
        <is>
          <t>Kế hoạch</t>
        </is>
      </c>
      <c r="D810" s="321">
        <f>SUMIFS(DATA!$I:$I,DATA!$C:$C,$B810,DATA!$J:$J,"&gt;="&amp;DATE($I$2,D$4,1),DATA!$J:$J,"&lt;="&amp;DATE($I$2,D$4,D$5))</f>
        <v/>
      </c>
      <c r="E810" s="321">
        <f>SUMIFS(DATA!$I:$I,DATA!$C:$C,$B810,DATA!$J:$J,"&gt;="&amp;DATE($I$2,E$4,1),DATA!$J:$J,"&lt;="&amp;DATE($I$2,E$4,E$5))</f>
        <v/>
      </c>
      <c r="F810" s="321">
        <f>SUMIFS(DATA!$I:$I,DATA!$C:$C,$B810,DATA!$J:$J,"&gt;="&amp;DATE($I$2,F$4,1),DATA!$J:$J,"&lt;="&amp;DATE($I$2,F$4,F$5))</f>
        <v/>
      </c>
      <c r="G810" s="321">
        <f>SUMIFS(DATA!$I:$I,DATA!$C:$C,$B810,DATA!$J:$J,"&gt;="&amp;DATE($I$2,G$4,1),DATA!$J:$J,"&lt;="&amp;DATE($I$2,G$4,G$5))</f>
        <v/>
      </c>
      <c r="H810" s="321">
        <f>SUMIFS(DATA!$I:$I,DATA!$C:$C,$B810,DATA!$J:$J,"&gt;="&amp;DATE($I$2,H$4,1),DATA!$J:$J,"&lt;="&amp;DATE($I$2,H$4,H$5))</f>
        <v/>
      </c>
      <c r="I810" s="321">
        <f>SUMIFS(DATA!$I:$I,DATA!$C:$C,$B810,DATA!$J:$J,"&gt;="&amp;DATE($I$2,I$4,1),DATA!$J:$J,"&lt;="&amp;DATE($I$2,I$4,I$5))</f>
        <v/>
      </c>
      <c r="J810" s="321">
        <f>SUMIFS(DATA!$I:$I,DATA!$C:$C,$B810,DATA!$J:$J,"&gt;="&amp;DATE($I$2,J$4,1),DATA!$J:$J,"&lt;="&amp;DATE($I$2,J$4,J$5))</f>
        <v/>
      </c>
      <c r="K810" s="321">
        <f>SUMIFS(DATA!$I:$I,DATA!$C:$C,$B810,DATA!$J:$J,"&gt;="&amp;DATE($I$2,K$4,1),DATA!$J:$J,"&lt;="&amp;DATE($I$2,K$4,K$5))</f>
        <v/>
      </c>
      <c r="L810" s="321">
        <f>SUMIFS(DATA!$I:$I,DATA!$C:$C,$B810,DATA!$J:$J,"&gt;="&amp;DATE($I$2,L$4,1),DATA!$J:$J,"&lt;="&amp;DATE($I$2,L$4,L$5))</f>
        <v/>
      </c>
      <c r="M810" s="321">
        <f>SUMIFS(DATA!$I:$I,DATA!$C:$C,$B810,DATA!$J:$J,"&gt;="&amp;DATE($I$2,M$4,1),DATA!$J:$J,"&lt;="&amp;DATE($I$2,M$4,M$5))</f>
        <v/>
      </c>
      <c r="N810" s="321">
        <f>SUMIFS(DATA!$I:$I,DATA!$C:$C,$B810,DATA!$J:$J,"&gt;="&amp;DATE($I$2,N$4,1),DATA!$J:$J,"&lt;="&amp;DATE($I$2,N$4,N$5))</f>
        <v/>
      </c>
      <c r="O810" s="321">
        <f>SUMIFS(DATA!$I:$I,DATA!$C:$C,$B810,DATA!$J:$J,"&gt;="&amp;DATE($I$2,O$4,1),DATA!$J:$J,"&lt;="&amp;DATE($I$2,O$4,O$5))</f>
        <v/>
      </c>
      <c r="P810" s="322">
        <f>SUM(D810:O810)</f>
        <v/>
      </c>
    </row>
    <row r="811" hidden="1" outlineLevel="1" ht="15" customHeight="1">
      <c r="A811" s="266" t="n"/>
      <c r="B811" s="126" t="n"/>
      <c r="C811" s="119" t="inlineStr">
        <is>
          <t>Thực tế</t>
        </is>
      </c>
      <c r="D811" s="321">
        <f>SUMIFS(DATA!$M:$M,DATA!$C:$C,$B810,DATA!$N:$N,"&gt;="&amp;DATE($I$2,D$4,1),DATA!$N:$N,"&lt;="&amp;DATE($I$2,D$4,D$5))</f>
        <v/>
      </c>
      <c r="E811" s="321">
        <f>SUMIFS(DATA!$M:$M,DATA!$C:$C,$B810,DATA!$N:$N,"&gt;="&amp;DATE($I$2,E$4,1),DATA!$N:$N,"&lt;="&amp;DATE($I$2,E$4,E$5))</f>
        <v/>
      </c>
      <c r="F811" s="321">
        <f>SUMIFS(DATA!$M:$M,DATA!$C:$C,$B810,DATA!$N:$N,"&gt;="&amp;DATE($I$2,F$4,1),DATA!$N:$N,"&lt;="&amp;DATE($I$2,F$4,F$5))</f>
        <v/>
      </c>
      <c r="G811" s="321">
        <f>SUMIFS(DATA!$M:$M,DATA!$C:$C,$B810,DATA!$N:$N,"&gt;="&amp;DATE($I$2,G$4,1),DATA!$N:$N,"&lt;="&amp;DATE($I$2,G$4,G$5))</f>
        <v/>
      </c>
      <c r="H811" s="321">
        <f>SUMIFS(DATA!$M:$M,DATA!$C:$C,$B810,DATA!$N:$N,"&gt;="&amp;DATE($I$2,H$4,1),DATA!$N:$N,"&lt;="&amp;DATE($I$2,H$4,H$5))</f>
        <v/>
      </c>
      <c r="I811" s="321">
        <f>SUMIFS(DATA!$M:$M,DATA!$C:$C,$B810,DATA!$N:$N,"&gt;="&amp;DATE($I$2,I$4,1),DATA!$N:$N,"&lt;="&amp;DATE($I$2,I$4,I$5))</f>
        <v/>
      </c>
      <c r="J811" s="321">
        <f>SUMIFS(DATA!$M:$M,DATA!$C:$C,$B810,DATA!$N:$N,"&gt;="&amp;DATE($I$2,J$4,1),DATA!$N:$N,"&lt;="&amp;DATE($I$2,J$4,J$5))</f>
        <v/>
      </c>
      <c r="K811" s="321">
        <f>SUMIFS(DATA!$M:$M,DATA!$C:$C,$B810,DATA!$N:$N,"&gt;="&amp;DATE($I$2,K$4,1),DATA!$N:$N,"&lt;="&amp;DATE($I$2,K$4,K$5))</f>
        <v/>
      </c>
      <c r="L811" s="321">
        <f>SUMIFS(DATA!$M:$M,DATA!$C:$C,$B810,DATA!$N:$N,"&gt;="&amp;DATE($I$2,L$4,1),DATA!$N:$N,"&lt;="&amp;DATE($I$2,L$4,L$5))</f>
        <v/>
      </c>
      <c r="M811" s="321">
        <f>SUMIFS(DATA!$M:$M,DATA!$C:$C,$B810,DATA!$N:$N,"&gt;="&amp;DATE($I$2,M$4,1),DATA!$N:$N,"&lt;="&amp;DATE($I$2,M$4,M$5))</f>
        <v/>
      </c>
      <c r="N811" s="321">
        <f>SUMIFS(DATA!$M:$M,DATA!$C:$C,$B810,DATA!$N:$N,"&gt;="&amp;DATE($I$2,N$4,1),DATA!$N:$N,"&lt;="&amp;DATE($I$2,N$4,N$5))</f>
        <v/>
      </c>
      <c r="O811" s="321">
        <f>SUMIFS(DATA!$M:$M,DATA!$C:$C,$B810,DATA!$N:$N,"&gt;="&amp;DATE($I$2,O$4,1),DATA!$N:$N,"&lt;="&amp;DATE($I$2,O$4,O$5))</f>
        <v/>
      </c>
      <c r="P811" s="322">
        <f>SUM(D811:O811)</f>
        <v/>
      </c>
    </row>
    <row r="812" hidden="1" outlineLevel="1" ht="15" customHeight="1">
      <c r="A812" s="269" t="n">
        <v>404</v>
      </c>
      <c r="B812" s="125" t="n"/>
      <c r="C812" s="119" t="inlineStr">
        <is>
          <t>Kế hoạch</t>
        </is>
      </c>
      <c r="D812" s="321">
        <f>SUMIFS(DATA!$I:$I,DATA!$C:$C,$B812,DATA!$J:$J,"&gt;="&amp;DATE($I$2,D$4,1),DATA!$J:$J,"&lt;="&amp;DATE($I$2,D$4,D$5))</f>
        <v/>
      </c>
      <c r="E812" s="321">
        <f>SUMIFS(DATA!$I:$I,DATA!$C:$C,$B812,DATA!$J:$J,"&gt;="&amp;DATE($I$2,E$4,1),DATA!$J:$J,"&lt;="&amp;DATE($I$2,E$4,E$5))</f>
        <v/>
      </c>
      <c r="F812" s="321">
        <f>SUMIFS(DATA!$I:$I,DATA!$C:$C,$B812,DATA!$J:$J,"&gt;="&amp;DATE($I$2,F$4,1),DATA!$J:$J,"&lt;="&amp;DATE($I$2,F$4,F$5))</f>
        <v/>
      </c>
      <c r="G812" s="321">
        <f>SUMIFS(DATA!$I:$I,DATA!$C:$C,$B812,DATA!$J:$J,"&gt;="&amp;DATE($I$2,G$4,1),DATA!$J:$J,"&lt;="&amp;DATE($I$2,G$4,G$5))</f>
        <v/>
      </c>
      <c r="H812" s="321">
        <f>SUMIFS(DATA!$I:$I,DATA!$C:$C,$B812,DATA!$J:$J,"&gt;="&amp;DATE($I$2,H$4,1),DATA!$J:$J,"&lt;="&amp;DATE($I$2,H$4,H$5))</f>
        <v/>
      </c>
      <c r="I812" s="321">
        <f>SUMIFS(DATA!$I:$I,DATA!$C:$C,$B812,DATA!$J:$J,"&gt;="&amp;DATE($I$2,I$4,1),DATA!$J:$J,"&lt;="&amp;DATE($I$2,I$4,I$5))</f>
        <v/>
      </c>
      <c r="J812" s="321">
        <f>SUMIFS(DATA!$I:$I,DATA!$C:$C,$B812,DATA!$J:$J,"&gt;="&amp;DATE($I$2,J$4,1),DATA!$J:$J,"&lt;="&amp;DATE($I$2,J$4,J$5))</f>
        <v/>
      </c>
      <c r="K812" s="321">
        <f>SUMIFS(DATA!$I:$I,DATA!$C:$C,$B812,DATA!$J:$J,"&gt;="&amp;DATE($I$2,K$4,1),DATA!$J:$J,"&lt;="&amp;DATE($I$2,K$4,K$5))</f>
        <v/>
      </c>
      <c r="L812" s="321">
        <f>SUMIFS(DATA!$I:$I,DATA!$C:$C,$B812,DATA!$J:$J,"&gt;="&amp;DATE($I$2,L$4,1),DATA!$J:$J,"&lt;="&amp;DATE($I$2,L$4,L$5))</f>
        <v/>
      </c>
      <c r="M812" s="321">
        <f>SUMIFS(DATA!$I:$I,DATA!$C:$C,$B812,DATA!$J:$J,"&gt;="&amp;DATE($I$2,M$4,1),DATA!$J:$J,"&lt;="&amp;DATE($I$2,M$4,M$5))</f>
        <v/>
      </c>
      <c r="N812" s="321">
        <f>SUMIFS(DATA!$I:$I,DATA!$C:$C,$B812,DATA!$J:$J,"&gt;="&amp;DATE($I$2,N$4,1),DATA!$J:$J,"&lt;="&amp;DATE($I$2,N$4,N$5))</f>
        <v/>
      </c>
      <c r="O812" s="321">
        <f>SUMIFS(DATA!$I:$I,DATA!$C:$C,$B812,DATA!$J:$J,"&gt;="&amp;DATE($I$2,O$4,1),DATA!$J:$J,"&lt;="&amp;DATE($I$2,O$4,O$5))</f>
        <v/>
      </c>
      <c r="P812" s="322">
        <f>SUM(D812:O812)</f>
        <v/>
      </c>
    </row>
    <row r="813" hidden="1" outlineLevel="1" ht="15" customHeight="1">
      <c r="A813" s="266" t="n"/>
      <c r="B813" s="126" t="n"/>
      <c r="C813" s="119" t="inlineStr">
        <is>
          <t>Thực tế</t>
        </is>
      </c>
      <c r="D813" s="321">
        <f>SUMIFS(DATA!$M:$M,DATA!$C:$C,$B812,DATA!$N:$N,"&gt;="&amp;DATE($I$2,D$4,1),DATA!$N:$N,"&lt;="&amp;DATE($I$2,D$4,D$5))</f>
        <v/>
      </c>
      <c r="E813" s="321">
        <f>SUMIFS(DATA!$M:$M,DATA!$C:$C,$B812,DATA!$N:$N,"&gt;="&amp;DATE($I$2,E$4,1),DATA!$N:$N,"&lt;="&amp;DATE($I$2,E$4,E$5))</f>
        <v/>
      </c>
      <c r="F813" s="321">
        <f>SUMIFS(DATA!$M:$M,DATA!$C:$C,$B812,DATA!$N:$N,"&gt;="&amp;DATE($I$2,F$4,1),DATA!$N:$N,"&lt;="&amp;DATE($I$2,F$4,F$5))</f>
        <v/>
      </c>
      <c r="G813" s="321">
        <f>SUMIFS(DATA!$M:$M,DATA!$C:$C,$B812,DATA!$N:$N,"&gt;="&amp;DATE($I$2,G$4,1),DATA!$N:$N,"&lt;="&amp;DATE($I$2,G$4,G$5))</f>
        <v/>
      </c>
      <c r="H813" s="321">
        <f>SUMIFS(DATA!$M:$M,DATA!$C:$C,$B812,DATA!$N:$N,"&gt;="&amp;DATE($I$2,H$4,1),DATA!$N:$N,"&lt;="&amp;DATE($I$2,H$4,H$5))</f>
        <v/>
      </c>
      <c r="I813" s="321">
        <f>SUMIFS(DATA!$M:$M,DATA!$C:$C,$B812,DATA!$N:$N,"&gt;="&amp;DATE($I$2,I$4,1),DATA!$N:$N,"&lt;="&amp;DATE($I$2,I$4,I$5))</f>
        <v/>
      </c>
      <c r="J813" s="321">
        <f>SUMIFS(DATA!$M:$M,DATA!$C:$C,$B812,DATA!$N:$N,"&gt;="&amp;DATE($I$2,J$4,1),DATA!$N:$N,"&lt;="&amp;DATE($I$2,J$4,J$5))</f>
        <v/>
      </c>
      <c r="K813" s="321">
        <f>SUMIFS(DATA!$M:$M,DATA!$C:$C,$B812,DATA!$N:$N,"&gt;="&amp;DATE($I$2,K$4,1),DATA!$N:$N,"&lt;="&amp;DATE($I$2,K$4,K$5))</f>
        <v/>
      </c>
      <c r="L813" s="321">
        <f>SUMIFS(DATA!$M:$M,DATA!$C:$C,$B812,DATA!$N:$N,"&gt;="&amp;DATE($I$2,L$4,1),DATA!$N:$N,"&lt;="&amp;DATE($I$2,L$4,L$5))</f>
        <v/>
      </c>
      <c r="M813" s="321">
        <f>SUMIFS(DATA!$M:$M,DATA!$C:$C,$B812,DATA!$N:$N,"&gt;="&amp;DATE($I$2,M$4,1),DATA!$N:$N,"&lt;="&amp;DATE($I$2,M$4,M$5))</f>
        <v/>
      </c>
      <c r="N813" s="321">
        <f>SUMIFS(DATA!$M:$M,DATA!$C:$C,$B812,DATA!$N:$N,"&gt;="&amp;DATE($I$2,N$4,1),DATA!$N:$N,"&lt;="&amp;DATE($I$2,N$4,N$5))</f>
        <v/>
      </c>
      <c r="O813" s="321">
        <f>SUMIFS(DATA!$M:$M,DATA!$C:$C,$B812,DATA!$N:$N,"&gt;="&amp;DATE($I$2,O$4,1),DATA!$N:$N,"&lt;="&amp;DATE($I$2,O$4,O$5))</f>
        <v/>
      </c>
      <c r="P813" s="322">
        <f>SUM(D813:O813)</f>
        <v/>
      </c>
    </row>
    <row r="814" hidden="1" outlineLevel="1" ht="15" customHeight="1">
      <c r="A814" s="269" t="n">
        <v>405</v>
      </c>
      <c r="B814" s="125" t="n"/>
      <c r="C814" s="119" t="inlineStr">
        <is>
          <t>Kế hoạch</t>
        </is>
      </c>
      <c r="D814" s="321">
        <f>SUMIFS(DATA!$I:$I,DATA!$C:$C,$B814,DATA!$J:$J,"&gt;="&amp;DATE($I$2,D$4,1),DATA!$J:$J,"&lt;="&amp;DATE($I$2,D$4,D$5))</f>
        <v/>
      </c>
      <c r="E814" s="321">
        <f>SUMIFS(DATA!$I:$I,DATA!$C:$C,$B814,DATA!$J:$J,"&gt;="&amp;DATE($I$2,E$4,1),DATA!$J:$J,"&lt;="&amp;DATE($I$2,E$4,E$5))</f>
        <v/>
      </c>
      <c r="F814" s="321">
        <f>SUMIFS(DATA!$I:$I,DATA!$C:$C,$B814,DATA!$J:$J,"&gt;="&amp;DATE($I$2,F$4,1),DATA!$J:$J,"&lt;="&amp;DATE($I$2,F$4,F$5))</f>
        <v/>
      </c>
      <c r="G814" s="321">
        <f>SUMIFS(DATA!$I:$I,DATA!$C:$C,$B814,DATA!$J:$J,"&gt;="&amp;DATE($I$2,G$4,1),DATA!$J:$J,"&lt;="&amp;DATE($I$2,G$4,G$5))</f>
        <v/>
      </c>
      <c r="H814" s="321">
        <f>SUMIFS(DATA!$I:$I,DATA!$C:$C,$B814,DATA!$J:$J,"&gt;="&amp;DATE($I$2,H$4,1),DATA!$J:$J,"&lt;="&amp;DATE($I$2,H$4,H$5))</f>
        <v/>
      </c>
      <c r="I814" s="321">
        <f>SUMIFS(DATA!$I:$I,DATA!$C:$C,$B814,DATA!$J:$J,"&gt;="&amp;DATE($I$2,I$4,1),DATA!$J:$J,"&lt;="&amp;DATE($I$2,I$4,I$5))</f>
        <v/>
      </c>
      <c r="J814" s="321">
        <f>SUMIFS(DATA!$I:$I,DATA!$C:$C,$B814,DATA!$J:$J,"&gt;="&amp;DATE($I$2,J$4,1),DATA!$J:$J,"&lt;="&amp;DATE($I$2,J$4,J$5))</f>
        <v/>
      </c>
      <c r="K814" s="321">
        <f>SUMIFS(DATA!$I:$I,DATA!$C:$C,$B814,DATA!$J:$J,"&gt;="&amp;DATE($I$2,K$4,1),DATA!$J:$J,"&lt;="&amp;DATE($I$2,K$4,K$5))</f>
        <v/>
      </c>
      <c r="L814" s="321">
        <f>SUMIFS(DATA!$I:$I,DATA!$C:$C,$B814,DATA!$J:$J,"&gt;="&amp;DATE($I$2,L$4,1),DATA!$J:$J,"&lt;="&amp;DATE($I$2,L$4,L$5))</f>
        <v/>
      </c>
      <c r="M814" s="321">
        <f>SUMIFS(DATA!$I:$I,DATA!$C:$C,$B814,DATA!$J:$J,"&gt;="&amp;DATE($I$2,M$4,1),DATA!$J:$J,"&lt;="&amp;DATE($I$2,M$4,M$5))</f>
        <v/>
      </c>
      <c r="N814" s="321">
        <f>SUMIFS(DATA!$I:$I,DATA!$C:$C,$B814,DATA!$J:$J,"&gt;="&amp;DATE($I$2,N$4,1),DATA!$J:$J,"&lt;="&amp;DATE($I$2,N$4,N$5))</f>
        <v/>
      </c>
      <c r="O814" s="321">
        <f>SUMIFS(DATA!$I:$I,DATA!$C:$C,$B814,DATA!$J:$J,"&gt;="&amp;DATE($I$2,O$4,1),DATA!$J:$J,"&lt;="&amp;DATE($I$2,O$4,O$5))</f>
        <v/>
      </c>
      <c r="P814" s="322">
        <f>SUM(D814:O814)</f>
        <v/>
      </c>
    </row>
    <row r="815" hidden="1" outlineLevel="1" ht="15" customHeight="1">
      <c r="A815" s="266" t="n"/>
      <c r="B815" s="126" t="n"/>
      <c r="C815" s="119" t="inlineStr">
        <is>
          <t>Thực tế</t>
        </is>
      </c>
      <c r="D815" s="321">
        <f>SUMIFS(DATA!$M:$M,DATA!$C:$C,$B814,DATA!$N:$N,"&gt;="&amp;DATE($I$2,D$4,1),DATA!$N:$N,"&lt;="&amp;DATE($I$2,D$4,D$5))</f>
        <v/>
      </c>
      <c r="E815" s="321">
        <f>SUMIFS(DATA!$M:$M,DATA!$C:$C,$B814,DATA!$N:$N,"&gt;="&amp;DATE($I$2,E$4,1),DATA!$N:$N,"&lt;="&amp;DATE($I$2,E$4,E$5))</f>
        <v/>
      </c>
      <c r="F815" s="321">
        <f>SUMIFS(DATA!$M:$M,DATA!$C:$C,$B814,DATA!$N:$N,"&gt;="&amp;DATE($I$2,F$4,1),DATA!$N:$N,"&lt;="&amp;DATE($I$2,F$4,F$5))</f>
        <v/>
      </c>
      <c r="G815" s="321">
        <f>SUMIFS(DATA!$M:$M,DATA!$C:$C,$B814,DATA!$N:$N,"&gt;="&amp;DATE($I$2,G$4,1),DATA!$N:$N,"&lt;="&amp;DATE($I$2,G$4,G$5))</f>
        <v/>
      </c>
      <c r="H815" s="321">
        <f>SUMIFS(DATA!$M:$M,DATA!$C:$C,$B814,DATA!$N:$N,"&gt;="&amp;DATE($I$2,H$4,1),DATA!$N:$N,"&lt;="&amp;DATE($I$2,H$4,H$5))</f>
        <v/>
      </c>
      <c r="I815" s="321">
        <f>SUMIFS(DATA!$M:$M,DATA!$C:$C,$B814,DATA!$N:$N,"&gt;="&amp;DATE($I$2,I$4,1),DATA!$N:$N,"&lt;="&amp;DATE($I$2,I$4,I$5))</f>
        <v/>
      </c>
      <c r="J815" s="321">
        <f>SUMIFS(DATA!$M:$M,DATA!$C:$C,$B814,DATA!$N:$N,"&gt;="&amp;DATE($I$2,J$4,1),DATA!$N:$N,"&lt;="&amp;DATE($I$2,J$4,J$5))</f>
        <v/>
      </c>
      <c r="K815" s="321">
        <f>SUMIFS(DATA!$M:$M,DATA!$C:$C,$B814,DATA!$N:$N,"&gt;="&amp;DATE($I$2,K$4,1),DATA!$N:$N,"&lt;="&amp;DATE($I$2,K$4,K$5))</f>
        <v/>
      </c>
      <c r="L815" s="321">
        <f>SUMIFS(DATA!$M:$M,DATA!$C:$C,$B814,DATA!$N:$N,"&gt;="&amp;DATE($I$2,L$4,1),DATA!$N:$N,"&lt;="&amp;DATE($I$2,L$4,L$5))</f>
        <v/>
      </c>
      <c r="M815" s="321">
        <f>SUMIFS(DATA!$M:$M,DATA!$C:$C,$B814,DATA!$N:$N,"&gt;="&amp;DATE($I$2,M$4,1),DATA!$N:$N,"&lt;="&amp;DATE($I$2,M$4,M$5))</f>
        <v/>
      </c>
      <c r="N815" s="321">
        <f>SUMIFS(DATA!$M:$M,DATA!$C:$C,$B814,DATA!$N:$N,"&gt;="&amp;DATE($I$2,N$4,1),DATA!$N:$N,"&lt;="&amp;DATE($I$2,N$4,N$5))</f>
        <v/>
      </c>
      <c r="O815" s="321">
        <f>SUMIFS(DATA!$M:$M,DATA!$C:$C,$B814,DATA!$N:$N,"&gt;="&amp;DATE($I$2,O$4,1),DATA!$N:$N,"&lt;="&amp;DATE($I$2,O$4,O$5))</f>
        <v/>
      </c>
      <c r="P815" s="322">
        <f>SUM(D815:O815)</f>
        <v/>
      </c>
    </row>
    <row r="816" hidden="1" outlineLevel="1" ht="15" customHeight="1">
      <c r="A816" s="269" t="n">
        <v>406</v>
      </c>
      <c r="B816" s="125" t="n"/>
      <c r="C816" s="119" t="inlineStr">
        <is>
          <t>Kế hoạch</t>
        </is>
      </c>
      <c r="D816" s="321">
        <f>SUMIFS(DATA!$I:$I,DATA!$C:$C,$B816,DATA!$J:$J,"&gt;="&amp;DATE($I$2,D$4,1),DATA!$J:$J,"&lt;="&amp;DATE($I$2,D$4,D$5))</f>
        <v/>
      </c>
      <c r="E816" s="321">
        <f>SUMIFS(DATA!$I:$I,DATA!$C:$C,$B816,DATA!$J:$J,"&gt;="&amp;DATE($I$2,E$4,1),DATA!$J:$J,"&lt;="&amp;DATE($I$2,E$4,E$5))</f>
        <v/>
      </c>
      <c r="F816" s="321">
        <f>SUMIFS(DATA!$I:$I,DATA!$C:$C,$B816,DATA!$J:$J,"&gt;="&amp;DATE($I$2,F$4,1),DATA!$J:$J,"&lt;="&amp;DATE($I$2,F$4,F$5))</f>
        <v/>
      </c>
      <c r="G816" s="321">
        <f>SUMIFS(DATA!$I:$I,DATA!$C:$C,$B816,DATA!$J:$J,"&gt;="&amp;DATE($I$2,G$4,1),DATA!$J:$J,"&lt;="&amp;DATE($I$2,G$4,G$5))</f>
        <v/>
      </c>
      <c r="H816" s="321">
        <f>SUMIFS(DATA!$I:$I,DATA!$C:$C,$B816,DATA!$J:$J,"&gt;="&amp;DATE($I$2,H$4,1),DATA!$J:$J,"&lt;="&amp;DATE($I$2,H$4,H$5))</f>
        <v/>
      </c>
      <c r="I816" s="321">
        <f>SUMIFS(DATA!$I:$I,DATA!$C:$C,$B816,DATA!$J:$J,"&gt;="&amp;DATE($I$2,I$4,1),DATA!$J:$J,"&lt;="&amp;DATE($I$2,I$4,I$5))</f>
        <v/>
      </c>
      <c r="J816" s="321">
        <f>SUMIFS(DATA!$I:$I,DATA!$C:$C,$B816,DATA!$J:$J,"&gt;="&amp;DATE($I$2,J$4,1),DATA!$J:$J,"&lt;="&amp;DATE($I$2,J$4,J$5))</f>
        <v/>
      </c>
      <c r="K816" s="321">
        <f>SUMIFS(DATA!$I:$I,DATA!$C:$C,$B816,DATA!$J:$J,"&gt;="&amp;DATE($I$2,K$4,1),DATA!$J:$J,"&lt;="&amp;DATE($I$2,K$4,K$5))</f>
        <v/>
      </c>
      <c r="L816" s="321">
        <f>SUMIFS(DATA!$I:$I,DATA!$C:$C,$B816,DATA!$J:$J,"&gt;="&amp;DATE($I$2,L$4,1),DATA!$J:$J,"&lt;="&amp;DATE($I$2,L$4,L$5))</f>
        <v/>
      </c>
      <c r="M816" s="321">
        <f>SUMIFS(DATA!$I:$I,DATA!$C:$C,$B816,DATA!$J:$J,"&gt;="&amp;DATE($I$2,M$4,1),DATA!$J:$J,"&lt;="&amp;DATE($I$2,M$4,M$5))</f>
        <v/>
      </c>
      <c r="N816" s="321">
        <f>SUMIFS(DATA!$I:$I,DATA!$C:$C,$B816,DATA!$J:$J,"&gt;="&amp;DATE($I$2,N$4,1),DATA!$J:$J,"&lt;="&amp;DATE($I$2,N$4,N$5))</f>
        <v/>
      </c>
      <c r="O816" s="321">
        <f>SUMIFS(DATA!$I:$I,DATA!$C:$C,$B816,DATA!$J:$J,"&gt;="&amp;DATE($I$2,O$4,1),DATA!$J:$J,"&lt;="&amp;DATE($I$2,O$4,O$5))</f>
        <v/>
      </c>
      <c r="P816" s="322">
        <f>SUM(D816:O816)</f>
        <v/>
      </c>
    </row>
    <row r="817" hidden="1" outlineLevel="1" ht="15" customHeight="1">
      <c r="A817" s="266" t="n"/>
      <c r="B817" s="126" t="n"/>
      <c r="C817" s="119" t="inlineStr">
        <is>
          <t>Thực tế</t>
        </is>
      </c>
      <c r="D817" s="321">
        <f>SUMIFS(DATA!$M:$M,DATA!$C:$C,$B816,DATA!$N:$N,"&gt;="&amp;DATE($I$2,D$4,1),DATA!$N:$N,"&lt;="&amp;DATE($I$2,D$4,D$5))</f>
        <v/>
      </c>
      <c r="E817" s="321">
        <f>SUMIFS(DATA!$M:$M,DATA!$C:$C,$B816,DATA!$N:$N,"&gt;="&amp;DATE($I$2,E$4,1),DATA!$N:$N,"&lt;="&amp;DATE($I$2,E$4,E$5))</f>
        <v/>
      </c>
      <c r="F817" s="321">
        <f>SUMIFS(DATA!$M:$M,DATA!$C:$C,$B816,DATA!$N:$N,"&gt;="&amp;DATE($I$2,F$4,1),DATA!$N:$N,"&lt;="&amp;DATE($I$2,F$4,F$5))</f>
        <v/>
      </c>
      <c r="G817" s="321">
        <f>SUMIFS(DATA!$M:$M,DATA!$C:$C,$B816,DATA!$N:$N,"&gt;="&amp;DATE($I$2,G$4,1),DATA!$N:$N,"&lt;="&amp;DATE($I$2,G$4,G$5))</f>
        <v/>
      </c>
      <c r="H817" s="321">
        <f>SUMIFS(DATA!$M:$M,DATA!$C:$C,$B816,DATA!$N:$N,"&gt;="&amp;DATE($I$2,H$4,1),DATA!$N:$N,"&lt;="&amp;DATE($I$2,H$4,H$5))</f>
        <v/>
      </c>
      <c r="I817" s="321">
        <f>SUMIFS(DATA!$M:$M,DATA!$C:$C,$B816,DATA!$N:$N,"&gt;="&amp;DATE($I$2,I$4,1),DATA!$N:$N,"&lt;="&amp;DATE($I$2,I$4,I$5))</f>
        <v/>
      </c>
      <c r="J817" s="321">
        <f>SUMIFS(DATA!$M:$M,DATA!$C:$C,$B816,DATA!$N:$N,"&gt;="&amp;DATE($I$2,J$4,1),DATA!$N:$N,"&lt;="&amp;DATE($I$2,J$4,J$5))</f>
        <v/>
      </c>
      <c r="K817" s="321">
        <f>SUMIFS(DATA!$M:$M,DATA!$C:$C,$B816,DATA!$N:$N,"&gt;="&amp;DATE($I$2,K$4,1),DATA!$N:$N,"&lt;="&amp;DATE($I$2,K$4,K$5))</f>
        <v/>
      </c>
      <c r="L817" s="321">
        <f>SUMIFS(DATA!$M:$M,DATA!$C:$C,$B816,DATA!$N:$N,"&gt;="&amp;DATE($I$2,L$4,1),DATA!$N:$N,"&lt;="&amp;DATE($I$2,L$4,L$5))</f>
        <v/>
      </c>
      <c r="M817" s="321">
        <f>SUMIFS(DATA!$M:$M,DATA!$C:$C,$B816,DATA!$N:$N,"&gt;="&amp;DATE($I$2,M$4,1),DATA!$N:$N,"&lt;="&amp;DATE($I$2,M$4,M$5))</f>
        <v/>
      </c>
      <c r="N817" s="321">
        <f>SUMIFS(DATA!$M:$M,DATA!$C:$C,$B816,DATA!$N:$N,"&gt;="&amp;DATE($I$2,N$4,1),DATA!$N:$N,"&lt;="&amp;DATE($I$2,N$4,N$5))</f>
        <v/>
      </c>
      <c r="O817" s="321">
        <f>SUMIFS(DATA!$M:$M,DATA!$C:$C,$B816,DATA!$N:$N,"&gt;="&amp;DATE($I$2,O$4,1),DATA!$N:$N,"&lt;="&amp;DATE($I$2,O$4,O$5))</f>
        <v/>
      </c>
      <c r="P817" s="322">
        <f>SUM(D817:O817)</f>
        <v/>
      </c>
    </row>
    <row r="818" hidden="1" outlineLevel="1" ht="15" customHeight="1">
      <c r="A818" s="269" t="n">
        <v>407</v>
      </c>
      <c r="B818" s="125" t="n"/>
      <c r="C818" s="119" t="inlineStr">
        <is>
          <t>Kế hoạch</t>
        </is>
      </c>
      <c r="D818" s="321">
        <f>SUMIFS(DATA!$I:$I,DATA!$C:$C,$B818,DATA!$J:$J,"&gt;="&amp;DATE($I$2,D$4,1),DATA!$J:$J,"&lt;="&amp;DATE($I$2,D$4,D$5))</f>
        <v/>
      </c>
      <c r="E818" s="321">
        <f>SUMIFS(DATA!$I:$I,DATA!$C:$C,$B818,DATA!$J:$J,"&gt;="&amp;DATE($I$2,E$4,1),DATA!$J:$J,"&lt;="&amp;DATE($I$2,E$4,E$5))</f>
        <v/>
      </c>
      <c r="F818" s="321">
        <f>SUMIFS(DATA!$I:$I,DATA!$C:$C,$B818,DATA!$J:$J,"&gt;="&amp;DATE($I$2,F$4,1),DATA!$J:$J,"&lt;="&amp;DATE($I$2,F$4,F$5))</f>
        <v/>
      </c>
      <c r="G818" s="321">
        <f>SUMIFS(DATA!$I:$I,DATA!$C:$C,$B818,DATA!$J:$J,"&gt;="&amp;DATE($I$2,G$4,1),DATA!$J:$J,"&lt;="&amp;DATE($I$2,G$4,G$5))</f>
        <v/>
      </c>
      <c r="H818" s="321">
        <f>SUMIFS(DATA!$I:$I,DATA!$C:$C,$B818,DATA!$J:$J,"&gt;="&amp;DATE($I$2,H$4,1),DATA!$J:$J,"&lt;="&amp;DATE($I$2,H$4,H$5))</f>
        <v/>
      </c>
      <c r="I818" s="321">
        <f>SUMIFS(DATA!$I:$I,DATA!$C:$C,$B818,DATA!$J:$J,"&gt;="&amp;DATE($I$2,I$4,1),DATA!$J:$J,"&lt;="&amp;DATE($I$2,I$4,I$5))</f>
        <v/>
      </c>
      <c r="J818" s="321">
        <f>SUMIFS(DATA!$I:$I,DATA!$C:$C,$B818,DATA!$J:$J,"&gt;="&amp;DATE($I$2,J$4,1),DATA!$J:$J,"&lt;="&amp;DATE($I$2,J$4,J$5))</f>
        <v/>
      </c>
      <c r="K818" s="321">
        <f>SUMIFS(DATA!$I:$I,DATA!$C:$C,$B818,DATA!$J:$J,"&gt;="&amp;DATE($I$2,K$4,1),DATA!$J:$J,"&lt;="&amp;DATE($I$2,K$4,K$5))</f>
        <v/>
      </c>
      <c r="L818" s="321">
        <f>SUMIFS(DATA!$I:$I,DATA!$C:$C,$B818,DATA!$J:$J,"&gt;="&amp;DATE($I$2,L$4,1),DATA!$J:$J,"&lt;="&amp;DATE($I$2,L$4,L$5))</f>
        <v/>
      </c>
      <c r="M818" s="321">
        <f>SUMIFS(DATA!$I:$I,DATA!$C:$C,$B818,DATA!$J:$J,"&gt;="&amp;DATE($I$2,M$4,1),DATA!$J:$J,"&lt;="&amp;DATE($I$2,M$4,M$5))</f>
        <v/>
      </c>
      <c r="N818" s="321">
        <f>SUMIFS(DATA!$I:$I,DATA!$C:$C,$B818,DATA!$J:$J,"&gt;="&amp;DATE($I$2,N$4,1),DATA!$J:$J,"&lt;="&amp;DATE($I$2,N$4,N$5))</f>
        <v/>
      </c>
      <c r="O818" s="321">
        <f>SUMIFS(DATA!$I:$I,DATA!$C:$C,$B818,DATA!$J:$J,"&gt;="&amp;DATE($I$2,O$4,1),DATA!$J:$J,"&lt;="&amp;DATE($I$2,O$4,O$5))</f>
        <v/>
      </c>
      <c r="P818" s="322">
        <f>SUM(D818:O818)</f>
        <v/>
      </c>
    </row>
    <row r="819" hidden="1" outlineLevel="1" ht="15" customHeight="1">
      <c r="A819" s="266" t="n"/>
      <c r="B819" s="126" t="n"/>
      <c r="C819" s="119" t="inlineStr">
        <is>
          <t>Thực tế</t>
        </is>
      </c>
      <c r="D819" s="321">
        <f>SUMIFS(DATA!$M:$M,DATA!$C:$C,$B818,DATA!$N:$N,"&gt;="&amp;DATE($I$2,D$4,1),DATA!$N:$N,"&lt;="&amp;DATE($I$2,D$4,D$5))</f>
        <v/>
      </c>
      <c r="E819" s="321">
        <f>SUMIFS(DATA!$M:$M,DATA!$C:$C,$B818,DATA!$N:$N,"&gt;="&amp;DATE($I$2,E$4,1),DATA!$N:$N,"&lt;="&amp;DATE($I$2,E$4,E$5))</f>
        <v/>
      </c>
      <c r="F819" s="321">
        <f>SUMIFS(DATA!$M:$M,DATA!$C:$C,$B818,DATA!$N:$N,"&gt;="&amp;DATE($I$2,F$4,1),DATA!$N:$N,"&lt;="&amp;DATE($I$2,F$4,F$5))</f>
        <v/>
      </c>
      <c r="G819" s="321">
        <f>SUMIFS(DATA!$M:$M,DATA!$C:$C,$B818,DATA!$N:$N,"&gt;="&amp;DATE($I$2,G$4,1),DATA!$N:$N,"&lt;="&amp;DATE($I$2,G$4,G$5))</f>
        <v/>
      </c>
      <c r="H819" s="321">
        <f>SUMIFS(DATA!$M:$M,DATA!$C:$C,$B818,DATA!$N:$N,"&gt;="&amp;DATE($I$2,H$4,1),DATA!$N:$N,"&lt;="&amp;DATE($I$2,H$4,H$5))</f>
        <v/>
      </c>
      <c r="I819" s="321">
        <f>SUMIFS(DATA!$M:$M,DATA!$C:$C,$B818,DATA!$N:$N,"&gt;="&amp;DATE($I$2,I$4,1),DATA!$N:$N,"&lt;="&amp;DATE($I$2,I$4,I$5))</f>
        <v/>
      </c>
      <c r="J819" s="321">
        <f>SUMIFS(DATA!$M:$M,DATA!$C:$C,$B818,DATA!$N:$N,"&gt;="&amp;DATE($I$2,J$4,1),DATA!$N:$N,"&lt;="&amp;DATE($I$2,J$4,J$5))</f>
        <v/>
      </c>
      <c r="K819" s="321">
        <f>SUMIFS(DATA!$M:$M,DATA!$C:$C,$B818,DATA!$N:$N,"&gt;="&amp;DATE($I$2,K$4,1),DATA!$N:$N,"&lt;="&amp;DATE($I$2,K$4,K$5))</f>
        <v/>
      </c>
      <c r="L819" s="321">
        <f>SUMIFS(DATA!$M:$M,DATA!$C:$C,$B818,DATA!$N:$N,"&gt;="&amp;DATE($I$2,L$4,1),DATA!$N:$N,"&lt;="&amp;DATE($I$2,L$4,L$5))</f>
        <v/>
      </c>
      <c r="M819" s="321">
        <f>SUMIFS(DATA!$M:$M,DATA!$C:$C,$B818,DATA!$N:$N,"&gt;="&amp;DATE($I$2,M$4,1),DATA!$N:$N,"&lt;="&amp;DATE($I$2,M$4,M$5))</f>
        <v/>
      </c>
      <c r="N819" s="321">
        <f>SUMIFS(DATA!$M:$M,DATA!$C:$C,$B818,DATA!$N:$N,"&gt;="&amp;DATE($I$2,N$4,1),DATA!$N:$N,"&lt;="&amp;DATE($I$2,N$4,N$5))</f>
        <v/>
      </c>
      <c r="O819" s="321">
        <f>SUMIFS(DATA!$M:$M,DATA!$C:$C,$B818,DATA!$N:$N,"&gt;="&amp;DATE($I$2,O$4,1),DATA!$N:$N,"&lt;="&amp;DATE($I$2,O$4,O$5))</f>
        <v/>
      </c>
      <c r="P819" s="322">
        <f>SUM(D819:O819)</f>
        <v/>
      </c>
    </row>
    <row r="820" hidden="1" outlineLevel="1" ht="15" customHeight="1">
      <c r="A820" s="269" t="n">
        <v>408</v>
      </c>
      <c r="B820" s="125" t="n"/>
      <c r="C820" s="119" t="inlineStr">
        <is>
          <t>Kế hoạch</t>
        </is>
      </c>
      <c r="D820" s="321">
        <f>SUMIFS(DATA!$I:$I,DATA!$C:$C,$B820,DATA!$J:$J,"&gt;="&amp;DATE($I$2,D$4,1),DATA!$J:$J,"&lt;="&amp;DATE($I$2,D$4,D$5))</f>
        <v/>
      </c>
      <c r="E820" s="321">
        <f>SUMIFS(DATA!$I:$I,DATA!$C:$C,$B820,DATA!$J:$J,"&gt;="&amp;DATE($I$2,E$4,1),DATA!$J:$J,"&lt;="&amp;DATE($I$2,E$4,E$5))</f>
        <v/>
      </c>
      <c r="F820" s="321">
        <f>SUMIFS(DATA!$I:$I,DATA!$C:$C,$B820,DATA!$J:$J,"&gt;="&amp;DATE($I$2,F$4,1),DATA!$J:$J,"&lt;="&amp;DATE($I$2,F$4,F$5))</f>
        <v/>
      </c>
      <c r="G820" s="321">
        <f>SUMIFS(DATA!$I:$I,DATA!$C:$C,$B820,DATA!$J:$J,"&gt;="&amp;DATE($I$2,G$4,1),DATA!$J:$J,"&lt;="&amp;DATE($I$2,G$4,G$5))</f>
        <v/>
      </c>
      <c r="H820" s="321">
        <f>SUMIFS(DATA!$I:$I,DATA!$C:$C,$B820,DATA!$J:$J,"&gt;="&amp;DATE($I$2,H$4,1),DATA!$J:$J,"&lt;="&amp;DATE($I$2,H$4,H$5))</f>
        <v/>
      </c>
      <c r="I820" s="321">
        <f>SUMIFS(DATA!$I:$I,DATA!$C:$C,$B820,DATA!$J:$J,"&gt;="&amp;DATE($I$2,I$4,1),DATA!$J:$J,"&lt;="&amp;DATE($I$2,I$4,I$5))</f>
        <v/>
      </c>
      <c r="J820" s="321">
        <f>SUMIFS(DATA!$I:$I,DATA!$C:$C,$B820,DATA!$J:$J,"&gt;="&amp;DATE($I$2,J$4,1),DATA!$J:$J,"&lt;="&amp;DATE($I$2,J$4,J$5))</f>
        <v/>
      </c>
      <c r="K820" s="321">
        <f>SUMIFS(DATA!$I:$I,DATA!$C:$C,$B820,DATA!$J:$J,"&gt;="&amp;DATE($I$2,K$4,1),DATA!$J:$J,"&lt;="&amp;DATE($I$2,K$4,K$5))</f>
        <v/>
      </c>
      <c r="L820" s="321">
        <f>SUMIFS(DATA!$I:$I,DATA!$C:$C,$B820,DATA!$J:$J,"&gt;="&amp;DATE($I$2,L$4,1),DATA!$J:$J,"&lt;="&amp;DATE($I$2,L$4,L$5))</f>
        <v/>
      </c>
      <c r="M820" s="321">
        <f>SUMIFS(DATA!$I:$I,DATA!$C:$C,$B820,DATA!$J:$J,"&gt;="&amp;DATE($I$2,M$4,1),DATA!$J:$J,"&lt;="&amp;DATE($I$2,M$4,M$5))</f>
        <v/>
      </c>
      <c r="N820" s="321">
        <f>SUMIFS(DATA!$I:$I,DATA!$C:$C,$B820,DATA!$J:$J,"&gt;="&amp;DATE($I$2,N$4,1),DATA!$J:$J,"&lt;="&amp;DATE($I$2,N$4,N$5))</f>
        <v/>
      </c>
      <c r="O820" s="321">
        <f>SUMIFS(DATA!$I:$I,DATA!$C:$C,$B820,DATA!$J:$J,"&gt;="&amp;DATE($I$2,O$4,1),DATA!$J:$J,"&lt;="&amp;DATE($I$2,O$4,O$5))</f>
        <v/>
      </c>
      <c r="P820" s="322">
        <f>SUM(D820:O820)</f>
        <v/>
      </c>
    </row>
    <row r="821" hidden="1" outlineLevel="1" ht="15" customHeight="1">
      <c r="A821" s="266" t="n"/>
      <c r="B821" s="126" t="n"/>
      <c r="C821" s="119" t="inlineStr">
        <is>
          <t>Thực tế</t>
        </is>
      </c>
      <c r="D821" s="321">
        <f>SUMIFS(DATA!$M:$M,DATA!$C:$C,$B820,DATA!$N:$N,"&gt;="&amp;DATE($I$2,D$4,1),DATA!$N:$N,"&lt;="&amp;DATE($I$2,D$4,D$5))</f>
        <v/>
      </c>
      <c r="E821" s="321">
        <f>SUMIFS(DATA!$M:$M,DATA!$C:$C,$B820,DATA!$N:$N,"&gt;="&amp;DATE($I$2,E$4,1),DATA!$N:$N,"&lt;="&amp;DATE($I$2,E$4,E$5))</f>
        <v/>
      </c>
      <c r="F821" s="321">
        <f>SUMIFS(DATA!$M:$M,DATA!$C:$C,$B820,DATA!$N:$N,"&gt;="&amp;DATE($I$2,F$4,1),DATA!$N:$N,"&lt;="&amp;DATE($I$2,F$4,F$5))</f>
        <v/>
      </c>
      <c r="G821" s="321">
        <f>SUMIFS(DATA!$M:$M,DATA!$C:$C,$B820,DATA!$N:$N,"&gt;="&amp;DATE($I$2,G$4,1),DATA!$N:$N,"&lt;="&amp;DATE($I$2,G$4,G$5))</f>
        <v/>
      </c>
      <c r="H821" s="321">
        <f>SUMIFS(DATA!$M:$M,DATA!$C:$C,$B820,DATA!$N:$N,"&gt;="&amp;DATE($I$2,H$4,1),DATA!$N:$N,"&lt;="&amp;DATE($I$2,H$4,H$5))</f>
        <v/>
      </c>
      <c r="I821" s="321">
        <f>SUMIFS(DATA!$M:$M,DATA!$C:$C,$B820,DATA!$N:$N,"&gt;="&amp;DATE($I$2,I$4,1),DATA!$N:$N,"&lt;="&amp;DATE($I$2,I$4,I$5))</f>
        <v/>
      </c>
      <c r="J821" s="321">
        <f>SUMIFS(DATA!$M:$M,DATA!$C:$C,$B820,DATA!$N:$N,"&gt;="&amp;DATE($I$2,J$4,1),DATA!$N:$N,"&lt;="&amp;DATE($I$2,J$4,J$5))</f>
        <v/>
      </c>
      <c r="K821" s="321">
        <f>SUMIFS(DATA!$M:$M,DATA!$C:$C,$B820,DATA!$N:$N,"&gt;="&amp;DATE($I$2,K$4,1),DATA!$N:$N,"&lt;="&amp;DATE($I$2,K$4,K$5))</f>
        <v/>
      </c>
      <c r="L821" s="321">
        <f>SUMIFS(DATA!$M:$M,DATA!$C:$C,$B820,DATA!$N:$N,"&gt;="&amp;DATE($I$2,L$4,1),DATA!$N:$N,"&lt;="&amp;DATE($I$2,L$4,L$5))</f>
        <v/>
      </c>
      <c r="M821" s="321">
        <f>SUMIFS(DATA!$M:$M,DATA!$C:$C,$B820,DATA!$N:$N,"&gt;="&amp;DATE($I$2,M$4,1),DATA!$N:$N,"&lt;="&amp;DATE($I$2,M$4,M$5))</f>
        <v/>
      </c>
      <c r="N821" s="321">
        <f>SUMIFS(DATA!$M:$M,DATA!$C:$C,$B820,DATA!$N:$N,"&gt;="&amp;DATE($I$2,N$4,1),DATA!$N:$N,"&lt;="&amp;DATE($I$2,N$4,N$5))</f>
        <v/>
      </c>
      <c r="O821" s="321">
        <f>SUMIFS(DATA!$M:$M,DATA!$C:$C,$B820,DATA!$N:$N,"&gt;="&amp;DATE($I$2,O$4,1),DATA!$N:$N,"&lt;="&amp;DATE($I$2,O$4,O$5))</f>
        <v/>
      </c>
      <c r="P821" s="322">
        <f>SUM(D821:O821)</f>
        <v/>
      </c>
    </row>
    <row r="822" hidden="1" outlineLevel="1" ht="15" customHeight="1">
      <c r="A822" s="269" t="n">
        <v>409</v>
      </c>
      <c r="B822" s="125" t="n"/>
      <c r="C822" s="119" t="inlineStr">
        <is>
          <t>Kế hoạch</t>
        </is>
      </c>
      <c r="D822" s="321">
        <f>SUMIFS(DATA!$I:$I,DATA!$C:$C,$B822,DATA!$J:$J,"&gt;="&amp;DATE($I$2,D$4,1),DATA!$J:$J,"&lt;="&amp;DATE($I$2,D$4,D$5))</f>
        <v/>
      </c>
      <c r="E822" s="321">
        <f>SUMIFS(DATA!$I:$I,DATA!$C:$C,$B822,DATA!$J:$J,"&gt;="&amp;DATE($I$2,E$4,1),DATA!$J:$J,"&lt;="&amp;DATE($I$2,E$4,E$5))</f>
        <v/>
      </c>
      <c r="F822" s="321">
        <f>SUMIFS(DATA!$I:$I,DATA!$C:$C,$B822,DATA!$J:$J,"&gt;="&amp;DATE($I$2,F$4,1),DATA!$J:$J,"&lt;="&amp;DATE($I$2,F$4,F$5))</f>
        <v/>
      </c>
      <c r="G822" s="321">
        <f>SUMIFS(DATA!$I:$I,DATA!$C:$C,$B822,DATA!$J:$J,"&gt;="&amp;DATE($I$2,G$4,1),DATA!$J:$J,"&lt;="&amp;DATE($I$2,G$4,G$5))</f>
        <v/>
      </c>
      <c r="H822" s="321">
        <f>SUMIFS(DATA!$I:$I,DATA!$C:$C,$B822,DATA!$J:$J,"&gt;="&amp;DATE($I$2,H$4,1),DATA!$J:$J,"&lt;="&amp;DATE($I$2,H$4,H$5))</f>
        <v/>
      </c>
      <c r="I822" s="321">
        <f>SUMIFS(DATA!$I:$I,DATA!$C:$C,$B822,DATA!$J:$J,"&gt;="&amp;DATE($I$2,I$4,1),DATA!$J:$J,"&lt;="&amp;DATE($I$2,I$4,I$5))</f>
        <v/>
      </c>
      <c r="J822" s="321">
        <f>SUMIFS(DATA!$I:$I,DATA!$C:$C,$B822,DATA!$J:$J,"&gt;="&amp;DATE($I$2,J$4,1),DATA!$J:$J,"&lt;="&amp;DATE($I$2,J$4,J$5))</f>
        <v/>
      </c>
      <c r="K822" s="321">
        <f>SUMIFS(DATA!$I:$I,DATA!$C:$C,$B822,DATA!$J:$J,"&gt;="&amp;DATE($I$2,K$4,1),DATA!$J:$J,"&lt;="&amp;DATE($I$2,K$4,K$5))</f>
        <v/>
      </c>
      <c r="L822" s="321">
        <f>SUMIFS(DATA!$I:$I,DATA!$C:$C,$B822,DATA!$J:$J,"&gt;="&amp;DATE($I$2,L$4,1),DATA!$J:$J,"&lt;="&amp;DATE($I$2,L$4,L$5))</f>
        <v/>
      </c>
      <c r="M822" s="321">
        <f>SUMIFS(DATA!$I:$I,DATA!$C:$C,$B822,DATA!$J:$J,"&gt;="&amp;DATE($I$2,M$4,1),DATA!$J:$J,"&lt;="&amp;DATE($I$2,M$4,M$5))</f>
        <v/>
      </c>
      <c r="N822" s="321">
        <f>SUMIFS(DATA!$I:$I,DATA!$C:$C,$B822,DATA!$J:$J,"&gt;="&amp;DATE($I$2,N$4,1),DATA!$J:$J,"&lt;="&amp;DATE($I$2,N$4,N$5))</f>
        <v/>
      </c>
      <c r="O822" s="321">
        <f>SUMIFS(DATA!$I:$I,DATA!$C:$C,$B822,DATA!$J:$J,"&gt;="&amp;DATE($I$2,O$4,1),DATA!$J:$J,"&lt;="&amp;DATE($I$2,O$4,O$5))</f>
        <v/>
      </c>
      <c r="P822" s="322">
        <f>SUM(D822:O822)</f>
        <v/>
      </c>
    </row>
    <row r="823" hidden="1" outlineLevel="1" ht="15" customHeight="1">
      <c r="A823" s="266" t="n"/>
      <c r="B823" s="126" t="n"/>
      <c r="C823" s="119" t="inlineStr">
        <is>
          <t>Thực tế</t>
        </is>
      </c>
      <c r="D823" s="321">
        <f>SUMIFS(DATA!$M:$M,DATA!$C:$C,$B822,DATA!$N:$N,"&gt;="&amp;DATE($I$2,D$4,1),DATA!$N:$N,"&lt;="&amp;DATE($I$2,D$4,D$5))</f>
        <v/>
      </c>
      <c r="E823" s="321">
        <f>SUMIFS(DATA!$M:$M,DATA!$C:$C,$B822,DATA!$N:$N,"&gt;="&amp;DATE($I$2,E$4,1),DATA!$N:$N,"&lt;="&amp;DATE($I$2,E$4,E$5))</f>
        <v/>
      </c>
      <c r="F823" s="321">
        <f>SUMIFS(DATA!$M:$M,DATA!$C:$C,$B822,DATA!$N:$N,"&gt;="&amp;DATE($I$2,F$4,1),DATA!$N:$N,"&lt;="&amp;DATE($I$2,F$4,F$5))</f>
        <v/>
      </c>
      <c r="G823" s="321">
        <f>SUMIFS(DATA!$M:$M,DATA!$C:$C,$B822,DATA!$N:$N,"&gt;="&amp;DATE($I$2,G$4,1),DATA!$N:$N,"&lt;="&amp;DATE($I$2,G$4,G$5))</f>
        <v/>
      </c>
      <c r="H823" s="321">
        <f>SUMIFS(DATA!$M:$M,DATA!$C:$C,$B822,DATA!$N:$N,"&gt;="&amp;DATE($I$2,H$4,1),DATA!$N:$N,"&lt;="&amp;DATE($I$2,H$4,H$5))</f>
        <v/>
      </c>
      <c r="I823" s="321">
        <f>SUMIFS(DATA!$M:$M,DATA!$C:$C,$B822,DATA!$N:$N,"&gt;="&amp;DATE($I$2,I$4,1),DATA!$N:$N,"&lt;="&amp;DATE($I$2,I$4,I$5))</f>
        <v/>
      </c>
      <c r="J823" s="321">
        <f>SUMIFS(DATA!$M:$M,DATA!$C:$C,$B822,DATA!$N:$N,"&gt;="&amp;DATE($I$2,J$4,1),DATA!$N:$N,"&lt;="&amp;DATE($I$2,J$4,J$5))</f>
        <v/>
      </c>
      <c r="K823" s="321">
        <f>SUMIFS(DATA!$M:$M,DATA!$C:$C,$B822,DATA!$N:$N,"&gt;="&amp;DATE($I$2,K$4,1),DATA!$N:$N,"&lt;="&amp;DATE($I$2,K$4,K$5))</f>
        <v/>
      </c>
      <c r="L823" s="321">
        <f>SUMIFS(DATA!$M:$M,DATA!$C:$C,$B822,DATA!$N:$N,"&gt;="&amp;DATE($I$2,L$4,1),DATA!$N:$N,"&lt;="&amp;DATE($I$2,L$4,L$5))</f>
        <v/>
      </c>
      <c r="M823" s="321">
        <f>SUMIFS(DATA!$M:$M,DATA!$C:$C,$B822,DATA!$N:$N,"&gt;="&amp;DATE($I$2,M$4,1),DATA!$N:$N,"&lt;="&amp;DATE($I$2,M$4,M$5))</f>
        <v/>
      </c>
      <c r="N823" s="321">
        <f>SUMIFS(DATA!$M:$M,DATA!$C:$C,$B822,DATA!$N:$N,"&gt;="&amp;DATE($I$2,N$4,1),DATA!$N:$N,"&lt;="&amp;DATE($I$2,N$4,N$5))</f>
        <v/>
      </c>
      <c r="O823" s="321">
        <f>SUMIFS(DATA!$M:$M,DATA!$C:$C,$B822,DATA!$N:$N,"&gt;="&amp;DATE($I$2,O$4,1),DATA!$N:$N,"&lt;="&amp;DATE($I$2,O$4,O$5))</f>
        <v/>
      </c>
      <c r="P823" s="322">
        <f>SUM(D823:O823)</f>
        <v/>
      </c>
    </row>
    <row r="824" hidden="1" outlineLevel="1" ht="15" customHeight="1">
      <c r="A824" s="269" t="n">
        <v>410</v>
      </c>
      <c r="B824" s="125" t="n"/>
      <c r="C824" s="119" t="inlineStr">
        <is>
          <t>Kế hoạch</t>
        </is>
      </c>
      <c r="D824" s="321">
        <f>SUMIFS(DATA!$I:$I,DATA!$C:$C,$B824,DATA!$J:$J,"&gt;="&amp;DATE($I$2,D$4,1),DATA!$J:$J,"&lt;="&amp;DATE($I$2,D$4,D$5))</f>
        <v/>
      </c>
      <c r="E824" s="321">
        <f>SUMIFS(DATA!$I:$I,DATA!$C:$C,$B824,DATA!$J:$J,"&gt;="&amp;DATE($I$2,E$4,1),DATA!$J:$J,"&lt;="&amp;DATE($I$2,E$4,E$5))</f>
        <v/>
      </c>
      <c r="F824" s="321">
        <f>SUMIFS(DATA!$I:$I,DATA!$C:$C,$B824,DATA!$J:$J,"&gt;="&amp;DATE($I$2,F$4,1),DATA!$J:$J,"&lt;="&amp;DATE($I$2,F$4,F$5))</f>
        <v/>
      </c>
      <c r="G824" s="321">
        <f>SUMIFS(DATA!$I:$I,DATA!$C:$C,$B824,DATA!$J:$J,"&gt;="&amp;DATE($I$2,G$4,1),DATA!$J:$J,"&lt;="&amp;DATE($I$2,G$4,G$5))</f>
        <v/>
      </c>
      <c r="H824" s="321">
        <f>SUMIFS(DATA!$I:$I,DATA!$C:$C,$B824,DATA!$J:$J,"&gt;="&amp;DATE($I$2,H$4,1),DATA!$J:$J,"&lt;="&amp;DATE($I$2,H$4,H$5))</f>
        <v/>
      </c>
      <c r="I824" s="321">
        <f>SUMIFS(DATA!$I:$I,DATA!$C:$C,$B824,DATA!$J:$J,"&gt;="&amp;DATE($I$2,I$4,1),DATA!$J:$J,"&lt;="&amp;DATE($I$2,I$4,I$5))</f>
        <v/>
      </c>
      <c r="J824" s="321">
        <f>SUMIFS(DATA!$I:$I,DATA!$C:$C,$B824,DATA!$J:$J,"&gt;="&amp;DATE($I$2,J$4,1),DATA!$J:$J,"&lt;="&amp;DATE($I$2,J$4,J$5))</f>
        <v/>
      </c>
      <c r="K824" s="321">
        <f>SUMIFS(DATA!$I:$I,DATA!$C:$C,$B824,DATA!$J:$J,"&gt;="&amp;DATE($I$2,K$4,1),DATA!$J:$J,"&lt;="&amp;DATE($I$2,K$4,K$5))</f>
        <v/>
      </c>
      <c r="L824" s="321">
        <f>SUMIFS(DATA!$I:$I,DATA!$C:$C,$B824,DATA!$J:$J,"&gt;="&amp;DATE($I$2,L$4,1),DATA!$J:$J,"&lt;="&amp;DATE($I$2,L$4,L$5))</f>
        <v/>
      </c>
      <c r="M824" s="321">
        <f>SUMIFS(DATA!$I:$I,DATA!$C:$C,$B824,DATA!$J:$J,"&gt;="&amp;DATE($I$2,M$4,1),DATA!$J:$J,"&lt;="&amp;DATE($I$2,M$4,M$5))</f>
        <v/>
      </c>
      <c r="N824" s="321">
        <f>SUMIFS(DATA!$I:$I,DATA!$C:$C,$B824,DATA!$J:$J,"&gt;="&amp;DATE($I$2,N$4,1),DATA!$J:$J,"&lt;="&amp;DATE($I$2,N$4,N$5))</f>
        <v/>
      </c>
      <c r="O824" s="321">
        <f>SUMIFS(DATA!$I:$I,DATA!$C:$C,$B824,DATA!$J:$J,"&gt;="&amp;DATE($I$2,O$4,1),DATA!$J:$J,"&lt;="&amp;DATE($I$2,O$4,O$5))</f>
        <v/>
      </c>
      <c r="P824" s="322">
        <f>SUM(D824:O824)</f>
        <v/>
      </c>
    </row>
    <row r="825" hidden="1" outlineLevel="1" ht="15" customHeight="1">
      <c r="A825" s="266" t="n"/>
      <c r="B825" s="126" t="n"/>
      <c r="C825" s="119" t="inlineStr">
        <is>
          <t>Thực tế</t>
        </is>
      </c>
      <c r="D825" s="321">
        <f>SUMIFS(DATA!$M:$M,DATA!$C:$C,$B824,DATA!$N:$N,"&gt;="&amp;DATE($I$2,D$4,1),DATA!$N:$N,"&lt;="&amp;DATE($I$2,D$4,D$5))</f>
        <v/>
      </c>
      <c r="E825" s="321">
        <f>SUMIFS(DATA!$M:$M,DATA!$C:$C,$B824,DATA!$N:$N,"&gt;="&amp;DATE($I$2,E$4,1),DATA!$N:$N,"&lt;="&amp;DATE($I$2,E$4,E$5))</f>
        <v/>
      </c>
      <c r="F825" s="321">
        <f>SUMIFS(DATA!$M:$M,DATA!$C:$C,$B824,DATA!$N:$N,"&gt;="&amp;DATE($I$2,F$4,1),DATA!$N:$N,"&lt;="&amp;DATE($I$2,F$4,F$5))</f>
        <v/>
      </c>
      <c r="G825" s="321">
        <f>SUMIFS(DATA!$M:$M,DATA!$C:$C,$B824,DATA!$N:$N,"&gt;="&amp;DATE($I$2,G$4,1),DATA!$N:$N,"&lt;="&amp;DATE($I$2,G$4,G$5))</f>
        <v/>
      </c>
      <c r="H825" s="321">
        <f>SUMIFS(DATA!$M:$M,DATA!$C:$C,$B824,DATA!$N:$N,"&gt;="&amp;DATE($I$2,H$4,1),DATA!$N:$N,"&lt;="&amp;DATE($I$2,H$4,H$5))</f>
        <v/>
      </c>
      <c r="I825" s="321">
        <f>SUMIFS(DATA!$M:$M,DATA!$C:$C,$B824,DATA!$N:$N,"&gt;="&amp;DATE($I$2,I$4,1),DATA!$N:$N,"&lt;="&amp;DATE($I$2,I$4,I$5))</f>
        <v/>
      </c>
      <c r="J825" s="321">
        <f>SUMIFS(DATA!$M:$M,DATA!$C:$C,$B824,DATA!$N:$N,"&gt;="&amp;DATE($I$2,J$4,1),DATA!$N:$N,"&lt;="&amp;DATE($I$2,J$4,J$5))</f>
        <v/>
      </c>
      <c r="K825" s="321">
        <f>SUMIFS(DATA!$M:$M,DATA!$C:$C,$B824,DATA!$N:$N,"&gt;="&amp;DATE($I$2,K$4,1),DATA!$N:$N,"&lt;="&amp;DATE($I$2,K$4,K$5))</f>
        <v/>
      </c>
      <c r="L825" s="321">
        <f>SUMIFS(DATA!$M:$M,DATA!$C:$C,$B824,DATA!$N:$N,"&gt;="&amp;DATE($I$2,L$4,1),DATA!$N:$N,"&lt;="&amp;DATE($I$2,L$4,L$5))</f>
        <v/>
      </c>
      <c r="M825" s="321">
        <f>SUMIFS(DATA!$M:$M,DATA!$C:$C,$B824,DATA!$N:$N,"&gt;="&amp;DATE($I$2,M$4,1),DATA!$N:$N,"&lt;="&amp;DATE($I$2,M$4,M$5))</f>
        <v/>
      </c>
      <c r="N825" s="321">
        <f>SUMIFS(DATA!$M:$M,DATA!$C:$C,$B824,DATA!$N:$N,"&gt;="&amp;DATE($I$2,N$4,1),DATA!$N:$N,"&lt;="&amp;DATE($I$2,N$4,N$5))</f>
        <v/>
      </c>
      <c r="O825" s="321">
        <f>SUMIFS(DATA!$M:$M,DATA!$C:$C,$B824,DATA!$N:$N,"&gt;="&amp;DATE($I$2,O$4,1),DATA!$N:$N,"&lt;="&amp;DATE($I$2,O$4,O$5))</f>
        <v/>
      </c>
      <c r="P825" s="322">
        <f>SUM(D825:O825)</f>
        <v/>
      </c>
    </row>
    <row r="826" hidden="1" outlineLevel="1" ht="15" customHeight="1">
      <c r="A826" s="269" t="n">
        <v>411</v>
      </c>
      <c r="B826" s="125" t="n"/>
      <c r="C826" s="119" t="inlineStr">
        <is>
          <t>Kế hoạch</t>
        </is>
      </c>
      <c r="D826" s="321">
        <f>SUMIFS(DATA!$I:$I,DATA!$C:$C,$B826,DATA!$J:$J,"&gt;="&amp;DATE($I$2,D$4,1),DATA!$J:$J,"&lt;="&amp;DATE($I$2,D$4,D$5))</f>
        <v/>
      </c>
      <c r="E826" s="321">
        <f>SUMIFS(DATA!$I:$I,DATA!$C:$C,$B826,DATA!$J:$J,"&gt;="&amp;DATE($I$2,E$4,1),DATA!$J:$J,"&lt;="&amp;DATE($I$2,E$4,E$5))</f>
        <v/>
      </c>
      <c r="F826" s="321">
        <f>SUMIFS(DATA!$I:$I,DATA!$C:$C,$B826,DATA!$J:$J,"&gt;="&amp;DATE($I$2,F$4,1),DATA!$J:$J,"&lt;="&amp;DATE($I$2,F$4,F$5))</f>
        <v/>
      </c>
      <c r="G826" s="321">
        <f>SUMIFS(DATA!$I:$I,DATA!$C:$C,$B826,DATA!$J:$J,"&gt;="&amp;DATE($I$2,G$4,1),DATA!$J:$J,"&lt;="&amp;DATE($I$2,G$4,G$5))</f>
        <v/>
      </c>
      <c r="H826" s="321">
        <f>SUMIFS(DATA!$I:$I,DATA!$C:$C,$B826,DATA!$J:$J,"&gt;="&amp;DATE($I$2,H$4,1),DATA!$J:$J,"&lt;="&amp;DATE($I$2,H$4,H$5))</f>
        <v/>
      </c>
      <c r="I826" s="321">
        <f>SUMIFS(DATA!$I:$I,DATA!$C:$C,$B826,DATA!$J:$J,"&gt;="&amp;DATE($I$2,I$4,1),DATA!$J:$J,"&lt;="&amp;DATE($I$2,I$4,I$5))</f>
        <v/>
      </c>
      <c r="J826" s="321">
        <f>SUMIFS(DATA!$I:$I,DATA!$C:$C,$B826,DATA!$J:$J,"&gt;="&amp;DATE($I$2,J$4,1),DATA!$J:$J,"&lt;="&amp;DATE($I$2,J$4,J$5))</f>
        <v/>
      </c>
      <c r="K826" s="321">
        <f>SUMIFS(DATA!$I:$I,DATA!$C:$C,$B826,DATA!$J:$J,"&gt;="&amp;DATE($I$2,K$4,1),DATA!$J:$J,"&lt;="&amp;DATE($I$2,K$4,K$5))</f>
        <v/>
      </c>
      <c r="L826" s="321">
        <f>SUMIFS(DATA!$I:$I,DATA!$C:$C,$B826,DATA!$J:$J,"&gt;="&amp;DATE($I$2,L$4,1),DATA!$J:$J,"&lt;="&amp;DATE($I$2,L$4,L$5))</f>
        <v/>
      </c>
      <c r="M826" s="321">
        <f>SUMIFS(DATA!$I:$I,DATA!$C:$C,$B826,DATA!$J:$J,"&gt;="&amp;DATE($I$2,M$4,1),DATA!$J:$J,"&lt;="&amp;DATE($I$2,M$4,M$5))</f>
        <v/>
      </c>
      <c r="N826" s="321">
        <f>SUMIFS(DATA!$I:$I,DATA!$C:$C,$B826,DATA!$J:$J,"&gt;="&amp;DATE($I$2,N$4,1),DATA!$J:$J,"&lt;="&amp;DATE($I$2,N$4,N$5))</f>
        <v/>
      </c>
      <c r="O826" s="321">
        <f>SUMIFS(DATA!$I:$I,DATA!$C:$C,$B826,DATA!$J:$J,"&gt;="&amp;DATE($I$2,O$4,1),DATA!$J:$J,"&lt;="&amp;DATE($I$2,O$4,O$5))</f>
        <v/>
      </c>
      <c r="P826" s="322">
        <f>SUM(D826:O826)</f>
        <v/>
      </c>
    </row>
    <row r="827" hidden="1" outlineLevel="1" ht="15" customHeight="1">
      <c r="A827" s="266" t="n"/>
      <c r="B827" s="126" t="n"/>
      <c r="C827" s="119" t="inlineStr">
        <is>
          <t>Thực tế</t>
        </is>
      </c>
      <c r="D827" s="321">
        <f>SUMIFS(DATA!$M:$M,DATA!$C:$C,$B826,DATA!$N:$N,"&gt;="&amp;DATE($I$2,D$4,1),DATA!$N:$N,"&lt;="&amp;DATE($I$2,D$4,D$5))</f>
        <v/>
      </c>
      <c r="E827" s="321">
        <f>SUMIFS(DATA!$M:$M,DATA!$C:$C,$B826,DATA!$N:$N,"&gt;="&amp;DATE($I$2,E$4,1),DATA!$N:$N,"&lt;="&amp;DATE($I$2,E$4,E$5))</f>
        <v/>
      </c>
      <c r="F827" s="321">
        <f>SUMIFS(DATA!$M:$M,DATA!$C:$C,$B826,DATA!$N:$N,"&gt;="&amp;DATE($I$2,F$4,1),DATA!$N:$N,"&lt;="&amp;DATE($I$2,F$4,F$5))</f>
        <v/>
      </c>
      <c r="G827" s="321">
        <f>SUMIFS(DATA!$M:$M,DATA!$C:$C,$B826,DATA!$N:$N,"&gt;="&amp;DATE($I$2,G$4,1),DATA!$N:$N,"&lt;="&amp;DATE($I$2,G$4,G$5))</f>
        <v/>
      </c>
      <c r="H827" s="321">
        <f>SUMIFS(DATA!$M:$M,DATA!$C:$C,$B826,DATA!$N:$N,"&gt;="&amp;DATE($I$2,H$4,1),DATA!$N:$N,"&lt;="&amp;DATE($I$2,H$4,H$5))</f>
        <v/>
      </c>
      <c r="I827" s="321">
        <f>SUMIFS(DATA!$M:$M,DATA!$C:$C,$B826,DATA!$N:$N,"&gt;="&amp;DATE($I$2,I$4,1),DATA!$N:$N,"&lt;="&amp;DATE($I$2,I$4,I$5))</f>
        <v/>
      </c>
      <c r="J827" s="321">
        <f>SUMIFS(DATA!$M:$M,DATA!$C:$C,$B826,DATA!$N:$N,"&gt;="&amp;DATE($I$2,J$4,1),DATA!$N:$N,"&lt;="&amp;DATE($I$2,J$4,J$5))</f>
        <v/>
      </c>
      <c r="K827" s="321">
        <f>SUMIFS(DATA!$M:$M,DATA!$C:$C,$B826,DATA!$N:$N,"&gt;="&amp;DATE($I$2,K$4,1),DATA!$N:$N,"&lt;="&amp;DATE($I$2,K$4,K$5))</f>
        <v/>
      </c>
      <c r="L827" s="321">
        <f>SUMIFS(DATA!$M:$M,DATA!$C:$C,$B826,DATA!$N:$N,"&gt;="&amp;DATE($I$2,L$4,1),DATA!$N:$N,"&lt;="&amp;DATE($I$2,L$4,L$5))</f>
        <v/>
      </c>
      <c r="M827" s="321">
        <f>SUMIFS(DATA!$M:$M,DATA!$C:$C,$B826,DATA!$N:$N,"&gt;="&amp;DATE($I$2,M$4,1),DATA!$N:$N,"&lt;="&amp;DATE($I$2,M$4,M$5))</f>
        <v/>
      </c>
      <c r="N827" s="321">
        <f>SUMIFS(DATA!$M:$M,DATA!$C:$C,$B826,DATA!$N:$N,"&gt;="&amp;DATE($I$2,N$4,1),DATA!$N:$N,"&lt;="&amp;DATE($I$2,N$4,N$5))</f>
        <v/>
      </c>
      <c r="O827" s="321">
        <f>SUMIFS(DATA!$M:$M,DATA!$C:$C,$B826,DATA!$N:$N,"&gt;="&amp;DATE($I$2,O$4,1),DATA!$N:$N,"&lt;="&amp;DATE($I$2,O$4,O$5))</f>
        <v/>
      </c>
      <c r="P827" s="322">
        <f>SUM(D827:O827)</f>
        <v/>
      </c>
    </row>
    <row r="828" hidden="1" outlineLevel="1" ht="15" customHeight="1">
      <c r="A828" s="269" t="n">
        <v>412</v>
      </c>
      <c r="B828" s="125" t="n"/>
      <c r="C828" s="119" t="inlineStr">
        <is>
          <t>Kế hoạch</t>
        </is>
      </c>
      <c r="D828" s="321">
        <f>SUMIFS(DATA!$I:$I,DATA!$C:$C,$B828,DATA!$J:$J,"&gt;="&amp;DATE($I$2,D$4,1),DATA!$J:$J,"&lt;="&amp;DATE($I$2,D$4,D$5))</f>
        <v/>
      </c>
      <c r="E828" s="321">
        <f>SUMIFS(DATA!$I:$I,DATA!$C:$C,$B828,DATA!$J:$J,"&gt;="&amp;DATE($I$2,E$4,1),DATA!$J:$J,"&lt;="&amp;DATE($I$2,E$4,E$5))</f>
        <v/>
      </c>
      <c r="F828" s="321">
        <f>SUMIFS(DATA!$I:$I,DATA!$C:$C,$B828,DATA!$J:$J,"&gt;="&amp;DATE($I$2,F$4,1),DATA!$J:$J,"&lt;="&amp;DATE($I$2,F$4,F$5))</f>
        <v/>
      </c>
      <c r="G828" s="321">
        <f>SUMIFS(DATA!$I:$I,DATA!$C:$C,$B828,DATA!$J:$J,"&gt;="&amp;DATE($I$2,G$4,1),DATA!$J:$J,"&lt;="&amp;DATE($I$2,G$4,G$5))</f>
        <v/>
      </c>
      <c r="H828" s="321">
        <f>SUMIFS(DATA!$I:$I,DATA!$C:$C,$B828,DATA!$J:$J,"&gt;="&amp;DATE($I$2,H$4,1),DATA!$J:$J,"&lt;="&amp;DATE($I$2,H$4,H$5))</f>
        <v/>
      </c>
      <c r="I828" s="321">
        <f>SUMIFS(DATA!$I:$I,DATA!$C:$C,$B828,DATA!$J:$J,"&gt;="&amp;DATE($I$2,I$4,1),DATA!$J:$J,"&lt;="&amp;DATE($I$2,I$4,I$5))</f>
        <v/>
      </c>
      <c r="J828" s="321">
        <f>SUMIFS(DATA!$I:$I,DATA!$C:$C,$B828,DATA!$J:$J,"&gt;="&amp;DATE($I$2,J$4,1),DATA!$J:$J,"&lt;="&amp;DATE($I$2,J$4,J$5))</f>
        <v/>
      </c>
      <c r="K828" s="321">
        <f>SUMIFS(DATA!$I:$I,DATA!$C:$C,$B828,DATA!$J:$J,"&gt;="&amp;DATE($I$2,K$4,1),DATA!$J:$J,"&lt;="&amp;DATE($I$2,K$4,K$5))</f>
        <v/>
      </c>
      <c r="L828" s="321">
        <f>SUMIFS(DATA!$I:$I,DATA!$C:$C,$B828,DATA!$J:$J,"&gt;="&amp;DATE($I$2,L$4,1),DATA!$J:$J,"&lt;="&amp;DATE($I$2,L$4,L$5))</f>
        <v/>
      </c>
      <c r="M828" s="321">
        <f>SUMIFS(DATA!$I:$I,DATA!$C:$C,$B828,DATA!$J:$J,"&gt;="&amp;DATE($I$2,M$4,1),DATA!$J:$J,"&lt;="&amp;DATE($I$2,M$4,M$5))</f>
        <v/>
      </c>
      <c r="N828" s="321">
        <f>SUMIFS(DATA!$I:$I,DATA!$C:$C,$B828,DATA!$J:$J,"&gt;="&amp;DATE($I$2,N$4,1),DATA!$J:$J,"&lt;="&amp;DATE($I$2,N$4,N$5))</f>
        <v/>
      </c>
      <c r="O828" s="321">
        <f>SUMIFS(DATA!$I:$I,DATA!$C:$C,$B828,DATA!$J:$J,"&gt;="&amp;DATE($I$2,O$4,1),DATA!$J:$J,"&lt;="&amp;DATE($I$2,O$4,O$5))</f>
        <v/>
      </c>
      <c r="P828" s="322">
        <f>SUM(D828:O828)</f>
        <v/>
      </c>
    </row>
    <row r="829" hidden="1" outlineLevel="1" ht="15" customHeight="1">
      <c r="A829" s="266" t="n"/>
      <c r="B829" s="126" t="n"/>
      <c r="C829" s="119" t="inlineStr">
        <is>
          <t>Thực tế</t>
        </is>
      </c>
      <c r="D829" s="321">
        <f>SUMIFS(DATA!$M:$M,DATA!$C:$C,$B828,DATA!$N:$N,"&gt;="&amp;DATE($I$2,D$4,1),DATA!$N:$N,"&lt;="&amp;DATE($I$2,D$4,D$5))</f>
        <v/>
      </c>
      <c r="E829" s="321">
        <f>SUMIFS(DATA!$M:$M,DATA!$C:$C,$B828,DATA!$N:$N,"&gt;="&amp;DATE($I$2,E$4,1),DATA!$N:$N,"&lt;="&amp;DATE($I$2,E$4,E$5))</f>
        <v/>
      </c>
      <c r="F829" s="321">
        <f>SUMIFS(DATA!$M:$M,DATA!$C:$C,$B828,DATA!$N:$N,"&gt;="&amp;DATE($I$2,F$4,1),DATA!$N:$N,"&lt;="&amp;DATE($I$2,F$4,F$5))</f>
        <v/>
      </c>
      <c r="G829" s="321">
        <f>SUMIFS(DATA!$M:$M,DATA!$C:$C,$B828,DATA!$N:$N,"&gt;="&amp;DATE($I$2,G$4,1),DATA!$N:$N,"&lt;="&amp;DATE($I$2,G$4,G$5))</f>
        <v/>
      </c>
      <c r="H829" s="321">
        <f>SUMIFS(DATA!$M:$M,DATA!$C:$C,$B828,DATA!$N:$N,"&gt;="&amp;DATE($I$2,H$4,1),DATA!$N:$N,"&lt;="&amp;DATE($I$2,H$4,H$5))</f>
        <v/>
      </c>
      <c r="I829" s="321">
        <f>SUMIFS(DATA!$M:$M,DATA!$C:$C,$B828,DATA!$N:$N,"&gt;="&amp;DATE($I$2,I$4,1),DATA!$N:$N,"&lt;="&amp;DATE($I$2,I$4,I$5))</f>
        <v/>
      </c>
      <c r="J829" s="321">
        <f>SUMIFS(DATA!$M:$M,DATA!$C:$C,$B828,DATA!$N:$N,"&gt;="&amp;DATE($I$2,J$4,1),DATA!$N:$N,"&lt;="&amp;DATE($I$2,J$4,J$5))</f>
        <v/>
      </c>
      <c r="K829" s="321">
        <f>SUMIFS(DATA!$M:$M,DATA!$C:$C,$B828,DATA!$N:$N,"&gt;="&amp;DATE($I$2,K$4,1),DATA!$N:$N,"&lt;="&amp;DATE($I$2,K$4,K$5))</f>
        <v/>
      </c>
      <c r="L829" s="321">
        <f>SUMIFS(DATA!$M:$M,DATA!$C:$C,$B828,DATA!$N:$N,"&gt;="&amp;DATE($I$2,L$4,1),DATA!$N:$N,"&lt;="&amp;DATE($I$2,L$4,L$5))</f>
        <v/>
      </c>
      <c r="M829" s="321">
        <f>SUMIFS(DATA!$M:$M,DATA!$C:$C,$B828,DATA!$N:$N,"&gt;="&amp;DATE($I$2,M$4,1),DATA!$N:$N,"&lt;="&amp;DATE($I$2,M$4,M$5))</f>
        <v/>
      </c>
      <c r="N829" s="321">
        <f>SUMIFS(DATA!$M:$M,DATA!$C:$C,$B828,DATA!$N:$N,"&gt;="&amp;DATE($I$2,N$4,1),DATA!$N:$N,"&lt;="&amp;DATE($I$2,N$4,N$5))</f>
        <v/>
      </c>
      <c r="O829" s="321">
        <f>SUMIFS(DATA!$M:$M,DATA!$C:$C,$B828,DATA!$N:$N,"&gt;="&amp;DATE($I$2,O$4,1),DATA!$N:$N,"&lt;="&amp;DATE($I$2,O$4,O$5))</f>
        <v/>
      </c>
      <c r="P829" s="322">
        <f>SUM(D829:O829)</f>
        <v/>
      </c>
    </row>
    <row r="830" hidden="1" outlineLevel="1" ht="15" customHeight="1">
      <c r="A830" s="269" t="n">
        <v>413</v>
      </c>
      <c r="B830" s="125" t="n"/>
      <c r="C830" s="119" t="inlineStr">
        <is>
          <t>Kế hoạch</t>
        </is>
      </c>
      <c r="D830" s="321">
        <f>SUMIFS(DATA!$I:$I,DATA!$C:$C,$B830,DATA!$J:$J,"&gt;="&amp;DATE($I$2,D$4,1),DATA!$J:$J,"&lt;="&amp;DATE($I$2,D$4,D$5))</f>
        <v/>
      </c>
      <c r="E830" s="321">
        <f>SUMIFS(DATA!$I:$I,DATA!$C:$C,$B830,DATA!$J:$J,"&gt;="&amp;DATE($I$2,E$4,1),DATA!$J:$J,"&lt;="&amp;DATE($I$2,E$4,E$5))</f>
        <v/>
      </c>
      <c r="F830" s="321">
        <f>SUMIFS(DATA!$I:$I,DATA!$C:$C,$B830,DATA!$J:$J,"&gt;="&amp;DATE($I$2,F$4,1),DATA!$J:$J,"&lt;="&amp;DATE($I$2,F$4,F$5))</f>
        <v/>
      </c>
      <c r="G830" s="321">
        <f>SUMIFS(DATA!$I:$I,DATA!$C:$C,$B830,DATA!$J:$J,"&gt;="&amp;DATE($I$2,G$4,1),DATA!$J:$J,"&lt;="&amp;DATE($I$2,G$4,G$5))</f>
        <v/>
      </c>
      <c r="H830" s="321">
        <f>SUMIFS(DATA!$I:$I,DATA!$C:$C,$B830,DATA!$J:$J,"&gt;="&amp;DATE($I$2,H$4,1),DATA!$J:$J,"&lt;="&amp;DATE($I$2,H$4,H$5))</f>
        <v/>
      </c>
      <c r="I830" s="321">
        <f>SUMIFS(DATA!$I:$I,DATA!$C:$C,$B830,DATA!$J:$J,"&gt;="&amp;DATE($I$2,I$4,1),DATA!$J:$J,"&lt;="&amp;DATE($I$2,I$4,I$5))</f>
        <v/>
      </c>
      <c r="J830" s="321">
        <f>SUMIFS(DATA!$I:$I,DATA!$C:$C,$B830,DATA!$J:$J,"&gt;="&amp;DATE($I$2,J$4,1),DATA!$J:$J,"&lt;="&amp;DATE($I$2,J$4,J$5))</f>
        <v/>
      </c>
      <c r="K830" s="321">
        <f>SUMIFS(DATA!$I:$I,DATA!$C:$C,$B830,DATA!$J:$J,"&gt;="&amp;DATE($I$2,K$4,1),DATA!$J:$J,"&lt;="&amp;DATE($I$2,K$4,K$5))</f>
        <v/>
      </c>
      <c r="L830" s="321">
        <f>SUMIFS(DATA!$I:$I,DATA!$C:$C,$B830,DATA!$J:$J,"&gt;="&amp;DATE($I$2,L$4,1),DATA!$J:$J,"&lt;="&amp;DATE($I$2,L$4,L$5))</f>
        <v/>
      </c>
      <c r="M830" s="321">
        <f>SUMIFS(DATA!$I:$I,DATA!$C:$C,$B830,DATA!$J:$J,"&gt;="&amp;DATE($I$2,M$4,1),DATA!$J:$J,"&lt;="&amp;DATE($I$2,M$4,M$5))</f>
        <v/>
      </c>
      <c r="N830" s="321">
        <f>SUMIFS(DATA!$I:$I,DATA!$C:$C,$B830,DATA!$J:$J,"&gt;="&amp;DATE($I$2,N$4,1),DATA!$J:$J,"&lt;="&amp;DATE($I$2,N$4,N$5))</f>
        <v/>
      </c>
      <c r="O830" s="321">
        <f>SUMIFS(DATA!$I:$I,DATA!$C:$C,$B830,DATA!$J:$J,"&gt;="&amp;DATE($I$2,O$4,1),DATA!$J:$J,"&lt;="&amp;DATE($I$2,O$4,O$5))</f>
        <v/>
      </c>
      <c r="P830" s="322">
        <f>SUM(D830:O830)</f>
        <v/>
      </c>
    </row>
    <row r="831" hidden="1" outlineLevel="1" ht="15" customHeight="1">
      <c r="A831" s="266" t="n"/>
      <c r="B831" s="126" t="n"/>
      <c r="C831" s="119" t="inlineStr">
        <is>
          <t>Thực tế</t>
        </is>
      </c>
      <c r="D831" s="321">
        <f>SUMIFS(DATA!$M:$M,DATA!$C:$C,$B830,DATA!$N:$N,"&gt;="&amp;DATE($I$2,D$4,1),DATA!$N:$N,"&lt;="&amp;DATE($I$2,D$4,D$5))</f>
        <v/>
      </c>
      <c r="E831" s="321">
        <f>SUMIFS(DATA!$M:$M,DATA!$C:$C,$B830,DATA!$N:$N,"&gt;="&amp;DATE($I$2,E$4,1),DATA!$N:$N,"&lt;="&amp;DATE($I$2,E$4,E$5))</f>
        <v/>
      </c>
      <c r="F831" s="321">
        <f>SUMIFS(DATA!$M:$M,DATA!$C:$C,$B830,DATA!$N:$N,"&gt;="&amp;DATE($I$2,F$4,1),DATA!$N:$N,"&lt;="&amp;DATE($I$2,F$4,F$5))</f>
        <v/>
      </c>
      <c r="G831" s="321">
        <f>SUMIFS(DATA!$M:$M,DATA!$C:$C,$B830,DATA!$N:$N,"&gt;="&amp;DATE($I$2,G$4,1),DATA!$N:$N,"&lt;="&amp;DATE($I$2,G$4,G$5))</f>
        <v/>
      </c>
      <c r="H831" s="321">
        <f>SUMIFS(DATA!$M:$M,DATA!$C:$C,$B830,DATA!$N:$N,"&gt;="&amp;DATE($I$2,H$4,1),DATA!$N:$N,"&lt;="&amp;DATE($I$2,H$4,H$5))</f>
        <v/>
      </c>
      <c r="I831" s="321">
        <f>SUMIFS(DATA!$M:$M,DATA!$C:$C,$B830,DATA!$N:$N,"&gt;="&amp;DATE($I$2,I$4,1),DATA!$N:$N,"&lt;="&amp;DATE($I$2,I$4,I$5))</f>
        <v/>
      </c>
      <c r="J831" s="321">
        <f>SUMIFS(DATA!$M:$M,DATA!$C:$C,$B830,DATA!$N:$N,"&gt;="&amp;DATE($I$2,J$4,1),DATA!$N:$N,"&lt;="&amp;DATE($I$2,J$4,J$5))</f>
        <v/>
      </c>
      <c r="K831" s="321">
        <f>SUMIFS(DATA!$M:$M,DATA!$C:$C,$B830,DATA!$N:$N,"&gt;="&amp;DATE($I$2,K$4,1),DATA!$N:$N,"&lt;="&amp;DATE($I$2,K$4,K$5))</f>
        <v/>
      </c>
      <c r="L831" s="321">
        <f>SUMIFS(DATA!$M:$M,DATA!$C:$C,$B830,DATA!$N:$N,"&gt;="&amp;DATE($I$2,L$4,1),DATA!$N:$N,"&lt;="&amp;DATE($I$2,L$4,L$5))</f>
        <v/>
      </c>
      <c r="M831" s="321">
        <f>SUMIFS(DATA!$M:$M,DATA!$C:$C,$B830,DATA!$N:$N,"&gt;="&amp;DATE($I$2,M$4,1),DATA!$N:$N,"&lt;="&amp;DATE($I$2,M$4,M$5))</f>
        <v/>
      </c>
      <c r="N831" s="321">
        <f>SUMIFS(DATA!$M:$M,DATA!$C:$C,$B830,DATA!$N:$N,"&gt;="&amp;DATE($I$2,N$4,1),DATA!$N:$N,"&lt;="&amp;DATE($I$2,N$4,N$5))</f>
        <v/>
      </c>
      <c r="O831" s="321">
        <f>SUMIFS(DATA!$M:$M,DATA!$C:$C,$B830,DATA!$N:$N,"&gt;="&amp;DATE($I$2,O$4,1),DATA!$N:$N,"&lt;="&amp;DATE($I$2,O$4,O$5))</f>
        <v/>
      </c>
      <c r="P831" s="322">
        <f>SUM(D831:O831)</f>
        <v/>
      </c>
    </row>
    <row r="832" hidden="1" outlineLevel="1" ht="15" customHeight="1">
      <c r="A832" s="269" t="n">
        <v>414</v>
      </c>
      <c r="B832" s="125" t="n"/>
      <c r="C832" s="119" t="inlineStr">
        <is>
          <t>Kế hoạch</t>
        </is>
      </c>
      <c r="D832" s="321">
        <f>SUMIFS(DATA!$I:$I,DATA!$C:$C,$B832,DATA!$J:$J,"&gt;="&amp;DATE($I$2,D$4,1),DATA!$J:$J,"&lt;="&amp;DATE($I$2,D$4,D$5))</f>
        <v/>
      </c>
      <c r="E832" s="321">
        <f>SUMIFS(DATA!$I:$I,DATA!$C:$C,$B832,DATA!$J:$J,"&gt;="&amp;DATE($I$2,E$4,1),DATA!$J:$J,"&lt;="&amp;DATE($I$2,E$4,E$5))</f>
        <v/>
      </c>
      <c r="F832" s="321">
        <f>SUMIFS(DATA!$I:$I,DATA!$C:$C,$B832,DATA!$J:$J,"&gt;="&amp;DATE($I$2,F$4,1),DATA!$J:$J,"&lt;="&amp;DATE($I$2,F$4,F$5))</f>
        <v/>
      </c>
      <c r="G832" s="321">
        <f>SUMIFS(DATA!$I:$I,DATA!$C:$C,$B832,DATA!$J:$J,"&gt;="&amp;DATE($I$2,G$4,1),DATA!$J:$J,"&lt;="&amp;DATE($I$2,G$4,G$5))</f>
        <v/>
      </c>
      <c r="H832" s="321">
        <f>SUMIFS(DATA!$I:$I,DATA!$C:$C,$B832,DATA!$J:$J,"&gt;="&amp;DATE($I$2,H$4,1),DATA!$J:$J,"&lt;="&amp;DATE($I$2,H$4,H$5))</f>
        <v/>
      </c>
      <c r="I832" s="321">
        <f>SUMIFS(DATA!$I:$I,DATA!$C:$C,$B832,DATA!$J:$J,"&gt;="&amp;DATE($I$2,I$4,1),DATA!$J:$J,"&lt;="&amp;DATE($I$2,I$4,I$5))</f>
        <v/>
      </c>
      <c r="J832" s="321">
        <f>SUMIFS(DATA!$I:$I,DATA!$C:$C,$B832,DATA!$J:$J,"&gt;="&amp;DATE($I$2,J$4,1),DATA!$J:$J,"&lt;="&amp;DATE($I$2,J$4,J$5))</f>
        <v/>
      </c>
      <c r="K832" s="321">
        <f>SUMIFS(DATA!$I:$I,DATA!$C:$C,$B832,DATA!$J:$J,"&gt;="&amp;DATE($I$2,K$4,1),DATA!$J:$J,"&lt;="&amp;DATE($I$2,K$4,K$5))</f>
        <v/>
      </c>
      <c r="L832" s="321">
        <f>SUMIFS(DATA!$I:$I,DATA!$C:$C,$B832,DATA!$J:$J,"&gt;="&amp;DATE($I$2,L$4,1),DATA!$J:$J,"&lt;="&amp;DATE($I$2,L$4,L$5))</f>
        <v/>
      </c>
      <c r="M832" s="321">
        <f>SUMIFS(DATA!$I:$I,DATA!$C:$C,$B832,DATA!$J:$J,"&gt;="&amp;DATE($I$2,M$4,1),DATA!$J:$J,"&lt;="&amp;DATE($I$2,M$4,M$5))</f>
        <v/>
      </c>
      <c r="N832" s="321">
        <f>SUMIFS(DATA!$I:$I,DATA!$C:$C,$B832,DATA!$J:$J,"&gt;="&amp;DATE($I$2,N$4,1),DATA!$J:$J,"&lt;="&amp;DATE($I$2,N$4,N$5))</f>
        <v/>
      </c>
      <c r="O832" s="321">
        <f>SUMIFS(DATA!$I:$I,DATA!$C:$C,$B832,DATA!$J:$J,"&gt;="&amp;DATE($I$2,O$4,1),DATA!$J:$J,"&lt;="&amp;DATE($I$2,O$4,O$5))</f>
        <v/>
      </c>
      <c r="P832" s="322">
        <f>SUM(D832:O832)</f>
        <v/>
      </c>
    </row>
    <row r="833" hidden="1" outlineLevel="1" ht="15" customHeight="1">
      <c r="A833" s="266" t="n"/>
      <c r="B833" s="126" t="n"/>
      <c r="C833" s="119" t="inlineStr">
        <is>
          <t>Thực tế</t>
        </is>
      </c>
      <c r="D833" s="321">
        <f>SUMIFS(DATA!$M:$M,DATA!$C:$C,$B832,DATA!$N:$N,"&gt;="&amp;DATE($I$2,D$4,1),DATA!$N:$N,"&lt;="&amp;DATE($I$2,D$4,D$5))</f>
        <v/>
      </c>
      <c r="E833" s="321">
        <f>SUMIFS(DATA!$M:$M,DATA!$C:$C,$B832,DATA!$N:$N,"&gt;="&amp;DATE($I$2,E$4,1),DATA!$N:$N,"&lt;="&amp;DATE($I$2,E$4,E$5))</f>
        <v/>
      </c>
      <c r="F833" s="321">
        <f>SUMIFS(DATA!$M:$M,DATA!$C:$C,$B832,DATA!$N:$N,"&gt;="&amp;DATE($I$2,F$4,1),DATA!$N:$N,"&lt;="&amp;DATE($I$2,F$4,F$5))</f>
        <v/>
      </c>
      <c r="G833" s="321">
        <f>SUMIFS(DATA!$M:$M,DATA!$C:$C,$B832,DATA!$N:$N,"&gt;="&amp;DATE($I$2,G$4,1),DATA!$N:$N,"&lt;="&amp;DATE($I$2,G$4,G$5))</f>
        <v/>
      </c>
      <c r="H833" s="321">
        <f>SUMIFS(DATA!$M:$M,DATA!$C:$C,$B832,DATA!$N:$N,"&gt;="&amp;DATE($I$2,H$4,1),DATA!$N:$N,"&lt;="&amp;DATE($I$2,H$4,H$5))</f>
        <v/>
      </c>
      <c r="I833" s="321">
        <f>SUMIFS(DATA!$M:$M,DATA!$C:$C,$B832,DATA!$N:$N,"&gt;="&amp;DATE($I$2,I$4,1),DATA!$N:$N,"&lt;="&amp;DATE($I$2,I$4,I$5))</f>
        <v/>
      </c>
      <c r="J833" s="321">
        <f>SUMIFS(DATA!$M:$M,DATA!$C:$C,$B832,DATA!$N:$N,"&gt;="&amp;DATE($I$2,J$4,1),DATA!$N:$N,"&lt;="&amp;DATE($I$2,J$4,J$5))</f>
        <v/>
      </c>
      <c r="K833" s="321">
        <f>SUMIFS(DATA!$M:$M,DATA!$C:$C,$B832,DATA!$N:$N,"&gt;="&amp;DATE($I$2,K$4,1),DATA!$N:$N,"&lt;="&amp;DATE($I$2,K$4,K$5))</f>
        <v/>
      </c>
      <c r="L833" s="321">
        <f>SUMIFS(DATA!$M:$M,DATA!$C:$C,$B832,DATA!$N:$N,"&gt;="&amp;DATE($I$2,L$4,1),DATA!$N:$N,"&lt;="&amp;DATE($I$2,L$4,L$5))</f>
        <v/>
      </c>
      <c r="M833" s="321">
        <f>SUMIFS(DATA!$M:$M,DATA!$C:$C,$B832,DATA!$N:$N,"&gt;="&amp;DATE($I$2,M$4,1),DATA!$N:$N,"&lt;="&amp;DATE($I$2,M$4,M$5))</f>
        <v/>
      </c>
      <c r="N833" s="321">
        <f>SUMIFS(DATA!$M:$M,DATA!$C:$C,$B832,DATA!$N:$N,"&gt;="&amp;DATE($I$2,N$4,1),DATA!$N:$N,"&lt;="&amp;DATE($I$2,N$4,N$5))</f>
        <v/>
      </c>
      <c r="O833" s="321">
        <f>SUMIFS(DATA!$M:$M,DATA!$C:$C,$B832,DATA!$N:$N,"&gt;="&amp;DATE($I$2,O$4,1),DATA!$N:$N,"&lt;="&amp;DATE($I$2,O$4,O$5))</f>
        <v/>
      </c>
      <c r="P833" s="322">
        <f>SUM(D833:O833)</f>
        <v/>
      </c>
    </row>
    <row r="834" hidden="1" outlineLevel="1" ht="15" customHeight="1">
      <c r="A834" s="269" t="n">
        <v>415</v>
      </c>
      <c r="B834" s="125" t="n"/>
      <c r="C834" s="119" t="inlineStr">
        <is>
          <t>Kế hoạch</t>
        </is>
      </c>
      <c r="D834" s="321">
        <f>SUMIFS(DATA!$I:$I,DATA!$C:$C,$B834,DATA!$J:$J,"&gt;="&amp;DATE($I$2,D$4,1),DATA!$J:$J,"&lt;="&amp;DATE($I$2,D$4,D$5))</f>
        <v/>
      </c>
      <c r="E834" s="321">
        <f>SUMIFS(DATA!$I:$I,DATA!$C:$C,$B834,DATA!$J:$J,"&gt;="&amp;DATE($I$2,E$4,1),DATA!$J:$J,"&lt;="&amp;DATE($I$2,E$4,E$5))</f>
        <v/>
      </c>
      <c r="F834" s="321">
        <f>SUMIFS(DATA!$I:$I,DATA!$C:$C,$B834,DATA!$J:$J,"&gt;="&amp;DATE($I$2,F$4,1),DATA!$J:$J,"&lt;="&amp;DATE($I$2,F$4,F$5))</f>
        <v/>
      </c>
      <c r="G834" s="321">
        <f>SUMIFS(DATA!$I:$I,DATA!$C:$C,$B834,DATA!$J:$J,"&gt;="&amp;DATE($I$2,G$4,1),DATA!$J:$J,"&lt;="&amp;DATE($I$2,G$4,G$5))</f>
        <v/>
      </c>
      <c r="H834" s="321">
        <f>SUMIFS(DATA!$I:$I,DATA!$C:$C,$B834,DATA!$J:$J,"&gt;="&amp;DATE($I$2,H$4,1),DATA!$J:$J,"&lt;="&amp;DATE($I$2,H$4,H$5))</f>
        <v/>
      </c>
      <c r="I834" s="321">
        <f>SUMIFS(DATA!$I:$I,DATA!$C:$C,$B834,DATA!$J:$J,"&gt;="&amp;DATE($I$2,I$4,1),DATA!$J:$J,"&lt;="&amp;DATE($I$2,I$4,I$5))</f>
        <v/>
      </c>
      <c r="J834" s="321">
        <f>SUMIFS(DATA!$I:$I,DATA!$C:$C,$B834,DATA!$J:$J,"&gt;="&amp;DATE($I$2,J$4,1),DATA!$J:$J,"&lt;="&amp;DATE($I$2,J$4,J$5))</f>
        <v/>
      </c>
      <c r="K834" s="321">
        <f>SUMIFS(DATA!$I:$I,DATA!$C:$C,$B834,DATA!$J:$J,"&gt;="&amp;DATE($I$2,K$4,1),DATA!$J:$J,"&lt;="&amp;DATE($I$2,K$4,K$5))</f>
        <v/>
      </c>
      <c r="L834" s="321">
        <f>SUMIFS(DATA!$I:$I,DATA!$C:$C,$B834,DATA!$J:$J,"&gt;="&amp;DATE($I$2,L$4,1),DATA!$J:$J,"&lt;="&amp;DATE($I$2,L$4,L$5))</f>
        <v/>
      </c>
      <c r="M834" s="321">
        <f>SUMIFS(DATA!$I:$I,DATA!$C:$C,$B834,DATA!$J:$J,"&gt;="&amp;DATE($I$2,M$4,1),DATA!$J:$J,"&lt;="&amp;DATE($I$2,M$4,M$5))</f>
        <v/>
      </c>
      <c r="N834" s="321">
        <f>SUMIFS(DATA!$I:$I,DATA!$C:$C,$B834,DATA!$J:$J,"&gt;="&amp;DATE($I$2,N$4,1),DATA!$J:$J,"&lt;="&amp;DATE($I$2,N$4,N$5))</f>
        <v/>
      </c>
      <c r="O834" s="321">
        <f>SUMIFS(DATA!$I:$I,DATA!$C:$C,$B834,DATA!$J:$J,"&gt;="&amp;DATE($I$2,O$4,1),DATA!$J:$J,"&lt;="&amp;DATE($I$2,O$4,O$5))</f>
        <v/>
      </c>
      <c r="P834" s="322">
        <f>SUM(D834:O834)</f>
        <v/>
      </c>
    </row>
    <row r="835" hidden="1" outlineLevel="1" ht="15" customHeight="1">
      <c r="A835" s="266" t="n"/>
      <c r="B835" s="126" t="n"/>
      <c r="C835" s="119" t="inlineStr">
        <is>
          <t>Thực tế</t>
        </is>
      </c>
      <c r="D835" s="321">
        <f>SUMIFS(DATA!$M:$M,DATA!$C:$C,$B834,DATA!$N:$N,"&gt;="&amp;DATE($I$2,D$4,1),DATA!$N:$N,"&lt;="&amp;DATE($I$2,D$4,D$5))</f>
        <v/>
      </c>
      <c r="E835" s="321">
        <f>SUMIFS(DATA!$M:$M,DATA!$C:$C,$B834,DATA!$N:$N,"&gt;="&amp;DATE($I$2,E$4,1),DATA!$N:$N,"&lt;="&amp;DATE($I$2,E$4,E$5))</f>
        <v/>
      </c>
      <c r="F835" s="321">
        <f>SUMIFS(DATA!$M:$M,DATA!$C:$C,$B834,DATA!$N:$N,"&gt;="&amp;DATE($I$2,F$4,1),DATA!$N:$N,"&lt;="&amp;DATE($I$2,F$4,F$5))</f>
        <v/>
      </c>
      <c r="G835" s="321">
        <f>SUMIFS(DATA!$M:$M,DATA!$C:$C,$B834,DATA!$N:$N,"&gt;="&amp;DATE($I$2,G$4,1),DATA!$N:$N,"&lt;="&amp;DATE($I$2,G$4,G$5))</f>
        <v/>
      </c>
      <c r="H835" s="321">
        <f>SUMIFS(DATA!$M:$M,DATA!$C:$C,$B834,DATA!$N:$N,"&gt;="&amp;DATE($I$2,H$4,1),DATA!$N:$N,"&lt;="&amp;DATE($I$2,H$4,H$5))</f>
        <v/>
      </c>
      <c r="I835" s="321">
        <f>SUMIFS(DATA!$M:$M,DATA!$C:$C,$B834,DATA!$N:$N,"&gt;="&amp;DATE($I$2,I$4,1),DATA!$N:$N,"&lt;="&amp;DATE($I$2,I$4,I$5))</f>
        <v/>
      </c>
      <c r="J835" s="321">
        <f>SUMIFS(DATA!$M:$M,DATA!$C:$C,$B834,DATA!$N:$N,"&gt;="&amp;DATE($I$2,J$4,1),DATA!$N:$N,"&lt;="&amp;DATE($I$2,J$4,J$5))</f>
        <v/>
      </c>
      <c r="K835" s="321">
        <f>SUMIFS(DATA!$M:$M,DATA!$C:$C,$B834,DATA!$N:$N,"&gt;="&amp;DATE($I$2,K$4,1),DATA!$N:$N,"&lt;="&amp;DATE($I$2,K$4,K$5))</f>
        <v/>
      </c>
      <c r="L835" s="321">
        <f>SUMIFS(DATA!$M:$M,DATA!$C:$C,$B834,DATA!$N:$N,"&gt;="&amp;DATE($I$2,L$4,1),DATA!$N:$N,"&lt;="&amp;DATE($I$2,L$4,L$5))</f>
        <v/>
      </c>
      <c r="M835" s="321">
        <f>SUMIFS(DATA!$M:$M,DATA!$C:$C,$B834,DATA!$N:$N,"&gt;="&amp;DATE($I$2,M$4,1),DATA!$N:$N,"&lt;="&amp;DATE($I$2,M$4,M$5))</f>
        <v/>
      </c>
      <c r="N835" s="321">
        <f>SUMIFS(DATA!$M:$M,DATA!$C:$C,$B834,DATA!$N:$N,"&gt;="&amp;DATE($I$2,N$4,1),DATA!$N:$N,"&lt;="&amp;DATE($I$2,N$4,N$5))</f>
        <v/>
      </c>
      <c r="O835" s="321">
        <f>SUMIFS(DATA!$M:$M,DATA!$C:$C,$B834,DATA!$N:$N,"&gt;="&amp;DATE($I$2,O$4,1),DATA!$N:$N,"&lt;="&amp;DATE($I$2,O$4,O$5))</f>
        <v/>
      </c>
      <c r="P835" s="322">
        <f>SUM(D835:O835)</f>
        <v/>
      </c>
    </row>
    <row r="836" hidden="1" outlineLevel="1" ht="15" customHeight="1">
      <c r="A836" s="269" t="n">
        <v>416</v>
      </c>
      <c r="B836" s="125" t="n"/>
      <c r="C836" s="119" t="inlineStr">
        <is>
          <t>Kế hoạch</t>
        </is>
      </c>
      <c r="D836" s="321">
        <f>SUMIFS(DATA!$I:$I,DATA!$C:$C,$B836,DATA!$J:$J,"&gt;="&amp;DATE($I$2,D$4,1),DATA!$J:$J,"&lt;="&amp;DATE($I$2,D$4,D$5))</f>
        <v/>
      </c>
      <c r="E836" s="321">
        <f>SUMIFS(DATA!$I:$I,DATA!$C:$C,$B836,DATA!$J:$J,"&gt;="&amp;DATE($I$2,E$4,1),DATA!$J:$J,"&lt;="&amp;DATE($I$2,E$4,E$5))</f>
        <v/>
      </c>
      <c r="F836" s="321">
        <f>SUMIFS(DATA!$I:$I,DATA!$C:$C,$B836,DATA!$J:$J,"&gt;="&amp;DATE($I$2,F$4,1),DATA!$J:$J,"&lt;="&amp;DATE($I$2,F$4,F$5))</f>
        <v/>
      </c>
      <c r="G836" s="321">
        <f>SUMIFS(DATA!$I:$I,DATA!$C:$C,$B836,DATA!$J:$J,"&gt;="&amp;DATE($I$2,G$4,1),DATA!$J:$J,"&lt;="&amp;DATE($I$2,G$4,G$5))</f>
        <v/>
      </c>
      <c r="H836" s="321">
        <f>SUMIFS(DATA!$I:$I,DATA!$C:$C,$B836,DATA!$J:$J,"&gt;="&amp;DATE($I$2,H$4,1),DATA!$J:$J,"&lt;="&amp;DATE($I$2,H$4,H$5))</f>
        <v/>
      </c>
      <c r="I836" s="321">
        <f>SUMIFS(DATA!$I:$I,DATA!$C:$C,$B836,DATA!$J:$J,"&gt;="&amp;DATE($I$2,I$4,1),DATA!$J:$J,"&lt;="&amp;DATE($I$2,I$4,I$5))</f>
        <v/>
      </c>
      <c r="J836" s="321">
        <f>SUMIFS(DATA!$I:$I,DATA!$C:$C,$B836,DATA!$J:$J,"&gt;="&amp;DATE($I$2,J$4,1),DATA!$J:$J,"&lt;="&amp;DATE($I$2,J$4,J$5))</f>
        <v/>
      </c>
      <c r="K836" s="321">
        <f>SUMIFS(DATA!$I:$I,DATA!$C:$C,$B836,DATA!$J:$J,"&gt;="&amp;DATE($I$2,K$4,1),DATA!$J:$J,"&lt;="&amp;DATE($I$2,K$4,K$5))</f>
        <v/>
      </c>
      <c r="L836" s="321">
        <f>SUMIFS(DATA!$I:$I,DATA!$C:$C,$B836,DATA!$J:$J,"&gt;="&amp;DATE($I$2,L$4,1),DATA!$J:$J,"&lt;="&amp;DATE($I$2,L$4,L$5))</f>
        <v/>
      </c>
      <c r="M836" s="321">
        <f>SUMIFS(DATA!$I:$I,DATA!$C:$C,$B836,DATA!$J:$J,"&gt;="&amp;DATE($I$2,M$4,1),DATA!$J:$J,"&lt;="&amp;DATE($I$2,M$4,M$5))</f>
        <v/>
      </c>
      <c r="N836" s="321">
        <f>SUMIFS(DATA!$I:$I,DATA!$C:$C,$B836,DATA!$J:$J,"&gt;="&amp;DATE($I$2,N$4,1),DATA!$J:$J,"&lt;="&amp;DATE($I$2,N$4,N$5))</f>
        <v/>
      </c>
      <c r="O836" s="321">
        <f>SUMIFS(DATA!$I:$I,DATA!$C:$C,$B836,DATA!$J:$J,"&gt;="&amp;DATE($I$2,O$4,1),DATA!$J:$J,"&lt;="&amp;DATE($I$2,O$4,O$5))</f>
        <v/>
      </c>
      <c r="P836" s="322">
        <f>SUM(D836:O836)</f>
        <v/>
      </c>
    </row>
    <row r="837" hidden="1" outlineLevel="1" ht="15" customHeight="1">
      <c r="A837" s="266" t="n"/>
      <c r="B837" s="126" t="n"/>
      <c r="C837" s="119" t="inlineStr">
        <is>
          <t>Thực tế</t>
        </is>
      </c>
      <c r="D837" s="321">
        <f>SUMIFS(DATA!$M:$M,DATA!$C:$C,$B836,DATA!$N:$N,"&gt;="&amp;DATE($I$2,D$4,1),DATA!$N:$N,"&lt;="&amp;DATE($I$2,D$4,D$5))</f>
        <v/>
      </c>
      <c r="E837" s="321">
        <f>SUMIFS(DATA!$M:$M,DATA!$C:$C,$B836,DATA!$N:$N,"&gt;="&amp;DATE($I$2,E$4,1),DATA!$N:$N,"&lt;="&amp;DATE($I$2,E$4,E$5))</f>
        <v/>
      </c>
      <c r="F837" s="321">
        <f>SUMIFS(DATA!$M:$M,DATA!$C:$C,$B836,DATA!$N:$N,"&gt;="&amp;DATE($I$2,F$4,1),DATA!$N:$N,"&lt;="&amp;DATE($I$2,F$4,F$5))</f>
        <v/>
      </c>
      <c r="G837" s="321">
        <f>SUMIFS(DATA!$M:$M,DATA!$C:$C,$B836,DATA!$N:$N,"&gt;="&amp;DATE($I$2,G$4,1),DATA!$N:$N,"&lt;="&amp;DATE($I$2,G$4,G$5))</f>
        <v/>
      </c>
      <c r="H837" s="321">
        <f>SUMIFS(DATA!$M:$M,DATA!$C:$C,$B836,DATA!$N:$N,"&gt;="&amp;DATE($I$2,H$4,1),DATA!$N:$N,"&lt;="&amp;DATE($I$2,H$4,H$5))</f>
        <v/>
      </c>
      <c r="I837" s="321">
        <f>SUMIFS(DATA!$M:$M,DATA!$C:$C,$B836,DATA!$N:$N,"&gt;="&amp;DATE($I$2,I$4,1),DATA!$N:$N,"&lt;="&amp;DATE($I$2,I$4,I$5))</f>
        <v/>
      </c>
      <c r="J837" s="321">
        <f>SUMIFS(DATA!$M:$M,DATA!$C:$C,$B836,DATA!$N:$N,"&gt;="&amp;DATE($I$2,J$4,1),DATA!$N:$N,"&lt;="&amp;DATE($I$2,J$4,J$5))</f>
        <v/>
      </c>
      <c r="K837" s="321">
        <f>SUMIFS(DATA!$M:$M,DATA!$C:$C,$B836,DATA!$N:$N,"&gt;="&amp;DATE($I$2,K$4,1),DATA!$N:$N,"&lt;="&amp;DATE($I$2,K$4,K$5))</f>
        <v/>
      </c>
      <c r="L837" s="321">
        <f>SUMIFS(DATA!$M:$M,DATA!$C:$C,$B836,DATA!$N:$N,"&gt;="&amp;DATE($I$2,L$4,1),DATA!$N:$N,"&lt;="&amp;DATE($I$2,L$4,L$5))</f>
        <v/>
      </c>
      <c r="M837" s="321">
        <f>SUMIFS(DATA!$M:$M,DATA!$C:$C,$B836,DATA!$N:$N,"&gt;="&amp;DATE($I$2,M$4,1),DATA!$N:$N,"&lt;="&amp;DATE($I$2,M$4,M$5))</f>
        <v/>
      </c>
      <c r="N837" s="321">
        <f>SUMIFS(DATA!$M:$M,DATA!$C:$C,$B836,DATA!$N:$N,"&gt;="&amp;DATE($I$2,N$4,1),DATA!$N:$N,"&lt;="&amp;DATE($I$2,N$4,N$5))</f>
        <v/>
      </c>
      <c r="O837" s="321">
        <f>SUMIFS(DATA!$M:$M,DATA!$C:$C,$B836,DATA!$N:$N,"&gt;="&amp;DATE($I$2,O$4,1),DATA!$N:$N,"&lt;="&amp;DATE($I$2,O$4,O$5))</f>
        <v/>
      </c>
      <c r="P837" s="322">
        <f>SUM(D837:O837)</f>
        <v/>
      </c>
    </row>
    <row r="838" hidden="1" outlineLevel="1" ht="15" customHeight="1">
      <c r="A838" s="269" t="n">
        <v>417</v>
      </c>
      <c r="B838" s="125" t="n"/>
      <c r="C838" s="119" t="inlineStr">
        <is>
          <t>Kế hoạch</t>
        </is>
      </c>
      <c r="D838" s="321">
        <f>SUMIFS(DATA!$I:$I,DATA!$C:$C,$B838,DATA!$J:$J,"&gt;="&amp;DATE($I$2,D$4,1),DATA!$J:$J,"&lt;="&amp;DATE($I$2,D$4,D$5))</f>
        <v/>
      </c>
      <c r="E838" s="321">
        <f>SUMIFS(DATA!$I:$I,DATA!$C:$C,$B838,DATA!$J:$J,"&gt;="&amp;DATE($I$2,E$4,1),DATA!$J:$J,"&lt;="&amp;DATE($I$2,E$4,E$5))</f>
        <v/>
      </c>
      <c r="F838" s="321">
        <f>SUMIFS(DATA!$I:$I,DATA!$C:$C,$B838,DATA!$J:$J,"&gt;="&amp;DATE($I$2,F$4,1),DATA!$J:$J,"&lt;="&amp;DATE($I$2,F$4,F$5))</f>
        <v/>
      </c>
      <c r="G838" s="321">
        <f>SUMIFS(DATA!$I:$I,DATA!$C:$C,$B838,DATA!$J:$J,"&gt;="&amp;DATE($I$2,G$4,1),DATA!$J:$J,"&lt;="&amp;DATE($I$2,G$4,G$5))</f>
        <v/>
      </c>
      <c r="H838" s="321">
        <f>SUMIFS(DATA!$I:$I,DATA!$C:$C,$B838,DATA!$J:$J,"&gt;="&amp;DATE($I$2,H$4,1),DATA!$J:$J,"&lt;="&amp;DATE($I$2,H$4,H$5))</f>
        <v/>
      </c>
      <c r="I838" s="321">
        <f>SUMIFS(DATA!$I:$I,DATA!$C:$C,$B838,DATA!$J:$J,"&gt;="&amp;DATE($I$2,I$4,1),DATA!$J:$J,"&lt;="&amp;DATE($I$2,I$4,I$5))</f>
        <v/>
      </c>
      <c r="J838" s="321">
        <f>SUMIFS(DATA!$I:$I,DATA!$C:$C,$B838,DATA!$J:$J,"&gt;="&amp;DATE($I$2,J$4,1),DATA!$J:$J,"&lt;="&amp;DATE($I$2,J$4,J$5))</f>
        <v/>
      </c>
      <c r="K838" s="321">
        <f>SUMIFS(DATA!$I:$I,DATA!$C:$C,$B838,DATA!$J:$J,"&gt;="&amp;DATE($I$2,K$4,1),DATA!$J:$J,"&lt;="&amp;DATE($I$2,K$4,K$5))</f>
        <v/>
      </c>
      <c r="L838" s="321">
        <f>SUMIFS(DATA!$I:$I,DATA!$C:$C,$B838,DATA!$J:$J,"&gt;="&amp;DATE($I$2,L$4,1),DATA!$J:$J,"&lt;="&amp;DATE($I$2,L$4,L$5))</f>
        <v/>
      </c>
      <c r="M838" s="321">
        <f>SUMIFS(DATA!$I:$I,DATA!$C:$C,$B838,DATA!$J:$J,"&gt;="&amp;DATE($I$2,M$4,1),DATA!$J:$J,"&lt;="&amp;DATE($I$2,M$4,M$5))</f>
        <v/>
      </c>
      <c r="N838" s="321">
        <f>SUMIFS(DATA!$I:$I,DATA!$C:$C,$B838,DATA!$J:$J,"&gt;="&amp;DATE($I$2,N$4,1),DATA!$J:$J,"&lt;="&amp;DATE($I$2,N$4,N$5))</f>
        <v/>
      </c>
      <c r="O838" s="321">
        <f>SUMIFS(DATA!$I:$I,DATA!$C:$C,$B838,DATA!$J:$J,"&gt;="&amp;DATE($I$2,O$4,1),DATA!$J:$J,"&lt;="&amp;DATE($I$2,O$4,O$5))</f>
        <v/>
      </c>
      <c r="P838" s="322">
        <f>SUM(D838:O838)</f>
        <v/>
      </c>
    </row>
    <row r="839" hidden="1" outlineLevel="1" ht="15" customHeight="1">
      <c r="A839" s="266" t="n"/>
      <c r="B839" s="126" t="n"/>
      <c r="C839" s="119" t="inlineStr">
        <is>
          <t>Thực tế</t>
        </is>
      </c>
      <c r="D839" s="321">
        <f>SUMIFS(DATA!$M:$M,DATA!$C:$C,$B838,DATA!$N:$N,"&gt;="&amp;DATE($I$2,D$4,1),DATA!$N:$N,"&lt;="&amp;DATE($I$2,D$4,D$5))</f>
        <v/>
      </c>
      <c r="E839" s="321">
        <f>SUMIFS(DATA!$M:$M,DATA!$C:$C,$B838,DATA!$N:$N,"&gt;="&amp;DATE($I$2,E$4,1),DATA!$N:$N,"&lt;="&amp;DATE($I$2,E$4,E$5))</f>
        <v/>
      </c>
      <c r="F839" s="321">
        <f>SUMIFS(DATA!$M:$M,DATA!$C:$C,$B838,DATA!$N:$N,"&gt;="&amp;DATE($I$2,F$4,1),DATA!$N:$N,"&lt;="&amp;DATE($I$2,F$4,F$5))</f>
        <v/>
      </c>
      <c r="G839" s="321">
        <f>SUMIFS(DATA!$M:$M,DATA!$C:$C,$B838,DATA!$N:$N,"&gt;="&amp;DATE($I$2,G$4,1),DATA!$N:$N,"&lt;="&amp;DATE($I$2,G$4,G$5))</f>
        <v/>
      </c>
      <c r="H839" s="321">
        <f>SUMIFS(DATA!$M:$M,DATA!$C:$C,$B838,DATA!$N:$N,"&gt;="&amp;DATE($I$2,H$4,1),DATA!$N:$N,"&lt;="&amp;DATE($I$2,H$4,H$5))</f>
        <v/>
      </c>
      <c r="I839" s="321">
        <f>SUMIFS(DATA!$M:$M,DATA!$C:$C,$B838,DATA!$N:$N,"&gt;="&amp;DATE($I$2,I$4,1),DATA!$N:$N,"&lt;="&amp;DATE($I$2,I$4,I$5))</f>
        <v/>
      </c>
      <c r="J839" s="321">
        <f>SUMIFS(DATA!$M:$M,DATA!$C:$C,$B838,DATA!$N:$N,"&gt;="&amp;DATE($I$2,J$4,1),DATA!$N:$N,"&lt;="&amp;DATE($I$2,J$4,J$5))</f>
        <v/>
      </c>
      <c r="K839" s="321">
        <f>SUMIFS(DATA!$M:$M,DATA!$C:$C,$B838,DATA!$N:$N,"&gt;="&amp;DATE($I$2,K$4,1),DATA!$N:$N,"&lt;="&amp;DATE($I$2,K$4,K$5))</f>
        <v/>
      </c>
      <c r="L839" s="321">
        <f>SUMIFS(DATA!$M:$M,DATA!$C:$C,$B838,DATA!$N:$N,"&gt;="&amp;DATE($I$2,L$4,1),DATA!$N:$N,"&lt;="&amp;DATE($I$2,L$4,L$5))</f>
        <v/>
      </c>
      <c r="M839" s="321">
        <f>SUMIFS(DATA!$M:$M,DATA!$C:$C,$B838,DATA!$N:$N,"&gt;="&amp;DATE($I$2,M$4,1),DATA!$N:$N,"&lt;="&amp;DATE($I$2,M$4,M$5))</f>
        <v/>
      </c>
      <c r="N839" s="321">
        <f>SUMIFS(DATA!$M:$M,DATA!$C:$C,$B838,DATA!$N:$N,"&gt;="&amp;DATE($I$2,N$4,1),DATA!$N:$N,"&lt;="&amp;DATE($I$2,N$4,N$5))</f>
        <v/>
      </c>
      <c r="O839" s="321">
        <f>SUMIFS(DATA!$M:$M,DATA!$C:$C,$B838,DATA!$N:$N,"&gt;="&amp;DATE($I$2,O$4,1),DATA!$N:$N,"&lt;="&amp;DATE($I$2,O$4,O$5))</f>
        <v/>
      </c>
      <c r="P839" s="322">
        <f>SUM(D839:O839)</f>
        <v/>
      </c>
    </row>
    <row r="840" hidden="1" outlineLevel="1" ht="15" customHeight="1">
      <c r="A840" s="269" t="n">
        <v>418</v>
      </c>
      <c r="B840" s="125" t="n"/>
      <c r="C840" s="119" t="inlineStr">
        <is>
          <t>Kế hoạch</t>
        </is>
      </c>
      <c r="D840" s="321">
        <f>SUMIFS(DATA!$I:$I,DATA!$C:$C,$B840,DATA!$J:$J,"&gt;="&amp;DATE($I$2,D$4,1),DATA!$J:$J,"&lt;="&amp;DATE($I$2,D$4,D$5))</f>
        <v/>
      </c>
      <c r="E840" s="321">
        <f>SUMIFS(DATA!$I:$I,DATA!$C:$C,$B840,DATA!$J:$J,"&gt;="&amp;DATE($I$2,E$4,1),DATA!$J:$J,"&lt;="&amp;DATE($I$2,E$4,E$5))</f>
        <v/>
      </c>
      <c r="F840" s="321">
        <f>SUMIFS(DATA!$I:$I,DATA!$C:$C,$B840,DATA!$J:$J,"&gt;="&amp;DATE($I$2,F$4,1),DATA!$J:$J,"&lt;="&amp;DATE($I$2,F$4,F$5))</f>
        <v/>
      </c>
      <c r="G840" s="321">
        <f>SUMIFS(DATA!$I:$I,DATA!$C:$C,$B840,DATA!$J:$J,"&gt;="&amp;DATE($I$2,G$4,1),DATA!$J:$J,"&lt;="&amp;DATE($I$2,G$4,G$5))</f>
        <v/>
      </c>
      <c r="H840" s="321">
        <f>SUMIFS(DATA!$I:$I,DATA!$C:$C,$B840,DATA!$J:$J,"&gt;="&amp;DATE($I$2,H$4,1),DATA!$J:$J,"&lt;="&amp;DATE($I$2,H$4,H$5))</f>
        <v/>
      </c>
      <c r="I840" s="321">
        <f>SUMIFS(DATA!$I:$I,DATA!$C:$C,$B840,DATA!$J:$J,"&gt;="&amp;DATE($I$2,I$4,1),DATA!$J:$J,"&lt;="&amp;DATE($I$2,I$4,I$5))</f>
        <v/>
      </c>
      <c r="J840" s="321">
        <f>SUMIFS(DATA!$I:$I,DATA!$C:$C,$B840,DATA!$J:$J,"&gt;="&amp;DATE($I$2,J$4,1),DATA!$J:$J,"&lt;="&amp;DATE($I$2,J$4,J$5))</f>
        <v/>
      </c>
      <c r="K840" s="321">
        <f>SUMIFS(DATA!$I:$I,DATA!$C:$C,$B840,DATA!$J:$J,"&gt;="&amp;DATE($I$2,K$4,1),DATA!$J:$J,"&lt;="&amp;DATE($I$2,K$4,K$5))</f>
        <v/>
      </c>
      <c r="L840" s="321">
        <f>SUMIFS(DATA!$I:$I,DATA!$C:$C,$B840,DATA!$J:$J,"&gt;="&amp;DATE($I$2,L$4,1),DATA!$J:$J,"&lt;="&amp;DATE($I$2,L$4,L$5))</f>
        <v/>
      </c>
      <c r="M840" s="321">
        <f>SUMIFS(DATA!$I:$I,DATA!$C:$C,$B840,DATA!$J:$J,"&gt;="&amp;DATE($I$2,M$4,1),DATA!$J:$J,"&lt;="&amp;DATE($I$2,M$4,M$5))</f>
        <v/>
      </c>
      <c r="N840" s="321">
        <f>SUMIFS(DATA!$I:$I,DATA!$C:$C,$B840,DATA!$J:$J,"&gt;="&amp;DATE($I$2,N$4,1),DATA!$J:$J,"&lt;="&amp;DATE($I$2,N$4,N$5))</f>
        <v/>
      </c>
      <c r="O840" s="321">
        <f>SUMIFS(DATA!$I:$I,DATA!$C:$C,$B840,DATA!$J:$J,"&gt;="&amp;DATE($I$2,O$4,1),DATA!$J:$J,"&lt;="&amp;DATE($I$2,O$4,O$5))</f>
        <v/>
      </c>
      <c r="P840" s="322">
        <f>SUM(D840:O840)</f>
        <v/>
      </c>
    </row>
    <row r="841" hidden="1" outlineLevel="1" ht="15" customHeight="1">
      <c r="A841" s="266" t="n"/>
      <c r="B841" s="126" t="n"/>
      <c r="C841" s="119" t="inlineStr">
        <is>
          <t>Thực tế</t>
        </is>
      </c>
      <c r="D841" s="321">
        <f>SUMIFS(DATA!$M:$M,DATA!$C:$C,$B840,DATA!$N:$N,"&gt;="&amp;DATE($I$2,D$4,1),DATA!$N:$N,"&lt;="&amp;DATE($I$2,D$4,D$5))</f>
        <v/>
      </c>
      <c r="E841" s="321">
        <f>SUMIFS(DATA!$M:$M,DATA!$C:$C,$B840,DATA!$N:$N,"&gt;="&amp;DATE($I$2,E$4,1),DATA!$N:$N,"&lt;="&amp;DATE($I$2,E$4,E$5))</f>
        <v/>
      </c>
      <c r="F841" s="321">
        <f>SUMIFS(DATA!$M:$M,DATA!$C:$C,$B840,DATA!$N:$N,"&gt;="&amp;DATE($I$2,F$4,1),DATA!$N:$N,"&lt;="&amp;DATE($I$2,F$4,F$5))</f>
        <v/>
      </c>
      <c r="G841" s="321">
        <f>SUMIFS(DATA!$M:$M,DATA!$C:$C,$B840,DATA!$N:$N,"&gt;="&amp;DATE($I$2,G$4,1),DATA!$N:$N,"&lt;="&amp;DATE($I$2,G$4,G$5))</f>
        <v/>
      </c>
      <c r="H841" s="321">
        <f>SUMIFS(DATA!$M:$M,DATA!$C:$C,$B840,DATA!$N:$N,"&gt;="&amp;DATE($I$2,H$4,1),DATA!$N:$N,"&lt;="&amp;DATE($I$2,H$4,H$5))</f>
        <v/>
      </c>
      <c r="I841" s="321">
        <f>SUMIFS(DATA!$M:$M,DATA!$C:$C,$B840,DATA!$N:$N,"&gt;="&amp;DATE($I$2,I$4,1),DATA!$N:$N,"&lt;="&amp;DATE($I$2,I$4,I$5))</f>
        <v/>
      </c>
      <c r="J841" s="321">
        <f>SUMIFS(DATA!$M:$M,DATA!$C:$C,$B840,DATA!$N:$N,"&gt;="&amp;DATE($I$2,J$4,1),DATA!$N:$N,"&lt;="&amp;DATE($I$2,J$4,J$5))</f>
        <v/>
      </c>
      <c r="K841" s="321">
        <f>SUMIFS(DATA!$M:$M,DATA!$C:$C,$B840,DATA!$N:$N,"&gt;="&amp;DATE($I$2,K$4,1),DATA!$N:$N,"&lt;="&amp;DATE($I$2,K$4,K$5))</f>
        <v/>
      </c>
      <c r="L841" s="321">
        <f>SUMIFS(DATA!$M:$M,DATA!$C:$C,$B840,DATA!$N:$N,"&gt;="&amp;DATE($I$2,L$4,1),DATA!$N:$N,"&lt;="&amp;DATE($I$2,L$4,L$5))</f>
        <v/>
      </c>
      <c r="M841" s="321">
        <f>SUMIFS(DATA!$M:$M,DATA!$C:$C,$B840,DATA!$N:$N,"&gt;="&amp;DATE($I$2,M$4,1),DATA!$N:$N,"&lt;="&amp;DATE($I$2,M$4,M$5))</f>
        <v/>
      </c>
      <c r="N841" s="321">
        <f>SUMIFS(DATA!$M:$M,DATA!$C:$C,$B840,DATA!$N:$N,"&gt;="&amp;DATE($I$2,N$4,1),DATA!$N:$N,"&lt;="&amp;DATE($I$2,N$4,N$5))</f>
        <v/>
      </c>
      <c r="O841" s="321">
        <f>SUMIFS(DATA!$M:$M,DATA!$C:$C,$B840,DATA!$N:$N,"&gt;="&amp;DATE($I$2,O$4,1),DATA!$N:$N,"&lt;="&amp;DATE($I$2,O$4,O$5))</f>
        <v/>
      </c>
      <c r="P841" s="322">
        <f>SUM(D841:O841)</f>
        <v/>
      </c>
    </row>
    <row r="842" hidden="1" outlineLevel="1" ht="15" customHeight="1">
      <c r="A842" s="269" t="n">
        <v>419</v>
      </c>
      <c r="B842" s="125" t="n"/>
      <c r="C842" s="119" t="inlineStr">
        <is>
          <t>Kế hoạch</t>
        </is>
      </c>
      <c r="D842" s="321">
        <f>SUMIFS(DATA!$I:$I,DATA!$C:$C,$B842,DATA!$J:$J,"&gt;="&amp;DATE($I$2,D$4,1),DATA!$J:$J,"&lt;="&amp;DATE($I$2,D$4,D$5))</f>
        <v/>
      </c>
      <c r="E842" s="321">
        <f>SUMIFS(DATA!$I:$I,DATA!$C:$C,$B842,DATA!$J:$J,"&gt;="&amp;DATE($I$2,E$4,1),DATA!$J:$J,"&lt;="&amp;DATE($I$2,E$4,E$5))</f>
        <v/>
      </c>
      <c r="F842" s="321">
        <f>SUMIFS(DATA!$I:$I,DATA!$C:$C,$B842,DATA!$J:$J,"&gt;="&amp;DATE($I$2,F$4,1),DATA!$J:$J,"&lt;="&amp;DATE($I$2,F$4,F$5))</f>
        <v/>
      </c>
      <c r="G842" s="321">
        <f>SUMIFS(DATA!$I:$I,DATA!$C:$C,$B842,DATA!$J:$J,"&gt;="&amp;DATE($I$2,G$4,1),DATA!$J:$J,"&lt;="&amp;DATE($I$2,G$4,G$5))</f>
        <v/>
      </c>
      <c r="H842" s="321">
        <f>SUMIFS(DATA!$I:$I,DATA!$C:$C,$B842,DATA!$J:$J,"&gt;="&amp;DATE($I$2,H$4,1),DATA!$J:$J,"&lt;="&amp;DATE($I$2,H$4,H$5))</f>
        <v/>
      </c>
      <c r="I842" s="321">
        <f>SUMIFS(DATA!$I:$I,DATA!$C:$C,$B842,DATA!$J:$J,"&gt;="&amp;DATE($I$2,I$4,1),DATA!$J:$J,"&lt;="&amp;DATE($I$2,I$4,I$5))</f>
        <v/>
      </c>
      <c r="J842" s="321">
        <f>SUMIFS(DATA!$I:$I,DATA!$C:$C,$B842,DATA!$J:$J,"&gt;="&amp;DATE($I$2,J$4,1),DATA!$J:$J,"&lt;="&amp;DATE($I$2,J$4,J$5))</f>
        <v/>
      </c>
      <c r="K842" s="321">
        <f>SUMIFS(DATA!$I:$I,DATA!$C:$C,$B842,DATA!$J:$J,"&gt;="&amp;DATE($I$2,K$4,1),DATA!$J:$J,"&lt;="&amp;DATE($I$2,K$4,K$5))</f>
        <v/>
      </c>
      <c r="L842" s="321">
        <f>SUMIFS(DATA!$I:$I,DATA!$C:$C,$B842,DATA!$J:$J,"&gt;="&amp;DATE($I$2,L$4,1),DATA!$J:$J,"&lt;="&amp;DATE($I$2,L$4,L$5))</f>
        <v/>
      </c>
      <c r="M842" s="321">
        <f>SUMIFS(DATA!$I:$I,DATA!$C:$C,$B842,DATA!$J:$J,"&gt;="&amp;DATE($I$2,M$4,1),DATA!$J:$J,"&lt;="&amp;DATE($I$2,M$4,M$5))</f>
        <v/>
      </c>
      <c r="N842" s="321">
        <f>SUMIFS(DATA!$I:$I,DATA!$C:$C,$B842,DATA!$J:$J,"&gt;="&amp;DATE($I$2,N$4,1),DATA!$J:$J,"&lt;="&amp;DATE($I$2,N$4,N$5))</f>
        <v/>
      </c>
      <c r="O842" s="321">
        <f>SUMIFS(DATA!$I:$I,DATA!$C:$C,$B842,DATA!$J:$J,"&gt;="&amp;DATE($I$2,O$4,1),DATA!$J:$J,"&lt;="&amp;DATE($I$2,O$4,O$5))</f>
        <v/>
      </c>
      <c r="P842" s="322">
        <f>SUM(D842:O842)</f>
        <v/>
      </c>
    </row>
    <row r="843" hidden="1" outlineLevel="1" ht="15" customHeight="1">
      <c r="A843" s="266" t="n"/>
      <c r="B843" s="126" t="n"/>
      <c r="C843" s="119" t="inlineStr">
        <is>
          <t>Thực tế</t>
        </is>
      </c>
      <c r="D843" s="321">
        <f>SUMIFS(DATA!$M:$M,DATA!$C:$C,$B842,DATA!$N:$N,"&gt;="&amp;DATE($I$2,D$4,1),DATA!$N:$N,"&lt;="&amp;DATE($I$2,D$4,D$5))</f>
        <v/>
      </c>
      <c r="E843" s="321">
        <f>SUMIFS(DATA!$M:$M,DATA!$C:$C,$B842,DATA!$N:$N,"&gt;="&amp;DATE($I$2,E$4,1),DATA!$N:$N,"&lt;="&amp;DATE($I$2,E$4,E$5))</f>
        <v/>
      </c>
      <c r="F843" s="321">
        <f>SUMIFS(DATA!$M:$M,DATA!$C:$C,$B842,DATA!$N:$N,"&gt;="&amp;DATE($I$2,F$4,1),DATA!$N:$N,"&lt;="&amp;DATE($I$2,F$4,F$5))</f>
        <v/>
      </c>
      <c r="G843" s="321">
        <f>SUMIFS(DATA!$M:$M,DATA!$C:$C,$B842,DATA!$N:$N,"&gt;="&amp;DATE($I$2,G$4,1),DATA!$N:$N,"&lt;="&amp;DATE($I$2,G$4,G$5))</f>
        <v/>
      </c>
      <c r="H843" s="321">
        <f>SUMIFS(DATA!$M:$M,DATA!$C:$C,$B842,DATA!$N:$N,"&gt;="&amp;DATE($I$2,H$4,1),DATA!$N:$N,"&lt;="&amp;DATE($I$2,H$4,H$5))</f>
        <v/>
      </c>
      <c r="I843" s="321">
        <f>SUMIFS(DATA!$M:$M,DATA!$C:$C,$B842,DATA!$N:$N,"&gt;="&amp;DATE($I$2,I$4,1),DATA!$N:$N,"&lt;="&amp;DATE($I$2,I$4,I$5))</f>
        <v/>
      </c>
      <c r="J843" s="321">
        <f>SUMIFS(DATA!$M:$M,DATA!$C:$C,$B842,DATA!$N:$N,"&gt;="&amp;DATE($I$2,J$4,1),DATA!$N:$N,"&lt;="&amp;DATE($I$2,J$4,J$5))</f>
        <v/>
      </c>
      <c r="K843" s="321">
        <f>SUMIFS(DATA!$M:$M,DATA!$C:$C,$B842,DATA!$N:$N,"&gt;="&amp;DATE($I$2,K$4,1),DATA!$N:$N,"&lt;="&amp;DATE($I$2,K$4,K$5))</f>
        <v/>
      </c>
      <c r="L843" s="321">
        <f>SUMIFS(DATA!$M:$M,DATA!$C:$C,$B842,DATA!$N:$N,"&gt;="&amp;DATE($I$2,L$4,1),DATA!$N:$N,"&lt;="&amp;DATE($I$2,L$4,L$5))</f>
        <v/>
      </c>
      <c r="M843" s="321">
        <f>SUMIFS(DATA!$M:$M,DATA!$C:$C,$B842,DATA!$N:$N,"&gt;="&amp;DATE($I$2,M$4,1),DATA!$N:$N,"&lt;="&amp;DATE($I$2,M$4,M$5))</f>
        <v/>
      </c>
      <c r="N843" s="321">
        <f>SUMIFS(DATA!$M:$M,DATA!$C:$C,$B842,DATA!$N:$N,"&gt;="&amp;DATE($I$2,N$4,1),DATA!$N:$N,"&lt;="&amp;DATE($I$2,N$4,N$5))</f>
        <v/>
      </c>
      <c r="O843" s="321">
        <f>SUMIFS(DATA!$M:$M,DATA!$C:$C,$B842,DATA!$N:$N,"&gt;="&amp;DATE($I$2,O$4,1),DATA!$N:$N,"&lt;="&amp;DATE($I$2,O$4,O$5))</f>
        <v/>
      </c>
      <c r="P843" s="322">
        <f>SUM(D843:O843)</f>
        <v/>
      </c>
    </row>
    <row r="844" hidden="1" outlineLevel="1" ht="15" customHeight="1">
      <c r="A844" s="269" t="n">
        <v>420</v>
      </c>
      <c r="B844" s="125" t="n"/>
      <c r="C844" s="119" t="inlineStr">
        <is>
          <t>Kế hoạch</t>
        </is>
      </c>
      <c r="D844" s="321">
        <f>SUMIFS(DATA!$I:$I,DATA!$C:$C,$B844,DATA!$J:$J,"&gt;="&amp;DATE($I$2,D$4,1),DATA!$J:$J,"&lt;="&amp;DATE($I$2,D$4,D$5))</f>
        <v/>
      </c>
      <c r="E844" s="321">
        <f>SUMIFS(DATA!$I:$I,DATA!$C:$C,$B844,DATA!$J:$J,"&gt;="&amp;DATE($I$2,E$4,1),DATA!$J:$J,"&lt;="&amp;DATE($I$2,E$4,E$5))</f>
        <v/>
      </c>
      <c r="F844" s="321">
        <f>SUMIFS(DATA!$I:$I,DATA!$C:$C,$B844,DATA!$J:$J,"&gt;="&amp;DATE($I$2,F$4,1),DATA!$J:$J,"&lt;="&amp;DATE($I$2,F$4,F$5))</f>
        <v/>
      </c>
      <c r="G844" s="321">
        <f>SUMIFS(DATA!$I:$I,DATA!$C:$C,$B844,DATA!$J:$J,"&gt;="&amp;DATE($I$2,G$4,1),DATA!$J:$J,"&lt;="&amp;DATE($I$2,G$4,G$5))</f>
        <v/>
      </c>
      <c r="H844" s="321">
        <f>SUMIFS(DATA!$I:$I,DATA!$C:$C,$B844,DATA!$J:$J,"&gt;="&amp;DATE($I$2,H$4,1),DATA!$J:$J,"&lt;="&amp;DATE($I$2,H$4,H$5))</f>
        <v/>
      </c>
      <c r="I844" s="321">
        <f>SUMIFS(DATA!$I:$I,DATA!$C:$C,$B844,DATA!$J:$J,"&gt;="&amp;DATE($I$2,I$4,1),DATA!$J:$J,"&lt;="&amp;DATE($I$2,I$4,I$5))</f>
        <v/>
      </c>
      <c r="J844" s="321">
        <f>SUMIFS(DATA!$I:$I,DATA!$C:$C,$B844,DATA!$J:$J,"&gt;="&amp;DATE($I$2,J$4,1),DATA!$J:$J,"&lt;="&amp;DATE($I$2,J$4,J$5))</f>
        <v/>
      </c>
      <c r="K844" s="321">
        <f>SUMIFS(DATA!$I:$I,DATA!$C:$C,$B844,DATA!$J:$J,"&gt;="&amp;DATE($I$2,K$4,1),DATA!$J:$J,"&lt;="&amp;DATE($I$2,K$4,K$5))</f>
        <v/>
      </c>
      <c r="L844" s="321">
        <f>SUMIFS(DATA!$I:$I,DATA!$C:$C,$B844,DATA!$J:$J,"&gt;="&amp;DATE($I$2,L$4,1),DATA!$J:$J,"&lt;="&amp;DATE($I$2,L$4,L$5))</f>
        <v/>
      </c>
      <c r="M844" s="321">
        <f>SUMIFS(DATA!$I:$I,DATA!$C:$C,$B844,DATA!$J:$J,"&gt;="&amp;DATE($I$2,M$4,1),DATA!$J:$J,"&lt;="&amp;DATE($I$2,M$4,M$5))</f>
        <v/>
      </c>
      <c r="N844" s="321">
        <f>SUMIFS(DATA!$I:$I,DATA!$C:$C,$B844,DATA!$J:$J,"&gt;="&amp;DATE($I$2,N$4,1),DATA!$J:$J,"&lt;="&amp;DATE($I$2,N$4,N$5))</f>
        <v/>
      </c>
      <c r="O844" s="321">
        <f>SUMIFS(DATA!$I:$I,DATA!$C:$C,$B844,DATA!$J:$J,"&gt;="&amp;DATE($I$2,O$4,1),DATA!$J:$J,"&lt;="&amp;DATE($I$2,O$4,O$5))</f>
        <v/>
      </c>
      <c r="P844" s="322">
        <f>SUM(D844:O844)</f>
        <v/>
      </c>
    </row>
    <row r="845" hidden="1" outlineLevel="1" ht="15" customHeight="1">
      <c r="A845" s="266" t="n"/>
      <c r="B845" s="126" t="n"/>
      <c r="C845" s="119" t="inlineStr">
        <is>
          <t>Thực tế</t>
        </is>
      </c>
      <c r="D845" s="321">
        <f>SUMIFS(DATA!$M:$M,DATA!$C:$C,$B844,DATA!$N:$N,"&gt;="&amp;DATE($I$2,D$4,1),DATA!$N:$N,"&lt;="&amp;DATE($I$2,D$4,D$5))</f>
        <v/>
      </c>
      <c r="E845" s="321">
        <f>SUMIFS(DATA!$M:$M,DATA!$C:$C,$B844,DATA!$N:$N,"&gt;="&amp;DATE($I$2,E$4,1),DATA!$N:$N,"&lt;="&amp;DATE($I$2,E$4,E$5))</f>
        <v/>
      </c>
      <c r="F845" s="321">
        <f>SUMIFS(DATA!$M:$M,DATA!$C:$C,$B844,DATA!$N:$N,"&gt;="&amp;DATE($I$2,F$4,1),DATA!$N:$N,"&lt;="&amp;DATE($I$2,F$4,F$5))</f>
        <v/>
      </c>
      <c r="G845" s="321">
        <f>SUMIFS(DATA!$M:$M,DATA!$C:$C,$B844,DATA!$N:$N,"&gt;="&amp;DATE($I$2,G$4,1),DATA!$N:$N,"&lt;="&amp;DATE($I$2,G$4,G$5))</f>
        <v/>
      </c>
      <c r="H845" s="321">
        <f>SUMIFS(DATA!$M:$M,DATA!$C:$C,$B844,DATA!$N:$N,"&gt;="&amp;DATE($I$2,H$4,1),DATA!$N:$N,"&lt;="&amp;DATE($I$2,H$4,H$5))</f>
        <v/>
      </c>
      <c r="I845" s="321">
        <f>SUMIFS(DATA!$M:$M,DATA!$C:$C,$B844,DATA!$N:$N,"&gt;="&amp;DATE($I$2,I$4,1),DATA!$N:$N,"&lt;="&amp;DATE($I$2,I$4,I$5))</f>
        <v/>
      </c>
      <c r="J845" s="321">
        <f>SUMIFS(DATA!$M:$M,DATA!$C:$C,$B844,DATA!$N:$N,"&gt;="&amp;DATE($I$2,J$4,1),DATA!$N:$N,"&lt;="&amp;DATE($I$2,J$4,J$5))</f>
        <v/>
      </c>
      <c r="K845" s="321">
        <f>SUMIFS(DATA!$M:$M,DATA!$C:$C,$B844,DATA!$N:$N,"&gt;="&amp;DATE($I$2,K$4,1),DATA!$N:$N,"&lt;="&amp;DATE($I$2,K$4,K$5))</f>
        <v/>
      </c>
      <c r="L845" s="321">
        <f>SUMIFS(DATA!$M:$M,DATA!$C:$C,$B844,DATA!$N:$N,"&gt;="&amp;DATE($I$2,L$4,1),DATA!$N:$N,"&lt;="&amp;DATE($I$2,L$4,L$5))</f>
        <v/>
      </c>
      <c r="M845" s="321">
        <f>SUMIFS(DATA!$M:$M,DATA!$C:$C,$B844,DATA!$N:$N,"&gt;="&amp;DATE($I$2,M$4,1),DATA!$N:$N,"&lt;="&amp;DATE($I$2,M$4,M$5))</f>
        <v/>
      </c>
      <c r="N845" s="321">
        <f>SUMIFS(DATA!$M:$M,DATA!$C:$C,$B844,DATA!$N:$N,"&gt;="&amp;DATE($I$2,N$4,1),DATA!$N:$N,"&lt;="&amp;DATE($I$2,N$4,N$5))</f>
        <v/>
      </c>
      <c r="O845" s="321">
        <f>SUMIFS(DATA!$M:$M,DATA!$C:$C,$B844,DATA!$N:$N,"&gt;="&amp;DATE($I$2,O$4,1),DATA!$N:$N,"&lt;="&amp;DATE($I$2,O$4,O$5))</f>
        <v/>
      </c>
      <c r="P845" s="322">
        <f>SUM(D845:O845)</f>
        <v/>
      </c>
    </row>
    <row r="846" hidden="1" outlineLevel="1" ht="15" customHeight="1">
      <c r="A846" s="269" t="n">
        <v>421</v>
      </c>
      <c r="B846" s="125" t="n"/>
      <c r="C846" s="119" t="inlineStr">
        <is>
          <t>Kế hoạch</t>
        </is>
      </c>
      <c r="D846" s="321">
        <f>SUMIFS(DATA!$I:$I,DATA!$C:$C,$B846,DATA!$J:$J,"&gt;="&amp;DATE($I$2,D$4,1),DATA!$J:$J,"&lt;="&amp;DATE($I$2,D$4,D$5))</f>
        <v/>
      </c>
      <c r="E846" s="321">
        <f>SUMIFS(DATA!$I:$I,DATA!$C:$C,$B846,DATA!$J:$J,"&gt;="&amp;DATE($I$2,E$4,1),DATA!$J:$J,"&lt;="&amp;DATE($I$2,E$4,E$5))</f>
        <v/>
      </c>
      <c r="F846" s="321">
        <f>SUMIFS(DATA!$I:$I,DATA!$C:$C,$B846,DATA!$J:$J,"&gt;="&amp;DATE($I$2,F$4,1),DATA!$J:$J,"&lt;="&amp;DATE($I$2,F$4,F$5))</f>
        <v/>
      </c>
      <c r="G846" s="321">
        <f>SUMIFS(DATA!$I:$I,DATA!$C:$C,$B846,DATA!$J:$J,"&gt;="&amp;DATE($I$2,G$4,1),DATA!$J:$J,"&lt;="&amp;DATE($I$2,G$4,G$5))</f>
        <v/>
      </c>
      <c r="H846" s="321">
        <f>SUMIFS(DATA!$I:$I,DATA!$C:$C,$B846,DATA!$J:$J,"&gt;="&amp;DATE($I$2,H$4,1),DATA!$J:$J,"&lt;="&amp;DATE($I$2,H$4,H$5))</f>
        <v/>
      </c>
      <c r="I846" s="321">
        <f>SUMIFS(DATA!$I:$I,DATA!$C:$C,$B846,DATA!$J:$J,"&gt;="&amp;DATE($I$2,I$4,1),DATA!$J:$J,"&lt;="&amp;DATE($I$2,I$4,I$5))</f>
        <v/>
      </c>
      <c r="J846" s="321">
        <f>SUMIFS(DATA!$I:$I,DATA!$C:$C,$B846,DATA!$J:$J,"&gt;="&amp;DATE($I$2,J$4,1),DATA!$J:$J,"&lt;="&amp;DATE($I$2,J$4,J$5))</f>
        <v/>
      </c>
      <c r="K846" s="321">
        <f>SUMIFS(DATA!$I:$I,DATA!$C:$C,$B846,DATA!$J:$J,"&gt;="&amp;DATE($I$2,K$4,1),DATA!$J:$J,"&lt;="&amp;DATE($I$2,K$4,K$5))</f>
        <v/>
      </c>
      <c r="L846" s="321">
        <f>SUMIFS(DATA!$I:$I,DATA!$C:$C,$B846,DATA!$J:$J,"&gt;="&amp;DATE($I$2,L$4,1),DATA!$J:$J,"&lt;="&amp;DATE($I$2,L$4,L$5))</f>
        <v/>
      </c>
      <c r="M846" s="321">
        <f>SUMIFS(DATA!$I:$I,DATA!$C:$C,$B846,DATA!$J:$J,"&gt;="&amp;DATE($I$2,M$4,1),DATA!$J:$J,"&lt;="&amp;DATE($I$2,M$4,M$5))</f>
        <v/>
      </c>
      <c r="N846" s="321">
        <f>SUMIFS(DATA!$I:$I,DATA!$C:$C,$B846,DATA!$J:$J,"&gt;="&amp;DATE($I$2,N$4,1),DATA!$J:$J,"&lt;="&amp;DATE($I$2,N$4,N$5))</f>
        <v/>
      </c>
      <c r="O846" s="321">
        <f>SUMIFS(DATA!$I:$I,DATA!$C:$C,$B846,DATA!$J:$J,"&gt;="&amp;DATE($I$2,O$4,1),DATA!$J:$J,"&lt;="&amp;DATE($I$2,O$4,O$5))</f>
        <v/>
      </c>
      <c r="P846" s="322">
        <f>SUM(D846:O846)</f>
        <v/>
      </c>
    </row>
    <row r="847" hidden="1" outlineLevel="1" ht="15" customHeight="1">
      <c r="A847" s="266" t="n"/>
      <c r="B847" s="126" t="n"/>
      <c r="C847" s="119" t="inlineStr">
        <is>
          <t>Thực tế</t>
        </is>
      </c>
      <c r="D847" s="321">
        <f>SUMIFS(DATA!$M:$M,DATA!$C:$C,$B846,DATA!$N:$N,"&gt;="&amp;DATE($I$2,D$4,1),DATA!$N:$N,"&lt;="&amp;DATE($I$2,D$4,D$5))</f>
        <v/>
      </c>
      <c r="E847" s="321">
        <f>SUMIFS(DATA!$M:$M,DATA!$C:$C,$B846,DATA!$N:$N,"&gt;="&amp;DATE($I$2,E$4,1),DATA!$N:$N,"&lt;="&amp;DATE($I$2,E$4,E$5))</f>
        <v/>
      </c>
      <c r="F847" s="321">
        <f>SUMIFS(DATA!$M:$M,DATA!$C:$C,$B846,DATA!$N:$N,"&gt;="&amp;DATE($I$2,F$4,1),DATA!$N:$N,"&lt;="&amp;DATE($I$2,F$4,F$5))</f>
        <v/>
      </c>
      <c r="G847" s="321">
        <f>SUMIFS(DATA!$M:$M,DATA!$C:$C,$B846,DATA!$N:$N,"&gt;="&amp;DATE($I$2,G$4,1),DATA!$N:$N,"&lt;="&amp;DATE($I$2,G$4,G$5))</f>
        <v/>
      </c>
      <c r="H847" s="321">
        <f>SUMIFS(DATA!$M:$M,DATA!$C:$C,$B846,DATA!$N:$N,"&gt;="&amp;DATE($I$2,H$4,1),DATA!$N:$N,"&lt;="&amp;DATE($I$2,H$4,H$5))</f>
        <v/>
      </c>
      <c r="I847" s="321">
        <f>SUMIFS(DATA!$M:$M,DATA!$C:$C,$B846,DATA!$N:$N,"&gt;="&amp;DATE($I$2,I$4,1),DATA!$N:$N,"&lt;="&amp;DATE($I$2,I$4,I$5))</f>
        <v/>
      </c>
      <c r="J847" s="321">
        <f>SUMIFS(DATA!$M:$M,DATA!$C:$C,$B846,DATA!$N:$N,"&gt;="&amp;DATE($I$2,J$4,1),DATA!$N:$N,"&lt;="&amp;DATE($I$2,J$4,J$5))</f>
        <v/>
      </c>
      <c r="K847" s="321">
        <f>SUMIFS(DATA!$M:$M,DATA!$C:$C,$B846,DATA!$N:$N,"&gt;="&amp;DATE($I$2,K$4,1),DATA!$N:$N,"&lt;="&amp;DATE($I$2,K$4,K$5))</f>
        <v/>
      </c>
      <c r="L847" s="321">
        <f>SUMIFS(DATA!$M:$M,DATA!$C:$C,$B846,DATA!$N:$N,"&gt;="&amp;DATE($I$2,L$4,1),DATA!$N:$N,"&lt;="&amp;DATE($I$2,L$4,L$5))</f>
        <v/>
      </c>
      <c r="M847" s="321">
        <f>SUMIFS(DATA!$M:$M,DATA!$C:$C,$B846,DATA!$N:$N,"&gt;="&amp;DATE($I$2,M$4,1),DATA!$N:$N,"&lt;="&amp;DATE($I$2,M$4,M$5))</f>
        <v/>
      </c>
      <c r="N847" s="321">
        <f>SUMIFS(DATA!$M:$M,DATA!$C:$C,$B846,DATA!$N:$N,"&gt;="&amp;DATE($I$2,N$4,1),DATA!$N:$N,"&lt;="&amp;DATE($I$2,N$4,N$5))</f>
        <v/>
      </c>
      <c r="O847" s="321">
        <f>SUMIFS(DATA!$M:$M,DATA!$C:$C,$B846,DATA!$N:$N,"&gt;="&amp;DATE($I$2,O$4,1),DATA!$N:$N,"&lt;="&amp;DATE($I$2,O$4,O$5))</f>
        <v/>
      </c>
      <c r="P847" s="322">
        <f>SUM(D847:O847)</f>
        <v/>
      </c>
    </row>
    <row r="848" hidden="1" outlineLevel="1" ht="15" customHeight="1">
      <c r="A848" s="269" t="n">
        <v>422</v>
      </c>
      <c r="B848" s="125" t="n"/>
      <c r="C848" s="119" t="inlineStr">
        <is>
          <t>Kế hoạch</t>
        </is>
      </c>
      <c r="D848" s="321">
        <f>SUMIFS(DATA!$I:$I,DATA!$C:$C,$B848,DATA!$J:$J,"&gt;="&amp;DATE($I$2,D$4,1),DATA!$J:$J,"&lt;="&amp;DATE($I$2,D$4,D$5))</f>
        <v/>
      </c>
      <c r="E848" s="321">
        <f>SUMIFS(DATA!$I:$I,DATA!$C:$C,$B848,DATA!$J:$J,"&gt;="&amp;DATE($I$2,E$4,1),DATA!$J:$J,"&lt;="&amp;DATE($I$2,E$4,E$5))</f>
        <v/>
      </c>
      <c r="F848" s="321">
        <f>SUMIFS(DATA!$I:$I,DATA!$C:$C,$B848,DATA!$J:$J,"&gt;="&amp;DATE($I$2,F$4,1),DATA!$J:$J,"&lt;="&amp;DATE($I$2,F$4,F$5))</f>
        <v/>
      </c>
      <c r="G848" s="321">
        <f>SUMIFS(DATA!$I:$I,DATA!$C:$C,$B848,DATA!$J:$J,"&gt;="&amp;DATE($I$2,G$4,1),DATA!$J:$J,"&lt;="&amp;DATE($I$2,G$4,G$5))</f>
        <v/>
      </c>
      <c r="H848" s="321">
        <f>SUMIFS(DATA!$I:$I,DATA!$C:$C,$B848,DATA!$J:$J,"&gt;="&amp;DATE($I$2,H$4,1),DATA!$J:$J,"&lt;="&amp;DATE($I$2,H$4,H$5))</f>
        <v/>
      </c>
      <c r="I848" s="321">
        <f>SUMIFS(DATA!$I:$I,DATA!$C:$C,$B848,DATA!$J:$J,"&gt;="&amp;DATE($I$2,I$4,1),DATA!$J:$J,"&lt;="&amp;DATE($I$2,I$4,I$5))</f>
        <v/>
      </c>
      <c r="J848" s="321">
        <f>SUMIFS(DATA!$I:$I,DATA!$C:$C,$B848,DATA!$J:$J,"&gt;="&amp;DATE($I$2,J$4,1),DATA!$J:$J,"&lt;="&amp;DATE($I$2,J$4,J$5))</f>
        <v/>
      </c>
      <c r="K848" s="321">
        <f>SUMIFS(DATA!$I:$I,DATA!$C:$C,$B848,DATA!$J:$J,"&gt;="&amp;DATE($I$2,K$4,1),DATA!$J:$J,"&lt;="&amp;DATE($I$2,K$4,K$5))</f>
        <v/>
      </c>
      <c r="L848" s="321">
        <f>SUMIFS(DATA!$I:$I,DATA!$C:$C,$B848,DATA!$J:$J,"&gt;="&amp;DATE($I$2,L$4,1),DATA!$J:$J,"&lt;="&amp;DATE($I$2,L$4,L$5))</f>
        <v/>
      </c>
      <c r="M848" s="321">
        <f>SUMIFS(DATA!$I:$I,DATA!$C:$C,$B848,DATA!$J:$J,"&gt;="&amp;DATE($I$2,M$4,1),DATA!$J:$J,"&lt;="&amp;DATE($I$2,M$4,M$5))</f>
        <v/>
      </c>
      <c r="N848" s="321">
        <f>SUMIFS(DATA!$I:$I,DATA!$C:$C,$B848,DATA!$J:$J,"&gt;="&amp;DATE($I$2,N$4,1),DATA!$J:$J,"&lt;="&amp;DATE($I$2,N$4,N$5))</f>
        <v/>
      </c>
      <c r="O848" s="321">
        <f>SUMIFS(DATA!$I:$I,DATA!$C:$C,$B848,DATA!$J:$J,"&gt;="&amp;DATE($I$2,O$4,1),DATA!$J:$J,"&lt;="&amp;DATE($I$2,O$4,O$5))</f>
        <v/>
      </c>
      <c r="P848" s="322">
        <f>SUM(D848:O848)</f>
        <v/>
      </c>
    </row>
    <row r="849" hidden="1" outlineLevel="1" ht="15" customHeight="1">
      <c r="A849" s="266" t="n"/>
      <c r="B849" s="126" t="n"/>
      <c r="C849" s="119" t="inlineStr">
        <is>
          <t>Thực tế</t>
        </is>
      </c>
      <c r="D849" s="321">
        <f>SUMIFS(DATA!$M:$M,DATA!$C:$C,$B848,DATA!$N:$N,"&gt;="&amp;DATE($I$2,D$4,1),DATA!$N:$N,"&lt;="&amp;DATE($I$2,D$4,D$5))</f>
        <v/>
      </c>
      <c r="E849" s="321">
        <f>SUMIFS(DATA!$M:$M,DATA!$C:$C,$B848,DATA!$N:$N,"&gt;="&amp;DATE($I$2,E$4,1),DATA!$N:$N,"&lt;="&amp;DATE($I$2,E$4,E$5))</f>
        <v/>
      </c>
      <c r="F849" s="321">
        <f>SUMIFS(DATA!$M:$M,DATA!$C:$C,$B848,DATA!$N:$N,"&gt;="&amp;DATE($I$2,F$4,1),DATA!$N:$N,"&lt;="&amp;DATE($I$2,F$4,F$5))</f>
        <v/>
      </c>
      <c r="G849" s="321">
        <f>SUMIFS(DATA!$M:$M,DATA!$C:$C,$B848,DATA!$N:$N,"&gt;="&amp;DATE($I$2,G$4,1),DATA!$N:$N,"&lt;="&amp;DATE($I$2,G$4,G$5))</f>
        <v/>
      </c>
      <c r="H849" s="321">
        <f>SUMIFS(DATA!$M:$M,DATA!$C:$C,$B848,DATA!$N:$N,"&gt;="&amp;DATE($I$2,H$4,1),DATA!$N:$N,"&lt;="&amp;DATE($I$2,H$4,H$5))</f>
        <v/>
      </c>
      <c r="I849" s="321">
        <f>SUMIFS(DATA!$M:$M,DATA!$C:$C,$B848,DATA!$N:$N,"&gt;="&amp;DATE($I$2,I$4,1),DATA!$N:$N,"&lt;="&amp;DATE($I$2,I$4,I$5))</f>
        <v/>
      </c>
      <c r="J849" s="321">
        <f>SUMIFS(DATA!$M:$M,DATA!$C:$C,$B848,DATA!$N:$N,"&gt;="&amp;DATE($I$2,J$4,1),DATA!$N:$N,"&lt;="&amp;DATE($I$2,J$4,J$5))</f>
        <v/>
      </c>
      <c r="K849" s="321">
        <f>SUMIFS(DATA!$M:$M,DATA!$C:$C,$B848,DATA!$N:$N,"&gt;="&amp;DATE($I$2,K$4,1),DATA!$N:$N,"&lt;="&amp;DATE($I$2,K$4,K$5))</f>
        <v/>
      </c>
      <c r="L849" s="321">
        <f>SUMIFS(DATA!$M:$M,DATA!$C:$C,$B848,DATA!$N:$N,"&gt;="&amp;DATE($I$2,L$4,1),DATA!$N:$N,"&lt;="&amp;DATE($I$2,L$4,L$5))</f>
        <v/>
      </c>
      <c r="M849" s="321">
        <f>SUMIFS(DATA!$M:$M,DATA!$C:$C,$B848,DATA!$N:$N,"&gt;="&amp;DATE($I$2,M$4,1),DATA!$N:$N,"&lt;="&amp;DATE($I$2,M$4,M$5))</f>
        <v/>
      </c>
      <c r="N849" s="321">
        <f>SUMIFS(DATA!$M:$M,DATA!$C:$C,$B848,DATA!$N:$N,"&gt;="&amp;DATE($I$2,N$4,1),DATA!$N:$N,"&lt;="&amp;DATE($I$2,N$4,N$5))</f>
        <v/>
      </c>
      <c r="O849" s="321">
        <f>SUMIFS(DATA!$M:$M,DATA!$C:$C,$B848,DATA!$N:$N,"&gt;="&amp;DATE($I$2,O$4,1),DATA!$N:$N,"&lt;="&amp;DATE($I$2,O$4,O$5))</f>
        <v/>
      </c>
      <c r="P849" s="322">
        <f>SUM(D849:O849)</f>
        <v/>
      </c>
    </row>
    <row r="850" hidden="1" outlineLevel="1" ht="15" customHeight="1">
      <c r="A850" s="269" t="n">
        <v>423</v>
      </c>
      <c r="B850" s="125" t="n"/>
      <c r="C850" s="119" t="inlineStr">
        <is>
          <t>Kế hoạch</t>
        </is>
      </c>
      <c r="D850" s="321">
        <f>SUMIFS(DATA!$I:$I,DATA!$C:$C,$B850,DATA!$J:$J,"&gt;="&amp;DATE($I$2,D$4,1),DATA!$J:$J,"&lt;="&amp;DATE($I$2,D$4,D$5))</f>
        <v/>
      </c>
      <c r="E850" s="321">
        <f>SUMIFS(DATA!$I:$I,DATA!$C:$C,$B850,DATA!$J:$J,"&gt;="&amp;DATE($I$2,E$4,1),DATA!$J:$J,"&lt;="&amp;DATE($I$2,E$4,E$5))</f>
        <v/>
      </c>
      <c r="F850" s="321">
        <f>SUMIFS(DATA!$I:$I,DATA!$C:$C,$B850,DATA!$J:$J,"&gt;="&amp;DATE($I$2,F$4,1),DATA!$J:$J,"&lt;="&amp;DATE($I$2,F$4,F$5))</f>
        <v/>
      </c>
      <c r="G850" s="321">
        <f>SUMIFS(DATA!$I:$I,DATA!$C:$C,$B850,DATA!$J:$J,"&gt;="&amp;DATE($I$2,G$4,1),DATA!$J:$J,"&lt;="&amp;DATE($I$2,G$4,G$5))</f>
        <v/>
      </c>
      <c r="H850" s="321">
        <f>SUMIFS(DATA!$I:$I,DATA!$C:$C,$B850,DATA!$J:$J,"&gt;="&amp;DATE($I$2,H$4,1),DATA!$J:$J,"&lt;="&amp;DATE($I$2,H$4,H$5))</f>
        <v/>
      </c>
      <c r="I850" s="321">
        <f>SUMIFS(DATA!$I:$I,DATA!$C:$C,$B850,DATA!$J:$J,"&gt;="&amp;DATE($I$2,I$4,1),DATA!$J:$J,"&lt;="&amp;DATE($I$2,I$4,I$5))</f>
        <v/>
      </c>
      <c r="J850" s="321">
        <f>SUMIFS(DATA!$I:$I,DATA!$C:$C,$B850,DATA!$J:$J,"&gt;="&amp;DATE($I$2,J$4,1),DATA!$J:$J,"&lt;="&amp;DATE($I$2,J$4,J$5))</f>
        <v/>
      </c>
      <c r="K850" s="321">
        <f>SUMIFS(DATA!$I:$I,DATA!$C:$C,$B850,DATA!$J:$J,"&gt;="&amp;DATE($I$2,K$4,1),DATA!$J:$J,"&lt;="&amp;DATE($I$2,K$4,K$5))</f>
        <v/>
      </c>
      <c r="L850" s="321">
        <f>SUMIFS(DATA!$I:$I,DATA!$C:$C,$B850,DATA!$J:$J,"&gt;="&amp;DATE($I$2,L$4,1),DATA!$J:$J,"&lt;="&amp;DATE($I$2,L$4,L$5))</f>
        <v/>
      </c>
      <c r="M850" s="321">
        <f>SUMIFS(DATA!$I:$I,DATA!$C:$C,$B850,DATA!$J:$J,"&gt;="&amp;DATE($I$2,M$4,1),DATA!$J:$J,"&lt;="&amp;DATE($I$2,M$4,M$5))</f>
        <v/>
      </c>
      <c r="N850" s="321">
        <f>SUMIFS(DATA!$I:$I,DATA!$C:$C,$B850,DATA!$J:$J,"&gt;="&amp;DATE($I$2,N$4,1),DATA!$J:$J,"&lt;="&amp;DATE($I$2,N$4,N$5))</f>
        <v/>
      </c>
      <c r="O850" s="321">
        <f>SUMIFS(DATA!$I:$I,DATA!$C:$C,$B850,DATA!$J:$J,"&gt;="&amp;DATE($I$2,O$4,1),DATA!$J:$J,"&lt;="&amp;DATE($I$2,O$4,O$5))</f>
        <v/>
      </c>
      <c r="P850" s="322">
        <f>SUM(D850:O850)</f>
        <v/>
      </c>
    </row>
    <row r="851" hidden="1" outlineLevel="1" ht="15" customHeight="1">
      <c r="A851" s="266" t="n"/>
      <c r="B851" s="126" t="n"/>
      <c r="C851" s="119" t="inlineStr">
        <is>
          <t>Thực tế</t>
        </is>
      </c>
      <c r="D851" s="321">
        <f>SUMIFS(DATA!$M:$M,DATA!$C:$C,$B850,DATA!$N:$N,"&gt;="&amp;DATE($I$2,D$4,1),DATA!$N:$N,"&lt;="&amp;DATE($I$2,D$4,D$5))</f>
        <v/>
      </c>
      <c r="E851" s="321">
        <f>SUMIFS(DATA!$M:$M,DATA!$C:$C,$B850,DATA!$N:$N,"&gt;="&amp;DATE($I$2,E$4,1),DATA!$N:$N,"&lt;="&amp;DATE($I$2,E$4,E$5))</f>
        <v/>
      </c>
      <c r="F851" s="321">
        <f>SUMIFS(DATA!$M:$M,DATA!$C:$C,$B850,DATA!$N:$N,"&gt;="&amp;DATE($I$2,F$4,1),DATA!$N:$N,"&lt;="&amp;DATE($I$2,F$4,F$5))</f>
        <v/>
      </c>
      <c r="G851" s="321">
        <f>SUMIFS(DATA!$M:$M,DATA!$C:$C,$B850,DATA!$N:$N,"&gt;="&amp;DATE($I$2,G$4,1),DATA!$N:$N,"&lt;="&amp;DATE($I$2,G$4,G$5))</f>
        <v/>
      </c>
      <c r="H851" s="321">
        <f>SUMIFS(DATA!$M:$M,DATA!$C:$C,$B850,DATA!$N:$N,"&gt;="&amp;DATE($I$2,H$4,1),DATA!$N:$N,"&lt;="&amp;DATE($I$2,H$4,H$5))</f>
        <v/>
      </c>
      <c r="I851" s="321">
        <f>SUMIFS(DATA!$M:$M,DATA!$C:$C,$B850,DATA!$N:$N,"&gt;="&amp;DATE($I$2,I$4,1),DATA!$N:$N,"&lt;="&amp;DATE($I$2,I$4,I$5))</f>
        <v/>
      </c>
      <c r="J851" s="321">
        <f>SUMIFS(DATA!$M:$M,DATA!$C:$C,$B850,DATA!$N:$N,"&gt;="&amp;DATE($I$2,J$4,1),DATA!$N:$N,"&lt;="&amp;DATE($I$2,J$4,J$5))</f>
        <v/>
      </c>
      <c r="K851" s="321">
        <f>SUMIFS(DATA!$M:$M,DATA!$C:$C,$B850,DATA!$N:$N,"&gt;="&amp;DATE($I$2,K$4,1),DATA!$N:$N,"&lt;="&amp;DATE($I$2,K$4,K$5))</f>
        <v/>
      </c>
      <c r="L851" s="321">
        <f>SUMIFS(DATA!$M:$M,DATA!$C:$C,$B850,DATA!$N:$N,"&gt;="&amp;DATE($I$2,L$4,1),DATA!$N:$N,"&lt;="&amp;DATE($I$2,L$4,L$5))</f>
        <v/>
      </c>
      <c r="M851" s="321">
        <f>SUMIFS(DATA!$M:$M,DATA!$C:$C,$B850,DATA!$N:$N,"&gt;="&amp;DATE($I$2,M$4,1),DATA!$N:$N,"&lt;="&amp;DATE($I$2,M$4,M$5))</f>
        <v/>
      </c>
      <c r="N851" s="321">
        <f>SUMIFS(DATA!$M:$M,DATA!$C:$C,$B850,DATA!$N:$N,"&gt;="&amp;DATE($I$2,N$4,1),DATA!$N:$N,"&lt;="&amp;DATE($I$2,N$4,N$5))</f>
        <v/>
      </c>
      <c r="O851" s="321">
        <f>SUMIFS(DATA!$M:$M,DATA!$C:$C,$B850,DATA!$N:$N,"&gt;="&amp;DATE($I$2,O$4,1),DATA!$N:$N,"&lt;="&amp;DATE($I$2,O$4,O$5))</f>
        <v/>
      </c>
      <c r="P851" s="322">
        <f>SUM(D851:O851)</f>
        <v/>
      </c>
    </row>
    <row r="852" hidden="1" outlineLevel="1" ht="15" customHeight="1">
      <c r="A852" s="269" t="n">
        <v>424</v>
      </c>
      <c r="B852" s="125" t="n"/>
      <c r="C852" s="119" t="inlineStr">
        <is>
          <t>Kế hoạch</t>
        </is>
      </c>
      <c r="D852" s="321">
        <f>SUMIFS(DATA!$I:$I,DATA!$C:$C,$B852,DATA!$J:$J,"&gt;="&amp;DATE($I$2,D$4,1),DATA!$J:$J,"&lt;="&amp;DATE($I$2,D$4,D$5))</f>
        <v/>
      </c>
      <c r="E852" s="321">
        <f>SUMIFS(DATA!$I:$I,DATA!$C:$C,$B852,DATA!$J:$J,"&gt;="&amp;DATE($I$2,E$4,1),DATA!$J:$J,"&lt;="&amp;DATE($I$2,E$4,E$5))</f>
        <v/>
      </c>
      <c r="F852" s="321">
        <f>SUMIFS(DATA!$I:$I,DATA!$C:$C,$B852,DATA!$J:$J,"&gt;="&amp;DATE($I$2,F$4,1),DATA!$J:$J,"&lt;="&amp;DATE($I$2,F$4,F$5))</f>
        <v/>
      </c>
      <c r="G852" s="321">
        <f>SUMIFS(DATA!$I:$I,DATA!$C:$C,$B852,DATA!$J:$J,"&gt;="&amp;DATE($I$2,G$4,1),DATA!$J:$J,"&lt;="&amp;DATE($I$2,G$4,G$5))</f>
        <v/>
      </c>
      <c r="H852" s="321">
        <f>SUMIFS(DATA!$I:$I,DATA!$C:$C,$B852,DATA!$J:$J,"&gt;="&amp;DATE($I$2,H$4,1),DATA!$J:$J,"&lt;="&amp;DATE($I$2,H$4,H$5))</f>
        <v/>
      </c>
      <c r="I852" s="321">
        <f>SUMIFS(DATA!$I:$I,DATA!$C:$C,$B852,DATA!$J:$J,"&gt;="&amp;DATE($I$2,I$4,1),DATA!$J:$J,"&lt;="&amp;DATE($I$2,I$4,I$5))</f>
        <v/>
      </c>
      <c r="J852" s="321">
        <f>SUMIFS(DATA!$I:$I,DATA!$C:$C,$B852,DATA!$J:$J,"&gt;="&amp;DATE($I$2,J$4,1),DATA!$J:$J,"&lt;="&amp;DATE($I$2,J$4,J$5))</f>
        <v/>
      </c>
      <c r="K852" s="321">
        <f>SUMIFS(DATA!$I:$I,DATA!$C:$C,$B852,DATA!$J:$J,"&gt;="&amp;DATE($I$2,K$4,1),DATA!$J:$J,"&lt;="&amp;DATE($I$2,K$4,K$5))</f>
        <v/>
      </c>
      <c r="L852" s="321">
        <f>SUMIFS(DATA!$I:$I,DATA!$C:$C,$B852,DATA!$J:$J,"&gt;="&amp;DATE($I$2,L$4,1),DATA!$J:$J,"&lt;="&amp;DATE($I$2,L$4,L$5))</f>
        <v/>
      </c>
      <c r="M852" s="321">
        <f>SUMIFS(DATA!$I:$I,DATA!$C:$C,$B852,DATA!$J:$J,"&gt;="&amp;DATE($I$2,M$4,1),DATA!$J:$J,"&lt;="&amp;DATE($I$2,M$4,M$5))</f>
        <v/>
      </c>
      <c r="N852" s="321">
        <f>SUMIFS(DATA!$I:$I,DATA!$C:$C,$B852,DATA!$J:$J,"&gt;="&amp;DATE($I$2,N$4,1),DATA!$J:$J,"&lt;="&amp;DATE($I$2,N$4,N$5))</f>
        <v/>
      </c>
      <c r="O852" s="321">
        <f>SUMIFS(DATA!$I:$I,DATA!$C:$C,$B852,DATA!$J:$J,"&gt;="&amp;DATE($I$2,O$4,1),DATA!$J:$J,"&lt;="&amp;DATE($I$2,O$4,O$5))</f>
        <v/>
      </c>
      <c r="P852" s="322">
        <f>SUM(D852:O852)</f>
        <v/>
      </c>
    </row>
    <row r="853" hidden="1" outlineLevel="1" ht="15" customHeight="1">
      <c r="A853" s="266" t="n"/>
      <c r="B853" s="126" t="n"/>
      <c r="C853" s="119" t="inlineStr">
        <is>
          <t>Thực tế</t>
        </is>
      </c>
      <c r="D853" s="321">
        <f>SUMIFS(DATA!$M:$M,DATA!$C:$C,$B852,DATA!$N:$N,"&gt;="&amp;DATE($I$2,D$4,1),DATA!$N:$N,"&lt;="&amp;DATE($I$2,D$4,D$5))</f>
        <v/>
      </c>
      <c r="E853" s="321">
        <f>SUMIFS(DATA!$M:$M,DATA!$C:$C,$B852,DATA!$N:$N,"&gt;="&amp;DATE($I$2,E$4,1),DATA!$N:$N,"&lt;="&amp;DATE($I$2,E$4,E$5))</f>
        <v/>
      </c>
      <c r="F853" s="321">
        <f>SUMIFS(DATA!$M:$M,DATA!$C:$C,$B852,DATA!$N:$N,"&gt;="&amp;DATE($I$2,F$4,1),DATA!$N:$N,"&lt;="&amp;DATE($I$2,F$4,F$5))</f>
        <v/>
      </c>
      <c r="G853" s="321">
        <f>SUMIFS(DATA!$M:$M,DATA!$C:$C,$B852,DATA!$N:$N,"&gt;="&amp;DATE($I$2,G$4,1),DATA!$N:$N,"&lt;="&amp;DATE($I$2,G$4,G$5))</f>
        <v/>
      </c>
      <c r="H853" s="321">
        <f>SUMIFS(DATA!$M:$M,DATA!$C:$C,$B852,DATA!$N:$N,"&gt;="&amp;DATE($I$2,H$4,1),DATA!$N:$N,"&lt;="&amp;DATE($I$2,H$4,H$5))</f>
        <v/>
      </c>
      <c r="I853" s="321">
        <f>SUMIFS(DATA!$M:$M,DATA!$C:$C,$B852,DATA!$N:$N,"&gt;="&amp;DATE($I$2,I$4,1),DATA!$N:$N,"&lt;="&amp;DATE($I$2,I$4,I$5))</f>
        <v/>
      </c>
      <c r="J853" s="321">
        <f>SUMIFS(DATA!$M:$M,DATA!$C:$C,$B852,DATA!$N:$N,"&gt;="&amp;DATE($I$2,J$4,1),DATA!$N:$N,"&lt;="&amp;DATE($I$2,J$4,J$5))</f>
        <v/>
      </c>
      <c r="K853" s="321">
        <f>SUMIFS(DATA!$M:$M,DATA!$C:$C,$B852,DATA!$N:$N,"&gt;="&amp;DATE($I$2,K$4,1),DATA!$N:$N,"&lt;="&amp;DATE($I$2,K$4,K$5))</f>
        <v/>
      </c>
      <c r="L853" s="321">
        <f>SUMIFS(DATA!$M:$M,DATA!$C:$C,$B852,DATA!$N:$N,"&gt;="&amp;DATE($I$2,L$4,1),DATA!$N:$N,"&lt;="&amp;DATE($I$2,L$4,L$5))</f>
        <v/>
      </c>
      <c r="M853" s="321">
        <f>SUMIFS(DATA!$M:$M,DATA!$C:$C,$B852,DATA!$N:$N,"&gt;="&amp;DATE($I$2,M$4,1),DATA!$N:$N,"&lt;="&amp;DATE($I$2,M$4,M$5))</f>
        <v/>
      </c>
      <c r="N853" s="321">
        <f>SUMIFS(DATA!$M:$M,DATA!$C:$C,$B852,DATA!$N:$N,"&gt;="&amp;DATE($I$2,N$4,1),DATA!$N:$N,"&lt;="&amp;DATE($I$2,N$4,N$5))</f>
        <v/>
      </c>
      <c r="O853" s="321">
        <f>SUMIFS(DATA!$M:$M,DATA!$C:$C,$B852,DATA!$N:$N,"&gt;="&amp;DATE($I$2,O$4,1),DATA!$N:$N,"&lt;="&amp;DATE($I$2,O$4,O$5))</f>
        <v/>
      </c>
      <c r="P853" s="322">
        <f>SUM(D853:O853)</f>
        <v/>
      </c>
    </row>
    <row r="854" hidden="1" outlineLevel="1" ht="15" customHeight="1">
      <c r="A854" s="269" t="n">
        <v>425</v>
      </c>
      <c r="B854" s="125" t="n"/>
      <c r="C854" s="119" t="inlineStr">
        <is>
          <t>Kế hoạch</t>
        </is>
      </c>
      <c r="D854" s="321">
        <f>SUMIFS(DATA!$I:$I,DATA!$C:$C,$B854,DATA!$J:$J,"&gt;="&amp;DATE($I$2,D$4,1),DATA!$J:$J,"&lt;="&amp;DATE($I$2,D$4,D$5))</f>
        <v/>
      </c>
      <c r="E854" s="321">
        <f>SUMIFS(DATA!$I:$I,DATA!$C:$C,$B854,DATA!$J:$J,"&gt;="&amp;DATE($I$2,E$4,1),DATA!$J:$J,"&lt;="&amp;DATE($I$2,E$4,E$5))</f>
        <v/>
      </c>
      <c r="F854" s="321">
        <f>SUMIFS(DATA!$I:$I,DATA!$C:$C,$B854,DATA!$J:$J,"&gt;="&amp;DATE($I$2,F$4,1),DATA!$J:$J,"&lt;="&amp;DATE($I$2,F$4,F$5))</f>
        <v/>
      </c>
      <c r="G854" s="321">
        <f>SUMIFS(DATA!$I:$I,DATA!$C:$C,$B854,DATA!$J:$J,"&gt;="&amp;DATE($I$2,G$4,1),DATA!$J:$J,"&lt;="&amp;DATE($I$2,G$4,G$5))</f>
        <v/>
      </c>
      <c r="H854" s="321">
        <f>SUMIFS(DATA!$I:$I,DATA!$C:$C,$B854,DATA!$J:$J,"&gt;="&amp;DATE($I$2,H$4,1),DATA!$J:$J,"&lt;="&amp;DATE($I$2,H$4,H$5))</f>
        <v/>
      </c>
      <c r="I854" s="321">
        <f>SUMIFS(DATA!$I:$I,DATA!$C:$C,$B854,DATA!$J:$J,"&gt;="&amp;DATE($I$2,I$4,1),DATA!$J:$J,"&lt;="&amp;DATE($I$2,I$4,I$5))</f>
        <v/>
      </c>
      <c r="J854" s="321">
        <f>SUMIFS(DATA!$I:$I,DATA!$C:$C,$B854,DATA!$J:$J,"&gt;="&amp;DATE($I$2,J$4,1),DATA!$J:$J,"&lt;="&amp;DATE($I$2,J$4,J$5))</f>
        <v/>
      </c>
      <c r="K854" s="321">
        <f>SUMIFS(DATA!$I:$I,DATA!$C:$C,$B854,DATA!$J:$J,"&gt;="&amp;DATE($I$2,K$4,1),DATA!$J:$J,"&lt;="&amp;DATE($I$2,K$4,K$5))</f>
        <v/>
      </c>
      <c r="L854" s="321">
        <f>SUMIFS(DATA!$I:$I,DATA!$C:$C,$B854,DATA!$J:$J,"&gt;="&amp;DATE($I$2,L$4,1),DATA!$J:$J,"&lt;="&amp;DATE($I$2,L$4,L$5))</f>
        <v/>
      </c>
      <c r="M854" s="321">
        <f>SUMIFS(DATA!$I:$I,DATA!$C:$C,$B854,DATA!$J:$J,"&gt;="&amp;DATE($I$2,M$4,1),DATA!$J:$J,"&lt;="&amp;DATE($I$2,M$4,M$5))</f>
        <v/>
      </c>
      <c r="N854" s="321">
        <f>SUMIFS(DATA!$I:$I,DATA!$C:$C,$B854,DATA!$J:$J,"&gt;="&amp;DATE($I$2,N$4,1),DATA!$J:$J,"&lt;="&amp;DATE($I$2,N$4,N$5))</f>
        <v/>
      </c>
      <c r="O854" s="321">
        <f>SUMIFS(DATA!$I:$I,DATA!$C:$C,$B854,DATA!$J:$J,"&gt;="&amp;DATE($I$2,O$4,1),DATA!$J:$J,"&lt;="&amp;DATE($I$2,O$4,O$5))</f>
        <v/>
      </c>
      <c r="P854" s="322">
        <f>SUM(D854:O854)</f>
        <v/>
      </c>
    </row>
    <row r="855" hidden="1" outlineLevel="1" ht="15" customHeight="1">
      <c r="A855" s="266" t="n"/>
      <c r="B855" s="126" t="n"/>
      <c r="C855" s="119" t="inlineStr">
        <is>
          <t>Thực tế</t>
        </is>
      </c>
      <c r="D855" s="321">
        <f>SUMIFS(DATA!$M:$M,DATA!$C:$C,$B854,DATA!$N:$N,"&gt;="&amp;DATE($I$2,D$4,1),DATA!$N:$N,"&lt;="&amp;DATE($I$2,D$4,D$5))</f>
        <v/>
      </c>
      <c r="E855" s="321">
        <f>SUMIFS(DATA!$M:$M,DATA!$C:$C,$B854,DATA!$N:$N,"&gt;="&amp;DATE($I$2,E$4,1),DATA!$N:$N,"&lt;="&amp;DATE($I$2,E$4,E$5))</f>
        <v/>
      </c>
      <c r="F855" s="321">
        <f>SUMIFS(DATA!$M:$M,DATA!$C:$C,$B854,DATA!$N:$N,"&gt;="&amp;DATE($I$2,F$4,1),DATA!$N:$N,"&lt;="&amp;DATE($I$2,F$4,F$5))</f>
        <v/>
      </c>
      <c r="G855" s="321">
        <f>SUMIFS(DATA!$M:$M,DATA!$C:$C,$B854,DATA!$N:$N,"&gt;="&amp;DATE($I$2,G$4,1),DATA!$N:$N,"&lt;="&amp;DATE($I$2,G$4,G$5))</f>
        <v/>
      </c>
      <c r="H855" s="321">
        <f>SUMIFS(DATA!$M:$M,DATA!$C:$C,$B854,DATA!$N:$N,"&gt;="&amp;DATE($I$2,H$4,1),DATA!$N:$N,"&lt;="&amp;DATE($I$2,H$4,H$5))</f>
        <v/>
      </c>
      <c r="I855" s="321">
        <f>SUMIFS(DATA!$M:$M,DATA!$C:$C,$B854,DATA!$N:$N,"&gt;="&amp;DATE($I$2,I$4,1),DATA!$N:$N,"&lt;="&amp;DATE($I$2,I$4,I$5))</f>
        <v/>
      </c>
      <c r="J855" s="321">
        <f>SUMIFS(DATA!$M:$M,DATA!$C:$C,$B854,DATA!$N:$N,"&gt;="&amp;DATE($I$2,J$4,1),DATA!$N:$N,"&lt;="&amp;DATE($I$2,J$4,J$5))</f>
        <v/>
      </c>
      <c r="K855" s="321">
        <f>SUMIFS(DATA!$M:$M,DATA!$C:$C,$B854,DATA!$N:$N,"&gt;="&amp;DATE($I$2,K$4,1),DATA!$N:$N,"&lt;="&amp;DATE($I$2,K$4,K$5))</f>
        <v/>
      </c>
      <c r="L855" s="321">
        <f>SUMIFS(DATA!$M:$M,DATA!$C:$C,$B854,DATA!$N:$N,"&gt;="&amp;DATE($I$2,L$4,1),DATA!$N:$N,"&lt;="&amp;DATE($I$2,L$4,L$5))</f>
        <v/>
      </c>
      <c r="M855" s="321">
        <f>SUMIFS(DATA!$M:$M,DATA!$C:$C,$B854,DATA!$N:$N,"&gt;="&amp;DATE($I$2,M$4,1),DATA!$N:$N,"&lt;="&amp;DATE($I$2,M$4,M$5))</f>
        <v/>
      </c>
      <c r="N855" s="321">
        <f>SUMIFS(DATA!$M:$M,DATA!$C:$C,$B854,DATA!$N:$N,"&gt;="&amp;DATE($I$2,N$4,1),DATA!$N:$N,"&lt;="&amp;DATE($I$2,N$4,N$5))</f>
        <v/>
      </c>
      <c r="O855" s="321">
        <f>SUMIFS(DATA!$M:$M,DATA!$C:$C,$B854,DATA!$N:$N,"&gt;="&amp;DATE($I$2,O$4,1),DATA!$N:$N,"&lt;="&amp;DATE($I$2,O$4,O$5))</f>
        <v/>
      </c>
      <c r="P855" s="322">
        <f>SUM(D855:O855)</f>
        <v/>
      </c>
    </row>
    <row r="856" hidden="1" outlineLevel="1" ht="15" customHeight="1">
      <c r="A856" s="269" t="n">
        <v>426</v>
      </c>
      <c r="B856" s="125" t="n"/>
      <c r="C856" s="119" t="inlineStr">
        <is>
          <t>Kế hoạch</t>
        </is>
      </c>
      <c r="D856" s="321">
        <f>SUMIFS(DATA!$I:$I,DATA!$C:$C,$B856,DATA!$J:$J,"&gt;="&amp;DATE($I$2,D$4,1),DATA!$J:$J,"&lt;="&amp;DATE($I$2,D$4,D$5))</f>
        <v/>
      </c>
      <c r="E856" s="321">
        <f>SUMIFS(DATA!$I:$I,DATA!$C:$C,$B856,DATA!$J:$J,"&gt;="&amp;DATE($I$2,E$4,1),DATA!$J:$J,"&lt;="&amp;DATE($I$2,E$4,E$5))</f>
        <v/>
      </c>
      <c r="F856" s="321">
        <f>SUMIFS(DATA!$I:$I,DATA!$C:$C,$B856,DATA!$J:$J,"&gt;="&amp;DATE($I$2,F$4,1),DATA!$J:$J,"&lt;="&amp;DATE($I$2,F$4,F$5))</f>
        <v/>
      </c>
      <c r="G856" s="321">
        <f>SUMIFS(DATA!$I:$I,DATA!$C:$C,$B856,DATA!$J:$J,"&gt;="&amp;DATE($I$2,G$4,1),DATA!$J:$J,"&lt;="&amp;DATE($I$2,G$4,G$5))</f>
        <v/>
      </c>
      <c r="H856" s="321">
        <f>SUMIFS(DATA!$I:$I,DATA!$C:$C,$B856,DATA!$J:$J,"&gt;="&amp;DATE($I$2,H$4,1),DATA!$J:$J,"&lt;="&amp;DATE($I$2,H$4,H$5))</f>
        <v/>
      </c>
      <c r="I856" s="321">
        <f>SUMIFS(DATA!$I:$I,DATA!$C:$C,$B856,DATA!$J:$J,"&gt;="&amp;DATE($I$2,I$4,1),DATA!$J:$J,"&lt;="&amp;DATE($I$2,I$4,I$5))</f>
        <v/>
      </c>
      <c r="J856" s="321">
        <f>SUMIFS(DATA!$I:$I,DATA!$C:$C,$B856,DATA!$J:$J,"&gt;="&amp;DATE($I$2,J$4,1),DATA!$J:$J,"&lt;="&amp;DATE($I$2,J$4,J$5))</f>
        <v/>
      </c>
      <c r="K856" s="321">
        <f>SUMIFS(DATA!$I:$I,DATA!$C:$C,$B856,DATA!$J:$J,"&gt;="&amp;DATE($I$2,K$4,1),DATA!$J:$J,"&lt;="&amp;DATE($I$2,K$4,K$5))</f>
        <v/>
      </c>
      <c r="L856" s="321">
        <f>SUMIFS(DATA!$I:$I,DATA!$C:$C,$B856,DATA!$J:$J,"&gt;="&amp;DATE($I$2,L$4,1),DATA!$J:$J,"&lt;="&amp;DATE($I$2,L$4,L$5))</f>
        <v/>
      </c>
      <c r="M856" s="321">
        <f>SUMIFS(DATA!$I:$I,DATA!$C:$C,$B856,DATA!$J:$J,"&gt;="&amp;DATE($I$2,M$4,1),DATA!$J:$J,"&lt;="&amp;DATE($I$2,M$4,M$5))</f>
        <v/>
      </c>
      <c r="N856" s="321">
        <f>SUMIFS(DATA!$I:$I,DATA!$C:$C,$B856,DATA!$J:$J,"&gt;="&amp;DATE($I$2,N$4,1),DATA!$J:$J,"&lt;="&amp;DATE($I$2,N$4,N$5))</f>
        <v/>
      </c>
      <c r="O856" s="321">
        <f>SUMIFS(DATA!$I:$I,DATA!$C:$C,$B856,DATA!$J:$J,"&gt;="&amp;DATE($I$2,O$4,1),DATA!$J:$J,"&lt;="&amp;DATE($I$2,O$4,O$5))</f>
        <v/>
      </c>
      <c r="P856" s="322">
        <f>SUM(D856:O856)</f>
        <v/>
      </c>
    </row>
    <row r="857" hidden="1" outlineLevel="1" ht="15" customHeight="1">
      <c r="A857" s="266" t="n"/>
      <c r="B857" s="126" t="n"/>
      <c r="C857" s="119" t="inlineStr">
        <is>
          <t>Thực tế</t>
        </is>
      </c>
      <c r="D857" s="321">
        <f>SUMIFS(DATA!$M:$M,DATA!$C:$C,$B856,DATA!$N:$N,"&gt;="&amp;DATE($I$2,D$4,1),DATA!$N:$N,"&lt;="&amp;DATE($I$2,D$4,D$5))</f>
        <v/>
      </c>
      <c r="E857" s="321">
        <f>SUMIFS(DATA!$M:$M,DATA!$C:$C,$B856,DATA!$N:$N,"&gt;="&amp;DATE($I$2,E$4,1),DATA!$N:$N,"&lt;="&amp;DATE($I$2,E$4,E$5))</f>
        <v/>
      </c>
      <c r="F857" s="321">
        <f>SUMIFS(DATA!$M:$M,DATA!$C:$C,$B856,DATA!$N:$N,"&gt;="&amp;DATE($I$2,F$4,1),DATA!$N:$N,"&lt;="&amp;DATE($I$2,F$4,F$5))</f>
        <v/>
      </c>
      <c r="G857" s="321">
        <f>SUMIFS(DATA!$M:$M,DATA!$C:$C,$B856,DATA!$N:$N,"&gt;="&amp;DATE($I$2,G$4,1),DATA!$N:$N,"&lt;="&amp;DATE($I$2,G$4,G$5))</f>
        <v/>
      </c>
      <c r="H857" s="321">
        <f>SUMIFS(DATA!$M:$M,DATA!$C:$C,$B856,DATA!$N:$N,"&gt;="&amp;DATE($I$2,H$4,1),DATA!$N:$N,"&lt;="&amp;DATE($I$2,H$4,H$5))</f>
        <v/>
      </c>
      <c r="I857" s="321">
        <f>SUMIFS(DATA!$M:$M,DATA!$C:$C,$B856,DATA!$N:$N,"&gt;="&amp;DATE($I$2,I$4,1),DATA!$N:$N,"&lt;="&amp;DATE($I$2,I$4,I$5))</f>
        <v/>
      </c>
      <c r="J857" s="321">
        <f>SUMIFS(DATA!$M:$M,DATA!$C:$C,$B856,DATA!$N:$N,"&gt;="&amp;DATE($I$2,J$4,1),DATA!$N:$N,"&lt;="&amp;DATE($I$2,J$4,J$5))</f>
        <v/>
      </c>
      <c r="K857" s="321">
        <f>SUMIFS(DATA!$M:$M,DATA!$C:$C,$B856,DATA!$N:$N,"&gt;="&amp;DATE($I$2,K$4,1),DATA!$N:$N,"&lt;="&amp;DATE($I$2,K$4,K$5))</f>
        <v/>
      </c>
      <c r="L857" s="321">
        <f>SUMIFS(DATA!$M:$M,DATA!$C:$C,$B856,DATA!$N:$N,"&gt;="&amp;DATE($I$2,L$4,1),DATA!$N:$N,"&lt;="&amp;DATE($I$2,L$4,L$5))</f>
        <v/>
      </c>
      <c r="M857" s="321">
        <f>SUMIFS(DATA!$M:$M,DATA!$C:$C,$B856,DATA!$N:$N,"&gt;="&amp;DATE($I$2,M$4,1),DATA!$N:$N,"&lt;="&amp;DATE($I$2,M$4,M$5))</f>
        <v/>
      </c>
      <c r="N857" s="321">
        <f>SUMIFS(DATA!$M:$M,DATA!$C:$C,$B856,DATA!$N:$N,"&gt;="&amp;DATE($I$2,N$4,1),DATA!$N:$N,"&lt;="&amp;DATE($I$2,N$4,N$5))</f>
        <v/>
      </c>
      <c r="O857" s="321">
        <f>SUMIFS(DATA!$M:$M,DATA!$C:$C,$B856,DATA!$N:$N,"&gt;="&amp;DATE($I$2,O$4,1),DATA!$N:$N,"&lt;="&amp;DATE($I$2,O$4,O$5))</f>
        <v/>
      </c>
      <c r="P857" s="322">
        <f>SUM(D857:O857)</f>
        <v/>
      </c>
    </row>
    <row r="858" hidden="1" outlineLevel="1" ht="15" customHeight="1">
      <c r="A858" s="269" t="n">
        <v>427</v>
      </c>
      <c r="B858" s="125" t="n"/>
      <c r="C858" s="119" t="inlineStr">
        <is>
          <t>Kế hoạch</t>
        </is>
      </c>
      <c r="D858" s="321">
        <f>SUMIFS(DATA!$I:$I,DATA!$C:$C,$B858,DATA!$J:$J,"&gt;="&amp;DATE($I$2,D$4,1),DATA!$J:$J,"&lt;="&amp;DATE($I$2,D$4,D$5))</f>
        <v/>
      </c>
      <c r="E858" s="321">
        <f>SUMIFS(DATA!$I:$I,DATA!$C:$C,$B858,DATA!$J:$J,"&gt;="&amp;DATE($I$2,E$4,1),DATA!$J:$J,"&lt;="&amp;DATE($I$2,E$4,E$5))</f>
        <v/>
      </c>
      <c r="F858" s="321">
        <f>SUMIFS(DATA!$I:$I,DATA!$C:$C,$B858,DATA!$J:$J,"&gt;="&amp;DATE($I$2,F$4,1),DATA!$J:$J,"&lt;="&amp;DATE($I$2,F$4,F$5))</f>
        <v/>
      </c>
      <c r="G858" s="321">
        <f>SUMIFS(DATA!$I:$I,DATA!$C:$C,$B858,DATA!$J:$J,"&gt;="&amp;DATE($I$2,G$4,1),DATA!$J:$J,"&lt;="&amp;DATE($I$2,G$4,G$5))</f>
        <v/>
      </c>
      <c r="H858" s="321">
        <f>SUMIFS(DATA!$I:$I,DATA!$C:$C,$B858,DATA!$J:$J,"&gt;="&amp;DATE($I$2,H$4,1),DATA!$J:$J,"&lt;="&amp;DATE($I$2,H$4,H$5))</f>
        <v/>
      </c>
      <c r="I858" s="321">
        <f>SUMIFS(DATA!$I:$I,DATA!$C:$C,$B858,DATA!$J:$J,"&gt;="&amp;DATE($I$2,I$4,1),DATA!$J:$J,"&lt;="&amp;DATE($I$2,I$4,I$5))</f>
        <v/>
      </c>
      <c r="J858" s="321">
        <f>SUMIFS(DATA!$I:$I,DATA!$C:$C,$B858,DATA!$J:$J,"&gt;="&amp;DATE($I$2,J$4,1),DATA!$J:$J,"&lt;="&amp;DATE($I$2,J$4,J$5))</f>
        <v/>
      </c>
      <c r="K858" s="321">
        <f>SUMIFS(DATA!$I:$I,DATA!$C:$C,$B858,DATA!$J:$J,"&gt;="&amp;DATE($I$2,K$4,1),DATA!$J:$J,"&lt;="&amp;DATE($I$2,K$4,K$5))</f>
        <v/>
      </c>
      <c r="L858" s="321">
        <f>SUMIFS(DATA!$I:$I,DATA!$C:$C,$B858,DATA!$J:$J,"&gt;="&amp;DATE($I$2,L$4,1),DATA!$J:$J,"&lt;="&amp;DATE($I$2,L$4,L$5))</f>
        <v/>
      </c>
      <c r="M858" s="321">
        <f>SUMIFS(DATA!$I:$I,DATA!$C:$C,$B858,DATA!$J:$J,"&gt;="&amp;DATE($I$2,M$4,1),DATA!$J:$J,"&lt;="&amp;DATE($I$2,M$4,M$5))</f>
        <v/>
      </c>
      <c r="N858" s="321">
        <f>SUMIFS(DATA!$I:$I,DATA!$C:$C,$B858,DATA!$J:$J,"&gt;="&amp;DATE($I$2,N$4,1),DATA!$J:$J,"&lt;="&amp;DATE($I$2,N$4,N$5))</f>
        <v/>
      </c>
      <c r="O858" s="321">
        <f>SUMIFS(DATA!$I:$I,DATA!$C:$C,$B858,DATA!$J:$J,"&gt;="&amp;DATE($I$2,O$4,1),DATA!$J:$J,"&lt;="&amp;DATE($I$2,O$4,O$5))</f>
        <v/>
      </c>
      <c r="P858" s="322">
        <f>SUM(D858:O858)</f>
        <v/>
      </c>
    </row>
    <row r="859" hidden="1" outlineLevel="1" ht="15" customHeight="1">
      <c r="A859" s="266" t="n"/>
      <c r="B859" s="126" t="n"/>
      <c r="C859" s="119" t="inlineStr">
        <is>
          <t>Thực tế</t>
        </is>
      </c>
      <c r="D859" s="321">
        <f>SUMIFS(DATA!$M:$M,DATA!$C:$C,$B858,DATA!$N:$N,"&gt;="&amp;DATE($I$2,D$4,1),DATA!$N:$N,"&lt;="&amp;DATE($I$2,D$4,D$5))</f>
        <v/>
      </c>
      <c r="E859" s="321">
        <f>SUMIFS(DATA!$M:$M,DATA!$C:$C,$B858,DATA!$N:$N,"&gt;="&amp;DATE($I$2,E$4,1),DATA!$N:$N,"&lt;="&amp;DATE($I$2,E$4,E$5))</f>
        <v/>
      </c>
      <c r="F859" s="321">
        <f>SUMIFS(DATA!$M:$M,DATA!$C:$C,$B858,DATA!$N:$N,"&gt;="&amp;DATE($I$2,F$4,1),DATA!$N:$N,"&lt;="&amp;DATE($I$2,F$4,F$5))</f>
        <v/>
      </c>
      <c r="G859" s="321">
        <f>SUMIFS(DATA!$M:$M,DATA!$C:$C,$B858,DATA!$N:$N,"&gt;="&amp;DATE($I$2,G$4,1),DATA!$N:$N,"&lt;="&amp;DATE($I$2,G$4,G$5))</f>
        <v/>
      </c>
      <c r="H859" s="321">
        <f>SUMIFS(DATA!$M:$M,DATA!$C:$C,$B858,DATA!$N:$N,"&gt;="&amp;DATE($I$2,H$4,1),DATA!$N:$N,"&lt;="&amp;DATE($I$2,H$4,H$5))</f>
        <v/>
      </c>
      <c r="I859" s="321">
        <f>SUMIFS(DATA!$M:$M,DATA!$C:$C,$B858,DATA!$N:$N,"&gt;="&amp;DATE($I$2,I$4,1),DATA!$N:$N,"&lt;="&amp;DATE($I$2,I$4,I$5))</f>
        <v/>
      </c>
      <c r="J859" s="321">
        <f>SUMIFS(DATA!$M:$M,DATA!$C:$C,$B858,DATA!$N:$N,"&gt;="&amp;DATE($I$2,J$4,1),DATA!$N:$N,"&lt;="&amp;DATE($I$2,J$4,J$5))</f>
        <v/>
      </c>
      <c r="K859" s="321">
        <f>SUMIFS(DATA!$M:$M,DATA!$C:$C,$B858,DATA!$N:$N,"&gt;="&amp;DATE($I$2,K$4,1),DATA!$N:$N,"&lt;="&amp;DATE($I$2,K$4,K$5))</f>
        <v/>
      </c>
      <c r="L859" s="321">
        <f>SUMIFS(DATA!$M:$M,DATA!$C:$C,$B858,DATA!$N:$N,"&gt;="&amp;DATE($I$2,L$4,1),DATA!$N:$N,"&lt;="&amp;DATE($I$2,L$4,L$5))</f>
        <v/>
      </c>
      <c r="M859" s="321">
        <f>SUMIFS(DATA!$M:$M,DATA!$C:$C,$B858,DATA!$N:$N,"&gt;="&amp;DATE($I$2,M$4,1),DATA!$N:$N,"&lt;="&amp;DATE($I$2,M$4,M$5))</f>
        <v/>
      </c>
      <c r="N859" s="321">
        <f>SUMIFS(DATA!$M:$M,DATA!$C:$C,$B858,DATA!$N:$N,"&gt;="&amp;DATE($I$2,N$4,1),DATA!$N:$N,"&lt;="&amp;DATE($I$2,N$4,N$5))</f>
        <v/>
      </c>
      <c r="O859" s="321">
        <f>SUMIFS(DATA!$M:$M,DATA!$C:$C,$B858,DATA!$N:$N,"&gt;="&amp;DATE($I$2,O$4,1),DATA!$N:$N,"&lt;="&amp;DATE($I$2,O$4,O$5))</f>
        <v/>
      </c>
      <c r="P859" s="322">
        <f>SUM(D859:O859)</f>
        <v/>
      </c>
    </row>
    <row r="860" hidden="1" outlineLevel="1" ht="15" customHeight="1">
      <c r="A860" s="269" t="n">
        <v>428</v>
      </c>
      <c r="B860" s="125" t="n"/>
      <c r="C860" s="119" t="inlineStr">
        <is>
          <t>Kế hoạch</t>
        </is>
      </c>
      <c r="D860" s="321">
        <f>SUMIFS(DATA!$I:$I,DATA!$C:$C,$B860,DATA!$J:$J,"&gt;="&amp;DATE($I$2,D$4,1),DATA!$J:$J,"&lt;="&amp;DATE($I$2,D$4,D$5))</f>
        <v/>
      </c>
      <c r="E860" s="321">
        <f>SUMIFS(DATA!$I:$I,DATA!$C:$C,$B860,DATA!$J:$J,"&gt;="&amp;DATE($I$2,E$4,1),DATA!$J:$J,"&lt;="&amp;DATE($I$2,E$4,E$5))</f>
        <v/>
      </c>
      <c r="F860" s="321">
        <f>SUMIFS(DATA!$I:$I,DATA!$C:$C,$B860,DATA!$J:$J,"&gt;="&amp;DATE($I$2,F$4,1),DATA!$J:$J,"&lt;="&amp;DATE($I$2,F$4,F$5))</f>
        <v/>
      </c>
      <c r="G860" s="321">
        <f>SUMIFS(DATA!$I:$I,DATA!$C:$C,$B860,DATA!$J:$J,"&gt;="&amp;DATE($I$2,G$4,1),DATA!$J:$J,"&lt;="&amp;DATE($I$2,G$4,G$5))</f>
        <v/>
      </c>
      <c r="H860" s="321">
        <f>SUMIFS(DATA!$I:$I,DATA!$C:$C,$B860,DATA!$J:$J,"&gt;="&amp;DATE($I$2,H$4,1),DATA!$J:$J,"&lt;="&amp;DATE($I$2,H$4,H$5))</f>
        <v/>
      </c>
      <c r="I860" s="321">
        <f>SUMIFS(DATA!$I:$I,DATA!$C:$C,$B860,DATA!$J:$J,"&gt;="&amp;DATE($I$2,I$4,1),DATA!$J:$J,"&lt;="&amp;DATE($I$2,I$4,I$5))</f>
        <v/>
      </c>
      <c r="J860" s="321">
        <f>SUMIFS(DATA!$I:$I,DATA!$C:$C,$B860,DATA!$J:$J,"&gt;="&amp;DATE($I$2,J$4,1),DATA!$J:$J,"&lt;="&amp;DATE($I$2,J$4,J$5))</f>
        <v/>
      </c>
      <c r="K860" s="321">
        <f>SUMIFS(DATA!$I:$I,DATA!$C:$C,$B860,DATA!$J:$J,"&gt;="&amp;DATE($I$2,K$4,1),DATA!$J:$J,"&lt;="&amp;DATE($I$2,K$4,K$5))</f>
        <v/>
      </c>
      <c r="L860" s="321">
        <f>SUMIFS(DATA!$I:$I,DATA!$C:$C,$B860,DATA!$J:$J,"&gt;="&amp;DATE($I$2,L$4,1),DATA!$J:$J,"&lt;="&amp;DATE($I$2,L$4,L$5))</f>
        <v/>
      </c>
      <c r="M860" s="321">
        <f>SUMIFS(DATA!$I:$I,DATA!$C:$C,$B860,DATA!$J:$J,"&gt;="&amp;DATE($I$2,M$4,1),DATA!$J:$J,"&lt;="&amp;DATE($I$2,M$4,M$5))</f>
        <v/>
      </c>
      <c r="N860" s="321">
        <f>SUMIFS(DATA!$I:$I,DATA!$C:$C,$B860,DATA!$J:$J,"&gt;="&amp;DATE($I$2,N$4,1),DATA!$J:$J,"&lt;="&amp;DATE($I$2,N$4,N$5))</f>
        <v/>
      </c>
      <c r="O860" s="321">
        <f>SUMIFS(DATA!$I:$I,DATA!$C:$C,$B860,DATA!$J:$J,"&gt;="&amp;DATE($I$2,O$4,1),DATA!$J:$J,"&lt;="&amp;DATE($I$2,O$4,O$5))</f>
        <v/>
      </c>
      <c r="P860" s="322">
        <f>SUM(D860:O860)</f>
        <v/>
      </c>
    </row>
    <row r="861" hidden="1" outlineLevel="1" ht="15" customHeight="1">
      <c r="A861" s="266" t="n"/>
      <c r="B861" s="126" t="n"/>
      <c r="C861" s="119" t="inlineStr">
        <is>
          <t>Thực tế</t>
        </is>
      </c>
      <c r="D861" s="321">
        <f>SUMIFS(DATA!$M:$M,DATA!$C:$C,$B860,DATA!$N:$N,"&gt;="&amp;DATE($I$2,D$4,1),DATA!$N:$N,"&lt;="&amp;DATE($I$2,D$4,D$5))</f>
        <v/>
      </c>
      <c r="E861" s="321">
        <f>SUMIFS(DATA!$M:$M,DATA!$C:$C,$B860,DATA!$N:$N,"&gt;="&amp;DATE($I$2,E$4,1),DATA!$N:$N,"&lt;="&amp;DATE($I$2,E$4,E$5))</f>
        <v/>
      </c>
      <c r="F861" s="321">
        <f>SUMIFS(DATA!$M:$M,DATA!$C:$C,$B860,DATA!$N:$N,"&gt;="&amp;DATE($I$2,F$4,1),DATA!$N:$N,"&lt;="&amp;DATE($I$2,F$4,F$5))</f>
        <v/>
      </c>
      <c r="G861" s="321">
        <f>SUMIFS(DATA!$M:$M,DATA!$C:$C,$B860,DATA!$N:$N,"&gt;="&amp;DATE($I$2,G$4,1),DATA!$N:$N,"&lt;="&amp;DATE($I$2,G$4,G$5))</f>
        <v/>
      </c>
      <c r="H861" s="321">
        <f>SUMIFS(DATA!$M:$M,DATA!$C:$C,$B860,DATA!$N:$N,"&gt;="&amp;DATE($I$2,H$4,1),DATA!$N:$N,"&lt;="&amp;DATE($I$2,H$4,H$5))</f>
        <v/>
      </c>
      <c r="I861" s="321">
        <f>SUMIFS(DATA!$M:$M,DATA!$C:$C,$B860,DATA!$N:$N,"&gt;="&amp;DATE($I$2,I$4,1),DATA!$N:$N,"&lt;="&amp;DATE($I$2,I$4,I$5))</f>
        <v/>
      </c>
      <c r="J861" s="321">
        <f>SUMIFS(DATA!$M:$M,DATA!$C:$C,$B860,DATA!$N:$N,"&gt;="&amp;DATE($I$2,J$4,1),DATA!$N:$N,"&lt;="&amp;DATE($I$2,J$4,J$5))</f>
        <v/>
      </c>
      <c r="K861" s="321">
        <f>SUMIFS(DATA!$M:$M,DATA!$C:$C,$B860,DATA!$N:$N,"&gt;="&amp;DATE($I$2,K$4,1),DATA!$N:$N,"&lt;="&amp;DATE($I$2,K$4,K$5))</f>
        <v/>
      </c>
      <c r="L861" s="321">
        <f>SUMIFS(DATA!$M:$M,DATA!$C:$C,$B860,DATA!$N:$N,"&gt;="&amp;DATE($I$2,L$4,1),DATA!$N:$N,"&lt;="&amp;DATE($I$2,L$4,L$5))</f>
        <v/>
      </c>
      <c r="M861" s="321">
        <f>SUMIFS(DATA!$M:$M,DATA!$C:$C,$B860,DATA!$N:$N,"&gt;="&amp;DATE($I$2,M$4,1),DATA!$N:$N,"&lt;="&amp;DATE($I$2,M$4,M$5))</f>
        <v/>
      </c>
      <c r="N861" s="321">
        <f>SUMIFS(DATA!$M:$M,DATA!$C:$C,$B860,DATA!$N:$N,"&gt;="&amp;DATE($I$2,N$4,1),DATA!$N:$N,"&lt;="&amp;DATE($I$2,N$4,N$5))</f>
        <v/>
      </c>
      <c r="O861" s="321">
        <f>SUMIFS(DATA!$M:$M,DATA!$C:$C,$B860,DATA!$N:$N,"&gt;="&amp;DATE($I$2,O$4,1),DATA!$N:$N,"&lt;="&amp;DATE($I$2,O$4,O$5))</f>
        <v/>
      </c>
      <c r="P861" s="322">
        <f>SUM(D861:O861)</f>
        <v/>
      </c>
    </row>
    <row r="862" hidden="1" outlineLevel="1" ht="15" customHeight="1">
      <c r="A862" s="269" t="n">
        <v>429</v>
      </c>
      <c r="B862" s="125" t="n"/>
      <c r="C862" s="119" t="inlineStr">
        <is>
          <t>Kế hoạch</t>
        </is>
      </c>
      <c r="D862" s="321">
        <f>SUMIFS(DATA!$I:$I,DATA!$C:$C,$B862,DATA!$J:$J,"&gt;="&amp;DATE($I$2,D$4,1),DATA!$J:$J,"&lt;="&amp;DATE($I$2,D$4,D$5))</f>
        <v/>
      </c>
      <c r="E862" s="321">
        <f>SUMIFS(DATA!$I:$I,DATA!$C:$C,$B862,DATA!$J:$J,"&gt;="&amp;DATE($I$2,E$4,1),DATA!$J:$J,"&lt;="&amp;DATE($I$2,E$4,E$5))</f>
        <v/>
      </c>
      <c r="F862" s="321">
        <f>SUMIFS(DATA!$I:$I,DATA!$C:$C,$B862,DATA!$J:$J,"&gt;="&amp;DATE($I$2,F$4,1),DATA!$J:$J,"&lt;="&amp;DATE($I$2,F$4,F$5))</f>
        <v/>
      </c>
      <c r="G862" s="321">
        <f>SUMIFS(DATA!$I:$I,DATA!$C:$C,$B862,DATA!$J:$J,"&gt;="&amp;DATE($I$2,G$4,1),DATA!$J:$J,"&lt;="&amp;DATE($I$2,G$4,G$5))</f>
        <v/>
      </c>
      <c r="H862" s="321">
        <f>SUMIFS(DATA!$I:$I,DATA!$C:$C,$B862,DATA!$J:$J,"&gt;="&amp;DATE($I$2,H$4,1),DATA!$J:$J,"&lt;="&amp;DATE($I$2,H$4,H$5))</f>
        <v/>
      </c>
      <c r="I862" s="321">
        <f>SUMIFS(DATA!$I:$I,DATA!$C:$C,$B862,DATA!$J:$J,"&gt;="&amp;DATE($I$2,I$4,1),DATA!$J:$J,"&lt;="&amp;DATE($I$2,I$4,I$5))</f>
        <v/>
      </c>
      <c r="J862" s="321">
        <f>SUMIFS(DATA!$I:$I,DATA!$C:$C,$B862,DATA!$J:$J,"&gt;="&amp;DATE($I$2,J$4,1),DATA!$J:$J,"&lt;="&amp;DATE($I$2,J$4,J$5))</f>
        <v/>
      </c>
      <c r="K862" s="321">
        <f>SUMIFS(DATA!$I:$I,DATA!$C:$C,$B862,DATA!$J:$J,"&gt;="&amp;DATE($I$2,K$4,1),DATA!$J:$J,"&lt;="&amp;DATE($I$2,K$4,K$5))</f>
        <v/>
      </c>
      <c r="L862" s="321">
        <f>SUMIFS(DATA!$I:$I,DATA!$C:$C,$B862,DATA!$J:$J,"&gt;="&amp;DATE($I$2,L$4,1),DATA!$J:$J,"&lt;="&amp;DATE($I$2,L$4,L$5))</f>
        <v/>
      </c>
      <c r="M862" s="321">
        <f>SUMIFS(DATA!$I:$I,DATA!$C:$C,$B862,DATA!$J:$J,"&gt;="&amp;DATE($I$2,M$4,1),DATA!$J:$J,"&lt;="&amp;DATE($I$2,M$4,M$5))</f>
        <v/>
      </c>
      <c r="N862" s="321">
        <f>SUMIFS(DATA!$I:$I,DATA!$C:$C,$B862,DATA!$J:$J,"&gt;="&amp;DATE($I$2,N$4,1),DATA!$J:$J,"&lt;="&amp;DATE($I$2,N$4,N$5))</f>
        <v/>
      </c>
      <c r="O862" s="321">
        <f>SUMIFS(DATA!$I:$I,DATA!$C:$C,$B862,DATA!$J:$J,"&gt;="&amp;DATE($I$2,O$4,1),DATA!$J:$J,"&lt;="&amp;DATE($I$2,O$4,O$5))</f>
        <v/>
      </c>
      <c r="P862" s="322">
        <f>SUM(D862:O862)</f>
        <v/>
      </c>
    </row>
    <row r="863" hidden="1" outlineLevel="1" ht="15" customHeight="1">
      <c r="A863" s="266" t="n"/>
      <c r="B863" s="126" t="n"/>
      <c r="C863" s="119" t="inlineStr">
        <is>
          <t>Thực tế</t>
        </is>
      </c>
      <c r="D863" s="321">
        <f>SUMIFS(DATA!$M:$M,DATA!$C:$C,$B862,DATA!$N:$N,"&gt;="&amp;DATE($I$2,D$4,1),DATA!$N:$N,"&lt;="&amp;DATE($I$2,D$4,D$5))</f>
        <v/>
      </c>
      <c r="E863" s="321">
        <f>SUMIFS(DATA!$M:$M,DATA!$C:$C,$B862,DATA!$N:$N,"&gt;="&amp;DATE($I$2,E$4,1),DATA!$N:$N,"&lt;="&amp;DATE($I$2,E$4,E$5))</f>
        <v/>
      </c>
      <c r="F863" s="321">
        <f>SUMIFS(DATA!$M:$M,DATA!$C:$C,$B862,DATA!$N:$N,"&gt;="&amp;DATE($I$2,F$4,1),DATA!$N:$N,"&lt;="&amp;DATE($I$2,F$4,F$5))</f>
        <v/>
      </c>
      <c r="G863" s="321">
        <f>SUMIFS(DATA!$M:$M,DATA!$C:$C,$B862,DATA!$N:$N,"&gt;="&amp;DATE($I$2,G$4,1),DATA!$N:$N,"&lt;="&amp;DATE($I$2,G$4,G$5))</f>
        <v/>
      </c>
      <c r="H863" s="321">
        <f>SUMIFS(DATA!$M:$M,DATA!$C:$C,$B862,DATA!$N:$N,"&gt;="&amp;DATE($I$2,H$4,1),DATA!$N:$N,"&lt;="&amp;DATE($I$2,H$4,H$5))</f>
        <v/>
      </c>
      <c r="I863" s="321">
        <f>SUMIFS(DATA!$M:$M,DATA!$C:$C,$B862,DATA!$N:$N,"&gt;="&amp;DATE($I$2,I$4,1),DATA!$N:$N,"&lt;="&amp;DATE($I$2,I$4,I$5))</f>
        <v/>
      </c>
      <c r="J863" s="321">
        <f>SUMIFS(DATA!$M:$M,DATA!$C:$C,$B862,DATA!$N:$N,"&gt;="&amp;DATE($I$2,J$4,1),DATA!$N:$N,"&lt;="&amp;DATE($I$2,J$4,J$5))</f>
        <v/>
      </c>
      <c r="K863" s="321">
        <f>SUMIFS(DATA!$M:$M,DATA!$C:$C,$B862,DATA!$N:$N,"&gt;="&amp;DATE($I$2,K$4,1),DATA!$N:$N,"&lt;="&amp;DATE($I$2,K$4,K$5))</f>
        <v/>
      </c>
      <c r="L863" s="321">
        <f>SUMIFS(DATA!$M:$M,DATA!$C:$C,$B862,DATA!$N:$N,"&gt;="&amp;DATE($I$2,L$4,1),DATA!$N:$N,"&lt;="&amp;DATE($I$2,L$4,L$5))</f>
        <v/>
      </c>
      <c r="M863" s="321">
        <f>SUMIFS(DATA!$M:$M,DATA!$C:$C,$B862,DATA!$N:$N,"&gt;="&amp;DATE($I$2,M$4,1),DATA!$N:$N,"&lt;="&amp;DATE($I$2,M$4,M$5))</f>
        <v/>
      </c>
      <c r="N863" s="321">
        <f>SUMIFS(DATA!$M:$M,DATA!$C:$C,$B862,DATA!$N:$N,"&gt;="&amp;DATE($I$2,N$4,1),DATA!$N:$N,"&lt;="&amp;DATE($I$2,N$4,N$5))</f>
        <v/>
      </c>
      <c r="O863" s="321">
        <f>SUMIFS(DATA!$M:$M,DATA!$C:$C,$B862,DATA!$N:$N,"&gt;="&amp;DATE($I$2,O$4,1),DATA!$N:$N,"&lt;="&amp;DATE($I$2,O$4,O$5))</f>
        <v/>
      </c>
      <c r="P863" s="322">
        <f>SUM(D863:O863)</f>
        <v/>
      </c>
    </row>
    <row r="864" hidden="1" outlineLevel="1" ht="15" customHeight="1">
      <c r="A864" s="269" t="n">
        <v>430</v>
      </c>
      <c r="B864" s="125" t="n"/>
      <c r="C864" s="119" t="inlineStr">
        <is>
          <t>Kế hoạch</t>
        </is>
      </c>
      <c r="D864" s="321">
        <f>SUMIFS(DATA!$I:$I,DATA!$C:$C,$B864,DATA!$J:$J,"&gt;="&amp;DATE($I$2,D$4,1),DATA!$J:$J,"&lt;="&amp;DATE($I$2,D$4,D$5))</f>
        <v/>
      </c>
      <c r="E864" s="321">
        <f>SUMIFS(DATA!$I:$I,DATA!$C:$C,$B864,DATA!$J:$J,"&gt;="&amp;DATE($I$2,E$4,1),DATA!$J:$J,"&lt;="&amp;DATE($I$2,E$4,E$5))</f>
        <v/>
      </c>
      <c r="F864" s="321">
        <f>SUMIFS(DATA!$I:$I,DATA!$C:$C,$B864,DATA!$J:$J,"&gt;="&amp;DATE($I$2,F$4,1),DATA!$J:$J,"&lt;="&amp;DATE($I$2,F$4,F$5))</f>
        <v/>
      </c>
      <c r="G864" s="321">
        <f>SUMIFS(DATA!$I:$I,DATA!$C:$C,$B864,DATA!$J:$J,"&gt;="&amp;DATE($I$2,G$4,1),DATA!$J:$J,"&lt;="&amp;DATE($I$2,G$4,G$5))</f>
        <v/>
      </c>
      <c r="H864" s="321">
        <f>SUMIFS(DATA!$I:$I,DATA!$C:$C,$B864,DATA!$J:$J,"&gt;="&amp;DATE($I$2,H$4,1),DATA!$J:$J,"&lt;="&amp;DATE($I$2,H$4,H$5))</f>
        <v/>
      </c>
      <c r="I864" s="321">
        <f>SUMIFS(DATA!$I:$I,DATA!$C:$C,$B864,DATA!$J:$J,"&gt;="&amp;DATE($I$2,I$4,1),DATA!$J:$J,"&lt;="&amp;DATE($I$2,I$4,I$5))</f>
        <v/>
      </c>
      <c r="J864" s="321">
        <f>SUMIFS(DATA!$I:$I,DATA!$C:$C,$B864,DATA!$J:$J,"&gt;="&amp;DATE($I$2,J$4,1),DATA!$J:$J,"&lt;="&amp;DATE($I$2,J$4,J$5))</f>
        <v/>
      </c>
      <c r="K864" s="321">
        <f>SUMIFS(DATA!$I:$I,DATA!$C:$C,$B864,DATA!$J:$J,"&gt;="&amp;DATE($I$2,K$4,1),DATA!$J:$J,"&lt;="&amp;DATE($I$2,K$4,K$5))</f>
        <v/>
      </c>
      <c r="L864" s="321">
        <f>SUMIFS(DATA!$I:$I,DATA!$C:$C,$B864,DATA!$J:$J,"&gt;="&amp;DATE($I$2,L$4,1),DATA!$J:$J,"&lt;="&amp;DATE($I$2,L$4,L$5))</f>
        <v/>
      </c>
      <c r="M864" s="321">
        <f>SUMIFS(DATA!$I:$I,DATA!$C:$C,$B864,DATA!$J:$J,"&gt;="&amp;DATE($I$2,M$4,1),DATA!$J:$J,"&lt;="&amp;DATE($I$2,M$4,M$5))</f>
        <v/>
      </c>
      <c r="N864" s="321">
        <f>SUMIFS(DATA!$I:$I,DATA!$C:$C,$B864,DATA!$J:$J,"&gt;="&amp;DATE($I$2,N$4,1),DATA!$J:$J,"&lt;="&amp;DATE($I$2,N$4,N$5))</f>
        <v/>
      </c>
      <c r="O864" s="321">
        <f>SUMIFS(DATA!$I:$I,DATA!$C:$C,$B864,DATA!$J:$J,"&gt;="&amp;DATE($I$2,O$4,1),DATA!$J:$J,"&lt;="&amp;DATE($I$2,O$4,O$5))</f>
        <v/>
      </c>
      <c r="P864" s="322">
        <f>SUM(D864:O864)</f>
        <v/>
      </c>
    </row>
    <row r="865" hidden="1" outlineLevel="1" ht="15" customHeight="1">
      <c r="A865" s="266" t="n"/>
      <c r="B865" s="126" t="n"/>
      <c r="C865" s="119" t="inlineStr">
        <is>
          <t>Thực tế</t>
        </is>
      </c>
      <c r="D865" s="321">
        <f>SUMIFS(DATA!$M:$M,DATA!$C:$C,$B864,DATA!$N:$N,"&gt;="&amp;DATE($I$2,D$4,1),DATA!$N:$N,"&lt;="&amp;DATE($I$2,D$4,D$5))</f>
        <v/>
      </c>
      <c r="E865" s="321">
        <f>SUMIFS(DATA!$M:$M,DATA!$C:$C,$B864,DATA!$N:$N,"&gt;="&amp;DATE($I$2,E$4,1),DATA!$N:$N,"&lt;="&amp;DATE($I$2,E$4,E$5))</f>
        <v/>
      </c>
      <c r="F865" s="321">
        <f>SUMIFS(DATA!$M:$M,DATA!$C:$C,$B864,DATA!$N:$N,"&gt;="&amp;DATE($I$2,F$4,1),DATA!$N:$N,"&lt;="&amp;DATE($I$2,F$4,F$5))</f>
        <v/>
      </c>
      <c r="G865" s="321">
        <f>SUMIFS(DATA!$M:$M,DATA!$C:$C,$B864,DATA!$N:$N,"&gt;="&amp;DATE($I$2,G$4,1),DATA!$N:$N,"&lt;="&amp;DATE($I$2,G$4,G$5))</f>
        <v/>
      </c>
      <c r="H865" s="321">
        <f>SUMIFS(DATA!$M:$M,DATA!$C:$C,$B864,DATA!$N:$N,"&gt;="&amp;DATE($I$2,H$4,1),DATA!$N:$N,"&lt;="&amp;DATE($I$2,H$4,H$5))</f>
        <v/>
      </c>
      <c r="I865" s="321">
        <f>SUMIFS(DATA!$M:$M,DATA!$C:$C,$B864,DATA!$N:$N,"&gt;="&amp;DATE($I$2,I$4,1),DATA!$N:$N,"&lt;="&amp;DATE($I$2,I$4,I$5))</f>
        <v/>
      </c>
      <c r="J865" s="321">
        <f>SUMIFS(DATA!$M:$M,DATA!$C:$C,$B864,DATA!$N:$N,"&gt;="&amp;DATE($I$2,J$4,1),DATA!$N:$N,"&lt;="&amp;DATE($I$2,J$4,J$5))</f>
        <v/>
      </c>
      <c r="K865" s="321">
        <f>SUMIFS(DATA!$M:$M,DATA!$C:$C,$B864,DATA!$N:$N,"&gt;="&amp;DATE($I$2,K$4,1),DATA!$N:$N,"&lt;="&amp;DATE($I$2,K$4,K$5))</f>
        <v/>
      </c>
      <c r="L865" s="321">
        <f>SUMIFS(DATA!$M:$M,DATA!$C:$C,$B864,DATA!$N:$N,"&gt;="&amp;DATE($I$2,L$4,1),DATA!$N:$N,"&lt;="&amp;DATE($I$2,L$4,L$5))</f>
        <v/>
      </c>
      <c r="M865" s="321">
        <f>SUMIFS(DATA!$M:$M,DATA!$C:$C,$B864,DATA!$N:$N,"&gt;="&amp;DATE($I$2,M$4,1),DATA!$N:$N,"&lt;="&amp;DATE($I$2,M$4,M$5))</f>
        <v/>
      </c>
      <c r="N865" s="321">
        <f>SUMIFS(DATA!$M:$M,DATA!$C:$C,$B864,DATA!$N:$N,"&gt;="&amp;DATE($I$2,N$4,1),DATA!$N:$N,"&lt;="&amp;DATE($I$2,N$4,N$5))</f>
        <v/>
      </c>
      <c r="O865" s="321">
        <f>SUMIFS(DATA!$M:$M,DATA!$C:$C,$B864,DATA!$N:$N,"&gt;="&amp;DATE($I$2,O$4,1),DATA!$N:$N,"&lt;="&amp;DATE($I$2,O$4,O$5))</f>
        <v/>
      </c>
      <c r="P865" s="322">
        <f>SUM(D865:O865)</f>
        <v/>
      </c>
    </row>
    <row r="866" hidden="1" outlineLevel="1" ht="15" customHeight="1">
      <c r="A866" s="269" t="n">
        <v>431</v>
      </c>
      <c r="B866" s="125" t="n"/>
      <c r="C866" s="119" t="inlineStr">
        <is>
          <t>Kế hoạch</t>
        </is>
      </c>
      <c r="D866" s="321">
        <f>SUMIFS(DATA!$I:$I,DATA!$C:$C,$B866,DATA!$J:$J,"&gt;="&amp;DATE($I$2,D$4,1),DATA!$J:$J,"&lt;="&amp;DATE($I$2,D$4,D$5))</f>
        <v/>
      </c>
      <c r="E866" s="321">
        <f>SUMIFS(DATA!$I:$I,DATA!$C:$C,$B866,DATA!$J:$J,"&gt;="&amp;DATE($I$2,E$4,1),DATA!$J:$J,"&lt;="&amp;DATE($I$2,E$4,E$5))</f>
        <v/>
      </c>
      <c r="F866" s="321">
        <f>SUMIFS(DATA!$I:$I,DATA!$C:$C,$B866,DATA!$J:$J,"&gt;="&amp;DATE($I$2,F$4,1),DATA!$J:$J,"&lt;="&amp;DATE($I$2,F$4,F$5))</f>
        <v/>
      </c>
      <c r="G866" s="321">
        <f>SUMIFS(DATA!$I:$I,DATA!$C:$C,$B866,DATA!$J:$J,"&gt;="&amp;DATE($I$2,G$4,1),DATA!$J:$J,"&lt;="&amp;DATE($I$2,G$4,G$5))</f>
        <v/>
      </c>
      <c r="H866" s="321">
        <f>SUMIFS(DATA!$I:$I,DATA!$C:$C,$B866,DATA!$J:$J,"&gt;="&amp;DATE($I$2,H$4,1),DATA!$J:$J,"&lt;="&amp;DATE($I$2,H$4,H$5))</f>
        <v/>
      </c>
      <c r="I866" s="321">
        <f>SUMIFS(DATA!$I:$I,DATA!$C:$C,$B866,DATA!$J:$J,"&gt;="&amp;DATE($I$2,I$4,1),DATA!$J:$J,"&lt;="&amp;DATE($I$2,I$4,I$5))</f>
        <v/>
      </c>
      <c r="J866" s="321">
        <f>SUMIFS(DATA!$I:$I,DATA!$C:$C,$B866,DATA!$J:$J,"&gt;="&amp;DATE($I$2,J$4,1),DATA!$J:$J,"&lt;="&amp;DATE($I$2,J$4,J$5))</f>
        <v/>
      </c>
      <c r="K866" s="321">
        <f>SUMIFS(DATA!$I:$I,DATA!$C:$C,$B866,DATA!$J:$J,"&gt;="&amp;DATE($I$2,K$4,1),DATA!$J:$J,"&lt;="&amp;DATE($I$2,K$4,K$5))</f>
        <v/>
      </c>
      <c r="L866" s="321">
        <f>SUMIFS(DATA!$I:$I,DATA!$C:$C,$B866,DATA!$J:$J,"&gt;="&amp;DATE($I$2,L$4,1),DATA!$J:$J,"&lt;="&amp;DATE($I$2,L$4,L$5))</f>
        <v/>
      </c>
      <c r="M866" s="321">
        <f>SUMIFS(DATA!$I:$I,DATA!$C:$C,$B866,DATA!$J:$J,"&gt;="&amp;DATE($I$2,M$4,1),DATA!$J:$J,"&lt;="&amp;DATE($I$2,M$4,M$5))</f>
        <v/>
      </c>
      <c r="N866" s="321">
        <f>SUMIFS(DATA!$I:$I,DATA!$C:$C,$B866,DATA!$J:$J,"&gt;="&amp;DATE($I$2,N$4,1),DATA!$J:$J,"&lt;="&amp;DATE($I$2,N$4,N$5))</f>
        <v/>
      </c>
      <c r="O866" s="321">
        <f>SUMIFS(DATA!$I:$I,DATA!$C:$C,$B866,DATA!$J:$J,"&gt;="&amp;DATE($I$2,O$4,1),DATA!$J:$J,"&lt;="&amp;DATE($I$2,O$4,O$5))</f>
        <v/>
      </c>
      <c r="P866" s="322">
        <f>SUM(D866:O866)</f>
        <v/>
      </c>
    </row>
    <row r="867" hidden="1" outlineLevel="1" ht="15" customHeight="1">
      <c r="A867" s="266" t="n"/>
      <c r="B867" s="126" t="n"/>
      <c r="C867" s="119" t="inlineStr">
        <is>
          <t>Thực tế</t>
        </is>
      </c>
      <c r="D867" s="321">
        <f>SUMIFS(DATA!$M:$M,DATA!$C:$C,$B866,DATA!$N:$N,"&gt;="&amp;DATE($I$2,D$4,1),DATA!$N:$N,"&lt;="&amp;DATE($I$2,D$4,D$5))</f>
        <v/>
      </c>
      <c r="E867" s="321">
        <f>SUMIFS(DATA!$M:$M,DATA!$C:$C,$B866,DATA!$N:$N,"&gt;="&amp;DATE($I$2,E$4,1),DATA!$N:$N,"&lt;="&amp;DATE($I$2,E$4,E$5))</f>
        <v/>
      </c>
      <c r="F867" s="321">
        <f>SUMIFS(DATA!$M:$M,DATA!$C:$C,$B866,DATA!$N:$N,"&gt;="&amp;DATE($I$2,F$4,1),DATA!$N:$N,"&lt;="&amp;DATE($I$2,F$4,F$5))</f>
        <v/>
      </c>
      <c r="G867" s="321">
        <f>SUMIFS(DATA!$M:$M,DATA!$C:$C,$B866,DATA!$N:$N,"&gt;="&amp;DATE($I$2,G$4,1),DATA!$N:$N,"&lt;="&amp;DATE($I$2,G$4,G$5))</f>
        <v/>
      </c>
      <c r="H867" s="321">
        <f>SUMIFS(DATA!$M:$M,DATA!$C:$C,$B866,DATA!$N:$N,"&gt;="&amp;DATE($I$2,H$4,1),DATA!$N:$N,"&lt;="&amp;DATE($I$2,H$4,H$5))</f>
        <v/>
      </c>
      <c r="I867" s="321">
        <f>SUMIFS(DATA!$M:$M,DATA!$C:$C,$B866,DATA!$N:$N,"&gt;="&amp;DATE($I$2,I$4,1),DATA!$N:$N,"&lt;="&amp;DATE($I$2,I$4,I$5))</f>
        <v/>
      </c>
      <c r="J867" s="321">
        <f>SUMIFS(DATA!$M:$M,DATA!$C:$C,$B866,DATA!$N:$N,"&gt;="&amp;DATE($I$2,J$4,1),DATA!$N:$N,"&lt;="&amp;DATE($I$2,J$4,J$5))</f>
        <v/>
      </c>
      <c r="K867" s="321">
        <f>SUMIFS(DATA!$M:$M,DATA!$C:$C,$B866,DATA!$N:$N,"&gt;="&amp;DATE($I$2,K$4,1),DATA!$N:$N,"&lt;="&amp;DATE($I$2,K$4,K$5))</f>
        <v/>
      </c>
      <c r="L867" s="321">
        <f>SUMIFS(DATA!$M:$M,DATA!$C:$C,$B866,DATA!$N:$N,"&gt;="&amp;DATE($I$2,L$4,1),DATA!$N:$N,"&lt;="&amp;DATE($I$2,L$4,L$5))</f>
        <v/>
      </c>
      <c r="M867" s="321">
        <f>SUMIFS(DATA!$M:$M,DATA!$C:$C,$B866,DATA!$N:$N,"&gt;="&amp;DATE($I$2,M$4,1),DATA!$N:$N,"&lt;="&amp;DATE($I$2,M$4,M$5))</f>
        <v/>
      </c>
      <c r="N867" s="321">
        <f>SUMIFS(DATA!$M:$M,DATA!$C:$C,$B866,DATA!$N:$N,"&gt;="&amp;DATE($I$2,N$4,1),DATA!$N:$N,"&lt;="&amp;DATE($I$2,N$4,N$5))</f>
        <v/>
      </c>
      <c r="O867" s="321">
        <f>SUMIFS(DATA!$M:$M,DATA!$C:$C,$B866,DATA!$N:$N,"&gt;="&amp;DATE($I$2,O$4,1),DATA!$N:$N,"&lt;="&amp;DATE($I$2,O$4,O$5))</f>
        <v/>
      </c>
      <c r="P867" s="322">
        <f>SUM(D867:O867)</f>
        <v/>
      </c>
    </row>
    <row r="868" hidden="1" outlineLevel="1" ht="15" customHeight="1">
      <c r="A868" s="269" t="n">
        <v>432</v>
      </c>
      <c r="B868" s="125" t="n"/>
      <c r="C868" s="119" t="inlineStr">
        <is>
          <t>Kế hoạch</t>
        </is>
      </c>
      <c r="D868" s="321">
        <f>SUMIFS(DATA!$I:$I,DATA!$C:$C,$B868,DATA!$J:$J,"&gt;="&amp;DATE($I$2,D$4,1),DATA!$J:$J,"&lt;="&amp;DATE($I$2,D$4,D$5))</f>
        <v/>
      </c>
      <c r="E868" s="321">
        <f>SUMIFS(DATA!$I:$I,DATA!$C:$C,$B868,DATA!$J:$J,"&gt;="&amp;DATE($I$2,E$4,1),DATA!$J:$J,"&lt;="&amp;DATE($I$2,E$4,E$5))</f>
        <v/>
      </c>
      <c r="F868" s="321">
        <f>SUMIFS(DATA!$I:$I,DATA!$C:$C,$B868,DATA!$J:$J,"&gt;="&amp;DATE($I$2,F$4,1),DATA!$J:$J,"&lt;="&amp;DATE($I$2,F$4,F$5))</f>
        <v/>
      </c>
      <c r="G868" s="321">
        <f>SUMIFS(DATA!$I:$I,DATA!$C:$C,$B868,DATA!$J:$J,"&gt;="&amp;DATE($I$2,G$4,1),DATA!$J:$J,"&lt;="&amp;DATE($I$2,G$4,G$5))</f>
        <v/>
      </c>
      <c r="H868" s="321">
        <f>SUMIFS(DATA!$I:$I,DATA!$C:$C,$B868,DATA!$J:$J,"&gt;="&amp;DATE($I$2,H$4,1),DATA!$J:$J,"&lt;="&amp;DATE($I$2,H$4,H$5))</f>
        <v/>
      </c>
      <c r="I868" s="321">
        <f>SUMIFS(DATA!$I:$I,DATA!$C:$C,$B868,DATA!$J:$J,"&gt;="&amp;DATE($I$2,I$4,1),DATA!$J:$J,"&lt;="&amp;DATE($I$2,I$4,I$5))</f>
        <v/>
      </c>
      <c r="J868" s="321">
        <f>SUMIFS(DATA!$I:$I,DATA!$C:$C,$B868,DATA!$J:$J,"&gt;="&amp;DATE($I$2,J$4,1),DATA!$J:$J,"&lt;="&amp;DATE($I$2,J$4,J$5))</f>
        <v/>
      </c>
      <c r="K868" s="321">
        <f>SUMIFS(DATA!$I:$I,DATA!$C:$C,$B868,DATA!$J:$J,"&gt;="&amp;DATE($I$2,K$4,1),DATA!$J:$J,"&lt;="&amp;DATE($I$2,K$4,K$5))</f>
        <v/>
      </c>
      <c r="L868" s="321">
        <f>SUMIFS(DATA!$I:$I,DATA!$C:$C,$B868,DATA!$J:$J,"&gt;="&amp;DATE($I$2,L$4,1),DATA!$J:$J,"&lt;="&amp;DATE($I$2,L$4,L$5))</f>
        <v/>
      </c>
      <c r="M868" s="321">
        <f>SUMIFS(DATA!$I:$I,DATA!$C:$C,$B868,DATA!$J:$J,"&gt;="&amp;DATE($I$2,M$4,1),DATA!$J:$J,"&lt;="&amp;DATE($I$2,M$4,M$5))</f>
        <v/>
      </c>
      <c r="N868" s="321">
        <f>SUMIFS(DATA!$I:$I,DATA!$C:$C,$B868,DATA!$J:$J,"&gt;="&amp;DATE($I$2,N$4,1),DATA!$J:$J,"&lt;="&amp;DATE($I$2,N$4,N$5))</f>
        <v/>
      </c>
      <c r="O868" s="321">
        <f>SUMIFS(DATA!$I:$I,DATA!$C:$C,$B868,DATA!$J:$J,"&gt;="&amp;DATE($I$2,O$4,1),DATA!$J:$J,"&lt;="&amp;DATE($I$2,O$4,O$5))</f>
        <v/>
      </c>
      <c r="P868" s="322">
        <f>SUM(D868:O868)</f>
        <v/>
      </c>
    </row>
    <row r="869" hidden="1" outlineLevel="1" ht="15" customHeight="1">
      <c r="A869" s="266" t="n"/>
      <c r="B869" s="126" t="n"/>
      <c r="C869" s="119" t="inlineStr">
        <is>
          <t>Thực tế</t>
        </is>
      </c>
      <c r="D869" s="321">
        <f>SUMIFS(DATA!$M:$M,DATA!$C:$C,$B868,DATA!$N:$N,"&gt;="&amp;DATE($I$2,D$4,1),DATA!$N:$N,"&lt;="&amp;DATE($I$2,D$4,D$5))</f>
        <v/>
      </c>
      <c r="E869" s="321">
        <f>SUMIFS(DATA!$M:$M,DATA!$C:$C,$B868,DATA!$N:$N,"&gt;="&amp;DATE($I$2,E$4,1),DATA!$N:$N,"&lt;="&amp;DATE($I$2,E$4,E$5))</f>
        <v/>
      </c>
      <c r="F869" s="321">
        <f>SUMIFS(DATA!$M:$M,DATA!$C:$C,$B868,DATA!$N:$N,"&gt;="&amp;DATE($I$2,F$4,1),DATA!$N:$N,"&lt;="&amp;DATE($I$2,F$4,F$5))</f>
        <v/>
      </c>
      <c r="G869" s="321">
        <f>SUMIFS(DATA!$M:$M,DATA!$C:$C,$B868,DATA!$N:$N,"&gt;="&amp;DATE($I$2,G$4,1),DATA!$N:$N,"&lt;="&amp;DATE($I$2,G$4,G$5))</f>
        <v/>
      </c>
      <c r="H869" s="321">
        <f>SUMIFS(DATA!$M:$M,DATA!$C:$C,$B868,DATA!$N:$N,"&gt;="&amp;DATE($I$2,H$4,1),DATA!$N:$N,"&lt;="&amp;DATE($I$2,H$4,H$5))</f>
        <v/>
      </c>
      <c r="I869" s="321">
        <f>SUMIFS(DATA!$M:$M,DATA!$C:$C,$B868,DATA!$N:$N,"&gt;="&amp;DATE($I$2,I$4,1),DATA!$N:$N,"&lt;="&amp;DATE($I$2,I$4,I$5))</f>
        <v/>
      </c>
      <c r="J869" s="321">
        <f>SUMIFS(DATA!$M:$M,DATA!$C:$C,$B868,DATA!$N:$N,"&gt;="&amp;DATE($I$2,J$4,1),DATA!$N:$N,"&lt;="&amp;DATE($I$2,J$4,J$5))</f>
        <v/>
      </c>
      <c r="K869" s="321">
        <f>SUMIFS(DATA!$M:$M,DATA!$C:$C,$B868,DATA!$N:$N,"&gt;="&amp;DATE($I$2,K$4,1),DATA!$N:$N,"&lt;="&amp;DATE($I$2,K$4,K$5))</f>
        <v/>
      </c>
      <c r="L869" s="321">
        <f>SUMIFS(DATA!$M:$M,DATA!$C:$C,$B868,DATA!$N:$N,"&gt;="&amp;DATE($I$2,L$4,1),DATA!$N:$N,"&lt;="&amp;DATE($I$2,L$4,L$5))</f>
        <v/>
      </c>
      <c r="M869" s="321">
        <f>SUMIFS(DATA!$M:$M,DATA!$C:$C,$B868,DATA!$N:$N,"&gt;="&amp;DATE($I$2,M$4,1),DATA!$N:$N,"&lt;="&amp;DATE($I$2,M$4,M$5))</f>
        <v/>
      </c>
      <c r="N869" s="321">
        <f>SUMIFS(DATA!$M:$M,DATA!$C:$C,$B868,DATA!$N:$N,"&gt;="&amp;DATE($I$2,N$4,1),DATA!$N:$N,"&lt;="&amp;DATE($I$2,N$4,N$5))</f>
        <v/>
      </c>
      <c r="O869" s="321">
        <f>SUMIFS(DATA!$M:$M,DATA!$C:$C,$B868,DATA!$N:$N,"&gt;="&amp;DATE($I$2,O$4,1),DATA!$N:$N,"&lt;="&amp;DATE($I$2,O$4,O$5))</f>
        <v/>
      </c>
      <c r="P869" s="322">
        <f>SUM(D869:O869)</f>
        <v/>
      </c>
    </row>
    <row r="870" hidden="1" outlineLevel="1" ht="15" customHeight="1">
      <c r="A870" s="269" t="n">
        <v>433</v>
      </c>
      <c r="B870" s="125" t="n"/>
      <c r="C870" s="119" t="inlineStr">
        <is>
          <t>Kế hoạch</t>
        </is>
      </c>
      <c r="D870" s="321">
        <f>SUMIFS(DATA!$I:$I,DATA!$C:$C,$B870,DATA!$J:$J,"&gt;="&amp;DATE($I$2,D$4,1),DATA!$J:$J,"&lt;="&amp;DATE($I$2,D$4,D$5))</f>
        <v/>
      </c>
      <c r="E870" s="321">
        <f>SUMIFS(DATA!$I:$I,DATA!$C:$C,$B870,DATA!$J:$J,"&gt;="&amp;DATE($I$2,E$4,1),DATA!$J:$J,"&lt;="&amp;DATE($I$2,E$4,E$5))</f>
        <v/>
      </c>
      <c r="F870" s="321">
        <f>SUMIFS(DATA!$I:$I,DATA!$C:$C,$B870,DATA!$J:$J,"&gt;="&amp;DATE($I$2,F$4,1),DATA!$J:$J,"&lt;="&amp;DATE($I$2,F$4,F$5))</f>
        <v/>
      </c>
      <c r="G870" s="321">
        <f>SUMIFS(DATA!$I:$I,DATA!$C:$C,$B870,DATA!$J:$J,"&gt;="&amp;DATE($I$2,G$4,1),DATA!$J:$J,"&lt;="&amp;DATE($I$2,G$4,G$5))</f>
        <v/>
      </c>
      <c r="H870" s="321">
        <f>SUMIFS(DATA!$I:$I,DATA!$C:$C,$B870,DATA!$J:$J,"&gt;="&amp;DATE($I$2,H$4,1),DATA!$J:$J,"&lt;="&amp;DATE($I$2,H$4,H$5))</f>
        <v/>
      </c>
      <c r="I870" s="321">
        <f>SUMIFS(DATA!$I:$I,DATA!$C:$C,$B870,DATA!$J:$J,"&gt;="&amp;DATE($I$2,I$4,1),DATA!$J:$J,"&lt;="&amp;DATE($I$2,I$4,I$5))</f>
        <v/>
      </c>
      <c r="J870" s="321">
        <f>SUMIFS(DATA!$I:$I,DATA!$C:$C,$B870,DATA!$J:$J,"&gt;="&amp;DATE($I$2,J$4,1),DATA!$J:$J,"&lt;="&amp;DATE($I$2,J$4,J$5))</f>
        <v/>
      </c>
      <c r="K870" s="321">
        <f>SUMIFS(DATA!$I:$I,DATA!$C:$C,$B870,DATA!$J:$J,"&gt;="&amp;DATE($I$2,K$4,1),DATA!$J:$J,"&lt;="&amp;DATE($I$2,K$4,K$5))</f>
        <v/>
      </c>
      <c r="L870" s="321">
        <f>SUMIFS(DATA!$I:$I,DATA!$C:$C,$B870,DATA!$J:$J,"&gt;="&amp;DATE($I$2,L$4,1),DATA!$J:$J,"&lt;="&amp;DATE($I$2,L$4,L$5))</f>
        <v/>
      </c>
      <c r="M870" s="321">
        <f>SUMIFS(DATA!$I:$I,DATA!$C:$C,$B870,DATA!$J:$J,"&gt;="&amp;DATE($I$2,M$4,1),DATA!$J:$J,"&lt;="&amp;DATE($I$2,M$4,M$5))</f>
        <v/>
      </c>
      <c r="N870" s="321">
        <f>SUMIFS(DATA!$I:$I,DATA!$C:$C,$B870,DATA!$J:$J,"&gt;="&amp;DATE($I$2,N$4,1),DATA!$J:$J,"&lt;="&amp;DATE($I$2,N$4,N$5))</f>
        <v/>
      </c>
      <c r="O870" s="321">
        <f>SUMIFS(DATA!$I:$I,DATA!$C:$C,$B870,DATA!$J:$J,"&gt;="&amp;DATE($I$2,O$4,1),DATA!$J:$J,"&lt;="&amp;DATE($I$2,O$4,O$5))</f>
        <v/>
      </c>
      <c r="P870" s="322">
        <f>SUM(D870:O870)</f>
        <v/>
      </c>
    </row>
    <row r="871" hidden="1" outlineLevel="1" ht="15" customHeight="1">
      <c r="A871" s="266" t="n"/>
      <c r="B871" s="126" t="n"/>
      <c r="C871" s="119" t="inlineStr">
        <is>
          <t>Thực tế</t>
        </is>
      </c>
      <c r="D871" s="321">
        <f>SUMIFS(DATA!$M:$M,DATA!$C:$C,$B870,DATA!$N:$N,"&gt;="&amp;DATE($I$2,D$4,1),DATA!$N:$N,"&lt;="&amp;DATE($I$2,D$4,D$5))</f>
        <v/>
      </c>
      <c r="E871" s="321">
        <f>SUMIFS(DATA!$M:$M,DATA!$C:$C,$B870,DATA!$N:$N,"&gt;="&amp;DATE($I$2,E$4,1),DATA!$N:$N,"&lt;="&amp;DATE($I$2,E$4,E$5))</f>
        <v/>
      </c>
      <c r="F871" s="321">
        <f>SUMIFS(DATA!$M:$M,DATA!$C:$C,$B870,DATA!$N:$N,"&gt;="&amp;DATE($I$2,F$4,1),DATA!$N:$N,"&lt;="&amp;DATE($I$2,F$4,F$5))</f>
        <v/>
      </c>
      <c r="G871" s="321">
        <f>SUMIFS(DATA!$M:$M,DATA!$C:$C,$B870,DATA!$N:$N,"&gt;="&amp;DATE($I$2,G$4,1),DATA!$N:$N,"&lt;="&amp;DATE($I$2,G$4,G$5))</f>
        <v/>
      </c>
      <c r="H871" s="321">
        <f>SUMIFS(DATA!$M:$M,DATA!$C:$C,$B870,DATA!$N:$N,"&gt;="&amp;DATE($I$2,H$4,1),DATA!$N:$N,"&lt;="&amp;DATE($I$2,H$4,H$5))</f>
        <v/>
      </c>
      <c r="I871" s="321">
        <f>SUMIFS(DATA!$M:$M,DATA!$C:$C,$B870,DATA!$N:$N,"&gt;="&amp;DATE($I$2,I$4,1),DATA!$N:$N,"&lt;="&amp;DATE($I$2,I$4,I$5))</f>
        <v/>
      </c>
      <c r="J871" s="321">
        <f>SUMIFS(DATA!$M:$M,DATA!$C:$C,$B870,DATA!$N:$N,"&gt;="&amp;DATE($I$2,J$4,1),DATA!$N:$N,"&lt;="&amp;DATE($I$2,J$4,J$5))</f>
        <v/>
      </c>
      <c r="K871" s="321">
        <f>SUMIFS(DATA!$M:$M,DATA!$C:$C,$B870,DATA!$N:$N,"&gt;="&amp;DATE($I$2,K$4,1),DATA!$N:$N,"&lt;="&amp;DATE($I$2,K$4,K$5))</f>
        <v/>
      </c>
      <c r="L871" s="321">
        <f>SUMIFS(DATA!$M:$M,DATA!$C:$C,$B870,DATA!$N:$N,"&gt;="&amp;DATE($I$2,L$4,1),DATA!$N:$N,"&lt;="&amp;DATE($I$2,L$4,L$5))</f>
        <v/>
      </c>
      <c r="M871" s="321">
        <f>SUMIFS(DATA!$M:$M,DATA!$C:$C,$B870,DATA!$N:$N,"&gt;="&amp;DATE($I$2,M$4,1),DATA!$N:$N,"&lt;="&amp;DATE($I$2,M$4,M$5))</f>
        <v/>
      </c>
      <c r="N871" s="321">
        <f>SUMIFS(DATA!$M:$M,DATA!$C:$C,$B870,DATA!$N:$N,"&gt;="&amp;DATE($I$2,N$4,1),DATA!$N:$N,"&lt;="&amp;DATE($I$2,N$4,N$5))</f>
        <v/>
      </c>
      <c r="O871" s="321">
        <f>SUMIFS(DATA!$M:$M,DATA!$C:$C,$B870,DATA!$N:$N,"&gt;="&amp;DATE($I$2,O$4,1),DATA!$N:$N,"&lt;="&amp;DATE($I$2,O$4,O$5))</f>
        <v/>
      </c>
      <c r="P871" s="322">
        <f>SUM(D871:O871)</f>
        <v/>
      </c>
    </row>
    <row r="872" hidden="1" outlineLevel="1" ht="15" customHeight="1">
      <c r="A872" s="269" t="n">
        <v>434</v>
      </c>
      <c r="B872" s="125" t="n"/>
      <c r="C872" s="119" t="inlineStr">
        <is>
          <t>Kế hoạch</t>
        </is>
      </c>
      <c r="D872" s="321">
        <f>SUMIFS(DATA!$I:$I,DATA!$C:$C,$B872,DATA!$J:$J,"&gt;="&amp;DATE($I$2,D$4,1),DATA!$J:$J,"&lt;="&amp;DATE($I$2,D$4,D$5))</f>
        <v/>
      </c>
      <c r="E872" s="321">
        <f>SUMIFS(DATA!$I:$I,DATA!$C:$C,$B872,DATA!$J:$J,"&gt;="&amp;DATE($I$2,E$4,1),DATA!$J:$J,"&lt;="&amp;DATE($I$2,E$4,E$5))</f>
        <v/>
      </c>
      <c r="F872" s="321">
        <f>SUMIFS(DATA!$I:$I,DATA!$C:$C,$B872,DATA!$J:$J,"&gt;="&amp;DATE($I$2,F$4,1),DATA!$J:$J,"&lt;="&amp;DATE($I$2,F$4,F$5))</f>
        <v/>
      </c>
      <c r="G872" s="321">
        <f>SUMIFS(DATA!$I:$I,DATA!$C:$C,$B872,DATA!$J:$J,"&gt;="&amp;DATE($I$2,G$4,1),DATA!$J:$J,"&lt;="&amp;DATE($I$2,G$4,G$5))</f>
        <v/>
      </c>
      <c r="H872" s="321">
        <f>SUMIFS(DATA!$I:$I,DATA!$C:$C,$B872,DATA!$J:$J,"&gt;="&amp;DATE($I$2,H$4,1),DATA!$J:$J,"&lt;="&amp;DATE($I$2,H$4,H$5))</f>
        <v/>
      </c>
      <c r="I872" s="321">
        <f>SUMIFS(DATA!$I:$I,DATA!$C:$C,$B872,DATA!$J:$J,"&gt;="&amp;DATE($I$2,I$4,1),DATA!$J:$J,"&lt;="&amp;DATE($I$2,I$4,I$5))</f>
        <v/>
      </c>
      <c r="J872" s="321">
        <f>SUMIFS(DATA!$I:$I,DATA!$C:$C,$B872,DATA!$J:$J,"&gt;="&amp;DATE($I$2,J$4,1),DATA!$J:$J,"&lt;="&amp;DATE($I$2,J$4,J$5))</f>
        <v/>
      </c>
      <c r="K872" s="321">
        <f>SUMIFS(DATA!$I:$I,DATA!$C:$C,$B872,DATA!$J:$J,"&gt;="&amp;DATE($I$2,K$4,1),DATA!$J:$J,"&lt;="&amp;DATE($I$2,K$4,K$5))</f>
        <v/>
      </c>
      <c r="L872" s="321">
        <f>SUMIFS(DATA!$I:$I,DATA!$C:$C,$B872,DATA!$J:$J,"&gt;="&amp;DATE($I$2,L$4,1),DATA!$J:$J,"&lt;="&amp;DATE($I$2,L$4,L$5))</f>
        <v/>
      </c>
      <c r="M872" s="321">
        <f>SUMIFS(DATA!$I:$I,DATA!$C:$C,$B872,DATA!$J:$J,"&gt;="&amp;DATE($I$2,M$4,1),DATA!$J:$J,"&lt;="&amp;DATE($I$2,M$4,M$5))</f>
        <v/>
      </c>
      <c r="N872" s="321">
        <f>SUMIFS(DATA!$I:$I,DATA!$C:$C,$B872,DATA!$J:$J,"&gt;="&amp;DATE($I$2,N$4,1),DATA!$J:$J,"&lt;="&amp;DATE($I$2,N$4,N$5))</f>
        <v/>
      </c>
      <c r="O872" s="321">
        <f>SUMIFS(DATA!$I:$I,DATA!$C:$C,$B872,DATA!$J:$J,"&gt;="&amp;DATE($I$2,O$4,1),DATA!$J:$J,"&lt;="&amp;DATE($I$2,O$4,O$5))</f>
        <v/>
      </c>
      <c r="P872" s="322">
        <f>SUM(D872:O872)</f>
        <v/>
      </c>
    </row>
    <row r="873" hidden="1" outlineLevel="1" ht="15" customHeight="1">
      <c r="A873" s="266" t="n"/>
      <c r="B873" s="126" t="n"/>
      <c r="C873" s="119" t="inlineStr">
        <is>
          <t>Thực tế</t>
        </is>
      </c>
      <c r="D873" s="321">
        <f>SUMIFS(DATA!$M:$M,DATA!$C:$C,$B872,DATA!$N:$N,"&gt;="&amp;DATE($I$2,D$4,1),DATA!$N:$N,"&lt;="&amp;DATE($I$2,D$4,D$5))</f>
        <v/>
      </c>
      <c r="E873" s="321">
        <f>SUMIFS(DATA!$M:$M,DATA!$C:$C,$B872,DATA!$N:$N,"&gt;="&amp;DATE($I$2,E$4,1),DATA!$N:$N,"&lt;="&amp;DATE($I$2,E$4,E$5))</f>
        <v/>
      </c>
      <c r="F873" s="321">
        <f>SUMIFS(DATA!$M:$M,DATA!$C:$C,$B872,DATA!$N:$N,"&gt;="&amp;DATE($I$2,F$4,1),DATA!$N:$N,"&lt;="&amp;DATE($I$2,F$4,F$5))</f>
        <v/>
      </c>
      <c r="G873" s="321">
        <f>SUMIFS(DATA!$M:$M,DATA!$C:$C,$B872,DATA!$N:$N,"&gt;="&amp;DATE($I$2,G$4,1),DATA!$N:$N,"&lt;="&amp;DATE($I$2,G$4,G$5))</f>
        <v/>
      </c>
      <c r="H873" s="321">
        <f>SUMIFS(DATA!$M:$M,DATA!$C:$C,$B872,DATA!$N:$N,"&gt;="&amp;DATE($I$2,H$4,1),DATA!$N:$N,"&lt;="&amp;DATE($I$2,H$4,H$5))</f>
        <v/>
      </c>
      <c r="I873" s="321">
        <f>SUMIFS(DATA!$M:$M,DATA!$C:$C,$B872,DATA!$N:$N,"&gt;="&amp;DATE($I$2,I$4,1),DATA!$N:$N,"&lt;="&amp;DATE($I$2,I$4,I$5))</f>
        <v/>
      </c>
      <c r="J873" s="321">
        <f>SUMIFS(DATA!$M:$M,DATA!$C:$C,$B872,DATA!$N:$N,"&gt;="&amp;DATE($I$2,J$4,1),DATA!$N:$N,"&lt;="&amp;DATE($I$2,J$4,J$5))</f>
        <v/>
      </c>
      <c r="K873" s="321">
        <f>SUMIFS(DATA!$M:$M,DATA!$C:$C,$B872,DATA!$N:$N,"&gt;="&amp;DATE($I$2,K$4,1),DATA!$N:$N,"&lt;="&amp;DATE($I$2,K$4,K$5))</f>
        <v/>
      </c>
      <c r="L873" s="321">
        <f>SUMIFS(DATA!$M:$M,DATA!$C:$C,$B872,DATA!$N:$N,"&gt;="&amp;DATE($I$2,L$4,1),DATA!$N:$N,"&lt;="&amp;DATE($I$2,L$4,L$5))</f>
        <v/>
      </c>
      <c r="M873" s="321">
        <f>SUMIFS(DATA!$M:$M,DATA!$C:$C,$B872,DATA!$N:$N,"&gt;="&amp;DATE($I$2,M$4,1),DATA!$N:$N,"&lt;="&amp;DATE($I$2,M$4,M$5))</f>
        <v/>
      </c>
      <c r="N873" s="321">
        <f>SUMIFS(DATA!$M:$M,DATA!$C:$C,$B872,DATA!$N:$N,"&gt;="&amp;DATE($I$2,N$4,1),DATA!$N:$N,"&lt;="&amp;DATE($I$2,N$4,N$5))</f>
        <v/>
      </c>
      <c r="O873" s="321">
        <f>SUMIFS(DATA!$M:$M,DATA!$C:$C,$B872,DATA!$N:$N,"&gt;="&amp;DATE($I$2,O$4,1),DATA!$N:$N,"&lt;="&amp;DATE($I$2,O$4,O$5))</f>
        <v/>
      </c>
      <c r="P873" s="322">
        <f>SUM(D873:O873)</f>
        <v/>
      </c>
    </row>
    <row r="874" hidden="1" outlineLevel="1" ht="15" customHeight="1">
      <c r="A874" s="269" t="n">
        <v>435</v>
      </c>
      <c r="B874" s="125" t="n"/>
      <c r="C874" s="119" t="inlineStr">
        <is>
          <t>Kế hoạch</t>
        </is>
      </c>
      <c r="D874" s="321">
        <f>SUMIFS(DATA!$I:$I,DATA!$C:$C,$B874,DATA!$J:$J,"&gt;="&amp;DATE($I$2,D$4,1),DATA!$J:$J,"&lt;="&amp;DATE($I$2,D$4,D$5))</f>
        <v/>
      </c>
      <c r="E874" s="321">
        <f>SUMIFS(DATA!$I:$I,DATA!$C:$C,$B874,DATA!$J:$J,"&gt;="&amp;DATE($I$2,E$4,1),DATA!$J:$J,"&lt;="&amp;DATE($I$2,E$4,E$5))</f>
        <v/>
      </c>
      <c r="F874" s="321">
        <f>SUMIFS(DATA!$I:$I,DATA!$C:$C,$B874,DATA!$J:$J,"&gt;="&amp;DATE($I$2,F$4,1),DATA!$J:$J,"&lt;="&amp;DATE($I$2,F$4,F$5))</f>
        <v/>
      </c>
      <c r="G874" s="321">
        <f>SUMIFS(DATA!$I:$I,DATA!$C:$C,$B874,DATA!$J:$J,"&gt;="&amp;DATE($I$2,G$4,1),DATA!$J:$J,"&lt;="&amp;DATE($I$2,G$4,G$5))</f>
        <v/>
      </c>
      <c r="H874" s="321">
        <f>SUMIFS(DATA!$I:$I,DATA!$C:$C,$B874,DATA!$J:$J,"&gt;="&amp;DATE($I$2,H$4,1),DATA!$J:$J,"&lt;="&amp;DATE($I$2,H$4,H$5))</f>
        <v/>
      </c>
      <c r="I874" s="321">
        <f>SUMIFS(DATA!$I:$I,DATA!$C:$C,$B874,DATA!$J:$J,"&gt;="&amp;DATE($I$2,I$4,1),DATA!$J:$J,"&lt;="&amp;DATE($I$2,I$4,I$5))</f>
        <v/>
      </c>
      <c r="J874" s="321">
        <f>SUMIFS(DATA!$I:$I,DATA!$C:$C,$B874,DATA!$J:$J,"&gt;="&amp;DATE($I$2,J$4,1),DATA!$J:$J,"&lt;="&amp;DATE($I$2,J$4,J$5))</f>
        <v/>
      </c>
      <c r="K874" s="321">
        <f>SUMIFS(DATA!$I:$I,DATA!$C:$C,$B874,DATA!$J:$J,"&gt;="&amp;DATE($I$2,K$4,1),DATA!$J:$J,"&lt;="&amp;DATE($I$2,K$4,K$5))</f>
        <v/>
      </c>
      <c r="L874" s="321">
        <f>SUMIFS(DATA!$I:$I,DATA!$C:$C,$B874,DATA!$J:$J,"&gt;="&amp;DATE($I$2,L$4,1),DATA!$J:$J,"&lt;="&amp;DATE($I$2,L$4,L$5))</f>
        <v/>
      </c>
      <c r="M874" s="321">
        <f>SUMIFS(DATA!$I:$I,DATA!$C:$C,$B874,DATA!$J:$J,"&gt;="&amp;DATE($I$2,M$4,1),DATA!$J:$J,"&lt;="&amp;DATE($I$2,M$4,M$5))</f>
        <v/>
      </c>
      <c r="N874" s="321">
        <f>SUMIFS(DATA!$I:$I,DATA!$C:$C,$B874,DATA!$J:$J,"&gt;="&amp;DATE($I$2,N$4,1),DATA!$J:$J,"&lt;="&amp;DATE($I$2,N$4,N$5))</f>
        <v/>
      </c>
      <c r="O874" s="321">
        <f>SUMIFS(DATA!$I:$I,DATA!$C:$C,$B874,DATA!$J:$J,"&gt;="&amp;DATE($I$2,O$4,1),DATA!$J:$J,"&lt;="&amp;DATE($I$2,O$4,O$5))</f>
        <v/>
      </c>
      <c r="P874" s="322">
        <f>SUM(D874:O874)</f>
        <v/>
      </c>
    </row>
    <row r="875" hidden="1" outlineLevel="1" ht="15" customHeight="1">
      <c r="A875" s="266" t="n"/>
      <c r="B875" s="126" t="n"/>
      <c r="C875" s="119" t="inlineStr">
        <is>
          <t>Thực tế</t>
        </is>
      </c>
      <c r="D875" s="321">
        <f>SUMIFS(DATA!$M:$M,DATA!$C:$C,$B874,DATA!$N:$N,"&gt;="&amp;DATE($I$2,D$4,1),DATA!$N:$N,"&lt;="&amp;DATE($I$2,D$4,D$5))</f>
        <v/>
      </c>
      <c r="E875" s="321">
        <f>SUMIFS(DATA!$M:$M,DATA!$C:$C,$B874,DATA!$N:$N,"&gt;="&amp;DATE($I$2,E$4,1),DATA!$N:$N,"&lt;="&amp;DATE($I$2,E$4,E$5))</f>
        <v/>
      </c>
      <c r="F875" s="321">
        <f>SUMIFS(DATA!$M:$M,DATA!$C:$C,$B874,DATA!$N:$N,"&gt;="&amp;DATE($I$2,F$4,1),DATA!$N:$N,"&lt;="&amp;DATE($I$2,F$4,F$5))</f>
        <v/>
      </c>
      <c r="G875" s="321">
        <f>SUMIFS(DATA!$M:$M,DATA!$C:$C,$B874,DATA!$N:$N,"&gt;="&amp;DATE($I$2,G$4,1),DATA!$N:$N,"&lt;="&amp;DATE($I$2,G$4,G$5))</f>
        <v/>
      </c>
      <c r="H875" s="321">
        <f>SUMIFS(DATA!$M:$M,DATA!$C:$C,$B874,DATA!$N:$N,"&gt;="&amp;DATE($I$2,H$4,1),DATA!$N:$N,"&lt;="&amp;DATE($I$2,H$4,H$5))</f>
        <v/>
      </c>
      <c r="I875" s="321">
        <f>SUMIFS(DATA!$M:$M,DATA!$C:$C,$B874,DATA!$N:$N,"&gt;="&amp;DATE($I$2,I$4,1),DATA!$N:$N,"&lt;="&amp;DATE($I$2,I$4,I$5))</f>
        <v/>
      </c>
      <c r="J875" s="321">
        <f>SUMIFS(DATA!$M:$M,DATA!$C:$C,$B874,DATA!$N:$N,"&gt;="&amp;DATE($I$2,J$4,1),DATA!$N:$N,"&lt;="&amp;DATE($I$2,J$4,J$5))</f>
        <v/>
      </c>
      <c r="K875" s="321">
        <f>SUMIFS(DATA!$M:$M,DATA!$C:$C,$B874,DATA!$N:$N,"&gt;="&amp;DATE($I$2,K$4,1),DATA!$N:$N,"&lt;="&amp;DATE($I$2,K$4,K$5))</f>
        <v/>
      </c>
      <c r="L875" s="321">
        <f>SUMIFS(DATA!$M:$M,DATA!$C:$C,$B874,DATA!$N:$N,"&gt;="&amp;DATE($I$2,L$4,1),DATA!$N:$N,"&lt;="&amp;DATE($I$2,L$4,L$5))</f>
        <v/>
      </c>
      <c r="M875" s="321">
        <f>SUMIFS(DATA!$M:$M,DATA!$C:$C,$B874,DATA!$N:$N,"&gt;="&amp;DATE($I$2,M$4,1),DATA!$N:$N,"&lt;="&amp;DATE($I$2,M$4,M$5))</f>
        <v/>
      </c>
      <c r="N875" s="321">
        <f>SUMIFS(DATA!$M:$M,DATA!$C:$C,$B874,DATA!$N:$N,"&gt;="&amp;DATE($I$2,N$4,1),DATA!$N:$N,"&lt;="&amp;DATE($I$2,N$4,N$5))</f>
        <v/>
      </c>
      <c r="O875" s="321">
        <f>SUMIFS(DATA!$M:$M,DATA!$C:$C,$B874,DATA!$N:$N,"&gt;="&amp;DATE($I$2,O$4,1),DATA!$N:$N,"&lt;="&amp;DATE($I$2,O$4,O$5))</f>
        <v/>
      </c>
      <c r="P875" s="322">
        <f>SUM(D875:O875)</f>
        <v/>
      </c>
    </row>
    <row r="876" hidden="1" outlineLevel="1" ht="15" customHeight="1">
      <c r="A876" s="269" t="n">
        <v>436</v>
      </c>
      <c r="B876" s="125" t="n"/>
      <c r="C876" s="119" t="inlineStr">
        <is>
          <t>Kế hoạch</t>
        </is>
      </c>
      <c r="D876" s="321">
        <f>SUMIFS(DATA!$I:$I,DATA!$C:$C,$B876,DATA!$J:$J,"&gt;="&amp;DATE($I$2,D$4,1),DATA!$J:$J,"&lt;="&amp;DATE($I$2,D$4,D$5))</f>
        <v/>
      </c>
      <c r="E876" s="321">
        <f>SUMIFS(DATA!$I:$I,DATA!$C:$C,$B876,DATA!$J:$J,"&gt;="&amp;DATE($I$2,E$4,1),DATA!$J:$J,"&lt;="&amp;DATE($I$2,E$4,E$5))</f>
        <v/>
      </c>
      <c r="F876" s="321">
        <f>SUMIFS(DATA!$I:$I,DATA!$C:$C,$B876,DATA!$J:$J,"&gt;="&amp;DATE($I$2,F$4,1),DATA!$J:$J,"&lt;="&amp;DATE($I$2,F$4,F$5))</f>
        <v/>
      </c>
      <c r="G876" s="321">
        <f>SUMIFS(DATA!$I:$I,DATA!$C:$C,$B876,DATA!$J:$J,"&gt;="&amp;DATE($I$2,G$4,1),DATA!$J:$J,"&lt;="&amp;DATE($I$2,G$4,G$5))</f>
        <v/>
      </c>
      <c r="H876" s="321">
        <f>SUMIFS(DATA!$I:$I,DATA!$C:$C,$B876,DATA!$J:$J,"&gt;="&amp;DATE($I$2,H$4,1),DATA!$J:$J,"&lt;="&amp;DATE($I$2,H$4,H$5))</f>
        <v/>
      </c>
      <c r="I876" s="321">
        <f>SUMIFS(DATA!$I:$I,DATA!$C:$C,$B876,DATA!$J:$J,"&gt;="&amp;DATE($I$2,I$4,1),DATA!$J:$J,"&lt;="&amp;DATE($I$2,I$4,I$5))</f>
        <v/>
      </c>
      <c r="J876" s="321">
        <f>SUMIFS(DATA!$I:$I,DATA!$C:$C,$B876,DATA!$J:$J,"&gt;="&amp;DATE($I$2,J$4,1),DATA!$J:$J,"&lt;="&amp;DATE($I$2,J$4,J$5))</f>
        <v/>
      </c>
      <c r="K876" s="321">
        <f>SUMIFS(DATA!$I:$I,DATA!$C:$C,$B876,DATA!$J:$J,"&gt;="&amp;DATE($I$2,K$4,1),DATA!$J:$J,"&lt;="&amp;DATE($I$2,K$4,K$5))</f>
        <v/>
      </c>
      <c r="L876" s="321">
        <f>SUMIFS(DATA!$I:$I,DATA!$C:$C,$B876,DATA!$J:$J,"&gt;="&amp;DATE($I$2,L$4,1),DATA!$J:$J,"&lt;="&amp;DATE($I$2,L$4,L$5))</f>
        <v/>
      </c>
      <c r="M876" s="321">
        <f>SUMIFS(DATA!$I:$I,DATA!$C:$C,$B876,DATA!$J:$J,"&gt;="&amp;DATE($I$2,M$4,1),DATA!$J:$J,"&lt;="&amp;DATE($I$2,M$4,M$5))</f>
        <v/>
      </c>
      <c r="N876" s="321">
        <f>SUMIFS(DATA!$I:$I,DATA!$C:$C,$B876,DATA!$J:$J,"&gt;="&amp;DATE($I$2,N$4,1),DATA!$J:$J,"&lt;="&amp;DATE($I$2,N$4,N$5))</f>
        <v/>
      </c>
      <c r="O876" s="321">
        <f>SUMIFS(DATA!$I:$I,DATA!$C:$C,$B876,DATA!$J:$J,"&gt;="&amp;DATE($I$2,O$4,1),DATA!$J:$J,"&lt;="&amp;DATE($I$2,O$4,O$5))</f>
        <v/>
      </c>
      <c r="P876" s="322">
        <f>SUM(D876:O876)</f>
        <v/>
      </c>
    </row>
    <row r="877" hidden="1" outlineLevel="1" ht="15" customHeight="1">
      <c r="A877" s="266" t="n"/>
      <c r="B877" s="126" t="n"/>
      <c r="C877" s="119" t="inlineStr">
        <is>
          <t>Thực tế</t>
        </is>
      </c>
      <c r="D877" s="321">
        <f>SUMIFS(DATA!$M:$M,DATA!$C:$C,$B876,DATA!$N:$N,"&gt;="&amp;DATE($I$2,D$4,1),DATA!$N:$N,"&lt;="&amp;DATE($I$2,D$4,D$5))</f>
        <v/>
      </c>
      <c r="E877" s="321">
        <f>SUMIFS(DATA!$M:$M,DATA!$C:$C,$B876,DATA!$N:$N,"&gt;="&amp;DATE($I$2,E$4,1),DATA!$N:$N,"&lt;="&amp;DATE($I$2,E$4,E$5))</f>
        <v/>
      </c>
      <c r="F877" s="321">
        <f>SUMIFS(DATA!$M:$M,DATA!$C:$C,$B876,DATA!$N:$N,"&gt;="&amp;DATE($I$2,F$4,1),DATA!$N:$N,"&lt;="&amp;DATE($I$2,F$4,F$5))</f>
        <v/>
      </c>
      <c r="G877" s="321">
        <f>SUMIFS(DATA!$M:$M,DATA!$C:$C,$B876,DATA!$N:$N,"&gt;="&amp;DATE($I$2,G$4,1),DATA!$N:$N,"&lt;="&amp;DATE($I$2,G$4,G$5))</f>
        <v/>
      </c>
      <c r="H877" s="321">
        <f>SUMIFS(DATA!$M:$M,DATA!$C:$C,$B876,DATA!$N:$N,"&gt;="&amp;DATE($I$2,H$4,1),DATA!$N:$N,"&lt;="&amp;DATE($I$2,H$4,H$5))</f>
        <v/>
      </c>
      <c r="I877" s="321">
        <f>SUMIFS(DATA!$M:$M,DATA!$C:$C,$B876,DATA!$N:$N,"&gt;="&amp;DATE($I$2,I$4,1),DATA!$N:$N,"&lt;="&amp;DATE($I$2,I$4,I$5))</f>
        <v/>
      </c>
      <c r="J877" s="321">
        <f>SUMIFS(DATA!$M:$M,DATA!$C:$C,$B876,DATA!$N:$N,"&gt;="&amp;DATE($I$2,J$4,1),DATA!$N:$N,"&lt;="&amp;DATE($I$2,J$4,J$5))</f>
        <v/>
      </c>
      <c r="K877" s="321">
        <f>SUMIFS(DATA!$M:$M,DATA!$C:$C,$B876,DATA!$N:$N,"&gt;="&amp;DATE($I$2,K$4,1),DATA!$N:$N,"&lt;="&amp;DATE($I$2,K$4,K$5))</f>
        <v/>
      </c>
      <c r="L877" s="321">
        <f>SUMIFS(DATA!$M:$M,DATA!$C:$C,$B876,DATA!$N:$N,"&gt;="&amp;DATE($I$2,L$4,1),DATA!$N:$N,"&lt;="&amp;DATE($I$2,L$4,L$5))</f>
        <v/>
      </c>
      <c r="M877" s="321">
        <f>SUMIFS(DATA!$M:$M,DATA!$C:$C,$B876,DATA!$N:$N,"&gt;="&amp;DATE($I$2,M$4,1),DATA!$N:$N,"&lt;="&amp;DATE($I$2,M$4,M$5))</f>
        <v/>
      </c>
      <c r="N877" s="321">
        <f>SUMIFS(DATA!$M:$M,DATA!$C:$C,$B876,DATA!$N:$N,"&gt;="&amp;DATE($I$2,N$4,1),DATA!$N:$N,"&lt;="&amp;DATE($I$2,N$4,N$5))</f>
        <v/>
      </c>
      <c r="O877" s="321">
        <f>SUMIFS(DATA!$M:$M,DATA!$C:$C,$B876,DATA!$N:$N,"&gt;="&amp;DATE($I$2,O$4,1),DATA!$N:$N,"&lt;="&amp;DATE($I$2,O$4,O$5))</f>
        <v/>
      </c>
      <c r="P877" s="322">
        <f>SUM(D877:O877)</f>
        <v/>
      </c>
    </row>
    <row r="878" hidden="1" outlineLevel="1" ht="15" customHeight="1">
      <c r="A878" s="269" t="n">
        <v>437</v>
      </c>
      <c r="B878" s="125" t="n"/>
      <c r="C878" s="119" t="inlineStr">
        <is>
          <t>Kế hoạch</t>
        </is>
      </c>
      <c r="D878" s="321">
        <f>SUMIFS(DATA!$I:$I,DATA!$C:$C,$B878,DATA!$J:$J,"&gt;="&amp;DATE($I$2,D$4,1),DATA!$J:$J,"&lt;="&amp;DATE($I$2,D$4,D$5))</f>
        <v/>
      </c>
      <c r="E878" s="321">
        <f>SUMIFS(DATA!$I:$I,DATA!$C:$C,$B878,DATA!$J:$J,"&gt;="&amp;DATE($I$2,E$4,1),DATA!$J:$J,"&lt;="&amp;DATE($I$2,E$4,E$5))</f>
        <v/>
      </c>
      <c r="F878" s="321">
        <f>SUMIFS(DATA!$I:$I,DATA!$C:$C,$B878,DATA!$J:$J,"&gt;="&amp;DATE($I$2,F$4,1),DATA!$J:$J,"&lt;="&amp;DATE($I$2,F$4,F$5))</f>
        <v/>
      </c>
      <c r="G878" s="321">
        <f>SUMIFS(DATA!$I:$I,DATA!$C:$C,$B878,DATA!$J:$J,"&gt;="&amp;DATE($I$2,G$4,1),DATA!$J:$J,"&lt;="&amp;DATE($I$2,G$4,G$5))</f>
        <v/>
      </c>
      <c r="H878" s="321">
        <f>SUMIFS(DATA!$I:$I,DATA!$C:$C,$B878,DATA!$J:$J,"&gt;="&amp;DATE($I$2,H$4,1),DATA!$J:$J,"&lt;="&amp;DATE($I$2,H$4,H$5))</f>
        <v/>
      </c>
      <c r="I878" s="321">
        <f>SUMIFS(DATA!$I:$I,DATA!$C:$C,$B878,DATA!$J:$J,"&gt;="&amp;DATE($I$2,I$4,1),DATA!$J:$J,"&lt;="&amp;DATE($I$2,I$4,I$5))</f>
        <v/>
      </c>
      <c r="J878" s="321">
        <f>SUMIFS(DATA!$I:$I,DATA!$C:$C,$B878,DATA!$J:$J,"&gt;="&amp;DATE($I$2,J$4,1),DATA!$J:$J,"&lt;="&amp;DATE($I$2,J$4,J$5))</f>
        <v/>
      </c>
      <c r="K878" s="321">
        <f>SUMIFS(DATA!$I:$I,DATA!$C:$C,$B878,DATA!$J:$J,"&gt;="&amp;DATE($I$2,K$4,1),DATA!$J:$J,"&lt;="&amp;DATE($I$2,K$4,K$5))</f>
        <v/>
      </c>
      <c r="L878" s="321">
        <f>SUMIFS(DATA!$I:$I,DATA!$C:$C,$B878,DATA!$J:$J,"&gt;="&amp;DATE($I$2,L$4,1),DATA!$J:$J,"&lt;="&amp;DATE($I$2,L$4,L$5))</f>
        <v/>
      </c>
      <c r="M878" s="321">
        <f>SUMIFS(DATA!$I:$I,DATA!$C:$C,$B878,DATA!$J:$J,"&gt;="&amp;DATE($I$2,M$4,1),DATA!$J:$J,"&lt;="&amp;DATE($I$2,M$4,M$5))</f>
        <v/>
      </c>
      <c r="N878" s="321">
        <f>SUMIFS(DATA!$I:$I,DATA!$C:$C,$B878,DATA!$J:$J,"&gt;="&amp;DATE($I$2,N$4,1),DATA!$J:$J,"&lt;="&amp;DATE($I$2,N$4,N$5))</f>
        <v/>
      </c>
      <c r="O878" s="321">
        <f>SUMIFS(DATA!$I:$I,DATA!$C:$C,$B878,DATA!$J:$J,"&gt;="&amp;DATE($I$2,O$4,1),DATA!$J:$J,"&lt;="&amp;DATE($I$2,O$4,O$5))</f>
        <v/>
      </c>
      <c r="P878" s="322">
        <f>SUM(D878:O878)</f>
        <v/>
      </c>
    </row>
    <row r="879" hidden="1" outlineLevel="1" ht="15" customHeight="1">
      <c r="A879" s="266" t="n"/>
      <c r="B879" s="126" t="n"/>
      <c r="C879" s="119" t="inlineStr">
        <is>
          <t>Thực tế</t>
        </is>
      </c>
      <c r="D879" s="321">
        <f>SUMIFS(DATA!$M:$M,DATA!$C:$C,$B878,DATA!$N:$N,"&gt;="&amp;DATE($I$2,D$4,1),DATA!$N:$N,"&lt;="&amp;DATE($I$2,D$4,D$5))</f>
        <v/>
      </c>
      <c r="E879" s="321">
        <f>SUMIFS(DATA!$M:$M,DATA!$C:$C,$B878,DATA!$N:$N,"&gt;="&amp;DATE($I$2,E$4,1),DATA!$N:$N,"&lt;="&amp;DATE($I$2,E$4,E$5))</f>
        <v/>
      </c>
      <c r="F879" s="321">
        <f>SUMIFS(DATA!$M:$M,DATA!$C:$C,$B878,DATA!$N:$N,"&gt;="&amp;DATE($I$2,F$4,1),DATA!$N:$N,"&lt;="&amp;DATE($I$2,F$4,F$5))</f>
        <v/>
      </c>
      <c r="G879" s="321">
        <f>SUMIFS(DATA!$M:$M,DATA!$C:$C,$B878,DATA!$N:$N,"&gt;="&amp;DATE($I$2,G$4,1),DATA!$N:$N,"&lt;="&amp;DATE($I$2,G$4,G$5))</f>
        <v/>
      </c>
      <c r="H879" s="321">
        <f>SUMIFS(DATA!$M:$M,DATA!$C:$C,$B878,DATA!$N:$N,"&gt;="&amp;DATE($I$2,H$4,1),DATA!$N:$N,"&lt;="&amp;DATE($I$2,H$4,H$5))</f>
        <v/>
      </c>
      <c r="I879" s="321">
        <f>SUMIFS(DATA!$M:$M,DATA!$C:$C,$B878,DATA!$N:$N,"&gt;="&amp;DATE($I$2,I$4,1),DATA!$N:$N,"&lt;="&amp;DATE($I$2,I$4,I$5))</f>
        <v/>
      </c>
      <c r="J879" s="321">
        <f>SUMIFS(DATA!$M:$M,DATA!$C:$C,$B878,DATA!$N:$N,"&gt;="&amp;DATE($I$2,J$4,1),DATA!$N:$N,"&lt;="&amp;DATE($I$2,J$4,J$5))</f>
        <v/>
      </c>
      <c r="K879" s="321">
        <f>SUMIFS(DATA!$M:$M,DATA!$C:$C,$B878,DATA!$N:$N,"&gt;="&amp;DATE($I$2,K$4,1),DATA!$N:$N,"&lt;="&amp;DATE($I$2,K$4,K$5))</f>
        <v/>
      </c>
      <c r="L879" s="321">
        <f>SUMIFS(DATA!$M:$M,DATA!$C:$C,$B878,DATA!$N:$N,"&gt;="&amp;DATE($I$2,L$4,1),DATA!$N:$N,"&lt;="&amp;DATE($I$2,L$4,L$5))</f>
        <v/>
      </c>
      <c r="M879" s="321">
        <f>SUMIFS(DATA!$M:$M,DATA!$C:$C,$B878,DATA!$N:$N,"&gt;="&amp;DATE($I$2,M$4,1),DATA!$N:$N,"&lt;="&amp;DATE($I$2,M$4,M$5))</f>
        <v/>
      </c>
      <c r="N879" s="321">
        <f>SUMIFS(DATA!$M:$M,DATA!$C:$C,$B878,DATA!$N:$N,"&gt;="&amp;DATE($I$2,N$4,1),DATA!$N:$N,"&lt;="&amp;DATE($I$2,N$4,N$5))</f>
        <v/>
      </c>
      <c r="O879" s="321">
        <f>SUMIFS(DATA!$M:$M,DATA!$C:$C,$B878,DATA!$N:$N,"&gt;="&amp;DATE($I$2,O$4,1),DATA!$N:$N,"&lt;="&amp;DATE($I$2,O$4,O$5))</f>
        <v/>
      </c>
      <c r="P879" s="322">
        <f>SUM(D879:O879)</f>
        <v/>
      </c>
    </row>
    <row r="880" hidden="1" outlineLevel="1" ht="15" customHeight="1">
      <c r="A880" s="269" t="n">
        <v>438</v>
      </c>
      <c r="B880" s="125" t="n"/>
      <c r="C880" s="119" t="inlineStr">
        <is>
          <t>Kế hoạch</t>
        </is>
      </c>
      <c r="D880" s="321">
        <f>SUMIFS(DATA!$I:$I,DATA!$C:$C,$B880,DATA!$J:$J,"&gt;="&amp;DATE($I$2,D$4,1),DATA!$J:$J,"&lt;="&amp;DATE($I$2,D$4,D$5))</f>
        <v/>
      </c>
      <c r="E880" s="321">
        <f>SUMIFS(DATA!$I:$I,DATA!$C:$C,$B880,DATA!$J:$J,"&gt;="&amp;DATE($I$2,E$4,1),DATA!$J:$J,"&lt;="&amp;DATE($I$2,E$4,E$5))</f>
        <v/>
      </c>
      <c r="F880" s="321">
        <f>SUMIFS(DATA!$I:$I,DATA!$C:$C,$B880,DATA!$J:$J,"&gt;="&amp;DATE($I$2,F$4,1),DATA!$J:$J,"&lt;="&amp;DATE($I$2,F$4,F$5))</f>
        <v/>
      </c>
      <c r="G880" s="321">
        <f>SUMIFS(DATA!$I:$I,DATA!$C:$C,$B880,DATA!$J:$J,"&gt;="&amp;DATE($I$2,G$4,1),DATA!$J:$J,"&lt;="&amp;DATE($I$2,G$4,G$5))</f>
        <v/>
      </c>
      <c r="H880" s="321">
        <f>SUMIFS(DATA!$I:$I,DATA!$C:$C,$B880,DATA!$J:$J,"&gt;="&amp;DATE($I$2,H$4,1),DATA!$J:$J,"&lt;="&amp;DATE($I$2,H$4,H$5))</f>
        <v/>
      </c>
      <c r="I880" s="321">
        <f>SUMIFS(DATA!$I:$I,DATA!$C:$C,$B880,DATA!$J:$J,"&gt;="&amp;DATE($I$2,I$4,1),DATA!$J:$J,"&lt;="&amp;DATE($I$2,I$4,I$5))</f>
        <v/>
      </c>
      <c r="J880" s="321">
        <f>SUMIFS(DATA!$I:$I,DATA!$C:$C,$B880,DATA!$J:$J,"&gt;="&amp;DATE($I$2,J$4,1),DATA!$J:$J,"&lt;="&amp;DATE($I$2,J$4,J$5))</f>
        <v/>
      </c>
      <c r="K880" s="321">
        <f>SUMIFS(DATA!$I:$I,DATA!$C:$C,$B880,DATA!$J:$J,"&gt;="&amp;DATE($I$2,K$4,1),DATA!$J:$J,"&lt;="&amp;DATE($I$2,K$4,K$5))</f>
        <v/>
      </c>
      <c r="L880" s="321">
        <f>SUMIFS(DATA!$I:$I,DATA!$C:$C,$B880,DATA!$J:$J,"&gt;="&amp;DATE($I$2,L$4,1),DATA!$J:$J,"&lt;="&amp;DATE($I$2,L$4,L$5))</f>
        <v/>
      </c>
      <c r="M880" s="321">
        <f>SUMIFS(DATA!$I:$I,DATA!$C:$C,$B880,DATA!$J:$J,"&gt;="&amp;DATE($I$2,M$4,1),DATA!$J:$J,"&lt;="&amp;DATE($I$2,M$4,M$5))</f>
        <v/>
      </c>
      <c r="N880" s="321">
        <f>SUMIFS(DATA!$I:$I,DATA!$C:$C,$B880,DATA!$J:$J,"&gt;="&amp;DATE($I$2,N$4,1),DATA!$J:$J,"&lt;="&amp;DATE($I$2,N$4,N$5))</f>
        <v/>
      </c>
      <c r="O880" s="321">
        <f>SUMIFS(DATA!$I:$I,DATA!$C:$C,$B880,DATA!$J:$J,"&gt;="&amp;DATE($I$2,O$4,1),DATA!$J:$J,"&lt;="&amp;DATE($I$2,O$4,O$5))</f>
        <v/>
      </c>
      <c r="P880" s="322">
        <f>SUM(D880:O880)</f>
        <v/>
      </c>
    </row>
    <row r="881" hidden="1" outlineLevel="1" ht="15" customHeight="1">
      <c r="A881" s="266" t="n"/>
      <c r="B881" s="126" t="n"/>
      <c r="C881" s="119" t="inlineStr">
        <is>
          <t>Thực tế</t>
        </is>
      </c>
      <c r="D881" s="321">
        <f>SUMIFS(DATA!$M:$M,DATA!$C:$C,$B880,DATA!$N:$N,"&gt;="&amp;DATE($I$2,D$4,1),DATA!$N:$N,"&lt;="&amp;DATE($I$2,D$4,D$5))</f>
        <v/>
      </c>
      <c r="E881" s="321">
        <f>SUMIFS(DATA!$M:$M,DATA!$C:$C,$B880,DATA!$N:$N,"&gt;="&amp;DATE($I$2,E$4,1),DATA!$N:$N,"&lt;="&amp;DATE($I$2,E$4,E$5))</f>
        <v/>
      </c>
      <c r="F881" s="321">
        <f>SUMIFS(DATA!$M:$M,DATA!$C:$C,$B880,DATA!$N:$N,"&gt;="&amp;DATE($I$2,F$4,1),DATA!$N:$N,"&lt;="&amp;DATE($I$2,F$4,F$5))</f>
        <v/>
      </c>
      <c r="G881" s="321">
        <f>SUMIFS(DATA!$M:$M,DATA!$C:$C,$B880,DATA!$N:$N,"&gt;="&amp;DATE($I$2,G$4,1),DATA!$N:$N,"&lt;="&amp;DATE($I$2,G$4,G$5))</f>
        <v/>
      </c>
      <c r="H881" s="321">
        <f>SUMIFS(DATA!$M:$M,DATA!$C:$C,$B880,DATA!$N:$N,"&gt;="&amp;DATE($I$2,H$4,1),DATA!$N:$N,"&lt;="&amp;DATE($I$2,H$4,H$5))</f>
        <v/>
      </c>
      <c r="I881" s="321">
        <f>SUMIFS(DATA!$M:$M,DATA!$C:$C,$B880,DATA!$N:$N,"&gt;="&amp;DATE($I$2,I$4,1),DATA!$N:$N,"&lt;="&amp;DATE($I$2,I$4,I$5))</f>
        <v/>
      </c>
      <c r="J881" s="321">
        <f>SUMIFS(DATA!$M:$M,DATA!$C:$C,$B880,DATA!$N:$N,"&gt;="&amp;DATE($I$2,J$4,1),DATA!$N:$N,"&lt;="&amp;DATE($I$2,J$4,J$5))</f>
        <v/>
      </c>
      <c r="K881" s="321">
        <f>SUMIFS(DATA!$M:$M,DATA!$C:$C,$B880,DATA!$N:$N,"&gt;="&amp;DATE($I$2,K$4,1),DATA!$N:$N,"&lt;="&amp;DATE($I$2,K$4,K$5))</f>
        <v/>
      </c>
      <c r="L881" s="321">
        <f>SUMIFS(DATA!$M:$M,DATA!$C:$C,$B880,DATA!$N:$N,"&gt;="&amp;DATE($I$2,L$4,1),DATA!$N:$N,"&lt;="&amp;DATE($I$2,L$4,L$5))</f>
        <v/>
      </c>
      <c r="M881" s="321">
        <f>SUMIFS(DATA!$M:$M,DATA!$C:$C,$B880,DATA!$N:$N,"&gt;="&amp;DATE($I$2,M$4,1),DATA!$N:$N,"&lt;="&amp;DATE($I$2,M$4,M$5))</f>
        <v/>
      </c>
      <c r="N881" s="321">
        <f>SUMIFS(DATA!$M:$M,DATA!$C:$C,$B880,DATA!$N:$N,"&gt;="&amp;DATE($I$2,N$4,1),DATA!$N:$N,"&lt;="&amp;DATE($I$2,N$4,N$5))</f>
        <v/>
      </c>
      <c r="O881" s="321">
        <f>SUMIFS(DATA!$M:$M,DATA!$C:$C,$B880,DATA!$N:$N,"&gt;="&amp;DATE($I$2,O$4,1),DATA!$N:$N,"&lt;="&amp;DATE($I$2,O$4,O$5))</f>
        <v/>
      </c>
      <c r="P881" s="322">
        <f>SUM(D881:O881)</f>
        <v/>
      </c>
    </row>
    <row r="882" hidden="1" outlineLevel="1" ht="15" customHeight="1">
      <c r="A882" s="269" t="n">
        <v>439</v>
      </c>
      <c r="B882" s="125" t="n"/>
      <c r="C882" s="119" t="inlineStr">
        <is>
          <t>Kế hoạch</t>
        </is>
      </c>
      <c r="D882" s="321">
        <f>SUMIFS(DATA!$I:$I,DATA!$C:$C,$B882,DATA!$J:$J,"&gt;="&amp;DATE($I$2,D$4,1),DATA!$J:$J,"&lt;="&amp;DATE($I$2,D$4,D$5))</f>
        <v/>
      </c>
      <c r="E882" s="321">
        <f>SUMIFS(DATA!$I:$I,DATA!$C:$C,$B882,DATA!$J:$J,"&gt;="&amp;DATE($I$2,E$4,1),DATA!$J:$J,"&lt;="&amp;DATE($I$2,E$4,E$5))</f>
        <v/>
      </c>
      <c r="F882" s="321">
        <f>SUMIFS(DATA!$I:$I,DATA!$C:$C,$B882,DATA!$J:$J,"&gt;="&amp;DATE($I$2,F$4,1),DATA!$J:$J,"&lt;="&amp;DATE($I$2,F$4,F$5))</f>
        <v/>
      </c>
      <c r="G882" s="321">
        <f>SUMIFS(DATA!$I:$I,DATA!$C:$C,$B882,DATA!$J:$J,"&gt;="&amp;DATE($I$2,G$4,1),DATA!$J:$J,"&lt;="&amp;DATE($I$2,G$4,G$5))</f>
        <v/>
      </c>
      <c r="H882" s="321">
        <f>SUMIFS(DATA!$I:$I,DATA!$C:$C,$B882,DATA!$J:$J,"&gt;="&amp;DATE($I$2,H$4,1),DATA!$J:$J,"&lt;="&amp;DATE($I$2,H$4,H$5))</f>
        <v/>
      </c>
      <c r="I882" s="321">
        <f>SUMIFS(DATA!$I:$I,DATA!$C:$C,$B882,DATA!$J:$J,"&gt;="&amp;DATE($I$2,I$4,1),DATA!$J:$J,"&lt;="&amp;DATE($I$2,I$4,I$5))</f>
        <v/>
      </c>
      <c r="J882" s="321">
        <f>SUMIFS(DATA!$I:$I,DATA!$C:$C,$B882,DATA!$J:$J,"&gt;="&amp;DATE($I$2,J$4,1),DATA!$J:$J,"&lt;="&amp;DATE($I$2,J$4,J$5))</f>
        <v/>
      </c>
      <c r="K882" s="321">
        <f>SUMIFS(DATA!$I:$I,DATA!$C:$C,$B882,DATA!$J:$J,"&gt;="&amp;DATE($I$2,K$4,1),DATA!$J:$J,"&lt;="&amp;DATE($I$2,K$4,K$5))</f>
        <v/>
      </c>
      <c r="L882" s="321">
        <f>SUMIFS(DATA!$I:$I,DATA!$C:$C,$B882,DATA!$J:$J,"&gt;="&amp;DATE($I$2,L$4,1),DATA!$J:$J,"&lt;="&amp;DATE($I$2,L$4,L$5))</f>
        <v/>
      </c>
      <c r="M882" s="321">
        <f>SUMIFS(DATA!$I:$I,DATA!$C:$C,$B882,DATA!$J:$J,"&gt;="&amp;DATE($I$2,M$4,1),DATA!$J:$J,"&lt;="&amp;DATE($I$2,M$4,M$5))</f>
        <v/>
      </c>
      <c r="N882" s="321">
        <f>SUMIFS(DATA!$I:$I,DATA!$C:$C,$B882,DATA!$J:$J,"&gt;="&amp;DATE($I$2,N$4,1),DATA!$J:$J,"&lt;="&amp;DATE($I$2,N$4,N$5))</f>
        <v/>
      </c>
      <c r="O882" s="321">
        <f>SUMIFS(DATA!$I:$I,DATA!$C:$C,$B882,DATA!$J:$J,"&gt;="&amp;DATE($I$2,O$4,1),DATA!$J:$J,"&lt;="&amp;DATE($I$2,O$4,O$5))</f>
        <v/>
      </c>
      <c r="P882" s="322">
        <f>SUM(D882:O882)</f>
        <v/>
      </c>
    </row>
    <row r="883" hidden="1" outlineLevel="1" ht="15" customHeight="1">
      <c r="A883" s="266" t="n"/>
      <c r="B883" s="126" t="n"/>
      <c r="C883" s="119" t="inlineStr">
        <is>
          <t>Thực tế</t>
        </is>
      </c>
      <c r="D883" s="321">
        <f>SUMIFS(DATA!$M:$M,DATA!$C:$C,$B882,DATA!$N:$N,"&gt;="&amp;DATE($I$2,D$4,1),DATA!$N:$N,"&lt;="&amp;DATE($I$2,D$4,D$5))</f>
        <v/>
      </c>
      <c r="E883" s="321">
        <f>SUMIFS(DATA!$M:$M,DATA!$C:$C,$B882,DATA!$N:$N,"&gt;="&amp;DATE($I$2,E$4,1),DATA!$N:$N,"&lt;="&amp;DATE($I$2,E$4,E$5))</f>
        <v/>
      </c>
      <c r="F883" s="321">
        <f>SUMIFS(DATA!$M:$M,DATA!$C:$C,$B882,DATA!$N:$N,"&gt;="&amp;DATE($I$2,F$4,1),DATA!$N:$N,"&lt;="&amp;DATE($I$2,F$4,F$5))</f>
        <v/>
      </c>
      <c r="G883" s="321">
        <f>SUMIFS(DATA!$M:$M,DATA!$C:$C,$B882,DATA!$N:$N,"&gt;="&amp;DATE($I$2,G$4,1),DATA!$N:$N,"&lt;="&amp;DATE($I$2,G$4,G$5))</f>
        <v/>
      </c>
      <c r="H883" s="321">
        <f>SUMIFS(DATA!$M:$M,DATA!$C:$C,$B882,DATA!$N:$N,"&gt;="&amp;DATE($I$2,H$4,1),DATA!$N:$N,"&lt;="&amp;DATE($I$2,H$4,H$5))</f>
        <v/>
      </c>
      <c r="I883" s="321">
        <f>SUMIFS(DATA!$M:$M,DATA!$C:$C,$B882,DATA!$N:$N,"&gt;="&amp;DATE($I$2,I$4,1),DATA!$N:$N,"&lt;="&amp;DATE($I$2,I$4,I$5))</f>
        <v/>
      </c>
      <c r="J883" s="321">
        <f>SUMIFS(DATA!$M:$M,DATA!$C:$C,$B882,DATA!$N:$N,"&gt;="&amp;DATE($I$2,J$4,1),DATA!$N:$N,"&lt;="&amp;DATE($I$2,J$4,J$5))</f>
        <v/>
      </c>
      <c r="K883" s="321">
        <f>SUMIFS(DATA!$M:$M,DATA!$C:$C,$B882,DATA!$N:$N,"&gt;="&amp;DATE($I$2,K$4,1),DATA!$N:$N,"&lt;="&amp;DATE($I$2,K$4,K$5))</f>
        <v/>
      </c>
      <c r="L883" s="321">
        <f>SUMIFS(DATA!$M:$M,DATA!$C:$C,$B882,DATA!$N:$N,"&gt;="&amp;DATE($I$2,L$4,1),DATA!$N:$N,"&lt;="&amp;DATE($I$2,L$4,L$5))</f>
        <v/>
      </c>
      <c r="M883" s="321">
        <f>SUMIFS(DATA!$M:$M,DATA!$C:$C,$B882,DATA!$N:$N,"&gt;="&amp;DATE($I$2,M$4,1),DATA!$N:$N,"&lt;="&amp;DATE($I$2,M$4,M$5))</f>
        <v/>
      </c>
      <c r="N883" s="321">
        <f>SUMIFS(DATA!$M:$M,DATA!$C:$C,$B882,DATA!$N:$N,"&gt;="&amp;DATE($I$2,N$4,1),DATA!$N:$N,"&lt;="&amp;DATE($I$2,N$4,N$5))</f>
        <v/>
      </c>
      <c r="O883" s="321">
        <f>SUMIFS(DATA!$M:$M,DATA!$C:$C,$B882,DATA!$N:$N,"&gt;="&amp;DATE($I$2,O$4,1),DATA!$N:$N,"&lt;="&amp;DATE($I$2,O$4,O$5))</f>
        <v/>
      </c>
      <c r="P883" s="322">
        <f>SUM(D883:O883)</f>
        <v/>
      </c>
    </row>
    <row r="884" hidden="1" outlineLevel="1" ht="15" customHeight="1">
      <c r="A884" s="269" t="n">
        <v>440</v>
      </c>
      <c r="B884" s="125" t="n"/>
      <c r="C884" s="119" t="inlineStr">
        <is>
          <t>Kế hoạch</t>
        </is>
      </c>
      <c r="D884" s="321">
        <f>SUMIFS(DATA!$I:$I,DATA!$C:$C,$B884,DATA!$J:$J,"&gt;="&amp;DATE($I$2,D$4,1),DATA!$J:$J,"&lt;="&amp;DATE($I$2,D$4,D$5))</f>
        <v/>
      </c>
      <c r="E884" s="321">
        <f>SUMIFS(DATA!$I:$I,DATA!$C:$C,$B884,DATA!$J:$J,"&gt;="&amp;DATE($I$2,E$4,1),DATA!$J:$J,"&lt;="&amp;DATE($I$2,E$4,E$5))</f>
        <v/>
      </c>
      <c r="F884" s="321">
        <f>SUMIFS(DATA!$I:$I,DATA!$C:$C,$B884,DATA!$J:$J,"&gt;="&amp;DATE($I$2,F$4,1),DATA!$J:$J,"&lt;="&amp;DATE($I$2,F$4,F$5))</f>
        <v/>
      </c>
      <c r="G884" s="321">
        <f>SUMIFS(DATA!$I:$I,DATA!$C:$C,$B884,DATA!$J:$J,"&gt;="&amp;DATE($I$2,G$4,1),DATA!$J:$J,"&lt;="&amp;DATE($I$2,G$4,G$5))</f>
        <v/>
      </c>
      <c r="H884" s="321">
        <f>SUMIFS(DATA!$I:$I,DATA!$C:$C,$B884,DATA!$J:$J,"&gt;="&amp;DATE($I$2,H$4,1),DATA!$J:$J,"&lt;="&amp;DATE($I$2,H$4,H$5))</f>
        <v/>
      </c>
      <c r="I884" s="321">
        <f>SUMIFS(DATA!$I:$I,DATA!$C:$C,$B884,DATA!$J:$J,"&gt;="&amp;DATE($I$2,I$4,1),DATA!$J:$J,"&lt;="&amp;DATE($I$2,I$4,I$5))</f>
        <v/>
      </c>
      <c r="J884" s="321">
        <f>SUMIFS(DATA!$I:$I,DATA!$C:$C,$B884,DATA!$J:$J,"&gt;="&amp;DATE($I$2,J$4,1),DATA!$J:$J,"&lt;="&amp;DATE($I$2,J$4,J$5))</f>
        <v/>
      </c>
      <c r="K884" s="321">
        <f>SUMIFS(DATA!$I:$I,DATA!$C:$C,$B884,DATA!$J:$J,"&gt;="&amp;DATE($I$2,K$4,1),DATA!$J:$J,"&lt;="&amp;DATE($I$2,K$4,K$5))</f>
        <v/>
      </c>
      <c r="L884" s="321">
        <f>SUMIFS(DATA!$I:$I,DATA!$C:$C,$B884,DATA!$J:$J,"&gt;="&amp;DATE($I$2,L$4,1),DATA!$J:$J,"&lt;="&amp;DATE($I$2,L$4,L$5))</f>
        <v/>
      </c>
      <c r="M884" s="321">
        <f>SUMIFS(DATA!$I:$I,DATA!$C:$C,$B884,DATA!$J:$J,"&gt;="&amp;DATE($I$2,M$4,1),DATA!$J:$J,"&lt;="&amp;DATE($I$2,M$4,M$5))</f>
        <v/>
      </c>
      <c r="N884" s="321">
        <f>SUMIFS(DATA!$I:$I,DATA!$C:$C,$B884,DATA!$J:$J,"&gt;="&amp;DATE($I$2,N$4,1),DATA!$J:$J,"&lt;="&amp;DATE($I$2,N$4,N$5))</f>
        <v/>
      </c>
      <c r="O884" s="321">
        <f>SUMIFS(DATA!$I:$I,DATA!$C:$C,$B884,DATA!$J:$J,"&gt;="&amp;DATE($I$2,O$4,1),DATA!$J:$J,"&lt;="&amp;DATE($I$2,O$4,O$5))</f>
        <v/>
      </c>
      <c r="P884" s="322">
        <f>SUM(D884:O884)</f>
        <v/>
      </c>
    </row>
    <row r="885" hidden="1" outlineLevel="1" ht="15" customHeight="1">
      <c r="A885" s="266" t="n"/>
      <c r="B885" s="126" t="n"/>
      <c r="C885" s="119" t="inlineStr">
        <is>
          <t>Thực tế</t>
        </is>
      </c>
      <c r="D885" s="321">
        <f>SUMIFS(DATA!$M:$M,DATA!$C:$C,$B884,DATA!$N:$N,"&gt;="&amp;DATE($I$2,D$4,1),DATA!$N:$N,"&lt;="&amp;DATE($I$2,D$4,D$5))</f>
        <v/>
      </c>
      <c r="E885" s="321">
        <f>SUMIFS(DATA!$M:$M,DATA!$C:$C,$B884,DATA!$N:$N,"&gt;="&amp;DATE($I$2,E$4,1),DATA!$N:$N,"&lt;="&amp;DATE($I$2,E$4,E$5))</f>
        <v/>
      </c>
      <c r="F885" s="321">
        <f>SUMIFS(DATA!$M:$M,DATA!$C:$C,$B884,DATA!$N:$N,"&gt;="&amp;DATE($I$2,F$4,1),DATA!$N:$N,"&lt;="&amp;DATE($I$2,F$4,F$5))</f>
        <v/>
      </c>
      <c r="G885" s="321">
        <f>SUMIFS(DATA!$M:$M,DATA!$C:$C,$B884,DATA!$N:$N,"&gt;="&amp;DATE($I$2,G$4,1),DATA!$N:$N,"&lt;="&amp;DATE($I$2,G$4,G$5))</f>
        <v/>
      </c>
      <c r="H885" s="321">
        <f>SUMIFS(DATA!$M:$M,DATA!$C:$C,$B884,DATA!$N:$N,"&gt;="&amp;DATE($I$2,H$4,1),DATA!$N:$N,"&lt;="&amp;DATE($I$2,H$4,H$5))</f>
        <v/>
      </c>
      <c r="I885" s="321">
        <f>SUMIFS(DATA!$M:$M,DATA!$C:$C,$B884,DATA!$N:$N,"&gt;="&amp;DATE($I$2,I$4,1),DATA!$N:$N,"&lt;="&amp;DATE($I$2,I$4,I$5))</f>
        <v/>
      </c>
      <c r="J885" s="321">
        <f>SUMIFS(DATA!$M:$M,DATA!$C:$C,$B884,DATA!$N:$N,"&gt;="&amp;DATE($I$2,J$4,1),DATA!$N:$N,"&lt;="&amp;DATE($I$2,J$4,J$5))</f>
        <v/>
      </c>
      <c r="K885" s="321">
        <f>SUMIFS(DATA!$M:$M,DATA!$C:$C,$B884,DATA!$N:$N,"&gt;="&amp;DATE($I$2,K$4,1),DATA!$N:$N,"&lt;="&amp;DATE($I$2,K$4,K$5))</f>
        <v/>
      </c>
      <c r="L885" s="321">
        <f>SUMIFS(DATA!$M:$M,DATA!$C:$C,$B884,DATA!$N:$N,"&gt;="&amp;DATE($I$2,L$4,1),DATA!$N:$N,"&lt;="&amp;DATE($I$2,L$4,L$5))</f>
        <v/>
      </c>
      <c r="M885" s="321">
        <f>SUMIFS(DATA!$M:$M,DATA!$C:$C,$B884,DATA!$N:$N,"&gt;="&amp;DATE($I$2,M$4,1),DATA!$N:$N,"&lt;="&amp;DATE($I$2,M$4,M$5))</f>
        <v/>
      </c>
      <c r="N885" s="321">
        <f>SUMIFS(DATA!$M:$M,DATA!$C:$C,$B884,DATA!$N:$N,"&gt;="&amp;DATE($I$2,N$4,1),DATA!$N:$N,"&lt;="&amp;DATE($I$2,N$4,N$5))</f>
        <v/>
      </c>
      <c r="O885" s="321">
        <f>SUMIFS(DATA!$M:$M,DATA!$C:$C,$B884,DATA!$N:$N,"&gt;="&amp;DATE($I$2,O$4,1),DATA!$N:$N,"&lt;="&amp;DATE($I$2,O$4,O$5))</f>
        <v/>
      </c>
      <c r="P885" s="322">
        <f>SUM(D885:O885)</f>
        <v/>
      </c>
    </row>
    <row r="886" hidden="1" outlineLevel="1" ht="15" customHeight="1">
      <c r="A886" s="269" t="n">
        <v>441</v>
      </c>
      <c r="B886" s="125" t="n"/>
      <c r="C886" s="119" t="inlineStr">
        <is>
          <t>Kế hoạch</t>
        </is>
      </c>
      <c r="D886" s="321">
        <f>SUMIFS(DATA!$I:$I,DATA!$C:$C,$B886,DATA!$J:$J,"&gt;="&amp;DATE($I$2,D$4,1),DATA!$J:$J,"&lt;="&amp;DATE($I$2,D$4,D$5))</f>
        <v/>
      </c>
      <c r="E886" s="321">
        <f>SUMIFS(DATA!$I:$I,DATA!$C:$C,$B886,DATA!$J:$J,"&gt;="&amp;DATE($I$2,E$4,1),DATA!$J:$J,"&lt;="&amp;DATE($I$2,E$4,E$5))</f>
        <v/>
      </c>
      <c r="F886" s="321">
        <f>SUMIFS(DATA!$I:$I,DATA!$C:$C,$B886,DATA!$J:$J,"&gt;="&amp;DATE($I$2,F$4,1),DATA!$J:$J,"&lt;="&amp;DATE($I$2,F$4,F$5))</f>
        <v/>
      </c>
      <c r="G886" s="321">
        <f>SUMIFS(DATA!$I:$I,DATA!$C:$C,$B886,DATA!$J:$J,"&gt;="&amp;DATE($I$2,G$4,1),DATA!$J:$J,"&lt;="&amp;DATE($I$2,G$4,G$5))</f>
        <v/>
      </c>
      <c r="H886" s="321">
        <f>SUMIFS(DATA!$I:$I,DATA!$C:$C,$B886,DATA!$J:$J,"&gt;="&amp;DATE($I$2,H$4,1),DATA!$J:$J,"&lt;="&amp;DATE($I$2,H$4,H$5))</f>
        <v/>
      </c>
      <c r="I886" s="321">
        <f>SUMIFS(DATA!$I:$I,DATA!$C:$C,$B886,DATA!$J:$J,"&gt;="&amp;DATE($I$2,I$4,1),DATA!$J:$J,"&lt;="&amp;DATE($I$2,I$4,I$5))</f>
        <v/>
      </c>
      <c r="J886" s="321">
        <f>SUMIFS(DATA!$I:$I,DATA!$C:$C,$B886,DATA!$J:$J,"&gt;="&amp;DATE($I$2,J$4,1),DATA!$J:$J,"&lt;="&amp;DATE($I$2,J$4,J$5))</f>
        <v/>
      </c>
      <c r="K886" s="321">
        <f>SUMIFS(DATA!$I:$I,DATA!$C:$C,$B886,DATA!$J:$J,"&gt;="&amp;DATE($I$2,K$4,1),DATA!$J:$J,"&lt;="&amp;DATE($I$2,K$4,K$5))</f>
        <v/>
      </c>
      <c r="L886" s="321">
        <f>SUMIFS(DATA!$I:$I,DATA!$C:$C,$B886,DATA!$J:$J,"&gt;="&amp;DATE($I$2,L$4,1),DATA!$J:$J,"&lt;="&amp;DATE($I$2,L$4,L$5))</f>
        <v/>
      </c>
      <c r="M886" s="321">
        <f>SUMIFS(DATA!$I:$I,DATA!$C:$C,$B886,DATA!$J:$J,"&gt;="&amp;DATE($I$2,M$4,1),DATA!$J:$J,"&lt;="&amp;DATE($I$2,M$4,M$5))</f>
        <v/>
      </c>
      <c r="N886" s="321">
        <f>SUMIFS(DATA!$I:$I,DATA!$C:$C,$B886,DATA!$J:$J,"&gt;="&amp;DATE($I$2,N$4,1),DATA!$J:$J,"&lt;="&amp;DATE($I$2,N$4,N$5))</f>
        <v/>
      </c>
      <c r="O886" s="321">
        <f>SUMIFS(DATA!$I:$I,DATA!$C:$C,$B886,DATA!$J:$J,"&gt;="&amp;DATE($I$2,O$4,1),DATA!$J:$J,"&lt;="&amp;DATE($I$2,O$4,O$5))</f>
        <v/>
      </c>
      <c r="P886" s="322">
        <f>SUM(D886:O886)</f>
        <v/>
      </c>
    </row>
    <row r="887" hidden="1" outlineLevel="1" ht="15" customHeight="1">
      <c r="A887" s="266" t="n"/>
      <c r="B887" s="126" t="n"/>
      <c r="C887" s="119" t="inlineStr">
        <is>
          <t>Thực tế</t>
        </is>
      </c>
      <c r="D887" s="321">
        <f>SUMIFS(DATA!$M:$M,DATA!$C:$C,$B886,DATA!$N:$N,"&gt;="&amp;DATE($I$2,D$4,1),DATA!$N:$N,"&lt;="&amp;DATE($I$2,D$4,D$5))</f>
        <v/>
      </c>
      <c r="E887" s="321">
        <f>SUMIFS(DATA!$M:$M,DATA!$C:$C,$B886,DATA!$N:$N,"&gt;="&amp;DATE($I$2,E$4,1),DATA!$N:$N,"&lt;="&amp;DATE($I$2,E$4,E$5))</f>
        <v/>
      </c>
      <c r="F887" s="321">
        <f>SUMIFS(DATA!$M:$M,DATA!$C:$C,$B886,DATA!$N:$N,"&gt;="&amp;DATE($I$2,F$4,1),DATA!$N:$N,"&lt;="&amp;DATE($I$2,F$4,F$5))</f>
        <v/>
      </c>
      <c r="G887" s="321">
        <f>SUMIFS(DATA!$M:$M,DATA!$C:$C,$B886,DATA!$N:$N,"&gt;="&amp;DATE($I$2,G$4,1),DATA!$N:$N,"&lt;="&amp;DATE($I$2,G$4,G$5))</f>
        <v/>
      </c>
      <c r="H887" s="321">
        <f>SUMIFS(DATA!$M:$M,DATA!$C:$C,$B886,DATA!$N:$N,"&gt;="&amp;DATE($I$2,H$4,1),DATA!$N:$N,"&lt;="&amp;DATE($I$2,H$4,H$5))</f>
        <v/>
      </c>
      <c r="I887" s="321">
        <f>SUMIFS(DATA!$M:$M,DATA!$C:$C,$B886,DATA!$N:$N,"&gt;="&amp;DATE($I$2,I$4,1),DATA!$N:$N,"&lt;="&amp;DATE($I$2,I$4,I$5))</f>
        <v/>
      </c>
      <c r="J887" s="321">
        <f>SUMIFS(DATA!$M:$M,DATA!$C:$C,$B886,DATA!$N:$N,"&gt;="&amp;DATE($I$2,J$4,1),DATA!$N:$N,"&lt;="&amp;DATE($I$2,J$4,J$5))</f>
        <v/>
      </c>
      <c r="K887" s="321">
        <f>SUMIFS(DATA!$M:$M,DATA!$C:$C,$B886,DATA!$N:$N,"&gt;="&amp;DATE($I$2,K$4,1),DATA!$N:$N,"&lt;="&amp;DATE($I$2,K$4,K$5))</f>
        <v/>
      </c>
      <c r="L887" s="321">
        <f>SUMIFS(DATA!$M:$M,DATA!$C:$C,$B886,DATA!$N:$N,"&gt;="&amp;DATE($I$2,L$4,1),DATA!$N:$N,"&lt;="&amp;DATE($I$2,L$4,L$5))</f>
        <v/>
      </c>
      <c r="M887" s="321">
        <f>SUMIFS(DATA!$M:$M,DATA!$C:$C,$B886,DATA!$N:$N,"&gt;="&amp;DATE($I$2,M$4,1),DATA!$N:$N,"&lt;="&amp;DATE($I$2,M$4,M$5))</f>
        <v/>
      </c>
      <c r="N887" s="321">
        <f>SUMIFS(DATA!$M:$M,DATA!$C:$C,$B886,DATA!$N:$N,"&gt;="&amp;DATE($I$2,N$4,1),DATA!$N:$N,"&lt;="&amp;DATE($I$2,N$4,N$5))</f>
        <v/>
      </c>
      <c r="O887" s="321">
        <f>SUMIFS(DATA!$M:$M,DATA!$C:$C,$B886,DATA!$N:$N,"&gt;="&amp;DATE($I$2,O$4,1),DATA!$N:$N,"&lt;="&amp;DATE($I$2,O$4,O$5))</f>
        <v/>
      </c>
      <c r="P887" s="322">
        <f>SUM(D887:O887)</f>
        <v/>
      </c>
    </row>
    <row r="888" hidden="1" outlineLevel="1" ht="15" customHeight="1">
      <c r="A888" s="269" t="n">
        <v>442</v>
      </c>
      <c r="B888" s="125" t="n"/>
      <c r="C888" s="119" t="inlineStr">
        <is>
          <t>Kế hoạch</t>
        </is>
      </c>
      <c r="D888" s="321">
        <f>SUMIFS(DATA!$I:$I,DATA!$C:$C,$B888,DATA!$J:$J,"&gt;="&amp;DATE($I$2,D$4,1),DATA!$J:$J,"&lt;="&amp;DATE($I$2,D$4,D$5))</f>
        <v/>
      </c>
      <c r="E888" s="321">
        <f>SUMIFS(DATA!$I:$I,DATA!$C:$C,$B888,DATA!$J:$J,"&gt;="&amp;DATE($I$2,E$4,1),DATA!$J:$J,"&lt;="&amp;DATE($I$2,E$4,E$5))</f>
        <v/>
      </c>
      <c r="F888" s="321">
        <f>SUMIFS(DATA!$I:$I,DATA!$C:$C,$B888,DATA!$J:$J,"&gt;="&amp;DATE($I$2,F$4,1),DATA!$J:$J,"&lt;="&amp;DATE($I$2,F$4,F$5))</f>
        <v/>
      </c>
      <c r="G888" s="321">
        <f>SUMIFS(DATA!$I:$I,DATA!$C:$C,$B888,DATA!$J:$J,"&gt;="&amp;DATE($I$2,G$4,1),DATA!$J:$J,"&lt;="&amp;DATE($I$2,G$4,G$5))</f>
        <v/>
      </c>
      <c r="H888" s="321">
        <f>SUMIFS(DATA!$I:$I,DATA!$C:$C,$B888,DATA!$J:$J,"&gt;="&amp;DATE($I$2,H$4,1),DATA!$J:$J,"&lt;="&amp;DATE($I$2,H$4,H$5))</f>
        <v/>
      </c>
      <c r="I888" s="321">
        <f>SUMIFS(DATA!$I:$I,DATA!$C:$C,$B888,DATA!$J:$J,"&gt;="&amp;DATE($I$2,I$4,1),DATA!$J:$J,"&lt;="&amp;DATE($I$2,I$4,I$5))</f>
        <v/>
      </c>
      <c r="J888" s="321">
        <f>SUMIFS(DATA!$I:$I,DATA!$C:$C,$B888,DATA!$J:$J,"&gt;="&amp;DATE($I$2,J$4,1),DATA!$J:$J,"&lt;="&amp;DATE($I$2,J$4,J$5))</f>
        <v/>
      </c>
      <c r="K888" s="321">
        <f>SUMIFS(DATA!$I:$I,DATA!$C:$C,$B888,DATA!$J:$J,"&gt;="&amp;DATE($I$2,K$4,1),DATA!$J:$J,"&lt;="&amp;DATE($I$2,K$4,K$5))</f>
        <v/>
      </c>
      <c r="L888" s="321">
        <f>SUMIFS(DATA!$I:$I,DATA!$C:$C,$B888,DATA!$J:$J,"&gt;="&amp;DATE($I$2,L$4,1),DATA!$J:$J,"&lt;="&amp;DATE($I$2,L$4,L$5))</f>
        <v/>
      </c>
      <c r="M888" s="321">
        <f>SUMIFS(DATA!$I:$I,DATA!$C:$C,$B888,DATA!$J:$J,"&gt;="&amp;DATE($I$2,M$4,1),DATA!$J:$J,"&lt;="&amp;DATE($I$2,M$4,M$5))</f>
        <v/>
      </c>
      <c r="N888" s="321">
        <f>SUMIFS(DATA!$I:$I,DATA!$C:$C,$B888,DATA!$J:$J,"&gt;="&amp;DATE($I$2,N$4,1),DATA!$J:$J,"&lt;="&amp;DATE($I$2,N$4,N$5))</f>
        <v/>
      </c>
      <c r="O888" s="321">
        <f>SUMIFS(DATA!$I:$I,DATA!$C:$C,$B888,DATA!$J:$J,"&gt;="&amp;DATE($I$2,O$4,1),DATA!$J:$J,"&lt;="&amp;DATE($I$2,O$4,O$5))</f>
        <v/>
      </c>
      <c r="P888" s="322">
        <f>SUM(D888:O888)</f>
        <v/>
      </c>
    </row>
    <row r="889" hidden="1" outlineLevel="1" ht="15" customHeight="1">
      <c r="A889" s="266" t="n"/>
      <c r="B889" s="126" t="n"/>
      <c r="C889" s="119" t="inlineStr">
        <is>
          <t>Thực tế</t>
        </is>
      </c>
      <c r="D889" s="321">
        <f>SUMIFS(DATA!$M:$M,DATA!$C:$C,$B888,DATA!$N:$N,"&gt;="&amp;DATE($I$2,D$4,1),DATA!$N:$N,"&lt;="&amp;DATE($I$2,D$4,D$5))</f>
        <v/>
      </c>
      <c r="E889" s="321">
        <f>SUMIFS(DATA!$M:$M,DATA!$C:$C,$B888,DATA!$N:$N,"&gt;="&amp;DATE($I$2,E$4,1),DATA!$N:$N,"&lt;="&amp;DATE($I$2,E$4,E$5))</f>
        <v/>
      </c>
      <c r="F889" s="321">
        <f>SUMIFS(DATA!$M:$M,DATA!$C:$C,$B888,DATA!$N:$N,"&gt;="&amp;DATE($I$2,F$4,1),DATA!$N:$N,"&lt;="&amp;DATE($I$2,F$4,F$5))</f>
        <v/>
      </c>
      <c r="G889" s="321">
        <f>SUMIFS(DATA!$M:$M,DATA!$C:$C,$B888,DATA!$N:$N,"&gt;="&amp;DATE($I$2,G$4,1),DATA!$N:$N,"&lt;="&amp;DATE($I$2,G$4,G$5))</f>
        <v/>
      </c>
      <c r="H889" s="321">
        <f>SUMIFS(DATA!$M:$M,DATA!$C:$C,$B888,DATA!$N:$N,"&gt;="&amp;DATE($I$2,H$4,1),DATA!$N:$N,"&lt;="&amp;DATE($I$2,H$4,H$5))</f>
        <v/>
      </c>
      <c r="I889" s="321">
        <f>SUMIFS(DATA!$M:$M,DATA!$C:$C,$B888,DATA!$N:$N,"&gt;="&amp;DATE($I$2,I$4,1),DATA!$N:$N,"&lt;="&amp;DATE($I$2,I$4,I$5))</f>
        <v/>
      </c>
      <c r="J889" s="321">
        <f>SUMIFS(DATA!$M:$M,DATA!$C:$C,$B888,DATA!$N:$N,"&gt;="&amp;DATE($I$2,J$4,1),DATA!$N:$N,"&lt;="&amp;DATE($I$2,J$4,J$5))</f>
        <v/>
      </c>
      <c r="K889" s="321">
        <f>SUMIFS(DATA!$M:$M,DATA!$C:$C,$B888,DATA!$N:$N,"&gt;="&amp;DATE($I$2,K$4,1),DATA!$N:$N,"&lt;="&amp;DATE($I$2,K$4,K$5))</f>
        <v/>
      </c>
      <c r="L889" s="321">
        <f>SUMIFS(DATA!$M:$M,DATA!$C:$C,$B888,DATA!$N:$N,"&gt;="&amp;DATE($I$2,L$4,1),DATA!$N:$N,"&lt;="&amp;DATE($I$2,L$4,L$5))</f>
        <v/>
      </c>
      <c r="M889" s="321">
        <f>SUMIFS(DATA!$M:$M,DATA!$C:$C,$B888,DATA!$N:$N,"&gt;="&amp;DATE($I$2,M$4,1),DATA!$N:$N,"&lt;="&amp;DATE($I$2,M$4,M$5))</f>
        <v/>
      </c>
      <c r="N889" s="321">
        <f>SUMIFS(DATA!$M:$M,DATA!$C:$C,$B888,DATA!$N:$N,"&gt;="&amp;DATE($I$2,N$4,1),DATA!$N:$N,"&lt;="&amp;DATE($I$2,N$4,N$5))</f>
        <v/>
      </c>
      <c r="O889" s="321">
        <f>SUMIFS(DATA!$M:$M,DATA!$C:$C,$B888,DATA!$N:$N,"&gt;="&amp;DATE($I$2,O$4,1),DATA!$N:$N,"&lt;="&amp;DATE($I$2,O$4,O$5))</f>
        <v/>
      </c>
      <c r="P889" s="322">
        <f>SUM(D889:O889)</f>
        <v/>
      </c>
    </row>
    <row r="890" hidden="1" outlineLevel="1" ht="15" customHeight="1">
      <c r="A890" s="269" t="n">
        <v>443</v>
      </c>
      <c r="B890" s="125" t="n"/>
      <c r="C890" s="119" t="inlineStr">
        <is>
          <t>Kế hoạch</t>
        </is>
      </c>
      <c r="D890" s="321">
        <f>SUMIFS(DATA!$I:$I,DATA!$C:$C,$B890,DATA!$J:$J,"&gt;="&amp;DATE($I$2,D$4,1),DATA!$J:$J,"&lt;="&amp;DATE($I$2,D$4,D$5))</f>
        <v/>
      </c>
      <c r="E890" s="321">
        <f>SUMIFS(DATA!$I:$I,DATA!$C:$C,$B890,DATA!$J:$J,"&gt;="&amp;DATE($I$2,E$4,1),DATA!$J:$J,"&lt;="&amp;DATE($I$2,E$4,E$5))</f>
        <v/>
      </c>
      <c r="F890" s="321">
        <f>SUMIFS(DATA!$I:$I,DATA!$C:$C,$B890,DATA!$J:$J,"&gt;="&amp;DATE($I$2,F$4,1),DATA!$J:$J,"&lt;="&amp;DATE($I$2,F$4,F$5))</f>
        <v/>
      </c>
      <c r="G890" s="321">
        <f>SUMIFS(DATA!$I:$I,DATA!$C:$C,$B890,DATA!$J:$J,"&gt;="&amp;DATE($I$2,G$4,1),DATA!$J:$J,"&lt;="&amp;DATE($I$2,G$4,G$5))</f>
        <v/>
      </c>
      <c r="H890" s="321">
        <f>SUMIFS(DATA!$I:$I,DATA!$C:$C,$B890,DATA!$J:$J,"&gt;="&amp;DATE($I$2,H$4,1),DATA!$J:$J,"&lt;="&amp;DATE($I$2,H$4,H$5))</f>
        <v/>
      </c>
      <c r="I890" s="321">
        <f>SUMIFS(DATA!$I:$I,DATA!$C:$C,$B890,DATA!$J:$J,"&gt;="&amp;DATE($I$2,I$4,1),DATA!$J:$J,"&lt;="&amp;DATE($I$2,I$4,I$5))</f>
        <v/>
      </c>
      <c r="J890" s="321">
        <f>SUMIFS(DATA!$I:$I,DATA!$C:$C,$B890,DATA!$J:$J,"&gt;="&amp;DATE($I$2,J$4,1),DATA!$J:$J,"&lt;="&amp;DATE($I$2,J$4,J$5))</f>
        <v/>
      </c>
      <c r="K890" s="321">
        <f>SUMIFS(DATA!$I:$I,DATA!$C:$C,$B890,DATA!$J:$J,"&gt;="&amp;DATE($I$2,K$4,1),DATA!$J:$J,"&lt;="&amp;DATE($I$2,K$4,K$5))</f>
        <v/>
      </c>
      <c r="L890" s="321">
        <f>SUMIFS(DATA!$I:$I,DATA!$C:$C,$B890,DATA!$J:$J,"&gt;="&amp;DATE($I$2,L$4,1),DATA!$J:$J,"&lt;="&amp;DATE($I$2,L$4,L$5))</f>
        <v/>
      </c>
      <c r="M890" s="321">
        <f>SUMIFS(DATA!$I:$I,DATA!$C:$C,$B890,DATA!$J:$J,"&gt;="&amp;DATE($I$2,M$4,1),DATA!$J:$J,"&lt;="&amp;DATE($I$2,M$4,M$5))</f>
        <v/>
      </c>
      <c r="N890" s="321">
        <f>SUMIFS(DATA!$I:$I,DATA!$C:$C,$B890,DATA!$J:$J,"&gt;="&amp;DATE($I$2,N$4,1),DATA!$J:$J,"&lt;="&amp;DATE($I$2,N$4,N$5))</f>
        <v/>
      </c>
      <c r="O890" s="321">
        <f>SUMIFS(DATA!$I:$I,DATA!$C:$C,$B890,DATA!$J:$J,"&gt;="&amp;DATE($I$2,O$4,1),DATA!$J:$J,"&lt;="&amp;DATE($I$2,O$4,O$5))</f>
        <v/>
      </c>
      <c r="P890" s="322">
        <f>SUM(D890:O890)</f>
        <v/>
      </c>
    </row>
    <row r="891" hidden="1" outlineLevel="1" ht="15" customHeight="1">
      <c r="A891" s="266" t="n"/>
      <c r="B891" s="126" t="n"/>
      <c r="C891" s="119" t="inlineStr">
        <is>
          <t>Thực tế</t>
        </is>
      </c>
      <c r="D891" s="321">
        <f>SUMIFS(DATA!$M:$M,DATA!$C:$C,$B890,DATA!$N:$N,"&gt;="&amp;DATE($I$2,D$4,1),DATA!$N:$N,"&lt;="&amp;DATE($I$2,D$4,D$5))</f>
        <v/>
      </c>
      <c r="E891" s="321">
        <f>SUMIFS(DATA!$M:$M,DATA!$C:$C,$B890,DATA!$N:$N,"&gt;="&amp;DATE($I$2,E$4,1),DATA!$N:$N,"&lt;="&amp;DATE($I$2,E$4,E$5))</f>
        <v/>
      </c>
      <c r="F891" s="321">
        <f>SUMIFS(DATA!$M:$M,DATA!$C:$C,$B890,DATA!$N:$N,"&gt;="&amp;DATE($I$2,F$4,1),DATA!$N:$N,"&lt;="&amp;DATE($I$2,F$4,F$5))</f>
        <v/>
      </c>
      <c r="G891" s="321">
        <f>SUMIFS(DATA!$M:$M,DATA!$C:$C,$B890,DATA!$N:$N,"&gt;="&amp;DATE($I$2,G$4,1),DATA!$N:$N,"&lt;="&amp;DATE($I$2,G$4,G$5))</f>
        <v/>
      </c>
      <c r="H891" s="321">
        <f>SUMIFS(DATA!$M:$M,DATA!$C:$C,$B890,DATA!$N:$N,"&gt;="&amp;DATE($I$2,H$4,1),DATA!$N:$N,"&lt;="&amp;DATE($I$2,H$4,H$5))</f>
        <v/>
      </c>
      <c r="I891" s="321">
        <f>SUMIFS(DATA!$M:$M,DATA!$C:$C,$B890,DATA!$N:$N,"&gt;="&amp;DATE($I$2,I$4,1),DATA!$N:$N,"&lt;="&amp;DATE($I$2,I$4,I$5))</f>
        <v/>
      </c>
      <c r="J891" s="321">
        <f>SUMIFS(DATA!$M:$M,DATA!$C:$C,$B890,DATA!$N:$N,"&gt;="&amp;DATE($I$2,J$4,1),DATA!$N:$N,"&lt;="&amp;DATE($I$2,J$4,J$5))</f>
        <v/>
      </c>
      <c r="K891" s="321">
        <f>SUMIFS(DATA!$M:$M,DATA!$C:$C,$B890,DATA!$N:$N,"&gt;="&amp;DATE($I$2,K$4,1),DATA!$N:$N,"&lt;="&amp;DATE($I$2,K$4,K$5))</f>
        <v/>
      </c>
      <c r="L891" s="321">
        <f>SUMIFS(DATA!$M:$M,DATA!$C:$C,$B890,DATA!$N:$N,"&gt;="&amp;DATE($I$2,L$4,1),DATA!$N:$N,"&lt;="&amp;DATE($I$2,L$4,L$5))</f>
        <v/>
      </c>
      <c r="M891" s="321">
        <f>SUMIFS(DATA!$M:$M,DATA!$C:$C,$B890,DATA!$N:$N,"&gt;="&amp;DATE($I$2,M$4,1),DATA!$N:$N,"&lt;="&amp;DATE($I$2,M$4,M$5))</f>
        <v/>
      </c>
      <c r="N891" s="321">
        <f>SUMIFS(DATA!$M:$M,DATA!$C:$C,$B890,DATA!$N:$N,"&gt;="&amp;DATE($I$2,N$4,1),DATA!$N:$N,"&lt;="&amp;DATE($I$2,N$4,N$5))</f>
        <v/>
      </c>
      <c r="O891" s="321">
        <f>SUMIFS(DATA!$M:$M,DATA!$C:$C,$B890,DATA!$N:$N,"&gt;="&amp;DATE($I$2,O$4,1),DATA!$N:$N,"&lt;="&amp;DATE($I$2,O$4,O$5))</f>
        <v/>
      </c>
      <c r="P891" s="322">
        <f>SUM(D891:O891)</f>
        <v/>
      </c>
    </row>
    <row r="892" hidden="1" outlineLevel="1" ht="15" customHeight="1">
      <c r="A892" s="269" t="n">
        <v>444</v>
      </c>
      <c r="B892" s="125" t="n"/>
      <c r="C892" s="119" t="inlineStr">
        <is>
          <t>Kế hoạch</t>
        </is>
      </c>
      <c r="D892" s="321">
        <f>SUMIFS(DATA!$I:$I,DATA!$C:$C,$B892,DATA!$J:$J,"&gt;="&amp;DATE($I$2,D$4,1),DATA!$J:$J,"&lt;="&amp;DATE($I$2,D$4,D$5))</f>
        <v/>
      </c>
      <c r="E892" s="321">
        <f>SUMIFS(DATA!$I:$I,DATA!$C:$C,$B892,DATA!$J:$J,"&gt;="&amp;DATE($I$2,E$4,1),DATA!$J:$J,"&lt;="&amp;DATE($I$2,E$4,E$5))</f>
        <v/>
      </c>
      <c r="F892" s="321">
        <f>SUMIFS(DATA!$I:$I,DATA!$C:$C,$B892,DATA!$J:$J,"&gt;="&amp;DATE($I$2,F$4,1),DATA!$J:$J,"&lt;="&amp;DATE($I$2,F$4,F$5))</f>
        <v/>
      </c>
      <c r="G892" s="321">
        <f>SUMIFS(DATA!$I:$I,DATA!$C:$C,$B892,DATA!$J:$J,"&gt;="&amp;DATE($I$2,G$4,1),DATA!$J:$J,"&lt;="&amp;DATE($I$2,G$4,G$5))</f>
        <v/>
      </c>
      <c r="H892" s="321">
        <f>SUMIFS(DATA!$I:$I,DATA!$C:$C,$B892,DATA!$J:$J,"&gt;="&amp;DATE($I$2,H$4,1),DATA!$J:$J,"&lt;="&amp;DATE($I$2,H$4,H$5))</f>
        <v/>
      </c>
      <c r="I892" s="321">
        <f>SUMIFS(DATA!$I:$I,DATA!$C:$C,$B892,DATA!$J:$J,"&gt;="&amp;DATE($I$2,I$4,1),DATA!$J:$J,"&lt;="&amp;DATE($I$2,I$4,I$5))</f>
        <v/>
      </c>
      <c r="J892" s="321">
        <f>SUMIFS(DATA!$I:$I,DATA!$C:$C,$B892,DATA!$J:$J,"&gt;="&amp;DATE($I$2,J$4,1),DATA!$J:$J,"&lt;="&amp;DATE($I$2,J$4,J$5))</f>
        <v/>
      </c>
      <c r="K892" s="321">
        <f>SUMIFS(DATA!$I:$I,DATA!$C:$C,$B892,DATA!$J:$J,"&gt;="&amp;DATE($I$2,K$4,1),DATA!$J:$J,"&lt;="&amp;DATE($I$2,K$4,K$5))</f>
        <v/>
      </c>
      <c r="L892" s="321">
        <f>SUMIFS(DATA!$I:$I,DATA!$C:$C,$B892,DATA!$J:$J,"&gt;="&amp;DATE($I$2,L$4,1),DATA!$J:$J,"&lt;="&amp;DATE($I$2,L$4,L$5))</f>
        <v/>
      </c>
      <c r="M892" s="321">
        <f>SUMIFS(DATA!$I:$I,DATA!$C:$C,$B892,DATA!$J:$J,"&gt;="&amp;DATE($I$2,M$4,1),DATA!$J:$J,"&lt;="&amp;DATE($I$2,M$4,M$5))</f>
        <v/>
      </c>
      <c r="N892" s="321">
        <f>SUMIFS(DATA!$I:$I,DATA!$C:$C,$B892,DATA!$J:$J,"&gt;="&amp;DATE($I$2,N$4,1),DATA!$J:$J,"&lt;="&amp;DATE($I$2,N$4,N$5))</f>
        <v/>
      </c>
      <c r="O892" s="321">
        <f>SUMIFS(DATA!$I:$I,DATA!$C:$C,$B892,DATA!$J:$J,"&gt;="&amp;DATE($I$2,O$4,1),DATA!$J:$J,"&lt;="&amp;DATE($I$2,O$4,O$5))</f>
        <v/>
      </c>
      <c r="P892" s="322">
        <f>SUM(D892:O892)</f>
        <v/>
      </c>
    </row>
    <row r="893" hidden="1" outlineLevel="1" ht="15" customHeight="1">
      <c r="A893" s="266" t="n"/>
      <c r="B893" s="126" t="n"/>
      <c r="C893" s="119" t="inlineStr">
        <is>
          <t>Thực tế</t>
        </is>
      </c>
      <c r="D893" s="321">
        <f>SUMIFS(DATA!$M:$M,DATA!$C:$C,$B892,DATA!$N:$N,"&gt;="&amp;DATE($I$2,D$4,1),DATA!$N:$N,"&lt;="&amp;DATE($I$2,D$4,D$5))</f>
        <v/>
      </c>
      <c r="E893" s="321">
        <f>SUMIFS(DATA!$M:$M,DATA!$C:$C,$B892,DATA!$N:$N,"&gt;="&amp;DATE($I$2,E$4,1),DATA!$N:$N,"&lt;="&amp;DATE($I$2,E$4,E$5))</f>
        <v/>
      </c>
      <c r="F893" s="321">
        <f>SUMIFS(DATA!$M:$M,DATA!$C:$C,$B892,DATA!$N:$N,"&gt;="&amp;DATE($I$2,F$4,1),DATA!$N:$N,"&lt;="&amp;DATE($I$2,F$4,F$5))</f>
        <v/>
      </c>
      <c r="G893" s="321">
        <f>SUMIFS(DATA!$M:$M,DATA!$C:$C,$B892,DATA!$N:$N,"&gt;="&amp;DATE($I$2,G$4,1),DATA!$N:$N,"&lt;="&amp;DATE($I$2,G$4,G$5))</f>
        <v/>
      </c>
      <c r="H893" s="321">
        <f>SUMIFS(DATA!$M:$M,DATA!$C:$C,$B892,DATA!$N:$N,"&gt;="&amp;DATE($I$2,H$4,1),DATA!$N:$N,"&lt;="&amp;DATE($I$2,H$4,H$5))</f>
        <v/>
      </c>
      <c r="I893" s="321">
        <f>SUMIFS(DATA!$M:$M,DATA!$C:$C,$B892,DATA!$N:$N,"&gt;="&amp;DATE($I$2,I$4,1),DATA!$N:$N,"&lt;="&amp;DATE($I$2,I$4,I$5))</f>
        <v/>
      </c>
      <c r="J893" s="321">
        <f>SUMIFS(DATA!$M:$M,DATA!$C:$C,$B892,DATA!$N:$N,"&gt;="&amp;DATE($I$2,J$4,1),DATA!$N:$N,"&lt;="&amp;DATE($I$2,J$4,J$5))</f>
        <v/>
      </c>
      <c r="K893" s="321">
        <f>SUMIFS(DATA!$M:$M,DATA!$C:$C,$B892,DATA!$N:$N,"&gt;="&amp;DATE($I$2,K$4,1),DATA!$N:$N,"&lt;="&amp;DATE($I$2,K$4,K$5))</f>
        <v/>
      </c>
      <c r="L893" s="321">
        <f>SUMIFS(DATA!$M:$M,DATA!$C:$C,$B892,DATA!$N:$N,"&gt;="&amp;DATE($I$2,L$4,1),DATA!$N:$N,"&lt;="&amp;DATE($I$2,L$4,L$5))</f>
        <v/>
      </c>
      <c r="M893" s="321">
        <f>SUMIFS(DATA!$M:$M,DATA!$C:$C,$B892,DATA!$N:$N,"&gt;="&amp;DATE($I$2,M$4,1),DATA!$N:$N,"&lt;="&amp;DATE($I$2,M$4,M$5))</f>
        <v/>
      </c>
      <c r="N893" s="321">
        <f>SUMIFS(DATA!$M:$M,DATA!$C:$C,$B892,DATA!$N:$N,"&gt;="&amp;DATE($I$2,N$4,1),DATA!$N:$N,"&lt;="&amp;DATE($I$2,N$4,N$5))</f>
        <v/>
      </c>
      <c r="O893" s="321">
        <f>SUMIFS(DATA!$M:$M,DATA!$C:$C,$B892,DATA!$N:$N,"&gt;="&amp;DATE($I$2,O$4,1),DATA!$N:$N,"&lt;="&amp;DATE($I$2,O$4,O$5))</f>
        <v/>
      </c>
      <c r="P893" s="322">
        <f>SUM(D893:O893)</f>
        <v/>
      </c>
    </row>
    <row r="894" hidden="1" outlineLevel="1" ht="15" customHeight="1">
      <c r="A894" s="269" t="n">
        <v>445</v>
      </c>
      <c r="B894" s="125" t="n"/>
      <c r="C894" s="119" t="inlineStr">
        <is>
          <t>Kế hoạch</t>
        </is>
      </c>
      <c r="D894" s="321">
        <f>SUMIFS(DATA!$I:$I,DATA!$C:$C,$B894,DATA!$J:$J,"&gt;="&amp;DATE($I$2,D$4,1),DATA!$J:$J,"&lt;="&amp;DATE($I$2,D$4,D$5))</f>
        <v/>
      </c>
      <c r="E894" s="321">
        <f>SUMIFS(DATA!$I:$I,DATA!$C:$C,$B894,DATA!$J:$J,"&gt;="&amp;DATE($I$2,E$4,1),DATA!$J:$J,"&lt;="&amp;DATE($I$2,E$4,E$5))</f>
        <v/>
      </c>
      <c r="F894" s="321">
        <f>SUMIFS(DATA!$I:$I,DATA!$C:$C,$B894,DATA!$J:$J,"&gt;="&amp;DATE($I$2,F$4,1),DATA!$J:$J,"&lt;="&amp;DATE($I$2,F$4,F$5))</f>
        <v/>
      </c>
      <c r="G894" s="321">
        <f>SUMIFS(DATA!$I:$I,DATA!$C:$C,$B894,DATA!$J:$J,"&gt;="&amp;DATE($I$2,G$4,1),DATA!$J:$J,"&lt;="&amp;DATE($I$2,G$4,G$5))</f>
        <v/>
      </c>
      <c r="H894" s="321">
        <f>SUMIFS(DATA!$I:$I,DATA!$C:$C,$B894,DATA!$J:$J,"&gt;="&amp;DATE($I$2,H$4,1),DATA!$J:$J,"&lt;="&amp;DATE($I$2,H$4,H$5))</f>
        <v/>
      </c>
      <c r="I894" s="321">
        <f>SUMIFS(DATA!$I:$I,DATA!$C:$C,$B894,DATA!$J:$J,"&gt;="&amp;DATE($I$2,I$4,1),DATA!$J:$J,"&lt;="&amp;DATE($I$2,I$4,I$5))</f>
        <v/>
      </c>
      <c r="J894" s="321">
        <f>SUMIFS(DATA!$I:$I,DATA!$C:$C,$B894,DATA!$J:$J,"&gt;="&amp;DATE($I$2,J$4,1),DATA!$J:$J,"&lt;="&amp;DATE($I$2,J$4,J$5))</f>
        <v/>
      </c>
      <c r="K894" s="321">
        <f>SUMIFS(DATA!$I:$I,DATA!$C:$C,$B894,DATA!$J:$J,"&gt;="&amp;DATE($I$2,K$4,1),DATA!$J:$J,"&lt;="&amp;DATE($I$2,K$4,K$5))</f>
        <v/>
      </c>
      <c r="L894" s="321">
        <f>SUMIFS(DATA!$I:$I,DATA!$C:$C,$B894,DATA!$J:$J,"&gt;="&amp;DATE($I$2,L$4,1),DATA!$J:$J,"&lt;="&amp;DATE($I$2,L$4,L$5))</f>
        <v/>
      </c>
      <c r="M894" s="321">
        <f>SUMIFS(DATA!$I:$I,DATA!$C:$C,$B894,DATA!$J:$J,"&gt;="&amp;DATE($I$2,M$4,1),DATA!$J:$J,"&lt;="&amp;DATE($I$2,M$4,M$5))</f>
        <v/>
      </c>
      <c r="N894" s="321">
        <f>SUMIFS(DATA!$I:$I,DATA!$C:$C,$B894,DATA!$J:$J,"&gt;="&amp;DATE($I$2,N$4,1),DATA!$J:$J,"&lt;="&amp;DATE($I$2,N$4,N$5))</f>
        <v/>
      </c>
      <c r="O894" s="321">
        <f>SUMIFS(DATA!$I:$I,DATA!$C:$C,$B894,DATA!$J:$J,"&gt;="&amp;DATE($I$2,O$4,1),DATA!$J:$J,"&lt;="&amp;DATE($I$2,O$4,O$5))</f>
        <v/>
      </c>
      <c r="P894" s="322">
        <f>SUM(D894:O894)</f>
        <v/>
      </c>
    </row>
    <row r="895" hidden="1" outlineLevel="1" ht="15" customHeight="1">
      <c r="A895" s="266" t="n"/>
      <c r="B895" s="126" t="n"/>
      <c r="C895" s="119" t="inlineStr">
        <is>
          <t>Thực tế</t>
        </is>
      </c>
      <c r="D895" s="321">
        <f>SUMIFS(DATA!$M:$M,DATA!$C:$C,$B894,DATA!$N:$N,"&gt;="&amp;DATE($I$2,D$4,1),DATA!$N:$N,"&lt;="&amp;DATE($I$2,D$4,D$5))</f>
        <v/>
      </c>
      <c r="E895" s="321">
        <f>SUMIFS(DATA!$M:$M,DATA!$C:$C,$B894,DATA!$N:$N,"&gt;="&amp;DATE($I$2,E$4,1),DATA!$N:$N,"&lt;="&amp;DATE($I$2,E$4,E$5))</f>
        <v/>
      </c>
      <c r="F895" s="321">
        <f>SUMIFS(DATA!$M:$M,DATA!$C:$C,$B894,DATA!$N:$N,"&gt;="&amp;DATE($I$2,F$4,1),DATA!$N:$N,"&lt;="&amp;DATE($I$2,F$4,F$5))</f>
        <v/>
      </c>
      <c r="G895" s="321">
        <f>SUMIFS(DATA!$M:$M,DATA!$C:$C,$B894,DATA!$N:$N,"&gt;="&amp;DATE($I$2,G$4,1),DATA!$N:$N,"&lt;="&amp;DATE($I$2,G$4,G$5))</f>
        <v/>
      </c>
      <c r="H895" s="321">
        <f>SUMIFS(DATA!$M:$M,DATA!$C:$C,$B894,DATA!$N:$N,"&gt;="&amp;DATE($I$2,H$4,1),DATA!$N:$N,"&lt;="&amp;DATE($I$2,H$4,H$5))</f>
        <v/>
      </c>
      <c r="I895" s="321">
        <f>SUMIFS(DATA!$M:$M,DATA!$C:$C,$B894,DATA!$N:$N,"&gt;="&amp;DATE($I$2,I$4,1),DATA!$N:$N,"&lt;="&amp;DATE($I$2,I$4,I$5))</f>
        <v/>
      </c>
      <c r="J895" s="321">
        <f>SUMIFS(DATA!$M:$M,DATA!$C:$C,$B894,DATA!$N:$N,"&gt;="&amp;DATE($I$2,J$4,1),DATA!$N:$N,"&lt;="&amp;DATE($I$2,J$4,J$5))</f>
        <v/>
      </c>
      <c r="K895" s="321">
        <f>SUMIFS(DATA!$M:$M,DATA!$C:$C,$B894,DATA!$N:$N,"&gt;="&amp;DATE($I$2,K$4,1),DATA!$N:$N,"&lt;="&amp;DATE($I$2,K$4,K$5))</f>
        <v/>
      </c>
      <c r="L895" s="321">
        <f>SUMIFS(DATA!$M:$M,DATA!$C:$C,$B894,DATA!$N:$N,"&gt;="&amp;DATE($I$2,L$4,1),DATA!$N:$N,"&lt;="&amp;DATE($I$2,L$4,L$5))</f>
        <v/>
      </c>
      <c r="M895" s="321">
        <f>SUMIFS(DATA!$M:$M,DATA!$C:$C,$B894,DATA!$N:$N,"&gt;="&amp;DATE($I$2,M$4,1),DATA!$N:$N,"&lt;="&amp;DATE($I$2,M$4,M$5))</f>
        <v/>
      </c>
      <c r="N895" s="321">
        <f>SUMIFS(DATA!$M:$M,DATA!$C:$C,$B894,DATA!$N:$N,"&gt;="&amp;DATE($I$2,N$4,1),DATA!$N:$N,"&lt;="&amp;DATE($I$2,N$4,N$5))</f>
        <v/>
      </c>
      <c r="O895" s="321">
        <f>SUMIFS(DATA!$M:$M,DATA!$C:$C,$B894,DATA!$N:$N,"&gt;="&amp;DATE($I$2,O$4,1),DATA!$N:$N,"&lt;="&amp;DATE($I$2,O$4,O$5))</f>
        <v/>
      </c>
      <c r="P895" s="322">
        <f>SUM(D895:O895)</f>
        <v/>
      </c>
    </row>
    <row r="896" hidden="1" outlineLevel="1" ht="15" customHeight="1">
      <c r="A896" s="269" t="n">
        <v>446</v>
      </c>
      <c r="B896" s="125" t="n"/>
      <c r="C896" s="119" t="inlineStr">
        <is>
          <t>Kế hoạch</t>
        </is>
      </c>
      <c r="D896" s="321">
        <f>SUMIFS(DATA!$I:$I,DATA!$C:$C,$B896,DATA!$J:$J,"&gt;="&amp;DATE($I$2,D$4,1),DATA!$J:$J,"&lt;="&amp;DATE($I$2,D$4,D$5))</f>
        <v/>
      </c>
      <c r="E896" s="321">
        <f>SUMIFS(DATA!$I:$I,DATA!$C:$C,$B896,DATA!$J:$J,"&gt;="&amp;DATE($I$2,E$4,1),DATA!$J:$J,"&lt;="&amp;DATE($I$2,E$4,E$5))</f>
        <v/>
      </c>
      <c r="F896" s="321">
        <f>SUMIFS(DATA!$I:$I,DATA!$C:$C,$B896,DATA!$J:$J,"&gt;="&amp;DATE($I$2,F$4,1),DATA!$J:$J,"&lt;="&amp;DATE($I$2,F$4,F$5))</f>
        <v/>
      </c>
      <c r="G896" s="321">
        <f>SUMIFS(DATA!$I:$I,DATA!$C:$C,$B896,DATA!$J:$J,"&gt;="&amp;DATE($I$2,G$4,1),DATA!$J:$J,"&lt;="&amp;DATE($I$2,G$4,G$5))</f>
        <v/>
      </c>
      <c r="H896" s="321">
        <f>SUMIFS(DATA!$I:$I,DATA!$C:$C,$B896,DATA!$J:$J,"&gt;="&amp;DATE($I$2,H$4,1),DATA!$J:$J,"&lt;="&amp;DATE($I$2,H$4,H$5))</f>
        <v/>
      </c>
      <c r="I896" s="321">
        <f>SUMIFS(DATA!$I:$I,DATA!$C:$C,$B896,DATA!$J:$J,"&gt;="&amp;DATE($I$2,I$4,1),DATA!$J:$J,"&lt;="&amp;DATE($I$2,I$4,I$5))</f>
        <v/>
      </c>
      <c r="J896" s="321">
        <f>SUMIFS(DATA!$I:$I,DATA!$C:$C,$B896,DATA!$J:$J,"&gt;="&amp;DATE($I$2,J$4,1),DATA!$J:$J,"&lt;="&amp;DATE($I$2,J$4,J$5))</f>
        <v/>
      </c>
      <c r="K896" s="321">
        <f>SUMIFS(DATA!$I:$I,DATA!$C:$C,$B896,DATA!$J:$J,"&gt;="&amp;DATE($I$2,K$4,1),DATA!$J:$J,"&lt;="&amp;DATE($I$2,K$4,K$5))</f>
        <v/>
      </c>
      <c r="L896" s="321">
        <f>SUMIFS(DATA!$I:$I,DATA!$C:$C,$B896,DATA!$J:$J,"&gt;="&amp;DATE($I$2,L$4,1),DATA!$J:$J,"&lt;="&amp;DATE($I$2,L$4,L$5))</f>
        <v/>
      </c>
      <c r="M896" s="321">
        <f>SUMIFS(DATA!$I:$I,DATA!$C:$C,$B896,DATA!$J:$J,"&gt;="&amp;DATE($I$2,M$4,1),DATA!$J:$J,"&lt;="&amp;DATE($I$2,M$4,M$5))</f>
        <v/>
      </c>
      <c r="N896" s="321">
        <f>SUMIFS(DATA!$I:$I,DATA!$C:$C,$B896,DATA!$J:$J,"&gt;="&amp;DATE($I$2,N$4,1),DATA!$J:$J,"&lt;="&amp;DATE($I$2,N$4,N$5))</f>
        <v/>
      </c>
      <c r="O896" s="321">
        <f>SUMIFS(DATA!$I:$I,DATA!$C:$C,$B896,DATA!$J:$J,"&gt;="&amp;DATE($I$2,O$4,1),DATA!$J:$J,"&lt;="&amp;DATE($I$2,O$4,O$5))</f>
        <v/>
      </c>
      <c r="P896" s="322">
        <f>SUM(D896:O896)</f>
        <v/>
      </c>
    </row>
    <row r="897" hidden="1" outlineLevel="1" ht="15" customHeight="1">
      <c r="A897" s="266" t="n"/>
      <c r="B897" s="126" t="n"/>
      <c r="C897" s="119" t="inlineStr">
        <is>
          <t>Thực tế</t>
        </is>
      </c>
      <c r="D897" s="321">
        <f>SUMIFS(DATA!$M:$M,DATA!$C:$C,$B896,DATA!$N:$N,"&gt;="&amp;DATE($I$2,D$4,1),DATA!$N:$N,"&lt;="&amp;DATE($I$2,D$4,D$5))</f>
        <v/>
      </c>
      <c r="E897" s="321">
        <f>SUMIFS(DATA!$M:$M,DATA!$C:$C,$B896,DATA!$N:$N,"&gt;="&amp;DATE($I$2,E$4,1),DATA!$N:$N,"&lt;="&amp;DATE($I$2,E$4,E$5))</f>
        <v/>
      </c>
      <c r="F897" s="321">
        <f>SUMIFS(DATA!$M:$M,DATA!$C:$C,$B896,DATA!$N:$N,"&gt;="&amp;DATE($I$2,F$4,1),DATA!$N:$N,"&lt;="&amp;DATE($I$2,F$4,F$5))</f>
        <v/>
      </c>
      <c r="G897" s="321">
        <f>SUMIFS(DATA!$M:$M,DATA!$C:$C,$B896,DATA!$N:$N,"&gt;="&amp;DATE($I$2,G$4,1),DATA!$N:$N,"&lt;="&amp;DATE($I$2,G$4,G$5))</f>
        <v/>
      </c>
      <c r="H897" s="321">
        <f>SUMIFS(DATA!$M:$M,DATA!$C:$C,$B896,DATA!$N:$N,"&gt;="&amp;DATE($I$2,H$4,1),DATA!$N:$N,"&lt;="&amp;DATE($I$2,H$4,H$5))</f>
        <v/>
      </c>
      <c r="I897" s="321">
        <f>SUMIFS(DATA!$M:$M,DATA!$C:$C,$B896,DATA!$N:$N,"&gt;="&amp;DATE($I$2,I$4,1),DATA!$N:$N,"&lt;="&amp;DATE($I$2,I$4,I$5))</f>
        <v/>
      </c>
      <c r="J897" s="321">
        <f>SUMIFS(DATA!$M:$M,DATA!$C:$C,$B896,DATA!$N:$N,"&gt;="&amp;DATE($I$2,J$4,1),DATA!$N:$N,"&lt;="&amp;DATE($I$2,J$4,J$5))</f>
        <v/>
      </c>
      <c r="K897" s="321">
        <f>SUMIFS(DATA!$M:$M,DATA!$C:$C,$B896,DATA!$N:$N,"&gt;="&amp;DATE($I$2,K$4,1),DATA!$N:$N,"&lt;="&amp;DATE($I$2,K$4,K$5))</f>
        <v/>
      </c>
      <c r="L897" s="321">
        <f>SUMIFS(DATA!$M:$M,DATA!$C:$C,$B896,DATA!$N:$N,"&gt;="&amp;DATE($I$2,L$4,1),DATA!$N:$N,"&lt;="&amp;DATE($I$2,L$4,L$5))</f>
        <v/>
      </c>
      <c r="M897" s="321">
        <f>SUMIFS(DATA!$M:$M,DATA!$C:$C,$B896,DATA!$N:$N,"&gt;="&amp;DATE($I$2,M$4,1),DATA!$N:$N,"&lt;="&amp;DATE($I$2,M$4,M$5))</f>
        <v/>
      </c>
      <c r="N897" s="321">
        <f>SUMIFS(DATA!$M:$M,DATA!$C:$C,$B896,DATA!$N:$N,"&gt;="&amp;DATE($I$2,N$4,1),DATA!$N:$N,"&lt;="&amp;DATE($I$2,N$4,N$5))</f>
        <v/>
      </c>
      <c r="O897" s="321">
        <f>SUMIFS(DATA!$M:$M,DATA!$C:$C,$B896,DATA!$N:$N,"&gt;="&amp;DATE($I$2,O$4,1),DATA!$N:$N,"&lt;="&amp;DATE($I$2,O$4,O$5))</f>
        <v/>
      </c>
      <c r="P897" s="322">
        <f>SUM(D897:O897)</f>
        <v/>
      </c>
    </row>
    <row r="898" hidden="1" outlineLevel="1" ht="15" customHeight="1">
      <c r="A898" s="269" t="n">
        <v>447</v>
      </c>
      <c r="B898" s="125" t="n"/>
      <c r="C898" s="119" t="inlineStr">
        <is>
          <t>Kế hoạch</t>
        </is>
      </c>
      <c r="D898" s="321">
        <f>SUMIFS(DATA!$I:$I,DATA!$C:$C,$B898,DATA!$J:$J,"&gt;="&amp;DATE($I$2,D$4,1),DATA!$J:$J,"&lt;="&amp;DATE($I$2,D$4,D$5))</f>
        <v/>
      </c>
      <c r="E898" s="321">
        <f>SUMIFS(DATA!$I:$I,DATA!$C:$C,$B898,DATA!$J:$J,"&gt;="&amp;DATE($I$2,E$4,1),DATA!$J:$J,"&lt;="&amp;DATE($I$2,E$4,E$5))</f>
        <v/>
      </c>
      <c r="F898" s="321">
        <f>SUMIFS(DATA!$I:$I,DATA!$C:$C,$B898,DATA!$J:$J,"&gt;="&amp;DATE($I$2,F$4,1),DATA!$J:$J,"&lt;="&amp;DATE($I$2,F$4,F$5))</f>
        <v/>
      </c>
      <c r="G898" s="321">
        <f>SUMIFS(DATA!$I:$I,DATA!$C:$C,$B898,DATA!$J:$J,"&gt;="&amp;DATE($I$2,G$4,1),DATA!$J:$J,"&lt;="&amp;DATE($I$2,G$4,G$5))</f>
        <v/>
      </c>
      <c r="H898" s="321">
        <f>SUMIFS(DATA!$I:$I,DATA!$C:$C,$B898,DATA!$J:$J,"&gt;="&amp;DATE($I$2,H$4,1),DATA!$J:$J,"&lt;="&amp;DATE($I$2,H$4,H$5))</f>
        <v/>
      </c>
      <c r="I898" s="321">
        <f>SUMIFS(DATA!$I:$I,DATA!$C:$C,$B898,DATA!$J:$J,"&gt;="&amp;DATE($I$2,I$4,1),DATA!$J:$J,"&lt;="&amp;DATE($I$2,I$4,I$5))</f>
        <v/>
      </c>
      <c r="J898" s="321">
        <f>SUMIFS(DATA!$I:$I,DATA!$C:$C,$B898,DATA!$J:$J,"&gt;="&amp;DATE($I$2,J$4,1),DATA!$J:$J,"&lt;="&amp;DATE($I$2,J$4,J$5))</f>
        <v/>
      </c>
      <c r="K898" s="321">
        <f>SUMIFS(DATA!$I:$I,DATA!$C:$C,$B898,DATA!$J:$J,"&gt;="&amp;DATE($I$2,K$4,1),DATA!$J:$J,"&lt;="&amp;DATE($I$2,K$4,K$5))</f>
        <v/>
      </c>
      <c r="L898" s="321">
        <f>SUMIFS(DATA!$I:$I,DATA!$C:$C,$B898,DATA!$J:$J,"&gt;="&amp;DATE($I$2,L$4,1),DATA!$J:$J,"&lt;="&amp;DATE($I$2,L$4,L$5))</f>
        <v/>
      </c>
      <c r="M898" s="321">
        <f>SUMIFS(DATA!$I:$I,DATA!$C:$C,$B898,DATA!$J:$J,"&gt;="&amp;DATE($I$2,M$4,1),DATA!$J:$J,"&lt;="&amp;DATE($I$2,M$4,M$5))</f>
        <v/>
      </c>
      <c r="N898" s="321">
        <f>SUMIFS(DATA!$I:$I,DATA!$C:$C,$B898,DATA!$J:$J,"&gt;="&amp;DATE($I$2,N$4,1),DATA!$J:$J,"&lt;="&amp;DATE($I$2,N$4,N$5))</f>
        <v/>
      </c>
      <c r="O898" s="321">
        <f>SUMIFS(DATA!$I:$I,DATA!$C:$C,$B898,DATA!$J:$J,"&gt;="&amp;DATE($I$2,O$4,1),DATA!$J:$J,"&lt;="&amp;DATE($I$2,O$4,O$5))</f>
        <v/>
      </c>
      <c r="P898" s="322">
        <f>SUM(D898:O898)</f>
        <v/>
      </c>
    </row>
    <row r="899" hidden="1" outlineLevel="1" ht="15" customHeight="1">
      <c r="A899" s="266" t="n"/>
      <c r="B899" s="126" t="n"/>
      <c r="C899" s="119" t="inlineStr">
        <is>
          <t>Thực tế</t>
        </is>
      </c>
      <c r="D899" s="321">
        <f>SUMIFS(DATA!$M:$M,DATA!$C:$C,$B898,DATA!$N:$N,"&gt;="&amp;DATE($I$2,D$4,1),DATA!$N:$N,"&lt;="&amp;DATE($I$2,D$4,D$5))</f>
        <v/>
      </c>
      <c r="E899" s="321">
        <f>SUMIFS(DATA!$M:$M,DATA!$C:$C,$B898,DATA!$N:$N,"&gt;="&amp;DATE($I$2,E$4,1),DATA!$N:$N,"&lt;="&amp;DATE($I$2,E$4,E$5))</f>
        <v/>
      </c>
      <c r="F899" s="321">
        <f>SUMIFS(DATA!$M:$M,DATA!$C:$C,$B898,DATA!$N:$N,"&gt;="&amp;DATE($I$2,F$4,1),DATA!$N:$N,"&lt;="&amp;DATE($I$2,F$4,F$5))</f>
        <v/>
      </c>
      <c r="G899" s="321">
        <f>SUMIFS(DATA!$M:$M,DATA!$C:$C,$B898,DATA!$N:$N,"&gt;="&amp;DATE($I$2,G$4,1),DATA!$N:$N,"&lt;="&amp;DATE($I$2,G$4,G$5))</f>
        <v/>
      </c>
      <c r="H899" s="321">
        <f>SUMIFS(DATA!$M:$M,DATA!$C:$C,$B898,DATA!$N:$N,"&gt;="&amp;DATE($I$2,H$4,1),DATA!$N:$N,"&lt;="&amp;DATE($I$2,H$4,H$5))</f>
        <v/>
      </c>
      <c r="I899" s="321">
        <f>SUMIFS(DATA!$M:$M,DATA!$C:$C,$B898,DATA!$N:$N,"&gt;="&amp;DATE($I$2,I$4,1),DATA!$N:$N,"&lt;="&amp;DATE($I$2,I$4,I$5))</f>
        <v/>
      </c>
      <c r="J899" s="321">
        <f>SUMIFS(DATA!$M:$M,DATA!$C:$C,$B898,DATA!$N:$N,"&gt;="&amp;DATE($I$2,J$4,1),DATA!$N:$N,"&lt;="&amp;DATE($I$2,J$4,J$5))</f>
        <v/>
      </c>
      <c r="K899" s="321">
        <f>SUMIFS(DATA!$M:$M,DATA!$C:$C,$B898,DATA!$N:$N,"&gt;="&amp;DATE($I$2,K$4,1),DATA!$N:$N,"&lt;="&amp;DATE($I$2,K$4,K$5))</f>
        <v/>
      </c>
      <c r="L899" s="321">
        <f>SUMIFS(DATA!$M:$M,DATA!$C:$C,$B898,DATA!$N:$N,"&gt;="&amp;DATE($I$2,L$4,1),DATA!$N:$N,"&lt;="&amp;DATE($I$2,L$4,L$5))</f>
        <v/>
      </c>
      <c r="M899" s="321">
        <f>SUMIFS(DATA!$M:$M,DATA!$C:$C,$B898,DATA!$N:$N,"&gt;="&amp;DATE($I$2,M$4,1),DATA!$N:$N,"&lt;="&amp;DATE($I$2,M$4,M$5))</f>
        <v/>
      </c>
      <c r="N899" s="321">
        <f>SUMIFS(DATA!$M:$M,DATA!$C:$C,$B898,DATA!$N:$N,"&gt;="&amp;DATE($I$2,N$4,1),DATA!$N:$N,"&lt;="&amp;DATE($I$2,N$4,N$5))</f>
        <v/>
      </c>
      <c r="O899" s="321">
        <f>SUMIFS(DATA!$M:$M,DATA!$C:$C,$B898,DATA!$N:$N,"&gt;="&amp;DATE($I$2,O$4,1),DATA!$N:$N,"&lt;="&amp;DATE($I$2,O$4,O$5))</f>
        <v/>
      </c>
      <c r="P899" s="322">
        <f>SUM(D899:O899)</f>
        <v/>
      </c>
    </row>
    <row r="900" hidden="1" outlineLevel="1" ht="15" customHeight="1">
      <c r="A900" s="269" t="n">
        <v>448</v>
      </c>
      <c r="B900" s="125" t="n"/>
      <c r="C900" s="119" t="inlineStr">
        <is>
          <t>Kế hoạch</t>
        </is>
      </c>
      <c r="D900" s="321">
        <f>SUMIFS(DATA!$I:$I,DATA!$C:$C,$B900,DATA!$J:$J,"&gt;="&amp;DATE($I$2,D$4,1),DATA!$J:$J,"&lt;="&amp;DATE($I$2,D$4,D$5))</f>
        <v/>
      </c>
      <c r="E900" s="321">
        <f>SUMIFS(DATA!$I:$I,DATA!$C:$C,$B900,DATA!$J:$J,"&gt;="&amp;DATE($I$2,E$4,1),DATA!$J:$J,"&lt;="&amp;DATE($I$2,E$4,E$5))</f>
        <v/>
      </c>
      <c r="F900" s="321">
        <f>SUMIFS(DATA!$I:$I,DATA!$C:$C,$B900,DATA!$J:$J,"&gt;="&amp;DATE($I$2,F$4,1),DATA!$J:$J,"&lt;="&amp;DATE($I$2,F$4,F$5))</f>
        <v/>
      </c>
      <c r="G900" s="321">
        <f>SUMIFS(DATA!$I:$I,DATA!$C:$C,$B900,DATA!$J:$J,"&gt;="&amp;DATE($I$2,G$4,1),DATA!$J:$J,"&lt;="&amp;DATE($I$2,G$4,G$5))</f>
        <v/>
      </c>
      <c r="H900" s="321">
        <f>SUMIFS(DATA!$I:$I,DATA!$C:$C,$B900,DATA!$J:$J,"&gt;="&amp;DATE($I$2,H$4,1),DATA!$J:$J,"&lt;="&amp;DATE($I$2,H$4,H$5))</f>
        <v/>
      </c>
      <c r="I900" s="321">
        <f>SUMIFS(DATA!$I:$I,DATA!$C:$C,$B900,DATA!$J:$J,"&gt;="&amp;DATE($I$2,I$4,1),DATA!$J:$J,"&lt;="&amp;DATE($I$2,I$4,I$5))</f>
        <v/>
      </c>
      <c r="J900" s="321">
        <f>SUMIFS(DATA!$I:$I,DATA!$C:$C,$B900,DATA!$J:$J,"&gt;="&amp;DATE($I$2,J$4,1),DATA!$J:$J,"&lt;="&amp;DATE($I$2,J$4,J$5))</f>
        <v/>
      </c>
      <c r="K900" s="321">
        <f>SUMIFS(DATA!$I:$I,DATA!$C:$C,$B900,DATA!$J:$J,"&gt;="&amp;DATE($I$2,K$4,1),DATA!$J:$J,"&lt;="&amp;DATE($I$2,K$4,K$5))</f>
        <v/>
      </c>
      <c r="L900" s="321">
        <f>SUMIFS(DATA!$I:$I,DATA!$C:$C,$B900,DATA!$J:$J,"&gt;="&amp;DATE($I$2,L$4,1),DATA!$J:$J,"&lt;="&amp;DATE($I$2,L$4,L$5))</f>
        <v/>
      </c>
      <c r="M900" s="321">
        <f>SUMIFS(DATA!$I:$I,DATA!$C:$C,$B900,DATA!$J:$J,"&gt;="&amp;DATE($I$2,M$4,1),DATA!$J:$J,"&lt;="&amp;DATE($I$2,M$4,M$5))</f>
        <v/>
      </c>
      <c r="N900" s="321">
        <f>SUMIFS(DATA!$I:$I,DATA!$C:$C,$B900,DATA!$J:$J,"&gt;="&amp;DATE($I$2,N$4,1),DATA!$J:$J,"&lt;="&amp;DATE($I$2,N$4,N$5))</f>
        <v/>
      </c>
      <c r="O900" s="321">
        <f>SUMIFS(DATA!$I:$I,DATA!$C:$C,$B900,DATA!$J:$J,"&gt;="&amp;DATE($I$2,O$4,1),DATA!$J:$J,"&lt;="&amp;DATE($I$2,O$4,O$5))</f>
        <v/>
      </c>
      <c r="P900" s="322">
        <f>SUM(D900:O900)</f>
        <v/>
      </c>
    </row>
    <row r="901" hidden="1" outlineLevel="1" ht="15" customHeight="1">
      <c r="A901" s="266" t="n"/>
      <c r="B901" s="126" t="n"/>
      <c r="C901" s="119" t="inlineStr">
        <is>
          <t>Thực tế</t>
        </is>
      </c>
      <c r="D901" s="321">
        <f>SUMIFS(DATA!$M:$M,DATA!$C:$C,$B900,DATA!$N:$N,"&gt;="&amp;DATE($I$2,D$4,1),DATA!$N:$N,"&lt;="&amp;DATE($I$2,D$4,D$5))</f>
        <v/>
      </c>
      <c r="E901" s="321">
        <f>SUMIFS(DATA!$M:$M,DATA!$C:$C,$B900,DATA!$N:$N,"&gt;="&amp;DATE($I$2,E$4,1),DATA!$N:$N,"&lt;="&amp;DATE($I$2,E$4,E$5))</f>
        <v/>
      </c>
      <c r="F901" s="321">
        <f>SUMIFS(DATA!$M:$M,DATA!$C:$C,$B900,DATA!$N:$N,"&gt;="&amp;DATE($I$2,F$4,1),DATA!$N:$N,"&lt;="&amp;DATE($I$2,F$4,F$5))</f>
        <v/>
      </c>
      <c r="G901" s="321">
        <f>SUMIFS(DATA!$M:$M,DATA!$C:$C,$B900,DATA!$N:$N,"&gt;="&amp;DATE($I$2,G$4,1),DATA!$N:$N,"&lt;="&amp;DATE($I$2,G$4,G$5))</f>
        <v/>
      </c>
      <c r="H901" s="321">
        <f>SUMIFS(DATA!$M:$M,DATA!$C:$C,$B900,DATA!$N:$N,"&gt;="&amp;DATE($I$2,H$4,1),DATA!$N:$N,"&lt;="&amp;DATE($I$2,H$4,H$5))</f>
        <v/>
      </c>
      <c r="I901" s="321">
        <f>SUMIFS(DATA!$M:$M,DATA!$C:$C,$B900,DATA!$N:$N,"&gt;="&amp;DATE($I$2,I$4,1),DATA!$N:$N,"&lt;="&amp;DATE($I$2,I$4,I$5))</f>
        <v/>
      </c>
      <c r="J901" s="321">
        <f>SUMIFS(DATA!$M:$M,DATA!$C:$C,$B900,DATA!$N:$N,"&gt;="&amp;DATE($I$2,J$4,1),DATA!$N:$N,"&lt;="&amp;DATE($I$2,J$4,J$5))</f>
        <v/>
      </c>
      <c r="K901" s="321">
        <f>SUMIFS(DATA!$M:$M,DATA!$C:$C,$B900,DATA!$N:$N,"&gt;="&amp;DATE($I$2,K$4,1),DATA!$N:$N,"&lt;="&amp;DATE($I$2,K$4,K$5))</f>
        <v/>
      </c>
      <c r="L901" s="321">
        <f>SUMIFS(DATA!$M:$M,DATA!$C:$C,$B900,DATA!$N:$N,"&gt;="&amp;DATE($I$2,L$4,1),DATA!$N:$N,"&lt;="&amp;DATE($I$2,L$4,L$5))</f>
        <v/>
      </c>
      <c r="M901" s="321">
        <f>SUMIFS(DATA!$M:$M,DATA!$C:$C,$B900,DATA!$N:$N,"&gt;="&amp;DATE($I$2,M$4,1),DATA!$N:$N,"&lt;="&amp;DATE($I$2,M$4,M$5))</f>
        <v/>
      </c>
      <c r="N901" s="321">
        <f>SUMIFS(DATA!$M:$M,DATA!$C:$C,$B900,DATA!$N:$N,"&gt;="&amp;DATE($I$2,N$4,1),DATA!$N:$N,"&lt;="&amp;DATE($I$2,N$4,N$5))</f>
        <v/>
      </c>
      <c r="O901" s="321">
        <f>SUMIFS(DATA!$M:$M,DATA!$C:$C,$B900,DATA!$N:$N,"&gt;="&amp;DATE($I$2,O$4,1),DATA!$N:$N,"&lt;="&amp;DATE($I$2,O$4,O$5))</f>
        <v/>
      </c>
      <c r="P901" s="322">
        <f>SUM(D901:O901)</f>
        <v/>
      </c>
    </row>
    <row r="902" hidden="1" outlineLevel="1" ht="15" customHeight="1">
      <c r="A902" s="269" t="n">
        <v>449</v>
      </c>
      <c r="B902" s="125" t="n"/>
      <c r="C902" s="119" t="inlineStr">
        <is>
          <t>Kế hoạch</t>
        </is>
      </c>
      <c r="D902" s="321">
        <f>SUMIFS(DATA!$I:$I,DATA!$C:$C,$B902,DATA!$J:$J,"&gt;="&amp;DATE($I$2,D$4,1),DATA!$J:$J,"&lt;="&amp;DATE($I$2,D$4,D$5))</f>
        <v/>
      </c>
      <c r="E902" s="321">
        <f>SUMIFS(DATA!$I:$I,DATA!$C:$C,$B902,DATA!$J:$J,"&gt;="&amp;DATE($I$2,E$4,1),DATA!$J:$J,"&lt;="&amp;DATE($I$2,E$4,E$5))</f>
        <v/>
      </c>
      <c r="F902" s="321">
        <f>SUMIFS(DATA!$I:$I,DATA!$C:$C,$B902,DATA!$J:$J,"&gt;="&amp;DATE($I$2,F$4,1),DATA!$J:$J,"&lt;="&amp;DATE($I$2,F$4,F$5))</f>
        <v/>
      </c>
      <c r="G902" s="321">
        <f>SUMIFS(DATA!$I:$I,DATA!$C:$C,$B902,DATA!$J:$J,"&gt;="&amp;DATE($I$2,G$4,1),DATA!$J:$J,"&lt;="&amp;DATE($I$2,G$4,G$5))</f>
        <v/>
      </c>
      <c r="H902" s="321">
        <f>SUMIFS(DATA!$I:$I,DATA!$C:$C,$B902,DATA!$J:$J,"&gt;="&amp;DATE($I$2,H$4,1),DATA!$J:$J,"&lt;="&amp;DATE($I$2,H$4,H$5))</f>
        <v/>
      </c>
      <c r="I902" s="321">
        <f>SUMIFS(DATA!$I:$I,DATA!$C:$C,$B902,DATA!$J:$J,"&gt;="&amp;DATE($I$2,I$4,1),DATA!$J:$J,"&lt;="&amp;DATE($I$2,I$4,I$5))</f>
        <v/>
      </c>
      <c r="J902" s="321">
        <f>SUMIFS(DATA!$I:$I,DATA!$C:$C,$B902,DATA!$J:$J,"&gt;="&amp;DATE($I$2,J$4,1),DATA!$J:$J,"&lt;="&amp;DATE($I$2,J$4,J$5))</f>
        <v/>
      </c>
      <c r="K902" s="321">
        <f>SUMIFS(DATA!$I:$I,DATA!$C:$C,$B902,DATA!$J:$J,"&gt;="&amp;DATE($I$2,K$4,1),DATA!$J:$J,"&lt;="&amp;DATE($I$2,K$4,K$5))</f>
        <v/>
      </c>
      <c r="L902" s="321">
        <f>SUMIFS(DATA!$I:$I,DATA!$C:$C,$B902,DATA!$J:$J,"&gt;="&amp;DATE($I$2,L$4,1),DATA!$J:$J,"&lt;="&amp;DATE($I$2,L$4,L$5))</f>
        <v/>
      </c>
      <c r="M902" s="321">
        <f>SUMIFS(DATA!$I:$I,DATA!$C:$C,$B902,DATA!$J:$J,"&gt;="&amp;DATE($I$2,M$4,1),DATA!$J:$J,"&lt;="&amp;DATE($I$2,M$4,M$5))</f>
        <v/>
      </c>
      <c r="N902" s="321">
        <f>SUMIFS(DATA!$I:$I,DATA!$C:$C,$B902,DATA!$J:$J,"&gt;="&amp;DATE($I$2,N$4,1),DATA!$J:$J,"&lt;="&amp;DATE($I$2,N$4,N$5))</f>
        <v/>
      </c>
      <c r="O902" s="321">
        <f>SUMIFS(DATA!$I:$I,DATA!$C:$C,$B902,DATA!$J:$J,"&gt;="&amp;DATE($I$2,O$4,1),DATA!$J:$J,"&lt;="&amp;DATE($I$2,O$4,O$5))</f>
        <v/>
      </c>
      <c r="P902" s="322">
        <f>SUM(D902:O902)</f>
        <v/>
      </c>
    </row>
    <row r="903" hidden="1" outlineLevel="1" ht="15" customHeight="1">
      <c r="A903" s="266" t="n"/>
      <c r="B903" s="126" t="n"/>
      <c r="C903" s="119" t="inlineStr">
        <is>
          <t>Thực tế</t>
        </is>
      </c>
      <c r="D903" s="321">
        <f>SUMIFS(DATA!$M:$M,DATA!$C:$C,$B902,DATA!$N:$N,"&gt;="&amp;DATE($I$2,D$4,1),DATA!$N:$N,"&lt;="&amp;DATE($I$2,D$4,D$5))</f>
        <v/>
      </c>
      <c r="E903" s="321">
        <f>SUMIFS(DATA!$M:$M,DATA!$C:$C,$B902,DATA!$N:$N,"&gt;="&amp;DATE($I$2,E$4,1),DATA!$N:$N,"&lt;="&amp;DATE($I$2,E$4,E$5))</f>
        <v/>
      </c>
      <c r="F903" s="321">
        <f>SUMIFS(DATA!$M:$M,DATA!$C:$C,$B902,DATA!$N:$N,"&gt;="&amp;DATE($I$2,F$4,1),DATA!$N:$N,"&lt;="&amp;DATE($I$2,F$4,F$5))</f>
        <v/>
      </c>
      <c r="G903" s="321">
        <f>SUMIFS(DATA!$M:$M,DATA!$C:$C,$B902,DATA!$N:$N,"&gt;="&amp;DATE($I$2,G$4,1),DATA!$N:$N,"&lt;="&amp;DATE($I$2,G$4,G$5))</f>
        <v/>
      </c>
      <c r="H903" s="321">
        <f>SUMIFS(DATA!$M:$M,DATA!$C:$C,$B902,DATA!$N:$N,"&gt;="&amp;DATE($I$2,H$4,1),DATA!$N:$N,"&lt;="&amp;DATE($I$2,H$4,H$5))</f>
        <v/>
      </c>
      <c r="I903" s="321">
        <f>SUMIFS(DATA!$M:$M,DATA!$C:$C,$B902,DATA!$N:$N,"&gt;="&amp;DATE($I$2,I$4,1),DATA!$N:$N,"&lt;="&amp;DATE($I$2,I$4,I$5))</f>
        <v/>
      </c>
      <c r="J903" s="321">
        <f>SUMIFS(DATA!$M:$M,DATA!$C:$C,$B902,DATA!$N:$N,"&gt;="&amp;DATE($I$2,J$4,1),DATA!$N:$N,"&lt;="&amp;DATE($I$2,J$4,J$5))</f>
        <v/>
      </c>
      <c r="K903" s="321">
        <f>SUMIFS(DATA!$M:$M,DATA!$C:$C,$B902,DATA!$N:$N,"&gt;="&amp;DATE($I$2,K$4,1),DATA!$N:$N,"&lt;="&amp;DATE($I$2,K$4,K$5))</f>
        <v/>
      </c>
      <c r="L903" s="321">
        <f>SUMIFS(DATA!$M:$M,DATA!$C:$C,$B902,DATA!$N:$N,"&gt;="&amp;DATE($I$2,L$4,1),DATA!$N:$N,"&lt;="&amp;DATE($I$2,L$4,L$5))</f>
        <v/>
      </c>
      <c r="M903" s="321">
        <f>SUMIFS(DATA!$M:$M,DATA!$C:$C,$B902,DATA!$N:$N,"&gt;="&amp;DATE($I$2,M$4,1),DATA!$N:$N,"&lt;="&amp;DATE($I$2,M$4,M$5))</f>
        <v/>
      </c>
      <c r="N903" s="321">
        <f>SUMIFS(DATA!$M:$M,DATA!$C:$C,$B902,DATA!$N:$N,"&gt;="&amp;DATE($I$2,N$4,1),DATA!$N:$N,"&lt;="&amp;DATE($I$2,N$4,N$5))</f>
        <v/>
      </c>
      <c r="O903" s="321">
        <f>SUMIFS(DATA!$M:$M,DATA!$C:$C,$B902,DATA!$N:$N,"&gt;="&amp;DATE($I$2,O$4,1),DATA!$N:$N,"&lt;="&amp;DATE($I$2,O$4,O$5))</f>
        <v/>
      </c>
      <c r="P903" s="322">
        <f>SUM(D903:O903)</f>
        <v/>
      </c>
    </row>
    <row r="904" hidden="1" outlineLevel="1" ht="15" customHeight="1">
      <c r="A904" s="269" t="n">
        <v>450</v>
      </c>
      <c r="B904" s="125" t="n"/>
      <c r="C904" s="119" t="inlineStr">
        <is>
          <t>Kế hoạch</t>
        </is>
      </c>
      <c r="D904" s="321">
        <f>SUMIFS(DATA!$I:$I,DATA!$C:$C,$B904,DATA!$J:$J,"&gt;="&amp;DATE($I$2,D$4,1),DATA!$J:$J,"&lt;="&amp;DATE($I$2,D$4,D$5))</f>
        <v/>
      </c>
      <c r="E904" s="321">
        <f>SUMIFS(DATA!$I:$I,DATA!$C:$C,$B904,DATA!$J:$J,"&gt;="&amp;DATE($I$2,E$4,1),DATA!$J:$J,"&lt;="&amp;DATE($I$2,E$4,E$5))</f>
        <v/>
      </c>
      <c r="F904" s="321">
        <f>SUMIFS(DATA!$I:$I,DATA!$C:$C,$B904,DATA!$J:$J,"&gt;="&amp;DATE($I$2,F$4,1),DATA!$J:$J,"&lt;="&amp;DATE($I$2,F$4,F$5))</f>
        <v/>
      </c>
      <c r="G904" s="321">
        <f>SUMIFS(DATA!$I:$I,DATA!$C:$C,$B904,DATA!$J:$J,"&gt;="&amp;DATE($I$2,G$4,1),DATA!$J:$J,"&lt;="&amp;DATE($I$2,G$4,G$5))</f>
        <v/>
      </c>
      <c r="H904" s="321">
        <f>SUMIFS(DATA!$I:$I,DATA!$C:$C,$B904,DATA!$J:$J,"&gt;="&amp;DATE($I$2,H$4,1),DATA!$J:$J,"&lt;="&amp;DATE($I$2,H$4,H$5))</f>
        <v/>
      </c>
      <c r="I904" s="321">
        <f>SUMIFS(DATA!$I:$I,DATA!$C:$C,$B904,DATA!$J:$J,"&gt;="&amp;DATE($I$2,I$4,1),DATA!$J:$J,"&lt;="&amp;DATE($I$2,I$4,I$5))</f>
        <v/>
      </c>
      <c r="J904" s="321">
        <f>SUMIFS(DATA!$I:$I,DATA!$C:$C,$B904,DATA!$J:$J,"&gt;="&amp;DATE($I$2,J$4,1),DATA!$J:$J,"&lt;="&amp;DATE($I$2,J$4,J$5))</f>
        <v/>
      </c>
      <c r="K904" s="321">
        <f>SUMIFS(DATA!$I:$I,DATA!$C:$C,$B904,DATA!$J:$J,"&gt;="&amp;DATE($I$2,K$4,1),DATA!$J:$J,"&lt;="&amp;DATE($I$2,K$4,K$5))</f>
        <v/>
      </c>
      <c r="L904" s="321">
        <f>SUMIFS(DATA!$I:$I,DATA!$C:$C,$B904,DATA!$J:$J,"&gt;="&amp;DATE($I$2,L$4,1),DATA!$J:$J,"&lt;="&amp;DATE($I$2,L$4,L$5))</f>
        <v/>
      </c>
      <c r="M904" s="321">
        <f>SUMIFS(DATA!$I:$I,DATA!$C:$C,$B904,DATA!$J:$J,"&gt;="&amp;DATE($I$2,M$4,1),DATA!$J:$J,"&lt;="&amp;DATE($I$2,M$4,M$5))</f>
        <v/>
      </c>
      <c r="N904" s="321">
        <f>SUMIFS(DATA!$I:$I,DATA!$C:$C,$B904,DATA!$J:$J,"&gt;="&amp;DATE($I$2,N$4,1),DATA!$J:$J,"&lt;="&amp;DATE($I$2,N$4,N$5))</f>
        <v/>
      </c>
      <c r="O904" s="321">
        <f>SUMIFS(DATA!$I:$I,DATA!$C:$C,$B904,DATA!$J:$J,"&gt;="&amp;DATE($I$2,O$4,1),DATA!$J:$J,"&lt;="&amp;DATE($I$2,O$4,O$5))</f>
        <v/>
      </c>
      <c r="P904" s="322">
        <f>SUM(D904:O904)</f>
        <v/>
      </c>
    </row>
    <row r="905" hidden="1" outlineLevel="1" ht="15" customHeight="1">
      <c r="A905" s="266" t="n"/>
      <c r="B905" s="126" t="n"/>
      <c r="C905" s="119" t="inlineStr">
        <is>
          <t>Thực tế</t>
        </is>
      </c>
      <c r="D905" s="321">
        <f>SUMIFS(DATA!$M:$M,DATA!$C:$C,$B904,DATA!$N:$N,"&gt;="&amp;DATE($I$2,D$4,1),DATA!$N:$N,"&lt;="&amp;DATE($I$2,D$4,D$5))</f>
        <v/>
      </c>
      <c r="E905" s="321">
        <f>SUMIFS(DATA!$M:$M,DATA!$C:$C,$B904,DATA!$N:$N,"&gt;="&amp;DATE($I$2,E$4,1),DATA!$N:$N,"&lt;="&amp;DATE($I$2,E$4,E$5))</f>
        <v/>
      </c>
      <c r="F905" s="321">
        <f>SUMIFS(DATA!$M:$M,DATA!$C:$C,$B904,DATA!$N:$N,"&gt;="&amp;DATE($I$2,F$4,1),DATA!$N:$N,"&lt;="&amp;DATE($I$2,F$4,F$5))</f>
        <v/>
      </c>
      <c r="G905" s="321">
        <f>SUMIFS(DATA!$M:$M,DATA!$C:$C,$B904,DATA!$N:$N,"&gt;="&amp;DATE($I$2,G$4,1),DATA!$N:$N,"&lt;="&amp;DATE($I$2,G$4,G$5))</f>
        <v/>
      </c>
      <c r="H905" s="321">
        <f>SUMIFS(DATA!$M:$M,DATA!$C:$C,$B904,DATA!$N:$N,"&gt;="&amp;DATE($I$2,H$4,1),DATA!$N:$N,"&lt;="&amp;DATE($I$2,H$4,H$5))</f>
        <v/>
      </c>
      <c r="I905" s="321">
        <f>SUMIFS(DATA!$M:$M,DATA!$C:$C,$B904,DATA!$N:$N,"&gt;="&amp;DATE($I$2,I$4,1),DATA!$N:$N,"&lt;="&amp;DATE($I$2,I$4,I$5))</f>
        <v/>
      </c>
      <c r="J905" s="321">
        <f>SUMIFS(DATA!$M:$M,DATA!$C:$C,$B904,DATA!$N:$N,"&gt;="&amp;DATE($I$2,J$4,1),DATA!$N:$N,"&lt;="&amp;DATE($I$2,J$4,J$5))</f>
        <v/>
      </c>
      <c r="K905" s="321">
        <f>SUMIFS(DATA!$M:$M,DATA!$C:$C,$B904,DATA!$N:$N,"&gt;="&amp;DATE($I$2,K$4,1),DATA!$N:$N,"&lt;="&amp;DATE($I$2,K$4,K$5))</f>
        <v/>
      </c>
      <c r="L905" s="321">
        <f>SUMIFS(DATA!$M:$M,DATA!$C:$C,$B904,DATA!$N:$N,"&gt;="&amp;DATE($I$2,L$4,1),DATA!$N:$N,"&lt;="&amp;DATE($I$2,L$4,L$5))</f>
        <v/>
      </c>
      <c r="M905" s="321">
        <f>SUMIFS(DATA!$M:$M,DATA!$C:$C,$B904,DATA!$N:$N,"&gt;="&amp;DATE($I$2,M$4,1),DATA!$N:$N,"&lt;="&amp;DATE($I$2,M$4,M$5))</f>
        <v/>
      </c>
      <c r="N905" s="321">
        <f>SUMIFS(DATA!$M:$M,DATA!$C:$C,$B904,DATA!$N:$N,"&gt;="&amp;DATE($I$2,N$4,1),DATA!$N:$N,"&lt;="&amp;DATE($I$2,N$4,N$5))</f>
        <v/>
      </c>
      <c r="O905" s="321">
        <f>SUMIFS(DATA!$M:$M,DATA!$C:$C,$B904,DATA!$N:$N,"&gt;="&amp;DATE($I$2,O$4,1),DATA!$N:$N,"&lt;="&amp;DATE($I$2,O$4,O$5))</f>
        <v/>
      </c>
      <c r="P905" s="322">
        <f>SUM(D905:O905)</f>
        <v/>
      </c>
    </row>
    <row r="906" hidden="1" outlineLevel="1" ht="15" customHeight="1">
      <c r="A906" s="269" t="n">
        <v>451</v>
      </c>
      <c r="B906" s="125" t="n"/>
      <c r="C906" s="119" t="inlineStr">
        <is>
          <t>Kế hoạch</t>
        </is>
      </c>
      <c r="D906" s="321">
        <f>SUMIFS(DATA!$I:$I,DATA!$C:$C,$B906,DATA!$J:$J,"&gt;="&amp;DATE($I$2,D$4,1),DATA!$J:$J,"&lt;="&amp;DATE($I$2,D$4,D$5))</f>
        <v/>
      </c>
      <c r="E906" s="321">
        <f>SUMIFS(DATA!$I:$I,DATA!$C:$C,$B906,DATA!$J:$J,"&gt;="&amp;DATE($I$2,E$4,1),DATA!$J:$J,"&lt;="&amp;DATE($I$2,E$4,E$5))</f>
        <v/>
      </c>
      <c r="F906" s="321">
        <f>SUMIFS(DATA!$I:$I,DATA!$C:$C,$B906,DATA!$J:$J,"&gt;="&amp;DATE($I$2,F$4,1),DATA!$J:$J,"&lt;="&amp;DATE($I$2,F$4,F$5))</f>
        <v/>
      </c>
      <c r="G906" s="321">
        <f>SUMIFS(DATA!$I:$I,DATA!$C:$C,$B906,DATA!$J:$J,"&gt;="&amp;DATE($I$2,G$4,1),DATA!$J:$J,"&lt;="&amp;DATE($I$2,G$4,G$5))</f>
        <v/>
      </c>
      <c r="H906" s="321">
        <f>SUMIFS(DATA!$I:$I,DATA!$C:$C,$B906,DATA!$J:$J,"&gt;="&amp;DATE($I$2,H$4,1),DATA!$J:$J,"&lt;="&amp;DATE($I$2,H$4,H$5))</f>
        <v/>
      </c>
      <c r="I906" s="321">
        <f>SUMIFS(DATA!$I:$I,DATA!$C:$C,$B906,DATA!$J:$J,"&gt;="&amp;DATE($I$2,I$4,1),DATA!$J:$J,"&lt;="&amp;DATE($I$2,I$4,I$5))</f>
        <v/>
      </c>
      <c r="J906" s="321">
        <f>SUMIFS(DATA!$I:$I,DATA!$C:$C,$B906,DATA!$J:$J,"&gt;="&amp;DATE($I$2,J$4,1),DATA!$J:$J,"&lt;="&amp;DATE($I$2,J$4,J$5))</f>
        <v/>
      </c>
      <c r="K906" s="321">
        <f>SUMIFS(DATA!$I:$I,DATA!$C:$C,$B906,DATA!$J:$J,"&gt;="&amp;DATE($I$2,K$4,1),DATA!$J:$J,"&lt;="&amp;DATE($I$2,K$4,K$5))</f>
        <v/>
      </c>
      <c r="L906" s="321">
        <f>SUMIFS(DATA!$I:$I,DATA!$C:$C,$B906,DATA!$J:$J,"&gt;="&amp;DATE($I$2,L$4,1),DATA!$J:$J,"&lt;="&amp;DATE($I$2,L$4,L$5))</f>
        <v/>
      </c>
      <c r="M906" s="321">
        <f>SUMIFS(DATA!$I:$I,DATA!$C:$C,$B906,DATA!$J:$J,"&gt;="&amp;DATE($I$2,M$4,1),DATA!$J:$J,"&lt;="&amp;DATE($I$2,M$4,M$5))</f>
        <v/>
      </c>
      <c r="N906" s="321">
        <f>SUMIFS(DATA!$I:$I,DATA!$C:$C,$B906,DATA!$J:$J,"&gt;="&amp;DATE($I$2,N$4,1),DATA!$J:$J,"&lt;="&amp;DATE($I$2,N$4,N$5))</f>
        <v/>
      </c>
      <c r="O906" s="321">
        <f>SUMIFS(DATA!$I:$I,DATA!$C:$C,$B906,DATA!$J:$J,"&gt;="&amp;DATE($I$2,O$4,1),DATA!$J:$J,"&lt;="&amp;DATE($I$2,O$4,O$5))</f>
        <v/>
      </c>
      <c r="P906" s="322">
        <f>SUM(D906:O906)</f>
        <v/>
      </c>
    </row>
    <row r="907" hidden="1" outlineLevel="1" ht="15" customHeight="1">
      <c r="A907" s="266" t="n"/>
      <c r="B907" s="126" t="n"/>
      <c r="C907" s="119" t="inlineStr">
        <is>
          <t>Thực tế</t>
        </is>
      </c>
      <c r="D907" s="321">
        <f>SUMIFS(DATA!$M:$M,DATA!$C:$C,$B906,DATA!$N:$N,"&gt;="&amp;DATE($I$2,D$4,1),DATA!$N:$N,"&lt;="&amp;DATE($I$2,D$4,D$5))</f>
        <v/>
      </c>
      <c r="E907" s="321">
        <f>SUMIFS(DATA!$M:$M,DATA!$C:$C,$B906,DATA!$N:$N,"&gt;="&amp;DATE($I$2,E$4,1),DATA!$N:$N,"&lt;="&amp;DATE($I$2,E$4,E$5))</f>
        <v/>
      </c>
      <c r="F907" s="321">
        <f>SUMIFS(DATA!$M:$M,DATA!$C:$C,$B906,DATA!$N:$N,"&gt;="&amp;DATE($I$2,F$4,1),DATA!$N:$N,"&lt;="&amp;DATE($I$2,F$4,F$5))</f>
        <v/>
      </c>
      <c r="G907" s="321">
        <f>SUMIFS(DATA!$M:$M,DATA!$C:$C,$B906,DATA!$N:$N,"&gt;="&amp;DATE($I$2,G$4,1),DATA!$N:$N,"&lt;="&amp;DATE($I$2,G$4,G$5))</f>
        <v/>
      </c>
      <c r="H907" s="321">
        <f>SUMIFS(DATA!$M:$M,DATA!$C:$C,$B906,DATA!$N:$N,"&gt;="&amp;DATE($I$2,H$4,1),DATA!$N:$N,"&lt;="&amp;DATE($I$2,H$4,H$5))</f>
        <v/>
      </c>
      <c r="I907" s="321">
        <f>SUMIFS(DATA!$M:$M,DATA!$C:$C,$B906,DATA!$N:$N,"&gt;="&amp;DATE($I$2,I$4,1),DATA!$N:$N,"&lt;="&amp;DATE($I$2,I$4,I$5))</f>
        <v/>
      </c>
      <c r="J907" s="321">
        <f>SUMIFS(DATA!$M:$M,DATA!$C:$C,$B906,DATA!$N:$N,"&gt;="&amp;DATE($I$2,J$4,1),DATA!$N:$N,"&lt;="&amp;DATE($I$2,J$4,J$5))</f>
        <v/>
      </c>
      <c r="K907" s="321">
        <f>SUMIFS(DATA!$M:$M,DATA!$C:$C,$B906,DATA!$N:$N,"&gt;="&amp;DATE($I$2,K$4,1),DATA!$N:$N,"&lt;="&amp;DATE($I$2,K$4,K$5))</f>
        <v/>
      </c>
      <c r="L907" s="321">
        <f>SUMIFS(DATA!$M:$M,DATA!$C:$C,$B906,DATA!$N:$N,"&gt;="&amp;DATE($I$2,L$4,1),DATA!$N:$N,"&lt;="&amp;DATE($I$2,L$4,L$5))</f>
        <v/>
      </c>
      <c r="M907" s="321">
        <f>SUMIFS(DATA!$M:$M,DATA!$C:$C,$B906,DATA!$N:$N,"&gt;="&amp;DATE($I$2,M$4,1),DATA!$N:$N,"&lt;="&amp;DATE($I$2,M$4,M$5))</f>
        <v/>
      </c>
      <c r="N907" s="321">
        <f>SUMIFS(DATA!$M:$M,DATA!$C:$C,$B906,DATA!$N:$N,"&gt;="&amp;DATE($I$2,N$4,1),DATA!$N:$N,"&lt;="&amp;DATE($I$2,N$4,N$5))</f>
        <v/>
      </c>
      <c r="O907" s="321">
        <f>SUMIFS(DATA!$M:$M,DATA!$C:$C,$B906,DATA!$N:$N,"&gt;="&amp;DATE($I$2,O$4,1),DATA!$N:$N,"&lt;="&amp;DATE($I$2,O$4,O$5))</f>
        <v/>
      </c>
      <c r="P907" s="322">
        <f>SUM(D907:O907)</f>
        <v/>
      </c>
    </row>
    <row r="908" hidden="1" outlineLevel="1" ht="15" customHeight="1">
      <c r="A908" s="269" t="n">
        <v>452</v>
      </c>
      <c r="B908" s="125" t="n"/>
      <c r="C908" s="119" t="inlineStr">
        <is>
          <t>Kế hoạch</t>
        </is>
      </c>
      <c r="D908" s="321">
        <f>SUMIFS(DATA!$I:$I,DATA!$C:$C,$B908,DATA!$J:$J,"&gt;="&amp;DATE($I$2,D$4,1),DATA!$J:$J,"&lt;="&amp;DATE($I$2,D$4,D$5))</f>
        <v/>
      </c>
      <c r="E908" s="321">
        <f>SUMIFS(DATA!$I:$I,DATA!$C:$C,$B908,DATA!$J:$J,"&gt;="&amp;DATE($I$2,E$4,1),DATA!$J:$J,"&lt;="&amp;DATE($I$2,E$4,E$5))</f>
        <v/>
      </c>
      <c r="F908" s="321">
        <f>SUMIFS(DATA!$I:$I,DATA!$C:$C,$B908,DATA!$J:$J,"&gt;="&amp;DATE($I$2,F$4,1),DATA!$J:$J,"&lt;="&amp;DATE($I$2,F$4,F$5))</f>
        <v/>
      </c>
      <c r="G908" s="321">
        <f>SUMIFS(DATA!$I:$I,DATA!$C:$C,$B908,DATA!$J:$J,"&gt;="&amp;DATE($I$2,G$4,1),DATA!$J:$J,"&lt;="&amp;DATE($I$2,G$4,G$5))</f>
        <v/>
      </c>
      <c r="H908" s="321">
        <f>SUMIFS(DATA!$I:$I,DATA!$C:$C,$B908,DATA!$J:$J,"&gt;="&amp;DATE($I$2,H$4,1),DATA!$J:$J,"&lt;="&amp;DATE($I$2,H$4,H$5))</f>
        <v/>
      </c>
      <c r="I908" s="321">
        <f>SUMIFS(DATA!$I:$I,DATA!$C:$C,$B908,DATA!$J:$J,"&gt;="&amp;DATE($I$2,I$4,1),DATA!$J:$J,"&lt;="&amp;DATE($I$2,I$4,I$5))</f>
        <v/>
      </c>
      <c r="J908" s="321">
        <f>SUMIFS(DATA!$I:$I,DATA!$C:$C,$B908,DATA!$J:$J,"&gt;="&amp;DATE($I$2,J$4,1),DATA!$J:$J,"&lt;="&amp;DATE($I$2,J$4,J$5))</f>
        <v/>
      </c>
      <c r="K908" s="321">
        <f>SUMIFS(DATA!$I:$I,DATA!$C:$C,$B908,DATA!$J:$J,"&gt;="&amp;DATE($I$2,K$4,1),DATA!$J:$J,"&lt;="&amp;DATE($I$2,K$4,K$5))</f>
        <v/>
      </c>
      <c r="L908" s="321">
        <f>SUMIFS(DATA!$I:$I,DATA!$C:$C,$B908,DATA!$J:$J,"&gt;="&amp;DATE($I$2,L$4,1),DATA!$J:$J,"&lt;="&amp;DATE($I$2,L$4,L$5))</f>
        <v/>
      </c>
      <c r="M908" s="321">
        <f>SUMIFS(DATA!$I:$I,DATA!$C:$C,$B908,DATA!$J:$J,"&gt;="&amp;DATE($I$2,M$4,1),DATA!$J:$J,"&lt;="&amp;DATE($I$2,M$4,M$5))</f>
        <v/>
      </c>
      <c r="N908" s="321">
        <f>SUMIFS(DATA!$I:$I,DATA!$C:$C,$B908,DATA!$J:$J,"&gt;="&amp;DATE($I$2,N$4,1),DATA!$J:$J,"&lt;="&amp;DATE($I$2,N$4,N$5))</f>
        <v/>
      </c>
      <c r="O908" s="321">
        <f>SUMIFS(DATA!$I:$I,DATA!$C:$C,$B908,DATA!$J:$J,"&gt;="&amp;DATE($I$2,O$4,1),DATA!$J:$J,"&lt;="&amp;DATE($I$2,O$4,O$5))</f>
        <v/>
      </c>
      <c r="P908" s="322">
        <f>SUM(D908:O908)</f>
        <v/>
      </c>
    </row>
    <row r="909" hidden="1" outlineLevel="1" ht="15" customHeight="1">
      <c r="A909" s="266" t="n"/>
      <c r="B909" s="126" t="n"/>
      <c r="C909" s="119" t="inlineStr">
        <is>
          <t>Thực tế</t>
        </is>
      </c>
      <c r="D909" s="321">
        <f>SUMIFS(DATA!$M:$M,DATA!$C:$C,$B908,DATA!$N:$N,"&gt;="&amp;DATE($I$2,D$4,1),DATA!$N:$N,"&lt;="&amp;DATE($I$2,D$4,D$5))</f>
        <v/>
      </c>
      <c r="E909" s="321">
        <f>SUMIFS(DATA!$M:$M,DATA!$C:$C,$B908,DATA!$N:$N,"&gt;="&amp;DATE($I$2,E$4,1),DATA!$N:$N,"&lt;="&amp;DATE($I$2,E$4,E$5))</f>
        <v/>
      </c>
      <c r="F909" s="321">
        <f>SUMIFS(DATA!$M:$M,DATA!$C:$C,$B908,DATA!$N:$N,"&gt;="&amp;DATE($I$2,F$4,1),DATA!$N:$N,"&lt;="&amp;DATE($I$2,F$4,F$5))</f>
        <v/>
      </c>
      <c r="G909" s="321">
        <f>SUMIFS(DATA!$M:$M,DATA!$C:$C,$B908,DATA!$N:$N,"&gt;="&amp;DATE($I$2,G$4,1),DATA!$N:$N,"&lt;="&amp;DATE($I$2,G$4,G$5))</f>
        <v/>
      </c>
      <c r="H909" s="321">
        <f>SUMIFS(DATA!$M:$M,DATA!$C:$C,$B908,DATA!$N:$N,"&gt;="&amp;DATE($I$2,H$4,1),DATA!$N:$N,"&lt;="&amp;DATE($I$2,H$4,H$5))</f>
        <v/>
      </c>
      <c r="I909" s="321">
        <f>SUMIFS(DATA!$M:$M,DATA!$C:$C,$B908,DATA!$N:$N,"&gt;="&amp;DATE($I$2,I$4,1),DATA!$N:$N,"&lt;="&amp;DATE($I$2,I$4,I$5))</f>
        <v/>
      </c>
      <c r="J909" s="321">
        <f>SUMIFS(DATA!$M:$M,DATA!$C:$C,$B908,DATA!$N:$N,"&gt;="&amp;DATE($I$2,J$4,1),DATA!$N:$N,"&lt;="&amp;DATE($I$2,J$4,J$5))</f>
        <v/>
      </c>
      <c r="K909" s="321">
        <f>SUMIFS(DATA!$M:$M,DATA!$C:$C,$B908,DATA!$N:$N,"&gt;="&amp;DATE($I$2,K$4,1),DATA!$N:$N,"&lt;="&amp;DATE($I$2,K$4,K$5))</f>
        <v/>
      </c>
      <c r="L909" s="321">
        <f>SUMIFS(DATA!$M:$M,DATA!$C:$C,$B908,DATA!$N:$N,"&gt;="&amp;DATE($I$2,L$4,1),DATA!$N:$N,"&lt;="&amp;DATE($I$2,L$4,L$5))</f>
        <v/>
      </c>
      <c r="M909" s="321">
        <f>SUMIFS(DATA!$M:$M,DATA!$C:$C,$B908,DATA!$N:$N,"&gt;="&amp;DATE($I$2,M$4,1),DATA!$N:$N,"&lt;="&amp;DATE($I$2,M$4,M$5))</f>
        <v/>
      </c>
      <c r="N909" s="321">
        <f>SUMIFS(DATA!$M:$M,DATA!$C:$C,$B908,DATA!$N:$N,"&gt;="&amp;DATE($I$2,N$4,1),DATA!$N:$N,"&lt;="&amp;DATE($I$2,N$4,N$5))</f>
        <v/>
      </c>
      <c r="O909" s="321">
        <f>SUMIFS(DATA!$M:$M,DATA!$C:$C,$B908,DATA!$N:$N,"&gt;="&amp;DATE($I$2,O$4,1),DATA!$N:$N,"&lt;="&amp;DATE($I$2,O$4,O$5))</f>
        <v/>
      </c>
      <c r="P909" s="322">
        <f>SUM(D909:O909)</f>
        <v/>
      </c>
    </row>
    <row r="910" hidden="1" outlineLevel="1" ht="15" customHeight="1">
      <c r="A910" s="269" t="n">
        <v>453</v>
      </c>
      <c r="B910" s="125" t="n"/>
      <c r="C910" s="119" t="inlineStr">
        <is>
          <t>Kế hoạch</t>
        </is>
      </c>
      <c r="D910" s="321">
        <f>SUMIFS(DATA!$I:$I,DATA!$C:$C,$B910,DATA!$J:$J,"&gt;="&amp;DATE($I$2,D$4,1),DATA!$J:$J,"&lt;="&amp;DATE($I$2,D$4,D$5))</f>
        <v/>
      </c>
      <c r="E910" s="321">
        <f>SUMIFS(DATA!$I:$I,DATA!$C:$C,$B910,DATA!$J:$J,"&gt;="&amp;DATE($I$2,E$4,1),DATA!$J:$J,"&lt;="&amp;DATE($I$2,E$4,E$5))</f>
        <v/>
      </c>
      <c r="F910" s="321">
        <f>SUMIFS(DATA!$I:$I,DATA!$C:$C,$B910,DATA!$J:$J,"&gt;="&amp;DATE($I$2,F$4,1),DATA!$J:$J,"&lt;="&amp;DATE($I$2,F$4,F$5))</f>
        <v/>
      </c>
      <c r="G910" s="321">
        <f>SUMIFS(DATA!$I:$I,DATA!$C:$C,$B910,DATA!$J:$J,"&gt;="&amp;DATE($I$2,G$4,1),DATA!$J:$J,"&lt;="&amp;DATE($I$2,G$4,G$5))</f>
        <v/>
      </c>
      <c r="H910" s="321">
        <f>SUMIFS(DATA!$I:$I,DATA!$C:$C,$B910,DATA!$J:$J,"&gt;="&amp;DATE($I$2,H$4,1),DATA!$J:$J,"&lt;="&amp;DATE($I$2,H$4,H$5))</f>
        <v/>
      </c>
      <c r="I910" s="321">
        <f>SUMIFS(DATA!$I:$I,DATA!$C:$C,$B910,DATA!$J:$J,"&gt;="&amp;DATE($I$2,I$4,1),DATA!$J:$J,"&lt;="&amp;DATE($I$2,I$4,I$5))</f>
        <v/>
      </c>
      <c r="J910" s="321">
        <f>SUMIFS(DATA!$I:$I,DATA!$C:$C,$B910,DATA!$J:$J,"&gt;="&amp;DATE($I$2,J$4,1),DATA!$J:$J,"&lt;="&amp;DATE($I$2,J$4,J$5))</f>
        <v/>
      </c>
      <c r="K910" s="321">
        <f>SUMIFS(DATA!$I:$I,DATA!$C:$C,$B910,DATA!$J:$J,"&gt;="&amp;DATE($I$2,K$4,1),DATA!$J:$J,"&lt;="&amp;DATE($I$2,K$4,K$5))</f>
        <v/>
      </c>
      <c r="L910" s="321">
        <f>SUMIFS(DATA!$I:$I,DATA!$C:$C,$B910,DATA!$J:$J,"&gt;="&amp;DATE($I$2,L$4,1),DATA!$J:$J,"&lt;="&amp;DATE($I$2,L$4,L$5))</f>
        <v/>
      </c>
      <c r="M910" s="321">
        <f>SUMIFS(DATA!$I:$I,DATA!$C:$C,$B910,DATA!$J:$J,"&gt;="&amp;DATE($I$2,M$4,1),DATA!$J:$J,"&lt;="&amp;DATE($I$2,M$4,M$5))</f>
        <v/>
      </c>
      <c r="N910" s="321">
        <f>SUMIFS(DATA!$I:$I,DATA!$C:$C,$B910,DATA!$J:$J,"&gt;="&amp;DATE($I$2,N$4,1),DATA!$J:$J,"&lt;="&amp;DATE($I$2,N$4,N$5))</f>
        <v/>
      </c>
      <c r="O910" s="321">
        <f>SUMIFS(DATA!$I:$I,DATA!$C:$C,$B910,DATA!$J:$J,"&gt;="&amp;DATE($I$2,O$4,1),DATA!$J:$J,"&lt;="&amp;DATE($I$2,O$4,O$5))</f>
        <v/>
      </c>
      <c r="P910" s="322">
        <f>SUM(D910:O910)</f>
        <v/>
      </c>
    </row>
    <row r="911" hidden="1" outlineLevel="1" ht="15" customHeight="1">
      <c r="A911" s="266" t="n"/>
      <c r="B911" s="126" t="n"/>
      <c r="C911" s="119" t="inlineStr">
        <is>
          <t>Thực tế</t>
        </is>
      </c>
      <c r="D911" s="321">
        <f>SUMIFS(DATA!$M:$M,DATA!$C:$C,$B910,DATA!$N:$N,"&gt;="&amp;DATE($I$2,D$4,1),DATA!$N:$N,"&lt;="&amp;DATE($I$2,D$4,D$5))</f>
        <v/>
      </c>
      <c r="E911" s="321">
        <f>SUMIFS(DATA!$M:$M,DATA!$C:$C,$B910,DATA!$N:$N,"&gt;="&amp;DATE($I$2,E$4,1),DATA!$N:$N,"&lt;="&amp;DATE($I$2,E$4,E$5))</f>
        <v/>
      </c>
      <c r="F911" s="321">
        <f>SUMIFS(DATA!$M:$M,DATA!$C:$C,$B910,DATA!$N:$N,"&gt;="&amp;DATE($I$2,F$4,1),DATA!$N:$N,"&lt;="&amp;DATE($I$2,F$4,F$5))</f>
        <v/>
      </c>
      <c r="G911" s="321">
        <f>SUMIFS(DATA!$M:$M,DATA!$C:$C,$B910,DATA!$N:$N,"&gt;="&amp;DATE($I$2,G$4,1),DATA!$N:$N,"&lt;="&amp;DATE($I$2,G$4,G$5))</f>
        <v/>
      </c>
      <c r="H911" s="321">
        <f>SUMIFS(DATA!$M:$M,DATA!$C:$C,$B910,DATA!$N:$N,"&gt;="&amp;DATE($I$2,H$4,1),DATA!$N:$N,"&lt;="&amp;DATE($I$2,H$4,H$5))</f>
        <v/>
      </c>
      <c r="I911" s="321">
        <f>SUMIFS(DATA!$M:$M,DATA!$C:$C,$B910,DATA!$N:$N,"&gt;="&amp;DATE($I$2,I$4,1),DATA!$N:$N,"&lt;="&amp;DATE($I$2,I$4,I$5))</f>
        <v/>
      </c>
      <c r="J911" s="321">
        <f>SUMIFS(DATA!$M:$M,DATA!$C:$C,$B910,DATA!$N:$N,"&gt;="&amp;DATE($I$2,J$4,1),DATA!$N:$N,"&lt;="&amp;DATE($I$2,J$4,J$5))</f>
        <v/>
      </c>
      <c r="K911" s="321">
        <f>SUMIFS(DATA!$M:$M,DATA!$C:$C,$B910,DATA!$N:$N,"&gt;="&amp;DATE($I$2,K$4,1),DATA!$N:$N,"&lt;="&amp;DATE($I$2,K$4,K$5))</f>
        <v/>
      </c>
      <c r="L911" s="321">
        <f>SUMIFS(DATA!$M:$M,DATA!$C:$C,$B910,DATA!$N:$N,"&gt;="&amp;DATE($I$2,L$4,1),DATA!$N:$N,"&lt;="&amp;DATE($I$2,L$4,L$5))</f>
        <v/>
      </c>
      <c r="M911" s="321">
        <f>SUMIFS(DATA!$M:$M,DATA!$C:$C,$B910,DATA!$N:$N,"&gt;="&amp;DATE($I$2,M$4,1),DATA!$N:$N,"&lt;="&amp;DATE($I$2,M$4,M$5))</f>
        <v/>
      </c>
      <c r="N911" s="321">
        <f>SUMIFS(DATA!$M:$M,DATA!$C:$C,$B910,DATA!$N:$N,"&gt;="&amp;DATE($I$2,N$4,1),DATA!$N:$N,"&lt;="&amp;DATE($I$2,N$4,N$5))</f>
        <v/>
      </c>
      <c r="O911" s="321">
        <f>SUMIFS(DATA!$M:$M,DATA!$C:$C,$B910,DATA!$N:$N,"&gt;="&amp;DATE($I$2,O$4,1),DATA!$N:$N,"&lt;="&amp;DATE($I$2,O$4,O$5))</f>
        <v/>
      </c>
      <c r="P911" s="322">
        <f>SUM(D911:O911)</f>
        <v/>
      </c>
    </row>
    <row r="912" hidden="1" outlineLevel="1" ht="15" customHeight="1">
      <c r="A912" s="269" t="n">
        <v>454</v>
      </c>
      <c r="B912" s="125" t="n"/>
      <c r="C912" s="119" t="inlineStr">
        <is>
          <t>Kế hoạch</t>
        </is>
      </c>
      <c r="D912" s="321">
        <f>SUMIFS(DATA!$I:$I,DATA!$C:$C,$B912,DATA!$J:$J,"&gt;="&amp;DATE($I$2,D$4,1),DATA!$J:$J,"&lt;="&amp;DATE($I$2,D$4,D$5))</f>
        <v/>
      </c>
      <c r="E912" s="321">
        <f>SUMIFS(DATA!$I:$I,DATA!$C:$C,$B912,DATA!$J:$J,"&gt;="&amp;DATE($I$2,E$4,1),DATA!$J:$J,"&lt;="&amp;DATE($I$2,E$4,E$5))</f>
        <v/>
      </c>
      <c r="F912" s="321">
        <f>SUMIFS(DATA!$I:$I,DATA!$C:$C,$B912,DATA!$J:$J,"&gt;="&amp;DATE($I$2,F$4,1),DATA!$J:$J,"&lt;="&amp;DATE($I$2,F$4,F$5))</f>
        <v/>
      </c>
      <c r="G912" s="321">
        <f>SUMIFS(DATA!$I:$I,DATA!$C:$C,$B912,DATA!$J:$J,"&gt;="&amp;DATE($I$2,G$4,1),DATA!$J:$J,"&lt;="&amp;DATE($I$2,G$4,G$5))</f>
        <v/>
      </c>
      <c r="H912" s="321">
        <f>SUMIFS(DATA!$I:$I,DATA!$C:$C,$B912,DATA!$J:$J,"&gt;="&amp;DATE($I$2,H$4,1),DATA!$J:$J,"&lt;="&amp;DATE($I$2,H$4,H$5))</f>
        <v/>
      </c>
      <c r="I912" s="321">
        <f>SUMIFS(DATA!$I:$I,DATA!$C:$C,$B912,DATA!$J:$J,"&gt;="&amp;DATE($I$2,I$4,1),DATA!$J:$J,"&lt;="&amp;DATE($I$2,I$4,I$5))</f>
        <v/>
      </c>
      <c r="J912" s="321">
        <f>SUMIFS(DATA!$I:$I,DATA!$C:$C,$B912,DATA!$J:$J,"&gt;="&amp;DATE($I$2,J$4,1),DATA!$J:$J,"&lt;="&amp;DATE($I$2,J$4,J$5))</f>
        <v/>
      </c>
      <c r="K912" s="321">
        <f>SUMIFS(DATA!$I:$I,DATA!$C:$C,$B912,DATA!$J:$J,"&gt;="&amp;DATE($I$2,K$4,1),DATA!$J:$J,"&lt;="&amp;DATE($I$2,K$4,K$5))</f>
        <v/>
      </c>
      <c r="L912" s="321">
        <f>SUMIFS(DATA!$I:$I,DATA!$C:$C,$B912,DATA!$J:$J,"&gt;="&amp;DATE($I$2,L$4,1),DATA!$J:$J,"&lt;="&amp;DATE($I$2,L$4,L$5))</f>
        <v/>
      </c>
      <c r="M912" s="321">
        <f>SUMIFS(DATA!$I:$I,DATA!$C:$C,$B912,DATA!$J:$J,"&gt;="&amp;DATE($I$2,M$4,1),DATA!$J:$J,"&lt;="&amp;DATE($I$2,M$4,M$5))</f>
        <v/>
      </c>
      <c r="N912" s="321">
        <f>SUMIFS(DATA!$I:$I,DATA!$C:$C,$B912,DATA!$J:$J,"&gt;="&amp;DATE($I$2,N$4,1),DATA!$J:$J,"&lt;="&amp;DATE($I$2,N$4,N$5))</f>
        <v/>
      </c>
      <c r="O912" s="321">
        <f>SUMIFS(DATA!$I:$I,DATA!$C:$C,$B912,DATA!$J:$J,"&gt;="&amp;DATE($I$2,O$4,1),DATA!$J:$J,"&lt;="&amp;DATE($I$2,O$4,O$5))</f>
        <v/>
      </c>
      <c r="P912" s="322">
        <f>SUM(D912:O912)</f>
        <v/>
      </c>
    </row>
    <row r="913" hidden="1" outlineLevel="1" ht="15" customHeight="1">
      <c r="A913" s="266" t="n"/>
      <c r="B913" s="126" t="n"/>
      <c r="C913" s="119" t="inlineStr">
        <is>
          <t>Thực tế</t>
        </is>
      </c>
      <c r="D913" s="321">
        <f>SUMIFS(DATA!$M:$M,DATA!$C:$C,$B912,DATA!$N:$N,"&gt;="&amp;DATE($I$2,D$4,1),DATA!$N:$N,"&lt;="&amp;DATE($I$2,D$4,D$5))</f>
        <v/>
      </c>
      <c r="E913" s="321">
        <f>SUMIFS(DATA!$M:$M,DATA!$C:$C,$B912,DATA!$N:$N,"&gt;="&amp;DATE($I$2,E$4,1),DATA!$N:$N,"&lt;="&amp;DATE($I$2,E$4,E$5))</f>
        <v/>
      </c>
      <c r="F913" s="321">
        <f>SUMIFS(DATA!$M:$M,DATA!$C:$C,$B912,DATA!$N:$N,"&gt;="&amp;DATE($I$2,F$4,1),DATA!$N:$N,"&lt;="&amp;DATE($I$2,F$4,F$5))</f>
        <v/>
      </c>
      <c r="G913" s="321">
        <f>SUMIFS(DATA!$M:$M,DATA!$C:$C,$B912,DATA!$N:$N,"&gt;="&amp;DATE($I$2,G$4,1),DATA!$N:$N,"&lt;="&amp;DATE($I$2,G$4,G$5))</f>
        <v/>
      </c>
      <c r="H913" s="321">
        <f>SUMIFS(DATA!$M:$M,DATA!$C:$C,$B912,DATA!$N:$N,"&gt;="&amp;DATE($I$2,H$4,1),DATA!$N:$N,"&lt;="&amp;DATE($I$2,H$4,H$5))</f>
        <v/>
      </c>
      <c r="I913" s="321">
        <f>SUMIFS(DATA!$M:$M,DATA!$C:$C,$B912,DATA!$N:$N,"&gt;="&amp;DATE($I$2,I$4,1),DATA!$N:$N,"&lt;="&amp;DATE($I$2,I$4,I$5))</f>
        <v/>
      </c>
      <c r="J913" s="321">
        <f>SUMIFS(DATA!$M:$M,DATA!$C:$C,$B912,DATA!$N:$N,"&gt;="&amp;DATE($I$2,J$4,1),DATA!$N:$N,"&lt;="&amp;DATE($I$2,J$4,J$5))</f>
        <v/>
      </c>
      <c r="K913" s="321">
        <f>SUMIFS(DATA!$M:$M,DATA!$C:$C,$B912,DATA!$N:$N,"&gt;="&amp;DATE($I$2,K$4,1),DATA!$N:$N,"&lt;="&amp;DATE($I$2,K$4,K$5))</f>
        <v/>
      </c>
      <c r="L913" s="321">
        <f>SUMIFS(DATA!$M:$M,DATA!$C:$C,$B912,DATA!$N:$N,"&gt;="&amp;DATE($I$2,L$4,1),DATA!$N:$N,"&lt;="&amp;DATE($I$2,L$4,L$5))</f>
        <v/>
      </c>
      <c r="M913" s="321">
        <f>SUMIFS(DATA!$M:$M,DATA!$C:$C,$B912,DATA!$N:$N,"&gt;="&amp;DATE($I$2,M$4,1),DATA!$N:$N,"&lt;="&amp;DATE($I$2,M$4,M$5))</f>
        <v/>
      </c>
      <c r="N913" s="321">
        <f>SUMIFS(DATA!$M:$M,DATA!$C:$C,$B912,DATA!$N:$N,"&gt;="&amp;DATE($I$2,N$4,1),DATA!$N:$N,"&lt;="&amp;DATE($I$2,N$4,N$5))</f>
        <v/>
      </c>
      <c r="O913" s="321">
        <f>SUMIFS(DATA!$M:$M,DATA!$C:$C,$B912,DATA!$N:$N,"&gt;="&amp;DATE($I$2,O$4,1),DATA!$N:$N,"&lt;="&amp;DATE($I$2,O$4,O$5))</f>
        <v/>
      </c>
      <c r="P913" s="322">
        <f>SUM(D913:O913)</f>
        <v/>
      </c>
    </row>
    <row r="914" hidden="1" outlineLevel="1" ht="15" customHeight="1">
      <c r="A914" s="269" t="n">
        <v>455</v>
      </c>
      <c r="B914" s="125" t="n"/>
      <c r="C914" s="119" t="inlineStr">
        <is>
          <t>Kế hoạch</t>
        </is>
      </c>
      <c r="D914" s="321">
        <f>SUMIFS(DATA!$I:$I,DATA!$C:$C,$B914,DATA!$J:$J,"&gt;="&amp;DATE($I$2,D$4,1),DATA!$J:$J,"&lt;="&amp;DATE($I$2,D$4,D$5))</f>
        <v/>
      </c>
      <c r="E914" s="321">
        <f>SUMIFS(DATA!$I:$I,DATA!$C:$C,$B914,DATA!$J:$J,"&gt;="&amp;DATE($I$2,E$4,1),DATA!$J:$J,"&lt;="&amp;DATE($I$2,E$4,E$5))</f>
        <v/>
      </c>
      <c r="F914" s="321">
        <f>SUMIFS(DATA!$I:$I,DATA!$C:$C,$B914,DATA!$J:$J,"&gt;="&amp;DATE($I$2,F$4,1),DATA!$J:$J,"&lt;="&amp;DATE($I$2,F$4,F$5))</f>
        <v/>
      </c>
      <c r="G914" s="321">
        <f>SUMIFS(DATA!$I:$I,DATA!$C:$C,$B914,DATA!$J:$J,"&gt;="&amp;DATE($I$2,G$4,1),DATA!$J:$J,"&lt;="&amp;DATE($I$2,G$4,G$5))</f>
        <v/>
      </c>
      <c r="H914" s="321">
        <f>SUMIFS(DATA!$I:$I,DATA!$C:$C,$B914,DATA!$J:$J,"&gt;="&amp;DATE($I$2,H$4,1),DATA!$J:$J,"&lt;="&amp;DATE($I$2,H$4,H$5))</f>
        <v/>
      </c>
      <c r="I914" s="321">
        <f>SUMIFS(DATA!$I:$I,DATA!$C:$C,$B914,DATA!$J:$J,"&gt;="&amp;DATE($I$2,I$4,1),DATA!$J:$J,"&lt;="&amp;DATE($I$2,I$4,I$5))</f>
        <v/>
      </c>
      <c r="J914" s="321">
        <f>SUMIFS(DATA!$I:$I,DATA!$C:$C,$B914,DATA!$J:$J,"&gt;="&amp;DATE($I$2,J$4,1),DATA!$J:$J,"&lt;="&amp;DATE($I$2,J$4,J$5))</f>
        <v/>
      </c>
      <c r="K914" s="321">
        <f>SUMIFS(DATA!$I:$I,DATA!$C:$C,$B914,DATA!$J:$J,"&gt;="&amp;DATE($I$2,K$4,1),DATA!$J:$J,"&lt;="&amp;DATE($I$2,K$4,K$5))</f>
        <v/>
      </c>
      <c r="L914" s="321">
        <f>SUMIFS(DATA!$I:$I,DATA!$C:$C,$B914,DATA!$J:$J,"&gt;="&amp;DATE($I$2,L$4,1),DATA!$J:$J,"&lt;="&amp;DATE($I$2,L$4,L$5))</f>
        <v/>
      </c>
      <c r="M914" s="321">
        <f>SUMIFS(DATA!$I:$I,DATA!$C:$C,$B914,DATA!$J:$J,"&gt;="&amp;DATE($I$2,M$4,1),DATA!$J:$J,"&lt;="&amp;DATE($I$2,M$4,M$5))</f>
        <v/>
      </c>
      <c r="N914" s="321">
        <f>SUMIFS(DATA!$I:$I,DATA!$C:$C,$B914,DATA!$J:$J,"&gt;="&amp;DATE($I$2,N$4,1),DATA!$J:$J,"&lt;="&amp;DATE($I$2,N$4,N$5))</f>
        <v/>
      </c>
      <c r="O914" s="321">
        <f>SUMIFS(DATA!$I:$I,DATA!$C:$C,$B914,DATA!$J:$J,"&gt;="&amp;DATE($I$2,O$4,1),DATA!$J:$J,"&lt;="&amp;DATE($I$2,O$4,O$5))</f>
        <v/>
      </c>
      <c r="P914" s="322">
        <f>SUM(D914:O914)</f>
        <v/>
      </c>
    </row>
    <row r="915" hidden="1" outlineLevel="1" ht="15" customHeight="1">
      <c r="A915" s="266" t="n"/>
      <c r="B915" s="126" t="n"/>
      <c r="C915" s="119" t="inlineStr">
        <is>
          <t>Thực tế</t>
        </is>
      </c>
      <c r="D915" s="321">
        <f>SUMIFS(DATA!$M:$M,DATA!$C:$C,$B914,DATA!$N:$N,"&gt;="&amp;DATE($I$2,D$4,1),DATA!$N:$N,"&lt;="&amp;DATE($I$2,D$4,D$5))</f>
        <v/>
      </c>
      <c r="E915" s="321">
        <f>SUMIFS(DATA!$M:$M,DATA!$C:$C,$B914,DATA!$N:$N,"&gt;="&amp;DATE($I$2,E$4,1),DATA!$N:$N,"&lt;="&amp;DATE($I$2,E$4,E$5))</f>
        <v/>
      </c>
      <c r="F915" s="321">
        <f>SUMIFS(DATA!$M:$M,DATA!$C:$C,$B914,DATA!$N:$N,"&gt;="&amp;DATE($I$2,F$4,1),DATA!$N:$N,"&lt;="&amp;DATE($I$2,F$4,F$5))</f>
        <v/>
      </c>
      <c r="G915" s="321">
        <f>SUMIFS(DATA!$M:$M,DATA!$C:$C,$B914,DATA!$N:$N,"&gt;="&amp;DATE($I$2,G$4,1),DATA!$N:$N,"&lt;="&amp;DATE($I$2,G$4,G$5))</f>
        <v/>
      </c>
      <c r="H915" s="321">
        <f>SUMIFS(DATA!$M:$M,DATA!$C:$C,$B914,DATA!$N:$N,"&gt;="&amp;DATE($I$2,H$4,1),DATA!$N:$N,"&lt;="&amp;DATE($I$2,H$4,H$5))</f>
        <v/>
      </c>
      <c r="I915" s="321">
        <f>SUMIFS(DATA!$M:$M,DATA!$C:$C,$B914,DATA!$N:$N,"&gt;="&amp;DATE($I$2,I$4,1),DATA!$N:$N,"&lt;="&amp;DATE($I$2,I$4,I$5))</f>
        <v/>
      </c>
      <c r="J915" s="321">
        <f>SUMIFS(DATA!$M:$M,DATA!$C:$C,$B914,DATA!$N:$N,"&gt;="&amp;DATE($I$2,J$4,1),DATA!$N:$N,"&lt;="&amp;DATE($I$2,J$4,J$5))</f>
        <v/>
      </c>
      <c r="K915" s="321">
        <f>SUMIFS(DATA!$M:$M,DATA!$C:$C,$B914,DATA!$N:$N,"&gt;="&amp;DATE($I$2,K$4,1),DATA!$N:$N,"&lt;="&amp;DATE($I$2,K$4,K$5))</f>
        <v/>
      </c>
      <c r="L915" s="321">
        <f>SUMIFS(DATA!$M:$M,DATA!$C:$C,$B914,DATA!$N:$N,"&gt;="&amp;DATE($I$2,L$4,1),DATA!$N:$N,"&lt;="&amp;DATE($I$2,L$4,L$5))</f>
        <v/>
      </c>
      <c r="M915" s="321">
        <f>SUMIFS(DATA!$M:$M,DATA!$C:$C,$B914,DATA!$N:$N,"&gt;="&amp;DATE($I$2,M$4,1),DATA!$N:$N,"&lt;="&amp;DATE($I$2,M$4,M$5))</f>
        <v/>
      </c>
      <c r="N915" s="321">
        <f>SUMIFS(DATA!$M:$M,DATA!$C:$C,$B914,DATA!$N:$N,"&gt;="&amp;DATE($I$2,N$4,1),DATA!$N:$N,"&lt;="&amp;DATE($I$2,N$4,N$5))</f>
        <v/>
      </c>
      <c r="O915" s="321">
        <f>SUMIFS(DATA!$M:$M,DATA!$C:$C,$B914,DATA!$N:$N,"&gt;="&amp;DATE($I$2,O$4,1),DATA!$N:$N,"&lt;="&amp;DATE($I$2,O$4,O$5))</f>
        <v/>
      </c>
      <c r="P915" s="322">
        <f>SUM(D915:O915)</f>
        <v/>
      </c>
    </row>
    <row r="916" hidden="1" outlineLevel="1" ht="15" customHeight="1">
      <c r="A916" s="269" t="n">
        <v>456</v>
      </c>
      <c r="B916" s="125" t="n"/>
      <c r="C916" s="119" t="inlineStr">
        <is>
          <t>Kế hoạch</t>
        </is>
      </c>
      <c r="D916" s="321">
        <f>SUMIFS(DATA!$I:$I,DATA!$C:$C,$B916,DATA!$J:$J,"&gt;="&amp;DATE($I$2,D$4,1),DATA!$J:$J,"&lt;="&amp;DATE($I$2,D$4,D$5))</f>
        <v/>
      </c>
      <c r="E916" s="321">
        <f>SUMIFS(DATA!$I:$I,DATA!$C:$C,$B916,DATA!$J:$J,"&gt;="&amp;DATE($I$2,E$4,1),DATA!$J:$J,"&lt;="&amp;DATE($I$2,E$4,E$5))</f>
        <v/>
      </c>
      <c r="F916" s="321">
        <f>SUMIFS(DATA!$I:$I,DATA!$C:$C,$B916,DATA!$J:$J,"&gt;="&amp;DATE($I$2,F$4,1),DATA!$J:$J,"&lt;="&amp;DATE($I$2,F$4,F$5))</f>
        <v/>
      </c>
      <c r="G916" s="321">
        <f>SUMIFS(DATA!$I:$I,DATA!$C:$C,$B916,DATA!$J:$J,"&gt;="&amp;DATE($I$2,G$4,1),DATA!$J:$J,"&lt;="&amp;DATE($I$2,G$4,G$5))</f>
        <v/>
      </c>
      <c r="H916" s="321">
        <f>SUMIFS(DATA!$I:$I,DATA!$C:$C,$B916,DATA!$J:$J,"&gt;="&amp;DATE($I$2,H$4,1),DATA!$J:$J,"&lt;="&amp;DATE($I$2,H$4,H$5))</f>
        <v/>
      </c>
      <c r="I916" s="321">
        <f>SUMIFS(DATA!$I:$I,DATA!$C:$C,$B916,DATA!$J:$J,"&gt;="&amp;DATE($I$2,I$4,1),DATA!$J:$J,"&lt;="&amp;DATE($I$2,I$4,I$5))</f>
        <v/>
      </c>
      <c r="J916" s="321">
        <f>SUMIFS(DATA!$I:$I,DATA!$C:$C,$B916,DATA!$J:$J,"&gt;="&amp;DATE($I$2,J$4,1),DATA!$J:$J,"&lt;="&amp;DATE($I$2,J$4,J$5))</f>
        <v/>
      </c>
      <c r="K916" s="321">
        <f>SUMIFS(DATA!$I:$I,DATA!$C:$C,$B916,DATA!$J:$J,"&gt;="&amp;DATE($I$2,K$4,1),DATA!$J:$J,"&lt;="&amp;DATE($I$2,K$4,K$5))</f>
        <v/>
      </c>
      <c r="L916" s="321">
        <f>SUMIFS(DATA!$I:$I,DATA!$C:$C,$B916,DATA!$J:$J,"&gt;="&amp;DATE($I$2,L$4,1),DATA!$J:$J,"&lt;="&amp;DATE($I$2,L$4,L$5))</f>
        <v/>
      </c>
      <c r="M916" s="321">
        <f>SUMIFS(DATA!$I:$I,DATA!$C:$C,$B916,DATA!$J:$J,"&gt;="&amp;DATE($I$2,M$4,1),DATA!$J:$J,"&lt;="&amp;DATE($I$2,M$4,M$5))</f>
        <v/>
      </c>
      <c r="N916" s="321">
        <f>SUMIFS(DATA!$I:$I,DATA!$C:$C,$B916,DATA!$J:$J,"&gt;="&amp;DATE($I$2,N$4,1),DATA!$J:$J,"&lt;="&amp;DATE($I$2,N$4,N$5))</f>
        <v/>
      </c>
      <c r="O916" s="321">
        <f>SUMIFS(DATA!$I:$I,DATA!$C:$C,$B916,DATA!$J:$J,"&gt;="&amp;DATE($I$2,O$4,1),DATA!$J:$J,"&lt;="&amp;DATE($I$2,O$4,O$5))</f>
        <v/>
      </c>
      <c r="P916" s="322">
        <f>SUM(D916:O916)</f>
        <v/>
      </c>
    </row>
    <row r="917" hidden="1" outlineLevel="1" ht="15" customHeight="1">
      <c r="A917" s="266" t="n"/>
      <c r="B917" s="126" t="n"/>
      <c r="C917" s="119" t="inlineStr">
        <is>
          <t>Thực tế</t>
        </is>
      </c>
      <c r="D917" s="321">
        <f>SUMIFS(DATA!$M:$M,DATA!$C:$C,$B916,DATA!$N:$N,"&gt;="&amp;DATE($I$2,D$4,1),DATA!$N:$N,"&lt;="&amp;DATE($I$2,D$4,D$5))</f>
        <v/>
      </c>
      <c r="E917" s="321">
        <f>SUMIFS(DATA!$M:$M,DATA!$C:$C,$B916,DATA!$N:$N,"&gt;="&amp;DATE($I$2,E$4,1),DATA!$N:$N,"&lt;="&amp;DATE($I$2,E$4,E$5))</f>
        <v/>
      </c>
      <c r="F917" s="321">
        <f>SUMIFS(DATA!$M:$M,DATA!$C:$C,$B916,DATA!$N:$N,"&gt;="&amp;DATE($I$2,F$4,1),DATA!$N:$N,"&lt;="&amp;DATE($I$2,F$4,F$5))</f>
        <v/>
      </c>
      <c r="G917" s="321">
        <f>SUMIFS(DATA!$M:$M,DATA!$C:$C,$B916,DATA!$N:$N,"&gt;="&amp;DATE($I$2,G$4,1),DATA!$N:$N,"&lt;="&amp;DATE($I$2,G$4,G$5))</f>
        <v/>
      </c>
      <c r="H917" s="321">
        <f>SUMIFS(DATA!$M:$M,DATA!$C:$C,$B916,DATA!$N:$N,"&gt;="&amp;DATE($I$2,H$4,1),DATA!$N:$N,"&lt;="&amp;DATE($I$2,H$4,H$5))</f>
        <v/>
      </c>
      <c r="I917" s="321">
        <f>SUMIFS(DATA!$M:$M,DATA!$C:$C,$B916,DATA!$N:$N,"&gt;="&amp;DATE($I$2,I$4,1),DATA!$N:$N,"&lt;="&amp;DATE($I$2,I$4,I$5))</f>
        <v/>
      </c>
      <c r="J917" s="321">
        <f>SUMIFS(DATA!$M:$M,DATA!$C:$C,$B916,DATA!$N:$N,"&gt;="&amp;DATE($I$2,J$4,1),DATA!$N:$N,"&lt;="&amp;DATE($I$2,J$4,J$5))</f>
        <v/>
      </c>
      <c r="K917" s="321">
        <f>SUMIFS(DATA!$M:$M,DATA!$C:$C,$B916,DATA!$N:$N,"&gt;="&amp;DATE($I$2,K$4,1),DATA!$N:$N,"&lt;="&amp;DATE($I$2,K$4,K$5))</f>
        <v/>
      </c>
      <c r="L917" s="321">
        <f>SUMIFS(DATA!$M:$M,DATA!$C:$C,$B916,DATA!$N:$N,"&gt;="&amp;DATE($I$2,L$4,1),DATA!$N:$N,"&lt;="&amp;DATE($I$2,L$4,L$5))</f>
        <v/>
      </c>
      <c r="M917" s="321">
        <f>SUMIFS(DATA!$M:$M,DATA!$C:$C,$B916,DATA!$N:$N,"&gt;="&amp;DATE($I$2,M$4,1),DATA!$N:$N,"&lt;="&amp;DATE($I$2,M$4,M$5))</f>
        <v/>
      </c>
      <c r="N917" s="321">
        <f>SUMIFS(DATA!$M:$M,DATA!$C:$C,$B916,DATA!$N:$N,"&gt;="&amp;DATE($I$2,N$4,1),DATA!$N:$N,"&lt;="&amp;DATE($I$2,N$4,N$5))</f>
        <v/>
      </c>
      <c r="O917" s="321">
        <f>SUMIFS(DATA!$M:$M,DATA!$C:$C,$B916,DATA!$N:$N,"&gt;="&amp;DATE($I$2,O$4,1),DATA!$N:$N,"&lt;="&amp;DATE($I$2,O$4,O$5))</f>
        <v/>
      </c>
      <c r="P917" s="322">
        <f>SUM(D917:O917)</f>
        <v/>
      </c>
    </row>
    <row r="918" hidden="1" outlineLevel="1" ht="15" customHeight="1">
      <c r="A918" s="269" t="n">
        <v>457</v>
      </c>
      <c r="B918" s="125" t="n"/>
      <c r="C918" s="119" t="inlineStr">
        <is>
          <t>Kế hoạch</t>
        </is>
      </c>
      <c r="D918" s="321">
        <f>SUMIFS(DATA!$I:$I,DATA!$C:$C,$B918,DATA!$J:$J,"&gt;="&amp;DATE($I$2,D$4,1),DATA!$J:$J,"&lt;="&amp;DATE($I$2,D$4,D$5))</f>
        <v/>
      </c>
      <c r="E918" s="321">
        <f>SUMIFS(DATA!$I:$I,DATA!$C:$C,$B918,DATA!$J:$J,"&gt;="&amp;DATE($I$2,E$4,1),DATA!$J:$J,"&lt;="&amp;DATE($I$2,E$4,E$5))</f>
        <v/>
      </c>
      <c r="F918" s="321">
        <f>SUMIFS(DATA!$I:$I,DATA!$C:$C,$B918,DATA!$J:$J,"&gt;="&amp;DATE($I$2,F$4,1),DATA!$J:$J,"&lt;="&amp;DATE($I$2,F$4,F$5))</f>
        <v/>
      </c>
      <c r="G918" s="321">
        <f>SUMIFS(DATA!$I:$I,DATA!$C:$C,$B918,DATA!$J:$J,"&gt;="&amp;DATE($I$2,G$4,1),DATA!$J:$J,"&lt;="&amp;DATE($I$2,G$4,G$5))</f>
        <v/>
      </c>
      <c r="H918" s="321">
        <f>SUMIFS(DATA!$I:$I,DATA!$C:$C,$B918,DATA!$J:$J,"&gt;="&amp;DATE($I$2,H$4,1),DATA!$J:$J,"&lt;="&amp;DATE($I$2,H$4,H$5))</f>
        <v/>
      </c>
      <c r="I918" s="321">
        <f>SUMIFS(DATA!$I:$I,DATA!$C:$C,$B918,DATA!$J:$J,"&gt;="&amp;DATE($I$2,I$4,1),DATA!$J:$J,"&lt;="&amp;DATE($I$2,I$4,I$5))</f>
        <v/>
      </c>
      <c r="J918" s="321">
        <f>SUMIFS(DATA!$I:$I,DATA!$C:$C,$B918,DATA!$J:$J,"&gt;="&amp;DATE($I$2,J$4,1),DATA!$J:$J,"&lt;="&amp;DATE($I$2,J$4,J$5))</f>
        <v/>
      </c>
      <c r="K918" s="321">
        <f>SUMIFS(DATA!$I:$I,DATA!$C:$C,$B918,DATA!$J:$J,"&gt;="&amp;DATE($I$2,K$4,1),DATA!$J:$J,"&lt;="&amp;DATE($I$2,K$4,K$5))</f>
        <v/>
      </c>
      <c r="L918" s="321">
        <f>SUMIFS(DATA!$I:$I,DATA!$C:$C,$B918,DATA!$J:$J,"&gt;="&amp;DATE($I$2,L$4,1),DATA!$J:$J,"&lt;="&amp;DATE($I$2,L$4,L$5))</f>
        <v/>
      </c>
      <c r="M918" s="321">
        <f>SUMIFS(DATA!$I:$I,DATA!$C:$C,$B918,DATA!$J:$J,"&gt;="&amp;DATE($I$2,M$4,1),DATA!$J:$J,"&lt;="&amp;DATE($I$2,M$4,M$5))</f>
        <v/>
      </c>
      <c r="N918" s="321">
        <f>SUMIFS(DATA!$I:$I,DATA!$C:$C,$B918,DATA!$J:$J,"&gt;="&amp;DATE($I$2,N$4,1),DATA!$J:$J,"&lt;="&amp;DATE($I$2,N$4,N$5))</f>
        <v/>
      </c>
      <c r="O918" s="321">
        <f>SUMIFS(DATA!$I:$I,DATA!$C:$C,$B918,DATA!$J:$J,"&gt;="&amp;DATE($I$2,O$4,1),DATA!$J:$J,"&lt;="&amp;DATE($I$2,O$4,O$5))</f>
        <v/>
      </c>
      <c r="P918" s="322">
        <f>SUM(D918:O918)</f>
        <v/>
      </c>
    </row>
    <row r="919" hidden="1" outlineLevel="1" ht="15" customHeight="1">
      <c r="A919" s="266" t="n"/>
      <c r="B919" s="126" t="n"/>
      <c r="C919" s="119" t="inlineStr">
        <is>
          <t>Thực tế</t>
        </is>
      </c>
      <c r="D919" s="321">
        <f>SUMIFS(DATA!$M:$M,DATA!$C:$C,$B918,DATA!$N:$N,"&gt;="&amp;DATE($I$2,D$4,1),DATA!$N:$N,"&lt;="&amp;DATE($I$2,D$4,D$5))</f>
        <v/>
      </c>
      <c r="E919" s="321">
        <f>SUMIFS(DATA!$M:$M,DATA!$C:$C,$B918,DATA!$N:$N,"&gt;="&amp;DATE($I$2,E$4,1),DATA!$N:$N,"&lt;="&amp;DATE($I$2,E$4,E$5))</f>
        <v/>
      </c>
      <c r="F919" s="321">
        <f>SUMIFS(DATA!$M:$M,DATA!$C:$C,$B918,DATA!$N:$N,"&gt;="&amp;DATE($I$2,F$4,1),DATA!$N:$N,"&lt;="&amp;DATE($I$2,F$4,F$5))</f>
        <v/>
      </c>
      <c r="G919" s="321">
        <f>SUMIFS(DATA!$M:$M,DATA!$C:$C,$B918,DATA!$N:$N,"&gt;="&amp;DATE($I$2,G$4,1),DATA!$N:$N,"&lt;="&amp;DATE($I$2,G$4,G$5))</f>
        <v/>
      </c>
      <c r="H919" s="321">
        <f>SUMIFS(DATA!$M:$M,DATA!$C:$C,$B918,DATA!$N:$N,"&gt;="&amp;DATE($I$2,H$4,1),DATA!$N:$N,"&lt;="&amp;DATE($I$2,H$4,H$5))</f>
        <v/>
      </c>
      <c r="I919" s="321">
        <f>SUMIFS(DATA!$M:$M,DATA!$C:$C,$B918,DATA!$N:$N,"&gt;="&amp;DATE($I$2,I$4,1),DATA!$N:$N,"&lt;="&amp;DATE($I$2,I$4,I$5))</f>
        <v/>
      </c>
      <c r="J919" s="321">
        <f>SUMIFS(DATA!$M:$M,DATA!$C:$C,$B918,DATA!$N:$N,"&gt;="&amp;DATE($I$2,J$4,1),DATA!$N:$N,"&lt;="&amp;DATE($I$2,J$4,J$5))</f>
        <v/>
      </c>
      <c r="K919" s="321">
        <f>SUMIFS(DATA!$M:$M,DATA!$C:$C,$B918,DATA!$N:$N,"&gt;="&amp;DATE($I$2,K$4,1),DATA!$N:$N,"&lt;="&amp;DATE($I$2,K$4,K$5))</f>
        <v/>
      </c>
      <c r="L919" s="321">
        <f>SUMIFS(DATA!$M:$M,DATA!$C:$C,$B918,DATA!$N:$N,"&gt;="&amp;DATE($I$2,L$4,1),DATA!$N:$N,"&lt;="&amp;DATE($I$2,L$4,L$5))</f>
        <v/>
      </c>
      <c r="M919" s="321">
        <f>SUMIFS(DATA!$M:$M,DATA!$C:$C,$B918,DATA!$N:$N,"&gt;="&amp;DATE($I$2,M$4,1),DATA!$N:$N,"&lt;="&amp;DATE($I$2,M$4,M$5))</f>
        <v/>
      </c>
      <c r="N919" s="321">
        <f>SUMIFS(DATA!$M:$M,DATA!$C:$C,$B918,DATA!$N:$N,"&gt;="&amp;DATE($I$2,N$4,1),DATA!$N:$N,"&lt;="&amp;DATE($I$2,N$4,N$5))</f>
        <v/>
      </c>
      <c r="O919" s="321">
        <f>SUMIFS(DATA!$M:$M,DATA!$C:$C,$B918,DATA!$N:$N,"&gt;="&amp;DATE($I$2,O$4,1),DATA!$N:$N,"&lt;="&amp;DATE($I$2,O$4,O$5))</f>
        <v/>
      </c>
      <c r="P919" s="322">
        <f>SUM(D919:O919)</f>
        <v/>
      </c>
    </row>
    <row r="920" hidden="1" outlineLevel="1" ht="15" customHeight="1">
      <c r="A920" s="269" t="n">
        <v>458</v>
      </c>
      <c r="B920" s="125" t="n"/>
      <c r="C920" s="119" t="inlineStr">
        <is>
          <t>Kế hoạch</t>
        </is>
      </c>
      <c r="D920" s="321">
        <f>SUMIFS(DATA!$I:$I,DATA!$C:$C,$B920,DATA!$J:$J,"&gt;="&amp;DATE($I$2,D$4,1),DATA!$J:$J,"&lt;="&amp;DATE($I$2,D$4,D$5))</f>
        <v/>
      </c>
      <c r="E920" s="321">
        <f>SUMIFS(DATA!$I:$I,DATA!$C:$C,$B920,DATA!$J:$J,"&gt;="&amp;DATE($I$2,E$4,1),DATA!$J:$J,"&lt;="&amp;DATE($I$2,E$4,E$5))</f>
        <v/>
      </c>
      <c r="F920" s="321">
        <f>SUMIFS(DATA!$I:$I,DATA!$C:$C,$B920,DATA!$J:$J,"&gt;="&amp;DATE($I$2,F$4,1),DATA!$J:$J,"&lt;="&amp;DATE($I$2,F$4,F$5))</f>
        <v/>
      </c>
      <c r="G920" s="321">
        <f>SUMIFS(DATA!$I:$I,DATA!$C:$C,$B920,DATA!$J:$J,"&gt;="&amp;DATE($I$2,G$4,1),DATA!$J:$J,"&lt;="&amp;DATE($I$2,G$4,G$5))</f>
        <v/>
      </c>
      <c r="H920" s="321">
        <f>SUMIFS(DATA!$I:$I,DATA!$C:$C,$B920,DATA!$J:$J,"&gt;="&amp;DATE($I$2,H$4,1),DATA!$J:$J,"&lt;="&amp;DATE($I$2,H$4,H$5))</f>
        <v/>
      </c>
      <c r="I920" s="321">
        <f>SUMIFS(DATA!$I:$I,DATA!$C:$C,$B920,DATA!$J:$J,"&gt;="&amp;DATE($I$2,I$4,1),DATA!$J:$J,"&lt;="&amp;DATE($I$2,I$4,I$5))</f>
        <v/>
      </c>
      <c r="J920" s="321">
        <f>SUMIFS(DATA!$I:$I,DATA!$C:$C,$B920,DATA!$J:$J,"&gt;="&amp;DATE($I$2,J$4,1),DATA!$J:$J,"&lt;="&amp;DATE($I$2,J$4,J$5))</f>
        <v/>
      </c>
      <c r="K920" s="321">
        <f>SUMIFS(DATA!$I:$I,DATA!$C:$C,$B920,DATA!$J:$J,"&gt;="&amp;DATE($I$2,K$4,1),DATA!$J:$J,"&lt;="&amp;DATE($I$2,K$4,K$5))</f>
        <v/>
      </c>
      <c r="L920" s="321">
        <f>SUMIFS(DATA!$I:$I,DATA!$C:$C,$B920,DATA!$J:$J,"&gt;="&amp;DATE($I$2,L$4,1),DATA!$J:$J,"&lt;="&amp;DATE($I$2,L$4,L$5))</f>
        <v/>
      </c>
      <c r="M920" s="321">
        <f>SUMIFS(DATA!$I:$I,DATA!$C:$C,$B920,DATA!$J:$J,"&gt;="&amp;DATE($I$2,M$4,1),DATA!$J:$J,"&lt;="&amp;DATE($I$2,M$4,M$5))</f>
        <v/>
      </c>
      <c r="N920" s="321">
        <f>SUMIFS(DATA!$I:$I,DATA!$C:$C,$B920,DATA!$J:$J,"&gt;="&amp;DATE($I$2,N$4,1),DATA!$J:$J,"&lt;="&amp;DATE($I$2,N$4,N$5))</f>
        <v/>
      </c>
      <c r="O920" s="321">
        <f>SUMIFS(DATA!$I:$I,DATA!$C:$C,$B920,DATA!$J:$J,"&gt;="&amp;DATE($I$2,O$4,1),DATA!$J:$J,"&lt;="&amp;DATE($I$2,O$4,O$5))</f>
        <v/>
      </c>
      <c r="P920" s="322">
        <f>SUM(D920:O920)</f>
        <v/>
      </c>
    </row>
    <row r="921" hidden="1" outlineLevel="1" ht="15" customHeight="1">
      <c r="A921" s="266" t="n"/>
      <c r="B921" s="126" t="n"/>
      <c r="C921" s="119" t="inlineStr">
        <is>
          <t>Thực tế</t>
        </is>
      </c>
      <c r="D921" s="321">
        <f>SUMIFS(DATA!$M:$M,DATA!$C:$C,$B920,DATA!$N:$N,"&gt;="&amp;DATE($I$2,D$4,1),DATA!$N:$N,"&lt;="&amp;DATE($I$2,D$4,D$5))</f>
        <v/>
      </c>
      <c r="E921" s="321">
        <f>SUMIFS(DATA!$M:$M,DATA!$C:$C,$B920,DATA!$N:$N,"&gt;="&amp;DATE($I$2,E$4,1),DATA!$N:$N,"&lt;="&amp;DATE($I$2,E$4,E$5))</f>
        <v/>
      </c>
      <c r="F921" s="321">
        <f>SUMIFS(DATA!$M:$M,DATA!$C:$C,$B920,DATA!$N:$N,"&gt;="&amp;DATE($I$2,F$4,1),DATA!$N:$N,"&lt;="&amp;DATE($I$2,F$4,F$5))</f>
        <v/>
      </c>
      <c r="G921" s="321">
        <f>SUMIFS(DATA!$M:$M,DATA!$C:$C,$B920,DATA!$N:$N,"&gt;="&amp;DATE($I$2,G$4,1),DATA!$N:$N,"&lt;="&amp;DATE($I$2,G$4,G$5))</f>
        <v/>
      </c>
      <c r="H921" s="321">
        <f>SUMIFS(DATA!$M:$M,DATA!$C:$C,$B920,DATA!$N:$N,"&gt;="&amp;DATE($I$2,H$4,1),DATA!$N:$N,"&lt;="&amp;DATE($I$2,H$4,H$5))</f>
        <v/>
      </c>
      <c r="I921" s="321">
        <f>SUMIFS(DATA!$M:$M,DATA!$C:$C,$B920,DATA!$N:$N,"&gt;="&amp;DATE($I$2,I$4,1),DATA!$N:$N,"&lt;="&amp;DATE($I$2,I$4,I$5))</f>
        <v/>
      </c>
      <c r="J921" s="321">
        <f>SUMIFS(DATA!$M:$M,DATA!$C:$C,$B920,DATA!$N:$N,"&gt;="&amp;DATE($I$2,J$4,1),DATA!$N:$N,"&lt;="&amp;DATE($I$2,J$4,J$5))</f>
        <v/>
      </c>
      <c r="K921" s="321">
        <f>SUMIFS(DATA!$M:$M,DATA!$C:$C,$B920,DATA!$N:$N,"&gt;="&amp;DATE($I$2,K$4,1),DATA!$N:$N,"&lt;="&amp;DATE($I$2,K$4,K$5))</f>
        <v/>
      </c>
      <c r="L921" s="321">
        <f>SUMIFS(DATA!$M:$M,DATA!$C:$C,$B920,DATA!$N:$N,"&gt;="&amp;DATE($I$2,L$4,1),DATA!$N:$N,"&lt;="&amp;DATE($I$2,L$4,L$5))</f>
        <v/>
      </c>
      <c r="M921" s="321">
        <f>SUMIFS(DATA!$M:$M,DATA!$C:$C,$B920,DATA!$N:$N,"&gt;="&amp;DATE($I$2,M$4,1),DATA!$N:$N,"&lt;="&amp;DATE($I$2,M$4,M$5))</f>
        <v/>
      </c>
      <c r="N921" s="321">
        <f>SUMIFS(DATA!$M:$M,DATA!$C:$C,$B920,DATA!$N:$N,"&gt;="&amp;DATE($I$2,N$4,1),DATA!$N:$N,"&lt;="&amp;DATE($I$2,N$4,N$5))</f>
        <v/>
      </c>
      <c r="O921" s="321">
        <f>SUMIFS(DATA!$M:$M,DATA!$C:$C,$B920,DATA!$N:$N,"&gt;="&amp;DATE($I$2,O$4,1),DATA!$N:$N,"&lt;="&amp;DATE($I$2,O$4,O$5))</f>
        <v/>
      </c>
      <c r="P921" s="322">
        <f>SUM(D921:O921)</f>
        <v/>
      </c>
    </row>
    <row r="922" hidden="1" outlineLevel="1" ht="15" customHeight="1">
      <c r="A922" s="269" t="n">
        <v>459</v>
      </c>
      <c r="B922" s="125" t="n"/>
      <c r="C922" s="119" t="inlineStr">
        <is>
          <t>Kế hoạch</t>
        </is>
      </c>
      <c r="D922" s="321">
        <f>SUMIFS(DATA!$I:$I,DATA!$C:$C,$B922,DATA!$J:$J,"&gt;="&amp;DATE($I$2,D$4,1),DATA!$J:$J,"&lt;="&amp;DATE($I$2,D$4,D$5))</f>
        <v/>
      </c>
      <c r="E922" s="321">
        <f>SUMIFS(DATA!$I:$I,DATA!$C:$C,$B922,DATA!$J:$J,"&gt;="&amp;DATE($I$2,E$4,1),DATA!$J:$J,"&lt;="&amp;DATE($I$2,E$4,E$5))</f>
        <v/>
      </c>
      <c r="F922" s="321">
        <f>SUMIFS(DATA!$I:$I,DATA!$C:$C,$B922,DATA!$J:$J,"&gt;="&amp;DATE($I$2,F$4,1),DATA!$J:$J,"&lt;="&amp;DATE($I$2,F$4,F$5))</f>
        <v/>
      </c>
      <c r="G922" s="321">
        <f>SUMIFS(DATA!$I:$I,DATA!$C:$C,$B922,DATA!$J:$J,"&gt;="&amp;DATE($I$2,G$4,1),DATA!$J:$J,"&lt;="&amp;DATE($I$2,G$4,G$5))</f>
        <v/>
      </c>
      <c r="H922" s="321">
        <f>SUMIFS(DATA!$I:$I,DATA!$C:$C,$B922,DATA!$J:$J,"&gt;="&amp;DATE($I$2,H$4,1),DATA!$J:$J,"&lt;="&amp;DATE($I$2,H$4,H$5))</f>
        <v/>
      </c>
      <c r="I922" s="321">
        <f>SUMIFS(DATA!$I:$I,DATA!$C:$C,$B922,DATA!$J:$J,"&gt;="&amp;DATE($I$2,I$4,1),DATA!$J:$J,"&lt;="&amp;DATE($I$2,I$4,I$5))</f>
        <v/>
      </c>
      <c r="J922" s="321">
        <f>SUMIFS(DATA!$I:$I,DATA!$C:$C,$B922,DATA!$J:$J,"&gt;="&amp;DATE($I$2,J$4,1),DATA!$J:$J,"&lt;="&amp;DATE($I$2,J$4,J$5))</f>
        <v/>
      </c>
      <c r="K922" s="321">
        <f>SUMIFS(DATA!$I:$I,DATA!$C:$C,$B922,DATA!$J:$J,"&gt;="&amp;DATE($I$2,K$4,1),DATA!$J:$J,"&lt;="&amp;DATE($I$2,K$4,K$5))</f>
        <v/>
      </c>
      <c r="L922" s="321">
        <f>SUMIFS(DATA!$I:$I,DATA!$C:$C,$B922,DATA!$J:$J,"&gt;="&amp;DATE($I$2,L$4,1),DATA!$J:$J,"&lt;="&amp;DATE($I$2,L$4,L$5))</f>
        <v/>
      </c>
      <c r="M922" s="321">
        <f>SUMIFS(DATA!$I:$I,DATA!$C:$C,$B922,DATA!$J:$J,"&gt;="&amp;DATE($I$2,M$4,1),DATA!$J:$J,"&lt;="&amp;DATE($I$2,M$4,M$5))</f>
        <v/>
      </c>
      <c r="N922" s="321">
        <f>SUMIFS(DATA!$I:$I,DATA!$C:$C,$B922,DATA!$J:$J,"&gt;="&amp;DATE($I$2,N$4,1),DATA!$J:$J,"&lt;="&amp;DATE($I$2,N$4,N$5))</f>
        <v/>
      </c>
      <c r="O922" s="321">
        <f>SUMIFS(DATA!$I:$I,DATA!$C:$C,$B922,DATA!$J:$J,"&gt;="&amp;DATE($I$2,O$4,1),DATA!$J:$J,"&lt;="&amp;DATE($I$2,O$4,O$5))</f>
        <v/>
      </c>
      <c r="P922" s="322">
        <f>SUM(D922:O922)</f>
        <v/>
      </c>
    </row>
    <row r="923" hidden="1" outlineLevel="1" ht="15" customHeight="1">
      <c r="A923" s="266" t="n"/>
      <c r="B923" s="126" t="n"/>
      <c r="C923" s="119" t="inlineStr">
        <is>
          <t>Thực tế</t>
        </is>
      </c>
      <c r="D923" s="321">
        <f>SUMIFS(DATA!$M:$M,DATA!$C:$C,$B922,DATA!$N:$N,"&gt;="&amp;DATE($I$2,D$4,1),DATA!$N:$N,"&lt;="&amp;DATE($I$2,D$4,D$5))</f>
        <v/>
      </c>
      <c r="E923" s="321">
        <f>SUMIFS(DATA!$M:$M,DATA!$C:$C,$B922,DATA!$N:$N,"&gt;="&amp;DATE($I$2,E$4,1),DATA!$N:$N,"&lt;="&amp;DATE($I$2,E$4,E$5))</f>
        <v/>
      </c>
      <c r="F923" s="321">
        <f>SUMIFS(DATA!$M:$M,DATA!$C:$C,$B922,DATA!$N:$N,"&gt;="&amp;DATE($I$2,F$4,1),DATA!$N:$N,"&lt;="&amp;DATE($I$2,F$4,F$5))</f>
        <v/>
      </c>
      <c r="G923" s="321">
        <f>SUMIFS(DATA!$M:$M,DATA!$C:$C,$B922,DATA!$N:$N,"&gt;="&amp;DATE($I$2,G$4,1),DATA!$N:$N,"&lt;="&amp;DATE($I$2,G$4,G$5))</f>
        <v/>
      </c>
      <c r="H923" s="321">
        <f>SUMIFS(DATA!$M:$M,DATA!$C:$C,$B922,DATA!$N:$N,"&gt;="&amp;DATE($I$2,H$4,1),DATA!$N:$N,"&lt;="&amp;DATE($I$2,H$4,H$5))</f>
        <v/>
      </c>
      <c r="I923" s="321">
        <f>SUMIFS(DATA!$M:$M,DATA!$C:$C,$B922,DATA!$N:$N,"&gt;="&amp;DATE($I$2,I$4,1),DATA!$N:$N,"&lt;="&amp;DATE($I$2,I$4,I$5))</f>
        <v/>
      </c>
      <c r="J923" s="321">
        <f>SUMIFS(DATA!$M:$M,DATA!$C:$C,$B922,DATA!$N:$N,"&gt;="&amp;DATE($I$2,J$4,1),DATA!$N:$N,"&lt;="&amp;DATE($I$2,J$4,J$5))</f>
        <v/>
      </c>
      <c r="K923" s="321">
        <f>SUMIFS(DATA!$M:$M,DATA!$C:$C,$B922,DATA!$N:$N,"&gt;="&amp;DATE($I$2,K$4,1),DATA!$N:$N,"&lt;="&amp;DATE($I$2,K$4,K$5))</f>
        <v/>
      </c>
      <c r="L923" s="321">
        <f>SUMIFS(DATA!$M:$M,DATA!$C:$C,$B922,DATA!$N:$N,"&gt;="&amp;DATE($I$2,L$4,1),DATA!$N:$N,"&lt;="&amp;DATE($I$2,L$4,L$5))</f>
        <v/>
      </c>
      <c r="M923" s="321">
        <f>SUMIFS(DATA!$M:$M,DATA!$C:$C,$B922,DATA!$N:$N,"&gt;="&amp;DATE($I$2,M$4,1),DATA!$N:$N,"&lt;="&amp;DATE($I$2,M$4,M$5))</f>
        <v/>
      </c>
      <c r="N923" s="321">
        <f>SUMIFS(DATA!$M:$M,DATA!$C:$C,$B922,DATA!$N:$N,"&gt;="&amp;DATE($I$2,N$4,1),DATA!$N:$N,"&lt;="&amp;DATE($I$2,N$4,N$5))</f>
        <v/>
      </c>
      <c r="O923" s="321">
        <f>SUMIFS(DATA!$M:$M,DATA!$C:$C,$B922,DATA!$N:$N,"&gt;="&amp;DATE($I$2,O$4,1),DATA!$N:$N,"&lt;="&amp;DATE($I$2,O$4,O$5))</f>
        <v/>
      </c>
      <c r="P923" s="322">
        <f>SUM(D923:O923)</f>
        <v/>
      </c>
    </row>
    <row r="924" hidden="1" outlineLevel="1" ht="15" customHeight="1">
      <c r="A924" s="269" t="n">
        <v>460</v>
      </c>
      <c r="B924" s="125" t="n"/>
      <c r="C924" s="119" t="inlineStr">
        <is>
          <t>Kế hoạch</t>
        </is>
      </c>
      <c r="D924" s="321">
        <f>SUMIFS(DATA!$I:$I,DATA!$C:$C,$B924,DATA!$J:$J,"&gt;="&amp;DATE($I$2,D$4,1),DATA!$J:$J,"&lt;="&amp;DATE($I$2,D$4,D$5))</f>
        <v/>
      </c>
      <c r="E924" s="321">
        <f>SUMIFS(DATA!$I:$I,DATA!$C:$C,$B924,DATA!$J:$J,"&gt;="&amp;DATE($I$2,E$4,1),DATA!$J:$J,"&lt;="&amp;DATE($I$2,E$4,E$5))</f>
        <v/>
      </c>
      <c r="F924" s="321">
        <f>SUMIFS(DATA!$I:$I,DATA!$C:$C,$B924,DATA!$J:$J,"&gt;="&amp;DATE($I$2,F$4,1),DATA!$J:$J,"&lt;="&amp;DATE($I$2,F$4,F$5))</f>
        <v/>
      </c>
      <c r="G924" s="321">
        <f>SUMIFS(DATA!$I:$I,DATA!$C:$C,$B924,DATA!$J:$J,"&gt;="&amp;DATE($I$2,G$4,1),DATA!$J:$J,"&lt;="&amp;DATE($I$2,G$4,G$5))</f>
        <v/>
      </c>
      <c r="H924" s="321">
        <f>SUMIFS(DATA!$I:$I,DATA!$C:$C,$B924,DATA!$J:$J,"&gt;="&amp;DATE($I$2,H$4,1),DATA!$J:$J,"&lt;="&amp;DATE($I$2,H$4,H$5))</f>
        <v/>
      </c>
      <c r="I924" s="321">
        <f>SUMIFS(DATA!$I:$I,DATA!$C:$C,$B924,DATA!$J:$J,"&gt;="&amp;DATE($I$2,I$4,1),DATA!$J:$J,"&lt;="&amp;DATE($I$2,I$4,I$5))</f>
        <v/>
      </c>
      <c r="J924" s="321">
        <f>SUMIFS(DATA!$I:$I,DATA!$C:$C,$B924,DATA!$J:$J,"&gt;="&amp;DATE($I$2,J$4,1),DATA!$J:$J,"&lt;="&amp;DATE($I$2,J$4,J$5))</f>
        <v/>
      </c>
      <c r="K924" s="321">
        <f>SUMIFS(DATA!$I:$I,DATA!$C:$C,$B924,DATA!$J:$J,"&gt;="&amp;DATE($I$2,K$4,1),DATA!$J:$J,"&lt;="&amp;DATE($I$2,K$4,K$5))</f>
        <v/>
      </c>
      <c r="L924" s="321">
        <f>SUMIFS(DATA!$I:$I,DATA!$C:$C,$B924,DATA!$J:$J,"&gt;="&amp;DATE($I$2,L$4,1),DATA!$J:$J,"&lt;="&amp;DATE($I$2,L$4,L$5))</f>
        <v/>
      </c>
      <c r="M924" s="321">
        <f>SUMIFS(DATA!$I:$I,DATA!$C:$C,$B924,DATA!$J:$J,"&gt;="&amp;DATE($I$2,M$4,1),DATA!$J:$J,"&lt;="&amp;DATE($I$2,M$4,M$5))</f>
        <v/>
      </c>
      <c r="N924" s="321">
        <f>SUMIFS(DATA!$I:$I,DATA!$C:$C,$B924,DATA!$J:$J,"&gt;="&amp;DATE($I$2,N$4,1),DATA!$J:$J,"&lt;="&amp;DATE($I$2,N$4,N$5))</f>
        <v/>
      </c>
      <c r="O924" s="321">
        <f>SUMIFS(DATA!$I:$I,DATA!$C:$C,$B924,DATA!$J:$J,"&gt;="&amp;DATE($I$2,O$4,1),DATA!$J:$J,"&lt;="&amp;DATE($I$2,O$4,O$5))</f>
        <v/>
      </c>
      <c r="P924" s="322">
        <f>SUM(D924:O924)</f>
        <v/>
      </c>
    </row>
    <row r="925" hidden="1" outlineLevel="1" ht="15" customHeight="1">
      <c r="A925" s="266" t="n"/>
      <c r="B925" s="126" t="n"/>
      <c r="C925" s="119" t="inlineStr">
        <is>
          <t>Thực tế</t>
        </is>
      </c>
      <c r="D925" s="321">
        <f>SUMIFS(DATA!$M:$M,DATA!$C:$C,$B924,DATA!$N:$N,"&gt;="&amp;DATE($I$2,D$4,1),DATA!$N:$N,"&lt;="&amp;DATE($I$2,D$4,D$5))</f>
        <v/>
      </c>
      <c r="E925" s="321">
        <f>SUMIFS(DATA!$M:$M,DATA!$C:$C,$B924,DATA!$N:$N,"&gt;="&amp;DATE($I$2,E$4,1),DATA!$N:$N,"&lt;="&amp;DATE($I$2,E$4,E$5))</f>
        <v/>
      </c>
      <c r="F925" s="321">
        <f>SUMIFS(DATA!$M:$M,DATA!$C:$C,$B924,DATA!$N:$N,"&gt;="&amp;DATE($I$2,F$4,1),DATA!$N:$N,"&lt;="&amp;DATE($I$2,F$4,F$5))</f>
        <v/>
      </c>
      <c r="G925" s="321">
        <f>SUMIFS(DATA!$M:$M,DATA!$C:$C,$B924,DATA!$N:$N,"&gt;="&amp;DATE($I$2,G$4,1),DATA!$N:$N,"&lt;="&amp;DATE($I$2,G$4,G$5))</f>
        <v/>
      </c>
      <c r="H925" s="321">
        <f>SUMIFS(DATA!$M:$M,DATA!$C:$C,$B924,DATA!$N:$N,"&gt;="&amp;DATE($I$2,H$4,1),DATA!$N:$N,"&lt;="&amp;DATE($I$2,H$4,H$5))</f>
        <v/>
      </c>
      <c r="I925" s="321">
        <f>SUMIFS(DATA!$M:$M,DATA!$C:$C,$B924,DATA!$N:$N,"&gt;="&amp;DATE($I$2,I$4,1),DATA!$N:$N,"&lt;="&amp;DATE($I$2,I$4,I$5))</f>
        <v/>
      </c>
      <c r="J925" s="321">
        <f>SUMIFS(DATA!$M:$M,DATA!$C:$C,$B924,DATA!$N:$N,"&gt;="&amp;DATE($I$2,J$4,1),DATA!$N:$N,"&lt;="&amp;DATE($I$2,J$4,J$5))</f>
        <v/>
      </c>
      <c r="K925" s="321">
        <f>SUMIFS(DATA!$M:$M,DATA!$C:$C,$B924,DATA!$N:$N,"&gt;="&amp;DATE($I$2,K$4,1),DATA!$N:$N,"&lt;="&amp;DATE($I$2,K$4,K$5))</f>
        <v/>
      </c>
      <c r="L925" s="321">
        <f>SUMIFS(DATA!$M:$M,DATA!$C:$C,$B924,DATA!$N:$N,"&gt;="&amp;DATE($I$2,L$4,1),DATA!$N:$N,"&lt;="&amp;DATE($I$2,L$4,L$5))</f>
        <v/>
      </c>
      <c r="M925" s="321">
        <f>SUMIFS(DATA!$M:$M,DATA!$C:$C,$B924,DATA!$N:$N,"&gt;="&amp;DATE($I$2,M$4,1),DATA!$N:$N,"&lt;="&amp;DATE($I$2,M$4,M$5))</f>
        <v/>
      </c>
      <c r="N925" s="321">
        <f>SUMIFS(DATA!$M:$M,DATA!$C:$C,$B924,DATA!$N:$N,"&gt;="&amp;DATE($I$2,N$4,1),DATA!$N:$N,"&lt;="&amp;DATE($I$2,N$4,N$5))</f>
        <v/>
      </c>
      <c r="O925" s="321">
        <f>SUMIFS(DATA!$M:$M,DATA!$C:$C,$B924,DATA!$N:$N,"&gt;="&amp;DATE($I$2,O$4,1),DATA!$N:$N,"&lt;="&amp;DATE($I$2,O$4,O$5))</f>
        <v/>
      </c>
      <c r="P925" s="322">
        <f>SUM(D925:O925)</f>
        <v/>
      </c>
    </row>
    <row r="926" hidden="1" outlineLevel="1" ht="15" customHeight="1">
      <c r="A926" s="269" t="n">
        <v>461</v>
      </c>
      <c r="B926" s="125" t="n"/>
      <c r="C926" s="119" t="inlineStr">
        <is>
          <t>Kế hoạch</t>
        </is>
      </c>
      <c r="D926" s="321">
        <f>SUMIFS(DATA!$I:$I,DATA!$C:$C,$B926,DATA!$J:$J,"&gt;="&amp;DATE($I$2,D$4,1),DATA!$J:$J,"&lt;="&amp;DATE($I$2,D$4,D$5))</f>
        <v/>
      </c>
      <c r="E926" s="321">
        <f>SUMIFS(DATA!$I:$I,DATA!$C:$C,$B926,DATA!$J:$J,"&gt;="&amp;DATE($I$2,E$4,1),DATA!$J:$J,"&lt;="&amp;DATE($I$2,E$4,E$5))</f>
        <v/>
      </c>
      <c r="F926" s="321">
        <f>SUMIFS(DATA!$I:$I,DATA!$C:$C,$B926,DATA!$J:$J,"&gt;="&amp;DATE($I$2,F$4,1),DATA!$J:$J,"&lt;="&amp;DATE($I$2,F$4,F$5))</f>
        <v/>
      </c>
      <c r="G926" s="321">
        <f>SUMIFS(DATA!$I:$I,DATA!$C:$C,$B926,DATA!$J:$J,"&gt;="&amp;DATE($I$2,G$4,1),DATA!$J:$J,"&lt;="&amp;DATE($I$2,G$4,G$5))</f>
        <v/>
      </c>
      <c r="H926" s="321">
        <f>SUMIFS(DATA!$I:$I,DATA!$C:$C,$B926,DATA!$J:$J,"&gt;="&amp;DATE($I$2,H$4,1),DATA!$J:$J,"&lt;="&amp;DATE($I$2,H$4,H$5))</f>
        <v/>
      </c>
      <c r="I926" s="321">
        <f>SUMIFS(DATA!$I:$I,DATA!$C:$C,$B926,DATA!$J:$J,"&gt;="&amp;DATE($I$2,I$4,1),DATA!$J:$J,"&lt;="&amp;DATE($I$2,I$4,I$5))</f>
        <v/>
      </c>
      <c r="J926" s="321">
        <f>SUMIFS(DATA!$I:$I,DATA!$C:$C,$B926,DATA!$J:$J,"&gt;="&amp;DATE($I$2,J$4,1),DATA!$J:$J,"&lt;="&amp;DATE($I$2,J$4,J$5))</f>
        <v/>
      </c>
      <c r="K926" s="321">
        <f>SUMIFS(DATA!$I:$I,DATA!$C:$C,$B926,DATA!$J:$J,"&gt;="&amp;DATE($I$2,K$4,1),DATA!$J:$J,"&lt;="&amp;DATE($I$2,K$4,K$5))</f>
        <v/>
      </c>
      <c r="L926" s="321">
        <f>SUMIFS(DATA!$I:$I,DATA!$C:$C,$B926,DATA!$J:$J,"&gt;="&amp;DATE($I$2,L$4,1),DATA!$J:$J,"&lt;="&amp;DATE($I$2,L$4,L$5))</f>
        <v/>
      </c>
      <c r="M926" s="321">
        <f>SUMIFS(DATA!$I:$I,DATA!$C:$C,$B926,DATA!$J:$J,"&gt;="&amp;DATE($I$2,M$4,1),DATA!$J:$J,"&lt;="&amp;DATE($I$2,M$4,M$5))</f>
        <v/>
      </c>
      <c r="N926" s="321">
        <f>SUMIFS(DATA!$I:$I,DATA!$C:$C,$B926,DATA!$J:$J,"&gt;="&amp;DATE($I$2,N$4,1),DATA!$J:$J,"&lt;="&amp;DATE($I$2,N$4,N$5))</f>
        <v/>
      </c>
      <c r="O926" s="321">
        <f>SUMIFS(DATA!$I:$I,DATA!$C:$C,$B926,DATA!$J:$J,"&gt;="&amp;DATE($I$2,O$4,1),DATA!$J:$J,"&lt;="&amp;DATE($I$2,O$4,O$5))</f>
        <v/>
      </c>
      <c r="P926" s="322">
        <f>SUM(D926:O926)</f>
        <v/>
      </c>
    </row>
    <row r="927" hidden="1" outlineLevel="1" ht="15" customHeight="1">
      <c r="A927" s="266" t="n"/>
      <c r="B927" s="126" t="n"/>
      <c r="C927" s="119" t="inlineStr">
        <is>
          <t>Thực tế</t>
        </is>
      </c>
      <c r="D927" s="321">
        <f>SUMIFS(DATA!$M:$M,DATA!$C:$C,$B926,DATA!$N:$N,"&gt;="&amp;DATE($I$2,D$4,1),DATA!$N:$N,"&lt;="&amp;DATE($I$2,D$4,D$5))</f>
        <v/>
      </c>
      <c r="E927" s="321">
        <f>SUMIFS(DATA!$M:$M,DATA!$C:$C,$B926,DATA!$N:$N,"&gt;="&amp;DATE($I$2,E$4,1),DATA!$N:$N,"&lt;="&amp;DATE($I$2,E$4,E$5))</f>
        <v/>
      </c>
      <c r="F927" s="321">
        <f>SUMIFS(DATA!$M:$M,DATA!$C:$C,$B926,DATA!$N:$N,"&gt;="&amp;DATE($I$2,F$4,1),DATA!$N:$N,"&lt;="&amp;DATE($I$2,F$4,F$5))</f>
        <v/>
      </c>
      <c r="G927" s="321">
        <f>SUMIFS(DATA!$M:$M,DATA!$C:$C,$B926,DATA!$N:$N,"&gt;="&amp;DATE($I$2,G$4,1),DATA!$N:$N,"&lt;="&amp;DATE($I$2,G$4,G$5))</f>
        <v/>
      </c>
      <c r="H927" s="321">
        <f>SUMIFS(DATA!$M:$M,DATA!$C:$C,$B926,DATA!$N:$N,"&gt;="&amp;DATE($I$2,H$4,1),DATA!$N:$N,"&lt;="&amp;DATE($I$2,H$4,H$5))</f>
        <v/>
      </c>
      <c r="I927" s="321">
        <f>SUMIFS(DATA!$M:$M,DATA!$C:$C,$B926,DATA!$N:$N,"&gt;="&amp;DATE($I$2,I$4,1),DATA!$N:$N,"&lt;="&amp;DATE($I$2,I$4,I$5))</f>
        <v/>
      </c>
      <c r="J927" s="321">
        <f>SUMIFS(DATA!$M:$M,DATA!$C:$C,$B926,DATA!$N:$N,"&gt;="&amp;DATE($I$2,J$4,1),DATA!$N:$N,"&lt;="&amp;DATE($I$2,J$4,J$5))</f>
        <v/>
      </c>
      <c r="K927" s="321">
        <f>SUMIFS(DATA!$M:$M,DATA!$C:$C,$B926,DATA!$N:$N,"&gt;="&amp;DATE($I$2,K$4,1),DATA!$N:$N,"&lt;="&amp;DATE($I$2,K$4,K$5))</f>
        <v/>
      </c>
      <c r="L927" s="321">
        <f>SUMIFS(DATA!$M:$M,DATA!$C:$C,$B926,DATA!$N:$N,"&gt;="&amp;DATE($I$2,L$4,1),DATA!$N:$N,"&lt;="&amp;DATE($I$2,L$4,L$5))</f>
        <v/>
      </c>
      <c r="M927" s="321">
        <f>SUMIFS(DATA!$M:$M,DATA!$C:$C,$B926,DATA!$N:$N,"&gt;="&amp;DATE($I$2,M$4,1),DATA!$N:$N,"&lt;="&amp;DATE($I$2,M$4,M$5))</f>
        <v/>
      </c>
      <c r="N927" s="321">
        <f>SUMIFS(DATA!$M:$M,DATA!$C:$C,$B926,DATA!$N:$N,"&gt;="&amp;DATE($I$2,N$4,1),DATA!$N:$N,"&lt;="&amp;DATE($I$2,N$4,N$5))</f>
        <v/>
      </c>
      <c r="O927" s="321">
        <f>SUMIFS(DATA!$M:$M,DATA!$C:$C,$B926,DATA!$N:$N,"&gt;="&amp;DATE($I$2,O$4,1),DATA!$N:$N,"&lt;="&amp;DATE($I$2,O$4,O$5))</f>
        <v/>
      </c>
      <c r="P927" s="322">
        <f>SUM(D927:O927)</f>
        <v/>
      </c>
    </row>
    <row r="928" hidden="1" outlineLevel="1" ht="15" customHeight="1">
      <c r="A928" s="269" t="n">
        <v>462</v>
      </c>
      <c r="B928" s="125" t="n"/>
      <c r="C928" s="119" t="inlineStr">
        <is>
          <t>Kế hoạch</t>
        </is>
      </c>
      <c r="D928" s="321">
        <f>SUMIFS(DATA!$I:$I,DATA!$C:$C,$B928,DATA!$J:$J,"&gt;="&amp;DATE($I$2,D$4,1),DATA!$J:$J,"&lt;="&amp;DATE($I$2,D$4,D$5))</f>
        <v/>
      </c>
      <c r="E928" s="321">
        <f>SUMIFS(DATA!$I:$I,DATA!$C:$C,$B928,DATA!$J:$J,"&gt;="&amp;DATE($I$2,E$4,1),DATA!$J:$J,"&lt;="&amp;DATE($I$2,E$4,E$5))</f>
        <v/>
      </c>
      <c r="F928" s="321">
        <f>SUMIFS(DATA!$I:$I,DATA!$C:$C,$B928,DATA!$J:$J,"&gt;="&amp;DATE($I$2,F$4,1),DATA!$J:$J,"&lt;="&amp;DATE($I$2,F$4,F$5))</f>
        <v/>
      </c>
      <c r="G928" s="321">
        <f>SUMIFS(DATA!$I:$I,DATA!$C:$C,$B928,DATA!$J:$J,"&gt;="&amp;DATE($I$2,G$4,1),DATA!$J:$J,"&lt;="&amp;DATE($I$2,G$4,G$5))</f>
        <v/>
      </c>
      <c r="H928" s="321">
        <f>SUMIFS(DATA!$I:$I,DATA!$C:$C,$B928,DATA!$J:$J,"&gt;="&amp;DATE($I$2,H$4,1),DATA!$J:$J,"&lt;="&amp;DATE($I$2,H$4,H$5))</f>
        <v/>
      </c>
      <c r="I928" s="321">
        <f>SUMIFS(DATA!$I:$I,DATA!$C:$C,$B928,DATA!$J:$J,"&gt;="&amp;DATE($I$2,I$4,1),DATA!$J:$J,"&lt;="&amp;DATE($I$2,I$4,I$5))</f>
        <v/>
      </c>
      <c r="J928" s="321">
        <f>SUMIFS(DATA!$I:$I,DATA!$C:$C,$B928,DATA!$J:$J,"&gt;="&amp;DATE($I$2,J$4,1),DATA!$J:$J,"&lt;="&amp;DATE($I$2,J$4,J$5))</f>
        <v/>
      </c>
      <c r="K928" s="321">
        <f>SUMIFS(DATA!$I:$I,DATA!$C:$C,$B928,DATA!$J:$J,"&gt;="&amp;DATE($I$2,K$4,1),DATA!$J:$J,"&lt;="&amp;DATE($I$2,K$4,K$5))</f>
        <v/>
      </c>
      <c r="L928" s="321">
        <f>SUMIFS(DATA!$I:$I,DATA!$C:$C,$B928,DATA!$J:$J,"&gt;="&amp;DATE($I$2,L$4,1),DATA!$J:$J,"&lt;="&amp;DATE($I$2,L$4,L$5))</f>
        <v/>
      </c>
      <c r="M928" s="321">
        <f>SUMIFS(DATA!$I:$I,DATA!$C:$C,$B928,DATA!$J:$J,"&gt;="&amp;DATE($I$2,M$4,1),DATA!$J:$J,"&lt;="&amp;DATE($I$2,M$4,M$5))</f>
        <v/>
      </c>
      <c r="N928" s="321">
        <f>SUMIFS(DATA!$I:$I,DATA!$C:$C,$B928,DATA!$J:$J,"&gt;="&amp;DATE($I$2,N$4,1),DATA!$J:$J,"&lt;="&amp;DATE($I$2,N$4,N$5))</f>
        <v/>
      </c>
      <c r="O928" s="321">
        <f>SUMIFS(DATA!$I:$I,DATA!$C:$C,$B928,DATA!$J:$J,"&gt;="&amp;DATE($I$2,O$4,1),DATA!$J:$J,"&lt;="&amp;DATE($I$2,O$4,O$5))</f>
        <v/>
      </c>
      <c r="P928" s="322">
        <f>SUM(D928:O928)</f>
        <v/>
      </c>
    </row>
    <row r="929" hidden="1" outlineLevel="1" ht="15" customHeight="1">
      <c r="A929" s="266" t="n"/>
      <c r="B929" s="126" t="n"/>
      <c r="C929" s="119" t="inlineStr">
        <is>
          <t>Thực tế</t>
        </is>
      </c>
      <c r="D929" s="321">
        <f>SUMIFS(DATA!$M:$M,DATA!$C:$C,$B928,DATA!$N:$N,"&gt;="&amp;DATE($I$2,D$4,1),DATA!$N:$N,"&lt;="&amp;DATE($I$2,D$4,D$5))</f>
        <v/>
      </c>
      <c r="E929" s="321">
        <f>SUMIFS(DATA!$M:$M,DATA!$C:$C,$B928,DATA!$N:$N,"&gt;="&amp;DATE($I$2,E$4,1),DATA!$N:$N,"&lt;="&amp;DATE($I$2,E$4,E$5))</f>
        <v/>
      </c>
      <c r="F929" s="321">
        <f>SUMIFS(DATA!$M:$M,DATA!$C:$C,$B928,DATA!$N:$N,"&gt;="&amp;DATE($I$2,F$4,1),DATA!$N:$N,"&lt;="&amp;DATE($I$2,F$4,F$5))</f>
        <v/>
      </c>
      <c r="G929" s="321">
        <f>SUMIFS(DATA!$M:$M,DATA!$C:$C,$B928,DATA!$N:$N,"&gt;="&amp;DATE($I$2,G$4,1),DATA!$N:$N,"&lt;="&amp;DATE($I$2,G$4,G$5))</f>
        <v/>
      </c>
      <c r="H929" s="321">
        <f>SUMIFS(DATA!$M:$M,DATA!$C:$C,$B928,DATA!$N:$N,"&gt;="&amp;DATE($I$2,H$4,1),DATA!$N:$N,"&lt;="&amp;DATE($I$2,H$4,H$5))</f>
        <v/>
      </c>
      <c r="I929" s="321">
        <f>SUMIFS(DATA!$M:$M,DATA!$C:$C,$B928,DATA!$N:$N,"&gt;="&amp;DATE($I$2,I$4,1),DATA!$N:$N,"&lt;="&amp;DATE($I$2,I$4,I$5))</f>
        <v/>
      </c>
      <c r="J929" s="321">
        <f>SUMIFS(DATA!$M:$M,DATA!$C:$C,$B928,DATA!$N:$N,"&gt;="&amp;DATE($I$2,J$4,1),DATA!$N:$N,"&lt;="&amp;DATE($I$2,J$4,J$5))</f>
        <v/>
      </c>
      <c r="K929" s="321">
        <f>SUMIFS(DATA!$M:$M,DATA!$C:$C,$B928,DATA!$N:$N,"&gt;="&amp;DATE($I$2,K$4,1),DATA!$N:$N,"&lt;="&amp;DATE($I$2,K$4,K$5))</f>
        <v/>
      </c>
      <c r="L929" s="321">
        <f>SUMIFS(DATA!$M:$M,DATA!$C:$C,$B928,DATA!$N:$N,"&gt;="&amp;DATE($I$2,L$4,1),DATA!$N:$N,"&lt;="&amp;DATE($I$2,L$4,L$5))</f>
        <v/>
      </c>
      <c r="M929" s="321">
        <f>SUMIFS(DATA!$M:$M,DATA!$C:$C,$B928,DATA!$N:$N,"&gt;="&amp;DATE($I$2,M$4,1),DATA!$N:$N,"&lt;="&amp;DATE($I$2,M$4,M$5))</f>
        <v/>
      </c>
      <c r="N929" s="321">
        <f>SUMIFS(DATA!$M:$M,DATA!$C:$C,$B928,DATA!$N:$N,"&gt;="&amp;DATE($I$2,N$4,1),DATA!$N:$N,"&lt;="&amp;DATE($I$2,N$4,N$5))</f>
        <v/>
      </c>
      <c r="O929" s="321">
        <f>SUMIFS(DATA!$M:$M,DATA!$C:$C,$B928,DATA!$N:$N,"&gt;="&amp;DATE($I$2,O$4,1),DATA!$N:$N,"&lt;="&amp;DATE($I$2,O$4,O$5))</f>
        <v/>
      </c>
      <c r="P929" s="322">
        <f>SUM(D929:O929)</f>
        <v/>
      </c>
    </row>
    <row r="930" hidden="1" outlineLevel="1" ht="15" customHeight="1">
      <c r="A930" s="269" t="n">
        <v>463</v>
      </c>
      <c r="B930" s="125" t="n"/>
      <c r="C930" s="119" t="inlineStr">
        <is>
          <t>Kế hoạch</t>
        </is>
      </c>
      <c r="D930" s="321">
        <f>SUMIFS(DATA!$I:$I,DATA!$C:$C,$B930,DATA!$J:$J,"&gt;="&amp;DATE($I$2,D$4,1),DATA!$J:$J,"&lt;="&amp;DATE($I$2,D$4,D$5))</f>
        <v/>
      </c>
      <c r="E930" s="321">
        <f>SUMIFS(DATA!$I:$I,DATA!$C:$C,$B930,DATA!$J:$J,"&gt;="&amp;DATE($I$2,E$4,1),DATA!$J:$J,"&lt;="&amp;DATE($I$2,E$4,E$5))</f>
        <v/>
      </c>
      <c r="F930" s="321">
        <f>SUMIFS(DATA!$I:$I,DATA!$C:$C,$B930,DATA!$J:$J,"&gt;="&amp;DATE($I$2,F$4,1),DATA!$J:$J,"&lt;="&amp;DATE($I$2,F$4,F$5))</f>
        <v/>
      </c>
      <c r="G930" s="321">
        <f>SUMIFS(DATA!$I:$I,DATA!$C:$C,$B930,DATA!$J:$J,"&gt;="&amp;DATE($I$2,G$4,1),DATA!$J:$J,"&lt;="&amp;DATE($I$2,G$4,G$5))</f>
        <v/>
      </c>
      <c r="H930" s="321">
        <f>SUMIFS(DATA!$I:$I,DATA!$C:$C,$B930,DATA!$J:$J,"&gt;="&amp;DATE($I$2,H$4,1),DATA!$J:$J,"&lt;="&amp;DATE($I$2,H$4,H$5))</f>
        <v/>
      </c>
      <c r="I930" s="321">
        <f>SUMIFS(DATA!$I:$I,DATA!$C:$C,$B930,DATA!$J:$J,"&gt;="&amp;DATE($I$2,I$4,1),DATA!$J:$J,"&lt;="&amp;DATE($I$2,I$4,I$5))</f>
        <v/>
      </c>
      <c r="J930" s="321">
        <f>SUMIFS(DATA!$I:$I,DATA!$C:$C,$B930,DATA!$J:$J,"&gt;="&amp;DATE($I$2,J$4,1),DATA!$J:$J,"&lt;="&amp;DATE($I$2,J$4,J$5))</f>
        <v/>
      </c>
      <c r="K930" s="321">
        <f>SUMIFS(DATA!$I:$I,DATA!$C:$C,$B930,DATA!$J:$J,"&gt;="&amp;DATE($I$2,K$4,1),DATA!$J:$J,"&lt;="&amp;DATE($I$2,K$4,K$5))</f>
        <v/>
      </c>
      <c r="L930" s="321">
        <f>SUMIFS(DATA!$I:$I,DATA!$C:$C,$B930,DATA!$J:$J,"&gt;="&amp;DATE($I$2,L$4,1),DATA!$J:$J,"&lt;="&amp;DATE($I$2,L$4,L$5))</f>
        <v/>
      </c>
      <c r="M930" s="321">
        <f>SUMIFS(DATA!$I:$I,DATA!$C:$C,$B930,DATA!$J:$J,"&gt;="&amp;DATE($I$2,M$4,1),DATA!$J:$J,"&lt;="&amp;DATE($I$2,M$4,M$5))</f>
        <v/>
      </c>
      <c r="N930" s="321">
        <f>SUMIFS(DATA!$I:$I,DATA!$C:$C,$B930,DATA!$J:$J,"&gt;="&amp;DATE($I$2,N$4,1),DATA!$J:$J,"&lt;="&amp;DATE($I$2,N$4,N$5))</f>
        <v/>
      </c>
      <c r="O930" s="321">
        <f>SUMIFS(DATA!$I:$I,DATA!$C:$C,$B930,DATA!$J:$J,"&gt;="&amp;DATE($I$2,O$4,1),DATA!$J:$J,"&lt;="&amp;DATE($I$2,O$4,O$5))</f>
        <v/>
      </c>
      <c r="P930" s="322">
        <f>SUM(D930:O930)</f>
        <v/>
      </c>
    </row>
    <row r="931" hidden="1" outlineLevel="1" ht="15" customHeight="1">
      <c r="A931" s="266" t="n"/>
      <c r="B931" s="126" t="n"/>
      <c r="C931" s="119" t="inlineStr">
        <is>
          <t>Thực tế</t>
        </is>
      </c>
      <c r="D931" s="321">
        <f>SUMIFS(DATA!$M:$M,DATA!$C:$C,$B930,DATA!$N:$N,"&gt;="&amp;DATE($I$2,D$4,1),DATA!$N:$N,"&lt;="&amp;DATE($I$2,D$4,D$5))</f>
        <v/>
      </c>
      <c r="E931" s="321">
        <f>SUMIFS(DATA!$M:$M,DATA!$C:$C,$B930,DATA!$N:$N,"&gt;="&amp;DATE($I$2,E$4,1),DATA!$N:$N,"&lt;="&amp;DATE($I$2,E$4,E$5))</f>
        <v/>
      </c>
      <c r="F931" s="321">
        <f>SUMIFS(DATA!$M:$M,DATA!$C:$C,$B930,DATA!$N:$N,"&gt;="&amp;DATE($I$2,F$4,1),DATA!$N:$N,"&lt;="&amp;DATE($I$2,F$4,F$5))</f>
        <v/>
      </c>
      <c r="G931" s="321">
        <f>SUMIFS(DATA!$M:$M,DATA!$C:$C,$B930,DATA!$N:$N,"&gt;="&amp;DATE($I$2,G$4,1),DATA!$N:$N,"&lt;="&amp;DATE($I$2,G$4,G$5))</f>
        <v/>
      </c>
      <c r="H931" s="321">
        <f>SUMIFS(DATA!$M:$M,DATA!$C:$C,$B930,DATA!$N:$N,"&gt;="&amp;DATE($I$2,H$4,1),DATA!$N:$N,"&lt;="&amp;DATE($I$2,H$4,H$5))</f>
        <v/>
      </c>
      <c r="I931" s="321">
        <f>SUMIFS(DATA!$M:$M,DATA!$C:$C,$B930,DATA!$N:$N,"&gt;="&amp;DATE($I$2,I$4,1),DATA!$N:$N,"&lt;="&amp;DATE($I$2,I$4,I$5))</f>
        <v/>
      </c>
      <c r="J931" s="321">
        <f>SUMIFS(DATA!$M:$M,DATA!$C:$C,$B930,DATA!$N:$N,"&gt;="&amp;DATE($I$2,J$4,1),DATA!$N:$N,"&lt;="&amp;DATE($I$2,J$4,J$5))</f>
        <v/>
      </c>
      <c r="K931" s="321">
        <f>SUMIFS(DATA!$M:$M,DATA!$C:$C,$B930,DATA!$N:$N,"&gt;="&amp;DATE($I$2,K$4,1),DATA!$N:$N,"&lt;="&amp;DATE($I$2,K$4,K$5))</f>
        <v/>
      </c>
      <c r="L931" s="321">
        <f>SUMIFS(DATA!$M:$M,DATA!$C:$C,$B930,DATA!$N:$N,"&gt;="&amp;DATE($I$2,L$4,1),DATA!$N:$N,"&lt;="&amp;DATE($I$2,L$4,L$5))</f>
        <v/>
      </c>
      <c r="M931" s="321">
        <f>SUMIFS(DATA!$M:$M,DATA!$C:$C,$B930,DATA!$N:$N,"&gt;="&amp;DATE($I$2,M$4,1),DATA!$N:$N,"&lt;="&amp;DATE($I$2,M$4,M$5))</f>
        <v/>
      </c>
      <c r="N931" s="321">
        <f>SUMIFS(DATA!$M:$M,DATA!$C:$C,$B930,DATA!$N:$N,"&gt;="&amp;DATE($I$2,N$4,1),DATA!$N:$N,"&lt;="&amp;DATE($I$2,N$4,N$5))</f>
        <v/>
      </c>
      <c r="O931" s="321">
        <f>SUMIFS(DATA!$M:$M,DATA!$C:$C,$B930,DATA!$N:$N,"&gt;="&amp;DATE($I$2,O$4,1),DATA!$N:$N,"&lt;="&amp;DATE($I$2,O$4,O$5))</f>
        <v/>
      </c>
      <c r="P931" s="322">
        <f>SUM(D931:O931)</f>
        <v/>
      </c>
    </row>
    <row r="932" hidden="1" outlineLevel="1" ht="15" customHeight="1">
      <c r="A932" s="269" t="n">
        <v>464</v>
      </c>
      <c r="B932" s="125" t="n"/>
      <c r="C932" s="119" t="inlineStr">
        <is>
          <t>Kế hoạch</t>
        </is>
      </c>
      <c r="D932" s="321">
        <f>SUMIFS(DATA!$I:$I,DATA!$C:$C,$B932,DATA!$J:$J,"&gt;="&amp;DATE($I$2,D$4,1),DATA!$J:$J,"&lt;="&amp;DATE($I$2,D$4,D$5))</f>
        <v/>
      </c>
      <c r="E932" s="321">
        <f>SUMIFS(DATA!$I:$I,DATA!$C:$C,$B932,DATA!$J:$J,"&gt;="&amp;DATE($I$2,E$4,1),DATA!$J:$J,"&lt;="&amp;DATE($I$2,E$4,E$5))</f>
        <v/>
      </c>
      <c r="F932" s="321">
        <f>SUMIFS(DATA!$I:$I,DATA!$C:$C,$B932,DATA!$J:$J,"&gt;="&amp;DATE($I$2,F$4,1),DATA!$J:$J,"&lt;="&amp;DATE($I$2,F$4,F$5))</f>
        <v/>
      </c>
      <c r="G932" s="321">
        <f>SUMIFS(DATA!$I:$I,DATA!$C:$C,$B932,DATA!$J:$J,"&gt;="&amp;DATE($I$2,G$4,1),DATA!$J:$J,"&lt;="&amp;DATE($I$2,G$4,G$5))</f>
        <v/>
      </c>
      <c r="H932" s="321">
        <f>SUMIFS(DATA!$I:$I,DATA!$C:$C,$B932,DATA!$J:$J,"&gt;="&amp;DATE($I$2,H$4,1),DATA!$J:$J,"&lt;="&amp;DATE($I$2,H$4,H$5))</f>
        <v/>
      </c>
      <c r="I932" s="321">
        <f>SUMIFS(DATA!$I:$I,DATA!$C:$C,$B932,DATA!$J:$J,"&gt;="&amp;DATE($I$2,I$4,1),DATA!$J:$J,"&lt;="&amp;DATE($I$2,I$4,I$5))</f>
        <v/>
      </c>
      <c r="J932" s="321">
        <f>SUMIFS(DATA!$I:$I,DATA!$C:$C,$B932,DATA!$J:$J,"&gt;="&amp;DATE($I$2,J$4,1),DATA!$J:$J,"&lt;="&amp;DATE($I$2,J$4,J$5))</f>
        <v/>
      </c>
      <c r="K932" s="321">
        <f>SUMIFS(DATA!$I:$I,DATA!$C:$C,$B932,DATA!$J:$J,"&gt;="&amp;DATE($I$2,K$4,1),DATA!$J:$J,"&lt;="&amp;DATE($I$2,K$4,K$5))</f>
        <v/>
      </c>
      <c r="L932" s="321">
        <f>SUMIFS(DATA!$I:$I,DATA!$C:$C,$B932,DATA!$J:$J,"&gt;="&amp;DATE($I$2,L$4,1),DATA!$J:$J,"&lt;="&amp;DATE($I$2,L$4,L$5))</f>
        <v/>
      </c>
      <c r="M932" s="321">
        <f>SUMIFS(DATA!$I:$I,DATA!$C:$C,$B932,DATA!$J:$J,"&gt;="&amp;DATE($I$2,M$4,1),DATA!$J:$J,"&lt;="&amp;DATE($I$2,M$4,M$5))</f>
        <v/>
      </c>
      <c r="N932" s="321">
        <f>SUMIFS(DATA!$I:$I,DATA!$C:$C,$B932,DATA!$J:$J,"&gt;="&amp;DATE($I$2,N$4,1),DATA!$J:$J,"&lt;="&amp;DATE($I$2,N$4,N$5))</f>
        <v/>
      </c>
      <c r="O932" s="321">
        <f>SUMIFS(DATA!$I:$I,DATA!$C:$C,$B932,DATA!$J:$J,"&gt;="&amp;DATE($I$2,O$4,1),DATA!$J:$J,"&lt;="&amp;DATE($I$2,O$4,O$5))</f>
        <v/>
      </c>
      <c r="P932" s="322">
        <f>SUM(D932:O932)</f>
        <v/>
      </c>
    </row>
    <row r="933" hidden="1" outlineLevel="1" ht="15" customHeight="1">
      <c r="A933" s="266" t="n"/>
      <c r="B933" s="126" t="n"/>
      <c r="C933" s="119" t="inlineStr">
        <is>
          <t>Thực tế</t>
        </is>
      </c>
      <c r="D933" s="321">
        <f>SUMIFS(DATA!$M:$M,DATA!$C:$C,$B932,DATA!$N:$N,"&gt;="&amp;DATE($I$2,D$4,1),DATA!$N:$N,"&lt;="&amp;DATE($I$2,D$4,D$5))</f>
        <v/>
      </c>
      <c r="E933" s="321">
        <f>SUMIFS(DATA!$M:$M,DATA!$C:$C,$B932,DATA!$N:$N,"&gt;="&amp;DATE($I$2,E$4,1),DATA!$N:$N,"&lt;="&amp;DATE($I$2,E$4,E$5))</f>
        <v/>
      </c>
      <c r="F933" s="321">
        <f>SUMIFS(DATA!$M:$M,DATA!$C:$C,$B932,DATA!$N:$N,"&gt;="&amp;DATE($I$2,F$4,1),DATA!$N:$N,"&lt;="&amp;DATE($I$2,F$4,F$5))</f>
        <v/>
      </c>
      <c r="G933" s="321">
        <f>SUMIFS(DATA!$M:$M,DATA!$C:$C,$B932,DATA!$N:$N,"&gt;="&amp;DATE($I$2,G$4,1),DATA!$N:$N,"&lt;="&amp;DATE($I$2,G$4,G$5))</f>
        <v/>
      </c>
      <c r="H933" s="321">
        <f>SUMIFS(DATA!$M:$M,DATA!$C:$C,$B932,DATA!$N:$N,"&gt;="&amp;DATE($I$2,H$4,1),DATA!$N:$N,"&lt;="&amp;DATE($I$2,H$4,H$5))</f>
        <v/>
      </c>
      <c r="I933" s="321">
        <f>SUMIFS(DATA!$M:$M,DATA!$C:$C,$B932,DATA!$N:$N,"&gt;="&amp;DATE($I$2,I$4,1),DATA!$N:$N,"&lt;="&amp;DATE($I$2,I$4,I$5))</f>
        <v/>
      </c>
      <c r="J933" s="321">
        <f>SUMIFS(DATA!$M:$M,DATA!$C:$C,$B932,DATA!$N:$N,"&gt;="&amp;DATE($I$2,J$4,1),DATA!$N:$N,"&lt;="&amp;DATE($I$2,J$4,J$5))</f>
        <v/>
      </c>
      <c r="K933" s="321">
        <f>SUMIFS(DATA!$M:$M,DATA!$C:$C,$B932,DATA!$N:$N,"&gt;="&amp;DATE($I$2,K$4,1),DATA!$N:$N,"&lt;="&amp;DATE($I$2,K$4,K$5))</f>
        <v/>
      </c>
      <c r="L933" s="321">
        <f>SUMIFS(DATA!$M:$M,DATA!$C:$C,$B932,DATA!$N:$N,"&gt;="&amp;DATE($I$2,L$4,1),DATA!$N:$N,"&lt;="&amp;DATE($I$2,L$4,L$5))</f>
        <v/>
      </c>
      <c r="M933" s="321">
        <f>SUMIFS(DATA!$M:$M,DATA!$C:$C,$B932,DATA!$N:$N,"&gt;="&amp;DATE($I$2,M$4,1),DATA!$N:$N,"&lt;="&amp;DATE($I$2,M$4,M$5))</f>
        <v/>
      </c>
      <c r="N933" s="321">
        <f>SUMIFS(DATA!$M:$M,DATA!$C:$C,$B932,DATA!$N:$N,"&gt;="&amp;DATE($I$2,N$4,1),DATA!$N:$N,"&lt;="&amp;DATE($I$2,N$4,N$5))</f>
        <v/>
      </c>
      <c r="O933" s="321">
        <f>SUMIFS(DATA!$M:$M,DATA!$C:$C,$B932,DATA!$N:$N,"&gt;="&amp;DATE($I$2,O$4,1),DATA!$N:$N,"&lt;="&amp;DATE($I$2,O$4,O$5))</f>
        <v/>
      </c>
      <c r="P933" s="322">
        <f>SUM(D933:O933)</f>
        <v/>
      </c>
    </row>
    <row r="934" hidden="1" outlineLevel="1" ht="15" customHeight="1">
      <c r="A934" s="269" t="n">
        <v>465</v>
      </c>
      <c r="B934" s="125" t="n"/>
      <c r="C934" s="119" t="inlineStr">
        <is>
          <t>Kế hoạch</t>
        </is>
      </c>
      <c r="D934" s="321">
        <f>SUMIFS(DATA!$I:$I,DATA!$C:$C,$B934,DATA!$J:$J,"&gt;="&amp;DATE($I$2,D$4,1),DATA!$J:$J,"&lt;="&amp;DATE($I$2,D$4,D$5))</f>
        <v/>
      </c>
      <c r="E934" s="321">
        <f>SUMIFS(DATA!$I:$I,DATA!$C:$C,$B934,DATA!$J:$J,"&gt;="&amp;DATE($I$2,E$4,1),DATA!$J:$J,"&lt;="&amp;DATE($I$2,E$4,E$5))</f>
        <v/>
      </c>
      <c r="F934" s="321">
        <f>SUMIFS(DATA!$I:$I,DATA!$C:$C,$B934,DATA!$J:$J,"&gt;="&amp;DATE($I$2,F$4,1),DATA!$J:$J,"&lt;="&amp;DATE($I$2,F$4,F$5))</f>
        <v/>
      </c>
      <c r="G934" s="321">
        <f>SUMIFS(DATA!$I:$I,DATA!$C:$C,$B934,DATA!$J:$J,"&gt;="&amp;DATE($I$2,G$4,1),DATA!$J:$J,"&lt;="&amp;DATE($I$2,G$4,G$5))</f>
        <v/>
      </c>
      <c r="H934" s="321">
        <f>SUMIFS(DATA!$I:$I,DATA!$C:$C,$B934,DATA!$J:$J,"&gt;="&amp;DATE($I$2,H$4,1),DATA!$J:$J,"&lt;="&amp;DATE($I$2,H$4,H$5))</f>
        <v/>
      </c>
      <c r="I934" s="321">
        <f>SUMIFS(DATA!$I:$I,DATA!$C:$C,$B934,DATA!$J:$J,"&gt;="&amp;DATE($I$2,I$4,1),DATA!$J:$J,"&lt;="&amp;DATE($I$2,I$4,I$5))</f>
        <v/>
      </c>
      <c r="J934" s="321">
        <f>SUMIFS(DATA!$I:$I,DATA!$C:$C,$B934,DATA!$J:$J,"&gt;="&amp;DATE($I$2,J$4,1),DATA!$J:$J,"&lt;="&amp;DATE($I$2,J$4,J$5))</f>
        <v/>
      </c>
      <c r="K934" s="321">
        <f>SUMIFS(DATA!$I:$I,DATA!$C:$C,$B934,DATA!$J:$J,"&gt;="&amp;DATE($I$2,K$4,1),DATA!$J:$J,"&lt;="&amp;DATE($I$2,K$4,K$5))</f>
        <v/>
      </c>
      <c r="L934" s="321">
        <f>SUMIFS(DATA!$I:$I,DATA!$C:$C,$B934,DATA!$J:$J,"&gt;="&amp;DATE($I$2,L$4,1),DATA!$J:$J,"&lt;="&amp;DATE($I$2,L$4,L$5))</f>
        <v/>
      </c>
      <c r="M934" s="321">
        <f>SUMIFS(DATA!$I:$I,DATA!$C:$C,$B934,DATA!$J:$J,"&gt;="&amp;DATE($I$2,M$4,1),DATA!$J:$J,"&lt;="&amp;DATE($I$2,M$4,M$5))</f>
        <v/>
      </c>
      <c r="N934" s="321">
        <f>SUMIFS(DATA!$I:$I,DATA!$C:$C,$B934,DATA!$J:$J,"&gt;="&amp;DATE($I$2,N$4,1),DATA!$J:$J,"&lt;="&amp;DATE($I$2,N$4,N$5))</f>
        <v/>
      </c>
      <c r="O934" s="321">
        <f>SUMIFS(DATA!$I:$I,DATA!$C:$C,$B934,DATA!$J:$J,"&gt;="&amp;DATE($I$2,O$4,1),DATA!$J:$J,"&lt;="&amp;DATE($I$2,O$4,O$5))</f>
        <v/>
      </c>
      <c r="P934" s="322">
        <f>SUM(D934:O934)</f>
        <v/>
      </c>
    </row>
    <row r="935" hidden="1" outlineLevel="1" ht="15" customHeight="1">
      <c r="A935" s="266" t="n"/>
      <c r="B935" s="126" t="n"/>
      <c r="C935" s="119" t="inlineStr">
        <is>
          <t>Thực tế</t>
        </is>
      </c>
      <c r="D935" s="321">
        <f>SUMIFS(DATA!$M:$M,DATA!$C:$C,$B934,DATA!$N:$N,"&gt;="&amp;DATE($I$2,D$4,1),DATA!$N:$N,"&lt;="&amp;DATE($I$2,D$4,D$5))</f>
        <v/>
      </c>
      <c r="E935" s="321">
        <f>SUMIFS(DATA!$M:$M,DATA!$C:$C,$B934,DATA!$N:$N,"&gt;="&amp;DATE($I$2,E$4,1),DATA!$N:$N,"&lt;="&amp;DATE($I$2,E$4,E$5))</f>
        <v/>
      </c>
      <c r="F935" s="321">
        <f>SUMIFS(DATA!$M:$M,DATA!$C:$C,$B934,DATA!$N:$N,"&gt;="&amp;DATE($I$2,F$4,1),DATA!$N:$N,"&lt;="&amp;DATE($I$2,F$4,F$5))</f>
        <v/>
      </c>
      <c r="G935" s="321">
        <f>SUMIFS(DATA!$M:$M,DATA!$C:$C,$B934,DATA!$N:$N,"&gt;="&amp;DATE($I$2,G$4,1),DATA!$N:$N,"&lt;="&amp;DATE($I$2,G$4,G$5))</f>
        <v/>
      </c>
      <c r="H935" s="321">
        <f>SUMIFS(DATA!$M:$M,DATA!$C:$C,$B934,DATA!$N:$N,"&gt;="&amp;DATE($I$2,H$4,1),DATA!$N:$N,"&lt;="&amp;DATE($I$2,H$4,H$5))</f>
        <v/>
      </c>
      <c r="I935" s="321">
        <f>SUMIFS(DATA!$M:$M,DATA!$C:$C,$B934,DATA!$N:$N,"&gt;="&amp;DATE($I$2,I$4,1),DATA!$N:$N,"&lt;="&amp;DATE($I$2,I$4,I$5))</f>
        <v/>
      </c>
      <c r="J935" s="321">
        <f>SUMIFS(DATA!$M:$M,DATA!$C:$C,$B934,DATA!$N:$N,"&gt;="&amp;DATE($I$2,J$4,1),DATA!$N:$N,"&lt;="&amp;DATE($I$2,J$4,J$5))</f>
        <v/>
      </c>
      <c r="K935" s="321">
        <f>SUMIFS(DATA!$M:$M,DATA!$C:$C,$B934,DATA!$N:$N,"&gt;="&amp;DATE($I$2,K$4,1),DATA!$N:$N,"&lt;="&amp;DATE($I$2,K$4,K$5))</f>
        <v/>
      </c>
      <c r="L935" s="321">
        <f>SUMIFS(DATA!$M:$M,DATA!$C:$C,$B934,DATA!$N:$N,"&gt;="&amp;DATE($I$2,L$4,1),DATA!$N:$N,"&lt;="&amp;DATE($I$2,L$4,L$5))</f>
        <v/>
      </c>
      <c r="M935" s="321">
        <f>SUMIFS(DATA!$M:$M,DATA!$C:$C,$B934,DATA!$N:$N,"&gt;="&amp;DATE($I$2,M$4,1),DATA!$N:$N,"&lt;="&amp;DATE($I$2,M$4,M$5))</f>
        <v/>
      </c>
      <c r="N935" s="321">
        <f>SUMIFS(DATA!$M:$M,DATA!$C:$C,$B934,DATA!$N:$N,"&gt;="&amp;DATE($I$2,N$4,1),DATA!$N:$N,"&lt;="&amp;DATE($I$2,N$4,N$5))</f>
        <v/>
      </c>
      <c r="O935" s="321">
        <f>SUMIFS(DATA!$M:$M,DATA!$C:$C,$B934,DATA!$N:$N,"&gt;="&amp;DATE($I$2,O$4,1),DATA!$N:$N,"&lt;="&amp;DATE($I$2,O$4,O$5))</f>
        <v/>
      </c>
      <c r="P935" s="322">
        <f>SUM(D935:O935)</f>
        <v/>
      </c>
    </row>
    <row r="936" hidden="1" outlineLevel="1" ht="15" customHeight="1">
      <c r="A936" s="269" t="n">
        <v>466</v>
      </c>
      <c r="B936" s="125" t="n"/>
      <c r="C936" s="119" t="inlineStr">
        <is>
          <t>Kế hoạch</t>
        </is>
      </c>
      <c r="D936" s="321">
        <f>SUMIFS(DATA!$I:$I,DATA!$C:$C,$B936,DATA!$J:$J,"&gt;="&amp;DATE($I$2,D$4,1),DATA!$J:$J,"&lt;="&amp;DATE($I$2,D$4,D$5))</f>
        <v/>
      </c>
      <c r="E936" s="321">
        <f>SUMIFS(DATA!$I:$I,DATA!$C:$C,$B936,DATA!$J:$J,"&gt;="&amp;DATE($I$2,E$4,1),DATA!$J:$J,"&lt;="&amp;DATE($I$2,E$4,E$5))</f>
        <v/>
      </c>
      <c r="F936" s="321">
        <f>SUMIFS(DATA!$I:$I,DATA!$C:$C,$B936,DATA!$J:$J,"&gt;="&amp;DATE($I$2,F$4,1),DATA!$J:$J,"&lt;="&amp;DATE($I$2,F$4,F$5))</f>
        <v/>
      </c>
      <c r="G936" s="321">
        <f>SUMIFS(DATA!$I:$I,DATA!$C:$C,$B936,DATA!$J:$J,"&gt;="&amp;DATE($I$2,G$4,1),DATA!$J:$J,"&lt;="&amp;DATE($I$2,G$4,G$5))</f>
        <v/>
      </c>
      <c r="H936" s="321">
        <f>SUMIFS(DATA!$I:$I,DATA!$C:$C,$B936,DATA!$J:$J,"&gt;="&amp;DATE($I$2,H$4,1),DATA!$J:$J,"&lt;="&amp;DATE($I$2,H$4,H$5))</f>
        <v/>
      </c>
      <c r="I936" s="321">
        <f>SUMIFS(DATA!$I:$I,DATA!$C:$C,$B936,DATA!$J:$J,"&gt;="&amp;DATE($I$2,I$4,1),DATA!$J:$J,"&lt;="&amp;DATE($I$2,I$4,I$5))</f>
        <v/>
      </c>
      <c r="J936" s="321">
        <f>SUMIFS(DATA!$I:$I,DATA!$C:$C,$B936,DATA!$J:$J,"&gt;="&amp;DATE($I$2,J$4,1),DATA!$J:$J,"&lt;="&amp;DATE($I$2,J$4,J$5))</f>
        <v/>
      </c>
      <c r="K936" s="321">
        <f>SUMIFS(DATA!$I:$I,DATA!$C:$C,$B936,DATA!$J:$J,"&gt;="&amp;DATE($I$2,K$4,1),DATA!$J:$J,"&lt;="&amp;DATE($I$2,K$4,K$5))</f>
        <v/>
      </c>
      <c r="L936" s="321">
        <f>SUMIFS(DATA!$I:$I,DATA!$C:$C,$B936,DATA!$J:$J,"&gt;="&amp;DATE($I$2,L$4,1),DATA!$J:$J,"&lt;="&amp;DATE($I$2,L$4,L$5))</f>
        <v/>
      </c>
      <c r="M936" s="321">
        <f>SUMIFS(DATA!$I:$I,DATA!$C:$C,$B936,DATA!$J:$J,"&gt;="&amp;DATE($I$2,M$4,1),DATA!$J:$J,"&lt;="&amp;DATE($I$2,M$4,M$5))</f>
        <v/>
      </c>
      <c r="N936" s="321">
        <f>SUMIFS(DATA!$I:$I,DATA!$C:$C,$B936,DATA!$J:$J,"&gt;="&amp;DATE($I$2,N$4,1),DATA!$J:$J,"&lt;="&amp;DATE($I$2,N$4,N$5))</f>
        <v/>
      </c>
      <c r="O936" s="321">
        <f>SUMIFS(DATA!$I:$I,DATA!$C:$C,$B936,DATA!$J:$J,"&gt;="&amp;DATE($I$2,O$4,1),DATA!$J:$J,"&lt;="&amp;DATE($I$2,O$4,O$5))</f>
        <v/>
      </c>
      <c r="P936" s="322">
        <f>SUM(D936:O936)</f>
        <v/>
      </c>
    </row>
    <row r="937" hidden="1" outlineLevel="1" ht="15" customHeight="1">
      <c r="A937" s="266" t="n"/>
      <c r="B937" s="126" t="n"/>
      <c r="C937" s="119" t="inlineStr">
        <is>
          <t>Thực tế</t>
        </is>
      </c>
      <c r="D937" s="321">
        <f>SUMIFS(DATA!$M:$M,DATA!$C:$C,$B936,DATA!$N:$N,"&gt;="&amp;DATE($I$2,D$4,1),DATA!$N:$N,"&lt;="&amp;DATE($I$2,D$4,D$5))</f>
        <v/>
      </c>
      <c r="E937" s="321">
        <f>SUMIFS(DATA!$M:$M,DATA!$C:$C,$B936,DATA!$N:$N,"&gt;="&amp;DATE($I$2,E$4,1),DATA!$N:$N,"&lt;="&amp;DATE($I$2,E$4,E$5))</f>
        <v/>
      </c>
      <c r="F937" s="321">
        <f>SUMIFS(DATA!$M:$M,DATA!$C:$C,$B936,DATA!$N:$N,"&gt;="&amp;DATE($I$2,F$4,1),DATA!$N:$N,"&lt;="&amp;DATE($I$2,F$4,F$5))</f>
        <v/>
      </c>
      <c r="G937" s="321">
        <f>SUMIFS(DATA!$M:$M,DATA!$C:$C,$B936,DATA!$N:$N,"&gt;="&amp;DATE($I$2,G$4,1),DATA!$N:$N,"&lt;="&amp;DATE($I$2,G$4,G$5))</f>
        <v/>
      </c>
      <c r="H937" s="321">
        <f>SUMIFS(DATA!$M:$M,DATA!$C:$C,$B936,DATA!$N:$N,"&gt;="&amp;DATE($I$2,H$4,1),DATA!$N:$N,"&lt;="&amp;DATE($I$2,H$4,H$5))</f>
        <v/>
      </c>
      <c r="I937" s="321">
        <f>SUMIFS(DATA!$M:$M,DATA!$C:$C,$B936,DATA!$N:$N,"&gt;="&amp;DATE($I$2,I$4,1),DATA!$N:$N,"&lt;="&amp;DATE($I$2,I$4,I$5))</f>
        <v/>
      </c>
      <c r="J937" s="321">
        <f>SUMIFS(DATA!$M:$M,DATA!$C:$C,$B936,DATA!$N:$N,"&gt;="&amp;DATE($I$2,J$4,1),DATA!$N:$N,"&lt;="&amp;DATE($I$2,J$4,J$5))</f>
        <v/>
      </c>
      <c r="K937" s="321">
        <f>SUMIFS(DATA!$M:$M,DATA!$C:$C,$B936,DATA!$N:$N,"&gt;="&amp;DATE($I$2,K$4,1),DATA!$N:$N,"&lt;="&amp;DATE($I$2,K$4,K$5))</f>
        <v/>
      </c>
      <c r="L937" s="321">
        <f>SUMIFS(DATA!$M:$M,DATA!$C:$C,$B936,DATA!$N:$N,"&gt;="&amp;DATE($I$2,L$4,1),DATA!$N:$N,"&lt;="&amp;DATE($I$2,L$4,L$5))</f>
        <v/>
      </c>
      <c r="M937" s="321">
        <f>SUMIFS(DATA!$M:$M,DATA!$C:$C,$B936,DATA!$N:$N,"&gt;="&amp;DATE($I$2,M$4,1),DATA!$N:$N,"&lt;="&amp;DATE($I$2,M$4,M$5))</f>
        <v/>
      </c>
      <c r="N937" s="321">
        <f>SUMIFS(DATA!$M:$M,DATA!$C:$C,$B936,DATA!$N:$N,"&gt;="&amp;DATE($I$2,N$4,1),DATA!$N:$N,"&lt;="&amp;DATE($I$2,N$4,N$5))</f>
        <v/>
      </c>
      <c r="O937" s="321">
        <f>SUMIFS(DATA!$M:$M,DATA!$C:$C,$B936,DATA!$N:$N,"&gt;="&amp;DATE($I$2,O$4,1),DATA!$N:$N,"&lt;="&amp;DATE($I$2,O$4,O$5))</f>
        <v/>
      </c>
      <c r="P937" s="322">
        <f>SUM(D937:O937)</f>
        <v/>
      </c>
    </row>
    <row r="938" hidden="1" outlineLevel="1" ht="15" customHeight="1">
      <c r="A938" s="269" t="n">
        <v>467</v>
      </c>
      <c r="B938" s="125" t="n"/>
      <c r="C938" s="119" t="inlineStr">
        <is>
          <t>Kế hoạch</t>
        </is>
      </c>
      <c r="D938" s="321">
        <f>SUMIFS(DATA!$I:$I,DATA!$C:$C,$B938,DATA!$J:$J,"&gt;="&amp;DATE($I$2,D$4,1),DATA!$J:$J,"&lt;="&amp;DATE($I$2,D$4,D$5))</f>
        <v/>
      </c>
      <c r="E938" s="321">
        <f>SUMIFS(DATA!$I:$I,DATA!$C:$C,$B938,DATA!$J:$J,"&gt;="&amp;DATE($I$2,E$4,1),DATA!$J:$J,"&lt;="&amp;DATE($I$2,E$4,E$5))</f>
        <v/>
      </c>
      <c r="F938" s="321">
        <f>SUMIFS(DATA!$I:$I,DATA!$C:$C,$B938,DATA!$J:$J,"&gt;="&amp;DATE($I$2,F$4,1),DATA!$J:$J,"&lt;="&amp;DATE($I$2,F$4,F$5))</f>
        <v/>
      </c>
      <c r="G938" s="321">
        <f>SUMIFS(DATA!$I:$I,DATA!$C:$C,$B938,DATA!$J:$J,"&gt;="&amp;DATE($I$2,G$4,1),DATA!$J:$J,"&lt;="&amp;DATE($I$2,G$4,G$5))</f>
        <v/>
      </c>
      <c r="H938" s="321">
        <f>SUMIFS(DATA!$I:$I,DATA!$C:$C,$B938,DATA!$J:$J,"&gt;="&amp;DATE($I$2,H$4,1),DATA!$J:$J,"&lt;="&amp;DATE($I$2,H$4,H$5))</f>
        <v/>
      </c>
      <c r="I938" s="321">
        <f>SUMIFS(DATA!$I:$I,DATA!$C:$C,$B938,DATA!$J:$J,"&gt;="&amp;DATE($I$2,I$4,1),DATA!$J:$J,"&lt;="&amp;DATE($I$2,I$4,I$5))</f>
        <v/>
      </c>
      <c r="J938" s="321">
        <f>SUMIFS(DATA!$I:$I,DATA!$C:$C,$B938,DATA!$J:$J,"&gt;="&amp;DATE($I$2,J$4,1),DATA!$J:$J,"&lt;="&amp;DATE($I$2,J$4,J$5))</f>
        <v/>
      </c>
      <c r="K938" s="321">
        <f>SUMIFS(DATA!$I:$I,DATA!$C:$C,$B938,DATA!$J:$J,"&gt;="&amp;DATE($I$2,K$4,1),DATA!$J:$J,"&lt;="&amp;DATE($I$2,K$4,K$5))</f>
        <v/>
      </c>
      <c r="L938" s="321">
        <f>SUMIFS(DATA!$I:$I,DATA!$C:$C,$B938,DATA!$J:$J,"&gt;="&amp;DATE($I$2,L$4,1),DATA!$J:$J,"&lt;="&amp;DATE($I$2,L$4,L$5))</f>
        <v/>
      </c>
      <c r="M938" s="321">
        <f>SUMIFS(DATA!$I:$I,DATA!$C:$C,$B938,DATA!$J:$J,"&gt;="&amp;DATE($I$2,M$4,1),DATA!$J:$J,"&lt;="&amp;DATE($I$2,M$4,M$5))</f>
        <v/>
      </c>
      <c r="N938" s="321">
        <f>SUMIFS(DATA!$I:$I,DATA!$C:$C,$B938,DATA!$J:$J,"&gt;="&amp;DATE($I$2,N$4,1),DATA!$J:$J,"&lt;="&amp;DATE($I$2,N$4,N$5))</f>
        <v/>
      </c>
      <c r="O938" s="321">
        <f>SUMIFS(DATA!$I:$I,DATA!$C:$C,$B938,DATA!$J:$J,"&gt;="&amp;DATE($I$2,O$4,1),DATA!$J:$J,"&lt;="&amp;DATE($I$2,O$4,O$5))</f>
        <v/>
      </c>
      <c r="P938" s="322">
        <f>SUM(D938:O938)</f>
        <v/>
      </c>
    </row>
    <row r="939" hidden="1" outlineLevel="1" ht="15" customHeight="1">
      <c r="A939" s="266" t="n"/>
      <c r="B939" s="126" t="n"/>
      <c r="C939" s="119" t="inlineStr">
        <is>
          <t>Thực tế</t>
        </is>
      </c>
      <c r="D939" s="321">
        <f>SUMIFS(DATA!$M:$M,DATA!$C:$C,$B938,DATA!$N:$N,"&gt;="&amp;DATE($I$2,D$4,1),DATA!$N:$N,"&lt;="&amp;DATE($I$2,D$4,D$5))</f>
        <v/>
      </c>
      <c r="E939" s="321">
        <f>SUMIFS(DATA!$M:$M,DATA!$C:$C,$B938,DATA!$N:$N,"&gt;="&amp;DATE($I$2,E$4,1),DATA!$N:$N,"&lt;="&amp;DATE($I$2,E$4,E$5))</f>
        <v/>
      </c>
      <c r="F939" s="321">
        <f>SUMIFS(DATA!$M:$M,DATA!$C:$C,$B938,DATA!$N:$N,"&gt;="&amp;DATE($I$2,F$4,1),DATA!$N:$N,"&lt;="&amp;DATE($I$2,F$4,F$5))</f>
        <v/>
      </c>
      <c r="G939" s="321">
        <f>SUMIFS(DATA!$M:$M,DATA!$C:$C,$B938,DATA!$N:$N,"&gt;="&amp;DATE($I$2,G$4,1),DATA!$N:$N,"&lt;="&amp;DATE($I$2,G$4,G$5))</f>
        <v/>
      </c>
      <c r="H939" s="321">
        <f>SUMIFS(DATA!$M:$M,DATA!$C:$C,$B938,DATA!$N:$N,"&gt;="&amp;DATE($I$2,H$4,1),DATA!$N:$N,"&lt;="&amp;DATE($I$2,H$4,H$5))</f>
        <v/>
      </c>
      <c r="I939" s="321">
        <f>SUMIFS(DATA!$M:$M,DATA!$C:$C,$B938,DATA!$N:$N,"&gt;="&amp;DATE($I$2,I$4,1),DATA!$N:$N,"&lt;="&amp;DATE($I$2,I$4,I$5))</f>
        <v/>
      </c>
      <c r="J939" s="321">
        <f>SUMIFS(DATA!$M:$M,DATA!$C:$C,$B938,DATA!$N:$N,"&gt;="&amp;DATE($I$2,J$4,1),DATA!$N:$N,"&lt;="&amp;DATE($I$2,J$4,J$5))</f>
        <v/>
      </c>
      <c r="K939" s="321">
        <f>SUMIFS(DATA!$M:$M,DATA!$C:$C,$B938,DATA!$N:$N,"&gt;="&amp;DATE($I$2,K$4,1),DATA!$N:$N,"&lt;="&amp;DATE($I$2,K$4,K$5))</f>
        <v/>
      </c>
      <c r="L939" s="321">
        <f>SUMIFS(DATA!$M:$M,DATA!$C:$C,$B938,DATA!$N:$N,"&gt;="&amp;DATE($I$2,L$4,1),DATA!$N:$N,"&lt;="&amp;DATE($I$2,L$4,L$5))</f>
        <v/>
      </c>
      <c r="M939" s="321">
        <f>SUMIFS(DATA!$M:$M,DATA!$C:$C,$B938,DATA!$N:$N,"&gt;="&amp;DATE($I$2,M$4,1),DATA!$N:$N,"&lt;="&amp;DATE($I$2,M$4,M$5))</f>
        <v/>
      </c>
      <c r="N939" s="321">
        <f>SUMIFS(DATA!$M:$M,DATA!$C:$C,$B938,DATA!$N:$N,"&gt;="&amp;DATE($I$2,N$4,1),DATA!$N:$N,"&lt;="&amp;DATE($I$2,N$4,N$5))</f>
        <v/>
      </c>
      <c r="O939" s="321">
        <f>SUMIFS(DATA!$M:$M,DATA!$C:$C,$B938,DATA!$N:$N,"&gt;="&amp;DATE($I$2,O$4,1),DATA!$N:$N,"&lt;="&amp;DATE($I$2,O$4,O$5))</f>
        <v/>
      </c>
      <c r="P939" s="322">
        <f>SUM(D939:O939)</f>
        <v/>
      </c>
    </row>
    <row r="940" hidden="1" outlineLevel="1" ht="15" customHeight="1">
      <c r="A940" s="269" t="n">
        <v>468</v>
      </c>
      <c r="B940" s="125" t="n"/>
      <c r="C940" s="119" t="inlineStr">
        <is>
          <t>Kế hoạch</t>
        </is>
      </c>
      <c r="D940" s="321">
        <f>SUMIFS(DATA!$I:$I,DATA!$C:$C,$B940,DATA!$J:$J,"&gt;="&amp;DATE($I$2,D$4,1),DATA!$J:$J,"&lt;="&amp;DATE($I$2,D$4,D$5))</f>
        <v/>
      </c>
      <c r="E940" s="321">
        <f>SUMIFS(DATA!$I:$I,DATA!$C:$C,$B940,DATA!$J:$J,"&gt;="&amp;DATE($I$2,E$4,1),DATA!$J:$J,"&lt;="&amp;DATE($I$2,E$4,E$5))</f>
        <v/>
      </c>
      <c r="F940" s="321">
        <f>SUMIFS(DATA!$I:$I,DATA!$C:$C,$B940,DATA!$J:$J,"&gt;="&amp;DATE($I$2,F$4,1),DATA!$J:$J,"&lt;="&amp;DATE($I$2,F$4,F$5))</f>
        <v/>
      </c>
      <c r="G940" s="321">
        <f>SUMIFS(DATA!$I:$I,DATA!$C:$C,$B940,DATA!$J:$J,"&gt;="&amp;DATE($I$2,G$4,1),DATA!$J:$J,"&lt;="&amp;DATE($I$2,G$4,G$5))</f>
        <v/>
      </c>
      <c r="H940" s="321">
        <f>SUMIFS(DATA!$I:$I,DATA!$C:$C,$B940,DATA!$J:$J,"&gt;="&amp;DATE($I$2,H$4,1),DATA!$J:$J,"&lt;="&amp;DATE($I$2,H$4,H$5))</f>
        <v/>
      </c>
      <c r="I940" s="321">
        <f>SUMIFS(DATA!$I:$I,DATA!$C:$C,$B940,DATA!$J:$J,"&gt;="&amp;DATE($I$2,I$4,1),DATA!$J:$J,"&lt;="&amp;DATE($I$2,I$4,I$5))</f>
        <v/>
      </c>
      <c r="J940" s="321">
        <f>SUMIFS(DATA!$I:$I,DATA!$C:$C,$B940,DATA!$J:$J,"&gt;="&amp;DATE($I$2,J$4,1),DATA!$J:$J,"&lt;="&amp;DATE($I$2,J$4,J$5))</f>
        <v/>
      </c>
      <c r="K940" s="321">
        <f>SUMIFS(DATA!$I:$I,DATA!$C:$C,$B940,DATA!$J:$J,"&gt;="&amp;DATE($I$2,K$4,1),DATA!$J:$J,"&lt;="&amp;DATE($I$2,K$4,K$5))</f>
        <v/>
      </c>
      <c r="L940" s="321">
        <f>SUMIFS(DATA!$I:$I,DATA!$C:$C,$B940,DATA!$J:$J,"&gt;="&amp;DATE($I$2,L$4,1),DATA!$J:$J,"&lt;="&amp;DATE($I$2,L$4,L$5))</f>
        <v/>
      </c>
      <c r="M940" s="321">
        <f>SUMIFS(DATA!$I:$I,DATA!$C:$C,$B940,DATA!$J:$J,"&gt;="&amp;DATE($I$2,M$4,1),DATA!$J:$J,"&lt;="&amp;DATE($I$2,M$4,M$5))</f>
        <v/>
      </c>
      <c r="N940" s="321">
        <f>SUMIFS(DATA!$I:$I,DATA!$C:$C,$B940,DATA!$J:$J,"&gt;="&amp;DATE($I$2,N$4,1),DATA!$J:$J,"&lt;="&amp;DATE($I$2,N$4,N$5))</f>
        <v/>
      </c>
      <c r="O940" s="321">
        <f>SUMIFS(DATA!$I:$I,DATA!$C:$C,$B940,DATA!$J:$J,"&gt;="&amp;DATE($I$2,O$4,1),DATA!$J:$J,"&lt;="&amp;DATE($I$2,O$4,O$5))</f>
        <v/>
      </c>
      <c r="P940" s="322">
        <f>SUM(D940:O940)</f>
        <v/>
      </c>
    </row>
    <row r="941" hidden="1" outlineLevel="1" ht="15" customHeight="1">
      <c r="A941" s="266" t="n"/>
      <c r="B941" s="126" t="n"/>
      <c r="C941" s="119" t="inlineStr">
        <is>
          <t>Thực tế</t>
        </is>
      </c>
      <c r="D941" s="321">
        <f>SUMIFS(DATA!$M:$M,DATA!$C:$C,$B940,DATA!$N:$N,"&gt;="&amp;DATE($I$2,D$4,1),DATA!$N:$N,"&lt;="&amp;DATE($I$2,D$4,D$5))</f>
        <v/>
      </c>
      <c r="E941" s="321">
        <f>SUMIFS(DATA!$M:$M,DATA!$C:$C,$B940,DATA!$N:$N,"&gt;="&amp;DATE($I$2,E$4,1),DATA!$N:$N,"&lt;="&amp;DATE($I$2,E$4,E$5))</f>
        <v/>
      </c>
      <c r="F941" s="321">
        <f>SUMIFS(DATA!$M:$M,DATA!$C:$C,$B940,DATA!$N:$N,"&gt;="&amp;DATE($I$2,F$4,1),DATA!$N:$N,"&lt;="&amp;DATE($I$2,F$4,F$5))</f>
        <v/>
      </c>
      <c r="G941" s="321">
        <f>SUMIFS(DATA!$M:$M,DATA!$C:$C,$B940,DATA!$N:$N,"&gt;="&amp;DATE($I$2,G$4,1),DATA!$N:$N,"&lt;="&amp;DATE($I$2,G$4,G$5))</f>
        <v/>
      </c>
      <c r="H941" s="321">
        <f>SUMIFS(DATA!$M:$M,DATA!$C:$C,$B940,DATA!$N:$N,"&gt;="&amp;DATE($I$2,H$4,1),DATA!$N:$N,"&lt;="&amp;DATE($I$2,H$4,H$5))</f>
        <v/>
      </c>
      <c r="I941" s="321">
        <f>SUMIFS(DATA!$M:$M,DATA!$C:$C,$B940,DATA!$N:$N,"&gt;="&amp;DATE($I$2,I$4,1),DATA!$N:$N,"&lt;="&amp;DATE($I$2,I$4,I$5))</f>
        <v/>
      </c>
      <c r="J941" s="321">
        <f>SUMIFS(DATA!$M:$M,DATA!$C:$C,$B940,DATA!$N:$N,"&gt;="&amp;DATE($I$2,J$4,1),DATA!$N:$N,"&lt;="&amp;DATE($I$2,J$4,J$5))</f>
        <v/>
      </c>
      <c r="K941" s="321">
        <f>SUMIFS(DATA!$M:$M,DATA!$C:$C,$B940,DATA!$N:$N,"&gt;="&amp;DATE($I$2,K$4,1),DATA!$N:$N,"&lt;="&amp;DATE($I$2,K$4,K$5))</f>
        <v/>
      </c>
      <c r="L941" s="321">
        <f>SUMIFS(DATA!$M:$M,DATA!$C:$C,$B940,DATA!$N:$N,"&gt;="&amp;DATE($I$2,L$4,1),DATA!$N:$N,"&lt;="&amp;DATE($I$2,L$4,L$5))</f>
        <v/>
      </c>
      <c r="M941" s="321">
        <f>SUMIFS(DATA!$M:$M,DATA!$C:$C,$B940,DATA!$N:$N,"&gt;="&amp;DATE($I$2,M$4,1),DATA!$N:$N,"&lt;="&amp;DATE($I$2,M$4,M$5))</f>
        <v/>
      </c>
      <c r="N941" s="321">
        <f>SUMIFS(DATA!$M:$M,DATA!$C:$C,$B940,DATA!$N:$N,"&gt;="&amp;DATE($I$2,N$4,1),DATA!$N:$N,"&lt;="&amp;DATE($I$2,N$4,N$5))</f>
        <v/>
      </c>
      <c r="O941" s="321">
        <f>SUMIFS(DATA!$M:$M,DATA!$C:$C,$B940,DATA!$N:$N,"&gt;="&amp;DATE($I$2,O$4,1),DATA!$N:$N,"&lt;="&amp;DATE($I$2,O$4,O$5))</f>
        <v/>
      </c>
      <c r="P941" s="322">
        <f>SUM(D941:O941)</f>
        <v/>
      </c>
    </row>
    <row r="942" hidden="1" outlineLevel="1" ht="15" customHeight="1">
      <c r="A942" s="269" t="n">
        <v>469</v>
      </c>
      <c r="B942" s="125" t="n"/>
      <c r="C942" s="119" t="inlineStr">
        <is>
          <t>Kế hoạch</t>
        </is>
      </c>
      <c r="D942" s="321">
        <f>SUMIFS(DATA!$I:$I,DATA!$C:$C,$B942,DATA!$J:$J,"&gt;="&amp;DATE($I$2,D$4,1),DATA!$J:$J,"&lt;="&amp;DATE($I$2,D$4,D$5))</f>
        <v/>
      </c>
      <c r="E942" s="321">
        <f>SUMIFS(DATA!$I:$I,DATA!$C:$C,$B942,DATA!$J:$J,"&gt;="&amp;DATE($I$2,E$4,1),DATA!$J:$J,"&lt;="&amp;DATE($I$2,E$4,E$5))</f>
        <v/>
      </c>
      <c r="F942" s="321">
        <f>SUMIFS(DATA!$I:$I,DATA!$C:$C,$B942,DATA!$J:$J,"&gt;="&amp;DATE($I$2,F$4,1),DATA!$J:$J,"&lt;="&amp;DATE($I$2,F$4,F$5))</f>
        <v/>
      </c>
      <c r="G942" s="321">
        <f>SUMIFS(DATA!$I:$I,DATA!$C:$C,$B942,DATA!$J:$J,"&gt;="&amp;DATE($I$2,G$4,1),DATA!$J:$J,"&lt;="&amp;DATE($I$2,G$4,G$5))</f>
        <v/>
      </c>
      <c r="H942" s="321">
        <f>SUMIFS(DATA!$I:$I,DATA!$C:$C,$B942,DATA!$J:$J,"&gt;="&amp;DATE($I$2,H$4,1),DATA!$J:$J,"&lt;="&amp;DATE($I$2,H$4,H$5))</f>
        <v/>
      </c>
      <c r="I942" s="321">
        <f>SUMIFS(DATA!$I:$I,DATA!$C:$C,$B942,DATA!$J:$J,"&gt;="&amp;DATE($I$2,I$4,1),DATA!$J:$J,"&lt;="&amp;DATE($I$2,I$4,I$5))</f>
        <v/>
      </c>
      <c r="J942" s="321">
        <f>SUMIFS(DATA!$I:$I,DATA!$C:$C,$B942,DATA!$J:$J,"&gt;="&amp;DATE($I$2,J$4,1),DATA!$J:$J,"&lt;="&amp;DATE($I$2,J$4,J$5))</f>
        <v/>
      </c>
      <c r="K942" s="321">
        <f>SUMIFS(DATA!$I:$I,DATA!$C:$C,$B942,DATA!$J:$J,"&gt;="&amp;DATE($I$2,K$4,1),DATA!$J:$J,"&lt;="&amp;DATE($I$2,K$4,K$5))</f>
        <v/>
      </c>
      <c r="L942" s="321">
        <f>SUMIFS(DATA!$I:$I,DATA!$C:$C,$B942,DATA!$J:$J,"&gt;="&amp;DATE($I$2,L$4,1),DATA!$J:$J,"&lt;="&amp;DATE($I$2,L$4,L$5))</f>
        <v/>
      </c>
      <c r="M942" s="321">
        <f>SUMIFS(DATA!$I:$I,DATA!$C:$C,$B942,DATA!$J:$J,"&gt;="&amp;DATE($I$2,M$4,1),DATA!$J:$J,"&lt;="&amp;DATE($I$2,M$4,M$5))</f>
        <v/>
      </c>
      <c r="N942" s="321">
        <f>SUMIFS(DATA!$I:$I,DATA!$C:$C,$B942,DATA!$J:$J,"&gt;="&amp;DATE($I$2,N$4,1),DATA!$J:$J,"&lt;="&amp;DATE($I$2,N$4,N$5))</f>
        <v/>
      </c>
      <c r="O942" s="321">
        <f>SUMIFS(DATA!$I:$I,DATA!$C:$C,$B942,DATA!$J:$J,"&gt;="&amp;DATE($I$2,O$4,1),DATA!$J:$J,"&lt;="&amp;DATE($I$2,O$4,O$5))</f>
        <v/>
      </c>
      <c r="P942" s="322">
        <f>SUM(D942:O942)</f>
        <v/>
      </c>
    </row>
    <row r="943" hidden="1" outlineLevel="1" ht="15" customHeight="1">
      <c r="A943" s="266" t="n"/>
      <c r="B943" s="126" t="n"/>
      <c r="C943" s="119" t="inlineStr">
        <is>
          <t>Thực tế</t>
        </is>
      </c>
      <c r="D943" s="321">
        <f>SUMIFS(DATA!$M:$M,DATA!$C:$C,$B942,DATA!$N:$N,"&gt;="&amp;DATE($I$2,D$4,1),DATA!$N:$N,"&lt;="&amp;DATE($I$2,D$4,D$5))</f>
        <v/>
      </c>
      <c r="E943" s="321">
        <f>SUMIFS(DATA!$M:$M,DATA!$C:$C,$B942,DATA!$N:$N,"&gt;="&amp;DATE($I$2,E$4,1),DATA!$N:$N,"&lt;="&amp;DATE($I$2,E$4,E$5))</f>
        <v/>
      </c>
      <c r="F943" s="321">
        <f>SUMIFS(DATA!$M:$M,DATA!$C:$C,$B942,DATA!$N:$N,"&gt;="&amp;DATE($I$2,F$4,1),DATA!$N:$N,"&lt;="&amp;DATE($I$2,F$4,F$5))</f>
        <v/>
      </c>
      <c r="G943" s="321">
        <f>SUMIFS(DATA!$M:$M,DATA!$C:$C,$B942,DATA!$N:$N,"&gt;="&amp;DATE($I$2,G$4,1),DATA!$N:$N,"&lt;="&amp;DATE($I$2,G$4,G$5))</f>
        <v/>
      </c>
      <c r="H943" s="321">
        <f>SUMIFS(DATA!$M:$M,DATA!$C:$C,$B942,DATA!$N:$N,"&gt;="&amp;DATE($I$2,H$4,1),DATA!$N:$N,"&lt;="&amp;DATE($I$2,H$4,H$5))</f>
        <v/>
      </c>
      <c r="I943" s="321">
        <f>SUMIFS(DATA!$M:$M,DATA!$C:$C,$B942,DATA!$N:$N,"&gt;="&amp;DATE($I$2,I$4,1),DATA!$N:$N,"&lt;="&amp;DATE($I$2,I$4,I$5))</f>
        <v/>
      </c>
      <c r="J943" s="321">
        <f>SUMIFS(DATA!$M:$M,DATA!$C:$C,$B942,DATA!$N:$N,"&gt;="&amp;DATE($I$2,J$4,1),DATA!$N:$N,"&lt;="&amp;DATE($I$2,J$4,J$5))</f>
        <v/>
      </c>
      <c r="K943" s="321">
        <f>SUMIFS(DATA!$M:$M,DATA!$C:$C,$B942,DATA!$N:$N,"&gt;="&amp;DATE($I$2,K$4,1),DATA!$N:$N,"&lt;="&amp;DATE($I$2,K$4,K$5))</f>
        <v/>
      </c>
      <c r="L943" s="321">
        <f>SUMIFS(DATA!$M:$M,DATA!$C:$C,$B942,DATA!$N:$N,"&gt;="&amp;DATE($I$2,L$4,1),DATA!$N:$N,"&lt;="&amp;DATE($I$2,L$4,L$5))</f>
        <v/>
      </c>
      <c r="M943" s="321">
        <f>SUMIFS(DATA!$M:$M,DATA!$C:$C,$B942,DATA!$N:$N,"&gt;="&amp;DATE($I$2,M$4,1),DATA!$N:$N,"&lt;="&amp;DATE($I$2,M$4,M$5))</f>
        <v/>
      </c>
      <c r="N943" s="321">
        <f>SUMIFS(DATA!$M:$M,DATA!$C:$C,$B942,DATA!$N:$N,"&gt;="&amp;DATE($I$2,N$4,1),DATA!$N:$N,"&lt;="&amp;DATE($I$2,N$4,N$5))</f>
        <v/>
      </c>
      <c r="O943" s="321">
        <f>SUMIFS(DATA!$M:$M,DATA!$C:$C,$B942,DATA!$N:$N,"&gt;="&amp;DATE($I$2,O$4,1),DATA!$N:$N,"&lt;="&amp;DATE($I$2,O$4,O$5))</f>
        <v/>
      </c>
      <c r="P943" s="322">
        <f>SUM(D943:O943)</f>
        <v/>
      </c>
    </row>
    <row r="944" hidden="1" outlineLevel="1" ht="15" customHeight="1">
      <c r="A944" s="269" t="n">
        <v>470</v>
      </c>
      <c r="B944" s="125" t="n"/>
      <c r="C944" s="119" t="inlineStr">
        <is>
          <t>Kế hoạch</t>
        </is>
      </c>
      <c r="D944" s="321">
        <f>SUMIFS(DATA!$I:$I,DATA!$C:$C,$B944,DATA!$J:$J,"&gt;="&amp;DATE($I$2,D$4,1),DATA!$J:$J,"&lt;="&amp;DATE($I$2,D$4,D$5))</f>
        <v/>
      </c>
      <c r="E944" s="321">
        <f>SUMIFS(DATA!$I:$I,DATA!$C:$C,$B944,DATA!$J:$J,"&gt;="&amp;DATE($I$2,E$4,1),DATA!$J:$J,"&lt;="&amp;DATE($I$2,E$4,E$5))</f>
        <v/>
      </c>
      <c r="F944" s="321">
        <f>SUMIFS(DATA!$I:$I,DATA!$C:$C,$B944,DATA!$J:$J,"&gt;="&amp;DATE($I$2,F$4,1),DATA!$J:$J,"&lt;="&amp;DATE($I$2,F$4,F$5))</f>
        <v/>
      </c>
      <c r="G944" s="321">
        <f>SUMIFS(DATA!$I:$I,DATA!$C:$C,$B944,DATA!$J:$J,"&gt;="&amp;DATE($I$2,G$4,1),DATA!$J:$J,"&lt;="&amp;DATE($I$2,G$4,G$5))</f>
        <v/>
      </c>
      <c r="H944" s="321">
        <f>SUMIFS(DATA!$I:$I,DATA!$C:$C,$B944,DATA!$J:$J,"&gt;="&amp;DATE($I$2,H$4,1),DATA!$J:$J,"&lt;="&amp;DATE($I$2,H$4,H$5))</f>
        <v/>
      </c>
      <c r="I944" s="321">
        <f>SUMIFS(DATA!$I:$I,DATA!$C:$C,$B944,DATA!$J:$J,"&gt;="&amp;DATE($I$2,I$4,1),DATA!$J:$J,"&lt;="&amp;DATE($I$2,I$4,I$5))</f>
        <v/>
      </c>
      <c r="J944" s="321">
        <f>SUMIFS(DATA!$I:$I,DATA!$C:$C,$B944,DATA!$J:$J,"&gt;="&amp;DATE($I$2,J$4,1),DATA!$J:$J,"&lt;="&amp;DATE($I$2,J$4,J$5))</f>
        <v/>
      </c>
      <c r="K944" s="321">
        <f>SUMIFS(DATA!$I:$I,DATA!$C:$C,$B944,DATA!$J:$J,"&gt;="&amp;DATE($I$2,K$4,1),DATA!$J:$J,"&lt;="&amp;DATE($I$2,K$4,K$5))</f>
        <v/>
      </c>
      <c r="L944" s="321">
        <f>SUMIFS(DATA!$I:$I,DATA!$C:$C,$B944,DATA!$J:$J,"&gt;="&amp;DATE($I$2,L$4,1),DATA!$J:$J,"&lt;="&amp;DATE($I$2,L$4,L$5))</f>
        <v/>
      </c>
      <c r="M944" s="321">
        <f>SUMIFS(DATA!$I:$I,DATA!$C:$C,$B944,DATA!$J:$J,"&gt;="&amp;DATE($I$2,M$4,1),DATA!$J:$J,"&lt;="&amp;DATE($I$2,M$4,M$5))</f>
        <v/>
      </c>
      <c r="N944" s="321">
        <f>SUMIFS(DATA!$I:$I,DATA!$C:$C,$B944,DATA!$J:$J,"&gt;="&amp;DATE($I$2,N$4,1),DATA!$J:$J,"&lt;="&amp;DATE($I$2,N$4,N$5))</f>
        <v/>
      </c>
      <c r="O944" s="321">
        <f>SUMIFS(DATA!$I:$I,DATA!$C:$C,$B944,DATA!$J:$J,"&gt;="&amp;DATE($I$2,O$4,1),DATA!$J:$J,"&lt;="&amp;DATE($I$2,O$4,O$5))</f>
        <v/>
      </c>
      <c r="P944" s="322">
        <f>SUM(D944:O944)</f>
        <v/>
      </c>
    </row>
    <row r="945" hidden="1" outlineLevel="1" ht="15" customHeight="1">
      <c r="A945" s="266" t="n"/>
      <c r="B945" s="126" t="n"/>
      <c r="C945" s="119" t="inlineStr">
        <is>
          <t>Thực tế</t>
        </is>
      </c>
      <c r="D945" s="321">
        <f>SUMIFS(DATA!$M:$M,DATA!$C:$C,$B944,DATA!$N:$N,"&gt;="&amp;DATE($I$2,D$4,1),DATA!$N:$N,"&lt;="&amp;DATE($I$2,D$4,D$5))</f>
        <v/>
      </c>
      <c r="E945" s="321">
        <f>SUMIFS(DATA!$M:$M,DATA!$C:$C,$B944,DATA!$N:$N,"&gt;="&amp;DATE($I$2,E$4,1),DATA!$N:$N,"&lt;="&amp;DATE($I$2,E$4,E$5))</f>
        <v/>
      </c>
      <c r="F945" s="321">
        <f>SUMIFS(DATA!$M:$M,DATA!$C:$C,$B944,DATA!$N:$N,"&gt;="&amp;DATE($I$2,F$4,1),DATA!$N:$N,"&lt;="&amp;DATE($I$2,F$4,F$5))</f>
        <v/>
      </c>
      <c r="G945" s="321">
        <f>SUMIFS(DATA!$M:$M,DATA!$C:$C,$B944,DATA!$N:$N,"&gt;="&amp;DATE($I$2,G$4,1),DATA!$N:$N,"&lt;="&amp;DATE($I$2,G$4,G$5))</f>
        <v/>
      </c>
      <c r="H945" s="321">
        <f>SUMIFS(DATA!$M:$M,DATA!$C:$C,$B944,DATA!$N:$N,"&gt;="&amp;DATE($I$2,H$4,1),DATA!$N:$N,"&lt;="&amp;DATE($I$2,H$4,H$5))</f>
        <v/>
      </c>
      <c r="I945" s="321">
        <f>SUMIFS(DATA!$M:$M,DATA!$C:$C,$B944,DATA!$N:$N,"&gt;="&amp;DATE($I$2,I$4,1),DATA!$N:$N,"&lt;="&amp;DATE($I$2,I$4,I$5))</f>
        <v/>
      </c>
      <c r="J945" s="321">
        <f>SUMIFS(DATA!$M:$M,DATA!$C:$C,$B944,DATA!$N:$N,"&gt;="&amp;DATE($I$2,J$4,1),DATA!$N:$N,"&lt;="&amp;DATE($I$2,J$4,J$5))</f>
        <v/>
      </c>
      <c r="K945" s="321">
        <f>SUMIFS(DATA!$M:$M,DATA!$C:$C,$B944,DATA!$N:$N,"&gt;="&amp;DATE($I$2,K$4,1),DATA!$N:$N,"&lt;="&amp;DATE($I$2,K$4,K$5))</f>
        <v/>
      </c>
      <c r="L945" s="321">
        <f>SUMIFS(DATA!$M:$M,DATA!$C:$C,$B944,DATA!$N:$N,"&gt;="&amp;DATE($I$2,L$4,1),DATA!$N:$N,"&lt;="&amp;DATE($I$2,L$4,L$5))</f>
        <v/>
      </c>
      <c r="M945" s="321">
        <f>SUMIFS(DATA!$M:$M,DATA!$C:$C,$B944,DATA!$N:$N,"&gt;="&amp;DATE($I$2,M$4,1),DATA!$N:$N,"&lt;="&amp;DATE($I$2,M$4,M$5))</f>
        <v/>
      </c>
      <c r="N945" s="321">
        <f>SUMIFS(DATA!$M:$M,DATA!$C:$C,$B944,DATA!$N:$N,"&gt;="&amp;DATE($I$2,N$4,1),DATA!$N:$N,"&lt;="&amp;DATE($I$2,N$4,N$5))</f>
        <v/>
      </c>
      <c r="O945" s="321">
        <f>SUMIFS(DATA!$M:$M,DATA!$C:$C,$B944,DATA!$N:$N,"&gt;="&amp;DATE($I$2,O$4,1),DATA!$N:$N,"&lt;="&amp;DATE($I$2,O$4,O$5))</f>
        <v/>
      </c>
      <c r="P945" s="322">
        <f>SUM(D945:O945)</f>
        <v/>
      </c>
    </row>
    <row r="946" hidden="1" outlineLevel="1" ht="15" customHeight="1">
      <c r="A946" s="269" t="n">
        <v>471</v>
      </c>
      <c r="B946" s="125" t="n"/>
      <c r="C946" s="119" t="inlineStr">
        <is>
          <t>Kế hoạch</t>
        </is>
      </c>
      <c r="D946" s="321">
        <f>SUMIFS(DATA!$I:$I,DATA!$C:$C,$B946,DATA!$J:$J,"&gt;="&amp;DATE($I$2,D$4,1),DATA!$J:$J,"&lt;="&amp;DATE($I$2,D$4,D$5))</f>
        <v/>
      </c>
      <c r="E946" s="321">
        <f>SUMIFS(DATA!$I:$I,DATA!$C:$C,$B946,DATA!$J:$J,"&gt;="&amp;DATE($I$2,E$4,1),DATA!$J:$J,"&lt;="&amp;DATE($I$2,E$4,E$5))</f>
        <v/>
      </c>
      <c r="F946" s="321">
        <f>SUMIFS(DATA!$I:$I,DATA!$C:$C,$B946,DATA!$J:$J,"&gt;="&amp;DATE($I$2,F$4,1),DATA!$J:$J,"&lt;="&amp;DATE($I$2,F$4,F$5))</f>
        <v/>
      </c>
      <c r="G946" s="321">
        <f>SUMIFS(DATA!$I:$I,DATA!$C:$C,$B946,DATA!$J:$J,"&gt;="&amp;DATE($I$2,G$4,1),DATA!$J:$J,"&lt;="&amp;DATE($I$2,G$4,G$5))</f>
        <v/>
      </c>
      <c r="H946" s="321">
        <f>SUMIFS(DATA!$I:$I,DATA!$C:$C,$B946,DATA!$J:$J,"&gt;="&amp;DATE($I$2,H$4,1),DATA!$J:$J,"&lt;="&amp;DATE($I$2,H$4,H$5))</f>
        <v/>
      </c>
      <c r="I946" s="321">
        <f>SUMIFS(DATA!$I:$I,DATA!$C:$C,$B946,DATA!$J:$J,"&gt;="&amp;DATE($I$2,I$4,1),DATA!$J:$J,"&lt;="&amp;DATE($I$2,I$4,I$5))</f>
        <v/>
      </c>
      <c r="J946" s="321">
        <f>SUMIFS(DATA!$I:$I,DATA!$C:$C,$B946,DATA!$J:$J,"&gt;="&amp;DATE($I$2,J$4,1),DATA!$J:$J,"&lt;="&amp;DATE($I$2,J$4,J$5))</f>
        <v/>
      </c>
      <c r="K946" s="321">
        <f>SUMIFS(DATA!$I:$I,DATA!$C:$C,$B946,DATA!$J:$J,"&gt;="&amp;DATE($I$2,K$4,1),DATA!$J:$J,"&lt;="&amp;DATE($I$2,K$4,K$5))</f>
        <v/>
      </c>
      <c r="L946" s="321">
        <f>SUMIFS(DATA!$I:$I,DATA!$C:$C,$B946,DATA!$J:$J,"&gt;="&amp;DATE($I$2,L$4,1),DATA!$J:$J,"&lt;="&amp;DATE($I$2,L$4,L$5))</f>
        <v/>
      </c>
      <c r="M946" s="321">
        <f>SUMIFS(DATA!$I:$I,DATA!$C:$C,$B946,DATA!$J:$J,"&gt;="&amp;DATE($I$2,M$4,1),DATA!$J:$J,"&lt;="&amp;DATE($I$2,M$4,M$5))</f>
        <v/>
      </c>
      <c r="N946" s="321">
        <f>SUMIFS(DATA!$I:$I,DATA!$C:$C,$B946,DATA!$J:$J,"&gt;="&amp;DATE($I$2,N$4,1),DATA!$J:$J,"&lt;="&amp;DATE($I$2,N$4,N$5))</f>
        <v/>
      </c>
      <c r="O946" s="321">
        <f>SUMIFS(DATA!$I:$I,DATA!$C:$C,$B946,DATA!$J:$J,"&gt;="&amp;DATE($I$2,O$4,1),DATA!$J:$J,"&lt;="&amp;DATE($I$2,O$4,O$5))</f>
        <v/>
      </c>
      <c r="P946" s="322">
        <f>SUM(D946:O946)</f>
        <v/>
      </c>
    </row>
    <row r="947" hidden="1" outlineLevel="1" ht="15" customHeight="1">
      <c r="A947" s="266" t="n"/>
      <c r="B947" s="126" t="n"/>
      <c r="C947" s="119" t="inlineStr">
        <is>
          <t>Thực tế</t>
        </is>
      </c>
      <c r="D947" s="321">
        <f>SUMIFS(DATA!$M:$M,DATA!$C:$C,$B946,DATA!$N:$N,"&gt;="&amp;DATE($I$2,D$4,1),DATA!$N:$N,"&lt;="&amp;DATE($I$2,D$4,D$5))</f>
        <v/>
      </c>
      <c r="E947" s="321">
        <f>SUMIFS(DATA!$M:$M,DATA!$C:$C,$B946,DATA!$N:$N,"&gt;="&amp;DATE($I$2,E$4,1),DATA!$N:$N,"&lt;="&amp;DATE($I$2,E$4,E$5))</f>
        <v/>
      </c>
      <c r="F947" s="321">
        <f>SUMIFS(DATA!$M:$M,DATA!$C:$C,$B946,DATA!$N:$N,"&gt;="&amp;DATE($I$2,F$4,1),DATA!$N:$N,"&lt;="&amp;DATE($I$2,F$4,F$5))</f>
        <v/>
      </c>
      <c r="G947" s="321">
        <f>SUMIFS(DATA!$M:$M,DATA!$C:$C,$B946,DATA!$N:$N,"&gt;="&amp;DATE($I$2,G$4,1),DATA!$N:$N,"&lt;="&amp;DATE($I$2,G$4,G$5))</f>
        <v/>
      </c>
      <c r="H947" s="321">
        <f>SUMIFS(DATA!$M:$M,DATA!$C:$C,$B946,DATA!$N:$N,"&gt;="&amp;DATE($I$2,H$4,1),DATA!$N:$N,"&lt;="&amp;DATE($I$2,H$4,H$5))</f>
        <v/>
      </c>
      <c r="I947" s="321">
        <f>SUMIFS(DATA!$M:$M,DATA!$C:$C,$B946,DATA!$N:$N,"&gt;="&amp;DATE($I$2,I$4,1),DATA!$N:$N,"&lt;="&amp;DATE($I$2,I$4,I$5))</f>
        <v/>
      </c>
      <c r="J947" s="321">
        <f>SUMIFS(DATA!$M:$M,DATA!$C:$C,$B946,DATA!$N:$N,"&gt;="&amp;DATE($I$2,J$4,1),DATA!$N:$N,"&lt;="&amp;DATE($I$2,J$4,J$5))</f>
        <v/>
      </c>
      <c r="K947" s="321">
        <f>SUMIFS(DATA!$M:$M,DATA!$C:$C,$B946,DATA!$N:$N,"&gt;="&amp;DATE($I$2,K$4,1),DATA!$N:$N,"&lt;="&amp;DATE($I$2,K$4,K$5))</f>
        <v/>
      </c>
      <c r="L947" s="321">
        <f>SUMIFS(DATA!$M:$M,DATA!$C:$C,$B946,DATA!$N:$N,"&gt;="&amp;DATE($I$2,L$4,1),DATA!$N:$N,"&lt;="&amp;DATE($I$2,L$4,L$5))</f>
        <v/>
      </c>
      <c r="M947" s="321">
        <f>SUMIFS(DATA!$M:$M,DATA!$C:$C,$B946,DATA!$N:$N,"&gt;="&amp;DATE($I$2,M$4,1),DATA!$N:$N,"&lt;="&amp;DATE($I$2,M$4,M$5))</f>
        <v/>
      </c>
      <c r="N947" s="321">
        <f>SUMIFS(DATA!$M:$M,DATA!$C:$C,$B946,DATA!$N:$N,"&gt;="&amp;DATE($I$2,N$4,1),DATA!$N:$N,"&lt;="&amp;DATE($I$2,N$4,N$5))</f>
        <v/>
      </c>
      <c r="O947" s="321">
        <f>SUMIFS(DATA!$M:$M,DATA!$C:$C,$B946,DATA!$N:$N,"&gt;="&amp;DATE($I$2,O$4,1),DATA!$N:$N,"&lt;="&amp;DATE($I$2,O$4,O$5))</f>
        <v/>
      </c>
      <c r="P947" s="322">
        <f>SUM(D947:O947)</f>
        <v/>
      </c>
    </row>
    <row r="948" hidden="1" outlineLevel="1" ht="15" customHeight="1">
      <c r="A948" s="269" t="n">
        <v>472</v>
      </c>
      <c r="B948" s="125" t="n"/>
      <c r="C948" s="119" t="inlineStr">
        <is>
          <t>Kế hoạch</t>
        </is>
      </c>
      <c r="D948" s="321">
        <f>SUMIFS(DATA!$I:$I,DATA!$C:$C,$B948,DATA!$J:$J,"&gt;="&amp;DATE($I$2,D$4,1),DATA!$J:$J,"&lt;="&amp;DATE($I$2,D$4,D$5))</f>
        <v/>
      </c>
      <c r="E948" s="321">
        <f>SUMIFS(DATA!$I:$I,DATA!$C:$C,$B948,DATA!$J:$J,"&gt;="&amp;DATE($I$2,E$4,1),DATA!$J:$J,"&lt;="&amp;DATE($I$2,E$4,E$5))</f>
        <v/>
      </c>
      <c r="F948" s="321">
        <f>SUMIFS(DATA!$I:$I,DATA!$C:$C,$B948,DATA!$J:$J,"&gt;="&amp;DATE($I$2,F$4,1),DATA!$J:$J,"&lt;="&amp;DATE($I$2,F$4,F$5))</f>
        <v/>
      </c>
      <c r="G948" s="321">
        <f>SUMIFS(DATA!$I:$I,DATA!$C:$C,$B948,DATA!$J:$J,"&gt;="&amp;DATE($I$2,G$4,1),DATA!$J:$J,"&lt;="&amp;DATE($I$2,G$4,G$5))</f>
        <v/>
      </c>
      <c r="H948" s="321">
        <f>SUMIFS(DATA!$I:$I,DATA!$C:$C,$B948,DATA!$J:$J,"&gt;="&amp;DATE($I$2,H$4,1),DATA!$J:$J,"&lt;="&amp;DATE($I$2,H$4,H$5))</f>
        <v/>
      </c>
      <c r="I948" s="321">
        <f>SUMIFS(DATA!$I:$I,DATA!$C:$C,$B948,DATA!$J:$J,"&gt;="&amp;DATE($I$2,I$4,1),DATA!$J:$J,"&lt;="&amp;DATE($I$2,I$4,I$5))</f>
        <v/>
      </c>
      <c r="J948" s="321">
        <f>SUMIFS(DATA!$I:$I,DATA!$C:$C,$B948,DATA!$J:$J,"&gt;="&amp;DATE($I$2,J$4,1),DATA!$J:$J,"&lt;="&amp;DATE($I$2,J$4,J$5))</f>
        <v/>
      </c>
      <c r="K948" s="321">
        <f>SUMIFS(DATA!$I:$I,DATA!$C:$C,$B948,DATA!$J:$J,"&gt;="&amp;DATE($I$2,K$4,1),DATA!$J:$J,"&lt;="&amp;DATE($I$2,K$4,K$5))</f>
        <v/>
      </c>
      <c r="L948" s="321">
        <f>SUMIFS(DATA!$I:$I,DATA!$C:$C,$B948,DATA!$J:$J,"&gt;="&amp;DATE($I$2,L$4,1),DATA!$J:$J,"&lt;="&amp;DATE($I$2,L$4,L$5))</f>
        <v/>
      </c>
      <c r="M948" s="321">
        <f>SUMIFS(DATA!$I:$I,DATA!$C:$C,$B948,DATA!$J:$J,"&gt;="&amp;DATE($I$2,M$4,1),DATA!$J:$J,"&lt;="&amp;DATE($I$2,M$4,M$5))</f>
        <v/>
      </c>
      <c r="N948" s="321">
        <f>SUMIFS(DATA!$I:$I,DATA!$C:$C,$B948,DATA!$J:$J,"&gt;="&amp;DATE($I$2,N$4,1),DATA!$J:$J,"&lt;="&amp;DATE($I$2,N$4,N$5))</f>
        <v/>
      </c>
      <c r="O948" s="321">
        <f>SUMIFS(DATA!$I:$I,DATA!$C:$C,$B948,DATA!$J:$J,"&gt;="&amp;DATE($I$2,O$4,1),DATA!$J:$J,"&lt;="&amp;DATE($I$2,O$4,O$5))</f>
        <v/>
      </c>
      <c r="P948" s="322">
        <f>SUM(D948:O948)</f>
        <v/>
      </c>
    </row>
    <row r="949" hidden="1" outlineLevel="1" ht="15" customHeight="1">
      <c r="A949" s="266" t="n"/>
      <c r="B949" s="126" t="n"/>
      <c r="C949" s="119" t="inlineStr">
        <is>
          <t>Thực tế</t>
        </is>
      </c>
      <c r="D949" s="321">
        <f>SUMIFS(DATA!$M:$M,DATA!$C:$C,$B948,DATA!$N:$N,"&gt;="&amp;DATE($I$2,D$4,1),DATA!$N:$N,"&lt;="&amp;DATE($I$2,D$4,D$5))</f>
        <v/>
      </c>
      <c r="E949" s="321">
        <f>SUMIFS(DATA!$M:$M,DATA!$C:$C,$B948,DATA!$N:$N,"&gt;="&amp;DATE($I$2,E$4,1),DATA!$N:$N,"&lt;="&amp;DATE($I$2,E$4,E$5))</f>
        <v/>
      </c>
      <c r="F949" s="321">
        <f>SUMIFS(DATA!$M:$M,DATA!$C:$C,$B948,DATA!$N:$N,"&gt;="&amp;DATE($I$2,F$4,1),DATA!$N:$N,"&lt;="&amp;DATE($I$2,F$4,F$5))</f>
        <v/>
      </c>
      <c r="G949" s="321">
        <f>SUMIFS(DATA!$M:$M,DATA!$C:$C,$B948,DATA!$N:$N,"&gt;="&amp;DATE($I$2,G$4,1),DATA!$N:$N,"&lt;="&amp;DATE($I$2,G$4,G$5))</f>
        <v/>
      </c>
      <c r="H949" s="321">
        <f>SUMIFS(DATA!$M:$M,DATA!$C:$C,$B948,DATA!$N:$N,"&gt;="&amp;DATE($I$2,H$4,1),DATA!$N:$N,"&lt;="&amp;DATE($I$2,H$4,H$5))</f>
        <v/>
      </c>
      <c r="I949" s="321">
        <f>SUMIFS(DATA!$M:$M,DATA!$C:$C,$B948,DATA!$N:$N,"&gt;="&amp;DATE($I$2,I$4,1),DATA!$N:$N,"&lt;="&amp;DATE($I$2,I$4,I$5))</f>
        <v/>
      </c>
      <c r="J949" s="321">
        <f>SUMIFS(DATA!$M:$M,DATA!$C:$C,$B948,DATA!$N:$N,"&gt;="&amp;DATE($I$2,J$4,1),DATA!$N:$N,"&lt;="&amp;DATE($I$2,J$4,J$5))</f>
        <v/>
      </c>
      <c r="K949" s="321">
        <f>SUMIFS(DATA!$M:$M,DATA!$C:$C,$B948,DATA!$N:$N,"&gt;="&amp;DATE($I$2,K$4,1),DATA!$N:$N,"&lt;="&amp;DATE($I$2,K$4,K$5))</f>
        <v/>
      </c>
      <c r="L949" s="321">
        <f>SUMIFS(DATA!$M:$M,DATA!$C:$C,$B948,DATA!$N:$N,"&gt;="&amp;DATE($I$2,L$4,1),DATA!$N:$N,"&lt;="&amp;DATE($I$2,L$4,L$5))</f>
        <v/>
      </c>
      <c r="M949" s="321">
        <f>SUMIFS(DATA!$M:$M,DATA!$C:$C,$B948,DATA!$N:$N,"&gt;="&amp;DATE($I$2,M$4,1),DATA!$N:$N,"&lt;="&amp;DATE($I$2,M$4,M$5))</f>
        <v/>
      </c>
      <c r="N949" s="321">
        <f>SUMIFS(DATA!$M:$M,DATA!$C:$C,$B948,DATA!$N:$N,"&gt;="&amp;DATE($I$2,N$4,1),DATA!$N:$N,"&lt;="&amp;DATE($I$2,N$4,N$5))</f>
        <v/>
      </c>
      <c r="O949" s="321">
        <f>SUMIFS(DATA!$M:$M,DATA!$C:$C,$B948,DATA!$N:$N,"&gt;="&amp;DATE($I$2,O$4,1),DATA!$N:$N,"&lt;="&amp;DATE($I$2,O$4,O$5))</f>
        <v/>
      </c>
      <c r="P949" s="322">
        <f>SUM(D949:O949)</f>
        <v/>
      </c>
    </row>
    <row r="950" hidden="1" outlineLevel="1" ht="15" customHeight="1">
      <c r="A950" s="269" t="n">
        <v>473</v>
      </c>
      <c r="B950" s="125" t="n"/>
      <c r="C950" s="119" t="inlineStr">
        <is>
          <t>Kế hoạch</t>
        </is>
      </c>
      <c r="D950" s="321">
        <f>SUMIFS(DATA!$I:$I,DATA!$C:$C,$B950,DATA!$J:$J,"&gt;="&amp;DATE($I$2,D$4,1),DATA!$J:$J,"&lt;="&amp;DATE($I$2,D$4,D$5))</f>
        <v/>
      </c>
      <c r="E950" s="321">
        <f>SUMIFS(DATA!$I:$I,DATA!$C:$C,$B950,DATA!$J:$J,"&gt;="&amp;DATE($I$2,E$4,1),DATA!$J:$J,"&lt;="&amp;DATE($I$2,E$4,E$5))</f>
        <v/>
      </c>
      <c r="F950" s="321">
        <f>SUMIFS(DATA!$I:$I,DATA!$C:$C,$B950,DATA!$J:$J,"&gt;="&amp;DATE($I$2,F$4,1),DATA!$J:$J,"&lt;="&amp;DATE($I$2,F$4,F$5))</f>
        <v/>
      </c>
      <c r="G950" s="321">
        <f>SUMIFS(DATA!$I:$I,DATA!$C:$C,$B950,DATA!$J:$J,"&gt;="&amp;DATE($I$2,G$4,1),DATA!$J:$J,"&lt;="&amp;DATE($I$2,G$4,G$5))</f>
        <v/>
      </c>
      <c r="H950" s="321">
        <f>SUMIFS(DATA!$I:$I,DATA!$C:$C,$B950,DATA!$J:$J,"&gt;="&amp;DATE($I$2,H$4,1),DATA!$J:$J,"&lt;="&amp;DATE($I$2,H$4,H$5))</f>
        <v/>
      </c>
      <c r="I950" s="321">
        <f>SUMIFS(DATA!$I:$I,DATA!$C:$C,$B950,DATA!$J:$J,"&gt;="&amp;DATE($I$2,I$4,1),DATA!$J:$J,"&lt;="&amp;DATE($I$2,I$4,I$5))</f>
        <v/>
      </c>
      <c r="J950" s="321">
        <f>SUMIFS(DATA!$I:$I,DATA!$C:$C,$B950,DATA!$J:$J,"&gt;="&amp;DATE($I$2,J$4,1),DATA!$J:$J,"&lt;="&amp;DATE($I$2,J$4,J$5))</f>
        <v/>
      </c>
      <c r="K950" s="321">
        <f>SUMIFS(DATA!$I:$I,DATA!$C:$C,$B950,DATA!$J:$J,"&gt;="&amp;DATE($I$2,K$4,1),DATA!$J:$J,"&lt;="&amp;DATE($I$2,K$4,K$5))</f>
        <v/>
      </c>
      <c r="L950" s="321">
        <f>SUMIFS(DATA!$I:$I,DATA!$C:$C,$B950,DATA!$J:$J,"&gt;="&amp;DATE($I$2,L$4,1),DATA!$J:$J,"&lt;="&amp;DATE($I$2,L$4,L$5))</f>
        <v/>
      </c>
      <c r="M950" s="321">
        <f>SUMIFS(DATA!$I:$I,DATA!$C:$C,$B950,DATA!$J:$J,"&gt;="&amp;DATE($I$2,M$4,1),DATA!$J:$J,"&lt;="&amp;DATE($I$2,M$4,M$5))</f>
        <v/>
      </c>
      <c r="N950" s="321">
        <f>SUMIFS(DATA!$I:$I,DATA!$C:$C,$B950,DATA!$J:$J,"&gt;="&amp;DATE($I$2,N$4,1),DATA!$J:$J,"&lt;="&amp;DATE($I$2,N$4,N$5))</f>
        <v/>
      </c>
      <c r="O950" s="321">
        <f>SUMIFS(DATA!$I:$I,DATA!$C:$C,$B950,DATA!$J:$J,"&gt;="&amp;DATE($I$2,O$4,1),DATA!$J:$J,"&lt;="&amp;DATE($I$2,O$4,O$5))</f>
        <v/>
      </c>
      <c r="P950" s="322">
        <f>SUM(D950:O950)</f>
        <v/>
      </c>
    </row>
    <row r="951" hidden="1" outlineLevel="1" ht="15" customHeight="1">
      <c r="A951" s="266" t="n"/>
      <c r="B951" s="126" t="n"/>
      <c r="C951" s="119" t="inlineStr">
        <is>
          <t>Thực tế</t>
        </is>
      </c>
      <c r="D951" s="321">
        <f>SUMIFS(DATA!$M:$M,DATA!$C:$C,$B950,DATA!$N:$N,"&gt;="&amp;DATE($I$2,D$4,1),DATA!$N:$N,"&lt;="&amp;DATE($I$2,D$4,D$5))</f>
        <v/>
      </c>
      <c r="E951" s="321">
        <f>SUMIFS(DATA!$M:$M,DATA!$C:$C,$B950,DATA!$N:$N,"&gt;="&amp;DATE($I$2,E$4,1),DATA!$N:$N,"&lt;="&amp;DATE($I$2,E$4,E$5))</f>
        <v/>
      </c>
      <c r="F951" s="321">
        <f>SUMIFS(DATA!$M:$M,DATA!$C:$C,$B950,DATA!$N:$N,"&gt;="&amp;DATE($I$2,F$4,1),DATA!$N:$N,"&lt;="&amp;DATE($I$2,F$4,F$5))</f>
        <v/>
      </c>
      <c r="G951" s="321">
        <f>SUMIFS(DATA!$M:$M,DATA!$C:$C,$B950,DATA!$N:$N,"&gt;="&amp;DATE($I$2,G$4,1),DATA!$N:$N,"&lt;="&amp;DATE($I$2,G$4,G$5))</f>
        <v/>
      </c>
      <c r="H951" s="321">
        <f>SUMIFS(DATA!$M:$M,DATA!$C:$C,$B950,DATA!$N:$N,"&gt;="&amp;DATE($I$2,H$4,1),DATA!$N:$N,"&lt;="&amp;DATE($I$2,H$4,H$5))</f>
        <v/>
      </c>
      <c r="I951" s="321">
        <f>SUMIFS(DATA!$M:$M,DATA!$C:$C,$B950,DATA!$N:$N,"&gt;="&amp;DATE($I$2,I$4,1),DATA!$N:$N,"&lt;="&amp;DATE($I$2,I$4,I$5))</f>
        <v/>
      </c>
      <c r="J951" s="321">
        <f>SUMIFS(DATA!$M:$M,DATA!$C:$C,$B950,DATA!$N:$N,"&gt;="&amp;DATE($I$2,J$4,1),DATA!$N:$N,"&lt;="&amp;DATE($I$2,J$4,J$5))</f>
        <v/>
      </c>
      <c r="K951" s="321">
        <f>SUMIFS(DATA!$M:$M,DATA!$C:$C,$B950,DATA!$N:$N,"&gt;="&amp;DATE($I$2,K$4,1),DATA!$N:$N,"&lt;="&amp;DATE($I$2,K$4,K$5))</f>
        <v/>
      </c>
      <c r="L951" s="321">
        <f>SUMIFS(DATA!$M:$M,DATA!$C:$C,$B950,DATA!$N:$N,"&gt;="&amp;DATE($I$2,L$4,1),DATA!$N:$N,"&lt;="&amp;DATE($I$2,L$4,L$5))</f>
        <v/>
      </c>
      <c r="M951" s="321">
        <f>SUMIFS(DATA!$M:$M,DATA!$C:$C,$B950,DATA!$N:$N,"&gt;="&amp;DATE($I$2,M$4,1),DATA!$N:$N,"&lt;="&amp;DATE($I$2,M$4,M$5))</f>
        <v/>
      </c>
      <c r="N951" s="321">
        <f>SUMIFS(DATA!$M:$M,DATA!$C:$C,$B950,DATA!$N:$N,"&gt;="&amp;DATE($I$2,N$4,1),DATA!$N:$N,"&lt;="&amp;DATE($I$2,N$4,N$5))</f>
        <v/>
      </c>
      <c r="O951" s="321">
        <f>SUMIFS(DATA!$M:$M,DATA!$C:$C,$B950,DATA!$N:$N,"&gt;="&amp;DATE($I$2,O$4,1),DATA!$N:$N,"&lt;="&amp;DATE($I$2,O$4,O$5))</f>
        <v/>
      </c>
      <c r="P951" s="322">
        <f>SUM(D951:O951)</f>
        <v/>
      </c>
    </row>
    <row r="952" hidden="1" outlineLevel="1" ht="15" customHeight="1">
      <c r="A952" s="269" t="n">
        <v>474</v>
      </c>
      <c r="B952" s="125" t="n"/>
      <c r="C952" s="119" t="inlineStr">
        <is>
          <t>Kế hoạch</t>
        </is>
      </c>
      <c r="D952" s="321">
        <f>SUMIFS(DATA!$I:$I,DATA!$C:$C,$B952,DATA!$J:$J,"&gt;="&amp;DATE($I$2,D$4,1),DATA!$J:$J,"&lt;="&amp;DATE($I$2,D$4,D$5))</f>
        <v/>
      </c>
      <c r="E952" s="321">
        <f>SUMIFS(DATA!$I:$I,DATA!$C:$C,$B952,DATA!$J:$J,"&gt;="&amp;DATE($I$2,E$4,1),DATA!$J:$J,"&lt;="&amp;DATE($I$2,E$4,E$5))</f>
        <v/>
      </c>
      <c r="F952" s="321">
        <f>SUMIFS(DATA!$I:$I,DATA!$C:$C,$B952,DATA!$J:$J,"&gt;="&amp;DATE($I$2,F$4,1),DATA!$J:$J,"&lt;="&amp;DATE($I$2,F$4,F$5))</f>
        <v/>
      </c>
      <c r="G952" s="321">
        <f>SUMIFS(DATA!$I:$I,DATA!$C:$C,$B952,DATA!$J:$J,"&gt;="&amp;DATE($I$2,G$4,1),DATA!$J:$J,"&lt;="&amp;DATE($I$2,G$4,G$5))</f>
        <v/>
      </c>
      <c r="H952" s="321">
        <f>SUMIFS(DATA!$I:$I,DATA!$C:$C,$B952,DATA!$J:$J,"&gt;="&amp;DATE($I$2,H$4,1),DATA!$J:$J,"&lt;="&amp;DATE($I$2,H$4,H$5))</f>
        <v/>
      </c>
      <c r="I952" s="321">
        <f>SUMIFS(DATA!$I:$I,DATA!$C:$C,$B952,DATA!$J:$J,"&gt;="&amp;DATE($I$2,I$4,1),DATA!$J:$J,"&lt;="&amp;DATE($I$2,I$4,I$5))</f>
        <v/>
      </c>
      <c r="J952" s="321">
        <f>SUMIFS(DATA!$I:$I,DATA!$C:$C,$B952,DATA!$J:$J,"&gt;="&amp;DATE($I$2,J$4,1),DATA!$J:$J,"&lt;="&amp;DATE($I$2,J$4,J$5))</f>
        <v/>
      </c>
      <c r="K952" s="321">
        <f>SUMIFS(DATA!$I:$I,DATA!$C:$C,$B952,DATA!$J:$J,"&gt;="&amp;DATE($I$2,K$4,1),DATA!$J:$J,"&lt;="&amp;DATE($I$2,K$4,K$5))</f>
        <v/>
      </c>
      <c r="L952" s="321">
        <f>SUMIFS(DATA!$I:$I,DATA!$C:$C,$B952,DATA!$J:$J,"&gt;="&amp;DATE($I$2,L$4,1),DATA!$J:$J,"&lt;="&amp;DATE($I$2,L$4,L$5))</f>
        <v/>
      </c>
      <c r="M952" s="321">
        <f>SUMIFS(DATA!$I:$I,DATA!$C:$C,$B952,DATA!$J:$J,"&gt;="&amp;DATE($I$2,M$4,1),DATA!$J:$J,"&lt;="&amp;DATE($I$2,M$4,M$5))</f>
        <v/>
      </c>
      <c r="N952" s="321">
        <f>SUMIFS(DATA!$I:$I,DATA!$C:$C,$B952,DATA!$J:$J,"&gt;="&amp;DATE($I$2,N$4,1),DATA!$J:$J,"&lt;="&amp;DATE($I$2,N$4,N$5))</f>
        <v/>
      </c>
      <c r="O952" s="321">
        <f>SUMIFS(DATA!$I:$I,DATA!$C:$C,$B952,DATA!$J:$J,"&gt;="&amp;DATE($I$2,O$4,1),DATA!$J:$J,"&lt;="&amp;DATE($I$2,O$4,O$5))</f>
        <v/>
      </c>
      <c r="P952" s="322">
        <f>SUM(D952:O952)</f>
        <v/>
      </c>
    </row>
    <row r="953" hidden="1" outlineLevel="1" ht="15" customHeight="1">
      <c r="A953" s="266" t="n"/>
      <c r="B953" s="126" t="n"/>
      <c r="C953" s="119" t="inlineStr">
        <is>
          <t>Thực tế</t>
        </is>
      </c>
      <c r="D953" s="321">
        <f>SUMIFS(DATA!$M:$M,DATA!$C:$C,$B952,DATA!$N:$N,"&gt;="&amp;DATE($I$2,D$4,1),DATA!$N:$N,"&lt;="&amp;DATE($I$2,D$4,D$5))</f>
        <v/>
      </c>
      <c r="E953" s="321">
        <f>SUMIFS(DATA!$M:$M,DATA!$C:$C,$B952,DATA!$N:$N,"&gt;="&amp;DATE($I$2,E$4,1),DATA!$N:$N,"&lt;="&amp;DATE($I$2,E$4,E$5))</f>
        <v/>
      </c>
      <c r="F953" s="321">
        <f>SUMIFS(DATA!$M:$M,DATA!$C:$C,$B952,DATA!$N:$N,"&gt;="&amp;DATE($I$2,F$4,1),DATA!$N:$N,"&lt;="&amp;DATE($I$2,F$4,F$5))</f>
        <v/>
      </c>
      <c r="G953" s="321">
        <f>SUMIFS(DATA!$M:$M,DATA!$C:$C,$B952,DATA!$N:$N,"&gt;="&amp;DATE($I$2,G$4,1),DATA!$N:$N,"&lt;="&amp;DATE($I$2,G$4,G$5))</f>
        <v/>
      </c>
      <c r="H953" s="321">
        <f>SUMIFS(DATA!$M:$M,DATA!$C:$C,$B952,DATA!$N:$N,"&gt;="&amp;DATE($I$2,H$4,1),DATA!$N:$N,"&lt;="&amp;DATE($I$2,H$4,H$5))</f>
        <v/>
      </c>
      <c r="I953" s="321">
        <f>SUMIFS(DATA!$M:$M,DATA!$C:$C,$B952,DATA!$N:$N,"&gt;="&amp;DATE($I$2,I$4,1),DATA!$N:$N,"&lt;="&amp;DATE($I$2,I$4,I$5))</f>
        <v/>
      </c>
      <c r="J953" s="321">
        <f>SUMIFS(DATA!$M:$M,DATA!$C:$C,$B952,DATA!$N:$N,"&gt;="&amp;DATE($I$2,J$4,1),DATA!$N:$N,"&lt;="&amp;DATE($I$2,J$4,J$5))</f>
        <v/>
      </c>
      <c r="K953" s="321">
        <f>SUMIFS(DATA!$M:$M,DATA!$C:$C,$B952,DATA!$N:$N,"&gt;="&amp;DATE($I$2,K$4,1),DATA!$N:$N,"&lt;="&amp;DATE($I$2,K$4,K$5))</f>
        <v/>
      </c>
      <c r="L953" s="321">
        <f>SUMIFS(DATA!$M:$M,DATA!$C:$C,$B952,DATA!$N:$N,"&gt;="&amp;DATE($I$2,L$4,1),DATA!$N:$N,"&lt;="&amp;DATE($I$2,L$4,L$5))</f>
        <v/>
      </c>
      <c r="M953" s="321">
        <f>SUMIFS(DATA!$M:$M,DATA!$C:$C,$B952,DATA!$N:$N,"&gt;="&amp;DATE($I$2,M$4,1),DATA!$N:$N,"&lt;="&amp;DATE($I$2,M$4,M$5))</f>
        <v/>
      </c>
      <c r="N953" s="321">
        <f>SUMIFS(DATA!$M:$M,DATA!$C:$C,$B952,DATA!$N:$N,"&gt;="&amp;DATE($I$2,N$4,1),DATA!$N:$N,"&lt;="&amp;DATE($I$2,N$4,N$5))</f>
        <v/>
      </c>
      <c r="O953" s="321">
        <f>SUMIFS(DATA!$M:$M,DATA!$C:$C,$B952,DATA!$N:$N,"&gt;="&amp;DATE($I$2,O$4,1),DATA!$N:$N,"&lt;="&amp;DATE($I$2,O$4,O$5))</f>
        <v/>
      </c>
      <c r="P953" s="322">
        <f>SUM(D953:O953)</f>
        <v/>
      </c>
    </row>
    <row r="954" hidden="1" outlineLevel="1" ht="15" customHeight="1">
      <c r="A954" s="269" t="n">
        <v>475</v>
      </c>
      <c r="B954" s="125" t="n"/>
      <c r="C954" s="119" t="inlineStr">
        <is>
          <t>Kế hoạch</t>
        </is>
      </c>
      <c r="D954" s="321">
        <f>SUMIFS(DATA!$I:$I,DATA!$C:$C,$B954,DATA!$J:$J,"&gt;="&amp;DATE($I$2,D$4,1),DATA!$J:$J,"&lt;="&amp;DATE($I$2,D$4,D$5))</f>
        <v/>
      </c>
      <c r="E954" s="321">
        <f>SUMIFS(DATA!$I:$I,DATA!$C:$C,$B954,DATA!$J:$J,"&gt;="&amp;DATE($I$2,E$4,1),DATA!$J:$J,"&lt;="&amp;DATE($I$2,E$4,E$5))</f>
        <v/>
      </c>
      <c r="F954" s="321">
        <f>SUMIFS(DATA!$I:$I,DATA!$C:$C,$B954,DATA!$J:$J,"&gt;="&amp;DATE($I$2,F$4,1),DATA!$J:$J,"&lt;="&amp;DATE($I$2,F$4,F$5))</f>
        <v/>
      </c>
      <c r="G954" s="321">
        <f>SUMIFS(DATA!$I:$I,DATA!$C:$C,$B954,DATA!$J:$J,"&gt;="&amp;DATE($I$2,G$4,1),DATA!$J:$J,"&lt;="&amp;DATE($I$2,G$4,G$5))</f>
        <v/>
      </c>
      <c r="H954" s="321">
        <f>SUMIFS(DATA!$I:$I,DATA!$C:$C,$B954,DATA!$J:$J,"&gt;="&amp;DATE($I$2,H$4,1),DATA!$J:$J,"&lt;="&amp;DATE($I$2,H$4,H$5))</f>
        <v/>
      </c>
      <c r="I954" s="321">
        <f>SUMIFS(DATA!$I:$I,DATA!$C:$C,$B954,DATA!$J:$J,"&gt;="&amp;DATE($I$2,I$4,1),DATA!$J:$J,"&lt;="&amp;DATE($I$2,I$4,I$5))</f>
        <v/>
      </c>
      <c r="J954" s="321">
        <f>SUMIFS(DATA!$I:$I,DATA!$C:$C,$B954,DATA!$J:$J,"&gt;="&amp;DATE($I$2,J$4,1),DATA!$J:$J,"&lt;="&amp;DATE($I$2,J$4,J$5))</f>
        <v/>
      </c>
      <c r="K954" s="321">
        <f>SUMIFS(DATA!$I:$I,DATA!$C:$C,$B954,DATA!$J:$J,"&gt;="&amp;DATE($I$2,K$4,1),DATA!$J:$J,"&lt;="&amp;DATE($I$2,K$4,K$5))</f>
        <v/>
      </c>
      <c r="L954" s="321">
        <f>SUMIFS(DATA!$I:$I,DATA!$C:$C,$B954,DATA!$J:$J,"&gt;="&amp;DATE($I$2,L$4,1),DATA!$J:$J,"&lt;="&amp;DATE($I$2,L$4,L$5))</f>
        <v/>
      </c>
      <c r="M954" s="321">
        <f>SUMIFS(DATA!$I:$I,DATA!$C:$C,$B954,DATA!$J:$J,"&gt;="&amp;DATE($I$2,M$4,1),DATA!$J:$J,"&lt;="&amp;DATE($I$2,M$4,M$5))</f>
        <v/>
      </c>
      <c r="N954" s="321">
        <f>SUMIFS(DATA!$I:$I,DATA!$C:$C,$B954,DATA!$J:$J,"&gt;="&amp;DATE($I$2,N$4,1),DATA!$J:$J,"&lt;="&amp;DATE($I$2,N$4,N$5))</f>
        <v/>
      </c>
      <c r="O954" s="321">
        <f>SUMIFS(DATA!$I:$I,DATA!$C:$C,$B954,DATA!$J:$J,"&gt;="&amp;DATE($I$2,O$4,1),DATA!$J:$J,"&lt;="&amp;DATE($I$2,O$4,O$5))</f>
        <v/>
      </c>
      <c r="P954" s="322">
        <f>SUM(D954:O954)</f>
        <v/>
      </c>
    </row>
    <row r="955" hidden="1" outlineLevel="1" ht="15" customHeight="1">
      <c r="A955" s="266" t="n"/>
      <c r="B955" s="126" t="n"/>
      <c r="C955" s="119" t="inlineStr">
        <is>
          <t>Thực tế</t>
        </is>
      </c>
      <c r="D955" s="321">
        <f>SUMIFS(DATA!$M:$M,DATA!$C:$C,$B954,DATA!$N:$N,"&gt;="&amp;DATE($I$2,D$4,1),DATA!$N:$N,"&lt;="&amp;DATE($I$2,D$4,D$5))</f>
        <v/>
      </c>
      <c r="E955" s="321">
        <f>SUMIFS(DATA!$M:$M,DATA!$C:$C,$B954,DATA!$N:$N,"&gt;="&amp;DATE($I$2,E$4,1),DATA!$N:$N,"&lt;="&amp;DATE($I$2,E$4,E$5))</f>
        <v/>
      </c>
      <c r="F955" s="321">
        <f>SUMIFS(DATA!$M:$M,DATA!$C:$C,$B954,DATA!$N:$N,"&gt;="&amp;DATE($I$2,F$4,1),DATA!$N:$N,"&lt;="&amp;DATE($I$2,F$4,F$5))</f>
        <v/>
      </c>
      <c r="G955" s="321">
        <f>SUMIFS(DATA!$M:$M,DATA!$C:$C,$B954,DATA!$N:$N,"&gt;="&amp;DATE($I$2,G$4,1),DATA!$N:$N,"&lt;="&amp;DATE($I$2,G$4,G$5))</f>
        <v/>
      </c>
      <c r="H955" s="321">
        <f>SUMIFS(DATA!$M:$M,DATA!$C:$C,$B954,DATA!$N:$N,"&gt;="&amp;DATE($I$2,H$4,1),DATA!$N:$N,"&lt;="&amp;DATE($I$2,H$4,H$5))</f>
        <v/>
      </c>
      <c r="I955" s="321">
        <f>SUMIFS(DATA!$M:$M,DATA!$C:$C,$B954,DATA!$N:$N,"&gt;="&amp;DATE($I$2,I$4,1),DATA!$N:$N,"&lt;="&amp;DATE($I$2,I$4,I$5))</f>
        <v/>
      </c>
      <c r="J955" s="321">
        <f>SUMIFS(DATA!$M:$M,DATA!$C:$C,$B954,DATA!$N:$N,"&gt;="&amp;DATE($I$2,J$4,1),DATA!$N:$N,"&lt;="&amp;DATE($I$2,J$4,J$5))</f>
        <v/>
      </c>
      <c r="K955" s="321">
        <f>SUMIFS(DATA!$M:$M,DATA!$C:$C,$B954,DATA!$N:$N,"&gt;="&amp;DATE($I$2,K$4,1),DATA!$N:$N,"&lt;="&amp;DATE($I$2,K$4,K$5))</f>
        <v/>
      </c>
      <c r="L955" s="321">
        <f>SUMIFS(DATA!$M:$M,DATA!$C:$C,$B954,DATA!$N:$N,"&gt;="&amp;DATE($I$2,L$4,1),DATA!$N:$N,"&lt;="&amp;DATE($I$2,L$4,L$5))</f>
        <v/>
      </c>
      <c r="M955" s="321">
        <f>SUMIFS(DATA!$M:$M,DATA!$C:$C,$B954,DATA!$N:$N,"&gt;="&amp;DATE($I$2,M$4,1),DATA!$N:$N,"&lt;="&amp;DATE($I$2,M$4,M$5))</f>
        <v/>
      </c>
      <c r="N955" s="321">
        <f>SUMIFS(DATA!$M:$M,DATA!$C:$C,$B954,DATA!$N:$N,"&gt;="&amp;DATE($I$2,N$4,1),DATA!$N:$N,"&lt;="&amp;DATE($I$2,N$4,N$5))</f>
        <v/>
      </c>
      <c r="O955" s="321">
        <f>SUMIFS(DATA!$M:$M,DATA!$C:$C,$B954,DATA!$N:$N,"&gt;="&amp;DATE($I$2,O$4,1),DATA!$N:$N,"&lt;="&amp;DATE($I$2,O$4,O$5))</f>
        <v/>
      </c>
      <c r="P955" s="322">
        <f>SUM(D955:O955)</f>
        <v/>
      </c>
    </row>
    <row r="956" hidden="1" outlineLevel="1" ht="15" customHeight="1">
      <c r="A956" s="269" t="n">
        <v>476</v>
      </c>
      <c r="B956" s="125" t="n"/>
      <c r="C956" s="119" t="inlineStr">
        <is>
          <t>Kế hoạch</t>
        </is>
      </c>
      <c r="D956" s="321">
        <f>SUMIFS(DATA!$I:$I,DATA!$C:$C,$B956,DATA!$J:$J,"&gt;="&amp;DATE($I$2,D$4,1),DATA!$J:$J,"&lt;="&amp;DATE($I$2,D$4,D$5))</f>
        <v/>
      </c>
      <c r="E956" s="321">
        <f>SUMIFS(DATA!$I:$I,DATA!$C:$C,$B956,DATA!$J:$J,"&gt;="&amp;DATE($I$2,E$4,1),DATA!$J:$J,"&lt;="&amp;DATE($I$2,E$4,E$5))</f>
        <v/>
      </c>
      <c r="F956" s="321">
        <f>SUMIFS(DATA!$I:$I,DATA!$C:$C,$B956,DATA!$J:$J,"&gt;="&amp;DATE($I$2,F$4,1),DATA!$J:$J,"&lt;="&amp;DATE($I$2,F$4,F$5))</f>
        <v/>
      </c>
      <c r="G956" s="321">
        <f>SUMIFS(DATA!$I:$I,DATA!$C:$C,$B956,DATA!$J:$J,"&gt;="&amp;DATE($I$2,G$4,1),DATA!$J:$J,"&lt;="&amp;DATE($I$2,G$4,G$5))</f>
        <v/>
      </c>
      <c r="H956" s="321">
        <f>SUMIFS(DATA!$I:$I,DATA!$C:$C,$B956,DATA!$J:$J,"&gt;="&amp;DATE($I$2,H$4,1),DATA!$J:$J,"&lt;="&amp;DATE($I$2,H$4,H$5))</f>
        <v/>
      </c>
      <c r="I956" s="321">
        <f>SUMIFS(DATA!$I:$I,DATA!$C:$C,$B956,DATA!$J:$J,"&gt;="&amp;DATE($I$2,I$4,1),DATA!$J:$J,"&lt;="&amp;DATE($I$2,I$4,I$5))</f>
        <v/>
      </c>
      <c r="J956" s="321">
        <f>SUMIFS(DATA!$I:$I,DATA!$C:$C,$B956,DATA!$J:$J,"&gt;="&amp;DATE($I$2,J$4,1),DATA!$J:$J,"&lt;="&amp;DATE($I$2,J$4,J$5))</f>
        <v/>
      </c>
      <c r="K956" s="321">
        <f>SUMIFS(DATA!$I:$I,DATA!$C:$C,$B956,DATA!$J:$J,"&gt;="&amp;DATE($I$2,K$4,1),DATA!$J:$J,"&lt;="&amp;DATE($I$2,K$4,K$5))</f>
        <v/>
      </c>
      <c r="L956" s="321">
        <f>SUMIFS(DATA!$I:$I,DATA!$C:$C,$B956,DATA!$J:$J,"&gt;="&amp;DATE($I$2,L$4,1),DATA!$J:$J,"&lt;="&amp;DATE($I$2,L$4,L$5))</f>
        <v/>
      </c>
      <c r="M956" s="321">
        <f>SUMIFS(DATA!$I:$I,DATA!$C:$C,$B956,DATA!$J:$J,"&gt;="&amp;DATE($I$2,M$4,1),DATA!$J:$J,"&lt;="&amp;DATE($I$2,M$4,M$5))</f>
        <v/>
      </c>
      <c r="N956" s="321">
        <f>SUMIFS(DATA!$I:$I,DATA!$C:$C,$B956,DATA!$J:$J,"&gt;="&amp;DATE($I$2,N$4,1),DATA!$J:$J,"&lt;="&amp;DATE($I$2,N$4,N$5))</f>
        <v/>
      </c>
      <c r="O956" s="321">
        <f>SUMIFS(DATA!$I:$I,DATA!$C:$C,$B956,DATA!$J:$J,"&gt;="&amp;DATE($I$2,O$4,1),DATA!$J:$J,"&lt;="&amp;DATE($I$2,O$4,O$5))</f>
        <v/>
      </c>
      <c r="P956" s="322">
        <f>SUM(D956:O956)</f>
        <v/>
      </c>
    </row>
    <row r="957" hidden="1" outlineLevel="1" ht="15" customHeight="1">
      <c r="A957" s="266" t="n"/>
      <c r="B957" s="126" t="n"/>
      <c r="C957" s="119" t="inlineStr">
        <is>
          <t>Thực tế</t>
        </is>
      </c>
      <c r="D957" s="321">
        <f>SUMIFS(DATA!$M:$M,DATA!$C:$C,$B956,DATA!$N:$N,"&gt;="&amp;DATE($I$2,D$4,1),DATA!$N:$N,"&lt;="&amp;DATE($I$2,D$4,D$5))</f>
        <v/>
      </c>
      <c r="E957" s="321">
        <f>SUMIFS(DATA!$M:$M,DATA!$C:$C,$B956,DATA!$N:$N,"&gt;="&amp;DATE($I$2,E$4,1),DATA!$N:$N,"&lt;="&amp;DATE($I$2,E$4,E$5))</f>
        <v/>
      </c>
      <c r="F957" s="321">
        <f>SUMIFS(DATA!$M:$M,DATA!$C:$C,$B956,DATA!$N:$N,"&gt;="&amp;DATE($I$2,F$4,1),DATA!$N:$N,"&lt;="&amp;DATE($I$2,F$4,F$5))</f>
        <v/>
      </c>
      <c r="G957" s="321">
        <f>SUMIFS(DATA!$M:$M,DATA!$C:$C,$B956,DATA!$N:$N,"&gt;="&amp;DATE($I$2,G$4,1),DATA!$N:$N,"&lt;="&amp;DATE($I$2,G$4,G$5))</f>
        <v/>
      </c>
      <c r="H957" s="321">
        <f>SUMIFS(DATA!$M:$M,DATA!$C:$C,$B956,DATA!$N:$N,"&gt;="&amp;DATE($I$2,H$4,1),DATA!$N:$N,"&lt;="&amp;DATE($I$2,H$4,H$5))</f>
        <v/>
      </c>
      <c r="I957" s="321">
        <f>SUMIFS(DATA!$M:$M,DATA!$C:$C,$B956,DATA!$N:$N,"&gt;="&amp;DATE($I$2,I$4,1),DATA!$N:$N,"&lt;="&amp;DATE($I$2,I$4,I$5))</f>
        <v/>
      </c>
      <c r="J957" s="321">
        <f>SUMIFS(DATA!$M:$M,DATA!$C:$C,$B956,DATA!$N:$N,"&gt;="&amp;DATE($I$2,J$4,1),DATA!$N:$N,"&lt;="&amp;DATE($I$2,J$4,J$5))</f>
        <v/>
      </c>
      <c r="K957" s="321">
        <f>SUMIFS(DATA!$M:$M,DATA!$C:$C,$B956,DATA!$N:$N,"&gt;="&amp;DATE($I$2,K$4,1),DATA!$N:$N,"&lt;="&amp;DATE($I$2,K$4,K$5))</f>
        <v/>
      </c>
      <c r="L957" s="321">
        <f>SUMIFS(DATA!$M:$M,DATA!$C:$C,$B956,DATA!$N:$N,"&gt;="&amp;DATE($I$2,L$4,1),DATA!$N:$N,"&lt;="&amp;DATE($I$2,L$4,L$5))</f>
        <v/>
      </c>
      <c r="M957" s="321">
        <f>SUMIFS(DATA!$M:$M,DATA!$C:$C,$B956,DATA!$N:$N,"&gt;="&amp;DATE($I$2,M$4,1),DATA!$N:$N,"&lt;="&amp;DATE($I$2,M$4,M$5))</f>
        <v/>
      </c>
      <c r="N957" s="321">
        <f>SUMIFS(DATA!$M:$M,DATA!$C:$C,$B956,DATA!$N:$N,"&gt;="&amp;DATE($I$2,N$4,1),DATA!$N:$N,"&lt;="&amp;DATE($I$2,N$4,N$5))</f>
        <v/>
      </c>
      <c r="O957" s="321">
        <f>SUMIFS(DATA!$M:$M,DATA!$C:$C,$B956,DATA!$N:$N,"&gt;="&amp;DATE($I$2,O$4,1),DATA!$N:$N,"&lt;="&amp;DATE($I$2,O$4,O$5))</f>
        <v/>
      </c>
      <c r="P957" s="322">
        <f>SUM(D957:O957)</f>
        <v/>
      </c>
    </row>
    <row r="958" hidden="1" outlineLevel="1" ht="15" customHeight="1">
      <c r="A958" s="269" t="n">
        <v>477</v>
      </c>
      <c r="B958" s="125" t="n"/>
      <c r="C958" s="119" t="inlineStr">
        <is>
          <t>Kế hoạch</t>
        </is>
      </c>
      <c r="D958" s="321">
        <f>SUMIFS(DATA!$I:$I,DATA!$C:$C,$B958,DATA!$J:$J,"&gt;="&amp;DATE($I$2,D$4,1),DATA!$J:$J,"&lt;="&amp;DATE($I$2,D$4,D$5))</f>
        <v/>
      </c>
      <c r="E958" s="321">
        <f>SUMIFS(DATA!$I:$I,DATA!$C:$C,$B958,DATA!$J:$J,"&gt;="&amp;DATE($I$2,E$4,1),DATA!$J:$J,"&lt;="&amp;DATE($I$2,E$4,E$5))</f>
        <v/>
      </c>
      <c r="F958" s="321">
        <f>SUMIFS(DATA!$I:$I,DATA!$C:$C,$B958,DATA!$J:$J,"&gt;="&amp;DATE($I$2,F$4,1),DATA!$J:$J,"&lt;="&amp;DATE($I$2,F$4,F$5))</f>
        <v/>
      </c>
      <c r="G958" s="321">
        <f>SUMIFS(DATA!$I:$I,DATA!$C:$C,$B958,DATA!$J:$J,"&gt;="&amp;DATE($I$2,G$4,1),DATA!$J:$J,"&lt;="&amp;DATE($I$2,G$4,G$5))</f>
        <v/>
      </c>
      <c r="H958" s="321">
        <f>SUMIFS(DATA!$I:$I,DATA!$C:$C,$B958,DATA!$J:$J,"&gt;="&amp;DATE($I$2,H$4,1),DATA!$J:$J,"&lt;="&amp;DATE($I$2,H$4,H$5))</f>
        <v/>
      </c>
      <c r="I958" s="321">
        <f>SUMIFS(DATA!$I:$I,DATA!$C:$C,$B958,DATA!$J:$J,"&gt;="&amp;DATE($I$2,I$4,1),DATA!$J:$J,"&lt;="&amp;DATE($I$2,I$4,I$5))</f>
        <v/>
      </c>
      <c r="J958" s="321">
        <f>SUMIFS(DATA!$I:$I,DATA!$C:$C,$B958,DATA!$J:$J,"&gt;="&amp;DATE($I$2,J$4,1),DATA!$J:$J,"&lt;="&amp;DATE($I$2,J$4,J$5))</f>
        <v/>
      </c>
      <c r="K958" s="321">
        <f>SUMIFS(DATA!$I:$I,DATA!$C:$C,$B958,DATA!$J:$J,"&gt;="&amp;DATE($I$2,K$4,1),DATA!$J:$J,"&lt;="&amp;DATE($I$2,K$4,K$5))</f>
        <v/>
      </c>
      <c r="L958" s="321">
        <f>SUMIFS(DATA!$I:$I,DATA!$C:$C,$B958,DATA!$J:$J,"&gt;="&amp;DATE($I$2,L$4,1),DATA!$J:$J,"&lt;="&amp;DATE($I$2,L$4,L$5))</f>
        <v/>
      </c>
      <c r="M958" s="321">
        <f>SUMIFS(DATA!$I:$I,DATA!$C:$C,$B958,DATA!$J:$J,"&gt;="&amp;DATE($I$2,M$4,1),DATA!$J:$J,"&lt;="&amp;DATE($I$2,M$4,M$5))</f>
        <v/>
      </c>
      <c r="N958" s="321">
        <f>SUMIFS(DATA!$I:$I,DATA!$C:$C,$B958,DATA!$J:$J,"&gt;="&amp;DATE($I$2,N$4,1),DATA!$J:$J,"&lt;="&amp;DATE($I$2,N$4,N$5))</f>
        <v/>
      </c>
      <c r="O958" s="321">
        <f>SUMIFS(DATA!$I:$I,DATA!$C:$C,$B958,DATA!$J:$J,"&gt;="&amp;DATE($I$2,O$4,1),DATA!$J:$J,"&lt;="&amp;DATE($I$2,O$4,O$5))</f>
        <v/>
      </c>
      <c r="P958" s="322">
        <f>SUM(D958:O958)</f>
        <v/>
      </c>
    </row>
    <row r="959" hidden="1" outlineLevel="1" ht="15" customHeight="1">
      <c r="A959" s="266" t="n"/>
      <c r="B959" s="126" t="n"/>
      <c r="C959" s="119" t="inlineStr">
        <is>
          <t>Thực tế</t>
        </is>
      </c>
      <c r="D959" s="321">
        <f>SUMIFS(DATA!$M:$M,DATA!$C:$C,$B958,DATA!$N:$N,"&gt;="&amp;DATE($I$2,D$4,1),DATA!$N:$N,"&lt;="&amp;DATE($I$2,D$4,D$5))</f>
        <v/>
      </c>
      <c r="E959" s="321">
        <f>SUMIFS(DATA!$M:$M,DATA!$C:$C,$B958,DATA!$N:$N,"&gt;="&amp;DATE($I$2,E$4,1),DATA!$N:$N,"&lt;="&amp;DATE($I$2,E$4,E$5))</f>
        <v/>
      </c>
      <c r="F959" s="321">
        <f>SUMIFS(DATA!$M:$M,DATA!$C:$C,$B958,DATA!$N:$N,"&gt;="&amp;DATE($I$2,F$4,1),DATA!$N:$N,"&lt;="&amp;DATE($I$2,F$4,F$5))</f>
        <v/>
      </c>
      <c r="G959" s="321">
        <f>SUMIFS(DATA!$M:$M,DATA!$C:$C,$B958,DATA!$N:$N,"&gt;="&amp;DATE($I$2,G$4,1),DATA!$N:$N,"&lt;="&amp;DATE($I$2,G$4,G$5))</f>
        <v/>
      </c>
      <c r="H959" s="321">
        <f>SUMIFS(DATA!$M:$M,DATA!$C:$C,$B958,DATA!$N:$N,"&gt;="&amp;DATE($I$2,H$4,1),DATA!$N:$N,"&lt;="&amp;DATE($I$2,H$4,H$5))</f>
        <v/>
      </c>
      <c r="I959" s="321">
        <f>SUMIFS(DATA!$M:$M,DATA!$C:$C,$B958,DATA!$N:$N,"&gt;="&amp;DATE($I$2,I$4,1),DATA!$N:$N,"&lt;="&amp;DATE($I$2,I$4,I$5))</f>
        <v/>
      </c>
      <c r="J959" s="321">
        <f>SUMIFS(DATA!$M:$M,DATA!$C:$C,$B958,DATA!$N:$N,"&gt;="&amp;DATE($I$2,J$4,1),DATA!$N:$N,"&lt;="&amp;DATE($I$2,J$4,J$5))</f>
        <v/>
      </c>
      <c r="K959" s="321">
        <f>SUMIFS(DATA!$M:$M,DATA!$C:$C,$B958,DATA!$N:$N,"&gt;="&amp;DATE($I$2,K$4,1),DATA!$N:$N,"&lt;="&amp;DATE($I$2,K$4,K$5))</f>
        <v/>
      </c>
      <c r="L959" s="321">
        <f>SUMIFS(DATA!$M:$M,DATA!$C:$C,$B958,DATA!$N:$N,"&gt;="&amp;DATE($I$2,L$4,1),DATA!$N:$N,"&lt;="&amp;DATE($I$2,L$4,L$5))</f>
        <v/>
      </c>
      <c r="M959" s="321">
        <f>SUMIFS(DATA!$M:$M,DATA!$C:$C,$B958,DATA!$N:$N,"&gt;="&amp;DATE($I$2,M$4,1),DATA!$N:$N,"&lt;="&amp;DATE($I$2,M$4,M$5))</f>
        <v/>
      </c>
      <c r="N959" s="321">
        <f>SUMIFS(DATA!$M:$M,DATA!$C:$C,$B958,DATA!$N:$N,"&gt;="&amp;DATE($I$2,N$4,1),DATA!$N:$N,"&lt;="&amp;DATE($I$2,N$4,N$5))</f>
        <v/>
      </c>
      <c r="O959" s="321">
        <f>SUMIFS(DATA!$M:$M,DATA!$C:$C,$B958,DATA!$N:$N,"&gt;="&amp;DATE($I$2,O$4,1),DATA!$N:$N,"&lt;="&amp;DATE($I$2,O$4,O$5))</f>
        <v/>
      </c>
      <c r="P959" s="322">
        <f>SUM(D959:O959)</f>
        <v/>
      </c>
    </row>
    <row r="960" hidden="1" outlineLevel="1" ht="15" customHeight="1">
      <c r="A960" s="269" t="n">
        <v>478</v>
      </c>
      <c r="B960" s="125" t="n"/>
      <c r="C960" s="119" t="inlineStr">
        <is>
          <t>Kế hoạch</t>
        </is>
      </c>
      <c r="D960" s="321">
        <f>SUMIFS(DATA!$I:$I,DATA!$C:$C,$B960,DATA!$J:$J,"&gt;="&amp;DATE($I$2,D$4,1),DATA!$J:$J,"&lt;="&amp;DATE($I$2,D$4,D$5))</f>
        <v/>
      </c>
      <c r="E960" s="321">
        <f>SUMIFS(DATA!$I:$I,DATA!$C:$C,$B960,DATA!$J:$J,"&gt;="&amp;DATE($I$2,E$4,1),DATA!$J:$J,"&lt;="&amp;DATE($I$2,E$4,E$5))</f>
        <v/>
      </c>
      <c r="F960" s="321">
        <f>SUMIFS(DATA!$I:$I,DATA!$C:$C,$B960,DATA!$J:$J,"&gt;="&amp;DATE($I$2,F$4,1),DATA!$J:$J,"&lt;="&amp;DATE($I$2,F$4,F$5))</f>
        <v/>
      </c>
      <c r="G960" s="321">
        <f>SUMIFS(DATA!$I:$I,DATA!$C:$C,$B960,DATA!$J:$J,"&gt;="&amp;DATE($I$2,G$4,1),DATA!$J:$J,"&lt;="&amp;DATE($I$2,G$4,G$5))</f>
        <v/>
      </c>
      <c r="H960" s="321">
        <f>SUMIFS(DATA!$I:$I,DATA!$C:$C,$B960,DATA!$J:$J,"&gt;="&amp;DATE($I$2,H$4,1),DATA!$J:$J,"&lt;="&amp;DATE($I$2,H$4,H$5))</f>
        <v/>
      </c>
      <c r="I960" s="321">
        <f>SUMIFS(DATA!$I:$I,DATA!$C:$C,$B960,DATA!$J:$J,"&gt;="&amp;DATE($I$2,I$4,1),DATA!$J:$J,"&lt;="&amp;DATE($I$2,I$4,I$5))</f>
        <v/>
      </c>
      <c r="J960" s="321">
        <f>SUMIFS(DATA!$I:$I,DATA!$C:$C,$B960,DATA!$J:$J,"&gt;="&amp;DATE($I$2,J$4,1),DATA!$J:$J,"&lt;="&amp;DATE($I$2,J$4,J$5))</f>
        <v/>
      </c>
      <c r="K960" s="321">
        <f>SUMIFS(DATA!$I:$I,DATA!$C:$C,$B960,DATA!$J:$J,"&gt;="&amp;DATE($I$2,K$4,1),DATA!$J:$J,"&lt;="&amp;DATE($I$2,K$4,K$5))</f>
        <v/>
      </c>
      <c r="L960" s="321">
        <f>SUMIFS(DATA!$I:$I,DATA!$C:$C,$B960,DATA!$J:$J,"&gt;="&amp;DATE($I$2,L$4,1),DATA!$J:$J,"&lt;="&amp;DATE($I$2,L$4,L$5))</f>
        <v/>
      </c>
      <c r="M960" s="321">
        <f>SUMIFS(DATA!$I:$I,DATA!$C:$C,$B960,DATA!$J:$J,"&gt;="&amp;DATE($I$2,M$4,1),DATA!$J:$J,"&lt;="&amp;DATE($I$2,M$4,M$5))</f>
        <v/>
      </c>
      <c r="N960" s="321">
        <f>SUMIFS(DATA!$I:$I,DATA!$C:$C,$B960,DATA!$J:$J,"&gt;="&amp;DATE($I$2,N$4,1),DATA!$J:$J,"&lt;="&amp;DATE($I$2,N$4,N$5))</f>
        <v/>
      </c>
      <c r="O960" s="321">
        <f>SUMIFS(DATA!$I:$I,DATA!$C:$C,$B960,DATA!$J:$J,"&gt;="&amp;DATE($I$2,O$4,1),DATA!$J:$J,"&lt;="&amp;DATE($I$2,O$4,O$5))</f>
        <v/>
      </c>
      <c r="P960" s="322">
        <f>SUM(D960:O960)</f>
        <v/>
      </c>
    </row>
    <row r="961" hidden="1" outlineLevel="1" ht="15" customHeight="1">
      <c r="A961" s="266" t="n"/>
      <c r="B961" s="126" t="n"/>
      <c r="C961" s="119" t="inlineStr">
        <is>
          <t>Thực tế</t>
        </is>
      </c>
      <c r="D961" s="321">
        <f>SUMIFS(DATA!$M:$M,DATA!$C:$C,$B960,DATA!$N:$N,"&gt;="&amp;DATE($I$2,D$4,1),DATA!$N:$N,"&lt;="&amp;DATE($I$2,D$4,D$5))</f>
        <v/>
      </c>
      <c r="E961" s="321">
        <f>SUMIFS(DATA!$M:$M,DATA!$C:$C,$B960,DATA!$N:$N,"&gt;="&amp;DATE($I$2,E$4,1),DATA!$N:$N,"&lt;="&amp;DATE($I$2,E$4,E$5))</f>
        <v/>
      </c>
      <c r="F961" s="321">
        <f>SUMIFS(DATA!$M:$M,DATA!$C:$C,$B960,DATA!$N:$N,"&gt;="&amp;DATE($I$2,F$4,1),DATA!$N:$N,"&lt;="&amp;DATE($I$2,F$4,F$5))</f>
        <v/>
      </c>
      <c r="G961" s="321">
        <f>SUMIFS(DATA!$M:$M,DATA!$C:$C,$B960,DATA!$N:$N,"&gt;="&amp;DATE($I$2,G$4,1),DATA!$N:$N,"&lt;="&amp;DATE($I$2,G$4,G$5))</f>
        <v/>
      </c>
      <c r="H961" s="321">
        <f>SUMIFS(DATA!$M:$M,DATA!$C:$C,$B960,DATA!$N:$N,"&gt;="&amp;DATE($I$2,H$4,1),DATA!$N:$N,"&lt;="&amp;DATE($I$2,H$4,H$5))</f>
        <v/>
      </c>
      <c r="I961" s="321">
        <f>SUMIFS(DATA!$M:$M,DATA!$C:$C,$B960,DATA!$N:$N,"&gt;="&amp;DATE($I$2,I$4,1),DATA!$N:$N,"&lt;="&amp;DATE($I$2,I$4,I$5))</f>
        <v/>
      </c>
      <c r="J961" s="321">
        <f>SUMIFS(DATA!$M:$M,DATA!$C:$C,$B960,DATA!$N:$N,"&gt;="&amp;DATE($I$2,J$4,1),DATA!$N:$N,"&lt;="&amp;DATE($I$2,J$4,J$5))</f>
        <v/>
      </c>
      <c r="K961" s="321">
        <f>SUMIFS(DATA!$M:$M,DATA!$C:$C,$B960,DATA!$N:$N,"&gt;="&amp;DATE($I$2,K$4,1),DATA!$N:$N,"&lt;="&amp;DATE($I$2,K$4,K$5))</f>
        <v/>
      </c>
      <c r="L961" s="321">
        <f>SUMIFS(DATA!$M:$M,DATA!$C:$C,$B960,DATA!$N:$N,"&gt;="&amp;DATE($I$2,L$4,1),DATA!$N:$N,"&lt;="&amp;DATE($I$2,L$4,L$5))</f>
        <v/>
      </c>
      <c r="M961" s="321">
        <f>SUMIFS(DATA!$M:$M,DATA!$C:$C,$B960,DATA!$N:$N,"&gt;="&amp;DATE($I$2,M$4,1),DATA!$N:$N,"&lt;="&amp;DATE($I$2,M$4,M$5))</f>
        <v/>
      </c>
      <c r="N961" s="321">
        <f>SUMIFS(DATA!$M:$M,DATA!$C:$C,$B960,DATA!$N:$N,"&gt;="&amp;DATE($I$2,N$4,1),DATA!$N:$N,"&lt;="&amp;DATE($I$2,N$4,N$5))</f>
        <v/>
      </c>
      <c r="O961" s="321">
        <f>SUMIFS(DATA!$M:$M,DATA!$C:$C,$B960,DATA!$N:$N,"&gt;="&amp;DATE($I$2,O$4,1),DATA!$N:$N,"&lt;="&amp;DATE($I$2,O$4,O$5))</f>
        <v/>
      </c>
      <c r="P961" s="322">
        <f>SUM(D961:O961)</f>
        <v/>
      </c>
    </row>
    <row r="962" hidden="1" outlineLevel="1" ht="15" customHeight="1">
      <c r="A962" s="269" t="n">
        <v>479</v>
      </c>
      <c r="B962" s="125" t="n"/>
      <c r="C962" s="119" t="inlineStr">
        <is>
          <t>Kế hoạch</t>
        </is>
      </c>
      <c r="D962" s="321">
        <f>SUMIFS(DATA!$I:$I,DATA!$C:$C,$B962,DATA!$J:$J,"&gt;="&amp;DATE($I$2,D$4,1),DATA!$J:$J,"&lt;="&amp;DATE($I$2,D$4,D$5))</f>
        <v/>
      </c>
      <c r="E962" s="321">
        <f>SUMIFS(DATA!$I:$I,DATA!$C:$C,$B962,DATA!$J:$J,"&gt;="&amp;DATE($I$2,E$4,1),DATA!$J:$J,"&lt;="&amp;DATE($I$2,E$4,E$5))</f>
        <v/>
      </c>
      <c r="F962" s="321">
        <f>SUMIFS(DATA!$I:$I,DATA!$C:$C,$B962,DATA!$J:$J,"&gt;="&amp;DATE($I$2,F$4,1),DATA!$J:$J,"&lt;="&amp;DATE($I$2,F$4,F$5))</f>
        <v/>
      </c>
      <c r="G962" s="321">
        <f>SUMIFS(DATA!$I:$I,DATA!$C:$C,$B962,DATA!$J:$J,"&gt;="&amp;DATE($I$2,G$4,1),DATA!$J:$J,"&lt;="&amp;DATE($I$2,G$4,G$5))</f>
        <v/>
      </c>
      <c r="H962" s="321">
        <f>SUMIFS(DATA!$I:$I,DATA!$C:$C,$B962,DATA!$J:$J,"&gt;="&amp;DATE($I$2,H$4,1),DATA!$J:$J,"&lt;="&amp;DATE($I$2,H$4,H$5))</f>
        <v/>
      </c>
      <c r="I962" s="321">
        <f>SUMIFS(DATA!$I:$I,DATA!$C:$C,$B962,DATA!$J:$J,"&gt;="&amp;DATE($I$2,I$4,1),DATA!$J:$J,"&lt;="&amp;DATE($I$2,I$4,I$5))</f>
        <v/>
      </c>
      <c r="J962" s="321">
        <f>SUMIFS(DATA!$I:$I,DATA!$C:$C,$B962,DATA!$J:$J,"&gt;="&amp;DATE($I$2,J$4,1),DATA!$J:$J,"&lt;="&amp;DATE($I$2,J$4,J$5))</f>
        <v/>
      </c>
      <c r="K962" s="321">
        <f>SUMIFS(DATA!$I:$I,DATA!$C:$C,$B962,DATA!$J:$J,"&gt;="&amp;DATE($I$2,K$4,1),DATA!$J:$J,"&lt;="&amp;DATE($I$2,K$4,K$5))</f>
        <v/>
      </c>
      <c r="L962" s="321">
        <f>SUMIFS(DATA!$I:$I,DATA!$C:$C,$B962,DATA!$J:$J,"&gt;="&amp;DATE($I$2,L$4,1),DATA!$J:$J,"&lt;="&amp;DATE($I$2,L$4,L$5))</f>
        <v/>
      </c>
      <c r="M962" s="321">
        <f>SUMIFS(DATA!$I:$I,DATA!$C:$C,$B962,DATA!$J:$J,"&gt;="&amp;DATE($I$2,M$4,1),DATA!$J:$J,"&lt;="&amp;DATE($I$2,M$4,M$5))</f>
        <v/>
      </c>
      <c r="N962" s="321">
        <f>SUMIFS(DATA!$I:$I,DATA!$C:$C,$B962,DATA!$J:$J,"&gt;="&amp;DATE($I$2,N$4,1),DATA!$J:$J,"&lt;="&amp;DATE($I$2,N$4,N$5))</f>
        <v/>
      </c>
      <c r="O962" s="321">
        <f>SUMIFS(DATA!$I:$I,DATA!$C:$C,$B962,DATA!$J:$J,"&gt;="&amp;DATE($I$2,O$4,1),DATA!$J:$J,"&lt;="&amp;DATE($I$2,O$4,O$5))</f>
        <v/>
      </c>
      <c r="P962" s="322">
        <f>SUM(D962:O962)</f>
        <v/>
      </c>
    </row>
    <row r="963" hidden="1" outlineLevel="1" ht="15" customHeight="1">
      <c r="A963" s="266" t="n"/>
      <c r="B963" s="126" t="n"/>
      <c r="C963" s="119" t="inlineStr">
        <is>
          <t>Thực tế</t>
        </is>
      </c>
      <c r="D963" s="321">
        <f>SUMIFS(DATA!$M:$M,DATA!$C:$C,$B962,DATA!$N:$N,"&gt;="&amp;DATE($I$2,D$4,1),DATA!$N:$N,"&lt;="&amp;DATE($I$2,D$4,D$5))</f>
        <v/>
      </c>
      <c r="E963" s="321">
        <f>SUMIFS(DATA!$M:$M,DATA!$C:$C,$B962,DATA!$N:$N,"&gt;="&amp;DATE($I$2,E$4,1),DATA!$N:$N,"&lt;="&amp;DATE($I$2,E$4,E$5))</f>
        <v/>
      </c>
      <c r="F963" s="321">
        <f>SUMIFS(DATA!$M:$M,DATA!$C:$C,$B962,DATA!$N:$N,"&gt;="&amp;DATE($I$2,F$4,1),DATA!$N:$N,"&lt;="&amp;DATE($I$2,F$4,F$5))</f>
        <v/>
      </c>
      <c r="G963" s="321">
        <f>SUMIFS(DATA!$M:$M,DATA!$C:$C,$B962,DATA!$N:$N,"&gt;="&amp;DATE($I$2,G$4,1),DATA!$N:$N,"&lt;="&amp;DATE($I$2,G$4,G$5))</f>
        <v/>
      </c>
      <c r="H963" s="321">
        <f>SUMIFS(DATA!$M:$M,DATA!$C:$C,$B962,DATA!$N:$N,"&gt;="&amp;DATE($I$2,H$4,1),DATA!$N:$N,"&lt;="&amp;DATE($I$2,H$4,H$5))</f>
        <v/>
      </c>
      <c r="I963" s="321">
        <f>SUMIFS(DATA!$M:$M,DATA!$C:$C,$B962,DATA!$N:$N,"&gt;="&amp;DATE($I$2,I$4,1),DATA!$N:$N,"&lt;="&amp;DATE($I$2,I$4,I$5))</f>
        <v/>
      </c>
      <c r="J963" s="321">
        <f>SUMIFS(DATA!$M:$M,DATA!$C:$C,$B962,DATA!$N:$N,"&gt;="&amp;DATE($I$2,J$4,1),DATA!$N:$N,"&lt;="&amp;DATE($I$2,J$4,J$5))</f>
        <v/>
      </c>
      <c r="K963" s="321">
        <f>SUMIFS(DATA!$M:$M,DATA!$C:$C,$B962,DATA!$N:$N,"&gt;="&amp;DATE($I$2,K$4,1),DATA!$N:$N,"&lt;="&amp;DATE($I$2,K$4,K$5))</f>
        <v/>
      </c>
      <c r="L963" s="321">
        <f>SUMIFS(DATA!$M:$M,DATA!$C:$C,$B962,DATA!$N:$N,"&gt;="&amp;DATE($I$2,L$4,1),DATA!$N:$N,"&lt;="&amp;DATE($I$2,L$4,L$5))</f>
        <v/>
      </c>
      <c r="M963" s="321">
        <f>SUMIFS(DATA!$M:$M,DATA!$C:$C,$B962,DATA!$N:$N,"&gt;="&amp;DATE($I$2,M$4,1),DATA!$N:$N,"&lt;="&amp;DATE($I$2,M$4,M$5))</f>
        <v/>
      </c>
      <c r="N963" s="321">
        <f>SUMIFS(DATA!$M:$M,DATA!$C:$C,$B962,DATA!$N:$N,"&gt;="&amp;DATE($I$2,N$4,1),DATA!$N:$N,"&lt;="&amp;DATE($I$2,N$4,N$5))</f>
        <v/>
      </c>
      <c r="O963" s="321">
        <f>SUMIFS(DATA!$M:$M,DATA!$C:$C,$B962,DATA!$N:$N,"&gt;="&amp;DATE($I$2,O$4,1),DATA!$N:$N,"&lt;="&amp;DATE($I$2,O$4,O$5))</f>
        <v/>
      </c>
      <c r="P963" s="322">
        <f>SUM(D963:O963)</f>
        <v/>
      </c>
    </row>
    <row r="964" hidden="1" outlineLevel="1" ht="15" customHeight="1">
      <c r="A964" s="269" t="n">
        <v>480</v>
      </c>
      <c r="B964" s="125" t="n"/>
      <c r="C964" s="119" t="inlineStr">
        <is>
          <t>Kế hoạch</t>
        </is>
      </c>
      <c r="D964" s="321">
        <f>SUMIFS(DATA!$I:$I,DATA!$C:$C,$B964,DATA!$J:$J,"&gt;="&amp;DATE($I$2,D$4,1),DATA!$J:$J,"&lt;="&amp;DATE($I$2,D$4,D$5))</f>
        <v/>
      </c>
      <c r="E964" s="321">
        <f>SUMIFS(DATA!$I:$I,DATA!$C:$C,$B964,DATA!$J:$J,"&gt;="&amp;DATE($I$2,E$4,1),DATA!$J:$J,"&lt;="&amp;DATE($I$2,E$4,E$5))</f>
        <v/>
      </c>
      <c r="F964" s="321">
        <f>SUMIFS(DATA!$I:$I,DATA!$C:$C,$B964,DATA!$J:$J,"&gt;="&amp;DATE($I$2,F$4,1),DATA!$J:$J,"&lt;="&amp;DATE($I$2,F$4,F$5))</f>
        <v/>
      </c>
      <c r="G964" s="321">
        <f>SUMIFS(DATA!$I:$I,DATA!$C:$C,$B964,DATA!$J:$J,"&gt;="&amp;DATE($I$2,G$4,1),DATA!$J:$J,"&lt;="&amp;DATE($I$2,G$4,G$5))</f>
        <v/>
      </c>
      <c r="H964" s="321">
        <f>SUMIFS(DATA!$I:$I,DATA!$C:$C,$B964,DATA!$J:$J,"&gt;="&amp;DATE($I$2,H$4,1),DATA!$J:$J,"&lt;="&amp;DATE($I$2,H$4,H$5))</f>
        <v/>
      </c>
      <c r="I964" s="321">
        <f>SUMIFS(DATA!$I:$I,DATA!$C:$C,$B964,DATA!$J:$J,"&gt;="&amp;DATE($I$2,I$4,1),DATA!$J:$J,"&lt;="&amp;DATE($I$2,I$4,I$5))</f>
        <v/>
      </c>
      <c r="J964" s="321">
        <f>SUMIFS(DATA!$I:$I,DATA!$C:$C,$B964,DATA!$J:$J,"&gt;="&amp;DATE($I$2,J$4,1),DATA!$J:$J,"&lt;="&amp;DATE($I$2,J$4,J$5))</f>
        <v/>
      </c>
      <c r="K964" s="321">
        <f>SUMIFS(DATA!$I:$I,DATA!$C:$C,$B964,DATA!$J:$J,"&gt;="&amp;DATE($I$2,K$4,1),DATA!$J:$J,"&lt;="&amp;DATE($I$2,K$4,K$5))</f>
        <v/>
      </c>
      <c r="L964" s="321">
        <f>SUMIFS(DATA!$I:$I,DATA!$C:$C,$B964,DATA!$J:$J,"&gt;="&amp;DATE($I$2,L$4,1),DATA!$J:$J,"&lt;="&amp;DATE($I$2,L$4,L$5))</f>
        <v/>
      </c>
      <c r="M964" s="321">
        <f>SUMIFS(DATA!$I:$I,DATA!$C:$C,$B964,DATA!$J:$J,"&gt;="&amp;DATE($I$2,M$4,1),DATA!$J:$J,"&lt;="&amp;DATE($I$2,M$4,M$5))</f>
        <v/>
      </c>
      <c r="N964" s="321">
        <f>SUMIFS(DATA!$I:$I,DATA!$C:$C,$B964,DATA!$J:$J,"&gt;="&amp;DATE($I$2,N$4,1),DATA!$J:$J,"&lt;="&amp;DATE($I$2,N$4,N$5))</f>
        <v/>
      </c>
      <c r="O964" s="321">
        <f>SUMIFS(DATA!$I:$I,DATA!$C:$C,$B964,DATA!$J:$J,"&gt;="&amp;DATE($I$2,O$4,1),DATA!$J:$J,"&lt;="&amp;DATE($I$2,O$4,O$5))</f>
        <v/>
      </c>
      <c r="P964" s="322">
        <f>SUM(D964:O964)</f>
        <v/>
      </c>
    </row>
    <row r="965" hidden="1" outlineLevel="1" ht="15" customHeight="1">
      <c r="A965" s="266" t="n"/>
      <c r="B965" s="126" t="n"/>
      <c r="C965" s="119" t="inlineStr">
        <is>
          <t>Thực tế</t>
        </is>
      </c>
      <c r="D965" s="321">
        <f>SUMIFS(DATA!$M:$M,DATA!$C:$C,$B964,DATA!$N:$N,"&gt;="&amp;DATE($I$2,D$4,1),DATA!$N:$N,"&lt;="&amp;DATE($I$2,D$4,D$5))</f>
        <v/>
      </c>
      <c r="E965" s="321">
        <f>SUMIFS(DATA!$M:$M,DATA!$C:$C,$B964,DATA!$N:$N,"&gt;="&amp;DATE($I$2,E$4,1),DATA!$N:$N,"&lt;="&amp;DATE($I$2,E$4,E$5))</f>
        <v/>
      </c>
      <c r="F965" s="321">
        <f>SUMIFS(DATA!$M:$M,DATA!$C:$C,$B964,DATA!$N:$N,"&gt;="&amp;DATE($I$2,F$4,1),DATA!$N:$N,"&lt;="&amp;DATE($I$2,F$4,F$5))</f>
        <v/>
      </c>
      <c r="G965" s="321">
        <f>SUMIFS(DATA!$M:$M,DATA!$C:$C,$B964,DATA!$N:$N,"&gt;="&amp;DATE($I$2,G$4,1),DATA!$N:$N,"&lt;="&amp;DATE($I$2,G$4,G$5))</f>
        <v/>
      </c>
      <c r="H965" s="321">
        <f>SUMIFS(DATA!$M:$M,DATA!$C:$C,$B964,DATA!$N:$N,"&gt;="&amp;DATE($I$2,H$4,1),DATA!$N:$N,"&lt;="&amp;DATE($I$2,H$4,H$5))</f>
        <v/>
      </c>
      <c r="I965" s="321">
        <f>SUMIFS(DATA!$M:$M,DATA!$C:$C,$B964,DATA!$N:$N,"&gt;="&amp;DATE($I$2,I$4,1),DATA!$N:$N,"&lt;="&amp;DATE($I$2,I$4,I$5))</f>
        <v/>
      </c>
      <c r="J965" s="321">
        <f>SUMIFS(DATA!$M:$M,DATA!$C:$C,$B964,DATA!$N:$N,"&gt;="&amp;DATE($I$2,J$4,1),DATA!$N:$N,"&lt;="&amp;DATE($I$2,J$4,J$5))</f>
        <v/>
      </c>
      <c r="K965" s="321">
        <f>SUMIFS(DATA!$M:$M,DATA!$C:$C,$B964,DATA!$N:$N,"&gt;="&amp;DATE($I$2,K$4,1),DATA!$N:$N,"&lt;="&amp;DATE($I$2,K$4,K$5))</f>
        <v/>
      </c>
      <c r="L965" s="321">
        <f>SUMIFS(DATA!$M:$M,DATA!$C:$C,$B964,DATA!$N:$N,"&gt;="&amp;DATE($I$2,L$4,1),DATA!$N:$N,"&lt;="&amp;DATE($I$2,L$4,L$5))</f>
        <v/>
      </c>
      <c r="M965" s="321">
        <f>SUMIFS(DATA!$M:$M,DATA!$C:$C,$B964,DATA!$N:$N,"&gt;="&amp;DATE($I$2,M$4,1),DATA!$N:$N,"&lt;="&amp;DATE($I$2,M$4,M$5))</f>
        <v/>
      </c>
      <c r="N965" s="321">
        <f>SUMIFS(DATA!$M:$M,DATA!$C:$C,$B964,DATA!$N:$N,"&gt;="&amp;DATE($I$2,N$4,1),DATA!$N:$N,"&lt;="&amp;DATE($I$2,N$4,N$5))</f>
        <v/>
      </c>
      <c r="O965" s="321">
        <f>SUMIFS(DATA!$M:$M,DATA!$C:$C,$B964,DATA!$N:$N,"&gt;="&amp;DATE($I$2,O$4,1),DATA!$N:$N,"&lt;="&amp;DATE($I$2,O$4,O$5))</f>
        <v/>
      </c>
      <c r="P965" s="322">
        <f>SUM(D965:O965)</f>
        <v/>
      </c>
    </row>
    <row r="966" hidden="1" outlineLevel="1" ht="15" customHeight="1">
      <c r="A966" s="269" t="n">
        <v>481</v>
      </c>
      <c r="B966" s="125" t="n"/>
      <c r="C966" s="119" t="inlineStr">
        <is>
          <t>Kế hoạch</t>
        </is>
      </c>
      <c r="D966" s="321">
        <f>SUMIFS(DATA!$I:$I,DATA!$C:$C,$B966,DATA!$J:$J,"&gt;="&amp;DATE($I$2,D$4,1),DATA!$J:$J,"&lt;="&amp;DATE($I$2,D$4,D$5))</f>
        <v/>
      </c>
      <c r="E966" s="321">
        <f>SUMIFS(DATA!$I:$I,DATA!$C:$C,$B966,DATA!$J:$J,"&gt;="&amp;DATE($I$2,E$4,1),DATA!$J:$J,"&lt;="&amp;DATE($I$2,E$4,E$5))</f>
        <v/>
      </c>
      <c r="F966" s="321">
        <f>SUMIFS(DATA!$I:$I,DATA!$C:$C,$B966,DATA!$J:$J,"&gt;="&amp;DATE($I$2,F$4,1),DATA!$J:$J,"&lt;="&amp;DATE($I$2,F$4,F$5))</f>
        <v/>
      </c>
      <c r="G966" s="321">
        <f>SUMIFS(DATA!$I:$I,DATA!$C:$C,$B966,DATA!$J:$J,"&gt;="&amp;DATE($I$2,G$4,1),DATA!$J:$J,"&lt;="&amp;DATE($I$2,G$4,G$5))</f>
        <v/>
      </c>
      <c r="H966" s="321">
        <f>SUMIFS(DATA!$I:$I,DATA!$C:$C,$B966,DATA!$J:$J,"&gt;="&amp;DATE($I$2,H$4,1),DATA!$J:$J,"&lt;="&amp;DATE($I$2,H$4,H$5))</f>
        <v/>
      </c>
      <c r="I966" s="321">
        <f>SUMIFS(DATA!$I:$I,DATA!$C:$C,$B966,DATA!$J:$J,"&gt;="&amp;DATE($I$2,I$4,1),DATA!$J:$J,"&lt;="&amp;DATE($I$2,I$4,I$5))</f>
        <v/>
      </c>
      <c r="J966" s="321">
        <f>SUMIFS(DATA!$I:$I,DATA!$C:$C,$B966,DATA!$J:$J,"&gt;="&amp;DATE($I$2,J$4,1),DATA!$J:$J,"&lt;="&amp;DATE($I$2,J$4,J$5))</f>
        <v/>
      </c>
      <c r="K966" s="321">
        <f>SUMIFS(DATA!$I:$I,DATA!$C:$C,$B966,DATA!$J:$J,"&gt;="&amp;DATE($I$2,K$4,1),DATA!$J:$J,"&lt;="&amp;DATE($I$2,K$4,K$5))</f>
        <v/>
      </c>
      <c r="L966" s="321">
        <f>SUMIFS(DATA!$I:$I,DATA!$C:$C,$B966,DATA!$J:$J,"&gt;="&amp;DATE($I$2,L$4,1),DATA!$J:$J,"&lt;="&amp;DATE($I$2,L$4,L$5))</f>
        <v/>
      </c>
      <c r="M966" s="321">
        <f>SUMIFS(DATA!$I:$I,DATA!$C:$C,$B966,DATA!$J:$J,"&gt;="&amp;DATE($I$2,M$4,1),DATA!$J:$J,"&lt;="&amp;DATE($I$2,M$4,M$5))</f>
        <v/>
      </c>
      <c r="N966" s="321">
        <f>SUMIFS(DATA!$I:$I,DATA!$C:$C,$B966,DATA!$J:$J,"&gt;="&amp;DATE($I$2,N$4,1),DATA!$J:$J,"&lt;="&amp;DATE($I$2,N$4,N$5))</f>
        <v/>
      </c>
      <c r="O966" s="321">
        <f>SUMIFS(DATA!$I:$I,DATA!$C:$C,$B966,DATA!$J:$J,"&gt;="&amp;DATE($I$2,O$4,1),DATA!$J:$J,"&lt;="&amp;DATE($I$2,O$4,O$5))</f>
        <v/>
      </c>
      <c r="P966" s="322">
        <f>SUM(D966:O966)</f>
        <v/>
      </c>
    </row>
    <row r="967" hidden="1" outlineLevel="1" ht="15" customHeight="1">
      <c r="A967" s="266" t="n"/>
      <c r="B967" s="126" t="n"/>
      <c r="C967" s="119" t="inlineStr">
        <is>
          <t>Thực tế</t>
        </is>
      </c>
      <c r="D967" s="321">
        <f>SUMIFS(DATA!$M:$M,DATA!$C:$C,$B966,DATA!$N:$N,"&gt;="&amp;DATE($I$2,D$4,1),DATA!$N:$N,"&lt;="&amp;DATE($I$2,D$4,D$5))</f>
        <v/>
      </c>
      <c r="E967" s="321">
        <f>SUMIFS(DATA!$M:$M,DATA!$C:$C,$B966,DATA!$N:$N,"&gt;="&amp;DATE($I$2,E$4,1),DATA!$N:$N,"&lt;="&amp;DATE($I$2,E$4,E$5))</f>
        <v/>
      </c>
      <c r="F967" s="321">
        <f>SUMIFS(DATA!$M:$M,DATA!$C:$C,$B966,DATA!$N:$N,"&gt;="&amp;DATE($I$2,F$4,1),DATA!$N:$N,"&lt;="&amp;DATE($I$2,F$4,F$5))</f>
        <v/>
      </c>
      <c r="G967" s="321">
        <f>SUMIFS(DATA!$M:$M,DATA!$C:$C,$B966,DATA!$N:$N,"&gt;="&amp;DATE($I$2,G$4,1),DATA!$N:$N,"&lt;="&amp;DATE($I$2,G$4,G$5))</f>
        <v/>
      </c>
      <c r="H967" s="321">
        <f>SUMIFS(DATA!$M:$M,DATA!$C:$C,$B966,DATA!$N:$N,"&gt;="&amp;DATE($I$2,H$4,1),DATA!$N:$N,"&lt;="&amp;DATE($I$2,H$4,H$5))</f>
        <v/>
      </c>
      <c r="I967" s="321">
        <f>SUMIFS(DATA!$M:$M,DATA!$C:$C,$B966,DATA!$N:$N,"&gt;="&amp;DATE($I$2,I$4,1),DATA!$N:$N,"&lt;="&amp;DATE($I$2,I$4,I$5))</f>
        <v/>
      </c>
      <c r="J967" s="321">
        <f>SUMIFS(DATA!$M:$M,DATA!$C:$C,$B966,DATA!$N:$N,"&gt;="&amp;DATE($I$2,J$4,1),DATA!$N:$N,"&lt;="&amp;DATE($I$2,J$4,J$5))</f>
        <v/>
      </c>
      <c r="K967" s="321">
        <f>SUMIFS(DATA!$M:$M,DATA!$C:$C,$B966,DATA!$N:$N,"&gt;="&amp;DATE($I$2,K$4,1),DATA!$N:$N,"&lt;="&amp;DATE($I$2,K$4,K$5))</f>
        <v/>
      </c>
      <c r="L967" s="321">
        <f>SUMIFS(DATA!$M:$M,DATA!$C:$C,$B966,DATA!$N:$N,"&gt;="&amp;DATE($I$2,L$4,1),DATA!$N:$N,"&lt;="&amp;DATE($I$2,L$4,L$5))</f>
        <v/>
      </c>
      <c r="M967" s="321">
        <f>SUMIFS(DATA!$M:$M,DATA!$C:$C,$B966,DATA!$N:$N,"&gt;="&amp;DATE($I$2,M$4,1),DATA!$N:$N,"&lt;="&amp;DATE($I$2,M$4,M$5))</f>
        <v/>
      </c>
      <c r="N967" s="321">
        <f>SUMIFS(DATA!$M:$M,DATA!$C:$C,$B966,DATA!$N:$N,"&gt;="&amp;DATE($I$2,N$4,1),DATA!$N:$N,"&lt;="&amp;DATE($I$2,N$4,N$5))</f>
        <v/>
      </c>
      <c r="O967" s="321">
        <f>SUMIFS(DATA!$M:$M,DATA!$C:$C,$B966,DATA!$N:$N,"&gt;="&amp;DATE($I$2,O$4,1),DATA!$N:$N,"&lt;="&amp;DATE($I$2,O$4,O$5))</f>
        <v/>
      </c>
      <c r="P967" s="322">
        <f>SUM(D967:O967)</f>
        <v/>
      </c>
    </row>
    <row r="968" hidden="1" outlineLevel="1" ht="15" customHeight="1">
      <c r="A968" s="269" t="n">
        <v>482</v>
      </c>
      <c r="B968" s="125" t="n"/>
      <c r="C968" s="119" t="inlineStr">
        <is>
          <t>Kế hoạch</t>
        </is>
      </c>
      <c r="D968" s="321">
        <f>SUMIFS(DATA!$I:$I,DATA!$C:$C,$B968,DATA!$J:$J,"&gt;="&amp;DATE($I$2,D$4,1),DATA!$J:$J,"&lt;="&amp;DATE($I$2,D$4,D$5))</f>
        <v/>
      </c>
      <c r="E968" s="321">
        <f>SUMIFS(DATA!$I:$I,DATA!$C:$C,$B968,DATA!$J:$J,"&gt;="&amp;DATE($I$2,E$4,1),DATA!$J:$J,"&lt;="&amp;DATE($I$2,E$4,E$5))</f>
        <v/>
      </c>
      <c r="F968" s="321">
        <f>SUMIFS(DATA!$I:$I,DATA!$C:$C,$B968,DATA!$J:$J,"&gt;="&amp;DATE($I$2,F$4,1),DATA!$J:$J,"&lt;="&amp;DATE($I$2,F$4,F$5))</f>
        <v/>
      </c>
      <c r="G968" s="321">
        <f>SUMIFS(DATA!$I:$I,DATA!$C:$C,$B968,DATA!$J:$J,"&gt;="&amp;DATE($I$2,G$4,1),DATA!$J:$J,"&lt;="&amp;DATE($I$2,G$4,G$5))</f>
        <v/>
      </c>
      <c r="H968" s="321">
        <f>SUMIFS(DATA!$I:$I,DATA!$C:$C,$B968,DATA!$J:$J,"&gt;="&amp;DATE($I$2,H$4,1),DATA!$J:$J,"&lt;="&amp;DATE($I$2,H$4,H$5))</f>
        <v/>
      </c>
      <c r="I968" s="321">
        <f>SUMIFS(DATA!$I:$I,DATA!$C:$C,$B968,DATA!$J:$J,"&gt;="&amp;DATE($I$2,I$4,1),DATA!$J:$J,"&lt;="&amp;DATE($I$2,I$4,I$5))</f>
        <v/>
      </c>
      <c r="J968" s="321">
        <f>SUMIFS(DATA!$I:$I,DATA!$C:$C,$B968,DATA!$J:$J,"&gt;="&amp;DATE($I$2,J$4,1),DATA!$J:$J,"&lt;="&amp;DATE($I$2,J$4,J$5))</f>
        <v/>
      </c>
      <c r="K968" s="321">
        <f>SUMIFS(DATA!$I:$I,DATA!$C:$C,$B968,DATA!$J:$J,"&gt;="&amp;DATE($I$2,K$4,1),DATA!$J:$J,"&lt;="&amp;DATE($I$2,K$4,K$5))</f>
        <v/>
      </c>
      <c r="L968" s="321">
        <f>SUMIFS(DATA!$I:$I,DATA!$C:$C,$B968,DATA!$J:$J,"&gt;="&amp;DATE($I$2,L$4,1),DATA!$J:$J,"&lt;="&amp;DATE($I$2,L$4,L$5))</f>
        <v/>
      </c>
      <c r="M968" s="321">
        <f>SUMIFS(DATA!$I:$I,DATA!$C:$C,$B968,DATA!$J:$J,"&gt;="&amp;DATE($I$2,M$4,1),DATA!$J:$J,"&lt;="&amp;DATE($I$2,M$4,M$5))</f>
        <v/>
      </c>
      <c r="N968" s="321">
        <f>SUMIFS(DATA!$I:$I,DATA!$C:$C,$B968,DATA!$J:$J,"&gt;="&amp;DATE($I$2,N$4,1),DATA!$J:$J,"&lt;="&amp;DATE($I$2,N$4,N$5))</f>
        <v/>
      </c>
      <c r="O968" s="321">
        <f>SUMIFS(DATA!$I:$I,DATA!$C:$C,$B968,DATA!$J:$J,"&gt;="&amp;DATE($I$2,O$4,1),DATA!$J:$J,"&lt;="&amp;DATE($I$2,O$4,O$5))</f>
        <v/>
      </c>
      <c r="P968" s="322">
        <f>SUM(D968:O968)</f>
        <v/>
      </c>
    </row>
    <row r="969" hidden="1" outlineLevel="1" ht="15" customHeight="1">
      <c r="A969" s="266" t="n"/>
      <c r="B969" s="126" t="n"/>
      <c r="C969" s="119" t="inlineStr">
        <is>
          <t>Thực tế</t>
        </is>
      </c>
      <c r="D969" s="321">
        <f>SUMIFS(DATA!$M:$M,DATA!$C:$C,$B968,DATA!$N:$N,"&gt;="&amp;DATE($I$2,D$4,1),DATA!$N:$N,"&lt;="&amp;DATE($I$2,D$4,D$5))</f>
        <v/>
      </c>
      <c r="E969" s="321">
        <f>SUMIFS(DATA!$M:$M,DATA!$C:$C,$B968,DATA!$N:$N,"&gt;="&amp;DATE($I$2,E$4,1),DATA!$N:$N,"&lt;="&amp;DATE($I$2,E$4,E$5))</f>
        <v/>
      </c>
      <c r="F969" s="321">
        <f>SUMIFS(DATA!$M:$M,DATA!$C:$C,$B968,DATA!$N:$N,"&gt;="&amp;DATE($I$2,F$4,1),DATA!$N:$N,"&lt;="&amp;DATE($I$2,F$4,F$5))</f>
        <v/>
      </c>
      <c r="G969" s="321">
        <f>SUMIFS(DATA!$M:$M,DATA!$C:$C,$B968,DATA!$N:$N,"&gt;="&amp;DATE($I$2,G$4,1),DATA!$N:$N,"&lt;="&amp;DATE($I$2,G$4,G$5))</f>
        <v/>
      </c>
      <c r="H969" s="321">
        <f>SUMIFS(DATA!$M:$M,DATA!$C:$C,$B968,DATA!$N:$N,"&gt;="&amp;DATE($I$2,H$4,1),DATA!$N:$N,"&lt;="&amp;DATE($I$2,H$4,H$5))</f>
        <v/>
      </c>
      <c r="I969" s="321">
        <f>SUMIFS(DATA!$M:$M,DATA!$C:$C,$B968,DATA!$N:$N,"&gt;="&amp;DATE($I$2,I$4,1),DATA!$N:$N,"&lt;="&amp;DATE($I$2,I$4,I$5))</f>
        <v/>
      </c>
      <c r="J969" s="321">
        <f>SUMIFS(DATA!$M:$M,DATA!$C:$C,$B968,DATA!$N:$N,"&gt;="&amp;DATE($I$2,J$4,1),DATA!$N:$N,"&lt;="&amp;DATE($I$2,J$4,J$5))</f>
        <v/>
      </c>
      <c r="K969" s="321">
        <f>SUMIFS(DATA!$M:$M,DATA!$C:$C,$B968,DATA!$N:$N,"&gt;="&amp;DATE($I$2,K$4,1),DATA!$N:$N,"&lt;="&amp;DATE($I$2,K$4,K$5))</f>
        <v/>
      </c>
      <c r="L969" s="321">
        <f>SUMIFS(DATA!$M:$M,DATA!$C:$C,$B968,DATA!$N:$N,"&gt;="&amp;DATE($I$2,L$4,1),DATA!$N:$N,"&lt;="&amp;DATE($I$2,L$4,L$5))</f>
        <v/>
      </c>
      <c r="M969" s="321">
        <f>SUMIFS(DATA!$M:$M,DATA!$C:$C,$B968,DATA!$N:$N,"&gt;="&amp;DATE($I$2,M$4,1),DATA!$N:$N,"&lt;="&amp;DATE($I$2,M$4,M$5))</f>
        <v/>
      </c>
      <c r="N969" s="321">
        <f>SUMIFS(DATA!$M:$M,DATA!$C:$C,$B968,DATA!$N:$N,"&gt;="&amp;DATE($I$2,N$4,1),DATA!$N:$N,"&lt;="&amp;DATE($I$2,N$4,N$5))</f>
        <v/>
      </c>
      <c r="O969" s="321">
        <f>SUMIFS(DATA!$M:$M,DATA!$C:$C,$B968,DATA!$N:$N,"&gt;="&amp;DATE($I$2,O$4,1),DATA!$N:$N,"&lt;="&amp;DATE($I$2,O$4,O$5))</f>
        <v/>
      </c>
      <c r="P969" s="322">
        <f>SUM(D969:O969)</f>
        <v/>
      </c>
    </row>
    <row r="970" hidden="1" outlineLevel="1" ht="15" customHeight="1">
      <c r="A970" s="269" t="n">
        <v>483</v>
      </c>
      <c r="B970" s="125" t="n"/>
      <c r="C970" s="119" t="inlineStr">
        <is>
          <t>Kế hoạch</t>
        </is>
      </c>
      <c r="D970" s="321">
        <f>SUMIFS(DATA!$I:$I,DATA!$C:$C,$B970,DATA!$J:$J,"&gt;="&amp;DATE($I$2,D$4,1),DATA!$J:$J,"&lt;="&amp;DATE($I$2,D$4,D$5))</f>
        <v/>
      </c>
      <c r="E970" s="321">
        <f>SUMIFS(DATA!$I:$I,DATA!$C:$C,$B970,DATA!$J:$J,"&gt;="&amp;DATE($I$2,E$4,1),DATA!$J:$J,"&lt;="&amp;DATE($I$2,E$4,E$5))</f>
        <v/>
      </c>
      <c r="F970" s="321">
        <f>SUMIFS(DATA!$I:$I,DATA!$C:$C,$B970,DATA!$J:$J,"&gt;="&amp;DATE($I$2,F$4,1),DATA!$J:$J,"&lt;="&amp;DATE($I$2,F$4,F$5))</f>
        <v/>
      </c>
      <c r="G970" s="321">
        <f>SUMIFS(DATA!$I:$I,DATA!$C:$C,$B970,DATA!$J:$J,"&gt;="&amp;DATE($I$2,G$4,1),DATA!$J:$J,"&lt;="&amp;DATE($I$2,G$4,G$5))</f>
        <v/>
      </c>
      <c r="H970" s="321">
        <f>SUMIFS(DATA!$I:$I,DATA!$C:$C,$B970,DATA!$J:$J,"&gt;="&amp;DATE($I$2,H$4,1),DATA!$J:$J,"&lt;="&amp;DATE($I$2,H$4,H$5))</f>
        <v/>
      </c>
      <c r="I970" s="321">
        <f>SUMIFS(DATA!$I:$I,DATA!$C:$C,$B970,DATA!$J:$J,"&gt;="&amp;DATE($I$2,I$4,1),DATA!$J:$J,"&lt;="&amp;DATE($I$2,I$4,I$5))</f>
        <v/>
      </c>
      <c r="J970" s="321">
        <f>SUMIFS(DATA!$I:$I,DATA!$C:$C,$B970,DATA!$J:$J,"&gt;="&amp;DATE($I$2,J$4,1),DATA!$J:$J,"&lt;="&amp;DATE($I$2,J$4,J$5))</f>
        <v/>
      </c>
      <c r="K970" s="321">
        <f>SUMIFS(DATA!$I:$I,DATA!$C:$C,$B970,DATA!$J:$J,"&gt;="&amp;DATE($I$2,K$4,1),DATA!$J:$J,"&lt;="&amp;DATE($I$2,K$4,K$5))</f>
        <v/>
      </c>
      <c r="L970" s="321">
        <f>SUMIFS(DATA!$I:$I,DATA!$C:$C,$B970,DATA!$J:$J,"&gt;="&amp;DATE($I$2,L$4,1),DATA!$J:$J,"&lt;="&amp;DATE($I$2,L$4,L$5))</f>
        <v/>
      </c>
      <c r="M970" s="321">
        <f>SUMIFS(DATA!$I:$I,DATA!$C:$C,$B970,DATA!$J:$J,"&gt;="&amp;DATE($I$2,M$4,1),DATA!$J:$J,"&lt;="&amp;DATE($I$2,M$4,M$5))</f>
        <v/>
      </c>
      <c r="N970" s="321">
        <f>SUMIFS(DATA!$I:$I,DATA!$C:$C,$B970,DATA!$J:$J,"&gt;="&amp;DATE($I$2,N$4,1),DATA!$J:$J,"&lt;="&amp;DATE($I$2,N$4,N$5))</f>
        <v/>
      </c>
      <c r="O970" s="321">
        <f>SUMIFS(DATA!$I:$I,DATA!$C:$C,$B970,DATA!$J:$J,"&gt;="&amp;DATE($I$2,O$4,1),DATA!$J:$J,"&lt;="&amp;DATE($I$2,O$4,O$5))</f>
        <v/>
      </c>
      <c r="P970" s="322">
        <f>SUM(D970:O970)</f>
        <v/>
      </c>
    </row>
    <row r="971" hidden="1" outlineLevel="1" ht="15" customHeight="1">
      <c r="A971" s="266" t="n"/>
      <c r="B971" s="126" t="n"/>
      <c r="C971" s="119" t="inlineStr">
        <is>
          <t>Thực tế</t>
        </is>
      </c>
      <c r="D971" s="321">
        <f>SUMIFS(DATA!$M:$M,DATA!$C:$C,$B970,DATA!$N:$N,"&gt;="&amp;DATE($I$2,D$4,1),DATA!$N:$N,"&lt;="&amp;DATE($I$2,D$4,D$5))</f>
        <v/>
      </c>
      <c r="E971" s="321">
        <f>SUMIFS(DATA!$M:$M,DATA!$C:$C,$B970,DATA!$N:$N,"&gt;="&amp;DATE($I$2,E$4,1),DATA!$N:$N,"&lt;="&amp;DATE($I$2,E$4,E$5))</f>
        <v/>
      </c>
      <c r="F971" s="321">
        <f>SUMIFS(DATA!$M:$M,DATA!$C:$C,$B970,DATA!$N:$N,"&gt;="&amp;DATE($I$2,F$4,1),DATA!$N:$N,"&lt;="&amp;DATE($I$2,F$4,F$5))</f>
        <v/>
      </c>
      <c r="G971" s="321">
        <f>SUMIFS(DATA!$M:$M,DATA!$C:$C,$B970,DATA!$N:$N,"&gt;="&amp;DATE($I$2,G$4,1),DATA!$N:$N,"&lt;="&amp;DATE($I$2,G$4,G$5))</f>
        <v/>
      </c>
      <c r="H971" s="321">
        <f>SUMIFS(DATA!$M:$M,DATA!$C:$C,$B970,DATA!$N:$N,"&gt;="&amp;DATE($I$2,H$4,1),DATA!$N:$N,"&lt;="&amp;DATE($I$2,H$4,H$5))</f>
        <v/>
      </c>
      <c r="I971" s="321">
        <f>SUMIFS(DATA!$M:$M,DATA!$C:$C,$B970,DATA!$N:$N,"&gt;="&amp;DATE($I$2,I$4,1),DATA!$N:$N,"&lt;="&amp;DATE($I$2,I$4,I$5))</f>
        <v/>
      </c>
      <c r="J971" s="321">
        <f>SUMIFS(DATA!$M:$M,DATA!$C:$C,$B970,DATA!$N:$N,"&gt;="&amp;DATE($I$2,J$4,1),DATA!$N:$N,"&lt;="&amp;DATE($I$2,J$4,J$5))</f>
        <v/>
      </c>
      <c r="K971" s="321">
        <f>SUMIFS(DATA!$M:$M,DATA!$C:$C,$B970,DATA!$N:$N,"&gt;="&amp;DATE($I$2,K$4,1),DATA!$N:$N,"&lt;="&amp;DATE($I$2,K$4,K$5))</f>
        <v/>
      </c>
      <c r="L971" s="321">
        <f>SUMIFS(DATA!$M:$M,DATA!$C:$C,$B970,DATA!$N:$N,"&gt;="&amp;DATE($I$2,L$4,1),DATA!$N:$N,"&lt;="&amp;DATE($I$2,L$4,L$5))</f>
        <v/>
      </c>
      <c r="M971" s="321">
        <f>SUMIFS(DATA!$M:$M,DATA!$C:$C,$B970,DATA!$N:$N,"&gt;="&amp;DATE($I$2,M$4,1),DATA!$N:$N,"&lt;="&amp;DATE($I$2,M$4,M$5))</f>
        <v/>
      </c>
      <c r="N971" s="321">
        <f>SUMIFS(DATA!$M:$M,DATA!$C:$C,$B970,DATA!$N:$N,"&gt;="&amp;DATE($I$2,N$4,1),DATA!$N:$N,"&lt;="&amp;DATE($I$2,N$4,N$5))</f>
        <v/>
      </c>
      <c r="O971" s="321">
        <f>SUMIFS(DATA!$M:$M,DATA!$C:$C,$B970,DATA!$N:$N,"&gt;="&amp;DATE($I$2,O$4,1),DATA!$N:$N,"&lt;="&amp;DATE($I$2,O$4,O$5))</f>
        <v/>
      </c>
      <c r="P971" s="322">
        <f>SUM(D971:O971)</f>
        <v/>
      </c>
    </row>
    <row r="972" hidden="1" outlineLevel="1" ht="15" customHeight="1">
      <c r="A972" s="269" t="n">
        <v>484</v>
      </c>
      <c r="B972" s="125" t="n"/>
      <c r="C972" s="119" t="inlineStr">
        <is>
          <t>Kế hoạch</t>
        </is>
      </c>
      <c r="D972" s="321">
        <f>SUMIFS(DATA!$I:$I,DATA!$C:$C,$B972,DATA!$J:$J,"&gt;="&amp;DATE($I$2,D$4,1),DATA!$J:$J,"&lt;="&amp;DATE($I$2,D$4,D$5))</f>
        <v/>
      </c>
      <c r="E972" s="321">
        <f>SUMIFS(DATA!$I:$I,DATA!$C:$C,$B972,DATA!$J:$J,"&gt;="&amp;DATE($I$2,E$4,1),DATA!$J:$J,"&lt;="&amp;DATE($I$2,E$4,E$5))</f>
        <v/>
      </c>
      <c r="F972" s="321">
        <f>SUMIFS(DATA!$I:$I,DATA!$C:$C,$B972,DATA!$J:$J,"&gt;="&amp;DATE($I$2,F$4,1),DATA!$J:$J,"&lt;="&amp;DATE($I$2,F$4,F$5))</f>
        <v/>
      </c>
      <c r="G972" s="321">
        <f>SUMIFS(DATA!$I:$I,DATA!$C:$C,$B972,DATA!$J:$J,"&gt;="&amp;DATE($I$2,G$4,1),DATA!$J:$J,"&lt;="&amp;DATE($I$2,G$4,G$5))</f>
        <v/>
      </c>
      <c r="H972" s="321">
        <f>SUMIFS(DATA!$I:$I,DATA!$C:$C,$B972,DATA!$J:$J,"&gt;="&amp;DATE($I$2,H$4,1),DATA!$J:$J,"&lt;="&amp;DATE($I$2,H$4,H$5))</f>
        <v/>
      </c>
      <c r="I972" s="321">
        <f>SUMIFS(DATA!$I:$I,DATA!$C:$C,$B972,DATA!$J:$J,"&gt;="&amp;DATE($I$2,I$4,1),DATA!$J:$J,"&lt;="&amp;DATE($I$2,I$4,I$5))</f>
        <v/>
      </c>
      <c r="J972" s="321">
        <f>SUMIFS(DATA!$I:$I,DATA!$C:$C,$B972,DATA!$J:$J,"&gt;="&amp;DATE($I$2,J$4,1),DATA!$J:$J,"&lt;="&amp;DATE($I$2,J$4,J$5))</f>
        <v/>
      </c>
      <c r="K972" s="321">
        <f>SUMIFS(DATA!$I:$I,DATA!$C:$C,$B972,DATA!$J:$J,"&gt;="&amp;DATE($I$2,K$4,1),DATA!$J:$J,"&lt;="&amp;DATE($I$2,K$4,K$5))</f>
        <v/>
      </c>
      <c r="L972" s="321">
        <f>SUMIFS(DATA!$I:$I,DATA!$C:$C,$B972,DATA!$J:$J,"&gt;="&amp;DATE($I$2,L$4,1),DATA!$J:$J,"&lt;="&amp;DATE($I$2,L$4,L$5))</f>
        <v/>
      </c>
      <c r="M972" s="321">
        <f>SUMIFS(DATA!$I:$I,DATA!$C:$C,$B972,DATA!$J:$J,"&gt;="&amp;DATE($I$2,M$4,1),DATA!$J:$J,"&lt;="&amp;DATE($I$2,M$4,M$5))</f>
        <v/>
      </c>
      <c r="N972" s="321">
        <f>SUMIFS(DATA!$I:$I,DATA!$C:$C,$B972,DATA!$J:$J,"&gt;="&amp;DATE($I$2,N$4,1),DATA!$J:$J,"&lt;="&amp;DATE($I$2,N$4,N$5))</f>
        <v/>
      </c>
      <c r="O972" s="321">
        <f>SUMIFS(DATA!$I:$I,DATA!$C:$C,$B972,DATA!$J:$J,"&gt;="&amp;DATE($I$2,O$4,1),DATA!$J:$J,"&lt;="&amp;DATE($I$2,O$4,O$5))</f>
        <v/>
      </c>
      <c r="P972" s="322">
        <f>SUM(D972:O972)</f>
        <v/>
      </c>
    </row>
    <row r="973" hidden="1" outlineLevel="1" ht="15" customHeight="1">
      <c r="A973" s="266" t="n"/>
      <c r="B973" s="126" t="n"/>
      <c r="C973" s="119" t="inlineStr">
        <is>
          <t>Thực tế</t>
        </is>
      </c>
      <c r="D973" s="321">
        <f>SUMIFS(DATA!$M:$M,DATA!$C:$C,$B972,DATA!$N:$N,"&gt;="&amp;DATE($I$2,D$4,1),DATA!$N:$N,"&lt;="&amp;DATE($I$2,D$4,D$5))</f>
        <v/>
      </c>
      <c r="E973" s="321">
        <f>SUMIFS(DATA!$M:$M,DATA!$C:$C,$B972,DATA!$N:$N,"&gt;="&amp;DATE($I$2,E$4,1),DATA!$N:$N,"&lt;="&amp;DATE($I$2,E$4,E$5))</f>
        <v/>
      </c>
      <c r="F973" s="321">
        <f>SUMIFS(DATA!$M:$M,DATA!$C:$C,$B972,DATA!$N:$N,"&gt;="&amp;DATE($I$2,F$4,1),DATA!$N:$N,"&lt;="&amp;DATE($I$2,F$4,F$5))</f>
        <v/>
      </c>
      <c r="G973" s="321">
        <f>SUMIFS(DATA!$M:$M,DATA!$C:$C,$B972,DATA!$N:$N,"&gt;="&amp;DATE($I$2,G$4,1),DATA!$N:$N,"&lt;="&amp;DATE($I$2,G$4,G$5))</f>
        <v/>
      </c>
      <c r="H973" s="321">
        <f>SUMIFS(DATA!$M:$M,DATA!$C:$C,$B972,DATA!$N:$N,"&gt;="&amp;DATE($I$2,H$4,1),DATA!$N:$N,"&lt;="&amp;DATE($I$2,H$4,H$5))</f>
        <v/>
      </c>
      <c r="I973" s="321">
        <f>SUMIFS(DATA!$M:$M,DATA!$C:$C,$B972,DATA!$N:$N,"&gt;="&amp;DATE($I$2,I$4,1),DATA!$N:$N,"&lt;="&amp;DATE($I$2,I$4,I$5))</f>
        <v/>
      </c>
      <c r="J973" s="321">
        <f>SUMIFS(DATA!$M:$M,DATA!$C:$C,$B972,DATA!$N:$N,"&gt;="&amp;DATE($I$2,J$4,1),DATA!$N:$N,"&lt;="&amp;DATE($I$2,J$4,J$5))</f>
        <v/>
      </c>
      <c r="K973" s="321">
        <f>SUMIFS(DATA!$M:$M,DATA!$C:$C,$B972,DATA!$N:$N,"&gt;="&amp;DATE($I$2,K$4,1),DATA!$N:$N,"&lt;="&amp;DATE($I$2,K$4,K$5))</f>
        <v/>
      </c>
      <c r="L973" s="321">
        <f>SUMIFS(DATA!$M:$M,DATA!$C:$C,$B972,DATA!$N:$N,"&gt;="&amp;DATE($I$2,L$4,1),DATA!$N:$N,"&lt;="&amp;DATE($I$2,L$4,L$5))</f>
        <v/>
      </c>
      <c r="M973" s="321">
        <f>SUMIFS(DATA!$M:$M,DATA!$C:$C,$B972,DATA!$N:$N,"&gt;="&amp;DATE($I$2,M$4,1),DATA!$N:$N,"&lt;="&amp;DATE($I$2,M$4,M$5))</f>
        <v/>
      </c>
      <c r="N973" s="321">
        <f>SUMIFS(DATA!$M:$M,DATA!$C:$C,$B972,DATA!$N:$N,"&gt;="&amp;DATE($I$2,N$4,1),DATA!$N:$N,"&lt;="&amp;DATE($I$2,N$4,N$5))</f>
        <v/>
      </c>
      <c r="O973" s="321">
        <f>SUMIFS(DATA!$M:$M,DATA!$C:$C,$B972,DATA!$N:$N,"&gt;="&amp;DATE($I$2,O$4,1),DATA!$N:$N,"&lt;="&amp;DATE($I$2,O$4,O$5))</f>
        <v/>
      </c>
      <c r="P973" s="322">
        <f>SUM(D973:O973)</f>
        <v/>
      </c>
    </row>
    <row r="974" hidden="1" outlineLevel="1" ht="15" customHeight="1">
      <c r="A974" s="269" t="n">
        <v>485</v>
      </c>
      <c r="B974" s="125" t="n"/>
      <c r="C974" s="119" t="inlineStr">
        <is>
          <t>Kế hoạch</t>
        </is>
      </c>
      <c r="D974" s="321">
        <f>SUMIFS(DATA!$I:$I,DATA!$C:$C,$B974,DATA!$J:$J,"&gt;="&amp;DATE($I$2,D$4,1),DATA!$J:$J,"&lt;="&amp;DATE($I$2,D$4,D$5))</f>
        <v/>
      </c>
      <c r="E974" s="321">
        <f>SUMIFS(DATA!$I:$I,DATA!$C:$C,$B974,DATA!$J:$J,"&gt;="&amp;DATE($I$2,E$4,1),DATA!$J:$J,"&lt;="&amp;DATE($I$2,E$4,E$5))</f>
        <v/>
      </c>
      <c r="F974" s="321">
        <f>SUMIFS(DATA!$I:$I,DATA!$C:$C,$B974,DATA!$J:$J,"&gt;="&amp;DATE($I$2,F$4,1),DATA!$J:$J,"&lt;="&amp;DATE($I$2,F$4,F$5))</f>
        <v/>
      </c>
      <c r="G974" s="321">
        <f>SUMIFS(DATA!$I:$I,DATA!$C:$C,$B974,DATA!$J:$J,"&gt;="&amp;DATE($I$2,G$4,1),DATA!$J:$J,"&lt;="&amp;DATE($I$2,G$4,G$5))</f>
        <v/>
      </c>
      <c r="H974" s="321">
        <f>SUMIFS(DATA!$I:$I,DATA!$C:$C,$B974,DATA!$J:$J,"&gt;="&amp;DATE($I$2,H$4,1),DATA!$J:$J,"&lt;="&amp;DATE($I$2,H$4,H$5))</f>
        <v/>
      </c>
      <c r="I974" s="321">
        <f>SUMIFS(DATA!$I:$I,DATA!$C:$C,$B974,DATA!$J:$J,"&gt;="&amp;DATE($I$2,I$4,1),DATA!$J:$J,"&lt;="&amp;DATE($I$2,I$4,I$5))</f>
        <v/>
      </c>
      <c r="J974" s="321">
        <f>SUMIFS(DATA!$I:$I,DATA!$C:$C,$B974,DATA!$J:$J,"&gt;="&amp;DATE($I$2,J$4,1),DATA!$J:$J,"&lt;="&amp;DATE($I$2,J$4,J$5))</f>
        <v/>
      </c>
      <c r="K974" s="321">
        <f>SUMIFS(DATA!$I:$I,DATA!$C:$C,$B974,DATA!$J:$J,"&gt;="&amp;DATE($I$2,K$4,1),DATA!$J:$J,"&lt;="&amp;DATE($I$2,K$4,K$5))</f>
        <v/>
      </c>
      <c r="L974" s="321">
        <f>SUMIFS(DATA!$I:$I,DATA!$C:$C,$B974,DATA!$J:$J,"&gt;="&amp;DATE($I$2,L$4,1),DATA!$J:$J,"&lt;="&amp;DATE($I$2,L$4,L$5))</f>
        <v/>
      </c>
      <c r="M974" s="321">
        <f>SUMIFS(DATA!$I:$I,DATA!$C:$C,$B974,DATA!$J:$J,"&gt;="&amp;DATE($I$2,M$4,1),DATA!$J:$J,"&lt;="&amp;DATE($I$2,M$4,M$5))</f>
        <v/>
      </c>
      <c r="N974" s="321">
        <f>SUMIFS(DATA!$I:$I,DATA!$C:$C,$B974,DATA!$J:$J,"&gt;="&amp;DATE($I$2,N$4,1),DATA!$J:$J,"&lt;="&amp;DATE($I$2,N$4,N$5))</f>
        <v/>
      </c>
      <c r="O974" s="321">
        <f>SUMIFS(DATA!$I:$I,DATA!$C:$C,$B974,DATA!$J:$J,"&gt;="&amp;DATE($I$2,O$4,1),DATA!$J:$J,"&lt;="&amp;DATE($I$2,O$4,O$5))</f>
        <v/>
      </c>
      <c r="P974" s="322">
        <f>SUM(D974:O974)</f>
        <v/>
      </c>
    </row>
    <row r="975" hidden="1" outlineLevel="1" ht="15" customHeight="1">
      <c r="A975" s="266" t="n"/>
      <c r="B975" s="126" t="n"/>
      <c r="C975" s="119" t="inlineStr">
        <is>
          <t>Thực tế</t>
        </is>
      </c>
      <c r="D975" s="321">
        <f>SUMIFS(DATA!$M:$M,DATA!$C:$C,$B974,DATA!$N:$N,"&gt;="&amp;DATE($I$2,D$4,1),DATA!$N:$N,"&lt;="&amp;DATE($I$2,D$4,D$5))</f>
        <v/>
      </c>
      <c r="E975" s="321">
        <f>SUMIFS(DATA!$M:$M,DATA!$C:$C,$B974,DATA!$N:$N,"&gt;="&amp;DATE($I$2,E$4,1),DATA!$N:$N,"&lt;="&amp;DATE($I$2,E$4,E$5))</f>
        <v/>
      </c>
      <c r="F975" s="321">
        <f>SUMIFS(DATA!$M:$M,DATA!$C:$C,$B974,DATA!$N:$N,"&gt;="&amp;DATE($I$2,F$4,1),DATA!$N:$N,"&lt;="&amp;DATE($I$2,F$4,F$5))</f>
        <v/>
      </c>
      <c r="G975" s="321">
        <f>SUMIFS(DATA!$M:$M,DATA!$C:$C,$B974,DATA!$N:$N,"&gt;="&amp;DATE($I$2,G$4,1),DATA!$N:$N,"&lt;="&amp;DATE($I$2,G$4,G$5))</f>
        <v/>
      </c>
      <c r="H975" s="321">
        <f>SUMIFS(DATA!$M:$M,DATA!$C:$C,$B974,DATA!$N:$N,"&gt;="&amp;DATE($I$2,H$4,1),DATA!$N:$N,"&lt;="&amp;DATE($I$2,H$4,H$5))</f>
        <v/>
      </c>
      <c r="I975" s="321">
        <f>SUMIFS(DATA!$M:$M,DATA!$C:$C,$B974,DATA!$N:$N,"&gt;="&amp;DATE($I$2,I$4,1),DATA!$N:$N,"&lt;="&amp;DATE($I$2,I$4,I$5))</f>
        <v/>
      </c>
      <c r="J975" s="321">
        <f>SUMIFS(DATA!$M:$M,DATA!$C:$C,$B974,DATA!$N:$N,"&gt;="&amp;DATE($I$2,J$4,1),DATA!$N:$N,"&lt;="&amp;DATE($I$2,J$4,J$5))</f>
        <v/>
      </c>
      <c r="K975" s="321">
        <f>SUMIFS(DATA!$M:$M,DATA!$C:$C,$B974,DATA!$N:$N,"&gt;="&amp;DATE($I$2,K$4,1),DATA!$N:$N,"&lt;="&amp;DATE($I$2,K$4,K$5))</f>
        <v/>
      </c>
      <c r="L975" s="321">
        <f>SUMIFS(DATA!$M:$M,DATA!$C:$C,$B974,DATA!$N:$N,"&gt;="&amp;DATE($I$2,L$4,1),DATA!$N:$N,"&lt;="&amp;DATE($I$2,L$4,L$5))</f>
        <v/>
      </c>
      <c r="M975" s="321">
        <f>SUMIFS(DATA!$M:$M,DATA!$C:$C,$B974,DATA!$N:$N,"&gt;="&amp;DATE($I$2,M$4,1),DATA!$N:$N,"&lt;="&amp;DATE($I$2,M$4,M$5))</f>
        <v/>
      </c>
      <c r="N975" s="321">
        <f>SUMIFS(DATA!$M:$M,DATA!$C:$C,$B974,DATA!$N:$N,"&gt;="&amp;DATE($I$2,N$4,1),DATA!$N:$N,"&lt;="&amp;DATE($I$2,N$4,N$5))</f>
        <v/>
      </c>
      <c r="O975" s="321">
        <f>SUMIFS(DATA!$M:$M,DATA!$C:$C,$B974,DATA!$N:$N,"&gt;="&amp;DATE($I$2,O$4,1),DATA!$N:$N,"&lt;="&amp;DATE($I$2,O$4,O$5))</f>
        <v/>
      </c>
      <c r="P975" s="322">
        <f>SUM(D975:O975)</f>
        <v/>
      </c>
    </row>
    <row r="976" hidden="1" outlineLevel="1" ht="15" customHeight="1">
      <c r="A976" s="269" t="n">
        <v>486</v>
      </c>
      <c r="B976" s="125" t="n"/>
      <c r="C976" s="119" t="inlineStr">
        <is>
          <t>Kế hoạch</t>
        </is>
      </c>
      <c r="D976" s="321">
        <f>SUMIFS(DATA!$I:$I,DATA!$C:$C,$B976,DATA!$J:$J,"&gt;="&amp;DATE($I$2,D$4,1),DATA!$J:$J,"&lt;="&amp;DATE($I$2,D$4,D$5))</f>
        <v/>
      </c>
      <c r="E976" s="321">
        <f>SUMIFS(DATA!$I:$I,DATA!$C:$C,$B976,DATA!$J:$J,"&gt;="&amp;DATE($I$2,E$4,1),DATA!$J:$J,"&lt;="&amp;DATE($I$2,E$4,E$5))</f>
        <v/>
      </c>
      <c r="F976" s="321">
        <f>SUMIFS(DATA!$I:$I,DATA!$C:$C,$B976,DATA!$J:$J,"&gt;="&amp;DATE($I$2,F$4,1),DATA!$J:$J,"&lt;="&amp;DATE($I$2,F$4,F$5))</f>
        <v/>
      </c>
      <c r="G976" s="321">
        <f>SUMIFS(DATA!$I:$I,DATA!$C:$C,$B976,DATA!$J:$J,"&gt;="&amp;DATE($I$2,G$4,1),DATA!$J:$J,"&lt;="&amp;DATE($I$2,G$4,G$5))</f>
        <v/>
      </c>
      <c r="H976" s="321">
        <f>SUMIFS(DATA!$I:$I,DATA!$C:$C,$B976,DATA!$J:$J,"&gt;="&amp;DATE($I$2,H$4,1),DATA!$J:$J,"&lt;="&amp;DATE($I$2,H$4,H$5))</f>
        <v/>
      </c>
      <c r="I976" s="321">
        <f>SUMIFS(DATA!$I:$I,DATA!$C:$C,$B976,DATA!$J:$J,"&gt;="&amp;DATE($I$2,I$4,1),DATA!$J:$J,"&lt;="&amp;DATE($I$2,I$4,I$5))</f>
        <v/>
      </c>
      <c r="J976" s="321">
        <f>SUMIFS(DATA!$I:$I,DATA!$C:$C,$B976,DATA!$J:$J,"&gt;="&amp;DATE($I$2,J$4,1),DATA!$J:$J,"&lt;="&amp;DATE($I$2,J$4,J$5))</f>
        <v/>
      </c>
      <c r="K976" s="321">
        <f>SUMIFS(DATA!$I:$I,DATA!$C:$C,$B976,DATA!$J:$J,"&gt;="&amp;DATE($I$2,K$4,1),DATA!$J:$J,"&lt;="&amp;DATE($I$2,K$4,K$5))</f>
        <v/>
      </c>
      <c r="L976" s="321">
        <f>SUMIFS(DATA!$I:$I,DATA!$C:$C,$B976,DATA!$J:$J,"&gt;="&amp;DATE($I$2,L$4,1),DATA!$J:$J,"&lt;="&amp;DATE($I$2,L$4,L$5))</f>
        <v/>
      </c>
      <c r="M976" s="321">
        <f>SUMIFS(DATA!$I:$I,DATA!$C:$C,$B976,DATA!$J:$J,"&gt;="&amp;DATE($I$2,M$4,1),DATA!$J:$J,"&lt;="&amp;DATE($I$2,M$4,M$5))</f>
        <v/>
      </c>
      <c r="N976" s="321">
        <f>SUMIFS(DATA!$I:$I,DATA!$C:$C,$B976,DATA!$J:$J,"&gt;="&amp;DATE($I$2,N$4,1),DATA!$J:$J,"&lt;="&amp;DATE($I$2,N$4,N$5))</f>
        <v/>
      </c>
      <c r="O976" s="321">
        <f>SUMIFS(DATA!$I:$I,DATA!$C:$C,$B976,DATA!$J:$J,"&gt;="&amp;DATE($I$2,O$4,1),DATA!$J:$J,"&lt;="&amp;DATE($I$2,O$4,O$5))</f>
        <v/>
      </c>
      <c r="P976" s="322">
        <f>SUM(D976:O976)</f>
        <v/>
      </c>
    </row>
    <row r="977" hidden="1" outlineLevel="1" ht="15" customHeight="1">
      <c r="A977" s="266" t="n"/>
      <c r="B977" s="126" t="n"/>
      <c r="C977" s="119" t="inlineStr">
        <is>
          <t>Thực tế</t>
        </is>
      </c>
      <c r="D977" s="321">
        <f>SUMIFS(DATA!$M:$M,DATA!$C:$C,$B976,DATA!$N:$N,"&gt;="&amp;DATE($I$2,D$4,1),DATA!$N:$N,"&lt;="&amp;DATE($I$2,D$4,D$5))</f>
        <v/>
      </c>
      <c r="E977" s="321">
        <f>SUMIFS(DATA!$M:$M,DATA!$C:$C,$B976,DATA!$N:$N,"&gt;="&amp;DATE($I$2,E$4,1),DATA!$N:$N,"&lt;="&amp;DATE($I$2,E$4,E$5))</f>
        <v/>
      </c>
      <c r="F977" s="321">
        <f>SUMIFS(DATA!$M:$M,DATA!$C:$C,$B976,DATA!$N:$N,"&gt;="&amp;DATE($I$2,F$4,1),DATA!$N:$N,"&lt;="&amp;DATE($I$2,F$4,F$5))</f>
        <v/>
      </c>
      <c r="G977" s="321">
        <f>SUMIFS(DATA!$M:$M,DATA!$C:$C,$B976,DATA!$N:$N,"&gt;="&amp;DATE($I$2,G$4,1),DATA!$N:$N,"&lt;="&amp;DATE($I$2,G$4,G$5))</f>
        <v/>
      </c>
      <c r="H977" s="321">
        <f>SUMIFS(DATA!$M:$M,DATA!$C:$C,$B976,DATA!$N:$N,"&gt;="&amp;DATE($I$2,H$4,1),DATA!$N:$N,"&lt;="&amp;DATE($I$2,H$4,H$5))</f>
        <v/>
      </c>
      <c r="I977" s="321">
        <f>SUMIFS(DATA!$M:$M,DATA!$C:$C,$B976,DATA!$N:$N,"&gt;="&amp;DATE($I$2,I$4,1),DATA!$N:$N,"&lt;="&amp;DATE($I$2,I$4,I$5))</f>
        <v/>
      </c>
      <c r="J977" s="321">
        <f>SUMIFS(DATA!$M:$M,DATA!$C:$C,$B976,DATA!$N:$N,"&gt;="&amp;DATE($I$2,J$4,1),DATA!$N:$N,"&lt;="&amp;DATE($I$2,J$4,J$5))</f>
        <v/>
      </c>
      <c r="K977" s="321">
        <f>SUMIFS(DATA!$M:$M,DATA!$C:$C,$B976,DATA!$N:$N,"&gt;="&amp;DATE($I$2,K$4,1),DATA!$N:$N,"&lt;="&amp;DATE($I$2,K$4,K$5))</f>
        <v/>
      </c>
      <c r="L977" s="321">
        <f>SUMIFS(DATA!$M:$M,DATA!$C:$C,$B976,DATA!$N:$N,"&gt;="&amp;DATE($I$2,L$4,1),DATA!$N:$N,"&lt;="&amp;DATE($I$2,L$4,L$5))</f>
        <v/>
      </c>
      <c r="M977" s="321">
        <f>SUMIFS(DATA!$M:$M,DATA!$C:$C,$B976,DATA!$N:$N,"&gt;="&amp;DATE($I$2,M$4,1),DATA!$N:$N,"&lt;="&amp;DATE($I$2,M$4,M$5))</f>
        <v/>
      </c>
      <c r="N977" s="321">
        <f>SUMIFS(DATA!$M:$M,DATA!$C:$C,$B976,DATA!$N:$N,"&gt;="&amp;DATE($I$2,N$4,1),DATA!$N:$N,"&lt;="&amp;DATE($I$2,N$4,N$5))</f>
        <v/>
      </c>
      <c r="O977" s="321">
        <f>SUMIFS(DATA!$M:$M,DATA!$C:$C,$B976,DATA!$N:$N,"&gt;="&amp;DATE($I$2,O$4,1),DATA!$N:$N,"&lt;="&amp;DATE($I$2,O$4,O$5))</f>
        <v/>
      </c>
      <c r="P977" s="322">
        <f>SUM(D977:O977)</f>
        <v/>
      </c>
    </row>
    <row r="978" hidden="1" outlineLevel="1" ht="15" customHeight="1">
      <c r="A978" s="269" t="n">
        <v>487</v>
      </c>
      <c r="B978" s="125" t="n"/>
      <c r="C978" s="119" t="inlineStr">
        <is>
          <t>Kế hoạch</t>
        </is>
      </c>
      <c r="D978" s="321">
        <f>SUMIFS(DATA!$I:$I,DATA!$C:$C,$B978,DATA!$J:$J,"&gt;="&amp;DATE($I$2,D$4,1),DATA!$J:$J,"&lt;="&amp;DATE($I$2,D$4,D$5))</f>
        <v/>
      </c>
      <c r="E978" s="321">
        <f>SUMIFS(DATA!$I:$I,DATA!$C:$C,$B978,DATA!$J:$J,"&gt;="&amp;DATE($I$2,E$4,1),DATA!$J:$J,"&lt;="&amp;DATE($I$2,E$4,E$5))</f>
        <v/>
      </c>
      <c r="F978" s="321">
        <f>SUMIFS(DATA!$I:$I,DATA!$C:$C,$B978,DATA!$J:$J,"&gt;="&amp;DATE($I$2,F$4,1),DATA!$J:$J,"&lt;="&amp;DATE($I$2,F$4,F$5))</f>
        <v/>
      </c>
      <c r="G978" s="321">
        <f>SUMIFS(DATA!$I:$I,DATA!$C:$C,$B978,DATA!$J:$J,"&gt;="&amp;DATE($I$2,G$4,1),DATA!$J:$J,"&lt;="&amp;DATE($I$2,G$4,G$5))</f>
        <v/>
      </c>
      <c r="H978" s="321">
        <f>SUMIFS(DATA!$I:$I,DATA!$C:$C,$B978,DATA!$J:$J,"&gt;="&amp;DATE($I$2,H$4,1),DATA!$J:$J,"&lt;="&amp;DATE($I$2,H$4,H$5))</f>
        <v/>
      </c>
      <c r="I978" s="321">
        <f>SUMIFS(DATA!$I:$I,DATA!$C:$C,$B978,DATA!$J:$J,"&gt;="&amp;DATE($I$2,I$4,1),DATA!$J:$J,"&lt;="&amp;DATE($I$2,I$4,I$5))</f>
        <v/>
      </c>
      <c r="J978" s="321">
        <f>SUMIFS(DATA!$I:$I,DATA!$C:$C,$B978,DATA!$J:$J,"&gt;="&amp;DATE($I$2,J$4,1),DATA!$J:$J,"&lt;="&amp;DATE($I$2,J$4,J$5))</f>
        <v/>
      </c>
      <c r="K978" s="321">
        <f>SUMIFS(DATA!$I:$I,DATA!$C:$C,$B978,DATA!$J:$J,"&gt;="&amp;DATE($I$2,K$4,1),DATA!$J:$J,"&lt;="&amp;DATE($I$2,K$4,K$5))</f>
        <v/>
      </c>
      <c r="L978" s="321">
        <f>SUMIFS(DATA!$I:$I,DATA!$C:$C,$B978,DATA!$J:$J,"&gt;="&amp;DATE($I$2,L$4,1),DATA!$J:$J,"&lt;="&amp;DATE($I$2,L$4,L$5))</f>
        <v/>
      </c>
      <c r="M978" s="321">
        <f>SUMIFS(DATA!$I:$I,DATA!$C:$C,$B978,DATA!$J:$J,"&gt;="&amp;DATE($I$2,M$4,1),DATA!$J:$J,"&lt;="&amp;DATE($I$2,M$4,M$5))</f>
        <v/>
      </c>
      <c r="N978" s="321">
        <f>SUMIFS(DATA!$I:$I,DATA!$C:$C,$B978,DATA!$J:$J,"&gt;="&amp;DATE($I$2,N$4,1),DATA!$J:$J,"&lt;="&amp;DATE($I$2,N$4,N$5))</f>
        <v/>
      </c>
      <c r="O978" s="321">
        <f>SUMIFS(DATA!$I:$I,DATA!$C:$C,$B978,DATA!$J:$J,"&gt;="&amp;DATE($I$2,O$4,1),DATA!$J:$J,"&lt;="&amp;DATE($I$2,O$4,O$5))</f>
        <v/>
      </c>
      <c r="P978" s="322">
        <f>SUM(D978:O978)</f>
        <v/>
      </c>
    </row>
    <row r="979" hidden="1" outlineLevel="1" ht="15" customHeight="1">
      <c r="A979" s="266" t="n"/>
      <c r="B979" s="126" t="n"/>
      <c r="C979" s="119" t="inlineStr">
        <is>
          <t>Thực tế</t>
        </is>
      </c>
      <c r="D979" s="321">
        <f>SUMIFS(DATA!$M:$M,DATA!$C:$C,$B978,DATA!$N:$N,"&gt;="&amp;DATE($I$2,D$4,1),DATA!$N:$N,"&lt;="&amp;DATE($I$2,D$4,D$5))</f>
        <v/>
      </c>
      <c r="E979" s="321">
        <f>SUMIFS(DATA!$M:$M,DATA!$C:$C,$B978,DATA!$N:$N,"&gt;="&amp;DATE($I$2,E$4,1),DATA!$N:$N,"&lt;="&amp;DATE($I$2,E$4,E$5))</f>
        <v/>
      </c>
      <c r="F979" s="321">
        <f>SUMIFS(DATA!$M:$M,DATA!$C:$C,$B978,DATA!$N:$N,"&gt;="&amp;DATE($I$2,F$4,1),DATA!$N:$N,"&lt;="&amp;DATE($I$2,F$4,F$5))</f>
        <v/>
      </c>
      <c r="G979" s="321">
        <f>SUMIFS(DATA!$M:$M,DATA!$C:$C,$B978,DATA!$N:$N,"&gt;="&amp;DATE($I$2,G$4,1),DATA!$N:$N,"&lt;="&amp;DATE($I$2,G$4,G$5))</f>
        <v/>
      </c>
      <c r="H979" s="321">
        <f>SUMIFS(DATA!$M:$M,DATA!$C:$C,$B978,DATA!$N:$N,"&gt;="&amp;DATE($I$2,H$4,1),DATA!$N:$N,"&lt;="&amp;DATE($I$2,H$4,H$5))</f>
        <v/>
      </c>
      <c r="I979" s="321">
        <f>SUMIFS(DATA!$M:$M,DATA!$C:$C,$B978,DATA!$N:$N,"&gt;="&amp;DATE($I$2,I$4,1),DATA!$N:$N,"&lt;="&amp;DATE($I$2,I$4,I$5))</f>
        <v/>
      </c>
      <c r="J979" s="321">
        <f>SUMIFS(DATA!$M:$M,DATA!$C:$C,$B978,DATA!$N:$N,"&gt;="&amp;DATE($I$2,J$4,1),DATA!$N:$N,"&lt;="&amp;DATE($I$2,J$4,J$5))</f>
        <v/>
      </c>
      <c r="K979" s="321">
        <f>SUMIFS(DATA!$M:$M,DATA!$C:$C,$B978,DATA!$N:$N,"&gt;="&amp;DATE($I$2,K$4,1),DATA!$N:$N,"&lt;="&amp;DATE($I$2,K$4,K$5))</f>
        <v/>
      </c>
      <c r="L979" s="321">
        <f>SUMIFS(DATA!$M:$M,DATA!$C:$C,$B978,DATA!$N:$N,"&gt;="&amp;DATE($I$2,L$4,1),DATA!$N:$N,"&lt;="&amp;DATE($I$2,L$4,L$5))</f>
        <v/>
      </c>
      <c r="M979" s="321">
        <f>SUMIFS(DATA!$M:$M,DATA!$C:$C,$B978,DATA!$N:$N,"&gt;="&amp;DATE($I$2,M$4,1),DATA!$N:$N,"&lt;="&amp;DATE($I$2,M$4,M$5))</f>
        <v/>
      </c>
      <c r="N979" s="321">
        <f>SUMIFS(DATA!$M:$M,DATA!$C:$C,$B978,DATA!$N:$N,"&gt;="&amp;DATE($I$2,N$4,1),DATA!$N:$N,"&lt;="&amp;DATE($I$2,N$4,N$5))</f>
        <v/>
      </c>
      <c r="O979" s="321">
        <f>SUMIFS(DATA!$M:$M,DATA!$C:$C,$B978,DATA!$N:$N,"&gt;="&amp;DATE($I$2,O$4,1),DATA!$N:$N,"&lt;="&amp;DATE($I$2,O$4,O$5))</f>
        <v/>
      </c>
      <c r="P979" s="322">
        <f>SUM(D979:O979)</f>
        <v/>
      </c>
    </row>
    <row r="980" hidden="1" outlineLevel="1" ht="15" customHeight="1">
      <c r="A980" s="269" t="n">
        <v>488</v>
      </c>
      <c r="B980" s="125" t="n"/>
      <c r="C980" s="119" t="inlineStr">
        <is>
          <t>Kế hoạch</t>
        </is>
      </c>
      <c r="D980" s="321">
        <f>SUMIFS(DATA!$I:$I,DATA!$C:$C,$B980,DATA!$J:$J,"&gt;="&amp;DATE($I$2,D$4,1),DATA!$J:$J,"&lt;="&amp;DATE($I$2,D$4,D$5))</f>
        <v/>
      </c>
      <c r="E980" s="321">
        <f>SUMIFS(DATA!$I:$I,DATA!$C:$C,$B980,DATA!$J:$J,"&gt;="&amp;DATE($I$2,E$4,1),DATA!$J:$J,"&lt;="&amp;DATE($I$2,E$4,E$5))</f>
        <v/>
      </c>
      <c r="F980" s="321">
        <f>SUMIFS(DATA!$I:$I,DATA!$C:$C,$B980,DATA!$J:$J,"&gt;="&amp;DATE($I$2,F$4,1),DATA!$J:$J,"&lt;="&amp;DATE($I$2,F$4,F$5))</f>
        <v/>
      </c>
      <c r="G980" s="321">
        <f>SUMIFS(DATA!$I:$I,DATA!$C:$C,$B980,DATA!$J:$J,"&gt;="&amp;DATE($I$2,G$4,1),DATA!$J:$J,"&lt;="&amp;DATE($I$2,G$4,G$5))</f>
        <v/>
      </c>
      <c r="H980" s="321">
        <f>SUMIFS(DATA!$I:$I,DATA!$C:$C,$B980,DATA!$J:$J,"&gt;="&amp;DATE($I$2,H$4,1),DATA!$J:$J,"&lt;="&amp;DATE($I$2,H$4,H$5))</f>
        <v/>
      </c>
      <c r="I980" s="321">
        <f>SUMIFS(DATA!$I:$I,DATA!$C:$C,$B980,DATA!$J:$J,"&gt;="&amp;DATE($I$2,I$4,1),DATA!$J:$J,"&lt;="&amp;DATE($I$2,I$4,I$5))</f>
        <v/>
      </c>
      <c r="J980" s="321">
        <f>SUMIFS(DATA!$I:$I,DATA!$C:$C,$B980,DATA!$J:$J,"&gt;="&amp;DATE($I$2,J$4,1),DATA!$J:$J,"&lt;="&amp;DATE($I$2,J$4,J$5))</f>
        <v/>
      </c>
      <c r="K980" s="321">
        <f>SUMIFS(DATA!$I:$I,DATA!$C:$C,$B980,DATA!$J:$J,"&gt;="&amp;DATE($I$2,K$4,1),DATA!$J:$J,"&lt;="&amp;DATE($I$2,K$4,K$5))</f>
        <v/>
      </c>
      <c r="L980" s="321">
        <f>SUMIFS(DATA!$I:$I,DATA!$C:$C,$B980,DATA!$J:$J,"&gt;="&amp;DATE($I$2,L$4,1),DATA!$J:$J,"&lt;="&amp;DATE($I$2,L$4,L$5))</f>
        <v/>
      </c>
      <c r="M980" s="321">
        <f>SUMIFS(DATA!$I:$I,DATA!$C:$C,$B980,DATA!$J:$J,"&gt;="&amp;DATE($I$2,M$4,1),DATA!$J:$J,"&lt;="&amp;DATE($I$2,M$4,M$5))</f>
        <v/>
      </c>
      <c r="N980" s="321">
        <f>SUMIFS(DATA!$I:$I,DATA!$C:$C,$B980,DATA!$J:$J,"&gt;="&amp;DATE($I$2,N$4,1),DATA!$J:$J,"&lt;="&amp;DATE($I$2,N$4,N$5))</f>
        <v/>
      </c>
      <c r="O980" s="321">
        <f>SUMIFS(DATA!$I:$I,DATA!$C:$C,$B980,DATA!$J:$J,"&gt;="&amp;DATE($I$2,O$4,1),DATA!$J:$J,"&lt;="&amp;DATE($I$2,O$4,O$5))</f>
        <v/>
      </c>
      <c r="P980" s="322">
        <f>SUM(D980:O980)</f>
        <v/>
      </c>
    </row>
    <row r="981" hidden="1" outlineLevel="1" ht="15" customHeight="1">
      <c r="A981" s="266" t="n"/>
      <c r="B981" s="126" t="n"/>
      <c r="C981" s="119" t="inlineStr">
        <is>
          <t>Thực tế</t>
        </is>
      </c>
      <c r="D981" s="321">
        <f>SUMIFS(DATA!$M:$M,DATA!$C:$C,$B980,DATA!$N:$N,"&gt;="&amp;DATE($I$2,D$4,1),DATA!$N:$N,"&lt;="&amp;DATE($I$2,D$4,D$5))</f>
        <v/>
      </c>
      <c r="E981" s="321">
        <f>SUMIFS(DATA!$M:$M,DATA!$C:$C,$B980,DATA!$N:$N,"&gt;="&amp;DATE($I$2,E$4,1),DATA!$N:$N,"&lt;="&amp;DATE($I$2,E$4,E$5))</f>
        <v/>
      </c>
      <c r="F981" s="321">
        <f>SUMIFS(DATA!$M:$M,DATA!$C:$C,$B980,DATA!$N:$N,"&gt;="&amp;DATE($I$2,F$4,1),DATA!$N:$N,"&lt;="&amp;DATE($I$2,F$4,F$5))</f>
        <v/>
      </c>
      <c r="G981" s="321">
        <f>SUMIFS(DATA!$M:$M,DATA!$C:$C,$B980,DATA!$N:$N,"&gt;="&amp;DATE($I$2,G$4,1),DATA!$N:$N,"&lt;="&amp;DATE($I$2,G$4,G$5))</f>
        <v/>
      </c>
      <c r="H981" s="321">
        <f>SUMIFS(DATA!$M:$M,DATA!$C:$C,$B980,DATA!$N:$N,"&gt;="&amp;DATE($I$2,H$4,1),DATA!$N:$N,"&lt;="&amp;DATE($I$2,H$4,H$5))</f>
        <v/>
      </c>
      <c r="I981" s="321">
        <f>SUMIFS(DATA!$M:$M,DATA!$C:$C,$B980,DATA!$N:$N,"&gt;="&amp;DATE($I$2,I$4,1),DATA!$N:$N,"&lt;="&amp;DATE($I$2,I$4,I$5))</f>
        <v/>
      </c>
      <c r="J981" s="321">
        <f>SUMIFS(DATA!$M:$M,DATA!$C:$C,$B980,DATA!$N:$N,"&gt;="&amp;DATE($I$2,J$4,1),DATA!$N:$N,"&lt;="&amp;DATE($I$2,J$4,J$5))</f>
        <v/>
      </c>
      <c r="K981" s="321">
        <f>SUMIFS(DATA!$M:$M,DATA!$C:$C,$B980,DATA!$N:$N,"&gt;="&amp;DATE($I$2,K$4,1),DATA!$N:$N,"&lt;="&amp;DATE($I$2,K$4,K$5))</f>
        <v/>
      </c>
      <c r="L981" s="321">
        <f>SUMIFS(DATA!$M:$M,DATA!$C:$C,$B980,DATA!$N:$N,"&gt;="&amp;DATE($I$2,L$4,1),DATA!$N:$N,"&lt;="&amp;DATE($I$2,L$4,L$5))</f>
        <v/>
      </c>
      <c r="M981" s="321">
        <f>SUMIFS(DATA!$M:$M,DATA!$C:$C,$B980,DATA!$N:$N,"&gt;="&amp;DATE($I$2,M$4,1),DATA!$N:$N,"&lt;="&amp;DATE($I$2,M$4,M$5))</f>
        <v/>
      </c>
      <c r="N981" s="321">
        <f>SUMIFS(DATA!$M:$M,DATA!$C:$C,$B980,DATA!$N:$N,"&gt;="&amp;DATE($I$2,N$4,1),DATA!$N:$N,"&lt;="&amp;DATE($I$2,N$4,N$5))</f>
        <v/>
      </c>
      <c r="O981" s="321">
        <f>SUMIFS(DATA!$M:$M,DATA!$C:$C,$B980,DATA!$N:$N,"&gt;="&amp;DATE($I$2,O$4,1),DATA!$N:$N,"&lt;="&amp;DATE($I$2,O$4,O$5))</f>
        <v/>
      </c>
      <c r="P981" s="322">
        <f>SUM(D981:O981)</f>
        <v/>
      </c>
    </row>
    <row r="982" hidden="1" outlineLevel="1" ht="15" customHeight="1">
      <c r="A982" s="269" t="n">
        <v>489</v>
      </c>
      <c r="B982" s="125" t="n"/>
      <c r="C982" s="119" t="inlineStr">
        <is>
          <t>Kế hoạch</t>
        </is>
      </c>
      <c r="D982" s="321">
        <f>SUMIFS(DATA!$I:$I,DATA!$C:$C,$B982,DATA!$J:$J,"&gt;="&amp;DATE($I$2,D$4,1),DATA!$J:$J,"&lt;="&amp;DATE($I$2,D$4,D$5))</f>
        <v/>
      </c>
      <c r="E982" s="321">
        <f>SUMIFS(DATA!$I:$I,DATA!$C:$C,$B982,DATA!$J:$J,"&gt;="&amp;DATE($I$2,E$4,1),DATA!$J:$J,"&lt;="&amp;DATE($I$2,E$4,E$5))</f>
        <v/>
      </c>
      <c r="F982" s="321">
        <f>SUMIFS(DATA!$I:$I,DATA!$C:$C,$B982,DATA!$J:$J,"&gt;="&amp;DATE($I$2,F$4,1),DATA!$J:$J,"&lt;="&amp;DATE($I$2,F$4,F$5))</f>
        <v/>
      </c>
      <c r="G982" s="321">
        <f>SUMIFS(DATA!$I:$I,DATA!$C:$C,$B982,DATA!$J:$J,"&gt;="&amp;DATE($I$2,G$4,1),DATA!$J:$J,"&lt;="&amp;DATE($I$2,G$4,G$5))</f>
        <v/>
      </c>
      <c r="H982" s="321">
        <f>SUMIFS(DATA!$I:$I,DATA!$C:$C,$B982,DATA!$J:$J,"&gt;="&amp;DATE($I$2,H$4,1),DATA!$J:$J,"&lt;="&amp;DATE($I$2,H$4,H$5))</f>
        <v/>
      </c>
      <c r="I982" s="321">
        <f>SUMIFS(DATA!$I:$I,DATA!$C:$C,$B982,DATA!$J:$J,"&gt;="&amp;DATE($I$2,I$4,1),DATA!$J:$J,"&lt;="&amp;DATE($I$2,I$4,I$5))</f>
        <v/>
      </c>
      <c r="J982" s="321">
        <f>SUMIFS(DATA!$I:$I,DATA!$C:$C,$B982,DATA!$J:$J,"&gt;="&amp;DATE($I$2,J$4,1),DATA!$J:$J,"&lt;="&amp;DATE($I$2,J$4,J$5))</f>
        <v/>
      </c>
      <c r="K982" s="321">
        <f>SUMIFS(DATA!$I:$I,DATA!$C:$C,$B982,DATA!$J:$J,"&gt;="&amp;DATE($I$2,K$4,1),DATA!$J:$J,"&lt;="&amp;DATE($I$2,K$4,K$5))</f>
        <v/>
      </c>
      <c r="L982" s="321">
        <f>SUMIFS(DATA!$I:$I,DATA!$C:$C,$B982,DATA!$J:$J,"&gt;="&amp;DATE($I$2,L$4,1),DATA!$J:$J,"&lt;="&amp;DATE($I$2,L$4,L$5))</f>
        <v/>
      </c>
      <c r="M982" s="321">
        <f>SUMIFS(DATA!$I:$I,DATA!$C:$C,$B982,DATA!$J:$J,"&gt;="&amp;DATE($I$2,M$4,1),DATA!$J:$J,"&lt;="&amp;DATE($I$2,M$4,M$5))</f>
        <v/>
      </c>
      <c r="N982" s="321">
        <f>SUMIFS(DATA!$I:$I,DATA!$C:$C,$B982,DATA!$J:$J,"&gt;="&amp;DATE($I$2,N$4,1),DATA!$J:$J,"&lt;="&amp;DATE($I$2,N$4,N$5))</f>
        <v/>
      </c>
      <c r="O982" s="321">
        <f>SUMIFS(DATA!$I:$I,DATA!$C:$C,$B982,DATA!$J:$J,"&gt;="&amp;DATE($I$2,O$4,1),DATA!$J:$J,"&lt;="&amp;DATE($I$2,O$4,O$5))</f>
        <v/>
      </c>
      <c r="P982" s="322">
        <f>SUM(D982:O982)</f>
        <v/>
      </c>
    </row>
    <row r="983" hidden="1" outlineLevel="1" ht="15" customHeight="1">
      <c r="A983" s="266" t="n"/>
      <c r="B983" s="126" t="n"/>
      <c r="C983" s="119" t="inlineStr">
        <is>
          <t>Thực tế</t>
        </is>
      </c>
      <c r="D983" s="321">
        <f>SUMIFS(DATA!$M:$M,DATA!$C:$C,$B982,DATA!$N:$N,"&gt;="&amp;DATE($I$2,D$4,1),DATA!$N:$N,"&lt;="&amp;DATE($I$2,D$4,D$5))</f>
        <v/>
      </c>
      <c r="E983" s="321">
        <f>SUMIFS(DATA!$M:$M,DATA!$C:$C,$B982,DATA!$N:$N,"&gt;="&amp;DATE($I$2,E$4,1),DATA!$N:$N,"&lt;="&amp;DATE($I$2,E$4,E$5))</f>
        <v/>
      </c>
      <c r="F983" s="321">
        <f>SUMIFS(DATA!$M:$M,DATA!$C:$C,$B982,DATA!$N:$N,"&gt;="&amp;DATE($I$2,F$4,1),DATA!$N:$N,"&lt;="&amp;DATE($I$2,F$4,F$5))</f>
        <v/>
      </c>
      <c r="G983" s="321">
        <f>SUMIFS(DATA!$M:$M,DATA!$C:$C,$B982,DATA!$N:$N,"&gt;="&amp;DATE($I$2,G$4,1),DATA!$N:$N,"&lt;="&amp;DATE($I$2,G$4,G$5))</f>
        <v/>
      </c>
      <c r="H983" s="321">
        <f>SUMIFS(DATA!$M:$M,DATA!$C:$C,$B982,DATA!$N:$N,"&gt;="&amp;DATE($I$2,H$4,1),DATA!$N:$N,"&lt;="&amp;DATE($I$2,H$4,H$5))</f>
        <v/>
      </c>
      <c r="I983" s="321">
        <f>SUMIFS(DATA!$M:$M,DATA!$C:$C,$B982,DATA!$N:$N,"&gt;="&amp;DATE($I$2,I$4,1),DATA!$N:$N,"&lt;="&amp;DATE($I$2,I$4,I$5))</f>
        <v/>
      </c>
      <c r="J983" s="321">
        <f>SUMIFS(DATA!$M:$M,DATA!$C:$C,$B982,DATA!$N:$N,"&gt;="&amp;DATE($I$2,J$4,1),DATA!$N:$N,"&lt;="&amp;DATE($I$2,J$4,J$5))</f>
        <v/>
      </c>
      <c r="K983" s="321">
        <f>SUMIFS(DATA!$M:$M,DATA!$C:$C,$B982,DATA!$N:$N,"&gt;="&amp;DATE($I$2,K$4,1),DATA!$N:$N,"&lt;="&amp;DATE($I$2,K$4,K$5))</f>
        <v/>
      </c>
      <c r="L983" s="321">
        <f>SUMIFS(DATA!$M:$M,DATA!$C:$C,$B982,DATA!$N:$N,"&gt;="&amp;DATE($I$2,L$4,1),DATA!$N:$N,"&lt;="&amp;DATE($I$2,L$4,L$5))</f>
        <v/>
      </c>
      <c r="M983" s="321">
        <f>SUMIFS(DATA!$M:$M,DATA!$C:$C,$B982,DATA!$N:$N,"&gt;="&amp;DATE($I$2,M$4,1),DATA!$N:$N,"&lt;="&amp;DATE($I$2,M$4,M$5))</f>
        <v/>
      </c>
      <c r="N983" s="321">
        <f>SUMIFS(DATA!$M:$M,DATA!$C:$C,$B982,DATA!$N:$N,"&gt;="&amp;DATE($I$2,N$4,1),DATA!$N:$N,"&lt;="&amp;DATE($I$2,N$4,N$5))</f>
        <v/>
      </c>
      <c r="O983" s="321">
        <f>SUMIFS(DATA!$M:$M,DATA!$C:$C,$B982,DATA!$N:$N,"&gt;="&amp;DATE($I$2,O$4,1),DATA!$N:$N,"&lt;="&amp;DATE($I$2,O$4,O$5))</f>
        <v/>
      </c>
      <c r="P983" s="322">
        <f>SUM(D983:O983)</f>
        <v/>
      </c>
    </row>
    <row r="984" hidden="1" outlineLevel="1" ht="15" customHeight="1">
      <c r="A984" s="269" t="n">
        <v>490</v>
      </c>
      <c r="B984" s="125" t="n"/>
      <c r="C984" s="119" t="inlineStr">
        <is>
          <t>Kế hoạch</t>
        </is>
      </c>
      <c r="D984" s="321">
        <f>SUMIFS(DATA!$I:$I,DATA!$C:$C,$B984,DATA!$J:$J,"&gt;="&amp;DATE($I$2,D$4,1),DATA!$J:$J,"&lt;="&amp;DATE($I$2,D$4,D$5))</f>
        <v/>
      </c>
      <c r="E984" s="321">
        <f>SUMIFS(DATA!$I:$I,DATA!$C:$C,$B984,DATA!$J:$J,"&gt;="&amp;DATE($I$2,E$4,1),DATA!$J:$J,"&lt;="&amp;DATE($I$2,E$4,E$5))</f>
        <v/>
      </c>
      <c r="F984" s="321">
        <f>SUMIFS(DATA!$I:$I,DATA!$C:$C,$B984,DATA!$J:$J,"&gt;="&amp;DATE($I$2,F$4,1),DATA!$J:$J,"&lt;="&amp;DATE($I$2,F$4,F$5))</f>
        <v/>
      </c>
      <c r="G984" s="321">
        <f>SUMIFS(DATA!$I:$I,DATA!$C:$C,$B984,DATA!$J:$J,"&gt;="&amp;DATE($I$2,G$4,1),DATA!$J:$J,"&lt;="&amp;DATE($I$2,G$4,G$5))</f>
        <v/>
      </c>
      <c r="H984" s="321">
        <f>SUMIFS(DATA!$I:$I,DATA!$C:$C,$B984,DATA!$J:$J,"&gt;="&amp;DATE($I$2,H$4,1),DATA!$J:$J,"&lt;="&amp;DATE($I$2,H$4,H$5))</f>
        <v/>
      </c>
      <c r="I984" s="321">
        <f>SUMIFS(DATA!$I:$I,DATA!$C:$C,$B984,DATA!$J:$J,"&gt;="&amp;DATE($I$2,I$4,1),DATA!$J:$J,"&lt;="&amp;DATE($I$2,I$4,I$5))</f>
        <v/>
      </c>
      <c r="J984" s="321">
        <f>SUMIFS(DATA!$I:$I,DATA!$C:$C,$B984,DATA!$J:$J,"&gt;="&amp;DATE($I$2,J$4,1),DATA!$J:$J,"&lt;="&amp;DATE($I$2,J$4,J$5))</f>
        <v/>
      </c>
      <c r="K984" s="321">
        <f>SUMIFS(DATA!$I:$I,DATA!$C:$C,$B984,DATA!$J:$J,"&gt;="&amp;DATE($I$2,K$4,1),DATA!$J:$J,"&lt;="&amp;DATE($I$2,K$4,K$5))</f>
        <v/>
      </c>
      <c r="L984" s="321">
        <f>SUMIFS(DATA!$I:$I,DATA!$C:$C,$B984,DATA!$J:$J,"&gt;="&amp;DATE($I$2,L$4,1),DATA!$J:$J,"&lt;="&amp;DATE($I$2,L$4,L$5))</f>
        <v/>
      </c>
      <c r="M984" s="321">
        <f>SUMIFS(DATA!$I:$I,DATA!$C:$C,$B984,DATA!$J:$J,"&gt;="&amp;DATE($I$2,M$4,1),DATA!$J:$J,"&lt;="&amp;DATE($I$2,M$4,M$5))</f>
        <v/>
      </c>
      <c r="N984" s="321">
        <f>SUMIFS(DATA!$I:$I,DATA!$C:$C,$B984,DATA!$J:$J,"&gt;="&amp;DATE($I$2,N$4,1),DATA!$J:$J,"&lt;="&amp;DATE($I$2,N$4,N$5))</f>
        <v/>
      </c>
      <c r="O984" s="321">
        <f>SUMIFS(DATA!$I:$I,DATA!$C:$C,$B984,DATA!$J:$J,"&gt;="&amp;DATE($I$2,O$4,1),DATA!$J:$J,"&lt;="&amp;DATE($I$2,O$4,O$5))</f>
        <v/>
      </c>
      <c r="P984" s="322">
        <f>SUM(D984:O984)</f>
        <v/>
      </c>
    </row>
    <row r="985" hidden="1" outlineLevel="1" ht="15" customHeight="1">
      <c r="A985" s="266" t="n"/>
      <c r="B985" s="126" t="n"/>
      <c r="C985" s="119" t="inlineStr">
        <is>
          <t>Thực tế</t>
        </is>
      </c>
      <c r="D985" s="321">
        <f>SUMIFS(DATA!$M:$M,DATA!$C:$C,$B984,DATA!$N:$N,"&gt;="&amp;DATE($I$2,D$4,1),DATA!$N:$N,"&lt;="&amp;DATE($I$2,D$4,D$5))</f>
        <v/>
      </c>
      <c r="E985" s="321">
        <f>SUMIFS(DATA!$M:$M,DATA!$C:$C,$B984,DATA!$N:$N,"&gt;="&amp;DATE($I$2,E$4,1),DATA!$N:$N,"&lt;="&amp;DATE($I$2,E$4,E$5))</f>
        <v/>
      </c>
      <c r="F985" s="321">
        <f>SUMIFS(DATA!$M:$M,DATA!$C:$C,$B984,DATA!$N:$N,"&gt;="&amp;DATE($I$2,F$4,1),DATA!$N:$N,"&lt;="&amp;DATE($I$2,F$4,F$5))</f>
        <v/>
      </c>
      <c r="G985" s="321">
        <f>SUMIFS(DATA!$M:$M,DATA!$C:$C,$B984,DATA!$N:$N,"&gt;="&amp;DATE($I$2,G$4,1),DATA!$N:$N,"&lt;="&amp;DATE($I$2,G$4,G$5))</f>
        <v/>
      </c>
      <c r="H985" s="321">
        <f>SUMIFS(DATA!$M:$M,DATA!$C:$C,$B984,DATA!$N:$N,"&gt;="&amp;DATE($I$2,H$4,1),DATA!$N:$N,"&lt;="&amp;DATE($I$2,H$4,H$5))</f>
        <v/>
      </c>
      <c r="I985" s="321">
        <f>SUMIFS(DATA!$M:$M,DATA!$C:$C,$B984,DATA!$N:$N,"&gt;="&amp;DATE($I$2,I$4,1),DATA!$N:$N,"&lt;="&amp;DATE($I$2,I$4,I$5))</f>
        <v/>
      </c>
      <c r="J985" s="321">
        <f>SUMIFS(DATA!$M:$M,DATA!$C:$C,$B984,DATA!$N:$N,"&gt;="&amp;DATE($I$2,J$4,1),DATA!$N:$N,"&lt;="&amp;DATE($I$2,J$4,J$5))</f>
        <v/>
      </c>
      <c r="K985" s="321">
        <f>SUMIFS(DATA!$M:$M,DATA!$C:$C,$B984,DATA!$N:$N,"&gt;="&amp;DATE($I$2,K$4,1),DATA!$N:$N,"&lt;="&amp;DATE($I$2,K$4,K$5))</f>
        <v/>
      </c>
      <c r="L985" s="321">
        <f>SUMIFS(DATA!$M:$M,DATA!$C:$C,$B984,DATA!$N:$N,"&gt;="&amp;DATE($I$2,L$4,1),DATA!$N:$N,"&lt;="&amp;DATE($I$2,L$4,L$5))</f>
        <v/>
      </c>
      <c r="M985" s="321">
        <f>SUMIFS(DATA!$M:$M,DATA!$C:$C,$B984,DATA!$N:$N,"&gt;="&amp;DATE($I$2,M$4,1),DATA!$N:$N,"&lt;="&amp;DATE($I$2,M$4,M$5))</f>
        <v/>
      </c>
      <c r="N985" s="321">
        <f>SUMIFS(DATA!$M:$M,DATA!$C:$C,$B984,DATA!$N:$N,"&gt;="&amp;DATE($I$2,N$4,1),DATA!$N:$N,"&lt;="&amp;DATE($I$2,N$4,N$5))</f>
        <v/>
      </c>
      <c r="O985" s="321">
        <f>SUMIFS(DATA!$M:$M,DATA!$C:$C,$B984,DATA!$N:$N,"&gt;="&amp;DATE($I$2,O$4,1),DATA!$N:$N,"&lt;="&amp;DATE($I$2,O$4,O$5))</f>
        <v/>
      </c>
      <c r="P985" s="322">
        <f>SUM(D985:O985)</f>
        <v/>
      </c>
    </row>
    <row r="986" hidden="1" outlineLevel="1" ht="15" customHeight="1">
      <c r="A986" s="269" t="n">
        <v>491</v>
      </c>
      <c r="B986" s="125" t="n"/>
      <c r="C986" s="119" t="inlineStr">
        <is>
          <t>Kế hoạch</t>
        </is>
      </c>
      <c r="D986" s="321">
        <f>SUMIFS(DATA!$I:$I,DATA!$C:$C,$B986,DATA!$J:$J,"&gt;="&amp;DATE($I$2,D$4,1),DATA!$J:$J,"&lt;="&amp;DATE($I$2,D$4,D$5))</f>
        <v/>
      </c>
      <c r="E986" s="321">
        <f>SUMIFS(DATA!$I:$I,DATA!$C:$C,$B986,DATA!$J:$J,"&gt;="&amp;DATE($I$2,E$4,1),DATA!$J:$J,"&lt;="&amp;DATE($I$2,E$4,E$5))</f>
        <v/>
      </c>
      <c r="F986" s="321">
        <f>SUMIFS(DATA!$I:$I,DATA!$C:$C,$B986,DATA!$J:$J,"&gt;="&amp;DATE($I$2,F$4,1),DATA!$J:$J,"&lt;="&amp;DATE($I$2,F$4,F$5))</f>
        <v/>
      </c>
      <c r="G986" s="321">
        <f>SUMIFS(DATA!$I:$I,DATA!$C:$C,$B986,DATA!$J:$J,"&gt;="&amp;DATE($I$2,G$4,1),DATA!$J:$J,"&lt;="&amp;DATE($I$2,G$4,G$5))</f>
        <v/>
      </c>
      <c r="H986" s="321">
        <f>SUMIFS(DATA!$I:$I,DATA!$C:$C,$B986,DATA!$J:$J,"&gt;="&amp;DATE($I$2,H$4,1),DATA!$J:$J,"&lt;="&amp;DATE($I$2,H$4,H$5))</f>
        <v/>
      </c>
      <c r="I986" s="321">
        <f>SUMIFS(DATA!$I:$I,DATA!$C:$C,$B986,DATA!$J:$J,"&gt;="&amp;DATE($I$2,I$4,1),DATA!$J:$J,"&lt;="&amp;DATE($I$2,I$4,I$5))</f>
        <v/>
      </c>
      <c r="J986" s="321">
        <f>SUMIFS(DATA!$I:$I,DATA!$C:$C,$B986,DATA!$J:$J,"&gt;="&amp;DATE($I$2,J$4,1),DATA!$J:$J,"&lt;="&amp;DATE($I$2,J$4,J$5))</f>
        <v/>
      </c>
      <c r="K986" s="321">
        <f>SUMIFS(DATA!$I:$I,DATA!$C:$C,$B986,DATA!$J:$J,"&gt;="&amp;DATE($I$2,K$4,1),DATA!$J:$J,"&lt;="&amp;DATE($I$2,K$4,K$5))</f>
        <v/>
      </c>
      <c r="L986" s="321">
        <f>SUMIFS(DATA!$I:$I,DATA!$C:$C,$B986,DATA!$J:$J,"&gt;="&amp;DATE($I$2,L$4,1),DATA!$J:$J,"&lt;="&amp;DATE($I$2,L$4,L$5))</f>
        <v/>
      </c>
      <c r="M986" s="321">
        <f>SUMIFS(DATA!$I:$I,DATA!$C:$C,$B986,DATA!$J:$J,"&gt;="&amp;DATE($I$2,M$4,1),DATA!$J:$J,"&lt;="&amp;DATE($I$2,M$4,M$5))</f>
        <v/>
      </c>
      <c r="N986" s="321">
        <f>SUMIFS(DATA!$I:$I,DATA!$C:$C,$B986,DATA!$J:$J,"&gt;="&amp;DATE($I$2,N$4,1),DATA!$J:$J,"&lt;="&amp;DATE($I$2,N$4,N$5))</f>
        <v/>
      </c>
      <c r="O986" s="321">
        <f>SUMIFS(DATA!$I:$I,DATA!$C:$C,$B986,DATA!$J:$J,"&gt;="&amp;DATE($I$2,O$4,1),DATA!$J:$J,"&lt;="&amp;DATE($I$2,O$4,O$5))</f>
        <v/>
      </c>
      <c r="P986" s="322">
        <f>SUM(D986:O986)</f>
        <v/>
      </c>
    </row>
    <row r="987" hidden="1" outlineLevel="1" ht="15" customHeight="1">
      <c r="A987" s="266" t="n"/>
      <c r="B987" s="126" t="n"/>
      <c r="C987" s="119" t="inlineStr">
        <is>
          <t>Thực tế</t>
        </is>
      </c>
      <c r="D987" s="321">
        <f>SUMIFS(DATA!$M:$M,DATA!$C:$C,$B986,DATA!$N:$N,"&gt;="&amp;DATE($I$2,D$4,1),DATA!$N:$N,"&lt;="&amp;DATE($I$2,D$4,D$5))</f>
        <v/>
      </c>
      <c r="E987" s="321">
        <f>SUMIFS(DATA!$M:$M,DATA!$C:$C,$B986,DATA!$N:$N,"&gt;="&amp;DATE($I$2,E$4,1),DATA!$N:$N,"&lt;="&amp;DATE($I$2,E$4,E$5))</f>
        <v/>
      </c>
      <c r="F987" s="321">
        <f>SUMIFS(DATA!$M:$M,DATA!$C:$C,$B986,DATA!$N:$N,"&gt;="&amp;DATE($I$2,F$4,1),DATA!$N:$N,"&lt;="&amp;DATE($I$2,F$4,F$5))</f>
        <v/>
      </c>
      <c r="G987" s="321">
        <f>SUMIFS(DATA!$M:$M,DATA!$C:$C,$B986,DATA!$N:$N,"&gt;="&amp;DATE($I$2,G$4,1),DATA!$N:$N,"&lt;="&amp;DATE($I$2,G$4,G$5))</f>
        <v/>
      </c>
      <c r="H987" s="321">
        <f>SUMIFS(DATA!$M:$M,DATA!$C:$C,$B986,DATA!$N:$N,"&gt;="&amp;DATE($I$2,H$4,1),DATA!$N:$N,"&lt;="&amp;DATE($I$2,H$4,H$5))</f>
        <v/>
      </c>
      <c r="I987" s="321">
        <f>SUMIFS(DATA!$M:$M,DATA!$C:$C,$B986,DATA!$N:$N,"&gt;="&amp;DATE($I$2,I$4,1),DATA!$N:$N,"&lt;="&amp;DATE($I$2,I$4,I$5))</f>
        <v/>
      </c>
      <c r="J987" s="321">
        <f>SUMIFS(DATA!$M:$M,DATA!$C:$C,$B986,DATA!$N:$N,"&gt;="&amp;DATE($I$2,J$4,1),DATA!$N:$N,"&lt;="&amp;DATE($I$2,J$4,J$5))</f>
        <v/>
      </c>
      <c r="K987" s="321">
        <f>SUMIFS(DATA!$M:$M,DATA!$C:$C,$B986,DATA!$N:$N,"&gt;="&amp;DATE($I$2,K$4,1),DATA!$N:$N,"&lt;="&amp;DATE($I$2,K$4,K$5))</f>
        <v/>
      </c>
      <c r="L987" s="321">
        <f>SUMIFS(DATA!$M:$M,DATA!$C:$C,$B986,DATA!$N:$N,"&gt;="&amp;DATE($I$2,L$4,1),DATA!$N:$N,"&lt;="&amp;DATE($I$2,L$4,L$5))</f>
        <v/>
      </c>
      <c r="M987" s="321">
        <f>SUMIFS(DATA!$M:$M,DATA!$C:$C,$B986,DATA!$N:$N,"&gt;="&amp;DATE($I$2,M$4,1),DATA!$N:$N,"&lt;="&amp;DATE($I$2,M$4,M$5))</f>
        <v/>
      </c>
      <c r="N987" s="321">
        <f>SUMIFS(DATA!$M:$M,DATA!$C:$C,$B986,DATA!$N:$N,"&gt;="&amp;DATE($I$2,N$4,1),DATA!$N:$N,"&lt;="&amp;DATE($I$2,N$4,N$5))</f>
        <v/>
      </c>
      <c r="O987" s="321">
        <f>SUMIFS(DATA!$M:$M,DATA!$C:$C,$B986,DATA!$N:$N,"&gt;="&amp;DATE($I$2,O$4,1),DATA!$N:$N,"&lt;="&amp;DATE($I$2,O$4,O$5))</f>
        <v/>
      </c>
      <c r="P987" s="322">
        <f>SUM(D987:O987)</f>
        <v/>
      </c>
    </row>
    <row r="988" hidden="1" outlineLevel="1" ht="15" customHeight="1">
      <c r="A988" s="269" t="n">
        <v>492</v>
      </c>
      <c r="B988" s="125" t="n"/>
      <c r="C988" s="119" t="inlineStr">
        <is>
          <t>Kế hoạch</t>
        </is>
      </c>
      <c r="D988" s="321">
        <f>SUMIFS(DATA!$I:$I,DATA!$C:$C,$B988,DATA!$J:$J,"&gt;="&amp;DATE($I$2,D$4,1),DATA!$J:$J,"&lt;="&amp;DATE($I$2,D$4,D$5))</f>
        <v/>
      </c>
      <c r="E988" s="321">
        <f>SUMIFS(DATA!$I:$I,DATA!$C:$C,$B988,DATA!$J:$J,"&gt;="&amp;DATE($I$2,E$4,1),DATA!$J:$J,"&lt;="&amp;DATE($I$2,E$4,E$5))</f>
        <v/>
      </c>
      <c r="F988" s="321">
        <f>SUMIFS(DATA!$I:$I,DATA!$C:$C,$B988,DATA!$J:$J,"&gt;="&amp;DATE($I$2,F$4,1),DATA!$J:$J,"&lt;="&amp;DATE($I$2,F$4,F$5))</f>
        <v/>
      </c>
      <c r="G988" s="321">
        <f>SUMIFS(DATA!$I:$I,DATA!$C:$C,$B988,DATA!$J:$J,"&gt;="&amp;DATE($I$2,G$4,1),DATA!$J:$J,"&lt;="&amp;DATE($I$2,G$4,G$5))</f>
        <v/>
      </c>
      <c r="H988" s="321">
        <f>SUMIFS(DATA!$I:$I,DATA!$C:$C,$B988,DATA!$J:$J,"&gt;="&amp;DATE($I$2,H$4,1),DATA!$J:$J,"&lt;="&amp;DATE($I$2,H$4,H$5))</f>
        <v/>
      </c>
      <c r="I988" s="321">
        <f>SUMIFS(DATA!$I:$I,DATA!$C:$C,$B988,DATA!$J:$J,"&gt;="&amp;DATE($I$2,I$4,1),DATA!$J:$J,"&lt;="&amp;DATE($I$2,I$4,I$5))</f>
        <v/>
      </c>
      <c r="J988" s="321">
        <f>SUMIFS(DATA!$I:$I,DATA!$C:$C,$B988,DATA!$J:$J,"&gt;="&amp;DATE($I$2,J$4,1),DATA!$J:$J,"&lt;="&amp;DATE($I$2,J$4,J$5))</f>
        <v/>
      </c>
      <c r="K988" s="321">
        <f>SUMIFS(DATA!$I:$I,DATA!$C:$C,$B988,DATA!$J:$J,"&gt;="&amp;DATE($I$2,K$4,1),DATA!$J:$J,"&lt;="&amp;DATE($I$2,K$4,K$5))</f>
        <v/>
      </c>
      <c r="L988" s="321">
        <f>SUMIFS(DATA!$I:$I,DATA!$C:$C,$B988,DATA!$J:$J,"&gt;="&amp;DATE($I$2,L$4,1),DATA!$J:$J,"&lt;="&amp;DATE($I$2,L$4,L$5))</f>
        <v/>
      </c>
      <c r="M988" s="321">
        <f>SUMIFS(DATA!$I:$I,DATA!$C:$C,$B988,DATA!$J:$J,"&gt;="&amp;DATE($I$2,M$4,1),DATA!$J:$J,"&lt;="&amp;DATE($I$2,M$4,M$5))</f>
        <v/>
      </c>
      <c r="N988" s="321">
        <f>SUMIFS(DATA!$I:$I,DATA!$C:$C,$B988,DATA!$J:$J,"&gt;="&amp;DATE($I$2,N$4,1),DATA!$J:$J,"&lt;="&amp;DATE($I$2,N$4,N$5))</f>
        <v/>
      </c>
      <c r="O988" s="321">
        <f>SUMIFS(DATA!$I:$I,DATA!$C:$C,$B988,DATA!$J:$J,"&gt;="&amp;DATE($I$2,O$4,1),DATA!$J:$J,"&lt;="&amp;DATE($I$2,O$4,O$5))</f>
        <v/>
      </c>
      <c r="P988" s="322">
        <f>SUM(D988:O988)</f>
        <v/>
      </c>
    </row>
    <row r="989" hidden="1" outlineLevel="1" ht="15" customHeight="1">
      <c r="A989" s="266" t="n"/>
      <c r="B989" s="126" t="n"/>
      <c r="C989" s="119" t="inlineStr">
        <is>
          <t>Thực tế</t>
        </is>
      </c>
      <c r="D989" s="321">
        <f>SUMIFS(DATA!$M:$M,DATA!$C:$C,$B988,DATA!$N:$N,"&gt;="&amp;DATE($I$2,D$4,1),DATA!$N:$N,"&lt;="&amp;DATE($I$2,D$4,D$5))</f>
        <v/>
      </c>
      <c r="E989" s="321">
        <f>SUMIFS(DATA!$M:$M,DATA!$C:$C,$B988,DATA!$N:$N,"&gt;="&amp;DATE($I$2,E$4,1),DATA!$N:$N,"&lt;="&amp;DATE($I$2,E$4,E$5))</f>
        <v/>
      </c>
      <c r="F989" s="321">
        <f>SUMIFS(DATA!$M:$M,DATA!$C:$C,$B988,DATA!$N:$N,"&gt;="&amp;DATE($I$2,F$4,1),DATA!$N:$N,"&lt;="&amp;DATE($I$2,F$4,F$5))</f>
        <v/>
      </c>
      <c r="G989" s="321">
        <f>SUMIFS(DATA!$M:$M,DATA!$C:$C,$B988,DATA!$N:$N,"&gt;="&amp;DATE($I$2,G$4,1),DATA!$N:$N,"&lt;="&amp;DATE($I$2,G$4,G$5))</f>
        <v/>
      </c>
      <c r="H989" s="321">
        <f>SUMIFS(DATA!$M:$M,DATA!$C:$C,$B988,DATA!$N:$N,"&gt;="&amp;DATE($I$2,H$4,1),DATA!$N:$N,"&lt;="&amp;DATE($I$2,H$4,H$5))</f>
        <v/>
      </c>
      <c r="I989" s="321">
        <f>SUMIFS(DATA!$M:$M,DATA!$C:$C,$B988,DATA!$N:$N,"&gt;="&amp;DATE($I$2,I$4,1),DATA!$N:$N,"&lt;="&amp;DATE($I$2,I$4,I$5))</f>
        <v/>
      </c>
      <c r="J989" s="321">
        <f>SUMIFS(DATA!$M:$M,DATA!$C:$C,$B988,DATA!$N:$N,"&gt;="&amp;DATE($I$2,J$4,1),DATA!$N:$N,"&lt;="&amp;DATE($I$2,J$4,J$5))</f>
        <v/>
      </c>
      <c r="K989" s="321">
        <f>SUMIFS(DATA!$M:$M,DATA!$C:$C,$B988,DATA!$N:$N,"&gt;="&amp;DATE($I$2,K$4,1),DATA!$N:$N,"&lt;="&amp;DATE($I$2,K$4,K$5))</f>
        <v/>
      </c>
      <c r="L989" s="321">
        <f>SUMIFS(DATA!$M:$M,DATA!$C:$C,$B988,DATA!$N:$N,"&gt;="&amp;DATE($I$2,L$4,1),DATA!$N:$N,"&lt;="&amp;DATE($I$2,L$4,L$5))</f>
        <v/>
      </c>
      <c r="M989" s="321">
        <f>SUMIFS(DATA!$M:$M,DATA!$C:$C,$B988,DATA!$N:$N,"&gt;="&amp;DATE($I$2,M$4,1),DATA!$N:$N,"&lt;="&amp;DATE($I$2,M$4,M$5))</f>
        <v/>
      </c>
      <c r="N989" s="321">
        <f>SUMIFS(DATA!$M:$M,DATA!$C:$C,$B988,DATA!$N:$N,"&gt;="&amp;DATE($I$2,N$4,1),DATA!$N:$N,"&lt;="&amp;DATE($I$2,N$4,N$5))</f>
        <v/>
      </c>
      <c r="O989" s="321">
        <f>SUMIFS(DATA!$M:$M,DATA!$C:$C,$B988,DATA!$N:$N,"&gt;="&amp;DATE($I$2,O$4,1),DATA!$N:$N,"&lt;="&amp;DATE($I$2,O$4,O$5))</f>
        <v/>
      </c>
      <c r="P989" s="322">
        <f>SUM(D989:O989)</f>
        <v/>
      </c>
    </row>
    <row r="990" hidden="1" outlineLevel="1" ht="15" customHeight="1">
      <c r="A990" s="269" t="n">
        <v>493</v>
      </c>
      <c r="B990" s="125" t="n"/>
      <c r="C990" s="119" t="inlineStr">
        <is>
          <t>Kế hoạch</t>
        </is>
      </c>
      <c r="D990" s="321">
        <f>SUMIFS(DATA!$I:$I,DATA!$C:$C,$B990,DATA!$J:$J,"&gt;="&amp;DATE($I$2,D$4,1),DATA!$J:$J,"&lt;="&amp;DATE($I$2,D$4,D$5))</f>
        <v/>
      </c>
      <c r="E990" s="321">
        <f>SUMIFS(DATA!$I:$I,DATA!$C:$C,$B990,DATA!$J:$J,"&gt;="&amp;DATE($I$2,E$4,1),DATA!$J:$J,"&lt;="&amp;DATE($I$2,E$4,E$5))</f>
        <v/>
      </c>
      <c r="F990" s="321">
        <f>SUMIFS(DATA!$I:$I,DATA!$C:$C,$B990,DATA!$J:$J,"&gt;="&amp;DATE($I$2,F$4,1),DATA!$J:$J,"&lt;="&amp;DATE($I$2,F$4,F$5))</f>
        <v/>
      </c>
      <c r="G990" s="321">
        <f>SUMIFS(DATA!$I:$I,DATA!$C:$C,$B990,DATA!$J:$J,"&gt;="&amp;DATE($I$2,G$4,1),DATA!$J:$J,"&lt;="&amp;DATE($I$2,G$4,G$5))</f>
        <v/>
      </c>
      <c r="H990" s="321">
        <f>SUMIFS(DATA!$I:$I,DATA!$C:$C,$B990,DATA!$J:$J,"&gt;="&amp;DATE($I$2,H$4,1),DATA!$J:$J,"&lt;="&amp;DATE($I$2,H$4,H$5))</f>
        <v/>
      </c>
      <c r="I990" s="321">
        <f>SUMIFS(DATA!$I:$I,DATA!$C:$C,$B990,DATA!$J:$J,"&gt;="&amp;DATE($I$2,I$4,1),DATA!$J:$J,"&lt;="&amp;DATE($I$2,I$4,I$5))</f>
        <v/>
      </c>
      <c r="J990" s="321">
        <f>SUMIFS(DATA!$I:$I,DATA!$C:$C,$B990,DATA!$J:$J,"&gt;="&amp;DATE($I$2,J$4,1),DATA!$J:$J,"&lt;="&amp;DATE($I$2,J$4,J$5))</f>
        <v/>
      </c>
      <c r="K990" s="321">
        <f>SUMIFS(DATA!$I:$I,DATA!$C:$C,$B990,DATA!$J:$J,"&gt;="&amp;DATE($I$2,K$4,1),DATA!$J:$J,"&lt;="&amp;DATE($I$2,K$4,K$5))</f>
        <v/>
      </c>
      <c r="L990" s="321">
        <f>SUMIFS(DATA!$I:$I,DATA!$C:$C,$B990,DATA!$J:$J,"&gt;="&amp;DATE($I$2,L$4,1),DATA!$J:$J,"&lt;="&amp;DATE($I$2,L$4,L$5))</f>
        <v/>
      </c>
      <c r="M990" s="321">
        <f>SUMIFS(DATA!$I:$I,DATA!$C:$C,$B990,DATA!$J:$J,"&gt;="&amp;DATE($I$2,M$4,1),DATA!$J:$J,"&lt;="&amp;DATE($I$2,M$4,M$5))</f>
        <v/>
      </c>
      <c r="N990" s="321">
        <f>SUMIFS(DATA!$I:$I,DATA!$C:$C,$B990,DATA!$J:$J,"&gt;="&amp;DATE($I$2,N$4,1),DATA!$J:$J,"&lt;="&amp;DATE($I$2,N$4,N$5))</f>
        <v/>
      </c>
      <c r="O990" s="321">
        <f>SUMIFS(DATA!$I:$I,DATA!$C:$C,$B990,DATA!$J:$J,"&gt;="&amp;DATE($I$2,O$4,1),DATA!$J:$J,"&lt;="&amp;DATE($I$2,O$4,O$5))</f>
        <v/>
      </c>
      <c r="P990" s="322">
        <f>SUM(D990:O990)</f>
        <v/>
      </c>
    </row>
    <row r="991" hidden="1" outlineLevel="1" ht="15" customHeight="1">
      <c r="A991" s="266" t="n"/>
      <c r="B991" s="126" t="n"/>
      <c r="C991" s="119" t="inlineStr">
        <is>
          <t>Thực tế</t>
        </is>
      </c>
      <c r="D991" s="321">
        <f>SUMIFS(DATA!$M:$M,DATA!$C:$C,$B990,DATA!$N:$N,"&gt;="&amp;DATE($I$2,D$4,1),DATA!$N:$N,"&lt;="&amp;DATE($I$2,D$4,D$5))</f>
        <v/>
      </c>
      <c r="E991" s="321">
        <f>SUMIFS(DATA!$M:$M,DATA!$C:$C,$B990,DATA!$N:$N,"&gt;="&amp;DATE($I$2,E$4,1),DATA!$N:$N,"&lt;="&amp;DATE($I$2,E$4,E$5))</f>
        <v/>
      </c>
      <c r="F991" s="321">
        <f>SUMIFS(DATA!$M:$M,DATA!$C:$C,$B990,DATA!$N:$N,"&gt;="&amp;DATE($I$2,F$4,1),DATA!$N:$N,"&lt;="&amp;DATE($I$2,F$4,F$5))</f>
        <v/>
      </c>
      <c r="G991" s="321">
        <f>SUMIFS(DATA!$M:$M,DATA!$C:$C,$B990,DATA!$N:$N,"&gt;="&amp;DATE($I$2,G$4,1),DATA!$N:$N,"&lt;="&amp;DATE($I$2,G$4,G$5))</f>
        <v/>
      </c>
      <c r="H991" s="321">
        <f>SUMIFS(DATA!$M:$M,DATA!$C:$C,$B990,DATA!$N:$N,"&gt;="&amp;DATE($I$2,H$4,1),DATA!$N:$N,"&lt;="&amp;DATE($I$2,H$4,H$5))</f>
        <v/>
      </c>
      <c r="I991" s="321">
        <f>SUMIFS(DATA!$M:$M,DATA!$C:$C,$B990,DATA!$N:$N,"&gt;="&amp;DATE($I$2,I$4,1),DATA!$N:$N,"&lt;="&amp;DATE($I$2,I$4,I$5))</f>
        <v/>
      </c>
      <c r="J991" s="321">
        <f>SUMIFS(DATA!$M:$M,DATA!$C:$C,$B990,DATA!$N:$N,"&gt;="&amp;DATE($I$2,J$4,1),DATA!$N:$N,"&lt;="&amp;DATE($I$2,J$4,J$5))</f>
        <v/>
      </c>
      <c r="K991" s="321">
        <f>SUMIFS(DATA!$M:$M,DATA!$C:$C,$B990,DATA!$N:$N,"&gt;="&amp;DATE($I$2,K$4,1),DATA!$N:$N,"&lt;="&amp;DATE($I$2,K$4,K$5))</f>
        <v/>
      </c>
      <c r="L991" s="321">
        <f>SUMIFS(DATA!$M:$M,DATA!$C:$C,$B990,DATA!$N:$N,"&gt;="&amp;DATE($I$2,L$4,1),DATA!$N:$N,"&lt;="&amp;DATE($I$2,L$4,L$5))</f>
        <v/>
      </c>
      <c r="M991" s="321">
        <f>SUMIFS(DATA!$M:$M,DATA!$C:$C,$B990,DATA!$N:$N,"&gt;="&amp;DATE($I$2,M$4,1),DATA!$N:$N,"&lt;="&amp;DATE($I$2,M$4,M$5))</f>
        <v/>
      </c>
      <c r="N991" s="321">
        <f>SUMIFS(DATA!$M:$M,DATA!$C:$C,$B990,DATA!$N:$N,"&gt;="&amp;DATE($I$2,N$4,1),DATA!$N:$N,"&lt;="&amp;DATE($I$2,N$4,N$5))</f>
        <v/>
      </c>
      <c r="O991" s="321">
        <f>SUMIFS(DATA!$M:$M,DATA!$C:$C,$B990,DATA!$N:$N,"&gt;="&amp;DATE($I$2,O$4,1),DATA!$N:$N,"&lt;="&amp;DATE($I$2,O$4,O$5))</f>
        <v/>
      </c>
      <c r="P991" s="322">
        <f>SUM(D991:O991)</f>
        <v/>
      </c>
    </row>
    <row r="992" hidden="1" outlineLevel="1" ht="15" customHeight="1">
      <c r="A992" s="269" t="n">
        <v>494</v>
      </c>
      <c r="B992" s="125" t="n"/>
      <c r="C992" s="119" t="inlineStr">
        <is>
          <t>Kế hoạch</t>
        </is>
      </c>
      <c r="D992" s="321">
        <f>SUMIFS(DATA!$I:$I,DATA!$C:$C,$B992,DATA!$J:$J,"&gt;="&amp;DATE($I$2,D$4,1),DATA!$J:$J,"&lt;="&amp;DATE($I$2,D$4,D$5))</f>
        <v/>
      </c>
      <c r="E992" s="321">
        <f>SUMIFS(DATA!$I:$I,DATA!$C:$C,$B992,DATA!$J:$J,"&gt;="&amp;DATE($I$2,E$4,1),DATA!$J:$J,"&lt;="&amp;DATE($I$2,E$4,E$5))</f>
        <v/>
      </c>
      <c r="F992" s="321">
        <f>SUMIFS(DATA!$I:$I,DATA!$C:$C,$B992,DATA!$J:$J,"&gt;="&amp;DATE($I$2,F$4,1),DATA!$J:$J,"&lt;="&amp;DATE($I$2,F$4,F$5))</f>
        <v/>
      </c>
      <c r="G992" s="321">
        <f>SUMIFS(DATA!$I:$I,DATA!$C:$C,$B992,DATA!$J:$J,"&gt;="&amp;DATE($I$2,G$4,1),DATA!$J:$J,"&lt;="&amp;DATE($I$2,G$4,G$5))</f>
        <v/>
      </c>
      <c r="H992" s="321">
        <f>SUMIFS(DATA!$I:$I,DATA!$C:$C,$B992,DATA!$J:$J,"&gt;="&amp;DATE($I$2,H$4,1),DATA!$J:$J,"&lt;="&amp;DATE($I$2,H$4,H$5))</f>
        <v/>
      </c>
      <c r="I992" s="321">
        <f>SUMIFS(DATA!$I:$I,DATA!$C:$C,$B992,DATA!$J:$J,"&gt;="&amp;DATE($I$2,I$4,1),DATA!$J:$J,"&lt;="&amp;DATE($I$2,I$4,I$5))</f>
        <v/>
      </c>
      <c r="J992" s="321">
        <f>SUMIFS(DATA!$I:$I,DATA!$C:$C,$B992,DATA!$J:$J,"&gt;="&amp;DATE($I$2,J$4,1),DATA!$J:$J,"&lt;="&amp;DATE($I$2,J$4,J$5))</f>
        <v/>
      </c>
      <c r="K992" s="321">
        <f>SUMIFS(DATA!$I:$I,DATA!$C:$C,$B992,DATA!$J:$J,"&gt;="&amp;DATE($I$2,K$4,1),DATA!$J:$J,"&lt;="&amp;DATE($I$2,K$4,K$5))</f>
        <v/>
      </c>
      <c r="L992" s="321">
        <f>SUMIFS(DATA!$I:$I,DATA!$C:$C,$B992,DATA!$J:$J,"&gt;="&amp;DATE($I$2,L$4,1),DATA!$J:$J,"&lt;="&amp;DATE($I$2,L$4,L$5))</f>
        <v/>
      </c>
      <c r="M992" s="321">
        <f>SUMIFS(DATA!$I:$I,DATA!$C:$C,$B992,DATA!$J:$J,"&gt;="&amp;DATE($I$2,M$4,1),DATA!$J:$J,"&lt;="&amp;DATE($I$2,M$4,M$5))</f>
        <v/>
      </c>
      <c r="N992" s="321">
        <f>SUMIFS(DATA!$I:$I,DATA!$C:$C,$B992,DATA!$J:$J,"&gt;="&amp;DATE($I$2,N$4,1),DATA!$J:$J,"&lt;="&amp;DATE($I$2,N$4,N$5))</f>
        <v/>
      </c>
      <c r="O992" s="321">
        <f>SUMIFS(DATA!$I:$I,DATA!$C:$C,$B992,DATA!$J:$J,"&gt;="&amp;DATE($I$2,O$4,1),DATA!$J:$J,"&lt;="&amp;DATE($I$2,O$4,O$5))</f>
        <v/>
      </c>
      <c r="P992" s="322">
        <f>SUM(D992:O992)</f>
        <v/>
      </c>
    </row>
    <row r="993" hidden="1" outlineLevel="1" ht="15" customHeight="1">
      <c r="A993" s="266" t="n"/>
      <c r="B993" s="126" t="n"/>
      <c r="C993" s="119" t="inlineStr">
        <is>
          <t>Thực tế</t>
        </is>
      </c>
      <c r="D993" s="321">
        <f>SUMIFS(DATA!$M:$M,DATA!$C:$C,$B992,DATA!$N:$N,"&gt;="&amp;DATE($I$2,D$4,1),DATA!$N:$N,"&lt;="&amp;DATE($I$2,D$4,D$5))</f>
        <v/>
      </c>
      <c r="E993" s="321">
        <f>SUMIFS(DATA!$M:$M,DATA!$C:$C,$B992,DATA!$N:$N,"&gt;="&amp;DATE($I$2,E$4,1),DATA!$N:$N,"&lt;="&amp;DATE($I$2,E$4,E$5))</f>
        <v/>
      </c>
      <c r="F993" s="321">
        <f>SUMIFS(DATA!$M:$M,DATA!$C:$C,$B992,DATA!$N:$N,"&gt;="&amp;DATE($I$2,F$4,1),DATA!$N:$N,"&lt;="&amp;DATE($I$2,F$4,F$5))</f>
        <v/>
      </c>
      <c r="G993" s="321">
        <f>SUMIFS(DATA!$M:$M,DATA!$C:$C,$B992,DATA!$N:$N,"&gt;="&amp;DATE($I$2,G$4,1),DATA!$N:$N,"&lt;="&amp;DATE($I$2,G$4,G$5))</f>
        <v/>
      </c>
      <c r="H993" s="321">
        <f>SUMIFS(DATA!$M:$M,DATA!$C:$C,$B992,DATA!$N:$N,"&gt;="&amp;DATE($I$2,H$4,1),DATA!$N:$N,"&lt;="&amp;DATE($I$2,H$4,H$5))</f>
        <v/>
      </c>
      <c r="I993" s="321">
        <f>SUMIFS(DATA!$M:$M,DATA!$C:$C,$B992,DATA!$N:$N,"&gt;="&amp;DATE($I$2,I$4,1),DATA!$N:$N,"&lt;="&amp;DATE($I$2,I$4,I$5))</f>
        <v/>
      </c>
      <c r="J993" s="321">
        <f>SUMIFS(DATA!$M:$M,DATA!$C:$C,$B992,DATA!$N:$N,"&gt;="&amp;DATE($I$2,J$4,1),DATA!$N:$N,"&lt;="&amp;DATE($I$2,J$4,J$5))</f>
        <v/>
      </c>
      <c r="K993" s="321">
        <f>SUMIFS(DATA!$M:$M,DATA!$C:$C,$B992,DATA!$N:$N,"&gt;="&amp;DATE($I$2,K$4,1),DATA!$N:$N,"&lt;="&amp;DATE($I$2,K$4,K$5))</f>
        <v/>
      </c>
      <c r="L993" s="321">
        <f>SUMIFS(DATA!$M:$M,DATA!$C:$C,$B992,DATA!$N:$N,"&gt;="&amp;DATE($I$2,L$4,1),DATA!$N:$N,"&lt;="&amp;DATE($I$2,L$4,L$5))</f>
        <v/>
      </c>
      <c r="M993" s="321">
        <f>SUMIFS(DATA!$M:$M,DATA!$C:$C,$B992,DATA!$N:$N,"&gt;="&amp;DATE($I$2,M$4,1),DATA!$N:$N,"&lt;="&amp;DATE($I$2,M$4,M$5))</f>
        <v/>
      </c>
      <c r="N993" s="321">
        <f>SUMIFS(DATA!$M:$M,DATA!$C:$C,$B992,DATA!$N:$N,"&gt;="&amp;DATE($I$2,N$4,1),DATA!$N:$N,"&lt;="&amp;DATE($I$2,N$4,N$5))</f>
        <v/>
      </c>
      <c r="O993" s="321">
        <f>SUMIFS(DATA!$M:$M,DATA!$C:$C,$B992,DATA!$N:$N,"&gt;="&amp;DATE($I$2,O$4,1),DATA!$N:$N,"&lt;="&amp;DATE($I$2,O$4,O$5))</f>
        <v/>
      </c>
      <c r="P993" s="322">
        <f>SUM(D993:O993)</f>
        <v/>
      </c>
    </row>
    <row r="994" hidden="1" outlineLevel="1" ht="15" customHeight="1">
      <c r="A994" s="269" t="n">
        <v>495</v>
      </c>
      <c r="B994" s="125" t="n"/>
      <c r="C994" s="119" t="inlineStr">
        <is>
          <t>Kế hoạch</t>
        </is>
      </c>
      <c r="D994" s="321">
        <f>SUMIFS(DATA!$I:$I,DATA!$C:$C,$B994,DATA!$J:$J,"&gt;="&amp;DATE($I$2,D$4,1),DATA!$J:$J,"&lt;="&amp;DATE($I$2,D$4,D$5))</f>
        <v/>
      </c>
      <c r="E994" s="321">
        <f>SUMIFS(DATA!$I:$I,DATA!$C:$C,$B994,DATA!$J:$J,"&gt;="&amp;DATE($I$2,E$4,1),DATA!$J:$J,"&lt;="&amp;DATE($I$2,E$4,E$5))</f>
        <v/>
      </c>
      <c r="F994" s="321">
        <f>SUMIFS(DATA!$I:$I,DATA!$C:$C,$B994,DATA!$J:$J,"&gt;="&amp;DATE($I$2,F$4,1),DATA!$J:$J,"&lt;="&amp;DATE($I$2,F$4,F$5))</f>
        <v/>
      </c>
      <c r="G994" s="321">
        <f>SUMIFS(DATA!$I:$I,DATA!$C:$C,$B994,DATA!$J:$J,"&gt;="&amp;DATE($I$2,G$4,1),DATA!$J:$J,"&lt;="&amp;DATE($I$2,G$4,G$5))</f>
        <v/>
      </c>
      <c r="H994" s="321">
        <f>SUMIFS(DATA!$I:$I,DATA!$C:$C,$B994,DATA!$J:$J,"&gt;="&amp;DATE($I$2,H$4,1),DATA!$J:$J,"&lt;="&amp;DATE($I$2,H$4,H$5))</f>
        <v/>
      </c>
      <c r="I994" s="321">
        <f>SUMIFS(DATA!$I:$I,DATA!$C:$C,$B994,DATA!$J:$J,"&gt;="&amp;DATE($I$2,I$4,1),DATA!$J:$J,"&lt;="&amp;DATE($I$2,I$4,I$5))</f>
        <v/>
      </c>
      <c r="J994" s="321">
        <f>SUMIFS(DATA!$I:$I,DATA!$C:$C,$B994,DATA!$J:$J,"&gt;="&amp;DATE($I$2,J$4,1),DATA!$J:$J,"&lt;="&amp;DATE($I$2,J$4,J$5))</f>
        <v/>
      </c>
      <c r="K994" s="321">
        <f>SUMIFS(DATA!$I:$I,DATA!$C:$C,$B994,DATA!$J:$J,"&gt;="&amp;DATE($I$2,K$4,1),DATA!$J:$J,"&lt;="&amp;DATE($I$2,K$4,K$5))</f>
        <v/>
      </c>
      <c r="L994" s="321">
        <f>SUMIFS(DATA!$I:$I,DATA!$C:$C,$B994,DATA!$J:$J,"&gt;="&amp;DATE($I$2,L$4,1),DATA!$J:$J,"&lt;="&amp;DATE($I$2,L$4,L$5))</f>
        <v/>
      </c>
      <c r="M994" s="321">
        <f>SUMIFS(DATA!$I:$I,DATA!$C:$C,$B994,DATA!$J:$J,"&gt;="&amp;DATE($I$2,M$4,1),DATA!$J:$J,"&lt;="&amp;DATE($I$2,M$4,M$5))</f>
        <v/>
      </c>
      <c r="N994" s="321">
        <f>SUMIFS(DATA!$I:$I,DATA!$C:$C,$B994,DATA!$J:$J,"&gt;="&amp;DATE($I$2,N$4,1),DATA!$J:$J,"&lt;="&amp;DATE($I$2,N$4,N$5))</f>
        <v/>
      </c>
      <c r="O994" s="321">
        <f>SUMIFS(DATA!$I:$I,DATA!$C:$C,$B994,DATA!$J:$J,"&gt;="&amp;DATE($I$2,O$4,1),DATA!$J:$J,"&lt;="&amp;DATE($I$2,O$4,O$5))</f>
        <v/>
      </c>
      <c r="P994" s="322">
        <f>SUM(D994:O994)</f>
        <v/>
      </c>
    </row>
    <row r="995" hidden="1" outlineLevel="1" ht="15" customHeight="1">
      <c r="A995" s="266" t="n"/>
      <c r="B995" s="126" t="n"/>
      <c r="C995" s="119" t="inlineStr">
        <is>
          <t>Thực tế</t>
        </is>
      </c>
      <c r="D995" s="321">
        <f>SUMIFS(DATA!$M:$M,DATA!$C:$C,$B994,DATA!$N:$N,"&gt;="&amp;DATE($I$2,D$4,1),DATA!$N:$N,"&lt;="&amp;DATE($I$2,D$4,D$5))</f>
        <v/>
      </c>
      <c r="E995" s="321">
        <f>SUMIFS(DATA!$M:$M,DATA!$C:$C,$B994,DATA!$N:$N,"&gt;="&amp;DATE($I$2,E$4,1),DATA!$N:$N,"&lt;="&amp;DATE($I$2,E$4,E$5))</f>
        <v/>
      </c>
      <c r="F995" s="321">
        <f>SUMIFS(DATA!$M:$M,DATA!$C:$C,$B994,DATA!$N:$N,"&gt;="&amp;DATE($I$2,F$4,1),DATA!$N:$N,"&lt;="&amp;DATE($I$2,F$4,F$5))</f>
        <v/>
      </c>
      <c r="G995" s="321">
        <f>SUMIFS(DATA!$M:$M,DATA!$C:$C,$B994,DATA!$N:$N,"&gt;="&amp;DATE($I$2,G$4,1),DATA!$N:$N,"&lt;="&amp;DATE($I$2,G$4,G$5))</f>
        <v/>
      </c>
      <c r="H995" s="321">
        <f>SUMIFS(DATA!$M:$M,DATA!$C:$C,$B994,DATA!$N:$N,"&gt;="&amp;DATE($I$2,H$4,1),DATA!$N:$N,"&lt;="&amp;DATE($I$2,H$4,H$5))</f>
        <v/>
      </c>
      <c r="I995" s="321">
        <f>SUMIFS(DATA!$M:$M,DATA!$C:$C,$B994,DATA!$N:$N,"&gt;="&amp;DATE($I$2,I$4,1),DATA!$N:$N,"&lt;="&amp;DATE($I$2,I$4,I$5))</f>
        <v/>
      </c>
      <c r="J995" s="321">
        <f>SUMIFS(DATA!$M:$M,DATA!$C:$C,$B994,DATA!$N:$N,"&gt;="&amp;DATE($I$2,J$4,1),DATA!$N:$N,"&lt;="&amp;DATE($I$2,J$4,J$5))</f>
        <v/>
      </c>
      <c r="K995" s="321">
        <f>SUMIFS(DATA!$M:$M,DATA!$C:$C,$B994,DATA!$N:$N,"&gt;="&amp;DATE($I$2,K$4,1),DATA!$N:$N,"&lt;="&amp;DATE($I$2,K$4,K$5))</f>
        <v/>
      </c>
      <c r="L995" s="321">
        <f>SUMIFS(DATA!$M:$M,DATA!$C:$C,$B994,DATA!$N:$N,"&gt;="&amp;DATE($I$2,L$4,1),DATA!$N:$N,"&lt;="&amp;DATE($I$2,L$4,L$5))</f>
        <v/>
      </c>
      <c r="M995" s="321">
        <f>SUMIFS(DATA!$M:$M,DATA!$C:$C,$B994,DATA!$N:$N,"&gt;="&amp;DATE($I$2,M$4,1),DATA!$N:$N,"&lt;="&amp;DATE($I$2,M$4,M$5))</f>
        <v/>
      </c>
      <c r="N995" s="321">
        <f>SUMIFS(DATA!$M:$M,DATA!$C:$C,$B994,DATA!$N:$N,"&gt;="&amp;DATE($I$2,N$4,1),DATA!$N:$N,"&lt;="&amp;DATE($I$2,N$4,N$5))</f>
        <v/>
      </c>
      <c r="O995" s="321">
        <f>SUMIFS(DATA!$M:$M,DATA!$C:$C,$B994,DATA!$N:$N,"&gt;="&amp;DATE($I$2,O$4,1),DATA!$N:$N,"&lt;="&amp;DATE($I$2,O$4,O$5))</f>
        <v/>
      </c>
      <c r="P995" s="322">
        <f>SUM(D995:O995)</f>
        <v/>
      </c>
    </row>
    <row r="996" hidden="1" outlineLevel="1" ht="15" customHeight="1">
      <c r="A996" s="269" t="n">
        <v>496</v>
      </c>
      <c r="B996" s="125" t="n"/>
      <c r="C996" s="119" t="inlineStr">
        <is>
          <t>Kế hoạch</t>
        </is>
      </c>
      <c r="D996" s="321">
        <f>SUMIFS(DATA!$I:$I,DATA!$C:$C,$B996,DATA!$J:$J,"&gt;="&amp;DATE($I$2,D$4,1),DATA!$J:$J,"&lt;="&amp;DATE($I$2,D$4,D$5))</f>
        <v/>
      </c>
      <c r="E996" s="321">
        <f>SUMIFS(DATA!$I:$I,DATA!$C:$C,$B996,DATA!$J:$J,"&gt;="&amp;DATE($I$2,E$4,1),DATA!$J:$J,"&lt;="&amp;DATE($I$2,E$4,E$5))</f>
        <v/>
      </c>
      <c r="F996" s="321">
        <f>SUMIFS(DATA!$I:$I,DATA!$C:$C,$B996,DATA!$J:$J,"&gt;="&amp;DATE($I$2,F$4,1),DATA!$J:$J,"&lt;="&amp;DATE($I$2,F$4,F$5))</f>
        <v/>
      </c>
      <c r="G996" s="321">
        <f>SUMIFS(DATA!$I:$I,DATA!$C:$C,$B996,DATA!$J:$J,"&gt;="&amp;DATE($I$2,G$4,1),DATA!$J:$J,"&lt;="&amp;DATE($I$2,G$4,G$5))</f>
        <v/>
      </c>
      <c r="H996" s="321">
        <f>SUMIFS(DATA!$I:$I,DATA!$C:$C,$B996,DATA!$J:$J,"&gt;="&amp;DATE($I$2,H$4,1),DATA!$J:$J,"&lt;="&amp;DATE($I$2,H$4,H$5))</f>
        <v/>
      </c>
      <c r="I996" s="321">
        <f>SUMIFS(DATA!$I:$I,DATA!$C:$C,$B996,DATA!$J:$J,"&gt;="&amp;DATE($I$2,I$4,1),DATA!$J:$J,"&lt;="&amp;DATE($I$2,I$4,I$5))</f>
        <v/>
      </c>
      <c r="J996" s="321">
        <f>SUMIFS(DATA!$I:$I,DATA!$C:$C,$B996,DATA!$J:$J,"&gt;="&amp;DATE($I$2,J$4,1),DATA!$J:$J,"&lt;="&amp;DATE($I$2,J$4,J$5))</f>
        <v/>
      </c>
      <c r="K996" s="321">
        <f>SUMIFS(DATA!$I:$I,DATA!$C:$C,$B996,DATA!$J:$J,"&gt;="&amp;DATE($I$2,K$4,1),DATA!$J:$J,"&lt;="&amp;DATE($I$2,K$4,K$5))</f>
        <v/>
      </c>
      <c r="L996" s="321">
        <f>SUMIFS(DATA!$I:$I,DATA!$C:$C,$B996,DATA!$J:$J,"&gt;="&amp;DATE($I$2,L$4,1),DATA!$J:$J,"&lt;="&amp;DATE($I$2,L$4,L$5))</f>
        <v/>
      </c>
      <c r="M996" s="321">
        <f>SUMIFS(DATA!$I:$I,DATA!$C:$C,$B996,DATA!$J:$J,"&gt;="&amp;DATE($I$2,M$4,1),DATA!$J:$J,"&lt;="&amp;DATE($I$2,M$4,M$5))</f>
        <v/>
      </c>
      <c r="N996" s="321">
        <f>SUMIFS(DATA!$I:$I,DATA!$C:$C,$B996,DATA!$J:$J,"&gt;="&amp;DATE($I$2,N$4,1),DATA!$J:$J,"&lt;="&amp;DATE($I$2,N$4,N$5))</f>
        <v/>
      </c>
      <c r="O996" s="321">
        <f>SUMIFS(DATA!$I:$I,DATA!$C:$C,$B996,DATA!$J:$J,"&gt;="&amp;DATE($I$2,O$4,1),DATA!$J:$J,"&lt;="&amp;DATE($I$2,O$4,O$5))</f>
        <v/>
      </c>
      <c r="P996" s="322">
        <f>SUM(D996:O996)</f>
        <v/>
      </c>
    </row>
    <row r="997" hidden="1" outlineLevel="1" ht="15" customHeight="1">
      <c r="A997" s="266" t="n"/>
      <c r="B997" s="126" t="n"/>
      <c r="C997" s="119" t="inlineStr">
        <is>
          <t>Thực tế</t>
        </is>
      </c>
      <c r="D997" s="321">
        <f>SUMIFS(DATA!$M:$M,DATA!$C:$C,$B996,DATA!$N:$N,"&gt;="&amp;DATE($I$2,D$4,1),DATA!$N:$N,"&lt;="&amp;DATE($I$2,D$4,D$5))</f>
        <v/>
      </c>
      <c r="E997" s="321">
        <f>SUMIFS(DATA!$M:$M,DATA!$C:$C,$B996,DATA!$N:$N,"&gt;="&amp;DATE($I$2,E$4,1),DATA!$N:$N,"&lt;="&amp;DATE($I$2,E$4,E$5))</f>
        <v/>
      </c>
      <c r="F997" s="321">
        <f>SUMIFS(DATA!$M:$M,DATA!$C:$C,$B996,DATA!$N:$N,"&gt;="&amp;DATE($I$2,F$4,1),DATA!$N:$N,"&lt;="&amp;DATE($I$2,F$4,F$5))</f>
        <v/>
      </c>
      <c r="G997" s="321">
        <f>SUMIFS(DATA!$M:$M,DATA!$C:$C,$B996,DATA!$N:$N,"&gt;="&amp;DATE($I$2,G$4,1),DATA!$N:$N,"&lt;="&amp;DATE($I$2,G$4,G$5))</f>
        <v/>
      </c>
      <c r="H997" s="321">
        <f>SUMIFS(DATA!$M:$M,DATA!$C:$C,$B996,DATA!$N:$N,"&gt;="&amp;DATE($I$2,H$4,1),DATA!$N:$N,"&lt;="&amp;DATE($I$2,H$4,H$5))</f>
        <v/>
      </c>
      <c r="I997" s="321">
        <f>SUMIFS(DATA!$M:$M,DATA!$C:$C,$B996,DATA!$N:$N,"&gt;="&amp;DATE($I$2,I$4,1),DATA!$N:$N,"&lt;="&amp;DATE($I$2,I$4,I$5))</f>
        <v/>
      </c>
      <c r="J997" s="321">
        <f>SUMIFS(DATA!$M:$M,DATA!$C:$C,$B996,DATA!$N:$N,"&gt;="&amp;DATE($I$2,J$4,1),DATA!$N:$N,"&lt;="&amp;DATE($I$2,J$4,J$5))</f>
        <v/>
      </c>
      <c r="K997" s="321">
        <f>SUMIFS(DATA!$M:$M,DATA!$C:$C,$B996,DATA!$N:$N,"&gt;="&amp;DATE($I$2,K$4,1),DATA!$N:$N,"&lt;="&amp;DATE($I$2,K$4,K$5))</f>
        <v/>
      </c>
      <c r="L997" s="321">
        <f>SUMIFS(DATA!$M:$M,DATA!$C:$C,$B996,DATA!$N:$N,"&gt;="&amp;DATE($I$2,L$4,1),DATA!$N:$N,"&lt;="&amp;DATE($I$2,L$4,L$5))</f>
        <v/>
      </c>
      <c r="M997" s="321">
        <f>SUMIFS(DATA!$M:$M,DATA!$C:$C,$B996,DATA!$N:$N,"&gt;="&amp;DATE($I$2,M$4,1),DATA!$N:$N,"&lt;="&amp;DATE($I$2,M$4,M$5))</f>
        <v/>
      </c>
      <c r="N997" s="321">
        <f>SUMIFS(DATA!$M:$M,DATA!$C:$C,$B996,DATA!$N:$N,"&gt;="&amp;DATE($I$2,N$4,1),DATA!$N:$N,"&lt;="&amp;DATE($I$2,N$4,N$5))</f>
        <v/>
      </c>
      <c r="O997" s="321">
        <f>SUMIFS(DATA!$M:$M,DATA!$C:$C,$B996,DATA!$N:$N,"&gt;="&amp;DATE($I$2,O$4,1),DATA!$N:$N,"&lt;="&amp;DATE($I$2,O$4,O$5))</f>
        <v/>
      </c>
      <c r="P997" s="322">
        <f>SUM(D997:O997)</f>
        <v/>
      </c>
    </row>
    <row r="998" hidden="1" outlineLevel="1" ht="15" customHeight="1">
      <c r="A998" s="269" t="n">
        <v>497</v>
      </c>
      <c r="B998" s="125" t="n"/>
      <c r="C998" s="119" t="inlineStr">
        <is>
          <t>Kế hoạch</t>
        </is>
      </c>
      <c r="D998" s="321">
        <f>SUMIFS(DATA!$I:$I,DATA!$C:$C,$B998,DATA!$J:$J,"&gt;="&amp;DATE($I$2,D$4,1),DATA!$J:$J,"&lt;="&amp;DATE($I$2,D$4,D$5))</f>
        <v/>
      </c>
      <c r="E998" s="321">
        <f>SUMIFS(DATA!$I:$I,DATA!$C:$C,$B998,DATA!$J:$J,"&gt;="&amp;DATE($I$2,E$4,1),DATA!$J:$J,"&lt;="&amp;DATE($I$2,E$4,E$5))</f>
        <v/>
      </c>
      <c r="F998" s="321">
        <f>SUMIFS(DATA!$I:$I,DATA!$C:$C,$B998,DATA!$J:$J,"&gt;="&amp;DATE($I$2,F$4,1),DATA!$J:$J,"&lt;="&amp;DATE($I$2,F$4,F$5))</f>
        <v/>
      </c>
      <c r="G998" s="321">
        <f>SUMIFS(DATA!$I:$I,DATA!$C:$C,$B998,DATA!$J:$J,"&gt;="&amp;DATE($I$2,G$4,1),DATA!$J:$J,"&lt;="&amp;DATE($I$2,G$4,G$5))</f>
        <v/>
      </c>
      <c r="H998" s="321">
        <f>SUMIFS(DATA!$I:$I,DATA!$C:$C,$B998,DATA!$J:$J,"&gt;="&amp;DATE($I$2,H$4,1),DATA!$J:$J,"&lt;="&amp;DATE($I$2,H$4,H$5))</f>
        <v/>
      </c>
      <c r="I998" s="321">
        <f>SUMIFS(DATA!$I:$I,DATA!$C:$C,$B998,DATA!$J:$J,"&gt;="&amp;DATE($I$2,I$4,1),DATA!$J:$J,"&lt;="&amp;DATE($I$2,I$4,I$5))</f>
        <v/>
      </c>
      <c r="J998" s="321">
        <f>SUMIFS(DATA!$I:$I,DATA!$C:$C,$B998,DATA!$J:$J,"&gt;="&amp;DATE($I$2,J$4,1),DATA!$J:$J,"&lt;="&amp;DATE($I$2,J$4,J$5))</f>
        <v/>
      </c>
      <c r="K998" s="321">
        <f>SUMIFS(DATA!$I:$I,DATA!$C:$C,$B998,DATA!$J:$J,"&gt;="&amp;DATE($I$2,K$4,1),DATA!$J:$J,"&lt;="&amp;DATE($I$2,K$4,K$5))</f>
        <v/>
      </c>
      <c r="L998" s="321">
        <f>SUMIFS(DATA!$I:$I,DATA!$C:$C,$B998,DATA!$J:$J,"&gt;="&amp;DATE($I$2,L$4,1),DATA!$J:$J,"&lt;="&amp;DATE($I$2,L$4,L$5))</f>
        <v/>
      </c>
      <c r="M998" s="321">
        <f>SUMIFS(DATA!$I:$I,DATA!$C:$C,$B998,DATA!$J:$J,"&gt;="&amp;DATE($I$2,M$4,1),DATA!$J:$J,"&lt;="&amp;DATE($I$2,M$4,M$5))</f>
        <v/>
      </c>
      <c r="N998" s="321">
        <f>SUMIFS(DATA!$I:$I,DATA!$C:$C,$B998,DATA!$J:$J,"&gt;="&amp;DATE($I$2,N$4,1),DATA!$J:$J,"&lt;="&amp;DATE($I$2,N$4,N$5))</f>
        <v/>
      </c>
      <c r="O998" s="321">
        <f>SUMIFS(DATA!$I:$I,DATA!$C:$C,$B998,DATA!$J:$J,"&gt;="&amp;DATE($I$2,O$4,1),DATA!$J:$J,"&lt;="&amp;DATE($I$2,O$4,O$5))</f>
        <v/>
      </c>
      <c r="P998" s="322">
        <f>SUM(D998:O998)</f>
        <v/>
      </c>
    </row>
    <row r="999" hidden="1" outlineLevel="1" ht="15" customHeight="1">
      <c r="A999" s="266" t="n"/>
      <c r="B999" s="126" t="n"/>
      <c r="C999" s="119" t="inlineStr">
        <is>
          <t>Thực tế</t>
        </is>
      </c>
      <c r="D999" s="321">
        <f>SUMIFS(DATA!$M:$M,DATA!$C:$C,$B998,DATA!$N:$N,"&gt;="&amp;DATE($I$2,D$4,1),DATA!$N:$N,"&lt;="&amp;DATE($I$2,D$4,D$5))</f>
        <v/>
      </c>
      <c r="E999" s="321">
        <f>SUMIFS(DATA!$M:$M,DATA!$C:$C,$B998,DATA!$N:$N,"&gt;="&amp;DATE($I$2,E$4,1),DATA!$N:$N,"&lt;="&amp;DATE($I$2,E$4,E$5))</f>
        <v/>
      </c>
      <c r="F999" s="321">
        <f>SUMIFS(DATA!$M:$M,DATA!$C:$C,$B998,DATA!$N:$N,"&gt;="&amp;DATE($I$2,F$4,1),DATA!$N:$N,"&lt;="&amp;DATE($I$2,F$4,F$5))</f>
        <v/>
      </c>
      <c r="G999" s="321">
        <f>SUMIFS(DATA!$M:$M,DATA!$C:$C,$B998,DATA!$N:$N,"&gt;="&amp;DATE($I$2,G$4,1),DATA!$N:$N,"&lt;="&amp;DATE($I$2,G$4,G$5))</f>
        <v/>
      </c>
      <c r="H999" s="321">
        <f>SUMIFS(DATA!$M:$M,DATA!$C:$C,$B998,DATA!$N:$N,"&gt;="&amp;DATE($I$2,H$4,1),DATA!$N:$N,"&lt;="&amp;DATE($I$2,H$4,H$5))</f>
        <v/>
      </c>
      <c r="I999" s="321">
        <f>SUMIFS(DATA!$M:$M,DATA!$C:$C,$B998,DATA!$N:$N,"&gt;="&amp;DATE($I$2,I$4,1),DATA!$N:$N,"&lt;="&amp;DATE($I$2,I$4,I$5))</f>
        <v/>
      </c>
      <c r="J999" s="321">
        <f>SUMIFS(DATA!$M:$M,DATA!$C:$C,$B998,DATA!$N:$N,"&gt;="&amp;DATE($I$2,J$4,1),DATA!$N:$N,"&lt;="&amp;DATE($I$2,J$4,J$5))</f>
        <v/>
      </c>
      <c r="K999" s="321">
        <f>SUMIFS(DATA!$M:$M,DATA!$C:$C,$B998,DATA!$N:$N,"&gt;="&amp;DATE($I$2,K$4,1),DATA!$N:$N,"&lt;="&amp;DATE($I$2,K$4,K$5))</f>
        <v/>
      </c>
      <c r="L999" s="321">
        <f>SUMIFS(DATA!$M:$M,DATA!$C:$C,$B998,DATA!$N:$N,"&gt;="&amp;DATE($I$2,L$4,1),DATA!$N:$N,"&lt;="&amp;DATE($I$2,L$4,L$5))</f>
        <v/>
      </c>
      <c r="M999" s="321">
        <f>SUMIFS(DATA!$M:$M,DATA!$C:$C,$B998,DATA!$N:$N,"&gt;="&amp;DATE($I$2,M$4,1),DATA!$N:$N,"&lt;="&amp;DATE($I$2,M$4,M$5))</f>
        <v/>
      </c>
      <c r="N999" s="321">
        <f>SUMIFS(DATA!$M:$M,DATA!$C:$C,$B998,DATA!$N:$N,"&gt;="&amp;DATE($I$2,N$4,1),DATA!$N:$N,"&lt;="&amp;DATE($I$2,N$4,N$5))</f>
        <v/>
      </c>
      <c r="O999" s="321">
        <f>SUMIFS(DATA!$M:$M,DATA!$C:$C,$B998,DATA!$N:$N,"&gt;="&amp;DATE($I$2,O$4,1),DATA!$N:$N,"&lt;="&amp;DATE($I$2,O$4,O$5))</f>
        <v/>
      </c>
      <c r="P999" s="322">
        <f>SUM(D999:O999)</f>
        <v/>
      </c>
    </row>
    <row r="1000" hidden="1" outlineLevel="1" ht="15" customHeight="1">
      <c r="A1000" s="269" t="n">
        <v>498</v>
      </c>
      <c r="B1000" s="125" t="n"/>
      <c r="C1000" s="119" t="inlineStr">
        <is>
          <t>Kế hoạch</t>
        </is>
      </c>
      <c r="D1000" s="321">
        <f>SUMIFS(DATA!$I:$I,DATA!$C:$C,$B1000,DATA!$J:$J,"&gt;="&amp;DATE($I$2,D$4,1),DATA!$J:$J,"&lt;="&amp;DATE($I$2,D$4,D$5))</f>
        <v/>
      </c>
      <c r="E1000" s="321">
        <f>SUMIFS(DATA!$I:$I,DATA!$C:$C,$B1000,DATA!$J:$J,"&gt;="&amp;DATE($I$2,E$4,1),DATA!$J:$J,"&lt;="&amp;DATE($I$2,E$4,E$5))</f>
        <v/>
      </c>
      <c r="F1000" s="321">
        <f>SUMIFS(DATA!$I:$I,DATA!$C:$C,$B1000,DATA!$J:$J,"&gt;="&amp;DATE($I$2,F$4,1),DATA!$J:$J,"&lt;="&amp;DATE($I$2,F$4,F$5))</f>
        <v/>
      </c>
      <c r="G1000" s="321">
        <f>SUMIFS(DATA!$I:$I,DATA!$C:$C,$B1000,DATA!$J:$J,"&gt;="&amp;DATE($I$2,G$4,1),DATA!$J:$J,"&lt;="&amp;DATE($I$2,G$4,G$5))</f>
        <v/>
      </c>
      <c r="H1000" s="321">
        <f>SUMIFS(DATA!$I:$I,DATA!$C:$C,$B1000,DATA!$J:$J,"&gt;="&amp;DATE($I$2,H$4,1),DATA!$J:$J,"&lt;="&amp;DATE($I$2,H$4,H$5))</f>
        <v/>
      </c>
      <c r="I1000" s="321">
        <f>SUMIFS(DATA!$I:$I,DATA!$C:$C,$B1000,DATA!$J:$J,"&gt;="&amp;DATE($I$2,I$4,1),DATA!$J:$J,"&lt;="&amp;DATE($I$2,I$4,I$5))</f>
        <v/>
      </c>
      <c r="J1000" s="321">
        <f>SUMIFS(DATA!$I:$I,DATA!$C:$C,$B1000,DATA!$J:$J,"&gt;="&amp;DATE($I$2,J$4,1),DATA!$J:$J,"&lt;="&amp;DATE($I$2,J$4,J$5))</f>
        <v/>
      </c>
      <c r="K1000" s="321">
        <f>SUMIFS(DATA!$I:$I,DATA!$C:$C,$B1000,DATA!$J:$J,"&gt;="&amp;DATE($I$2,K$4,1),DATA!$J:$J,"&lt;="&amp;DATE($I$2,K$4,K$5))</f>
        <v/>
      </c>
      <c r="L1000" s="321">
        <f>SUMIFS(DATA!$I:$I,DATA!$C:$C,$B1000,DATA!$J:$J,"&gt;="&amp;DATE($I$2,L$4,1),DATA!$J:$J,"&lt;="&amp;DATE($I$2,L$4,L$5))</f>
        <v/>
      </c>
      <c r="M1000" s="321">
        <f>SUMIFS(DATA!$I:$I,DATA!$C:$C,$B1000,DATA!$J:$J,"&gt;="&amp;DATE($I$2,M$4,1),DATA!$J:$J,"&lt;="&amp;DATE($I$2,M$4,M$5))</f>
        <v/>
      </c>
      <c r="N1000" s="321">
        <f>SUMIFS(DATA!$I:$I,DATA!$C:$C,$B1000,DATA!$J:$J,"&gt;="&amp;DATE($I$2,N$4,1),DATA!$J:$J,"&lt;="&amp;DATE($I$2,N$4,N$5))</f>
        <v/>
      </c>
      <c r="O1000" s="321">
        <f>SUMIFS(DATA!$I:$I,DATA!$C:$C,$B1000,DATA!$J:$J,"&gt;="&amp;DATE($I$2,O$4,1),DATA!$J:$J,"&lt;="&amp;DATE($I$2,O$4,O$5))</f>
        <v/>
      </c>
      <c r="P1000" s="322">
        <f>SUM(D1000:O1000)</f>
        <v/>
      </c>
    </row>
    <row r="1001" hidden="1" outlineLevel="1" ht="15" customHeight="1">
      <c r="A1001" s="266" t="n"/>
      <c r="B1001" s="126" t="n"/>
      <c r="C1001" s="119" t="inlineStr">
        <is>
          <t>Thực tế</t>
        </is>
      </c>
      <c r="D1001" s="321">
        <f>SUMIFS(DATA!$M:$M,DATA!$C:$C,$B1000,DATA!$N:$N,"&gt;="&amp;DATE($I$2,D$4,1),DATA!$N:$N,"&lt;="&amp;DATE($I$2,D$4,D$5))</f>
        <v/>
      </c>
      <c r="E1001" s="321">
        <f>SUMIFS(DATA!$M:$M,DATA!$C:$C,$B1000,DATA!$N:$N,"&gt;="&amp;DATE($I$2,E$4,1),DATA!$N:$N,"&lt;="&amp;DATE($I$2,E$4,E$5))</f>
        <v/>
      </c>
      <c r="F1001" s="321">
        <f>SUMIFS(DATA!$M:$M,DATA!$C:$C,$B1000,DATA!$N:$N,"&gt;="&amp;DATE($I$2,F$4,1),DATA!$N:$N,"&lt;="&amp;DATE($I$2,F$4,F$5))</f>
        <v/>
      </c>
      <c r="G1001" s="321">
        <f>SUMIFS(DATA!$M:$M,DATA!$C:$C,$B1000,DATA!$N:$N,"&gt;="&amp;DATE($I$2,G$4,1),DATA!$N:$N,"&lt;="&amp;DATE($I$2,G$4,G$5))</f>
        <v/>
      </c>
      <c r="H1001" s="321">
        <f>SUMIFS(DATA!$M:$M,DATA!$C:$C,$B1000,DATA!$N:$N,"&gt;="&amp;DATE($I$2,H$4,1),DATA!$N:$N,"&lt;="&amp;DATE($I$2,H$4,H$5))</f>
        <v/>
      </c>
      <c r="I1001" s="321">
        <f>SUMIFS(DATA!$M:$M,DATA!$C:$C,$B1000,DATA!$N:$N,"&gt;="&amp;DATE($I$2,I$4,1),DATA!$N:$N,"&lt;="&amp;DATE($I$2,I$4,I$5))</f>
        <v/>
      </c>
      <c r="J1001" s="321">
        <f>SUMIFS(DATA!$M:$M,DATA!$C:$C,$B1000,DATA!$N:$N,"&gt;="&amp;DATE($I$2,J$4,1),DATA!$N:$N,"&lt;="&amp;DATE($I$2,J$4,J$5))</f>
        <v/>
      </c>
      <c r="K1001" s="321">
        <f>SUMIFS(DATA!$M:$M,DATA!$C:$C,$B1000,DATA!$N:$N,"&gt;="&amp;DATE($I$2,K$4,1),DATA!$N:$N,"&lt;="&amp;DATE($I$2,K$4,K$5))</f>
        <v/>
      </c>
      <c r="L1001" s="321">
        <f>SUMIFS(DATA!$M:$M,DATA!$C:$C,$B1000,DATA!$N:$N,"&gt;="&amp;DATE($I$2,L$4,1),DATA!$N:$N,"&lt;="&amp;DATE($I$2,L$4,L$5))</f>
        <v/>
      </c>
      <c r="M1001" s="321">
        <f>SUMIFS(DATA!$M:$M,DATA!$C:$C,$B1000,DATA!$N:$N,"&gt;="&amp;DATE($I$2,M$4,1),DATA!$N:$N,"&lt;="&amp;DATE($I$2,M$4,M$5))</f>
        <v/>
      </c>
      <c r="N1001" s="321">
        <f>SUMIFS(DATA!$M:$M,DATA!$C:$C,$B1000,DATA!$N:$N,"&gt;="&amp;DATE($I$2,N$4,1),DATA!$N:$N,"&lt;="&amp;DATE($I$2,N$4,N$5))</f>
        <v/>
      </c>
      <c r="O1001" s="321">
        <f>SUMIFS(DATA!$M:$M,DATA!$C:$C,$B1000,DATA!$N:$N,"&gt;="&amp;DATE($I$2,O$4,1),DATA!$N:$N,"&lt;="&amp;DATE($I$2,O$4,O$5))</f>
        <v/>
      </c>
      <c r="P1001" s="322">
        <f>SUM(D1001:O1001)</f>
        <v/>
      </c>
    </row>
    <row r="1002" hidden="1" outlineLevel="1" ht="15" customHeight="1">
      <c r="A1002" s="269" t="n">
        <v>499</v>
      </c>
      <c r="B1002" s="125" t="n"/>
      <c r="C1002" s="119" t="inlineStr">
        <is>
          <t>Kế hoạch</t>
        </is>
      </c>
      <c r="D1002" s="321">
        <f>SUMIFS(DATA!$I:$I,DATA!$C:$C,$B1002,DATA!$J:$J,"&gt;="&amp;DATE($I$2,D$4,1),DATA!$J:$J,"&lt;="&amp;DATE($I$2,D$4,D$5))</f>
        <v/>
      </c>
      <c r="E1002" s="321">
        <f>SUMIFS(DATA!$I:$I,DATA!$C:$C,$B1002,DATA!$J:$J,"&gt;="&amp;DATE($I$2,E$4,1),DATA!$J:$J,"&lt;="&amp;DATE($I$2,E$4,E$5))</f>
        <v/>
      </c>
      <c r="F1002" s="321">
        <f>SUMIFS(DATA!$I:$I,DATA!$C:$C,$B1002,DATA!$J:$J,"&gt;="&amp;DATE($I$2,F$4,1),DATA!$J:$J,"&lt;="&amp;DATE($I$2,F$4,F$5))</f>
        <v/>
      </c>
      <c r="G1002" s="321">
        <f>SUMIFS(DATA!$I:$I,DATA!$C:$C,$B1002,DATA!$J:$J,"&gt;="&amp;DATE($I$2,G$4,1),DATA!$J:$J,"&lt;="&amp;DATE($I$2,G$4,G$5))</f>
        <v/>
      </c>
      <c r="H1002" s="321">
        <f>SUMIFS(DATA!$I:$I,DATA!$C:$C,$B1002,DATA!$J:$J,"&gt;="&amp;DATE($I$2,H$4,1),DATA!$J:$J,"&lt;="&amp;DATE($I$2,H$4,H$5))</f>
        <v/>
      </c>
      <c r="I1002" s="321">
        <f>SUMIFS(DATA!$I:$I,DATA!$C:$C,$B1002,DATA!$J:$J,"&gt;="&amp;DATE($I$2,I$4,1),DATA!$J:$J,"&lt;="&amp;DATE($I$2,I$4,I$5))</f>
        <v/>
      </c>
      <c r="J1002" s="321">
        <f>SUMIFS(DATA!$I:$I,DATA!$C:$C,$B1002,DATA!$J:$J,"&gt;="&amp;DATE($I$2,J$4,1),DATA!$J:$J,"&lt;="&amp;DATE($I$2,J$4,J$5))</f>
        <v/>
      </c>
      <c r="K1002" s="321">
        <f>SUMIFS(DATA!$I:$I,DATA!$C:$C,$B1002,DATA!$J:$J,"&gt;="&amp;DATE($I$2,K$4,1),DATA!$J:$J,"&lt;="&amp;DATE($I$2,K$4,K$5))</f>
        <v/>
      </c>
      <c r="L1002" s="321">
        <f>SUMIFS(DATA!$I:$I,DATA!$C:$C,$B1002,DATA!$J:$J,"&gt;="&amp;DATE($I$2,L$4,1),DATA!$J:$J,"&lt;="&amp;DATE($I$2,L$4,L$5))</f>
        <v/>
      </c>
      <c r="M1002" s="321">
        <f>SUMIFS(DATA!$I:$I,DATA!$C:$C,$B1002,DATA!$J:$J,"&gt;="&amp;DATE($I$2,M$4,1),DATA!$J:$J,"&lt;="&amp;DATE($I$2,M$4,M$5))</f>
        <v/>
      </c>
      <c r="N1002" s="321">
        <f>SUMIFS(DATA!$I:$I,DATA!$C:$C,$B1002,DATA!$J:$J,"&gt;="&amp;DATE($I$2,N$4,1),DATA!$J:$J,"&lt;="&amp;DATE($I$2,N$4,N$5))</f>
        <v/>
      </c>
      <c r="O1002" s="321">
        <f>SUMIFS(DATA!$I:$I,DATA!$C:$C,$B1002,DATA!$J:$J,"&gt;="&amp;DATE($I$2,O$4,1),DATA!$J:$J,"&lt;="&amp;DATE($I$2,O$4,O$5))</f>
        <v/>
      </c>
      <c r="P1002" s="322">
        <f>SUM(D1002:O1002)</f>
        <v/>
      </c>
    </row>
    <row r="1003" hidden="1" outlineLevel="1" ht="15" customHeight="1">
      <c r="A1003" s="266" t="n"/>
      <c r="B1003" s="126" t="n"/>
      <c r="C1003" s="119" t="inlineStr">
        <is>
          <t>Thực tế</t>
        </is>
      </c>
      <c r="D1003" s="321">
        <f>SUMIFS(DATA!$M:$M,DATA!$C:$C,$B1002,DATA!$N:$N,"&gt;="&amp;DATE($I$2,D$4,1),DATA!$N:$N,"&lt;="&amp;DATE($I$2,D$4,D$5))</f>
        <v/>
      </c>
      <c r="E1003" s="321">
        <f>SUMIFS(DATA!$M:$M,DATA!$C:$C,$B1002,DATA!$N:$N,"&gt;="&amp;DATE($I$2,E$4,1),DATA!$N:$N,"&lt;="&amp;DATE($I$2,E$4,E$5))</f>
        <v/>
      </c>
      <c r="F1003" s="321">
        <f>SUMIFS(DATA!$M:$M,DATA!$C:$C,$B1002,DATA!$N:$N,"&gt;="&amp;DATE($I$2,F$4,1),DATA!$N:$N,"&lt;="&amp;DATE($I$2,F$4,F$5))</f>
        <v/>
      </c>
      <c r="G1003" s="321">
        <f>SUMIFS(DATA!$M:$M,DATA!$C:$C,$B1002,DATA!$N:$N,"&gt;="&amp;DATE($I$2,G$4,1),DATA!$N:$N,"&lt;="&amp;DATE($I$2,G$4,G$5))</f>
        <v/>
      </c>
      <c r="H1003" s="321">
        <f>SUMIFS(DATA!$M:$M,DATA!$C:$C,$B1002,DATA!$N:$N,"&gt;="&amp;DATE($I$2,H$4,1),DATA!$N:$N,"&lt;="&amp;DATE($I$2,H$4,H$5))</f>
        <v/>
      </c>
      <c r="I1003" s="321">
        <f>SUMIFS(DATA!$M:$M,DATA!$C:$C,$B1002,DATA!$N:$N,"&gt;="&amp;DATE($I$2,I$4,1),DATA!$N:$N,"&lt;="&amp;DATE($I$2,I$4,I$5))</f>
        <v/>
      </c>
      <c r="J1003" s="321">
        <f>SUMIFS(DATA!$M:$M,DATA!$C:$C,$B1002,DATA!$N:$N,"&gt;="&amp;DATE($I$2,J$4,1),DATA!$N:$N,"&lt;="&amp;DATE($I$2,J$4,J$5))</f>
        <v/>
      </c>
      <c r="K1003" s="321">
        <f>SUMIFS(DATA!$M:$M,DATA!$C:$C,$B1002,DATA!$N:$N,"&gt;="&amp;DATE($I$2,K$4,1),DATA!$N:$N,"&lt;="&amp;DATE($I$2,K$4,K$5))</f>
        <v/>
      </c>
      <c r="L1003" s="321">
        <f>SUMIFS(DATA!$M:$M,DATA!$C:$C,$B1002,DATA!$N:$N,"&gt;="&amp;DATE($I$2,L$4,1),DATA!$N:$N,"&lt;="&amp;DATE($I$2,L$4,L$5))</f>
        <v/>
      </c>
      <c r="M1003" s="321">
        <f>SUMIFS(DATA!$M:$M,DATA!$C:$C,$B1002,DATA!$N:$N,"&gt;="&amp;DATE($I$2,M$4,1),DATA!$N:$N,"&lt;="&amp;DATE($I$2,M$4,M$5))</f>
        <v/>
      </c>
      <c r="N1003" s="321">
        <f>SUMIFS(DATA!$M:$M,DATA!$C:$C,$B1002,DATA!$N:$N,"&gt;="&amp;DATE($I$2,N$4,1),DATA!$N:$N,"&lt;="&amp;DATE($I$2,N$4,N$5))</f>
        <v/>
      </c>
      <c r="O1003" s="321">
        <f>SUMIFS(DATA!$M:$M,DATA!$C:$C,$B1002,DATA!$N:$N,"&gt;="&amp;DATE($I$2,O$4,1),DATA!$N:$N,"&lt;="&amp;DATE($I$2,O$4,O$5))</f>
        <v/>
      </c>
      <c r="P1003" s="322">
        <f>SUM(D1003:O1003)</f>
        <v/>
      </c>
    </row>
    <row r="1004" hidden="1" outlineLevel="1" ht="15" customHeight="1">
      <c r="A1004" s="269" t="n">
        <v>500</v>
      </c>
      <c r="B1004" s="125" t="n"/>
      <c r="C1004" s="119" t="inlineStr">
        <is>
          <t>Kế hoạch</t>
        </is>
      </c>
      <c r="D1004" s="321">
        <f>SUMIFS(DATA!$I:$I,DATA!$C:$C,$B1004,DATA!$J:$J,"&gt;="&amp;DATE($I$2,D$4,1),DATA!$J:$J,"&lt;="&amp;DATE($I$2,D$4,D$5))</f>
        <v/>
      </c>
      <c r="E1004" s="321">
        <f>SUMIFS(DATA!$I:$I,DATA!$C:$C,$B1004,DATA!$J:$J,"&gt;="&amp;DATE($I$2,E$4,1),DATA!$J:$J,"&lt;="&amp;DATE($I$2,E$4,E$5))</f>
        <v/>
      </c>
      <c r="F1004" s="321">
        <f>SUMIFS(DATA!$I:$I,DATA!$C:$C,$B1004,DATA!$J:$J,"&gt;="&amp;DATE($I$2,F$4,1),DATA!$J:$J,"&lt;="&amp;DATE($I$2,F$4,F$5))</f>
        <v/>
      </c>
      <c r="G1004" s="321">
        <f>SUMIFS(DATA!$I:$I,DATA!$C:$C,$B1004,DATA!$J:$J,"&gt;="&amp;DATE($I$2,G$4,1),DATA!$J:$J,"&lt;="&amp;DATE($I$2,G$4,G$5))</f>
        <v/>
      </c>
      <c r="H1004" s="321">
        <f>SUMIFS(DATA!$I:$I,DATA!$C:$C,$B1004,DATA!$J:$J,"&gt;="&amp;DATE($I$2,H$4,1),DATA!$J:$J,"&lt;="&amp;DATE($I$2,H$4,H$5))</f>
        <v/>
      </c>
      <c r="I1004" s="321">
        <f>SUMIFS(DATA!$I:$I,DATA!$C:$C,$B1004,DATA!$J:$J,"&gt;="&amp;DATE($I$2,I$4,1),DATA!$J:$J,"&lt;="&amp;DATE($I$2,I$4,I$5))</f>
        <v/>
      </c>
      <c r="J1004" s="321">
        <f>SUMIFS(DATA!$I:$I,DATA!$C:$C,$B1004,DATA!$J:$J,"&gt;="&amp;DATE($I$2,J$4,1),DATA!$J:$J,"&lt;="&amp;DATE($I$2,J$4,J$5))</f>
        <v/>
      </c>
      <c r="K1004" s="321">
        <f>SUMIFS(DATA!$I:$I,DATA!$C:$C,$B1004,DATA!$J:$J,"&gt;="&amp;DATE($I$2,K$4,1),DATA!$J:$J,"&lt;="&amp;DATE($I$2,K$4,K$5))</f>
        <v/>
      </c>
      <c r="L1004" s="321">
        <f>SUMIFS(DATA!$I:$I,DATA!$C:$C,$B1004,DATA!$J:$J,"&gt;="&amp;DATE($I$2,L$4,1),DATA!$J:$J,"&lt;="&amp;DATE($I$2,L$4,L$5))</f>
        <v/>
      </c>
      <c r="M1004" s="321">
        <f>SUMIFS(DATA!$I:$I,DATA!$C:$C,$B1004,DATA!$J:$J,"&gt;="&amp;DATE($I$2,M$4,1),DATA!$J:$J,"&lt;="&amp;DATE($I$2,M$4,M$5))</f>
        <v/>
      </c>
      <c r="N1004" s="321">
        <f>SUMIFS(DATA!$I:$I,DATA!$C:$C,$B1004,DATA!$J:$J,"&gt;="&amp;DATE($I$2,N$4,1),DATA!$J:$J,"&lt;="&amp;DATE($I$2,N$4,N$5))</f>
        <v/>
      </c>
      <c r="O1004" s="321">
        <f>SUMIFS(DATA!$I:$I,DATA!$C:$C,$B1004,DATA!$J:$J,"&gt;="&amp;DATE($I$2,O$4,1),DATA!$J:$J,"&lt;="&amp;DATE($I$2,O$4,O$5))</f>
        <v/>
      </c>
      <c r="P1004" s="322">
        <f>SUM(D1004:O1004)</f>
        <v/>
      </c>
    </row>
    <row r="1005" hidden="1" outlineLevel="1" ht="15" customHeight="1">
      <c r="A1005" s="266" t="n"/>
      <c r="B1005" s="126" t="n"/>
      <c r="C1005" s="119" t="inlineStr">
        <is>
          <t>Thực tế</t>
        </is>
      </c>
      <c r="D1005" s="321">
        <f>SUMIFS(DATA!$M:$M,DATA!$C:$C,$B1004,DATA!$N:$N,"&gt;="&amp;DATE($I$2,D$4,1),DATA!$N:$N,"&lt;="&amp;DATE($I$2,D$4,D$5))</f>
        <v/>
      </c>
      <c r="E1005" s="321">
        <f>SUMIFS(DATA!$M:$M,DATA!$C:$C,$B1004,DATA!$N:$N,"&gt;="&amp;DATE($I$2,E$4,1),DATA!$N:$N,"&lt;="&amp;DATE($I$2,E$4,E$5))</f>
        <v/>
      </c>
      <c r="F1005" s="321">
        <f>SUMIFS(DATA!$M:$M,DATA!$C:$C,$B1004,DATA!$N:$N,"&gt;="&amp;DATE($I$2,F$4,1),DATA!$N:$N,"&lt;="&amp;DATE($I$2,F$4,F$5))</f>
        <v/>
      </c>
      <c r="G1005" s="321">
        <f>SUMIFS(DATA!$M:$M,DATA!$C:$C,$B1004,DATA!$N:$N,"&gt;="&amp;DATE($I$2,G$4,1),DATA!$N:$N,"&lt;="&amp;DATE($I$2,G$4,G$5))</f>
        <v/>
      </c>
      <c r="H1005" s="321">
        <f>SUMIFS(DATA!$M:$M,DATA!$C:$C,$B1004,DATA!$N:$N,"&gt;="&amp;DATE($I$2,H$4,1),DATA!$N:$N,"&lt;="&amp;DATE($I$2,H$4,H$5))</f>
        <v/>
      </c>
      <c r="I1005" s="321">
        <f>SUMIFS(DATA!$M:$M,DATA!$C:$C,$B1004,DATA!$N:$N,"&gt;="&amp;DATE($I$2,I$4,1),DATA!$N:$N,"&lt;="&amp;DATE($I$2,I$4,I$5))</f>
        <v/>
      </c>
      <c r="J1005" s="321">
        <f>SUMIFS(DATA!$M:$M,DATA!$C:$C,$B1004,DATA!$N:$N,"&gt;="&amp;DATE($I$2,J$4,1),DATA!$N:$N,"&lt;="&amp;DATE($I$2,J$4,J$5))</f>
        <v/>
      </c>
      <c r="K1005" s="321">
        <f>SUMIFS(DATA!$M:$M,DATA!$C:$C,$B1004,DATA!$N:$N,"&gt;="&amp;DATE($I$2,K$4,1),DATA!$N:$N,"&lt;="&amp;DATE($I$2,K$4,K$5))</f>
        <v/>
      </c>
      <c r="L1005" s="321">
        <f>SUMIFS(DATA!$M:$M,DATA!$C:$C,$B1004,DATA!$N:$N,"&gt;="&amp;DATE($I$2,L$4,1),DATA!$N:$N,"&lt;="&amp;DATE($I$2,L$4,L$5))</f>
        <v/>
      </c>
      <c r="M1005" s="321">
        <f>SUMIFS(DATA!$M:$M,DATA!$C:$C,$B1004,DATA!$N:$N,"&gt;="&amp;DATE($I$2,M$4,1),DATA!$N:$N,"&lt;="&amp;DATE($I$2,M$4,M$5))</f>
        <v/>
      </c>
      <c r="N1005" s="321">
        <f>SUMIFS(DATA!$M:$M,DATA!$C:$C,$B1004,DATA!$N:$N,"&gt;="&amp;DATE($I$2,N$4,1),DATA!$N:$N,"&lt;="&amp;DATE($I$2,N$4,N$5))</f>
        <v/>
      </c>
      <c r="O1005" s="321">
        <f>SUMIFS(DATA!$M:$M,DATA!$C:$C,$B1004,DATA!$N:$N,"&gt;="&amp;DATE($I$2,O$4,1),DATA!$N:$N,"&lt;="&amp;DATE($I$2,O$4,O$5))</f>
        <v/>
      </c>
      <c r="P1005" s="322">
        <f>SUM(D1005:O1005)</f>
        <v/>
      </c>
    </row>
    <row r="1006" collapsed="1" ht="15" customHeight="1">
      <c r="A1006" s="270" t="inlineStr">
        <is>
          <t>Tổng cộng
Grand total:</t>
        </is>
      </c>
      <c r="B1006" s="271" t="n"/>
      <c r="C1006" s="120" t="inlineStr">
        <is>
          <t>Kế hoạch</t>
        </is>
      </c>
      <c r="D1006" s="323">
        <f>SUMIF($C6:$C1005,"Kế hoạch",D6:D1005)</f>
        <v/>
      </c>
      <c r="E1006" s="323">
        <f>SUMIF($C6:$C1005,"Kế hoạch",E6:E1005)</f>
        <v/>
      </c>
      <c r="F1006" s="323">
        <f>SUMIF($C6:$C1005,"Kế hoạch",F6:F1005)</f>
        <v/>
      </c>
      <c r="G1006" s="323">
        <f>SUMIF($C6:$C1005,"Kế hoạch",G6:G1005)</f>
        <v/>
      </c>
      <c r="H1006" s="323">
        <f>SUMIF($C6:$C1005,"Kế hoạch",H6:H1005)</f>
        <v/>
      </c>
      <c r="I1006" s="323">
        <f>SUMIF($C6:$C1005,"Kế hoạch",I6:I1005)</f>
        <v/>
      </c>
      <c r="J1006" s="323">
        <f>SUMIF($C6:$C1005,"Kế hoạch",J6:J1005)</f>
        <v/>
      </c>
      <c r="K1006" s="323">
        <f>SUMIF($C6:$C1005,"Kế hoạch",K6:K1005)</f>
        <v/>
      </c>
      <c r="L1006" s="323">
        <f>SUMIF($C6:$C1005,"Kế hoạch",L6:L1005)</f>
        <v/>
      </c>
      <c r="M1006" s="323">
        <f>SUMIF($C6:$C1005,"Kế hoạch",M6:M1005)</f>
        <v/>
      </c>
      <c r="N1006" s="323">
        <f>SUMIF($C6:$C1005,"Kế hoạch",N6:N1005)</f>
        <v/>
      </c>
      <c r="O1006" s="323">
        <f>SUMIF($C6:$C1005,"Kế hoạch",O6:O1005)</f>
        <v/>
      </c>
      <c r="P1006" s="324">
        <f>SUM(D1006:O1006)</f>
        <v/>
      </c>
    </row>
    <row r="1007" ht="15" customHeight="1">
      <c r="A1007" s="272" t="n"/>
      <c r="B1007" s="273" t="n"/>
      <c r="C1007" s="121" t="inlineStr">
        <is>
          <t>MS</t>
        </is>
      </c>
      <c r="D1007" s="325">
        <f>SUMIFS(DATA!$I:$I,DATA!$F:$F,"*ce*",DATA!$J:$J,"&gt;="&amp;DATE($I$2,D$4,1),DATA!$J:$J,"&lt;="&amp;DATE($I$2,D$4,D$5))</f>
        <v/>
      </c>
      <c r="E1007" s="325">
        <f>SUMIFS(DATA!$I:$I,DATA!$F:$F,"*ce*",DATA!$J:$J,"&gt;="&amp;DATE($I$2,E$4,1),DATA!$J:$J,"&lt;="&amp;DATE($I$2,E$4,E$5))</f>
        <v/>
      </c>
      <c r="F1007" s="325">
        <f>SUMIFS(DATA!$I:$I,DATA!$F:$F,"*ce*",DATA!$J:$J,"&gt;="&amp;DATE($I$2,F$4,1),DATA!$J:$J,"&lt;="&amp;DATE($I$2,F$4,F$5))</f>
        <v/>
      </c>
      <c r="G1007" s="325">
        <f>SUMIFS(DATA!$I:$I,DATA!$F:$F,"*ce*",DATA!$J:$J,"&gt;="&amp;DATE($I$2,G$4,1),DATA!$J:$J,"&lt;="&amp;DATE($I$2,G$4,G$5))</f>
        <v/>
      </c>
      <c r="H1007" s="325">
        <f>SUMIFS(DATA!$I:$I,DATA!$F:$F,"*ce*",DATA!$J:$J,"&gt;="&amp;DATE($I$2,H$4,1),DATA!$J:$J,"&lt;="&amp;DATE($I$2,H$4,H$5))</f>
        <v/>
      </c>
      <c r="I1007" s="325">
        <f>SUMIFS(DATA!$I:$I,DATA!$F:$F,"*ce*",DATA!$J:$J,"&gt;="&amp;DATE($I$2,I$4,1),DATA!$J:$J,"&lt;="&amp;DATE($I$2,I$4,I$5))</f>
        <v/>
      </c>
      <c r="J1007" s="325">
        <f>SUMIFS(DATA!$I:$I,DATA!$F:$F,"*ce*",DATA!$J:$J,"&gt;="&amp;DATE($I$2,J$4,1),DATA!$J:$J,"&lt;="&amp;DATE($I$2,J$4,J$5))</f>
        <v/>
      </c>
      <c r="K1007" s="325">
        <f>SUMIFS(DATA!$I:$I,DATA!$F:$F,"*ce*",DATA!$J:$J,"&gt;="&amp;DATE($I$2,K$4,1),DATA!$J:$J,"&lt;="&amp;DATE($I$2,K$4,K$5))</f>
        <v/>
      </c>
      <c r="L1007" s="325">
        <f>SUMIFS(DATA!$I:$I,DATA!$F:$F,"*ce*",DATA!$J:$J,"&gt;="&amp;DATE($I$2,L$4,1),DATA!$J:$J,"&lt;="&amp;DATE($I$2,L$4,L$5))</f>
        <v/>
      </c>
      <c r="M1007" s="325">
        <f>SUMIFS(DATA!$I:$I,DATA!$F:$F,"*ce*",DATA!$J:$J,"&gt;="&amp;DATE($I$2,M$4,1),DATA!$J:$J,"&lt;="&amp;DATE($I$2,M$4,M$5))</f>
        <v/>
      </c>
      <c r="N1007" s="325">
        <f>SUMIFS(DATA!$I:$I,DATA!$F:$F,"*ce*",DATA!$J:$J,"&gt;="&amp;DATE($I$2,N$4,1),DATA!$J:$J,"&lt;="&amp;DATE($I$2,N$4,N$5))</f>
        <v/>
      </c>
      <c r="O1007" s="325">
        <f>SUMIFS(DATA!$I:$I,DATA!$F:$F,"*ce*",DATA!$J:$J,"&gt;="&amp;DATE($I$2,O$4,1),DATA!$J:$J,"&lt;="&amp;DATE($I$2,O$4,O$5))</f>
        <v/>
      </c>
      <c r="P1007" s="326">
        <f>SUM(D1007:O1007)</f>
        <v/>
      </c>
    </row>
    <row r="1008" ht="15" customHeight="1">
      <c r="A1008" s="272" t="n"/>
      <c r="B1008" s="273" t="n"/>
      <c r="C1008" s="123" t="inlineStr">
        <is>
          <t>FM</t>
        </is>
      </c>
      <c r="D1008" s="327">
        <f>SUMIFS(DATA!$I:$I,DATA!$F:$F,"Facility Management",DATA!$J:$J,"&gt;="&amp;DATE($I$2,D$4,1),DATA!$J:$J,"&lt;="&amp;DATE($I$2,D$4,D$5))</f>
        <v/>
      </c>
      <c r="E1008" s="327">
        <f>SUMIFS(DATA!$I:$I,DATA!$F:$F,"Facility Management",DATA!$J:$J,"&gt;="&amp;DATE($I$2,E$4,1),DATA!$J:$J,"&lt;="&amp;DATE($I$2,E$4,E$5))</f>
        <v/>
      </c>
      <c r="F1008" s="327">
        <f>SUMIFS(DATA!$I:$I,DATA!$F:$F,"Facility Management",DATA!$J:$J,"&gt;="&amp;DATE($I$2,F$4,1),DATA!$J:$J,"&lt;="&amp;DATE($I$2,F$4,F$5))</f>
        <v/>
      </c>
      <c r="G1008" s="327">
        <f>SUMIFS(DATA!$I:$I,DATA!$F:$F,"Facility Management",DATA!$J:$J,"&gt;="&amp;DATE($I$2,G$4,1),DATA!$J:$J,"&lt;="&amp;DATE($I$2,G$4,G$5))</f>
        <v/>
      </c>
      <c r="H1008" s="327">
        <f>SUMIFS(DATA!$I:$I,DATA!$F:$F,"Facility Management",DATA!$J:$J,"&gt;="&amp;DATE($I$2,H$4,1),DATA!$J:$J,"&lt;="&amp;DATE($I$2,H$4,H$5))</f>
        <v/>
      </c>
      <c r="I1008" s="327">
        <f>SUMIFS(DATA!$I:$I,DATA!$F:$F,"Facility Management",DATA!$J:$J,"&gt;="&amp;DATE($I$2,I$4,1),DATA!$J:$J,"&lt;="&amp;DATE($I$2,I$4,I$5))</f>
        <v/>
      </c>
      <c r="J1008" s="327">
        <f>SUMIFS(DATA!$I:$I,DATA!$F:$F,"Facility Management",DATA!$J:$J,"&gt;="&amp;DATE($I$2,J$4,1),DATA!$J:$J,"&lt;="&amp;DATE($I$2,J$4,J$5))</f>
        <v/>
      </c>
      <c r="K1008" s="327">
        <f>SUMIFS(DATA!$I:$I,DATA!$F:$F,"Facility Management",DATA!$J:$J,"&gt;="&amp;DATE($I$2,K$4,1),DATA!$J:$J,"&lt;="&amp;DATE($I$2,K$4,K$5))</f>
        <v/>
      </c>
      <c r="L1008" s="327">
        <f>SUMIFS(DATA!$I:$I,DATA!$F:$F,"Facility Management",DATA!$J:$J,"&gt;="&amp;DATE($I$2,L$4,1),DATA!$J:$J,"&lt;="&amp;DATE($I$2,L$4,L$5))</f>
        <v/>
      </c>
      <c r="M1008" s="327">
        <f>SUMIFS(DATA!$I:$I,DATA!$F:$F,"Facility Management",DATA!$J:$J,"&gt;="&amp;DATE($I$2,M$4,1),DATA!$J:$J,"&lt;="&amp;DATE($I$2,M$4,M$5))</f>
        <v/>
      </c>
      <c r="N1008" s="327">
        <f>SUMIFS(DATA!$I:$I,DATA!$F:$F,"Facility Management",DATA!$J:$J,"&gt;="&amp;DATE($I$2,N$4,1),DATA!$J:$J,"&lt;="&amp;DATE($I$2,N$4,N$5))</f>
        <v/>
      </c>
      <c r="O1008" s="327">
        <f>SUMIFS(DATA!$I:$I,DATA!$F:$F,"Facility Management",DATA!$J:$J,"&gt;="&amp;DATE($I$2,O$4,1),DATA!$J:$J,"&lt;="&amp;DATE($I$2,O$4,O$5))</f>
        <v/>
      </c>
      <c r="P1008" s="328">
        <f>SUM(D1008:O1008)</f>
        <v/>
      </c>
    </row>
    <row r="1009" ht="15" customHeight="1">
      <c r="A1009" s="272" t="n"/>
      <c r="B1009" s="273" t="n"/>
      <c r="C1009" s="120" t="inlineStr">
        <is>
          <t>Thực tế</t>
        </is>
      </c>
      <c r="D1009" s="323">
        <f>SUMIF($C6:$C1005,"Thực tế",D6:D1005)</f>
        <v/>
      </c>
      <c r="E1009" s="323">
        <f>SUMIF($C6:$C1005,"Thực tế",E6:E1005)</f>
        <v/>
      </c>
      <c r="F1009" s="323">
        <f>SUMIF($C6:$C1005,"Thực tế",F6:F1005)</f>
        <v/>
      </c>
      <c r="G1009" s="323">
        <f>SUMIF($C6:$C1005,"Thực tế",G6:G1005)</f>
        <v/>
      </c>
      <c r="H1009" s="323">
        <f>SUMIF($C6:$C1005,"Thực tế",H6:H1005)</f>
        <v/>
      </c>
      <c r="I1009" s="323">
        <f>SUMIF($C6:$C1005,"Thực tế",I6:I1005)</f>
        <v/>
      </c>
      <c r="J1009" s="323">
        <f>SUMIF($C6:$C1005,"Thực tế",J6:J1005)</f>
        <v/>
      </c>
      <c r="K1009" s="323">
        <f>SUMIF($C6:$C1005,"Thực tế",K6:K1005)</f>
        <v/>
      </c>
      <c r="L1009" s="323">
        <f>SUMIF($C6:$C1005,"Thực tế",L6:L1005)</f>
        <v/>
      </c>
      <c r="M1009" s="323">
        <f>SUMIF($C6:$C1005,"Thực tế",M6:M1005)</f>
        <v/>
      </c>
      <c r="N1009" s="323">
        <f>SUMIF($C6:$C1005,"Thực tế",N6:N1005)</f>
        <v/>
      </c>
      <c r="O1009" s="323">
        <f>SUMIF($C6:$C1005,"Thực tế",O6:O1005)</f>
        <v/>
      </c>
      <c r="P1009" s="324">
        <f>SUM(D1009:O1009)</f>
        <v/>
      </c>
    </row>
    <row r="1010" ht="15" customHeight="1">
      <c r="A1010" s="272" t="n"/>
      <c r="B1010" s="273" t="n"/>
      <c r="C1010" s="121" t="inlineStr">
        <is>
          <t>MS</t>
        </is>
      </c>
      <c r="D1010" s="325">
        <f>SUMIFS(DATA!$M:$M,DATA!$F:$F,"*ce*",DATA!$N:$N,"&gt;="&amp;DATE($I$2,D$4,1),DATA!$N:$N,"&lt;="&amp;DATE($I$2,D$4,D$5))</f>
        <v/>
      </c>
      <c r="E1010" s="325">
        <f>SUMIFS(DATA!$M:$M,DATA!$F:$F,"*ce*",DATA!$N:$N,"&gt;="&amp;DATE($I$2,E$4,1),DATA!$N:$N,"&lt;="&amp;DATE($I$2,E$4,E$5))</f>
        <v/>
      </c>
      <c r="F1010" s="325">
        <f>SUMIFS(DATA!$M:$M,DATA!$F:$F,"*ce*",DATA!$N:$N,"&gt;="&amp;DATE($I$2,F$4,1),DATA!$N:$N,"&lt;="&amp;DATE($I$2,F$4,F$5))</f>
        <v/>
      </c>
      <c r="G1010" s="325">
        <f>SUMIFS(DATA!$M:$M,DATA!$F:$F,"*ce*",DATA!$N:$N,"&gt;="&amp;DATE($I$2,G$4,1),DATA!$N:$N,"&lt;="&amp;DATE($I$2,G$4,G$5))</f>
        <v/>
      </c>
      <c r="H1010" s="325">
        <f>SUMIFS(DATA!$M:$M,DATA!$F:$F,"*ce*",DATA!$N:$N,"&gt;="&amp;DATE($I$2,H$4,1),DATA!$N:$N,"&lt;="&amp;DATE($I$2,H$4,H$5))</f>
        <v/>
      </c>
      <c r="I1010" s="325">
        <f>SUMIFS(DATA!$M:$M,DATA!$F:$F,"*ce*",DATA!$N:$N,"&gt;="&amp;DATE($I$2,I$4,1),DATA!$N:$N,"&lt;="&amp;DATE($I$2,I$4,I$5))</f>
        <v/>
      </c>
      <c r="J1010" s="325">
        <f>SUMIFS(DATA!$M:$M,DATA!$F:$F,"*ce*",DATA!$N:$N,"&gt;="&amp;DATE($I$2,J$4,1),DATA!$N:$N,"&lt;="&amp;DATE($I$2,J$4,J$5))</f>
        <v/>
      </c>
      <c r="K1010" s="325">
        <f>SUMIFS(DATA!$M:$M,DATA!$F:$F,"*ce*",DATA!$N:$N,"&gt;="&amp;DATE($I$2,K$4,1),DATA!$N:$N,"&lt;="&amp;DATE($I$2,K$4,K$5))</f>
        <v/>
      </c>
      <c r="L1010" s="325">
        <f>SUMIFS(DATA!$M:$M,DATA!$F:$F,"*ce*",DATA!$N:$N,"&gt;="&amp;DATE($I$2,L$4,1),DATA!$N:$N,"&lt;="&amp;DATE($I$2,L$4,L$5))</f>
        <v/>
      </c>
      <c r="M1010" s="325">
        <f>SUMIFS(DATA!$M:$M,DATA!$F:$F,"*ce*",DATA!$N:$N,"&gt;="&amp;DATE($I$2,M$4,1),DATA!$N:$N,"&lt;="&amp;DATE($I$2,M$4,M$5))</f>
        <v/>
      </c>
      <c r="N1010" s="325">
        <f>SUMIFS(DATA!$M:$M,DATA!$F:$F,"*ce*",DATA!$N:$N,"&gt;="&amp;DATE($I$2,N$4,1),DATA!$N:$N,"&lt;="&amp;DATE($I$2,N$4,N$5))</f>
        <v/>
      </c>
      <c r="O1010" s="325">
        <f>SUMIFS(DATA!$M:$M,DATA!$F:$F,"*ce*",DATA!$N:$N,"&gt;="&amp;DATE($I$2,O$4,1),DATA!$N:$N,"&lt;="&amp;DATE($I$2,O$4,O$5))</f>
        <v/>
      </c>
      <c r="P1010" s="326">
        <f>SUM(D1010:O1010)</f>
        <v/>
      </c>
    </row>
    <row r="1011" ht="15" customHeight="1">
      <c r="A1011" s="274" t="n"/>
      <c r="B1011" s="275" t="n"/>
      <c r="C1011" s="123" t="inlineStr">
        <is>
          <t>FM</t>
        </is>
      </c>
      <c r="D1011" s="327">
        <f>SUMIFS(DATA!$M:$M,DATA!$F:$F,"Facility Management",DATA!$N:$N,"&gt;="&amp;DATE($I$2,D$4,1),DATA!$N:$N,"&lt;="&amp;DATE($I$2,D$4,D$5))</f>
        <v/>
      </c>
      <c r="E1011" s="327">
        <f>SUMIFS(DATA!$M:$M,DATA!$F:$F,"Facility Management",DATA!$N:$N,"&gt;="&amp;DATE($I$2,E$4,1),DATA!$N:$N,"&lt;="&amp;DATE($I$2,E$4,E$5))</f>
        <v/>
      </c>
      <c r="F1011" s="327">
        <f>SUMIFS(DATA!$M:$M,DATA!$F:$F,"Facility Management",DATA!$N:$N,"&gt;="&amp;DATE($I$2,F$4,1),DATA!$N:$N,"&lt;="&amp;DATE($I$2,F$4,F$5))</f>
        <v/>
      </c>
      <c r="G1011" s="327">
        <f>SUMIFS(DATA!$M:$M,DATA!$F:$F,"Facility Management",DATA!$N:$N,"&gt;="&amp;DATE($I$2,G$4,1),DATA!$N:$N,"&lt;="&amp;DATE($I$2,G$4,G$5))</f>
        <v/>
      </c>
      <c r="H1011" s="327">
        <f>SUMIFS(DATA!$M:$M,DATA!$F:$F,"Facility Management",DATA!$N:$N,"&gt;="&amp;DATE($I$2,H$4,1),DATA!$N:$N,"&lt;="&amp;DATE($I$2,H$4,H$5))</f>
        <v/>
      </c>
      <c r="I1011" s="327">
        <f>SUMIFS(DATA!$M:$M,DATA!$F:$F,"Facility Management",DATA!$N:$N,"&gt;="&amp;DATE($I$2,I$4,1),DATA!$N:$N,"&lt;="&amp;DATE($I$2,I$4,I$5))</f>
        <v/>
      </c>
      <c r="J1011" s="327">
        <f>SUMIFS(DATA!$M:$M,DATA!$F:$F,"Facility Management",DATA!$N:$N,"&gt;="&amp;DATE($I$2,J$4,1),DATA!$N:$N,"&lt;="&amp;DATE($I$2,J$4,J$5))</f>
        <v/>
      </c>
      <c r="K1011" s="327">
        <f>SUMIFS(DATA!$M:$M,DATA!$F:$F,"Facility Management",DATA!$N:$N,"&gt;="&amp;DATE($I$2,K$4,1),DATA!$N:$N,"&lt;="&amp;DATE($I$2,K$4,K$5))</f>
        <v/>
      </c>
      <c r="L1011" s="327">
        <f>SUMIFS(DATA!$M:$M,DATA!$F:$F,"Facility Management",DATA!$N:$N,"&gt;="&amp;DATE($I$2,L$4,1),DATA!$N:$N,"&lt;="&amp;DATE($I$2,L$4,L$5))</f>
        <v/>
      </c>
      <c r="M1011" s="327">
        <f>SUMIFS(DATA!$M:$M,DATA!$F:$F,"Facility Management",DATA!$N:$N,"&gt;="&amp;DATE($I$2,M$4,1),DATA!$N:$N,"&lt;="&amp;DATE($I$2,M$4,M$5))</f>
        <v/>
      </c>
      <c r="N1011" s="327">
        <f>SUMIFS(DATA!$M:$M,DATA!$F:$F,"Facility Management",DATA!$N:$N,"&gt;="&amp;DATE($I$2,N$4,1),DATA!$N:$N,"&lt;="&amp;DATE($I$2,N$4,N$5))</f>
        <v/>
      </c>
      <c r="O1011" s="327">
        <f>SUMIFS(DATA!$M:$M,DATA!$F:$F,"Facility Management",DATA!$N:$N,"&gt;="&amp;DATE($I$2,O$4,1),DATA!$N:$N,"&lt;="&amp;DATE($I$2,O$4,O$5))</f>
        <v/>
      </c>
      <c r="P1011" s="328">
        <f>SUM(D1011:O1011)</f>
        <v/>
      </c>
    </row>
    <row r="1012">
      <c r="A1012" s="28" t="n"/>
      <c r="B1012" s="39" t="n"/>
      <c r="C1012" s="28" t="n"/>
      <c r="D1012" s="28" t="n"/>
      <c r="E1012" s="28" t="n"/>
      <c r="F1012" s="28" t="n"/>
      <c r="G1012" s="28" t="n"/>
      <c r="H1012" s="28" t="n"/>
      <c r="I1012" s="28" t="n"/>
      <c r="J1012" s="28" t="n"/>
      <c r="K1012" s="28" t="n"/>
      <c r="L1012" s="28" t="n"/>
      <c r="M1012" s="28" t="n"/>
      <c r="N1012" s="28" t="n"/>
      <c r="O1012" s="28" t="n"/>
      <c r="P1012" s="28" t="n"/>
    </row>
    <row r="1013">
      <c r="A1013" s="28" t="n"/>
      <c r="B1013" s="39" t="n"/>
      <c r="C1013" s="28" t="n"/>
      <c r="D1013" s="28" t="n"/>
      <c r="E1013" s="28" t="n"/>
      <c r="F1013" s="28" t="n"/>
      <c r="G1013" s="28" t="n"/>
      <c r="H1013" s="28" t="n"/>
      <c r="I1013" s="28" t="n"/>
      <c r="J1013" s="28" t="n"/>
      <c r="K1013" s="28" t="n"/>
      <c r="L1013" s="28" t="n"/>
      <c r="M1013" s="28" t="n"/>
      <c r="N1013" s="28" t="n"/>
      <c r="O1013" s="28" t="n"/>
      <c r="P1013" s="28" t="n"/>
    </row>
    <row r="1046" ht="34.9" customHeight="1">
      <c r="I1046" s="40" t="n"/>
    </row>
    <row r="1048" ht="25.5" customHeight="1">
      <c r="I1048" s="88" t="inlineStr">
        <is>
          <t>BÁO CÁO DOANH THU NĂM</t>
        </is>
      </c>
    </row>
    <row r="1049" ht="20.25" customHeight="1">
      <c r="I1049" s="85" t="inlineStr">
        <is>
          <t>ANNUAL TURN-OVER REPORT</t>
        </is>
      </c>
    </row>
    <row r="1052" ht="57" customHeight="1">
      <c r="D1052" s="240">
        <f t="array" aca="1" ref="D1052:M1052" ca="1">Annual!B5:K5</f>
        <v/>
      </c>
      <c r="E1052" s="240">
        <f/>
        <v/>
      </c>
      <c r="F1052" s="239">
        <f/>
        <v/>
      </c>
      <c r="G1052" s="239">
        <f/>
        <v/>
      </c>
      <c r="H1052" s="239">
        <f/>
        <v/>
      </c>
      <c r="I1052" s="239">
        <f/>
        <v/>
      </c>
      <c r="J1052" s="239">
        <f/>
        <v/>
      </c>
      <c r="K1052" s="239">
        <f/>
        <v/>
      </c>
      <c r="L1052" s="240">
        <f/>
        <v/>
      </c>
      <c r="M1052" s="240">
        <f/>
        <v/>
      </c>
    </row>
    <row r="1053" ht="32.25" customHeight="1">
      <c r="D1053" s="243">
        <f t="array" aca="1" ref="D1053:M1055" ca="1">Annual!B506:K508</f>
        <v/>
      </c>
      <c r="E1053" s="329">
        <f/>
        <v/>
      </c>
      <c r="F1053" s="329">
        <f/>
        <v/>
      </c>
      <c r="G1053" s="329">
        <f/>
        <v/>
      </c>
      <c r="H1053" s="329">
        <f/>
        <v/>
      </c>
      <c r="I1053" s="329">
        <f/>
        <v/>
      </c>
      <c r="J1053" s="329">
        <f/>
        <v/>
      </c>
      <c r="K1053" s="329">
        <f/>
        <v/>
      </c>
      <c r="L1053" s="329">
        <f/>
        <v/>
      </c>
      <c r="M1053" s="329">
        <f/>
        <v/>
      </c>
    </row>
    <row r="1054" ht="32.25" customHeight="1">
      <c r="D1054" s="242">
        <f/>
        <v/>
      </c>
      <c r="E1054" s="329">
        <f/>
        <v/>
      </c>
      <c r="F1054" s="329">
        <f/>
        <v/>
      </c>
      <c r="G1054" s="329">
        <f/>
        <v/>
      </c>
      <c r="H1054" s="329">
        <f/>
        <v/>
      </c>
      <c r="I1054" s="329">
        <f/>
        <v/>
      </c>
      <c r="J1054" s="329">
        <f/>
        <v/>
      </c>
      <c r="K1054" s="329">
        <f/>
        <v/>
      </c>
      <c r="L1054" s="329">
        <f/>
        <v/>
      </c>
      <c r="M1054" s="329">
        <f/>
        <v/>
      </c>
    </row>
    <row r="1055" ht="32.25" customHeight="1">
      <c r="D1055" s="242">
        <f/>
        <v/>
      </c>
      <c r="E1055" s="241">
        <f/>
        <v/>
      </c>
      <c r="F1055" s="241">
        <f/>
        <v/>
      </c>
      <c r="G1055" s="241">
        <f/>
        <v/>
      </c>
      <c r="H1055" s="241">
        <f/>
        <v/>
      </c>
      <c r="I1055" s="241">
        <f/>
        <v/>
      </c>
      <c r="J1055" s="241">
        <f/>
        <v/>
      </c>
      <c r="K1055" s="241">
        <f/>
        <v/>
      </c>
      <c r="L1055" s="241">
        <f/>
        <v/>
      </c>
      <c r="M1055" s="241">
        <f/>
        <v/>
      </c>
    </row>
    <row r="1083" ht="20.25" customHeight="1">
      <c r="F1083" s="180" t="inlineStr">
        <is>
          <t>Số liệu năm 2020, 2021 &amp; 2022 chưa được cập nhật/ chưa cập nhật đầy đủ</t>
        </is>
      </c>
    </row>
    <row r="1084" ht="20.25" customHeight="1">
      <c r="F1084" s="180" t="inlineStr">
        <is>
          <t>Số liệu của các năm trên xem chi tiết tại file báo cáo Turn over report (cũ) lưu trữ tại server SPS.</t>
        </is>
      </c>
    </row>
  </sheetData>
  <autoFilter ref="C4:C1009"/>
  <mergeCells count="657">
    <mergeCell ref="A1002:A1003"/>
    <mergeCell ref="A1004:A1005"/>
    <mergeCell ref="A992:A993"/>
    <mergeCell ref="A994:A995"/>
    <mergeCell ref="A996:A997"/>
    <mergeCell ref="A998:A999"/>
    <mergeCell ref="A1000:A1001"/>
    <mergeCell ref="A982:A983"/>
    <mergeCell ref="A984:A985"/>
    <mergeCell ref="A986:A987"/>
    <mergeCell ref="A988:A989"/>
    <mergeCell ref="A990:A991"/>
    <mergeCell ref="A972:A973"/>
    <mergeCell ref="A974:A975"/>
    <mergeCell ref="A976:A977"/>
    <mergeCell ref="A978:A979"/>
    <mergeCell ref="A980:A981"/>
    <mergeCell ref="A962:A963"/>
    <mergeCell ref="A964:A965"/>
    <mergeCell ref="A966:A967"/>
    <mergeCell ref="A968:A969"/>
    <mergeCell ref="A970:A971"/>
    <mergeCell ref="A952:A953"/>
    <mergeCell ref="A954:A955"/>
    <mergeCell ref="A956:A957"/>
    <mergeCell ref="A958:A959"/>
    <mergeCell ref="A960:A961"/>
    <mergeCell ref="A942:A943"/>
    <mergeCell ref="A944:A945"/>
    <mergeCell ref="A946:A947"/>
    <mergeCell ref="A948:A949"/>
    <mergeCell ref="A950:A951"/>
    <mergeCell ref="A932:A933"/>
    <mergeCell ref="A934:A935"/>
    <mergeCell ref="A936:A937"/>
    <mergeCell ref="A938:A939"/>
    <mergeCell ref="A940:A941"/>
    <mergeCell ref="A922:A923"/>
    <mergeCell ref="A924:A925"/>
    <mergeCell ref="A926:A927"/>
    <mergeCell ref="A928:A929"/>
    <mergeCell ref="A930:A931"/>
    <mergeCell ref="A912:A913"/>
    <mergeCell ref="A914:A915"/>
    <mergeCell ref="A916:A917"/>
    <mergeCell ref="A918:A919"/>
    <mergeCell ref="A920:A921"/>
    <mergeCell ref="A902:A903"/>
    <mergeCell ref="A904:A905"/>
    <mergeCell ref="A906:A907"/>
    <mergeCell ref="A908:A909"/>
    <mergeCell ref="A910:A911"/>
    <mergeCell ref="A892:A893"/>
    <mergeCell ref="A894:A895"/>
    <mergeCell ref="A896:A897"/>
    <mergeCell ref="A898:A899"/>
    <mergeCell ref="A900:A901"/>
    <mergeCell ref="A882:A883"/>
    <mergeCell ref="A884:A885"/>
    <mergeCell ref="A886:A887"/>
    <mergeCell ref="A888:A889"/>
    <mergeCell ref="A890:A891"/>
    <mergeCell ref="A872:A873"/>
    <mergeCell ref="A874:A875"/>
    <mergeCell ref="A876:A877"/>
    <mergeCell ref="A878:A879"/>
    <mergeCell ref="A880:A881"/>
    <mergeCell ref="A862:A863"/>
    <mergeCell ref="A864:A865"/>
    <mergeCell ref="A866:A867"/>
    <mergeCell ref="A868:A869"/>
    <mergeCell ref="A870:A871"/>
    <mergeCell ref="A852:A853"/>
    <mergeCell ref="A854:A855"/>
    <mergeCell ref="A856:A857"/>
    <mergeCell ref="A858:A859"/>
    <mergeCell ref="A860:A861"/>
    <mergeCell ref="A842:A843"/>
    <mergeCell ref="A844:A845"/>
    <mergeCell ref="A846:A847"/>
    <mergeCell ref="A848:A849"/>
    <mergeCell ref="A850:A851"/>
    <mergeCell ref="A832:A833"/>
    <mergeCell ref="A834:A835"/>
    <mergeCell ref="A836:A837"/>
    <mergeCell ref="A838:A839"/>
    <mergeCell ref="A840:A841"/>
    <mergeCell ref="A822:A823"/>
    <mergeCell ref="A824:A825"/>
    <mergeCell ref="A826:A827"/>
    <mergeCell ref="A828:A829"/>
    <mergeCell ref="A830:A831"/>
    <mergeCell ref="A812:A813"/>
    <mergeCell ref="A814:A815"/>
    <mergeCell ref="A816:A817"/>
    <mergeCell ref="A818:A819"/>
    <mergeCell ref="A820:A821"/>
    <mergeCell ref="A802:A803"/>
    <mergeCell ref="A804:A805"/>
    <mergeCell ref="A806:A807"/>
    <mergeCell ref="A808:A809"/>
    <mergeCell ref="A810:A811"/>
    <mergeCell ref="A792:A793"/>
    <mergeCell ref="A794:A795"/>
    <mergeCell ref="A796:A797"/>
    <mergeCell ref="A798:A799"/>
    <mergeCell ref="A800:A801"/>
    <mergeCell ref="A782:A783"/>
    <mergeCell ref="A784:A785"/>
    <mergeCell ref="A786:A787"/>
    <mergeCell ref="A788:A789"/>
    <mergeCell ref="A790:A791"/>
    <mergeCell ref="A772:A773"/>
    <mergeCell ref="A774:A775"/>
    <mergeCell ref="A776:A777"/>
    <mergeCell ref="A778:A779"/>
    <mergeCell ref="A780:A781"/>
    <mergeCell ref="A762:A763"/>
    <mergeCell ref="A764:A765"/>
    <mergeCell ref="A766:A767"/>
    <mergeCell ref="A768:A769"/>
    <mergeCell ref="A770:A771"/>
    <mergeCell ref="A752:A753"/>
    <mergeCell ref="A754:A755"/>
    <mergeCell ref="A756:A757"/>
    <mergeCell ref="A758:A759"/>
    <mergeCell ref="A760:A761"/>
    <mergeCell ref="A742:A743"/>
    <mergeCell ref="A744:A745"/>
    <mergeCell ref="A746:A747"/>
    <mergeCell ref="A748:A749"/>
    <mergeCell ref="A750:A751"/>
    <mergeCell ref="A536:A537"/>
    <mergeCell ref="A538:A539"/>
    <mergeCell ref="A540:A541"/>
    <mergeCell ref="A732:A733"/>
    <mergeCell ref="A526:A527"/>
    <mergeCell ref="A528:A529"/>
    <mergeCell ref="A530:A531"/>
    <mergeCell ref="A532:A533"/>
    <mergeCell ref="A534:A535"/>
    <mergeCell ref="A560:A561"/>
    <mergeCell ref="A562:A563"/>
    <mergeCell ref="A564:A565"/>
    <mergeCell ref="A566:A567"/>
    <mergeCell ref="A568:A569"/>
    <mergeCell ref="A550:A551"/>
    <mergeCell ref="A552:A553"/>
    <mergeCell ref="A718:A719"/>
    <mergeCell ref="A720:A721"/>
    <mergeCell ref="A674:A675"/>
    <mergeCell ref="A676:A677"/>
    <mergeCell ref="A658:A659"/>
    <mergeCell ref="A660:A661"/>
    <mergeCell ref="A662:A663"/>
    <mergeCell ref="A664:A665"/>
    <mergeCell ref="A516:A517"/>
    <mergeCell ref="A518:A519"/>
    <mergeCell ref="A520:A521"/>
    <mergeCell ref="A522:A523"/>
    <mergeCell ref="A524:A525"/>
    <mergeCell ref="A506:A507"/>
    <mergeCell ref="A508:A509"/>
    <mergeCell ref="A510:A511"/>
    <mergeCell ref="A512:A513"/>
    <mergeCell ref="A514:A515"/>
    <mergeCell ref="A496:A497"/>
    <mergeCell ref="A498:A499"/>
    <mergeCell ref="A500:A501"/>
    <mergeCell ref="A502:A503"/>
    <mergeCell ref="A504:A505"/>
    <mergeCell ref="A486:A487"/>
    <mergeCell ref="A488:A489"/>
    <mergeCell ref="A490:A491"/>
    <mergeCell ref="A492:A493"/>
    <mergeCell ref="A494:A495"/>
    <mergeCell ref="A476:A477"/>
    <mergeCell ref="A478:A479"/>
    <mergeCell ref="A480:A481"/>
    <mergeCell ref="A482:A483"/>
    <mergeCell ref="A484:A485"/>
    <mergeCell ref="A466:A467"/>
    <mergeCell ref="A468:A469"/>
    <mergeCell ref="A470:A471"/>
    <mergeCell ref="A472:A473"/>
    <mergeCell ref="A474:A475"/>
    <mergeCell ref="A456:A457"/>
    <mergeCell ref="A458:A459"/>
    <mergeCell ref="A460:A461"/>
    <mergeCell ref="A462:A463"/>
    <mergeCell ref="A464:A465"/>
    <mergeCell ref="A446:A447"/>
    <mergeCell ref="A448:A449"/>
    <mergeCell ref="A450:A451"/>
    <mergeCell ref="A452:A453"/>
    <mergeCell ref="A454:A455"/>
    <mergeCell ref="A412:A413"/>
    <mergeCell ref="A414:A415"/>
    <mergeCell ref="A436:A437"/>
    <mergeCell ref="A438:A439"/>
    <mergeCell ref="A440:A441"/>
    <mergeCell ref="A442:A443"/>
    <mergeCell ref="A444:A445"/>
    <mergeCell ref="A426:A427"/>
    <mergeCell ref="A428:A429"/>
    <mergeCell ref="A430:A431"/>
    <mergeCell ref="A432:A433"/>
    <mergeCell ref="A434:A435"/>
    <mergeCell ref="A600:A601"/>
    <mergeCell ref="A602:A603"/>
    <mergeCell ref="A604:A605"/>
    <mergeCell ref="A606:A607"/>
    <mergeCell ref="A592:A593"/>
    <mergeCell ref="A594:A595"/>
    <mergeCell ref="A596:A597"/>
    <mergeCell ref="A598:A599"/>
    <mergeCell ref="A574:A575"/>
    <mergeCell ref="A576:A577"/>
    <mergeCell ref="A578:A579"/>
    <mergeCell ref="A590:A591"/>
    <mergeCell ref="A580:A581"/>
    <mergeCell ref="A582:A583"/>
    <mergeCell ref="A584:A585"/>
    <mergeCell ref="A586:A587"/>
    <mergeCell ref="A588:A589"/>
    <mergeCell ref="A570:A571"/>
    <mergeCell ref="A572:A573"/>
    <mergeCell ref="A376:A377"/>
    <mergeCell ref="A554:A555"/>
    <mergeCell ref="A556:A557"/>
    <mergeCell ref="A558:A559"/>
    <mergeCell ref="A378:A379"/>
    <mergeCell ref="A380:A381"/>
    <mergeCell ref="A382:A383"/>
    <mergeCell ref="A384:A385"/>
    <mergeCell ref="A396:A397"/>
    <mergeCell ref="A398:A399"/>
    <mergeCell ref="A400:A401"/>
    <mergeCell ref="A402:A403"/>
    <mergeCell ref="A404:A405"/>
    <mergeCell ref="A386:A387"/>
    <mergeCell ref="A388:A389"/>
    <mergeCell ref="A390:A391"/>
    <mergeCell ref="A420:A421"/>
    <mergeCell ref="A422:A423"/>
    <mergeCell ref="A424:A425"/>
    <mergeCell ref="A406:A407"/>
    <mergeCell ref="A408:A409"/>
    <mergeCell ref="A410:A411"/>
    <mergeCell ref="A344:A345"/>
    <mergeCell ref="A542:A543"/>
    <mergeCell ref="A544:A545"/>
    <mergeCell ref="A546:A547"/>
    <mergeCell ref="A548:A549"/>
    <mergeCell ref="A362:A363"/>
    <mergeCell ref="A364:A365"/>
    <mergeCell ref="A366:A367"/>
    <mergeCell ref="A368:A369"/>
    <mergeCell ref="A370:A371"/>
    <mergeCell ref="A372:A373"/>
    <mergeCell ref="A374:A375"/>
    <mergeCell ref="A346:A347"/>
    <mergeCell ref="A348:A349"/>
    <mergeCell ref="A350:A351"/>
    <mergeCell ref="A352:A353"/>
    <mergeCell ref="A354:A355"/>
    <mergeCell ref="A356:A357"/>
    <mergeCell ref="A358:A359"/>
    <mergeCell ref="A360:A361"/>
    <mergeCell ref="A392:A393"/>
    <mergeCell ref="A394:A395"/>
    <mergeCell ref="A416:A417"/>
    <mergeCell ref="A418:A419"/>
    <mergeCell ref="A334:A335"/>
    <mergeCell ref="A336:A337"/>
    <mergeCell ref="A338:A339"/>
    <mergeCell ref="A340:A341"/>
    <mergeCell ref="A342:A343"/>
    <mergeCell ref="A324:A325"/>
    <mergeCell ref="A326:A327"/>
    <mergeCell ref="A328:A329"/>
    <mergeCell ref="A330:A331"/>
    <mergeCell ref="A332:A333"/>
    <mergeCell ref="A314:A315"/>
    <mergeCell ref="A316:A317"/>
    <mergeCell ref="A318:A319"/>
    <mergeCell ref="A320:A321"/>
    <mergeCell ref="A322:A323"/>
    <mergeCell ref="A304:A305"/>
    <mergeCell ref="A306:A307"/>
    <mergeCell ref="A308:A309"/>
    <mergeCell ref="A310:A311"/>
    <mergeCell ref="A312:A313"/>
    <mergeCell ref="A284:A285"/>
    <mergeCell ref="A286:A287"/>
    <mergeCell ref="A288:A289"/>
    <mergeCell ref="A290:A291"/>
    <mergeCell ref="A292:A293"/>
    <mergeCell ref="A294:A295"/>
    <mergeCell ref="A296:A297"/>
    <mergeCell ref="A298:A299"/>
    <mergeCell ref="A300:A301"/>
    <mergeCell ref="A302:A303"/>
    <mergeCell ref="A708:A709"/>
    <mergeCell ref="A710:A711"/>
    <mergeCell ref="A712:A713"/>
    <mergeCell ref="A714:A715"/>
    <mergeCell ref="A716:A717"/>
    <mergeCell ref="A698:A699"/>
    <mergeCell ref="A700:A701"/>
    <mergeCell ref="A702:A703"/>
    <mergeCell ref="A704:A705"/>
    <mergeCell ref="A706:A707"/>
    <mergeCell ref="A688:A689"/>
    <mergeCell ref="A690:A691"/>
    <mergeCell ref="A692:A693"/>
    <mergeCell ref="A694:A695"/>
    <mergeCell ref="A696:A697"/>
    <mergeCell ref="A678:A679"/>
    <mergeCell ref="A680:A681"/>
    <mergeCell ref="A682:A683"/>
    <mergeCell ref="A684:A685"/>
    <mergeCell ref="A686:A687"/>
    <mergeCell ref="A668:A669"/>
    <mergeCell ref="A670:A671"/>
    <mergeCell ref="A672:A673"/>
    <mergeCell ref="A666:A667"/>
    <mergeCell ref="A648:A649"/>
    <mergeCell ref="A650:A651"/>
    <mergeCell ref="A652:A653"/>
    <mergeCell ref="A654:A655"/>
    <mergeCell ref="A656:A657"/>
    <mergeCell ref="A638:A639"/>
    <mergeCell ref="A640:A641"/>
    <mergeCell ref="A642:A643"/>
    <mergeCell ref="A644:A645"/>
    <mergeCell ref="A646:A647"/>
    <mergeCell ref="A608:A609"/>
    <mergeCell ref="A610:A611"/>
    <mergeCell ref="A612:A613"/>
    <mergeCell ref="A614:A615"/>
    <mergeCell ref="A616:A617"/>
    <mergeCell ref="A738:A739"/>
    <mergeCell ref="A740:A741"/>
    <mergeCell ref="A728:A729"/>
    <mergeCell ref="A730:A731"/>
    <mergeCell ref="A722:A723"/>
    <mergeCell ref="A724:A725"/>
    <mergeCell ref="A726:A727"/>
    <mergeCell ref="A734:A735"/>
    <mergeCell ref="A736:A737"/>
    <mergeCell ref="A628:A629"/>
    <mergeCell ref="A630:A631"/>
    <mergeCell ref="A632:A633"/>
    <mergeCell ref="A634:A635"/>
    <mergeCell ref="A636:A637"/>
    <mergeCell ref="A618:A619"/>
    <mergeCell ref="A620:A621"/>
    <mergeCell ref="A622:A623"/>
    <mergeCell ref="A624:A625"/>
    <mergeCell ref="A626:A627"/>
    <mergeCell ref="A1006:B1011"/>
    <mergeCell ref="A214:A215"/>
    <mergeCell ref="A216:A217"/>
    <mergeCell ref="A236:A237"/>
    <mergeCell ref="A218:A219"/>
    <mergeCell ref="A220:A221"/>
    <mergeCell ref="A222:A223"/>
    <mergeCell ref="A224:A225"/>
    <mergeCell ref="A226:A227"/>
    <mergeCell ref="A232:A233"/>
    <mergeCell ref="A230:A231"/>
    <mergeCell ref="A248:A249"/>
    <mergeCell ref="A228:A229"/>
    <mergeCell ref="A234:A235"/>
    <mergeCell ref="A238:A239"/>
    <mergeCell ref="A240:A241"/>
    <mergeCell ref="A280:A281"/>
    <mergeCell ref="A268:A269"/>
    <mergeCell ref="A270:A271"/>
    <mergeCell ref="A252:A253"/>
    <mergeCell ref="A254:A255"/>
    <mergeCell ref="A258:A259"/>
    <mergeCell ref="A260:A261"/>
    <mergeCell ref="A278:A279"/>
    <mergeCell ref="A212:A213"/>
    <mergeCell ref="A210:A211"/>
    <mergeCell ref="A176:A177"/>
    <mergeCell ref="A178:A179"/>
    <mergeCell ref="A180:A181"/>
    <mergeCell ref="A182:A183"/>
    <mergeCell ref="A160:A161"/>
    <mergeCell ref="A162:A163"/>
    <mergeCell ref="A164:A165"/>
    <mergeCell ref="A166:A167"/>
    <mergeCell ref="A168:A169"/>
    <mergeCell ref="A206:A207"/>
    <mergeCell ref="A200:A201"/>
    <mergeCell ref="A202:A203"/>
    <mergeCell ref="A204:A205"/>
    <mergeCell ref="A208:A209"/>
    <mergeCell ref="A196:A197"/>
    <mergeCell ref="A198:A199"/>
    <mergeCell ref="A184:A185"/>
    <mergeCell ref="A186:A187"/>
    <mergeCell ref="A188:A189"/>
    <mergeCell ref="A190:A191"/>
    <mergeCell ref="A192:A193"/>
    <mergeCell ref="A194:A195"/>
    <mergeCell ref="A72:A73"/>
    <mergeCell ref="A148:A149"/>
    <mergeCell ref="A150:A151"/>
    <mergeCell ref="A152:A153"/>
    <mergeCell ref="A154:A155"/>
    <mergeCell ref="A174:A175"/>
    <mergeCell ref="A172:A173"/>
    <mergeCell ref="A156:A157"/>
    <mergeCell ref="A158:A159"/>
    <mergeCell ref="A170:A171"/>
    <mergeCell ref="A74:A75"/>
    <mergeCell ref="A82:A83"/>
    <mergeCell ref="A96:A97"/>
    <mergeCell ref="A98:A99"/>
    <mergeCell ref="A84:A85"/>
    <mergeCell ref="A86:A87"/>
    <mergeCell ref="A92:A93"/>
    <mergeCell ref="A90:A91"/>
    <mergeCell ref="A88:A89"/>
    <mergeCell ref="A138:A139"/>
    <mergeCell ref="A116:A117"/>
    <mergeCell ref="A118:A119"/>
    <mergeCell ref="A120:A121"/>
    <mergeCell ref="A104:A105"/>
    <mergeCell ref="A24:A25"/>
    <mergeCell ref="A26:A27"/>
    <mergeCell ref="A28:A29"/>
    <mergeCell ref="A30:A31"/>
    <mergeCell ref="A32:A33"/>
    <mergeCell ref="A52:A53"/>
    <mergeCell ref="A60:A61"/>
    <mergeCell ref="A142:A143"/>
    <mergeCell ref="A144:A145"/>
    <mergeCell ref="A136:A137"/>
    <mergeCell ref="A132:A133"/>
    <mergeCell ref="A128:A129"/>
    <mergeCell ref="A134:A135"/>
    <mergeCell ref="A62:A63"/>
    <mergeCell ref="A64:A65"/>
    <mergeCell ref="A130:A131"/>
    <mergeCell ref="A106:A107"/>
    <mergeCell ref="A108:A109"/>
    <mergeCell ref="A100:A101"/>
    <mergeCell ref="A94:A95"/>
    <mergeCell ref="A102:A103"/>
    <mergeCell ref="A58:A59"/>
    <mergeCell ref="A70:A71"/>
    <mergeCell ref="A76:A77"/>
    <mergeCell ref="A6:A7"/>
    <mergeCell ref="A10:A11"/>
    <mergeCell ref="A12:A13"/>
    <mergeCell ref="A14:A15"/>
    <mergeCell ref="A8:A9"/>
    <mergeCell ref="A16:A17"/>
    <mergeCell ref="A18:A19"/>
    <mergeCell ref="A20:A21"/>
    <mergeCell ref="A22:A23"/>
    <mergeCell ref="A34:A35"/>
    <mergeCell ref="A122:A123"/>
    <mergeCell ref="A38:A39"/>
    <mergeCell ref="A40:A41"/>
    <mergeCell ref="A42:A43"/>
    <mergeCell ref="A44:A45"/>
    <mergeCell ref="A36:A37"/>
    <mergeCell ref="A48:A49"/>
    <mergeCell ref="A256:A257"/>
    <mergeCell ref="A110:A111"/>
    <mergeCell ref="A112:A113"/>
    <mergeCell ref="A124:A125"/>
    <mergeCell ref="A126:A127"/>
    <mergeCell ref="A50:A51"/>
    <mergeCell ref="A46:A47"/>
    <mergeCell ref="A114:A115"/>
    <mergeCell ref="A80:A81"/>
    <mergeCell ref="A54:A55"/>
    <mergeCell ref="A56:A57"/>
    <mergeCell ref="A146:A147"/>
    <mergeCell ref="A78:A79"/>
    <mergeCell ref="A66:A67"/>
    <mergeCell ref="A140:A141"/>
    <mergeCell ref="A68:A69"/>
    <mergeCell ref="A282:A283"/>
    <mergeCell ref="A242:A243"/>
    <mergeCell ref="A244:A245"/>
    <mergeCell ref="A274:A275"/>
    <mergeCell ref="A276:A277"/>
    <mergeCell ref="A250:A251"/>
    <mergeCell ref="A272:A273"/>
    <mergeCell ref="A246:A247"/>
    <mergeCell ref="A262:A263"/>
    <mergeCell ref="A264:A265"/>
    <mergeCell ref="A266:A267"/>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1"/>
    <mergeCell ref="B112:B113"/>
    <mergeCell ref="B114:B115"/>
    <mergeCell ref="B116:B117"/>
    <mergeCell ref="B118:B119"/>
    <mergeCell ref="B120: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 ref="B278:B279"/>
    <mergeCell ref="B280:B281"/>
    <mergeCell ref="B282:B283"/>
    <mergeCell ref="B284:B285"/>
    <mergeCell ref="B286:B287"/>
    <mergeCell ref="B288:B289"/>
    <mergeCell ref="B290:B291"/>
    <mergeCell ref="B292:B293"/>
    <mergeCell ref="B312:B313"/>
    <mergeCell ref="B314:B315"/>
    <mergeCell ref="B316:B317"/>
    <mergeCell ref="B294:B295"/>
    <mergeCell ref="B296:B297"/>
    <mergeCell ref="B298:B299"/>
    <mergeCell ref="B300:B301"/>
    <mergeCell ref="B302:B303"/>
    <mergeCell ref="B304:B305"/>
    <mergeCell ref="B306:B307"/>
    <mergeCell ref="B308:B309"/>
    <mergeCell ref="B310:B311"/>
  </mergeCells>
  <conditionalFormatting sqref="B24:B68 B6:B12">
    <cfRule type="containsText" priority="3" operator="containsText" dxfId="0" text="Pending Payment">
      <formula>NOT(ISERROR(SEARCH("Pending Payment",B6)))</formula>
    </cfRule>
    <cfRule type="containsText" priority="4" operator="containsText" dxfId="1" text="Pending Payment">
      <formula>NOT(ISERROR(SEARCH("Pending Payment",B6)))</formula>
    </cfRule>
  </conditionalFormatting>
  <conditionalFormatting sqref="B13:B23">
    <cfRule type="containsText" priority="1" operator="containsText" dxfId="0" text="Pending Payment">
      <formula>NOT(ISERROR(SEARCH("Pending Payment",B13)))</formula>
    </cfRule>
    <cfRule type="containsText" priority="2" operator="containsText" dxfId="1" text="Pending Payment">
      <formula>NOT(ISERROR(SEARCH("Pending Payment",B13)))</formula>
    </cfRule>
  </conditionalFormatting>
  <printOptions horizontalCentered="1" verticalCentered="1"/>
  <pageMargins left="0.2" right="0.2" top="0.25" bottom="0.25" header="0.3" footer="0.3"/>
  <pageSetup orientation="landscape" paperSize="9" scale="42"/>
  <drawing xmlns:r="http://schemas.openxmlformats.org/officeDocument/2006/relationships" r:id="rId1"/>
</worksheet>
</file>

<file path=xl/worksheets/sheet4.xml><?xml version="1.0" encoding="utf-8"?>
<worksheet xmlns="http://schemas.openxmlformats.org/spreadsheetml/2006/main">
  <sheetPr codeName="Sheet4">
    <tabColor theme="8" tint="0.5999938962981048"/>
    <outlinePr summaryBelow="1" summaryRight="1"/>
    <pageSetUpPr fitToPage="1"/>
  </sheetPr>
  <dimension ref="A1:N544"/>
  <sheetViews>
    <sheetView showGridLines="0" view="pageBreakPreview" zoomScale="60" workbookViewId="0">
      <pane xSplit="2" ySplit="5" topLeftCell="C506" activePane="bottomRight" state="frozen"/>
      <selection pane="topRight" activeCell="C1" sqref="C1"/>
      <selection pane="bottomLeft" activeCell="A6" sqref="A6"/>
      <selection pane="bottomRight" activeCell="C508" sqref="C508"/>
    </sheetView>
  </sheetViews>
  <sheetFormatPr baseColWidth="8" defaultColWidth="9.140625" defaultRowHeight="15" outlineLevelRow="1"/>
  <cols>
    <col width="4.5703125" customWidth="1" style="49" min="1" max="1"/>
    <col width="58.42578125" customWidth="1" style="32" min="2" max="2"/>
    <col width="24.140625" customWidth="1" style="21" min="3" max="9"/>
    <col width="25.85546875" customWidth="1" style="21" min="10" max="10"/>
    <col width="9.7109375" customWidth="1" style="21" min="11" max="11"/>
    <col width="16.7109375" bestFit="1" customWidth="1" style="21" min="12" max="12"/>
    <col width="9.140625" customWidth="1" style="21" min="13" max="13"/>
    <col width="9.140625" customWidth="1" style="21" min="14" max="16384"/>
  </cols>
  <sheetData>
    <row r="1">
      <c r="A1" s="47" t="n"/>
      <c r="B1" s="30" t="n"/>
      <c r="C1" s="20" t="n"/>
      <c r="D1" s="20" t="n"/>
      <c r="F1" s="20" t="n"/>
      <c r="G1" s="20" t="n"/>
      <c r="H1" s="20" t="n"/>
      <c r="I1" s="20" t="n"/>
      <c r="J1" s="20" t="n"/>
      <c r="K1" s="20" t="n"/>
    </row>
    <row r="2" ht="24.6" customHeight="1">
      <c r="A2" s="47" t="n"/>
      <c r="B2" s="30" t="n"/>
      <c r="C2" s="20" t="n"/>
      <c r="D2" s="20" t="n"/>
      <c r="E2" s="88" t="inlineStr">
        <is>
          <t>BÁO CÁO DOANH THU NĂM</t>
        </is>
      </c>
      <c r="F2" s="20" t="n"/>
      <c r="G2" s="20" t="n"/>
      <c r="H2" s="20" t="n"/>
      <c r="I2" s="20" t="n"/>
      <c r="J2" s="20" t="n"/>
      <c r="K2" s="20" t="n"/>
    </row>
    <row r="3" ht="20.45" customHeight="1">
      <c r="A3" s="47" t="n"/>
      <c r="B3" s="30" t="n"/>
      <c r="C3" s="20" t="n"/>
      <c r="E3" s="85" t="inlineStr">
        <is>
          <t>ANNUAL TURN-OVER REPORT</t>
        </is>
      </c>
      <c r="F3" s="20" t="n"/>
      <c r="G3" s="20" t="n"/>
      <c r="H3" s="22" t="n"/>
      <c r="I3" s="22" t="inlineStr">
        <is>
          <t>UPDATED ON</t>
        </is>
      </c>
      <c r="J3" s="330">
        <f>TODAY()</f>
        <v/>
      </c>
      <c r="K3" s="20" t="n"/>
    </row>
    <row r="4">
      <c r="A4" s="47" t="n"/>
      <c r="B4" s="30" t="n"/>
      <c r="C4" s="20" t="n"/>
      <c r="D4" s="20" t="n"/>
      <c r="E4" s="20" t="n"/>
      <c r="F4" s="20" t="n"/>
      <c r="G4" s="20" t="n"/>
      <c r="H4" s="20" t="n"/>
      <c r="I4" s="20" t="n"/>
      <c r="J4" s="22" t="inlineStr">
        <is>
          <t>VND</t>
        </is>
      </c>
      <c r="K4" s="20" t="n"/>
    </row>
    <row r="5" ht="37.5" customFormat="1" customHeight="1" s="83">
      <c r="A5" s="86" t="inlineStr">
        <is>
          <t>No</t>
        </is>
      </c>
      <c r="B5" s="87" t="inlineStr">
        <is>
          <t>Tên Khách hàng
Client Name</t>
        </is>
      </c>
      <c r="C5" s="86">
        <f>D5-1</f>
        <v/>
      </c>
      <c r="D5" s="86">
        <f>E5-1</f>
        <v/>
      </c>
      <c r="E5" s="86">
        <f>F5-1</f>
        <v/>
      </c>
      <c r="F5" s="86">
        <f>G5-1</f>
        <v/>
      </c>
      <c r="G5" s="86">
        <f>H5-1</f>
        <v/>
      </c>
      <c r="H5" s="86">
        <f>I5-1</f>
        <v/>
      </c>
      <c r="I5" s="86">
        <f>YEAR(TODAY())</f>
        <v/>
      </c>
      <c r="J5" s="87" t="inlineStr">
        <is>
          <t>Tổng
Total</t>
        </is>
      </c>
      <c r="K5" s="86" t="inlineStr">
        <is>
          <t>%</t>
        </is>
      </c>
    </row>
    <row r="6" hidden="1" outlineLevel="1" ht="32.25" customHeight="1">
      <c r="A6" s="48" t="n">
        <v>1</v>
      </c>
      <c r="B6" s="107" t="inlineStr">
        <is>
          <t>VNPT IDC - NAM THANG LONG(Inactive)</t>
        </is>
      </c>
      <c r="C6" s="331">
        <f>SUMIFS(DATA!$M:$M,DATA!$C:$C,$B6,DATA!$N:$N,"&gt;="&amp;DATE(C$5,1,1),DATA!$N:$N,"&lt;="&amp;DATE(C$5,12,31))</f>
        <v/>
      </c>
      <c r="D6" s="331">
        <f>SUMIFS(DATA!$M:$M,DATA!$C:$C,$B6,DATA!$N:$N,"&gt;="&amp;DATE(D$5,1,1),DATA!$N:$N,"&lt;="&amp;DATE(D$5,12,31))</f>
        <v/>
      </c>
      <c r="E6" s="331">
        <f>SUMIFS(DATA!$M:$M,DATA!$C:$C,$B6,DATA!$N:$N,"&gt;="&amp;DATE(E$5,1,1),DATA!$N:$N,"&lt;="&amp;DATE(E$5,12,31))</f>
        <v/>
      </c>
      <c r="F6" s="331">
        <f>SUMIFS(DATA!$M:$M,DATA!$C:$C,$B6,DATA!$N:$N,"&gt;="&amp;DATE(F$5,1,1),DATA!$N:$N,"&lt;="&amp;DATE(F$5,12,31))</f>
        <v/>
      </c>
      <c r="G6" s="331">
        <f>SUMIFS(DATA!$M:$M,DATA!$C:$C,$B6,DATA!$N:$N,"&gt;="&amp;DATE(G$5,1,1),DATA!$N:$N,"&lt;="&amp;DATE(G$5,12,31))</f>
        <v/>
      </c>
      <c r="H6" s="331">
        <f>SUMIFS(DATA!$M:$M,DATA!$C:$C,$B6,DATA!$N:$N,"&gt;="&amp;DATE(H$5,1,1),DATA!$N:$N,"&lt;="&amp;DATE(H$5,12,31))</f>
        <v/>
      </c>
      <c r="I6" s="331">
        <f>SUMIFS(DATA!$M:$M,DATA!$C:$C,$B6,DATA!$N:$N,"&gt;="&amp;DATE(I$5,1,1),DATA!$N:$N,"&lt;="&amp;DATE(I$5,12,31))</f>
        <v/>
      </c>
      <c r="J6" s="332">
        <f>SUM(C6:I6)</f>
        <v/>
      </c>
      <c r="K6" s="333">
        <f>J6/$J$506</f>
        <v/>
      </c>
    </row>
    <row r="7" hidden="1" outlineLevel="1" ht="32.25" customHeight="1">
      <c r="A7" s="48" t="n">
        <v>2</v>
      </c>
      <c r="B7" s="107" t="inlineStr">
        <is>
          <t>EMBASSY OF AUSTRALIA</t>
        </is>
      </c>
      <c r="C7" s="331">
        <f>SUMIFS(DATA!$M:$M,DATA!$C:$C,$B7,DATA!$N:$N,"&gt;="&amp;DATE(C$5,1,1),DATA!$N:$N,"&lt;="&amp;DATE(C$5,12,31))</f>
        <v/>
      </c>
      <c r="D7" s="331">
        <f>SUMIFS(DATA!$M:$M,DATA!$C:$C,$B7,DATA!$N:$N,"&gt;="&amp;DATE(D$5,1,1),DATA!$N:$N,"&lt;="&amp;DATE(D$5,12,31))</f>
        <v/>
      </c>
      <c r="E7" s="331">
        <f>SUMIFS(DATA!$M:$M,DATA!$C:$C,$B7,DATA!$N:$N,"&gt;="&amp;DATE(E$5,1,1),DATA!$N:$N,"&lt;="&amp;DATE(E$5,12,31))</f>
        <v/>
      </c>
      <c r="F7" s="331">
        <f>SUMIFS(DATA!$M:$M,DATA!$C:$C,$B7,DATA!$N:$N,"&gt;="&amp;DATE(F$5,1,1),DATA!$N:$N,"&lt;="&amp;DATE(F$5,12,31))</f>
        <v/>
      </c>
      <c r="G7" s="331">
        <f>SUMIFS(DATA!$M:$M,DATA!$C:$C,$B7,DATA!$N:$N,"&gt;="&amp;DATE(G$5,1,1),DATA!$N:$N,"&lt;="&amp;DATE(G$5,12,31))</f>
        <v/>
      </c>
      <c r="H7" s="331">
        <f>SUMIFS(DATA!$M:$M,DATA!$C:$C,$B7,DATA!$N:$N,"&gt;="&amp;DATE(H$5,1,1),DATA!$N:$N,"&lt;="&amp;DATE(H$5,12,31))</f>
        <v/>
      </c>
      <c r="I7" s="331">
        <f>SUMIFS(DATA!$M:$M,DATA!$C:$C,$B7,DATA!$N:$N,"&gt;="&amp;DATE(I$5,1,1),DATA!$N:$N,"&lt;="&amp;DATE(I$5,12,31))</f>
        <v/>
      </c>
      <c r="J7" s="332">
        <f>SUM(C7:I7)</f>
        <v/>
      </c>
      <c r="K7" s="333">
        <f>J7/$J$506</f>
        <v/>
      </c>
    </row>
    <row r="8" hidden="1" outlineLevel="1" ht="32.25" customHeight="1">
      <c r="A8" s="48" t="n">
        <v>3</v>
      </c>
      <c r="B8" s="107" t="inlineStr">
        <is>
          <t>YAMAHA MOTOR VIETNAM</t>
        </is>
      </c>
      <c r="C8" s="331">
        <f>SUMIFS(DATA!$M:$M,DATA!$C:$C,$B8,DATA!$N:$N,"&gt;="&amp;DATE(C$5,1,1),DATA!$N:$N,"&lt;="&amp;DATE(C$5,12,31))</f>
        <v/>
      </c>
      <c r="D8" s="331">
        <f>SUMIFS(DATA!$M:$M,DATA!$C:$C,$B8,DATA!$N:$N,"&gt;="&amp;DATE(D$5,1,1),DATA!$N:$N,"&lt;="&amp;DATE(D$5,12,31))</f>
        <v/>
      </c>
      <c r="E8" s="331">
        <f>SUMIFS(DATA!$M:$M,DATA!$C:$C,$B8,DATA!$N:$N,"&gt;="&amp;DATE(E$5,1,1),DATA!$N:$N,"&lt;="&amp;DATE(E$5,12,31))</f>
        <v/>
      </c>
      <c r="F8" s="331">
        <f>SUMIFS(DATA!$M:$M,DATA!$C:$C,$B8,DATA!$N:$N,"&gt;="&amp;DATE(F$5,1,1),DATA!$N:$N,"&lt;="&amp;DATE(F$5,12,31))</f>
        <v/>
      </c>
      <c r="G8" s="331">
        <f>SUMIFS(DATA!$M:$M,DATA!$C:$C,$B8,DATA!$N:$N,"&gt;="&amp;DATE(G$5,1,1),DATA!$N:$N,"&lt;="&amp;DATE(G$5,12,31))</f>
        <v/>
      </c>
      <c r="H8" s="331">
        <f>SUMIFS(DATA!$M:$M,DATA!$C:$C,$B8,DATA!$N:$N,"&gt;="&amp;DATE(H$5,1,1),DATA!$N:$N,"&lt;="&amp;DATE(H$5,12,31))</f>
        <v/>
      </c>
      <c r="I8" s="331">
        <f>SUMIFS(DATA!$M:$M,DATA!$C:$C,$B8,DATA!$N:$N,"&gt;="&amp;DATE(I$5,1,1),DATA!$N:$N,"&lt;="&amp;DATE(I$5,12,31))</f>
        <v/>
      </c>
      <c r="J8" s="332">
        <f>SUM(C8:I8)</f>
        <v/>
      </c>
      <c r="K8" s="333">
        <f>J8/$J$506</f>
        <v/>
      </c>
    </row>
    <row r="9" hidden="1" outlineLevel="1" ht="32.25" customHeight="1">
      <c r="A9" s="48" t="n">
        <v>4</v>
      </c>
      <c r="B9" s="107" t="inlineStr">
        <is>
          <t>CÔNG TY TNHH THÁP LÁNG HẠ</t>
        </is>
      </c>
      <c r="C9" s="331">
        <f>SUMIFS(DATA!$M:$M,DATA!$C:$C,$B9,DATA!$N:$N,"&gt;="&amp;DATE(C$5,1,1),DATA!$N:$N,"&lt;="&amp;DATE(C$5,12,31))</f>
        <v/>
      </c>
      <c r="D9" s="331">
        <f>SUMIFS(DATA!$M:$M,DATA!$C:$C,$B9,DATA!$N:$N,"&gt;="&amp;DATE(D$5,1,1),DATA!$N:$N,"&lt;="&amp;DATE(D$5,12,31))</f>
        <v/>
      </c>
      <c r="E9" s="331">
        <f>SUMIFS(DATA!$M:$M,DATA!$C:$C,$B9,DATA!$N:$N,"&gt;="&amp;DATE(E$5,1,1),DATA!$N:$N,"&lt;="&amp;DATE(E$5,12,31))</f>
        <v/>
      </c>
      <c r="F9" s="331">
        <f>SUMIFS(DATA!$M:$M,DATA!$C:$C,$B9,DATA!$N:$N,"&gt;="&amp;DATE(F$5,1,1),DATA!$N:$N,"&lt;="&amp;DATE(F$5,12,31))</f>
        <v/>
      </c>
      <c r="G9" s="331">
        <f>SUMIFS(DATA!$M:$M,DATA!$C:$C,$B9,DATA!$N:$N,"&gt;="&amp;DATE(G$5,1,1),DATA!$N:$N,"&lt;="&amp;DATE(G$5,12,31))</f>
        <v/>
      </c>
      <c r="H9" s="331">
        <f>SUMIFS(DATA!$M:$M,DATA!$C:$C,$B9,DATA!$N:$N,"&gt;="&amp;DATE(H$5,1,1),DATA!$N:$N,"&lt;="&amp;DATE(H$5,12,31))</f>
        <v/>
      </c>
      <c r="I9" s="331">
        <f>SUMIFS(DATA!$M:$M,DATA!$C:$C,$B9,DATA!$N:$N,"&gt;="&amp;DATE(I$5,1,1),DATA!$N:$N,"&lt;="&amp;DATE(I$5,12,31))</f>
        <v/>
      </c>
      <c r="J9" s="332">
        <f>SUM(C9:I9)</f>
        <v/>
      </c>
      <c r="K9" s="333">
        <f>J9/$J$506</f>
        <v/>
      </c>
    </row>
    <row r="10" hidden="1" outlineLevel="1" ht="32.25" customHeight="1">
      <c r="A10" s="48" t="n">
        <v>5</v>
      </c>
      <c r="B10" s="107" t="inlineStr">
        <is>
          <t>TRUNG TÂM HẠ TẦNG IDC - CÔNG TY CÔNG NGHỆ THÔNG TIN VNPT (VNPT-IT)</t>
        </is>
      </c>
      <c r="C10" s="331">
        <f>SUMIFS(DATA!$M:$M,DATA!$C:$C,$B10,DATA!$N:$N,"&gt;="&amp;DATE(C$5,1,1),DATA!$N:$N,"&lt;="&amp;DATE(C$5,12,31))</f>
        <v/>
      </c>
      <c r="D10" s="331">
        <f>SUMIFS(DATA!$M:$M,DATA!$C:$C,$B10,DATA!$N:$N,"&gt;="&amp;DATE(D$5,1,1),DATA!$N:$N,"&lt;="&amp;DATE(D$5,12,31))</f>
        <v/>
      </c>
      <c r="E10" s="331">
        <f>SUMIFS(DATA!$M:$M,DATA!$C:$C,$B10,DATA!$N:$N,"&gt;="&amp;DATE(E$5,1,1),DATA!$N:$N,"&lt;="&amp;DATE(E$5,12,31))</f>
        <v/>
      </c>
      <c r="F10" s="331">
        <f>SUMIFS(DATA!$M:$M,DATA!$C:$C,$B10,DATA!$N:$N,"&gt;="&amp;DATE(F$5,1,1),DATA!$N:$N,"&lt;="&amp;DATE(F$5,12,31))</f>
        <v/>
      </c>
      <c r="G10" s="331">
        <f>SUMIFS(DATA!$M:$M,DATA!$C:$C,$B10,DATA!$N:$N,"&gt;="&amp;DATE(G$5,1,1),DATA!$N:$N,"&lt;="&amp;DATE(G$5,12,31))</f>
        <v/>
      </c>
      <c r="H10" s="331">
        <f>SUMIFS(DATA!$M:$M,DATA!$C:$C,$B10,DATA!$N:$N,"&gt;="&amp;DATE(H$5,1,1),DATA!$N:$N,"&lt;="&amp;DATE(H$5,12,31))</f>
        <v/>
      </c>
      <c r="I10" s="331">
        <f>SUMIFS(DATA!$M:$M,DATA!$C:$C,$B10,DATA!$N:$N,"&gt;="&amp;DATE(I$5,1,1),DATA!$N:$N,"&lt;="&amp;DATE(I$5,12,31))</f>
        <v/>
      </c>
      <c r="J10" s="332">
        <f>SUM(C10:I10)</f>
        <v/>
      </c>
      <c r="K10" s="333">
        <f>J10/$J$506</f>
        <v/>
      </c>
    </row>
    <row r="11" hidden="1" outlineLevel="1" ht="32.25" customHeight="1">
      <c r="A11" s="48" t="n">
        <v>6</v>
      </c>
      <c r="B11" s="107" t="inlineStr">
        <is>
          <t>CRYSTAL MARTIN VIETNAM</t>
        </is>
      </c>
      <c r="C11" s="331">
        <f>SUMIFS(DATA!$M:$M,DATA!$C:$C,$B11,DATA!$N:$N,"&gt;="&amp;DATE(C$5,1,1),DATA!$N:$N,"&lt;="&amp;DATE(C$5,12,31))</f>
        <v/>
      </c>
      <c r="D11" s="331">
        <f>SUMIFS(DATA!$M:$M,DATA!$C:$C,$B11,DATA!$N:$N,"&gt;="&amp;DATE(D$5,1,1),DATA!$N:$N,"&lt;="&amp;DATE(D$5,12,31))</f>
        <v/>
      </c>
      <c r="E11" s="331">
        <f>SUMIFS(DATA!$M:$M,DATA!$C:$C,$B11,DATA!$N:$N,"&gt;="&amp;DATE(E$5,1,1),DATA!$N:$N,"&lt;="&amp;DATE(E$5,12,31))</f>
        <v/>
      </c>
      <c r="F11" s="331">
        <f>SUMIFS(DATA!$M:$M,DATA!$C:$C,$B11,DATA!$N:$N,"&gt;="&amp;DATE(F$5,1,1),DATA!$N:$N,"&lt;="&amp;DATE(F$5,12,31))</f>
        <v/>
      </c>
      <c r="G11" s="331">
        <f>SUMIFS(DATA!$M:$M,DATA!$C:$C,$B11,DATA!$N:$N,"&gt;="&amp;DATE(G$5,1,1),DATA!$N:$N,"&lt;="&amp;DATE(G$5,12,31))</f>
        <v/>
      </c>
      <c r="H11" s="331">
        <f>SUMIFS(DATA!$M:$M,DATA!$C:$C,$B11,DATA!$N:$N,"&gt;="&amp;DATE(H$5,1,1),DATA!$N:$N,"&lt;="&amp;DATE(H$5,12,31))</f>
        <v/>
      </c>
      <c r="I11" s="331">
        <f>SUMIFS(DATA!$M:$M,DATA!$C:$C,$B11,DATA!$N:$N,"&gt;="&amp;DATE(I$5,1,1),DATA!$N:$N,"&lt;="&amp;DATE(I$5,12,31))</f>
        <v/>
      </c>
      <c r="J11" s="332">
        <f>SUM(C11:I11)</f>
        <v/>
      </c>
      <c r="K11" s="333">
        <f>J11/$J$506</f>
        <v/>
      </c>
    </row>
    <row r="12" hidden="1" outlineLevel="1" ht="32.25" customHeight="1">
      <c r="A12" s="48" t="n">
        <v>7</v>
      </c>
      <c r="B12" s="107" t="inlineStr">
        <is>
          <t>RMIT UNIVERSITY</t>
        </is>
      </c>
      <c r="C12" s="331">
        <f>SUMIFS(DATA!$M:$M,DATA!$C:$C,$B12,DATA!$N:$N,"&gt;="&amp;DATE(C$5,1,1),DATA!$N:$N,"&lt;="&amp;DATE(C$5,12,31))</f>
        <v/>
      </c>
      <c r="D12" s="331">
        <f>SUMIFS(DATA!$M:$M,DATA!$C:$C,$B12,DATA!$N:$N,"&gt;="&amp;DATE(D$5,1,1),DATA!$N:$N,"&lt;="&amp;DATE(D$5,12,31))</f>
        <v/>
      </c>
      <c r="E12" s="331">
        <f>SUMIFS(DATA!$M:$M,DATA!$C:$C,$B12,DATA!$N:$N,"&gt;="&amp;DATE(E$5,1,1),DATA!$N:$N,"&lt;="&amp;DATE(E$5,12,31))</f>
        <v/>
      </c>
      <c r="F12" s="331">
        <f>SUMIFS(DATA!$M:$M,DATA!$C:$C,$B12,DATA!$N:$N,"&gt;="&amp;DATE(F$5,1,1),DATA!$N:$N,"&lt;="&amp;DATE(F$5,12,31))</f>
        <v/>
      </c>
      <c r="G12" s="331">
        <f>SUMIFS(DATA!$M:$M,DATA!$C:$C,$B12,DATA!$N:$N,"&gt;="&amp;DATE(G$5,1,1),DATA!$N:$N,"&lt;="&amp;DATE(G$5,12,31))</f>
        <v/>
      </c>
      <c r="H12" s="331">
        <f>SUMIFS(DATA!$M:$M,DATA!$C:$C,$B12,DATA!$N:$N,"&gt;="&amp;DATE(H$5,1,1),DATA!$N:$N,"&lt;="&amp;DATE(H$5,12,31))</f>
        <v/>
      </c>
      <c r="I12" s="331">
        <f>SUMIFS(DATA!$M:$M,DATA!$C:$C,$B12,DATA!$N:$N,"&gt;="&amp;DATE(I$5,1,1),DATA!$N:$N,"&lt;="&amp;DATE(I$5,12,31))</f>
        <v/>
      </c>
      <c r="J12" s="332">
        <f>SUM(C12:I12)</f>
        <v/>
      </c>
      <c r="K12" s="333">
        <f>J12/$J$506</f>
        <v/>
      </c>
    </row>
    <row r="13" hidden="1" outlineLevel="1" ht="32.25" customHeight="1">
      <c r="A13" s="48" t="n">
        <v>8</v>
      </c>
      <c r="B13" s="107" t="inlineStr">
        <is>
          <t>GOLDEN PALACE MỄ TRÌ</t>
        </is>
      </c>
      <c r="C13" s="331">
        <f>SUMIFS(DATA!$M:$M,DATA!$C:$C,$B13,DATA!$N:$N,"&gt;="&amp;DATE(C$5,1,1),DATA!$N:$N,"&lt;="&amp;DATE(C$5,12,31))</f>
        <v/>
      </c>
      <c r="D13" s="331">
        <f>SUMIFS(DATA!$M:$M,DATA!$C:$C,$B13,DATA!$N:$N,"&gt;="&amp;DATE(D$5,1,1),DATA!$N:$N,"&lt;="&amp;DATE(D$5,12,31))</f>
        <v/>
      </c>
      <c r="E13" s="331">
        <f>SUMIFS(DATA!$M:$M,DATA!$C:$C,$B13,DATA!$N:$N,"&gt;="&amp;DATE(E$5,1,1),DATA!$N:$N,"&lt;="&amp;DATE(E$5,12,31))</f>
        <v/>
      </c>
      <c r="F13" s="331">
        <f>SUMIFS(DATA!$M:$M,DATA!$C:$C,$B13,DATA!$N:$N,"&gt;="&amp;DATE(F$5,1,1),DATA!$N:$N,"&lt;="&amp;DATE(F$5,12,31))</f>
        <v/>
      </c>
      <c r="G13" s="331">
        <f>SUMIFS(DATA!$M:$M,DATA!$C:$C,$B13,DATA!$N:$N,"&gt;="&amp;DATE(G$5,1,1),DATA!$N:$N,"&lt;="&amp;DATE(G$5,12,31))</f>
        <v/>
      </c>
      <c r="H13" s="331">
        <f>SUMIFS(DATA!$M:$M,DATA!$C:$C,$B13,DATA!$N:$N,"&gt;="&amp;DATE(H$5,1,1),DATA!$N:$N,"&lt;="&amp;DATE(H$5,12,31))</f>
        <v/>
      </c>
      <c r="I13" s="331">
        <f>SUMIFS(DATA!$M:$M,DATA!$C:$C,$B13,DATA!$N:$N,"&gt;="&amp;DATE(I$5,1,1),DATA!$N:$N,"&lt;="&amp;DATE(I$5,12,31))</f>
        <v/>
      </c>
      <c r="J13" s="332">
        <f>SUM(C13:I13)</f>
        <v/>
      </c>
      <c r="K13" s="333">
        <f>J13/$J$506</f>
        <v/>
      </c>
    </row>
    <row r="14" hidden="1" outlineLevel="1" ht="32.25" customHeight="1">
      <c r="A14" s="48" t="n">
        <v>9</v>
      </c>
      <c r="B14" s="107" t="inlineStr">
        <is>
          <t>U.S. PEACE CORPS</t>
        </is>
      </c>
      <c r="C14" s="331">
        <f>SUMIFS(DATA!$M:$M,DATA!$C:$C,$B14,DATA!$N:$N,"&gt;="&amp;DATE(C$5,1,1),DATA!$N:$N,"&lt;="&amp;DATE(C$5,12,31))</f>
        <v/>
      </c>
      <c r="D14" s="331">
        <f>SUMIFS(DATA!$M:$M,DATA!$C:$C,$B14,DATA!$N:$N,"&gt;="&amp;DATE(D$5,1,1),DATA!$N:$N,"&lt;="&amp;DATE(D$5,12,31))</f>
        <v/>
      </c>
      <c r="E14" s="331">
        <f>SUMIFS(DATA!$M:$M,DATA!$C:$C,$B14,DATA!$N:$N,"&gt;="&amp;DATE(E$5,1,1),DATA!$N:$N,"&lt;="&amp;DATE(E$5,12,31))</f>
        <v/>
      </c>
      <c r="F14" s="331">
        <f>SUMIFS(DATA!$M:$M,DATA!$C:$C,$B14,DATA!$N:$N,"&gt;="&amp;DATE(F$5,1,1),DATA!$N:$N,"&lt;="&amp;DATE(F$5,12,31))</f>
        <v/>
      </c>
      <c r="G14" s="331">
        <f>SUMIFS(DATA!$M:$M,DATA!$C:$C,$B14,DATA!$N:$N,"&gt;="&amp;DATE(G$5,1,1),DATA!$N:$N,"&lt;="&amp;DATE(G$5,12,31))</f>
        <v/>
      </c>
      <c r="H14" s="331">
        <f>SUMIFS(DATA!$M:$M,DATA!$C:$C,$B14,DATA!$N:$N,"&gt;="&amp;DATE(H$5,1,1),DATA!$N:$N,"&lt;="&amp;DATE(H$5,12,31))</f>
        <v/>
      </c>
      <c r="I14" s="331">
        <f>SUMIFS(DATA!$M:$M,DATA!$C:$C,$B14,DATA!$N:$N,"&gt;="&amp;DATE(I$5,1,1),DATA!$N:$N,"&lt;="&amp;DATE(I$5,12,31))</f>
        <v/>
      </c>
      <c r="J14" s="332">
        <f>SUM(C14:I14)</f>
        <v/>
      </c>
      <c r="K14" s="333">
        <f>J14/$J$506</f>
        <v/>
      </c>
    </row>
    <row r="15" hidden="1" outlineLevel="1" ht="32.25" customHeight="1">
      <c r="A15" s="48" t="n">
        <v>10</v>
      </c>
      <c r="B15" s="107" t="inlineStr">
        <is>
          <t>DETECH TOWER II</t>
        </is>
      </c>
      <c r="C15" s="331">
        <f>SUMIFS(DATA!$M:$M,DATA!$C:$C,$B15,DATA!$N:$N,"&gt;="&amp;DATE(C$5,1,1),DATA!$N:$N,"&lt;="&amp;DATE(C$5,12,31))</f>
        <v/>
      </c>
      <c r="D15" s="331">
        <f>SUMIFS(DATA!$M:$M,DATA!$C:$C,$B15,DATA!$N:$N,"&gt;="&amp;DATE(D$5,1,1),DATA!$N:$N,"&lt;="&amp;DATE(D$5,12,31))</f>
        <v/>
      </c>
      <c r="E15" s="331">
        <f>SUMIFS(DATA!$M:$M,DATA!$C:$C,$B15,DATA!$N:$N,"&gt;="&amp;DATE(E$5,1,1),DATA!$N:$N,"&lt;="&amp;DATE(E$5,12,31))</f>
        <v/>
      </c>
      <c r="F15" s="331">
        <f>SUMIFS(DATA!$M:$M,DATA!$C:$C,$B15,DATA!$N:$N,"&gt;="&amp;DATE(F$5,1,1),DATA!$N:$N,"&lt;="&amp;DATE(F$5,12,31))</f>
        <v/>
      </c>
      <c r="G15" s="331">
        <f>SUMIFS(DATA!$M:$M,DATA!$C:$C,$B15,DATA!$N:$N,"&gt;="&amp;DATE(G$5,1,1),DATA!$N:$N,"&lt;="&amp;DATE(G$5,12,31))</f>
        <v/>
      </c>
      <c r="H15" s="331">
        <f>SUMIFS(DATA!$M:$M,DATA!$C:$C,$B15,DATA!$N:$N,"&gt;="&amp;DATE(H$5,1,1),DATA!$N:$N,"&lt;="&amp;DATE(H$5,12,31))</f>
        <v/>
      </c>
      <c r="I15" s="331">
        <f>SUMIFS(DATA!$M:$M,DATA!$C:$C,$B15,DATA!$N:$N,"&gt;="&amp;DATE(I$5,1,1),DATA!$N:$N,"&lt;="&amp;DATE(I$5,12,31))</f>
        <v/>
      </c>
      <c r="J15" s="332">
        <f>SUM(C15:I15)</f>
        <v/>
      </c>
      <c r="K15" s="333">
        <f>J15/$J$506</f>
        <v/>
      </c>
    </row>
    <row r="16" hidden="1" outlineLevel="1" ht="32.25" customHeight="1">
      <c r="A16" s="48" t="n">
        <v>11</v>
      </c>
      <c r="B16" s="107" t="inlineStr">
        <is>
          <t xml:space="preserve">WIDIA SHINKI VIETNAM </t>
        </is>
      </c>
      <c r="C16" s="331">
        <f>SUMIFS(DATA!$M:$M,DATA!$C:$C,$B16,DATA!$N:$N,"&gt;="&amp;DATE(C$5,1,1),DATA!$N:$N,"&lt;="&amp;DATE(C$5,12,31))</f>
        <v/>
      </c>
      <c r="D16" s="331">
        <f>SUMIFS(DATA!$M:$M,DATA!$C:$C,$B16,DATA!$N:$N,"&gt;="&amp;DATE(D$5,1,1),DATA!$N:$N,"&lt;="&amp;DATE(D$5,12,31))</f>
        <v/>
      </c>
      <c r="E16" s="331">
        <f>SUMIFS(DATA!$M:$M,DATA!$C:$C,$B16,DATA!$N:$N,"&gt;="&amp;DATE(E$5,1,1),DATA!$N:$N,"&lt;="&amp;DATE(E$5,12,31))</f>
        <v/>
      </c>
      <c r="F16" s="331">
        <f>SUMIFS(DATA!$M:$M,DATA!$C:$C,$B16,DATA!$N:$N,"&gt;="&amp;DATE(F$5,1,1),DATA!$N:$N,"&lt;="&amp;DATE(F$5,12,31))</f>
        <v/>
      </c>
      <c r="G16" s="331">
        <f>SUMIFS(DATA!$M:$M,DATA!$C:$C,$B16,DATA!$N:$N,"&gt;="&amp;DATE(G$5,1,1),DATA!$N:$N,"&lt;="&amp;DATE(G$5,12,31))</f>
        <v/>
      </c>
      <c r="H16" s="331">
        <f>SUMIFS(DATA!$M:$M,DATA!$C:$C,$B16,DATA!$N:$N,"&gt;="&amp;DATE(H$5,1,1),DATA!$N:$N,"&lt;="&amp;DATE(H$5,12,31))</f>
        <v/>
      </c>
      <c r="I16" s="331">
        <f>SUMIFS(DATA!$M:$M,DATA!$C:$C,$B16,DATA!$N:$N,"&gt;="&amp;DATE(I$5,1,1),DATA!$N:$N,"&lt;="&amp;DATE(I$5,12,31))</f>
        <v/>
      </c>
      <c r="J16" s="332">
        <f>SUM(C16:I16)</f>
        <v/>
      </c>
      <c r="K16" s="333">
        <f>J16/$J$506</f>
        <v/>
      </c>
    </row>
    <row r="17" hidden="1" outlineLevel="1" ht="32.25" customHeight="1">
      <c r="A17" s="48" t="n">
        <v>12</v>
      </c>
      <c r="B17" s="107" t="inlineStr">
        <is>
          <t>GENTHERM VIETNAM CO., LTD</t>
        </is>
      </c>
      <c r="C17" s="331">
        <f>SUMIFS(DATA!$M:$M,DATA!$C:$C,$B17,DATA!$N:$N,"&gt;="&amp;DATE(C$5,1,1),DATA!$N:$N,"&lt;="&amp;DATE(C$5,12,31))</f>
        <v/>
      </c>
      <c r="D17" s="331">
        <f>SUMIFS(DATA!$M:$M,DATA!$C:$C,$B17,DATA!$N:$N,"&gt;="&amp;DATE(D$5,1,1),DATA!$N:$N,"&lt;="&amp;DATE(D$5,12,31))</f>
        <v/>
      </c>
      <c r="E17" s="331">
        <f>SUMIFS(DATA!$M:$M,DATA!$C:$C,$B17,DATA!$N:$N,"&gt;="&amp;DATE(E$5,1,1),DATA!$N:$N,"&lt;="&amp;DATE(E$5,12,31))</f>
        <v/>
      </c>
      <c r="F17" s="331">
        <f>SUMIFS(DATA!$M:$M,DATA!$C:$C,$B17,DATA!$N:$N,"&gt;="&amp;DATE(F$5,1,1),DATA!$N:$N,"&lt;="&amp;DATE(F$5,12,31))</f>
        <v/>
      </c>
      <c r="G17" s="331">
        <f>SUMIFS(DATA!$M:$M,DATA!$C:$C,$B17,DATA!$N:$N,"&gt;="&amp;DATE(G$5,1,1),DATA!$N:$N,"&lt;="&amp;DATE(G$5,12,31))</f>
        <v/>
      </c>
      <c r="H17" s="331">
        <f>SUMIFS(DATA!$M:$M,DATA!$C:$C,$B17,DATA!$N:$N,"&gt;="&amp;DATE(H$5,1,1),DATA!$N:$N,"&lt;="&amp;DATE(H$5,12,31))</f>
        <v/>
      </c>
      <c r="I17" s="331">
        <f>SUMIFS(DATA!$M:$M,DATA!$C:$C,$B17,DATA!$N:$N,"&gt;="&amp;DATE(I$5,1,1),DATA!$N:$N,"&lt;="&amp;DATE(I$5,12,31))</f>
        <v/>
      </c>
      <c r="J17" s="332">
        <f>SUM(C17:I17)</f>
        <v/>
      </c>
      <c r="K17" s="333">
        <f>J17/$J$506</f>
        <v/>
      </c>
    </row>
    <row r="18" hidden="1" outlineLevel="1" ht="32.25" customHeight="1">
      <c r="A18" s="48" t="n">
        <v>13</v>
      </c>
      <c r="B18" s="107" t="inlineStr">
        <is>
          <t>FALCON VIETNAM</t>
        </is>
      </c>
      <c r="C18" s="331">
        <f>SUMIFS(DATA!$M:$M,DATA!$C:$C,$B18,DATA!$N:$N,"&gt;="&amp;DATE(C$5,1,1),DATA!$N:$N,"&lt;="&amp;DATE(C$5,12,31))</f>
        <v/>
      </c>
      <c r="D18" s="331">
        <f>SUMIFS(DATA!$M:$M,DATA!$C:$C,$B18,DATA!$N:$N,"&gt;="&amp;DATE(D$5,1,1),DATA!$N:$N,"&lt;="&amp;DATE(D$5,12,31))</f>
        <v/>
      </c>
      <c r="E18" s="331">
        <f>SUMIFS(DATA!$M:$M,DATA!$C:$C,$B18,DATA!$N:$N,"&gt;="&amp;DATE(E$5,1,1),DATA!$N:$N,"&lt;="&amp;DATE(E$5,12,31))</f>
        <v/>
      </c>
      <c r="F18" s="331">
        <f>SUMIFS(DATA!$M:$M,DATA!$C:$C,$B18,DATA!$N:$N,"&gt;="&amp;DATE(F$5,1,1),DATA!$N:$N,"&lt;="&amp;DATE(F$5,12,31))</f>
        <v/>
      </c>
      <c r="G18" s="331">
        <f>SUMIFS(DATA!$M:$M,DATA!$C:$C,$B18,DATA!$N:$N,"&gt;="&amp;DATE(G$5,1,1),DATA!$N:$N,"&lt;="&amp;DATE(G$5,12,31))</f>
        <v/>
      </c>
      <c r="H18" s="331">
        <f>SUMIFS(DATA!$M:$M,DATA!$C:$C,$B18,DATA!$N:$N,"&gt;="&amp;DATE(H$5,1,1),DATA!$N:$N,"&lt;="&amp;DATE(H$5,12,31))</f>
        <v/>
      </c>
      <c r="I18" s="331">
        <f>SUMIFS(DATA!$M:$M,DATA!$C:$C,$B18,DATA!$N:$N,"&gt;="&amp;DATE(I$5,1,1),DATA!$N:$N,"&lt;="&amp;DATE(I$5,12,31))</f>
        <v/>
      </c>
      <c r="J18" s="332">
        <f>SUM(C18:I18)</f>
        <v/>
      </c>
      <c r="K18" s="333">
        <f>J18/$J$506</f>
        <v/>
      </c>
    </row>
    <row r="19" hidden="1" outlineLevel="1" ht="32.25" customHeight="1">
      <c r="A19" s="48" t="n">
        <v>14</v>
      </c>
      <c r="B19" s="107" t="inlineStr">
        <is>
          <t>HORISON TOWER</t>
        </is>
      </c>
      <c r="C19" s="331">
        <f>SUMIFS(DATA!$M:$M,DATA!$C:$C,$B19,DATA!$N:$N,"&gt;="&amp;DATE(C$5,1,1),DATA!$N:$N,"&lt;="&amp;DATE(C$5,12,31))</f>
        <v/>
      </c>
      <c r="D19" s="331">
        <f>SUMIFS(DATA!$M:$M,DATA!$C:$C,$B19,DATA!$N:$N,"&gt;="&amp;DATE(D$5,1,1),DATA!$N:$N,"&lt;="&amp;DATE(D$5,12,31))</f>
        <v/>
      </c>
      <c r="E19" s="331">
        <f>SUMIFS(DATA!$M:$M,DATA!$C:$C,$B19,DATA!$N:$N,"&gt;="&amp;DATE(E$5,1,1),DATA!$N:$N,"&lt;="&amp;DATE(E$5,12,31))</f>
        <v/>
      </c>
      <c r="F19" s="331">
        <f>SUMIFS(DATA!$M:$M,DATA!$C:$C,$B19,DATA!$N:$N,"&gt;="&amp;DATE(F$5,1,1),DATA!$N:$N,"&lt;="&amp;DATE(F$5,12,31))</f>
        <v/>
      </c>
      <c r="G19" s="331">
        <f>SUMIFS(DATA!$M:$M,DATA!$C:$C,$B19,DATA!$N:$N,"&gt;="&amp;DATE(G$5,1,1),DATA!$N:$N,"&lt;="&amp;DATE(G$5,12,31))</f>
        <v/>
      </c>
      <c r="H19" s="331">
        <f>SUMIFS(DATA!$M:$M,DATA!$C:$C,$B19,DATA!$N:$N,"&gt;="&amp;DATE(H$5,1,1),DATA!$N:$N,"&lt;="&amp;DATE(H$5,12,31))</f>
        <v/>
      </c>
      <c r="I19" s="331">
        <f>SUMIFS(DATA!$M:$M,DATA!$C:$C,$B19,DATA!$N:$N,"&gt;="&amp;DATE(I$5,1,1),DATA!$N:$N,"&lt;="&amp;DATE(I$5,12,31))</f>
        <v/>
      </c>
      <c r="J19" s="332">
        <f>SUM(C19:I19)</f>
        <v/>
      </c>
      <c r="K19" s="333">
        <f>J19/$J$506</f>
        <v/>
      </c>
      <c r="L19" s="334" t="n"/>
    </row>
    <row r="20" hidden="1" outlineLevel="1" ht="32.25" customHeight="1">
      <c r="A20" s="48" t="n">
        <v>15</v>
      </c>
      <c r="B20" s="107" t="inlineStr">
        <is>
          <t>EMBASSY OF FRANCE</t>
        </is>
      </c>
      <c r="C20" s="331">
        <f>SUMIFS(DATA!$M:$M,DATA!$C:$C,$B20,DATA!$N:$N,"&gt;="&amp;DATE(C$5,1,1),DATA!$N:$N,"&lt;="&amp;DATE(C$5,12,31))</f>
        <v/>
      </c>
      <c r="D20" s="331">
        <f>SUMIFS(DATA!$M:$M,DATA!$C:$C,$B20,DATA!$N:$N,"&gt;="&amp;DATE(D$5,1,1),DATA!$N:$N,"&lt;="&amp;DATE(D$5,12,31))</f>
        <v/>
      </c>
      <c r="E20" s="331">
        <f>SUMIFS(DATA!$M:$M,DATA!$C:$C,$B20,DATA!$N:$N,"&gt;="&amp;DATE(E$5,1,1),DATA!$N:$N,"&lt;="&amp;DATE(E$5,12,31))</f>
        <v/>
      </c>
      <c r="F20" s="331">
        <f>SUMIFS(DATA!$M:$M,DATA!$C:$C,$B20,DATA!$N:$N,"&gt;="&amp;DATE(F$5,1,1),DATA!$N:$N,"&lt;="&amp;DATE(F$5,12,31))</f>
        <v/>
      </c>
      <c r="G20" s="331">
        <f>SUMIFS(DATA!$M:$M,DATA!$C:$C,$B20,DATA!$N:$N,"&gt;="&amp;DATE(G$5,1,1),DATA!$N:$N,"&lt;="&amp;DATE(G$5,12,31))</f>
        <v/>
      </c>
      <c r="H20" s="331">
        <f>SUMIFS(DATA!$M:$M,DATA!$C:$C,$B20,DATA!$N:$N,"&gt;="&amp;DATE(H$5,1,1),DATA!$N:$N,"&lt;="&amp;DATE(H$5,12,31))</f>
        <v/>
      </c>
      <c r="I20" s="331">
        <f>SUMIFS(DATA!$M:$M,DATA!$C:$C,$B20,DATA!$N:$N,"&gt;="&amp;DATE(I$5,1,1),DATA!$N:$N,"&lt;="&amp;DATE(I$5,12,31))</f>
        <v/>
      </c>
      <c r="J20" s="332">
        <f>SUM(C20:I20)</f>
        <v/>
      </c>
      <c r="K20" s="333">
        <f>J20/$J$506</f>
        <v/>
      </c>
    </row>
    <row r="21" hidden="1" outlineLevel="1" ht="32.25" customHeight="1">
      <c r="A21" s="48" t="n">
        <v>16</v>
      </c>
      <c r="B21" s="107" t="inlineStr">
        <is>
          <t>PHC COMPLEX</t>
        </is>
      </c>
      <c r="C21" s="331">
        <f>SUMIFS(DATA!$M:$M,DATA!$C:$C,$B21,DATA!$N:$N,"&gt;="&amp;DATE(C$5,1,1),DATA!$N:$N,"&lt;="&amp;DATE(C$5,12,31))</f>
        <v/>
      </c>
      <c r="D21" s="331">
        <f>SUMIFS(DATA!$M:$M,DATA!$C:$C,$B21,DATA!$N:$N,"&gt;="&amp;DATE(D$5,1,1),DATA!$N:$N,"&lt;="&amp;DATE(D$5,12,31))</f>
        <v/>
      </c>
      <c r="E21" s="331">
        <f>SUMIFS(DATA!$M:$M,DATA!$C:$C,$B21,DATA!$N:$N,"&gt;="&amp;DATE(E$5,1,1),DATA!$N:$N,"&lt;="&amp;DATE(E$5,12,31))</f>
        <v/>
      </c>
      <c r="F21" s="331">
        <f>SUMIFS(DATA!$M:$M,DATA!$C:$C,$B21,DATA!$N:$N,"&gt;="&amp;DATE(F$5,1,1),DATA!$N:$N,"&lt;="&amp;DATE(F$5,12,31))</f>
        <v/>
      </c>
      <c r="G21" s="331">
        <f>SUMIFS(DATA!$M:$M,DATA!$C:$C,$B21,DATA!$N:$N,"&gt;="&amp;DATE(G$5,1,1),DATA!$N:$N,"&lt;="&amp;DATE(G$5,12,31))</f>
        <v/>
      </c>
      <c r="H21" s="331">
        <f>SUMIFS(DATA!$M:$M,DATA!$C:$C,$B21,DATA!$N:$N,"&gt;="&amp;DATE(H$5,1,1),DATA!$N:$N,"&lt;="&amp;DATE(H$5,12,31))</f>
        <v/>
      </c>
      <c r="I21" s="331">
        <f>SUMIFS(DATA!$M:$M,DATA!$C:$C,$B21,DATA!$N:$N,"&gt;="&amp;DATE(I$5,1,1),DATA!$N:$N,"&lt;="&amp;DATE(I$5,12,31))</f>
        <v/>
      </c>
      <c r="J21" s="332">
        <f>SUM(C21:I21)</f>
        <v/>
      </c>
      <c r="K21" s="333">
        <f>J21/$J$506</f>
        <v/>
      </c>
    </row>
    <row r="22" hidden="1" outlineLevel="1" ht="32.25" customHeight="1">
      <c r="A22" s="48" t="n">
        <v>17</v>
      </c>
      <c r="B22" s="107" t="inlineStr">
        <is>
          <t>FSOFT - DUY TÂN</t>
        </is>
      </c>
      <c r="C22" s="331">
        <f>SUMIFS(DATA!$M:$M,DATA!$C:$C,$B22,DATA!$N:$N,"&gt;="&amp;DATE(C$5,1,1),DATA!$N:$N,"&lt;="&amp;DATE(C$5,12,31))</f>
        <v/>
      </c>
      <c r="D22" s="331">
        <f>SUMIFS(DATA!$M:$M,DATA!$C:$C,$B22,DATA!$N:$N,"&gt;="&amp;DATE(D$5,1,1),DATA!$N:$N,"&lt;="&amp;DATE(D$5,12,31))</f>
        <v/>
      </c>
      <c r="E22" s="331">
        <f>SUMIFS(DATA!$M:$M,DATA!$C:$C,$B22,DATA!$N:$N,"&gt;="&amp;DATE(E$5,1,1),DATA!$N:$N,"&lt;="&amp;DATE(E$5,12,31))</f>
        <v/>
      </c>
      <c r="F22" s="331">
        <f>SUMIFS(DATA!$M:$M,DATA!$C:$C,$B22,DATA!$N:$N,"&gt;="&amp;DATE(F$5,1,1),DATA!$N:$N,"&lt;="&amp;DATE(F$5,12,31))</f>
        <v/>
      </c>
      <c r="G22" s="331">
        <f>SUMIFS(DATA!$M:$M,DATA!$C:$C,$B22,DATA!$N:$N,"&gt;="&amp;DATE(G$5,1,1),DATA!$N:$N,"&lt;="&amp;DATE(G$5,12,31))</f>
        <v/>
      </c>
      <c r="H22" s="331">
        <f>SUMIFS(DATA!$M:$M,DATA!$C:$C,$B22,DATA!$N:$N,"&gt;="&amp;DATE(H$5,1,1),DATA!$N:$N,"&lt;="&amp;DATE(H$5,12,31))</f>
        <v/>
      </c>
      <c r="I22" s="331">
        <f>SUMIFS(DATA!$M:$M,DATA!$C:$C,$B22,DATA!$N:$N,"&gt;="&amp;DATE(I$5,1,1),DATA!$N:$N,"&lt;="&amp;DATE(I$5,12,31))</f>
        <v/>
      </c>
      <c r="J22" s="332">
        <f>SUM(C22:I22)</f>
        <v/>
      </c>
      <c r="K22" s="333">
        <f>J22/$J$506</f>
        <v/>
      </c>
    </row>
    <row r="23" hidden="1" outlineLevel="1" ht="32.25" customHeight="1">
      <c r="A23" s="48" t="n">
        <v>18</v>
      </c>
      <c r="B23" s="107" t="inlineStr">
        <is>
          <t>US EMBASSY HANOI</t>
        </is>
      </c>
      <c r="C23" s="331">
        <f>SUMIFS(DATA!$M:$M,DATA!$C:$C,$B23,DATA!$N:$N,"&gt;="&amp;DATE(C$5,1,1),DATA!$N:$N,"&lt;="&amp;DATE(C$5,12,31))</f>
        <v/>
      </c>
      <c r="D23" s="331">
        <f>SUMIFS(DATA!$M:$M,DATA!$C:$C,$B23,DATA!$N:$N,"&gt;="&amp;DATE(D$5,1,1),DATA!$N:$N,"&lt;="&amp;DATE(D$5,12,31))</f>
        <v/>
      </c>
      <c r="E23" s="331">
        <f>SUMIFS(DATA!$M:$M,DATA!$C:$C,$B23,DATA!$N:$N,"&gt;="&amp;DATE(E$5,1,1),DATA!$N:$N,"&lt;="&amp;DATE(E$5,12,31))</f>
        <v/>
      </c>
      <c r="F23" s="331">
        <f>SUMIFS(DATA!$M:$M,DATA!$C:$C,$B23,DATA!$N:$N,"&gt;="&amp;DATE(F$5,1,1),DATA!$N:$N,"&lt;="&amp;DATE(F$5,12,31))</f>
        <v/>
      </c>
      <c r="G23" s="331">
        <f>SUMIFS(DATA!$M:$M,DATA!$C:$C,$B23,DATA!$N:$N,"&gt;="&amp;DATE(G$5,1,1),DATA!$N:$N,"&lt;="&amp;DATE(G$5,12,31))</f>
        <v/>
      </c>
      <c r="H23" s="331">
        <f>SUMIFS(DATA!$M:$M,DATA!$C:$C,$B23,DATA!$N:$N,"&gt;="&amp;DATE(H$5,1,1),DATA!$N:$N,"&lt;="&amp;DATE(H$5,12,31))</f>
        <v/>
      </c>
      <c r="I23" s="331">
        <f>SUMIFS(DATA!$M:$M,DATA!$C:$C,$B23,DATA!$N:$N,"&gt;="&amp;DATE(I$5,1,1),DATA!$N:$N,"&lt;="&amp;DATE(I$5,12,31))</f>
        <v/>
      </c>
      <c r="J23" s="332">
        <f>SUM(C23:I23)</f>
        <v/>
      </c>
      <c r="K23" s="333">
        <f>J23/$J$506</f>
        <v/>
      </c>
    </row>
    <row r="24" hidden="1" outlineLevel="1" ht="32.25" customHeight="1">
      <c r="A24" s="48" t="n">
        <v>19</v>
      </c>
      <c r="B24" s="107" t="inlineStr">
        <is>
          <t>FIVE STAR GARDEN</t>
        </is>
      </c>
      <c r="C24" s="331">
        <f>SUMIFS(DATA!$M:$M,DATA!$C:$C,$B24,DATA!$N:$N,"&gt;="&amp;DATE(C$5,1,1),DATA!$N:$N,"&lt;="&amp;DATE(C$5,12,31))</f>
        <v/>
      </c>
      <c r="D24" s="331">
        <f>SUMIFS(DATA!$M:$M,DATA!$C:$C,$B24,DATA!$N:$N,"&gt;="&amp;DATE(D$5,1,1),DATA!$N:$N,"&lt;="&amp;DATE(D$5,12,31))</f>
        <v/>
      </c>
      <c r="E24" s="331">
        <f>SUMIFS(DATA!$M:$M,DATA!$C:$C,$B24,DATA!$N:$N,"&gt;="&amp;DATE(E$5,1,1),DATA!$N:$N,"&lt;="&amp;DATE(E$5,12,31))</f>
        <v/>
      </c>
      <c r="F24" s="331">
        <f>SUMIFS(DATA!$M:$M,DATA!$C:$C,$B24,DATA!$N:$N,"&gt;="&amp;DATE(F$5,1,1),DATA!$N:$N,"&lt;="&amp;DATE(F$5,12,31))</f>
        <v/>
      </c>
      <c r="G24" s="331">
        <f>SUMIFS(DATA!$M:$M,DATA!$C:$C,$B24,DATA!$N:$N,"&gt;="&amp;DATE(G$5,1,1),DATA!$N:$N,"&lt;="&amp;DATE(G$5,12,31))</f>
        <v/>
      </c>
      <c r="H24" s="331">
        <f>SUMIFS(DATA!$M:$M,DATA!$C:$C,$B24,DATA!$N:$N,"&gt;="&amp;DATE(H$5,1,1),DATA!$N:$N,"&lt;="&amp;DATE(H$5,12,31))</f>
        <v/>
      </c>
      <c r="I24" s="331">
        <f>SUMIFS(DATA!$M:$M,DATA!$C:$C,$B24,DATA!$N:$N,"&gt;="&amp;DATE(I$5,1,1),DATA!$N:$N,"&lt;="&amp;DATE(I$5,12,31))</f>
        <v/>
      </c>
      <c r="J24" s="332">
        <f>SUM(C24:I24)</f>
        <v/>
      </c>
      <c r="K24" s="333">
        <f>J24/$J$506</f>
        <v/>
      </c>
    </row>
    <row r="25" hidden="1" outlineLevel="1" ht="32.25" customHeight="1">
      <c r="A25" s="48" t="n">
        <v>20</v>
      </c>
      <c r="B25" s="107" t="inlineStr">
        <is>
          <t>EMBASSY OF CANADA</t>
        </is>
      </c>
      <c r="C25" s="331">
        <f>SUMIFS(DATA!$M:$M,DATA!$C:$C,$B25,DATA!$N:$N,"&gt;="&amp;DATE(C$5,1,1),DATA!$N:$N,"&lt;="&amp;DATE(C$5,12,31))</f>
        <v/>
      </c>
      <c r="D25" s="331">
        <f>SUMIFS(DATA!$M:$M,DATA!$C:$C,$B25,DATA!$N:$N,"&gt;="&amp;DATE(D$5,1,1),DATA!$N:$N,"&lt;="&amp;DATE(D$5,12,31))</f>
        <v/>
      </c>
      <c r="E25" s="331">
        <f>SUMIFS(DATA!$M:$M,DATA!$C:$C,$B25,DATA!$N:$N,"&gt;="&amp;DATE(E$5,1,1),DATA!$N:$N,"&lt;="&amp;DATE(E$5,12,31))</f>
        <v/>
      </c>
      <c r="F25" s="331">
        <f>SUMIFS(DATA!$M:$M,DATA!$C:$C,$B25,DATA!$N:$N,"&gt;="&amp;DATE(F$5,1,1),DATA!$N:$N,"&lt;="&amp;DATE(F$5,12,31))</f>
        <v/>
      </c>
      <c r="G25" s="331">
        <f>SUMIFS(DATA!$M:$M,DATA!$C:$C,$B25,DATA!$N:$N,"&gt;="&amp;DATE(G$5,1,1),DATA!$N:$N,"&lt;="&amp;DATE(G$5,12,31))</f>
        <v/>
      </c>
      <c r="H25" s="331">
        <f>SUMIFS(DATA!$M:$M,DATA!$C:$C,$B25,DATA!$N:$N,"&gt;="&amp;DATE(H$5,1,1),DATA!$N:$N,"&lt;="&amp;DATE(H$5,12,31))</f>
        <v/>
      </c>
      <c r="I25" s="331">
        <f>SUMIFS(DATA!$M:$M,DATA!$C:$C,$B25,DATA!$N:$N,"&gt;="&amp;DATE(I$5,1,1),DATA!$N:$N,"&lt;="&amp;DATE(I$5,12,31))</f>
        <v/>
      </c>
      <c r="J25" s="332">
        <f>SUM(C25:I25)</f>
        <v/>
      </c>
      <c r="K25" s="333">
        <f>J25/$J$506</f>
        <v/>
      </c>
    </row>
    <row r="26" hidden="1" outlineLevel="1" ht="32.25" customHeight="1">
      <c r="A26" s="48" t="n">
        <v>21</v>
      </c>
      <c r="B26" s="107" t="inlineStr">
        <is>
          <t>TOYOTA MOTOR VIETNAM</t>
        </is>
      </c>
      <c r="C26" s="331">
        <f>SUMIFS(DATA!$M:$M,DATA!$C:$C,$B26,DATA!$N:$N,"&gt;="&amp;DATE(C$5,1,1),DATA!$N:$N,"&lt;="&amp;DATE(C$5,12,31))</f>
        <v/>
      </c>
      <c r="D26" s="331">
        <f>SUMIFS(DATA!$M:$M,DATA!$C:$C,$B26,DATA!$N:$N,"&gt;="&amp;DATE(D$5,1,1),DATA!$N:$N,"&lt;="&amp;DATE(D$5,12,31))</f>
        <v/>
      </c>
      <c r="E26" s="331">
        <f>SUMIFS(DATA!$M:$M,DATA!$C:$C,$B26,DATA!$N:$N,"&gt;="&amp;DATE(E$5,1,1),DATA!$N:$N,"&lt;="&amp;DATE(E$5,12,31))</f>
        <v/>
      </c>
      <c r="F26" s="331">
        <f>SUMIFS(DATA!$M:$M,DATA!$C:$C,$B26,DATA!$N:$N,"&gt;="&amp;DATE(F$5,1,1),DATA!$N:$N,"&lt;="&amp;DATE(F$5,12,31))</f>
        <v/>
      </c>
      <c r="G26" s="331">
        <f>SUMIFS(DATA!$M:$M,DATA!$C:$C,$B26,DATA!$N:$N,"&gt;="&amp;DATE(G$5,1,1),DATA!$N:$N,"&lt;="&amp;DATE(G$5,12,31))</f>
        <v/>
      </c>
      <c r="H26" s="331">
        <f>SUMIFS(DATA!$M:$M,DATA!$C:$C,$B26,DATA!$N:$N,"&gt;="&amp;DATE(H$5,1,1),DATA!$N:$N,"&lt;="&amp;DATE(H$5,12,31))</f>
        <v/>
      </c>
      <c r="I26" s="331">
        <f>SUMIFS(DATA!$M:$M,DATA!$C:$C,$B26,DATA!$N:$N,"&gt;="&amp;DATE(I$5,1,1),DATA!$N:$N,"&lt;="&amp;DATE(I$5,12,31))</f>
        <v/>
      </c>
      <c r="J26" s="332">
        <f>SUM(C26:I26)</f>
        <v/>
      </c>
      <c r="K26" s="333">
        <f>J26/$J$506</f>
        <v/>
      </c>
    </row>
    <row r="27" hidden="1" outlineLevel="1" ht="32.25" customHeight="1">
      <c r="A27" s="48" t="n">
        <v>22</v>
      </c>
      <c r="B27" s="107" t="inlineStr">
        <is>
          <t>DUY HUNG CO.,LTD</t>
        </is>
      </c>
      <c r="C27" s="331">
        <f>SUMIFS(DATA!$M:$M,DATA!$C:$C,$B27,DATA!$N:$N,"&gt;="&amp;DATE(C$5,1,1),DATA!$N:$N,"&lt;="&amp;DATE(C$5,12,31))</f>
        <v/>
      </c>
      <c r="D27" s="331">
        <f>SUMIFS(DATA!$M:$M,DATA!$C:$C,$B27,DATA!$N:$N,"&gt;="&amp;DATE(D$5,1,1),DATA!$N:$N,"&lt;="&amp;DATE(D$5,12,31))</f>
        <v/>
      </c>
      <c r="E27" s="331">
        <f>SUMIFS(DATA!$M:$M,DATA!$C:$C,$B27,DATA!$N:$N,"&gt;="&amp;DATE(E$5,1,1),DATA!$N:$N,"&lt;="&amp;DATE(E$5,12,31))</f>
        <v/>
      </c>
      <c r="F27" s="331">
        <f>SUMIFS(DATA!$M:$M,DATA!$C:$C,$B27,DATA!$N:$N,"&gt;="&amp;DATE(F$5,1,1),DATA!$N:$N,"&lt;="&amp;DATE(F$5,12,31))</f>
        <v/>
      </c>
      <c r="G27" s="331">
        <f>SUMIFS(DATA!$M:$M,DATA!$C:$C,$B27,DATA!$N:$N,"&gt;="&amp;DATE(G$5,1,1),DATA!$N:$N,"&lt;="&amp;DATE(G$5,12,31))</f>
        <v/>
      </c>
      <c r="H27" s="331">
        <f>SUMIFS(DATA!$M:$M,DATA!$C:$C,$B27,DATA!$N:$N,"&gt;="&amp;DATE(H$5,1,1),DATA!$N:$N,"&lt;="&amp;DATE(H$5,12,31))</f>
        <v/>
      </c>
      <c r="I27" s="331">
        <f>SUMIFS(DATA!$M:$M,DATA!$C:$C,$B27,DATA!$N:$N,"&gt;="&amp;DATE(I$5,1,1),DATA!$N:$N,"&lt;="&amp;DATE(I$5,12,31))</f>
        <v/>
      </c>
      <c r="J27" s="332">
        <f>SUM(C27:I27)</f>
        <v/>
      </c>
      <c r="K27" s="333">
        <f>J27/$J$506</f>
        <v/>
      </c>
    </row>
    <row r="28" hidden="1" outlineLevel="1" ht="32.25" customHeight="1">
      <c r="A28" s="48" t="n">
        <v>23</v>
      </c>
      <c r="B28" s="107" t="inlineStr">
        <is>
          <t>ĐIỆN LỰC BẮC GIANG</t>
        </is>
      </c>
      <c r="C28" s="331">
        <f>SUMIFS(DATA!$M:$M,DATA!$C:$C,$B28,DATA!$N:$N,"&gt;="&amp;DATE(C$5,1,1),DATA!$N:$N,"&lt;="&amp;DATE(C$5,12,31))</f>
        <v/>
      </c>
      <c r="D28" s="331">
        <f>SUMIFS(DATA!$M:$M,DATA!$C:$C,$B28,DATA!$N:$N,"&gt;="&amp;DATE(D$5,1,1),DATA!$N:$N,"&lt;="&amp;DATE(D$5,12,31))</f>
        <v/>
      </c>
      <c r="E28" s="331">
        <f>SUMIFS(DATA!$M:$M,DATA!$C:$C,$B28,DATA!$N:$N,"&gt;="&amp;DATE(E$5,1,1),DATA!$N:$N,"&lt;="&amp;DATE(E$5,12,31))</f>
        <v/>
      </c>
      <c r="F28" s="331">
        <f>SUMIFS(DATA!$M:$M,DATA!$C:$C,$B28,DATA!$N:$N,"&gt;="&amp;DATE(F$5,1,1),DATA!$N:$N,"&lt;="&amp;DATE(F$5,12,31))</f>
        <v/>
      </c>
      <c r="G28" s="331">
        <f>SUMIFS(DATA!$M:$M,DATA!$C:$C,$B28,DATA!$N:$N,"&gt;="&amp;DATE(G$5,1,1),DATA!$N:$N,"&lt;="&amp;DATE(G$5,12,31))</f>
        <v/>
      </c>
      <c r="H28" s="331">
        <f>SUMIFS(DATA!$M:$M,DATA!$C:$C,$B28,DATA!$N:$N,"&gt;="&amp;DATE(H$5,1,1),DATA!$N:$N,"&lt;="&amp;DATE(H$5,12,31))</f>
        <v/>
      </c>
      <c r="I28" s="331">
        <f>SUMIFS(DATA!$M:$M,DATA!$C:$C,$B28,DATA!$N:$N,"&gt;="&amp;DATE(I$5,1,1),DATA!$N:$N,"&lt;="&amp;DATE(I$5,12,31))</f>
        <v/>
      </c>
      <c r="J28" s="332">
        <f>SUM(C28:I28)</f>
        <v/>
      </c>
      <c r="K28" s="333">
        <f>J28/$J$506</f>
        <v/>
      </c>
    </row>
    <row r="29" hidden="1" outlineLevel="1" ht="32.25" customHeight="1">
      <c r="A29" s="48" t="n">
        <v>24</v>
      </c>
      <c r="B29" s="107" t="inlineStr">
        <is>
          <t>TOYOTA BOSHOKU HANOI CO., LTD</t>
        </is>
      </c>
      <c r="C29" s="331">
        <f>SUMIFS(DATA!$M:$M,DATA!$C:$C,$B29,DATA!$N:$N,"&gt;="&amp;DATE(C$5,1,1),DATA!$N:$N,"&lt;="&amp;DATE(C$5,12,31))</f>
        <v/>
      </c>
      <c r="D29" s="331">
        <f>SUMIFS(DATA!$M:$M,DATA!$C:$C,$B29,DATA!$N:$N,"&gt;="&amp;DATE(D$5,1,1),DATA!$N:$N,"&lt;="&amp;DATE(D$5,12,31))</f>
        <v/>
      </c>
      <c r="E29" s="331">
        <f>SUMIFS(DATA!$M:$M,DATA!$C:$C,$B29,DATA!$N:$N,"&gt;="&amp;DATE(E$5,1,1),DATA!$N:$N,"&lt;="&amp;DATE(E$5,12,31))</f>
        <v/>
      </c>
      <c r="F29" s="331">
        <f>SUMIFS(DATA!$M:$M,DATA!$C:$C,$B29,DATA!$N:$N,"&gt;="&amp;DATE(F$5,1,1),DATA!$N:$N,"&lt;="&amp;DATE(F$5,12,31))</f>
        <v/>
      </c>
      <c r="G29" s="331">
        <f>SUMIFS(DATA!$M:$M,DATA!$C:$C,$B29,DATA!$N:$N,"&gt;="&amp;DATE(G$5,1,1),DATA!$N:$N,"&lt;="&amp;DATE(G$5,12,31))</f>
        <v/>
      </c>
      <c r="H29" s="331">
        <f>SUMIFS(DATA!$M:$M,DATA!$C:$C,$B29,DATA!$N:$N,"&gt;="&amp;DATE(H$5,1,1),DATA!$N:$N,"&lt;="&amp;DATE(H$5,12,31))</f>
        <v/>
      </c>
      <c r="I29" s="331">
        <f>SUMIFS(DATA!$M:$M,DATA!$C:$C,$B29,DATA!$N:$N,"&gt;="&amp;DATE(I$5,1,1),DATA!$N:$N,"&lt;="&amp;DATE(I$5,12,31))</f>
        <v/>
      </c>
      <c r="J29" s="332">
        <f>SUM(C29:I29)</f>
        <v/>
      </c>
      <c r="K29" s="333">
        <f>J29/$J$506</f>
        <v/>
      </c>
    </row>
    <row r="30" hidden="1" outlineLevel="1" ht="32.25" customHeight="1">
      <c r="A30" s="48" t="n">
        <v>25</v>
      </c>
      <c r="B30" s="107" t="inlineStr">
        <is>
          <t>TOYOTA BOSHOKU HANOI CO., LTD(Inactive)</t>
        </is>
      </c>
      <c r="C30" s="331">
        <f>SUMIFS(DATA!$M:$M,DATA!$C:$C,$B30,DATA!$N:$N,"&gt;="&amp;DATE(C$5,1,1),DATA!$N:$N,"&lt;="&amp;DATE(C$5,12,31))</f>
        <v/>
      </c>
      <c r="D30" s="331">
        <f>SUMIFS(DATA!$M:$M,DATA!$C:$C,$B30,DATA!$N:$N,"&gt;="&amp;DATE(D$5,1,1),DATA!$N:$N,"&lt;="&amp;DATE(D$5,12,31))</f>
        <v/>
      </c>
      <c r="E30" s="331">
        <f>SUMIFS(DATA!$M:$M,DATA!$C:$C,$B30,DATA!$N:$N,"&gt;="&amp;DATE(E$5,1,1),DATA!$N:$N,"&lt;="&amp;DATE(E$5,12,31))</f>
        <v/>
      </c>
      <c r="F30" s="331">
        <f>SUMIFS(DATA!$M:$M,DATA!$C:$C,$B30,DATA!$N:$N,"&gt;="&amp;DATE(F$5,1,1),DATA!$N:$N,"&lt;="&amp;DATE(F$5,12,31))</f>
        <v/>
      </c>
      <c r="G30" s="331">
        <f>SUMIFS(DATA!$M:$M,DATA!$C:$C,$B30,DATA!$N:$N,"&gt;="&amp;DATE(G$5,1,1),DATA!$N:$N,"&lt;="&amp;DATE(G$5,12,31))</f>
        <v/>
      </c>
      <c r="H30" s="331">
        <f>SUMIFS(DATA!$M:$M,DATA!$C:$C,$B30,DATA!$N:$N,"&gt;="&amp;DATE(H$5,1,1),DATA!$N:$N,"&lt;="&amp;DATE(H$5,12,31))</f>
        <v/>
      </c>
      <c r="I30" s="331">
        <f>SUMIFS(DATA!$M:$M,DATA!$C:$C,$B30,DATA!$N:$N,"&gt;="&amp;DATE(I$5,1,1),DATA!$N:$N,"&lt;="&amp;DATE(I$5,12,31))</f>
        <v/>
      </c>
      <c r="J30" s="332">
        <f>SUM(C30:I30)</f>
        <v/>
      </c>
      <c r="K30" s="333">
        <f>J30/$J$506</f>
        <v/>
      </c>
    </row>
    <row r="31" hidden="1" outlineLevel="1" ht="32.25" customHeight="1">
      <c r="A31" s="48" t="n">
        <v>26</v>
      </c>
      <c r="B31" s="107" t="inlineStr">
        <is>
          <t>DETECH TOWER</t>
        </is>
      </c>
      <c r="C31" s="331">
        <f>SUMIFS(DATA!$M:$M,DATA!$C:$C,$B31,DATA!$N:$N,"&gt;="&amp;DATE(C$5,1,1),DATA!$N:$N,"&lt;="&amp;DATE(C$5,12,31))</f>
        <v/>
      </c>
      <c r="D31" s="331">
        <f>SUMIFS(DATA!$M:$M,DATA!$C:$C,$B31,DATA!$N:$N,"&gt;="&amp;DATE(D$5,1,1),DATA!$N:$N,"&lt;="&amp;DATE(D$5,12,31))</f>
        <v/>
      </c>
      <c r="E31" s="331">
        <f>SUMIFS(DATA!$M:$M,DATA!$C:$C,$B31,DATA!$N:$N,"&gt;="&amp;DATE(E$5,1,1),DATA!$N:$N,"&lt;="&amp;DATE(E$5,12,31))</f>
        <v/>
      </c>
      <c r="F31" s="331">
        <f>SUMIFS(DATA!$M:$M,DATA!$C:$C,$B31,DATA!$N:$N,"&gt;="&amp;DATE(F$5,1,1),DATA!$N:$N,"&lt;="&amp;DATE(F$5,12,31))</f>
        <v/>
      </c>
      <c r="G31" s="331">
        <f>SUMIFS(DATA!$M:$M,DATA!$C:$C,$B31,DATA!$N:$N,"&gt;="&amp;DATE(G$5,1,1),DATA!$N:$N,"&lt;="&amp;DATE(G$5,12,31))</f>
        <v/>
      </c>
      <c r="H31" s="331">
        <f>SUMIFS(DATA!$M:$M,DATA!$C:$C,$B31,DATA!$N:$N,"&gt;="&amp;DATE(H$5,1,1),DATA!$N:$N,"&lt;="&amp;DATE(H$5,12,31))</f>
        <v/>
      </c>
      <c r="I31" s="331">
        <f>SUMIFS(DATA!$M:$M,DATA!$C:$C,$B31,DATA!$N:$N,"&gt;="&amp;DATE(I$5,1,1),DATA!$N:$N,"&lt;="&amp;DATE(I$5,12,31))</f>
        <v/>
      </c>
      <c r="J31" s="332">
        <f>SUM(C31:I31)</f>
        <v/>
      </c>
      <c r="K31" s="333">
        <f>J31/$J$506</f>
        <v/>
      </c>
    </row>
    <row r="32" hidden="1" outlineLevel="1" ht="32.25" customHeight="1">
      <c r="A32" s="48" t="n">
        <v>27</v>
      </c>
      <c r="B32" s="107" t="inlineStr">
        <is>
          <t>THĂNG LONG INVEST</t>
        </is>
      </c>
      <c r="C32" s="331">
        <f>SUMIFS(DATA!$M:$M,DATA!$C:$C,$B32,DATA!$N:$N,"&gt;="&amp;DATE(C$5,1,1),DATA!$N:$N,"&lt;="&amp;DATE(C$5,12,31))</f>
        <v/>
      </c>
      <c r="D32" s="331">
        <f>SUMIFS(DATA!$M:$M,DATA!$C:$C,$B32,DATA!$N:$N,"&gt;="&amp;DATE(D$5,1,1),DATA!$N:$N,"&lt;="&amp;DATE(D$5,12,31))</f>
        <v/>
      </c>
      <c r="E32" s="331">
        <f>SUMIFS(DATA!$M:$M,DATA!$C:$C,$B32,DATA!$N:$N,"&gt;="&amp;DATE(E$5,1,1),DATA!$N:$N,"&lt;="&amp;DATE(E$5,12,31))</f>
        <v/>
      </c>
      <c r="F32" s="331">
        <f>SUMIFS(DATA!$M:$M,DATA!$C:$C,$B32,DATA!$N:$N,"&gt;="&amp;DATE(F$5,1,1),DATA!$N:$N,"&lt;="&amp;DATE(F$5,12,31))</f>
        <v/>
      </c>
      <c r="G32" s="331">
        <f>SUMIFS(DATA!$M:$M,DATA!$C:$C,$B32,DATA!$N:$N,"&gt;="&amp;DATE(G$5,1,1),DATA!$N:$N,"&lt;="&amp;DATE(G$5,12,31))</f>
        <v/>
      </c>
      <c r="H32" s="331">
        <f>SUMIFS(DATA!$M:$M,DATA!$C:$C,$B32,DATA!$N:$N,"&gt;="&amp;DATE(H$5,1,1),DATA!$N:$N,"&lt;="&amp;DATE(H$5,12,31))</f>
        <v/>
      </c>
      <c r="I32" s="331">
        <f>SUMIFS(DATA!$M:$M,DATA!$C:$C,$B32,DATA!$N:$N,"&gt;="&amp;DATE(I$5,1,1),DATA!$N:$N,"&lt;="&amp;DATE(I$5,12,31))</f>
        <v/>
      </c>
      <c r="J32" s="332">
        <f>SUM(C32:I32)</f>
        <v/>
      </c>
      <c r="K32" s="333">
        <f>J32/$J$506</f>
        <v/>
      </c>
    </row>
    <row r="33" hidden="1" outlineLevel="1" ht="32.25" customHeight="1">
      <c r="A33" s="48" t="n">
        <v>28</v>
      </c>
      <c r="B33" s="107" t="inlineStr">
        <is>
          <t>BAN QUẢN TRỊ KHU CĂN HỘ INDOCHINA PLAZA HÀ NỘI_(Lưu trữ)</t>
        </is>
      </c>
      <c r="C33" s="331">
        <f>SUMIFS(DATA!$M:$M,DATA!$C:$C,$B33,DATA!$N:$N,"&gt;="&amp;DATE(C$5,1,1),DATA!$N:$N,"&lt;="&amp;DATE(C$5,12,31))</f>
        <v/>
      </c>
      <c r="D33" s="331">
        <f>SUMIFS(DATA!$M:$M,DATA!$C:$C,$B33,DATA!$N:$N,"&gt;="&amp;DATE(D$5,1,1),DATA!$N:$N,"&lt;="&amp;DATE(D$5,12,31))</f>
        <v/>
      </c>
      <c r="E33" s="331">
        <f>SUMIFS(DATA!$M:$M,DATA!$C:$C,$B33,DATA!$N:$N,"&gt;="&amp;DATE(E$5,1,1),DATA!$N:$N,"&lt;="&amp;DATE(E$5,12,31))</f>
        <v/>
      </c>
      <c r="F33" s="331">
        <f>SUMIFS(DATA!$M:$M,DATA!$C:$C,$B33,DATA!$N:$N,"&gt;="&amp;DATE(F$5,1,1),DATA!$N:$N,"&lt;="&amp;DATE(F$5,12,31))</f>
        <v/>
      </c>
      <c r="G33" s="331">
        <f>SUMIFS(DATA!$M:$M,DATA!$C:$C,$B33,DATA!$N:$N,"&gt;="&amp;DATE(G$5,1,1),DATA!$N:$N,"&lt;="&amp;DATE(G$5,12,31))</f>
        <v/>
      </c>
      <c r="H33" s="331">
        <f>SUMIFS(DATA!$M:$M,DATA!$C:$C,$B33,DATA!$N:$N,"&gt;="&amp;DATE(H$5,1,1),DATA!$N:$N,"&lt;="&amp;DATE(H$5,12,31))</f>
        <v/>
      </c>
      <c r="I33" s="331">
        <f>SUMIFS(DATA!$M:$M,DATA!$C:$C,$B33,DATA!$N:$N,"&gt;="&amp;DATE(I$5,1,1),DATA!$N:$N,"&lt;="&amp;DATE(I$5,12,31))</f>
        <v/>
      </c>
      <c r="J33" s="332">
        <f>SUM(C33:I33)</f>
        <v/>
      </c>
      <c r="K33" s="333">
        <f>J33/$J$506</f>
        <v/>
      </c>
    </row>
    <row r="34" hidden="1" outlineLevel="1" ht="32.25" customHeight="1">
      <c r="A34" s="48" t="n">
        <v>29</v>
      </c>
      <c r="B34" s="107" t="inlineStr">
        <is>
          <t>BIG C MÊ LINH</t>
        </is>
      </c>
      <c r="C34" s="331">
        <f>SUMIFS(DATA!$M:$M,DATA!$C:$C,$B34,DATA!$N:$N,"&gt;="&amp;DATE(C$5,1,1),DATA!$N:$N,"&lt;="&amp;DATE(C$5,12,31))</f>
        <v/>
      </c>
      <c r="D34" s="331">
        <f>SUMIFS(DATA!$M:$M,DATA!$C:$C,$B34,DATA!$N:$N,"&gt;="&amp;DATE(D$5,1,1),DATA!$N:$N,"&lt;="&amp;DATE(D$5,12,31))</f>
        <v/>
      </c>
      <c r="E34" s="331">
        <f>SUMIFS(DATA!$M:$M,DATA!$C:$C,$B34,DATA!$N:$N,"&gt;="&amp;DATE(E$5,1,1),DATA!$N:$N,"&lt;="&amp;DATE(E$5,12,31))</f>
        <v/>
      </c>
      <c r="F34" s="331">
        <f>SUMIFS(DATA!$M:$M,DATA!$C:$C,$B34,DATA!$N:$N,"&gt;="&amp;DATE(F$5,1,1),DATA!$N:$N,"&lt;="&amp;DATE(F$5,12,31))</f>
        <v/>
      </c>
      <c r="G34" s="331">
        <f>SUMIFS(DATA!$M:$M,DATA!$C:$C,$B34,DATA!$N:$N,"&gt;="&amp;DATE(G$5,1,1),DATA!$N:$N,"&lt;="&amp;DATE(G$5,12,31))</f>
        <v/>
      </c>
      <c r="H34" s="331">
        <f>SUMIFS(DATA!$M:$M,DATA!$C:$C,$B34,DATA!$N:$N,"&gt;="&amp;DATE(H$5,1,1),DATA!$N:$N,"&lt;="&amp;DATE(H$5,12,31))</f>
        <v/>
      </c>
      <c r="I34" s="331">
        <f>SUMIFS(DATA!$M:$M,DATA!$C:$C,$B34,DATA!$N:$N,"&gt;="&amp;DATE(I$5,1,1),DATA!$N:$N,"&lt;="&amp;DATE(I$5,12,31))</f>
        <v/>
      </c>
      <c r="J34" s="332">
        <f>SUM(C34:I34)</f>
        <v/>
      </c>
      <c r="K34" s="333">
        <f>J34/$J$506</f>
        <v/>
      </c>
    </row>
    <row r="35" hidden="1" outlineLevel="1" ht="32.25" customHeight="1">
      <c r="A35" s="48" t="n">
        <v>30</v>
      </c>
      <c r="B35" s="107" t="inlineStr">
        <is>
          <t>DETECH TOWER_(Lưu trữ)</t>
        </is>
      </c>
      <c r="C35" s="331">
        <f>SUMIFS(DATA!$M:$M,DATA!$C:$C,$B35,DATA!$N:$N,"&gt;="&amp;DATE(C$5,1,1),DATA!$N:$N,"&lt;="&amp;DATE(C$5,12,31))</f>
        <v/>
      </c>
      <c r="D35" s="331">
        <f>SUMIFS(DATA!$M:$M,DATA!$C:$C,$B35,DATA!$N:$N,"&gt;="&amp;DATE(D$5,1,1),DATA!$N:$N,"&lt;="&amp;DATE(D$5,12,31))</f>
        <v/>
      </c>
      <c r="E35" s="331">
        <f>SUMIFS(DATA!$M:$M,DATA!$C:$C,$B35,DATA!$N:$N,"&gt;="&amp;DATE(E$5,1,1),DATA!$N:$N,"&lt;="&amp;DATE(E$5,12,31))</f>
        <v/>
      </c>
      <c r="F35" s="331">
        <f>SUMIFS(DATA!$M:$M,DATA!$C:$C,$B35,DATA!$N:$N,"&gt;="&amp;DATE(F$5,1,1),DATA!$N:$N,"&lt;="&amp;DATE(F$5,12,31))</f>
        <v/>
      </c>
      <c r="G35" s="331">
        <f>SUMIFS(DATA!$M:$M,DATA!$C:$C,$B35,DATA!$N:$N,"&gt;="&amp;DATE(G$5,1,1),DATA!$N:$N,"&lt;="&amp;DATE(G$5,12,31))</f>
        <v/>
      </c>
      <c r="H35" s="331">
        <f>SUMIFS(DATA!$M:$M,DATA!$C:$C,$B35,DATA!$N:$N,"&gt;="&amp;DATE(H$5,1,1),DATA!$N:$N,"&lt;="&amp;DATE(H$5,12,31))</f>
        <v/>
      </c>
      <c r="I35" s="331">
        <f>SUMIFS(DATA!$M:$M,DATA!$C:$C,$B35,DATA!$N:$N,"&gt;="&amp;DATE(I$5,1,1),DATA!$N:$N,"&lt;="&amp;DATE(I$5,12,31))</f>
        <v/>
      </c>
      <c r="J35" s="332">
        <f>SUM(C35:I35)</f>
        <v/>
      </c>
      <c r="K35" s="333">
        <f>J35/$J$506</f>
        <v/>
      </c>
    </row>
    <row r="36" hidden="1" outlineLevel="1" ht="32.25" customHeight="1">
      <c r="A36" s="48" t="n">
        <v>31</v>
      </c>
      <c r="B36" s="107" t="inlineStr">
        <is>
          <t>BỘ TƯ LỆNH PHÁO BINH_(Lưu Trữ)</t>
        </is>
      </c>
      <c r="C36" s="331">
        <f>SUMIFS(DATA!$M:$M,DATA!$C:$C,$B36,DATA!$N:$N,"&gt;="&amp;DATE(C$5,1,1),DATA!$N:$N,"&lt;="&amp;DATE(C$5,12,31))</f>
        <v/>
      </c>
      <c r="D36" s="331">
        <f>SUMIFS(DATA!$M:$M,DATA!$C:$C,$B36,DATA!$N:$N,"&gt;="&amp;DATE(D$5,1,1),DATA!$N:$N,"&lt;="&amp;DATE(D$5,12,31))</f>
        <v/>
      </c>
      <c r="E36" s="331">
        <f>SUMIFS(DATA!$M:$M,DATA!$C:$C,$B36,DATA!$N:$N,"&gt;="&amp;DATE(E$5,1,1),DATA!$N:$N,"&lt;="&amp;DATE(E$5,12,31))</f>
        <v/>
      </c>
      <c r="F36" s="331">
        <f>SUMIFS(DATA!$M:$M,DATA!$C:$C,$B36,DATA!$N:$N,"&gt;="&amp;DATE(F$5,1,1),DATA!$N:$N,"&lt;="&amp;DATE(F$5,12,31))</f>
        <v/>
      </c>
      <c r="G36" s="331">
        <f>SUMIFS(DATA!$M:$M,DATA!$C:$C,$B36,DATA!$N:$N,"&gt;="&amp;DATE(G$5,1,1),DATA!$N:$N,"&lt;="&amp;DATE(G$5,12,31))</f>
        <v/>
      </c>
      <c r="H36" s="331">
        <f>SUMIFS(DATA!$M:$M,DATA!$C:$C,$B36,DATA!$N:$N,"&gt;="&amp;DATE(H$5,1,1),DATA!$N:$N,"&lt;="&amp;DATE(H$5,12,31))</f>
        <v/>
      </c>
      <c r="I36" s="331">
        <f>SUMIFS(DATA!$M:$M,DATA!$C:$C,$B36,DATA!$N:$N,"&gt;="&amp;DATE(I$5,1,1),DATA!$N:$N,"&lt;="&amp;DATE(I$5,12,31))</f>
        <v/>
      </c>
      <c r="J36" s="332">
        <f>SUM(C36:I36)</f>
        <v/>
      </c>
      <c r="K36" s="333">
        <f>J36/$J$506</f>
        <v/>
      </c>
    </row>
    <row r="37" hidden="1" outlineLevel="1" ht="32.25" customHeight="1">
      <c r="A37" s="48" t="n">
        <v>32</v>
      </c>
      <c r="B37" s="107" t="inlineStr">
        <is>
          <t>HC GOLDEN CITY</t>
        </is>
      </c>
      <c r="C37" s="331">
        <f>SUMIFS(DATA!$M:$M,DATA!$C:$C,$B37,DATA!$N:$N,"&gt;="&amp;DATE(C$5,1,1),DATA!$N:$N,"&lt;="&amp;DATE(C$5,12,31))</f>
        <v/>
      </c>
      <c r="D37" s="331">
        <f>SUMIFS(DATA!$M:$M,DATA!$C:$C,$B37,DATA!$N:$N,"&gt;="&amp;DATE(D$5,1,1),DATA!$N:$N,"&lt;="&amp;DATE(D$5,12,31))</f>
        <v/>
      </c>
      <c r="E37" s="331">
        <f>SUMIFS(DATA!$M:$M,DATA!$C:$C,$B37,DATA!$N:$N,"&gt;="&amp;DATE(E$5,1,1),DATA!$N:$N,"&lt;="&amp;DATE(E$5,12,31))</f>
        <v/>
      </c>
      <c r="F37" s="331">
        <f>SUMIFS(DATA!$M:$M,DATA!$C:$C,$B37,DATA!$N:$N,"&gt;="&amp;DATE(F$5,1,1),DATA!$N:$N,"&lt;="&amp;DATE(F$5,12,31))</f>
        <v/>
      </c>
      <c r="G37" s="331">
        <f>SUMIFS(DATA!$M:$M,DATA!$C:$C,$B37,DATA!$N:$N,"&gt;="&amp;DATE(G$5,1,1),DATA!$N:$N,"&lt;="&amp;DATE(G$5,12,31))</f>
        <v/>
      </c>
      <c r="H37" s="331">
        <f>SUMIFS(DATA!$M:$M,DATA!$C:$C,$B37,DATA!$N:$N,"&gt;="&amp;DATE(H$5,1,1),DATA!$N:$N,"&lt;="&amp;DATE(H$5,12,31))</f>
        <v/>
      </c>
      <c r="I37" s="331">
        <f>SUMIFS(DATA!$M:$M,DATA!$C:$C,$B37,DATA!$N:$N,"&gt;="&amp;DATE(I$5,1,1),DATA!$N:$N,"&lt;="&amp;DATE(I$5,12,31))</f>
        <v/>
      </c>
      <c r="J37" s="332">
        <f>SUM(C37:I37)</f>
        <v/>
      </c>
      <c r="K37" s="333">
        <f>J37/$J$506</f>
        <v/>
      </c>
    </row>
    <row r="38" hidden="1" outlineLevel="1" ht="32.25" customHeight="1">
      <c r="A38" s="48" t="n">
        <v>33</v>
      </c>
      <c r="B38" s="107" t="inlineStr">
        <is>
          <t>WORLD BANK</t>
        </is>
      </c>
      <c r="C38" s="331">
        <f>SUMIFS(DATA!$M:$M,DATA!$C:$C,$B38,DATA!$N:$N,"&gt;="&amp;DATE(C$5,1,1),DATA!$N:$N,"&lt;="&amp;DATE(C$5,12,31))</f>
        <v/>
      </c>
      <c r="D38" s="331">
        <f>SUMIFS(DATA!$M:$M,DATA!$C:$C,$B38,DATA!$N:$N,"&gt;="&amp;DATE(D$5,1,1),DATA!$N:$N,"&lt;="&amp;DATE(D$5,12,31))</f>
        <v/>
      </c>
      <c r="E38" s="331">
        <f>SUMIFS(DATA!$M:$M,DATA!$C:$C,$B38,DATA!$N:$N,"&gt;="&amp;DATE(E$5,1,1),DATA!$N:$N,"&lt;="&amp;DATE(E$5,12,31))</f>
        <v/>
      </c>
      <c r="F38" s="331">
        <f>SUMIFS(DATA!$M:$M,DATA!$C:$C,$B38,DATA!$N:$N,"&gt;="&amp;DATE(F$5,1,1),DATA!$N:$N,"&lt;="&amp;DATE(F$5,12,31))</f>
        <v/>
      </c>
      <c r="G38" s="331">
        <f>SUMIFS(DATA!$M:$M,DATA!$C:$C,$B38,DATA!$N:$N,"&gt;="&amp;DATE(G$5,1,1),DATA!$N:$N,"&lt;="&amp;DATE(G$5,12,31))</f>
        <v/>
      </c>
      <c r="H38" s="331">
        <f>SUMIFS(DATA!$M:$M,DATA!$C:$C,$B38,DATA!$N:$N,"&gt;="&amp;DATE(H$5,1,1),DATA!$N:$N,"&lt;="&amp;DATE(H$5,12,31))</f>
        <v/>
      </c>
      <c r="I38" s="331">
        <f>SUMIFS(DATA!$M:$M,DATA!$C:$C,$B38,DATA!$N:$N,"&gt;="&amp;DATE(I$5,1,1),DATA!$N:$N,"&lt;="&amp;DATE(I$5,12,31))</f>
        <v/>
      </c>
      <c r="J38" s="332">
        <f>SUM(C38:I38)</f>
        <v/>
      </c>
      <c r="K38" s="333">
        <f>J38/$J$506</f>
        <v/>
      </c>
    </row>
    <row r="39" hidden="1" outlineLevel="1" ht="32.25" customHeight="1">
      <c r="A39" s="48" t="n">
        <v>34</v>
      </c>
      <c r="B39" s="107" t="inlineStr">
        <is>
          <t>US PEACE CORPS(Inactive)</t>
        </is>
      </c>
      <c r="C39" s="331">
        <f>SUMIFS(DATA!$M:$M,DATA!$C:$C,$B39,DATA!$N:$N,"&gt;="&amp;DATE(C$5,1,1),DATA!$N:$N,"&lt;="&amp;DATE(C$5,12,31))</f>
        <v/>
      </c>
      <c r="D39" s="331">
        <f>SUMIFS(DATA!$M:$M,DATA!$C:$C,$B39,DATA!$N:$N,"&gt;="&amp;DATE(D$5,1,1),DATA!$N:$N,"&lt;="&amp;DATE(D$5,12,31))</f>
        <v/>
      </c>
      <c r="E39" s="331">
        <f>SUMIFS(DATA!$M:$M,DATA!$C:$C,$B39,DATA!$N:$N,"&gt;="&amp;DATE(E$5,1,1),DATA!$N:$N,"&lt;="&amp;DATE(E$5,12,31))</f>
        <v/>
      </c>
      <c r="F39" s="331">
        <f>SUMIFS(DATA!$M:$M,DATA!$C:$C,$B39,DATA!$N:$N,"&gt;="&amp;DATE(F$5,1,1),DATA!$N:$N,"&lt;="&amp;DATE(F$5,12,31))</f>
        <v/>
      </c>
      <c r="G39" s="331">
        <f>SUMIFS(DATA!$M:$M,DATA!$C:$C,$B39,DATA!$N:$N,"&gt;="&amp;DATE(G$5,1,1),DATA!$N:$N,"&lt;="&amp;DATE(G$5,12,31))</f>
        <v/>
      </c>
      <c r="H39" s="331">
        <f>SUMIFS(DATA!$M:$M,DATA!$C:$C,$B39,DATA!$N:$N,"&gt;="&amp;DATE(H$5,1,1),DATA!$N:$N,"&lt;="&amp;DATE(H$5,12,31))</f>
        <v/>
      </c>
      <c r="I39" s="331">
        <f>SUMIFS(DATA!$M:$M,DATA!$C:$C,$B39,DATA!$N:$N,"&gt;="&amp;DATE(I$5,1,1),DATA!$N:$N,"&lt;="&amp;DATE(I$5,12,31))</f>
        <v/>
      </c>
      <c r="J39" s="332">
        <f>SUM(C39:I39)</f>
        <v/>
      </c>
      <c r="K39" s="333">
        <f>J39/$J$506</f>
        <v/>
      </c>
    </row>
    <row r="40" hidden="1" outlineLevel="1" ht="32.25" customHeight="1">
      <c r="A40" s="48" t="n">
        <v>35</v>
      </c>
      <c r="B40" s="107" t="inlineStr">
        <is>
          <t>TH BẮC GIANG</t>
        </is>
      </c>
      <c r="C40" s="331">
        <f>SUMIFS(DATA!$M:$M,DATA!$C:$C,$B40,DATA!$N:$N,"&gt;="&amp;DATE(C$5,1,1),DATA!$N:$N,"&lt;="&amp;DATE(C$5,12,31))</f>
        <v/>
      </c>
      <c r="D40" s="331">
        <f>SUMIFS(DATA!$M:$M,DATA!$C:$C,$B40,DATA!$N:$N,"&gt;="&amp;DATE(D$5,1,1),DATA!$N:$N,"&lt;="&amp;DATE(D$5,12,31))</f>
        <v/>
      </c>
      <c r="E40" s="331">
        <f>SUMIFS(DATA!$M:$M,DATA!$C:$C,$B40,DATA!$N:$N,"&gt;="&amp;DATE(E$5,1,1),DATA!$N:$N,"&lt;="&amp;DATE(E$5,12,31))</f>
        <v/>
      </c>
      <c r="F40" s="331">
        <f>SUMIFS(DATA!$M:$M,DATA!$C:$C,$B40,DATA!$N:$N,"&gt;="&amp;DATE(F$5,1,1),DATA!$N:$N,"&lt;="&amp;DATE(F$5,12,31))</f>
        <v/>
      </c>
      <c r="G40" s="331">
        <f>SUMIFS(DATA!$M:$M,DATA!$C:$C,$B40,DATA!$N:$N,"&gt;="&amp;DATE(G$5,1,1),DATA!$N:$N,"&lt;="&amp;DATE(G$5,12,31))</f>
        <v/>
      </c>
      <c r="H40" s="331">
        <f>SUMIFS(DATA!$M:$M,DATA!$C:$C,$B40,DATA!$N:$N,"&gt;="&amp;DATE(H$5,1,1),DATA!$N:$N,"&lt;="&amp;DATE(H$5,12,31))</f>
        <v/>
      </c>
      <c r="I40" s="331">
        <f>SUMIFS(DATA!$M:$M,DATA!$C:$C,$B40,DATA!$N:$N,"&gt;="&amp;DATE(I$5,1,1),DATA!$N:$N,"&lt;="&amp;DATE(I$5,12,31))</f>
        <v/>
      </c>
      <c r="J40" s="332">
        <f>SUM(C40:I40)</f>
        <v/>
      </c>
      <c r="K40" s="333">
        <f>J40/$J$506</f>
        <v/>
      </c>
    </row>
    <row r="41" hidden="1" outlineLevel="1" ht="32.25" customHeight="1">
      <c r="A41" s="48" t="n">
        <v>36</v>
      </c>
      <c r="B41" s="107" t="inlineStr">
        <is>
          <t>KENNAMETAL VIETNAM</t>
        </is>
      </c>
      <c r="C41" s="331">
        <f>SUMIFS(DATA!$M:$M,DATA!$C:$C,$B41,DATA!$N:$N,"&gt;="&amp;DATE(C$5,1,1),DATA!$N:$N,"&lt;="&amp;DATE(C$5,12,31))</f>
        <v/>
      </c>
      <c r="D41" s="331">
        <f>SUMIFS(DATA!$M:$M,DATA!$C:$C,$B41,DATA!$N:$N,"&gt;="&amp;DATE(D$5,1,1),DATA!$N:$N,"&lt;="&amp;DATE(D$5,12,31))</f>
        <v/>
      </c>
      <c r="E41" s="331">
        <f>SUMIFS(DATA!$M:$M,DATA!$C:$C,$B41,DATA!$N:$N,"&gt;="&amp;DATE(E$5,1,1),DATA!$N:$N,"&lt;="&amp;DATE(E$5,12,31))</f>
        <v/>
      </c>
      <c r="F41" s="331">
        <f>SUMIFS(DATA!$M:$M,DATA!$C:$C,$B41,DATA!$N:$N,"&gt;="&amp;DATE(F$5,1,1),DATA!$N:$N,"&lt;="&amp;DATE(F$5,12,31))</f>
        <v/>
      </c>
      <c r="G41" s="331">
        <f>SUMIFS(DATA!$M:$M,DATA!$C:$C,$B41,DATA!$N:$N,"&gt;="&amp;DATE(G$5,1,1),DATA!$N:$N,"&lt;="&amp;DATE(G$5,12,31))</f>
        <v/>
      </c>
      <c r="H41" s="331">
        <f>SUMIFS(DATA!$M:$M,DATA!$C:$C,$B41,DATA!$N:$N,"&gt;="&amp;DATE(H$5,1,1),DATA!$N:$N,"&lt;="&amp;DATE(H$5,12,31))</f>
        <v/>
      </c>
      <c r="I41" s="331">
        <f>SUMIFS(DATA!$M:$M,DATA!$C:$C,$B41,DATA!$N:$N,"&gt;="&amp;DATE(I$5,1,1),DATA!$N:$N,"&lt;="&amp;DATE(I$5,12,31))</f>
        <v/>
      </c>
      <c r="J41" s="332">
        <f>SUM(C41:I41)</f>
        <v/>
      </c>
      <c r="K41" s="333">
        <f>J41/$J$506</f>
        <v/>
      </c>
    </row>
    <row r="42" hidden="1" outlineLevel="1" ht="32.25" customHeight="1">
      <c r="A42" s="48" t="n">
        <v>37</v>
      </c>
      <c r="B42" s="107" t="inlineStr">
        <is>
          <t>TAL VIETNAM</t>
        </is>
      </c>
      <c r="C42" s="331">
        <f>SUMIFS(DATA!$M:$M,DATA!$C:$C,$B42,DATA!$N:$N,"&gt;="&amp;DATE(C$5,1,1),DATA!$N:$N,"&lt;="&amp;DATE(C$5,12,31))</f>
        <v/>
      </c>
      <c r="D42" s="331">
        <f>SUMIFS(DATA!$M:$M,DATA!$C:$C,$B42,DATA!$N:$N,"&gt;="&amp;DATE(D$5,1,1),DATA!$N:$N,"&lt;="&amp;DATE(D$5,12,31))</f>
        <v/>
      </c>
      <c r="E42" s="331">
        <f>SUMIFS(DATA!$M:$M,DATA!$C:$C,$B42,DATA!$N:$N,"&gt;="&amp;DATE(E$5,1,1),DATA!$N:$N,"&lt;="&amp;DATE(E$5,12,31))</f>
        <v/>
      </c>
      <c r="F42" s="331">
        <f>SUMIFS(DATA!$M:$M,DATA!$C:$C,$B42,DATA!$N:$N,"&gt;="&amp;DATE(F$5,1,1),DATA!$N:$N,"&lt;="&amp;DATE(F$5,12,31))</f>
        <v/>
      </c>
      <c r="G42" s="331">
        <f>SUMIFS(DATA!$M:$M,DATA!$C:$C,$B42,DATA!$N:$N,"&gt;="&amp;DATE(G$5,1,1),DATA!$N:$N,"&lt;="&amp;DATE(G$5,12,31))</f>
        <v/>
      </c>
      <c r="H42" s="331">
        <f>SUMIFS(DATA!$M:$M,DATA!$C:$C,$B42,DATA!$N:$N,"&gt;="&amp;DATE(H$5,1,1),DATA!$N:$N,"&lt;="&amp;DATE(H$5,12,31))</f>
        <v/>
      </c>
      <c r="I42" s="331">
        <f>SUMIFS(DATA!$M:$M,DATA!$C:$C,$B42,DATA!$N:$N,"&gt;="&amp;DATE(I$5,1,1),DATA!$N:$N,"&lt;="&amp;DATE(I$5,12,31))</f>
        <v/>
      </c>
      <c r="J42" s="332">
        <f>SUM(C42:I42)</f>
        <v/>
      </c>
      <c r="K42" s="333">
        <f>J42/$J$506</f>
        <v/>
      </c>
    </row>
    <row r="43" hidden="1" outlineLevel="1" ht="32.25" customHeight="1">
      <c r="A43" s="48" t="n">
        <v>38</v>
      </c>
      <c r="B43" s="107" t="inlineStr">
        <is>
          <t>GELEXIMCO SOUTHERN STAR</t>
        </is>
      </c>
      <c r="C43" s="331">
        <f>SUMIFS(DATA!$M:$M,DATA!$C:$C,$B43,DATA!$N:$N,"&gt;="&amp;DATE(C$5,1,1),DATA!$N:$N,"&lt;="&amp;DATE(C$5,12,31))</f>
        <v/>
      </c>
      <c r="D43" s="331">
        <f>SUMIFS(DATA!$M:$M,DATA!$C:$C,$B43,DATA!$N:$N,"&gt;="&amp;DATE(D$5,1,1),DATA!$N:$N,"&lt;="&amp;DATE(D$5,12,31))</f>
        <v/>
      </c>
      <c r="E43" s="331">
        <f>SUMIFS(DATA!$M:$M,DATA!$C:$C,$B43,DATA!$N:$N,"&gt;="&amp;DATE(E$5,1,1),DATA!$N:$N,"&lt;="&amp;DATE(E$5,12,31))</f>
        <v/>
      </c>
      <c r="F43" s="331">
        <f>SUMIFS(DATA!$M:$M,DATA!$C:$C,$B43,DATA!$N:$N,"&gt;="&amp;DATE(F$5,1,1),DATA!$N:$N,"&lt;="&amp;DATE(F$5,12,31))</f>
        <v/>
      </c>
      <c r="G43" s="331">
        <f>SUMIFS(DATA!$M:$M,DATA!$C:$C,$B43,DATA!$N:$N,"&gt;="&amp;DATE(G$5,1,1),DATA!$N:$N,"&lt;="&amp;DATE(G$5,12,31))</f>
        <v/>
      </c>
      <c r="H43" s="331">
        <f>SUMIFS(DATA!$M:$M,DATA!$C:$C,$B43,DATA!$N:$N,"&gt;="&amp;DATE(H$5,1,1),DATA!$N:$N,"&lt;="&amp;DATE(H$5,12,31))</f>
        <v/>
      </c>
      <c r="I43" s="331">
        <f>SUMIFS(DATA!$M:$M,DATA!$C:$C,$B43,DATA!$N:$N,"&gt;="&amp;DATE(I$5,1,1),DATA!$N:$N,"&lt;="&amp;DATE(I$5,12,31))</f>
        <v/>
      </c>
      <c r="J43" s="332">
        <f>SUM(C43:I43)</f>
        <v/>
      </c>
      <c r="K43" s="333">
        <f>J43/$J$506</f>
        <v/>
      </c>
    </row>
    <row r="44" hidden="1" outlineLevel="1" ht="32.25" customHeight="1">
      <c r="A44" s="48" t="n">
        <v>39</v>
      </c>
      <c r="B44" s="107" t="inlineStr">
        <is>
          <t>CÔNG TY CỔ PHẦN ỨNG DỤNG CÔNG NGHỆ &amp; CNC VIỆT NAM</t>
        </is>
      </c>
      <c r="C44" s="331">
        <f>SUMIFS(DATA!$M:$M,DATA!$C:$C,$B44,DATA!$N:$N,"&gt;="&amp;DATE(C$5,1,1),DATA!$N:$N,"&lt;="&amp;DATE(C$5,12,31))</f>
        <v/>
      </c>
      <c r="D44" s="331">
        <f>SUMIFS(DATA!$M:$M,DATA!$C:$C,$B44,DATA!$N:$N,"&gt;="&amp;DATE(D$5,1,1),DATA!$N:$N,"&lt;="&amp;DATE(D$5,12,31))</f>
        <v/>
      </c>
      <c r="E44" s="331">
        <f>SUMIFS(DATA!$M:$M,DATA!$C:$C,$B44,DATA!$N:$N,"&gt;="&amp;DATE(E$5,1,1),DATA!$N:$N,"&lt;="&amp;DATE(E$5,12,31))</f>
        <v/>
      </c>
      <c r="F44" s="331">
        <f>SUMIFS(DATA!$M:$M,DATA!$C:$C,$B44,DATA!$N:$N,"&gt;="&amp;DATE(F$5,1,1),DATA!$N:$N,"&lt;="&amp;DATE(F$5,12,31))</f>
        <v/>
      </c>
      <c r="G44" s="331">
        <f>SUMIFS(DATA!$M:$M,DATA!$C:$C,$B44,DATA!$N:$N,"&gt;="&amp;DATE(G$5,1,1),DATA!$N:$N,"&lt;="&amp;DATE(G$5,12,31))</f>
        <v/>
      </c>
      <c r="H44" s="331">
        <f>SUMIFS(DATA!$M:$M,DATA!$C:$C,$B44,DATA!$N:$N,"&gt;="&amp;DATE(H$5,1,1),DATA!$N:$N,"&lt;="&amp;DATE(H$5,12,31))</f>
        <v/>
      </c>
      <c r="I44" s="331">
        <f>SUMIFS(DATA!$M:$M,DATA!$C:$C,$B44,DATA!$N:$N,"&gt;="&amp;DATE(I$5,1,1),DATA!$N:$N,"&lt;="&amp;DATE(I$5,12,31))</f>
        <v/>
      </c>
      <c r="J44" s="332">
        <f>SUM(C44:I44)</f>
        <v/>
      </c>
      <c r="K44" s="333">
        <f>J44/$J$506</f>
        <v/>
      </c>
    </row>
    <row r="45" hidden="1" outlineLevel="1" ht="32.25" customHeight="1">
      <c r="A45" s="48" t="n">
        <v>40</v>
      </c>
      <c r="B45" s="107" t="inlineStr">
        <is>
          <t>AIR WATER SAFETY SERVICE INC.</t>
        </is>
      </c>
      <c r="C45" s="331">
        <f>SUMIFS(DATA!$M:$M,DATA!$C:$C,$B45,DATA!$N:$N,"&gt;="&amp;DATE(C$5,1,1),DATA!$N:$N,"&lt;="&amp;DATE(C$5,12,31))</f>
        <v/>
      </c>
      <c r="D45" s="331">
        <f>SUMIFS(DATA!$M:$M,DATA!$C:$C,$B45,DATA!$N:$N,"&gt;="&amp;DATE(D$5,1,1),DATA!$N:$N,"&lt;="&amp;DATE(D$5,12,31))</f>
        <v/>
      </c>
      <c r="E45" s="331">
        <f>SUMIFS(DATA!$M:$M,DATA!$C:$C,$B45,DATA!$N:$N,"&gt;="&amp;DATE(E$5,1,1),DATA!$N:$N,"&lt;="&amp;DATE(E$5,12,31))</f>
        <v/>
      </c>
      <c r="F45" s="331">
        <f>SUMIFS(DATA!$M:$M,DATA!$C:$C,$B45,DATA!$N:$N,"&gt;="&amp;DATE(F$5,1,1),DATA!$N:$N,"&lt;="&amp;DATE(F$5,12,31))</f>
        <v/>
      </c>
      <c r="G45" s="331">
        <f>SUMIFS(DATA!$M:$M,DATA!$C:$C,$B45,DATA!$N:$N,"&gt;="&amp;DATE(G$5,1,1),DATA!$N:$N,"&lt;="&amp;DATE(G$5,12,31))</f>
        <v/>
      </c>
      <c r="H45" s="331">
        <f>SUMIFS(DATA!$M:$M,DATA!$C:$C,$B45,DATA!$N:$N,"&gt;="&amp;DATE(H$5,1,1),DATA!$N:$N,"&lt;="&amp;DATE(H$5,12,31))</f>
        <v/>
      </c>
      <c r="I45" s="331">
        <f>SUMIFS(DATA!$M:$M,DATA!$C:$C,$B45,DATA!$N:$N,"&gt;="&amp;DATE(I$5,1,1),DATA!$N:$N,"&lt;="&amp;DATE(I$5,12,31))</f>
        <v/>
      </c>
      <c r="J45" s="332">
        <f>SUM(C45:I45)</f>
        <v/>
      </c>
      <c r="K45" s="333">
        <f>J45/$J$506</f>
        <v/>
      </c>
    </row>
    <row r="46" hidden="1" outlineLevel="1" ht="32.25" customHeight="1">
      <c r="A46" s="48" t="n">
        <v>41</v>
      </c>
      <c r="B46" s="107" t="inlineStr">
        <is>
          <t>SANTOMAS VIETNAM JSC</t>
        </is>
      </c>
      <c r="C46" s="331">
        <f>SUMIFS(DATA!$M:$M,DATA!$C:$C,$B46,DATA!$N:$N,"&gt;="&amp;DATE(C$5,1,1),DATA!$N:$N,"&lt;="&amp;DATE(C$5,12,31))</f>
        <v/>
      </c>
      <c r="D46" s="331">
        <f>SUMIFS(DATA!$M:$M,DATA!$C:$C,$B46,DATA!$N:$N,"&gt;="&amp;DATE(D$5,1,1),DATA!$N:$N,"&lt;="&amp;DATE(D$5,12,31))</f>
        <v/>
      </c>
      <c r="E46" s="331">
        <f>SUMIFS(DATA!$M:$M,DATA!$C:$C,$B46,DATA!$N:$N,"&gt;="&amp;DATE(E$5,1,1),DATA!$N:$N,"&lt;="&amp;DATE(E$5,12,31))</f>
        <v/>
      </c>
      <c r="F46" s="331">
        <f>SUMIFS(DATA!$M:$M,DATA!$C:$C,$B46,DATA!$N:$N,"&gt;="&amp;DATE(F$5,1,1),DATA!$N:$N,"&lt;="&amp;DATE(F$5,12,31))</f>
        <v/>
      </c>
      <c r="G46" s="331">
        <f>SUMIFS(DATA!$M:$M,DATA!$C:$C,$B46,DATA!$N:$N,"&gt;="&amp;DATE(G$5,1,1),DATA!$N:$N,"&lt;="&amp;DATE(G$5,12,31))</f>
        <v/>
      </c>
      <c r="H46" s="331">
        <f>SUMIFS(DATA!$M:$M,DATA!$C:$C,$B46,DATA!$N:$N,"&gt;="&amp;DATE(H$5,1,1),DATA!$N:$N,"&lt;="&amp;DATE(H$5,12,31))</f>
        <v/>
      </c>
      <c r="I46" s="331">
        <f>SUMIFS(DATA!$M:$M,DATA!$C:$C,$B46,DATA!$N:$N,"&gt;="&amp;DATE(I$5,1,1),DATA!$N:$N,"&lt;="&amp;DATE(I$5,12,31))</f>
        <v/>
      </c>
      <c r="J46" s="332">
        <f>SUM(C46:I46)</f>
        <v/>
      </c>
      <c r="K46" s="333">
        <f>J46/$J$506</f>
        <v/>
      </c>
    </row>
    <row r="47" hidden="1" outlineLevel="1" ht="32.25" customHeight="1">
      <c r="A47" s="48" t="n">
        <v>42</v>
      </c>
      <c r="B47" s="107" t="inlineStr">
        <is>
          <t>MACAU GAMING CLUB</t>
        </is>
      </c>
      <c r="C47" s="331">
        <f>SUMIFS(DATA!$M:$M,DATA!$C:$C,$B47,DATA!$N:$N,"&gt;="&amp;DATE(C$5,1,1),DATA!$N:$N,"&lt;="&amp;DATE(C$5,12,31))</f>
        <v/>
      </c>
      <c r="D47" s="331">
        <f>SUMIFS(DATA!$M:$M,DATA!$C:$C,$B47,DATA!$N:$N,"&gt;="&amp;DATE(D$5,1,1),DATA!$N:$N,"&lt;="&amp;DATE(D$5,12,31))</f>
        <v/>
      </c>
      <c r="E47" s="331">
        <f>SUMIFS(DATA!$M:$M,DATA!$C:$C,$B47,DATA!$N:$N,"&gt;="&amp;DATE(E$5,1,1),DATA!$N:$N,"&lt;="&amp;DATE(E$5,12,31))</f>
        <v/>
      </c>
      <c r="F47" s="331">
        <f>SUMIFS(DATA!$M:$M,DATA!$C:$C,$B47,DATA!$N:$N,"&gt;="&amp;DATE(F$5,1,1),DATA!$N:$N,"&lt;="&amp;DATE(F$5,12,31))</f>
        <v/>
      </c>
      <c r="G47" s="331">
        <f>SUMIFS(DATA!$M:$M,DATA!$C:$C,$B47,DATA!$N:$N,"&gt;="&amp;DATE(G$5,1,1),DATA!$N:$N,"&lt;="&amp;DATE(G$5,12,31))</f>
        <v/>
      </c>
      <c r="H47" s="331">
        <f>SUMIFS(DATA!$M:$M,DATA!$C:$C,$B47,DATA!$N:$N,"&gt;="&amp;DATE(H$5,1,1),DATA!$N:$N,"&lt;="&amp;DATE(H$5,12,31))</f>
        <v/>
      </c>
      <c r="I47" s="331">
        <f>SUMIFS(DATA!$M:$M,DATA!$C:$C,$B47,DATA!$N:$N,"&gt;="&amp;DATE(I$5,1,1),DATA!$N:$N,"&lt;="&amp;DATE(I$5,12,31))</f>
        <v/>
      </c>
      <c r="J47" s="332">
        <f>SUM(C47:I47)</f>
        <v/>
      </c>
      <c r="K47" s="333">
        <f>J47/$J$506</f>
        <v/>
      </c>
    </row>
    <row r="48" hidden="1" outlineLevel="1" ht="32.25" customHeight="1">
      <c r="A48" s="48" t="n">
        <v>43</v>
      </c>
      <c r="B48" s="107" t="inlineStr">
        <is>
          <t>TRUNG TÂM PHÁT THANH - TRUYỀN HÌNH QUÂN ĐỘI</t>
        </is>
      </c>
      <c r="C48" s="331">
        <f>SUMIFS(DATA!$M:$M,DATA!$C:$C,$B48,DATA!$N:$N,"&gt;="&amp;DATE(C$5,1,1),DATA!$N:$N,"&lt;="&amp;DATE(C$5,12,31))</f>
        <v/>
      </c>
      <c r="D48" s="331">
        <f>SUMIFS(DATA!$M:$M,DATA!$C:$C,$B48,DATA!$N:$N,"&gt;="&amp;DATE(D$5,1,1),DATA!$N:$N,"&lt;="&amp;DATE(D$5,12,31))</f>
        <v/>
      </c>
      <c r="E48" s="331">
        <f>SUMIFS(DATA!$M:$M,DATA!$C:$C,$B48,DATA!$N:$N,"&gt;="&amp;DATE(E$5,1,1),DATA!$N:$N,"&lt;="&amp;DATE(E$5,12,31))</f>
        <v/>
      </c>
      <c r="F48" s="331">
        <f>SUMIFS(DATA!$M:$M,DATA!$C:$C,$B48,DATA!$N:$N,"&gt;="&amp;DATE(F$5,1,1),DATA!$N:$N,"&lt;="&amp;DATE(F$5,12,31))</f>
        <v/>
      </c>
      <c r="G48" s="331">
        <f>SUMIFS(DATA!$M:$M,DATA!$C:$C,$B48,DATA!$N:$N,"&gt;="&amp;DATE(G$5,1,1),DATA!$N:$N,"&lt;="&amp;DATE(G$5,12,31))</f>
        <v/>
      </c>
      <c r="H48" s="331">
        <f>SUMIFS(DATA!$M:$M,DATA!$C:$C,$B48,DATA!$N:$N,"&gt;="&amp;DATE(H$5,1,1),DATA!$N:$N,"&lt;="&amp;DATE(H$5,12,31))</f>
        <v/>
      </c>
      <c r="I48" s="331">
        <f>SUMIFS(DATA!$M:$M,DATA!$C:$C,$B48,DATA!$N:$N,"&gt;="&amp;DATE(I$5,1,1),DATA!$N:$N,"&lt;="&amp;DATE(I$5,12,31))</f>
        <v/>
      </c>
      <c r="J48" s="332">
        <f>SUM(C48:I48)</f>
        <v/>
      </c>
      <c r="K48" s="333">
        <f>J48/$J$506</f>
        <v/>
      </c>
    </row>
    <row r="49" hidden="1" outlineLevel="1" ht="32.25" customHeight="1">
      <c r="A49" s="48" t="n">
        <v>44</v>
      </c>
      <c r="B49" s="107" t="inlineStr">
        <is>
          <t>THE GARDEN (BITEXCO)</t>
        </is>
      </c>
      <c r="C49" s="331">
        <f>SUMIFS(DATA!$M:$M,DATA!$C:$C,$B49,DATA!$N:$N,"&gt;="&amp;DATE(C$5,1,1),DATA!$N:$N,"&lt;="&amp;DATE(C$5,12,31))</f>
        <v/>
      </c>
      <c r="D49" s="331">
        <f>SUMIFS(DATA!$M:$M,DATA!$C:$C,$B49,DATA!$N:$N,"&gt;="&amp;DATE(D$5,1,1),DATA!$N:$N,"&lt;="&amp;DATE(D$5,12,31))</f>
        <v/>
      </c>
      <c r="E49" s="331">
        <f>SUMIFS(DATA!$M:$M,DATA!$C:$C,$B49,DATA!$N:$N,"&gt;="&amp;DATE(E$5,1,1),DATA!$N:$N,"&lt;="&amp;DATE(E$5,12,31))</f>
        <v/>
      </c>
      <c r="F49" s="331">
        <f>SUMIFS(DATA!$M:$M,DATA!$C:$C,$B49,DATA!$N:$N,"&gt;="&amp;DATE(F$5,1,1),DATA!$N:$N,"&lt;="&amp;DATE(F$5,12,31))</f>
        <v/>
      </c>
      <c r="G49" s="331">
        <f>SUMIFS(DATA!$M:$M,DATA!$C:$C,$B49,DATA!$N:$N,"&gt;="&amp;DATE(G$5,1,1),DATA!$N:$N,"&lt;="&amp;DATE(G$5,12,31))</f>
        <v/>
      </c>
      <c r="H49" s="331">
        <f>SUMIFS(DATA!$M:$M,DATA!$C:$C,$B49,DATA!$N:$N,"&gt;="&amp;DATE(H$5,1,1),DATA!$N:$N,"&lt;="&amp;DATE(H$5,12,31))</f>
        <v/>
      </c>
      <c r="I49" s="331">
        <f>SUMIFS(DATA!$M:$M,DATA!$C:$C,$B49,DATA!$N:$N,"&gt;="&amp;DATE(I$5,1,1),DATA!$N:$N,"&lt;="&amp;DATE(I$5,12,31))</f>
        <v/>
      </c>
      <c r="J49" s="332">
        <f>SUM(C49:I49)</f>
        <v/>
      </c>
      <c r="K49" s="333">
        <f>J49/$J$506</f>
        <v/>
      </c>
    </row>
    <row r="50" hidden="1" outlineLevel="1" ht="32.25" customHeight="1">
      <c r="A50" s="48" t="n">
        <v>45</v>
      </c>
      <c r="B50" s="107" t="inlineStr">
        <is>
          <t>US PEACE CORPS</t>
        </is>
      </c>
      <c r="C50" s="331">
        <f>SUMIFS(DATA!$M:$M,DATA!$C:$C,$B50,DATA!$N:$N,"&gt;="&amp;DATE(C$5,1,1),DATA!$N:$N,"&lt;="&amp;DATE(C$5,12,31))</f>
        <v/>
      </c>
      <c r="D50" s="331">
        <f>SUMIFS(DATA!$M:$M,DATA!$C:$C,$B50,DATA!$N:$N,"&gt;="&amp;DATE(D$5,1,1),DATA!$N:$N,"&lt;="&amp;DATE(D$5,12,31))</f>
        <v/>
      </c>
      <c r="E50" s="331">
        <f>SUMIFS(DATA!$M:$M,DATA!$C:$C,$B50,DATA!$N:$N,"&gt;="&amp;DATE(E$5,1,1),DATA!$N:$N,"&lt;="&amp;DATE(E$5,12,31))</f>
        <v/>
      </c>
      <c r="F50" s="331">
        <f>SUMIFS(DATA!$M:$M,DATA!$C:$C,$B50,DATA!$N:$N,"&gt;="&amp;DATE(F$5,1,1),DATA!$N:$N,"&lt;="&amp;DATE(F$5,12,31))</f>
        <v/>
      </c>
      <c r="G50" s="331">
        <f>SUMIFS(DATA!$M:$M,DATA!$C:$C,$B50,DATA!$N:$N,"&gt;="&amp;DATE(G$5,1,1),DATA!$N:$N,"&lt;="&amp;DATE(G$5,12,31))</f>
        <v/>
      </c>
      <c r="H50" s="331">
        <f>SUMIFS(DATA!$M:$M,DATA!$C:$C,$B50,DATA!$N:$N,"&gt;="&amp;DATE(H$5,1,1),DATA!$N:$N,"&lt;="&amp;DATE(H$5,12,31))</f>
        <v/>
      </c>
      <c r="I50" s="331">
        <f>SUMIFS(DATA!$M:$M,DATA!$C:$C,$B50,DATA!$N:$N,"&gt;="&amp;DATE(I$5,1,1),DATA!$N:$N,"&lt;="&amp;DATE(I$5,12,31))</f>
        <v/>
      </c>
      <c r="J50" s="332">
        <f>SUM(C50:I50)</f>
        <v/>
      </c>
      <c r="K50" s="333">
        <f>J50/$J$506</f>
        <v/>
      </c>
    </row>
    <row r="51" hidden="1" outlineLevel="1" ht="32.25" customHeight="1">
      <c r="A51" s="48" t="n">
        <v>46</v>
      </c>
      <c r="B51" s="107" t="inlineStr">
        <is>
          <t>CÔNG TY TNHH MỘT THÀNH VIÊN ĐẦU TƯ VÀ XÂY LẮP ACC</t>
        </is>
      </c>
      <c r="C51" s="331">
        <f>SUMIFS(DATA!$M:$M,DATA!$C:$C,$B51,DATA!$N:$N,"&gt;="&amp;DATE(C$5,1,1),DATA!$N:$N,"&lt;="&amp;DATE(C$5,12,31))</f>
        <v/>
      </c>
      <c r="D51" s="331">
        <f>SUMIFS(DATA!$M:$M,DATA!$C:$C,$B51,DATA!$N:$N,"&gt;="&amp;DATE(D$5,1,1),DATA!$N:$N,"&lt;="&amp;DATE(D$5,12,31))</f>
        <v/>
      </c>
      <c r="E51" s="331">
        <f>SUMIFS(DATA!$M:$M,DATA!$C:$C,$B51,DATA!$N:$N,"&gt;="&amp;DATE(E$5,1,1),DATA!$N:$N,"&lt;="&amp;DATE(E$5,12,31))</f>
        <v/>
      </c>
      <c r="F51" s="331">
        <f>SUMIFS(DATA!$M:$M,DATA!$C:$C,$B51,DATA!$N:$N,"&gt;="&amp;DATE(F$5,1,1),DATA!$N:$N,"&lt;="&amp;DATE(F$5,12,31))</f>
        <v/>
      </c>
      <c r="G51" s="331">
        <f>SUMIFS(DATA!$M:$M,DATA!$C:$C,$B51,DATA!$N:$N,"&gt;="&amp;DATE(G$5,1,1),DATA!$N:$N,"&lt;="&amp;DATE(G$5,12,31))</f>
        <v/>
      </c>
      <c r="H51" s="331">
        <f>SUMIFS(DATA!$M:$M,DATA!$C:$C,$B51,DATA!$N:$N,"&gt;="&amp;DATE(H$5,1,1),DATA!$N:$N,"&lt;="&amp;DATE(H$5,12,31))</f>
        <v/>
      </c>
      <c r="I51" s="331">
        <f>SUMIFS(DATA!$M:$M,DATA!$C:$C,$B51,DATA!$N:$N,"&gt;="&amp;DATE(I$5,1,1),DATA!$N:$N,"&lt;="&amp;DATE(I$5,12,31))</f>
        <v/>
      </c>
      <c r="J51" s="332">
        <f>SUM(C51:I51)</f>
        <v/>
      </c>
      <c r="K51" s="333">
        <f>J51/$J$506</f>
        <v/>
      </c>
    </row>
    <row r="52" hidden="1" outlineLevel="1" ht="32.25" customHeight="1">
      <c r="A52" s="48" t="n">
        <v>47</v>
      </c>
      <c r="B52" s="107" t="inlineStr">
        <is>
          <t>YAMAHA MOTOR VIETNAM(Inactive)</t>
        </is>
      </c>
      <c r="C52" s="331">
        <f>SUMIFS(DATA!$M:$M,DATA!$C:$C,$B52,DATA!$N:$N,"&gt;="&amp;DATE(C$5,1,1),DATA!$N:$N,"&lt;="&amp;DATE(C$5,12,31))</f>
        <v/>
      </c>
      <c r="D52" s="331">
        <f>SUMIFS(DATA!$M:$M,DATA!$C:$C,$B52,DATA!$N:$N,"&gt;="&amp;DATE(D$5,1,1),DATA!$N:$N,"&lt;="&amp;DATE(D$5,12,31))</f>
        <v/>
      </c>
      <c r="E52" s="331">
        <f>SUMIFS(DATA!$M:$M,DATA!$C:$C,$B52,DATA!$N:$N,"&gt;="&amp;DATE(E$5,1,1),DATA!$N:$N,"&lt;="&amp;DATE(E$5,12,31))</f>
        <v/>
      </c>
      <c r="F52" s="331">
        <f>SUMIFS(DATA!$M:$M,DATA!$C:$C,$B52,DATA!$N:$N,"&gt;="&amp;DATE(F$5,1,1),DATA!$N:$N,"&lt;="&amp;DATE(F$5,12,31))</f>
        <v/>
      </c>
      <c r="G52" s="331">
        <f>SUMIFS(DATA!$M:$M,DATA!$C:$C,$B52,DATA!$N:$N,"&gt;="&amp;DATE(G$5,1,1),DATA!$N:$N,"&lt;="&amp;DATE(G$5,12,31))</f>
        <v/>
      </c>
      <c r="H52" s="331">
        <f>SUMIFS(DATA!$M:$M,DATA!$C:$C,$B52,DATA!$N:$N,"&gt;="&amp;DATE(H$5,1,1),DATA!$N:$N,"&lt;="&amp;DATE(H$5,12,31))</f>
        <v/>
      </c>
      <c r="I52" s="331">
        <f>SUMIFS(DATA!$M:$M,DATA!$C:$C,$B52,DATA!$N:$N,"&gt;="&amp;DATE(I$5,1,1),DATA!$N:$N,"&lt;="&amp;DATE(I$5,12,31))</f>
        <v/>
      </c>
      <c r="J52" s="332">
        <f>SUM(C52:I52)</f>
        <v/>
      </c>
      <c r="K52" s="333">
        <f>J52/$J$506</f>
        <v/>
      </c>
    </row>
    <row r="53" hidden="1" outlineLevel="1" ht="32.25" customHeight="1">
      <c r="A53" s="48" t="n">
        <v>48</v>
      </c>
      <c r="B53" s="107" t="inlineStr">
        <is>
          <t>US EMBASSY HANOI(Inactive_01)</t>
        </is>
      </c>
      <c r="C53" s="331">
        <f>SUMIFS(DATA!$M:$M,DATA!$C:$C,$B53,DATA!$N:$N,"&gt;="&amp;DATE(C$5,1,1),DATA!$N:$N,"&lt;="&amp;DATE(C$5,12,31))</f>
        <v/>
      </c>
      <c r="D53" s="331">
        <f>SUMIFS(DATA!$M:$M,DATA!$C:$C,$B53,DATA!$N:$N,"&gt;="&amp;DATE(D$5,1,1),DATA!$N:$N,"&lt;="&amp;DATE(D$5,12,31))</f>
        <v/>
      </c>
      <c r="E53" s="331">
        <f>SUMIFS(DATA!$M:$M,DATA!$C:$C,$B53,DATA!$N:$N,"&gt;="&amp;DATE(E$5,1,1),DATA!$N:$N,"&lt;="&amp;DATE(E$5,12,31))</f>
        <v/>
      </c>
      <c r="F53" s="331">
        <f>SUMIFS(DATA!$M:$M,DATA!$C:$C,$B53,DATA!$N:$N,"&gt;="&amp;DATE(F$5,1,1),DATA!$N:$N,"&lt;="&amp;DATE(F$5,12,31))</f>
        <v/>
      </c>
      <c r="G53" s="331">
        <f>SUMIFS(DATA!$M:$M,DATA!$C:$C,$B53,DATA!$N:$N,"&gt;="&amp;DATE(G$5,1,1),DATA!$N:$N,"&lt;="&amp;DATE(G$5,12,31))</f>
        <v/>
      </c>
      <c r="H53" s="331">
        <f>SUMIFS(DATA!$M:$M,DATA!$C:$C,$B53,DATA!$N:$N,"&gt;="&amp;DATE(H$5,1,1),DATA!$N:$N,"&lt;="&amp;DATE(H$5,12,31))</f>
        <v/>
      </c>
      <c r="I53" s="331">
        <f>SUMIFS(DATA!$M:$M,DATA!$C:$C,$B53,DATA!$N:$N,"&gt;="&amp;DATE(I$5,1,1),DATA!$N:$N,"&lt;="&amp;DATE(I$5,12,31))</f>
        <v/>
      </c>
      <c r="J53" s="332">
        <f>SUM(C53:I53)</f>
        <v/>
      </c>
      <c r="K53" s="333">
        <f>J53/$J$506</f>
        <v/>
      </c>
    </row>
    <row r="54" hidden="1" outlineLevel="1" ht="32.25" customHeight="1">
      <c r="A54" s="48" t="n">
        <v>49</v>
      </c>
      <c r="B54" s="107" t="inlineStr">
        <is>
          <t>US EMBASSY HANOI(Inactive)</t>
        </is>
      </c>
      <c r="C54" s="331">
        <f>SUMIFS(DATA!$M:$M,DATA!$C:$C,$B54,DATA!$N:$N,"&gt;="&amp;DATE(C$5,1,1),DATA!$N:$N,"&lt;="&amp;DATE(C$5,12,31))</f>
        <v/>
      </c>
      <c r="D54" s="331">
        <f>SUMIFS(DATA!$M:$M,DATA!$C:$C,$B54,DATA!$N:$N,"&gt;="&amp;DATE(D$5,1,1),DATA!$N:$N,"&lt;="&amp;DATE(D$5,12,31))</f>
        <v/>
      </c>
      <c r="E54" s="331">
        <f>SUMIFS(DATA!$M:$M,DATA!$C:$C,$B54,DATA!$N:$N,"&gt;="&amp;DATE(E$5,1,1),DATA!$N:$N,"&lt;="&amp;DATE(E$5,12,31))</f>
        <v/>
      </c>
      <c r="F54" s="331">
        <f>SUMIFS(DATA!$M:$M,DATA!$C:$C,$B54,DATA!$N:$N,"&gt;="&amp;DATE(F$5,1,1),DATA!$N:$N,"&lt;="&amp;DATE(F$5,12,31))</f>
        <v/>
      </c>
      <c r="G54" s="331">
        <f>SUMIFS(DATA!$M:$M,DATA!$C:$C,$B54,DATA!$N:$N,"&gt;="&amp;DATE(G$5,1,1),DATA!$N:$N,"&lt;="&amp;DATE(G$5,12,31))</f>
        <v/>
      </c>
      <c r="H54" s="331">
        <f>SUMIFS(DATA!$M:$M,DATA!$C:$C,$B54,DATA!$N:$N,"&gt;="&amp;DATE(H$5,1,1),DATA!$N:$N,"&lt;="&amp;DATE(H$5,12,31))</f>
        <v/>
      </c>
      <c r="I54" s="331">
        <f>SUMIFS(DATA!$M:$M,DATA!$C:$C,$B54,DATA!$N:$N,"&gt;="&amp;DATE(I$5,1,1),DATA!$N:$N,"&lt;="&amp;DATE(I$5,12,31))</f>
        <v/>
      </c>
      <c r="J54" s="332">
        <f>SUM(C54:I54)</f>
        <v/>
      </c>
      <c r="K54" s="333">
        <f>J54/$J$506</f>
        <v/>
      </c>
    </row>
    <row r="55" hidden="1" outlineLevel="1" ht="32.25" customHeight="1">
      <c r="A55" s="48" t="n">
        <v>50</v>
      </c>
      <c r="B55" s="107" t="inlineStr">
        <is>
          <t>UNITED NATIONS DEVELOPMENT PROGRAMME</t>
        </is>
      </c>
      <c r="C55" s="331">
        <f>SUMIFS(DATA!$M:$M,DATA!$C:$C,$B55,DATA!$N:$N,"&gt;="&amp;DATE(C$5,1,1),DATA!$N:$N,"&lt;="&amp;DATE(C$5,12,31))</f>
        <v/>
      </c>
      <c r="D55" s="331">
        <f>SUMIFS(DATA!$M:$M,DATA!$C:$C,$B55,DATA!$N:$N,"&gt;="&amp;DATE(D$5,1,1),DATA!$N:$N,"&lt;="&amp;DATE(D$5,12,31))</f>
        <v/>
      </c>
      <c r="E55" s="331">
        <f>SUMIFS(DATA!$M:$M,DATA!$C:$C,$B55,DATA!$N:$N,"&gt;="&amp;DATE(E$5,1,1),DATA!$N:$N,"&lt;="&amp;DATE(E$5,12,31))</f>
        <v/>
      </c>
      <c r="F55" s="331">
        <f>SUMIFS(DATA!$M:$M,DATA!$C:$C,$B55,DATA!$N:$N,"&gt;="&amp;DATE(F$5,1,1),DATA!$N:$N,"&lt;="&amp;DATE(F$5,12,31))</f>
        <v/>
      </c>
      <c r="G55" s="331">
        <f>SUMIFS(DATA!$M:$M,DATA!$C:$C,$B55,DATA!$N:$N,"&gt;="&amp;DATE(G$5,1,1),DATA!$N:$N,"&lt;="&amp;DATE(G$5,12,31))</f>
        <v/>
      </c>
      <c r="H55" s="331">
        <f>SUMIFS(DATA!$M:$M,DATA!$C:$C,$B55,DATA!$N:$N,"&gt;="&amp;DATE(H$5,1,1),DATA!$N:$N,"&lt;="&amp;DATE(H$5,12,31))</f>
        <v/>
      </c>
      <c r="I55" s="331">
        <f>SUMIFS(DATA!$M:$M,DATA!$C:$C,$B55,DATA!$N:$N,"&gt;="&amp;DATE(I$5,1,1),DATA!$N:$N,"&lt;="&amp;DATE(I$5,12,31))</f>
        <v/>
      </c>
      <c r="J55" s="332">
        <f>SUM(C55:I55)</f>
        <v/>
      </c>
      <c r="K55" s="333">
        <f>J55/$J$506</f>
        <v/>
      </c>
    </row>
    <row r="56" hidden="1" outlineLevel="1" ht="32.25" customHeight="1">
      <c r="A56" s="48" t="n">
        <v>51</v>
      </c>
      <c r="B56" s="107" t="inlineStr">
        <is>
          <t>EMBASSY OF AUSTRALIA-66LTK(Inactive)</t>
        </is>
      </c>
      <c r="C56" s="331">
        <f>SUMIFS(DATA!$M:$M,DATA!$C:$C,$B56,DATA!$N:$N,"&gt;="&amp;DATE(C$5,1,1),DATA!$N:$N,"&lt;="&amp;DATE(C$5,12,31))</f>
        <v/>
      </c>
      <c r="D56" s="331">
        <f>SUMIFS(DATA!$M:$M,DATA!$C:$C,$B56,DATA!$N:$N,"&gt;="&amp;DATE(D$5,1,1),DATA!$N:$N,"&lt;="&amp;DATE(D$5,12,31))</f>
        <v/>
      </c>
      <c r="E56" s="331">
        <f>SUMIFS(DATA!$M:$M,DATA!$C:$C,$B56,DATA!$N:$N,"&gt;="&amp;DATE(E$5,1,1),DATA!$N:$N,"&lt;="&amp;DATE(E$5,12,31))</f>
        <v/>
      </c>
      <c r="F56" s="331">
        <f>SUMIFS(DATA!$M:$M,DATA!$C:$C,$B56,DATA!$N:$N,"&gt;="&amp;DATE(F$5,1,1),DATA!$N:$N,"&lt;="&amp;DATE(F$5,12,31))</f>
        <v/>
      </c>
      <c r="G56" s="331">
        <f>SUMIFS(DATA!$M:$M,DATA!$C:$C,$B56,DATA!$N:$N,"&gt;="&amp;DATE(G$5,1,1),DATA!$N:$N,"&lt;="&amp;DATE(G$5,12,31))</f>
        <v/>
      </c>
      <c r="H56" s="331">
        <f>SUMIFS(DATA!$M:$M,DATA!$C:$C,$B56,DATA!$N:$N,"&gt;="&amp;DATE(H$5,1,1),DATA!$N:$N,"&lt;="&amp;DATE(H$5,12,31))</f>
        <v/>
      </c>
      <c r="I56" s="331">
        <f>SUMIFS(DATA!$M:$M,DATA!$C:$C,$B56,DATA!$N:$N,"&gt;="&amp;DATE(I$5,1,1),DATA!$N:$N,"&lt;="&amp;DATE(I$5,12,31))</f>
        <v/>
      </c>
      <c r="J56" s="332">
        <f>SUM(C56:I56)</f>
        <v/>
      </c>
      <c r="K56" s="333">
        <f>J56/$J$506</f>
        <v/>
      </c>
    </row>
    <row r="57" hidden="1" outlineLevel="1" ht="32.25" customHeight="1">
      <c r="A57" s="48" t="n">
        <v>52</v>
      </c>
      <c r="B57" s="107" t="inlineStr">
        <is>
          <t>MHI AEROSPACE VIETNAM_(LT)</t>
        </is>
      </c>
      <c r="C57" s="331">
        <f>SUMIFS(DATA!$M:$M,DATA!$C:$C,$B57,DATA!$N:$N,"&gt;="&amp;DATE(C$5,1,1),DATA!$N:$N,"&lt;="&amp;DATE(C$5,12,31))</f>
        <v/>
      </c>
      <c r="D57" s="331">
        <f>SUMIFS(DATA!$M:$M,DATA!$C:$C,$B57,DATA!$N:$N,"&gt;="&amp;DATE(D$5,1,1),DATA!$N:$N,"&lt;="&amp;DATE(D$5,12,31))</f>
        <v/>
      </c>
      <c r="E57" s="331">
        <f>SUMIFS(DATA!$M:$M,DATA!$C:$C,$B57,DATA!$N:$N,"&gt;="&amp;DATE(E$5,1,1),DATA!$N:$N,"&lt;="&amp;DATE(E$5,12,31))</f>
        <v/>
      </c>
      <c r="F57" s="331">
        <f>SUMIFS(DATA!$M:$M,DATA!$C:$C,$B57,DATA!$N:$N,"&gt;="&amp;DATE(F$5,1,1),DATA!$N:$N,"&lt;="&amp;DATE(F$5,12,31))</f>
        <v/>
      </c>
      <c r="G57" s="331">
        <f>SUMIFS(DATA!$M:$M,DATA!$C:$C,$B57,DATA!$N:$N,"&gt;="&amp;DATE(G$5,1,1),DATA!$N:$N,"&lt;="&amp;DATE(G$5,12,31))</f>
        <v/>
      </c>
      <c r="H57" s="331">
        <f>SUMIFS(DATA!$M:$M,DATA!$C:$C,$B57,DATA!$N:$N,"&gt;="&amp;DATE(H$5,1,1),DATA!$N:$N,"&lt;="&amp;DATE(H$5,12,31))</f>
        <v/>
      </c>
      <c r="I57" s="331">
        <f>SUMIFS(DATA!$M:$M,DATA!$C:$C,$B57,DATA!$N:$N,"&gt;="&amp;DATE(I$5,1,1),DATA!$N:$N,"&lt;="&amp;DATE(I$5,12,31))</f>
        <v/>
      </c>
      <c r="J57" s="332">
        <f>SUM(C57:I57)</f>
        <v/>
      </c>
      <c r="K57" s="333">
        <f>J57/$J$506</f>
        <v/>
      </c>
    </row>
    <row r="58" hidden="1" outlineLevel="1" ht="32.25" customHeight="1">
      <c r="A58" s="48" t="n">
        <v>53</v>
      </c>
      <c r="B58" s="107" t="inlineStr">
        <is>
          <t>SG MOTORS VIETNAM</t>
        </is>
      </c>
      <c r="C58" s="331">
        <f>SUMIFS(DATA!$M:$M,DATA!$C:$C,$B58,DATA!$N:$N,"&gt;="&amp;DATE(C$5,1,1),DATA!$N:$N,"&lt;="&amp;DATE(C$5,12,31))</f>
        <v/>
      </c>
      <c r="D58" s="331">
        <f>SUMIFS(DATA!$M:$M,DATA!$C:$C,$B58,DATA!$N:$N,"&gt;="&amp;DATE(D$5,1,1),DATA!$N:$N,"&lt;="&amp;DATE(D$5,12,31))</f>
        <v/>
      </c>
      <c r="E58" s="331">
        <f>SUMIFS(DATA!$M:$M,DATA!$C:$C,$B58,DATA!$N:$N,"&gt;="&amp;DATE(E$5,1,1),DATA!$N:$N,"&lt;="&amp;DATE(E$5,12,31))</f>
        <v/>
      </c>
      <c r="F58" s="331">
        <f>SUMIFS(DATA!$M:$M,DATA!$C:$C,$B58,DATA!$N:$N,"&gt;="&amp;DATE(F$5,1,1),DATA!$N:$N,"&lt;="&amp;DATE(F$5,12,31))</f>
        <v/>
      </c>
      <c r="G58" s="331">
        <f>SUMIFS(DATA!$M:$M,DATA!$C:$C,$B58,DATA!$N:$N,"&gt;="&amp;DATE(G$5,1,1),DATA!$N:$N,"&lt;="&amp;DATE(G$5,12,31))</f>
        <v/>
      </c>
      <c r="H58" s="331">
        <f>SUMIFS(DATA!$M:$M,DATA!$C:$C,$B58,DATA!$N:$N,"&gt;="&amp;DATE(H$5,1,1),DATA!$N:$N,"&lt;="&amp;DATE(H$5,12,31))</f>
        <v/>
      </c>
      <c r="I58" s="331">
        <f>SUMIFS(DATA!$M:$M,DATA!$C:$C,$B58,DATA!$N:$N,"&gt;="&amp;DATE(I$5,1,1),DATA!$N:$N,"&lt;="&amp;DATE(I$5,12,31))</f>
        <v/>
      </c>
      <c r="J58" s="332">
        <f>SUM(C58:I58)</f>
        <v/>
      </c>
      <c r="K58" s="333">
        <f>J58/$J$506</f>
        <v/>
      </c>
    </row>
    <row r="59" hidden="1" outlineLevel="1" ht="32.25" customHeight="1">
      <c r="A59" s="48" t="n">
        <v>54</v>
      </c>
      <c r="B59" s="107" t="inlineStr">
        <is>
          <t>BOYDENS ENGINEERING VIETNAM</t>
        </is>
      </c>
      <c r="C59" s="331">
        <f>SUMIFS(DATA!$M:$M,DATA!$C:$C,$B59,DATA!$N:$N,"&gt;="&amp;DATE(C$5,1,1),DATA!$N:$N,"&lt;="&amp;DATE(C$5,12,31))</f>
        <v/>
      </c>
      <c r="D59" s="331">
        <f>SUMIFS(DATA!$M:$M,DATA!$C:$C,$B59,DATA!$N:$N,"&gt;="&amp;DATE(D$5,1,1),DATA!$N:$N,"&lt;="&amp;DATE(D$5,12,31))</f>
        <v/>
      </c>
      <c r="E59" s="331">
        <f>SUMIFS(DATA!$M:$M,DATA!$C:$C,$B59,DATA!$N:$N,"&gt;="&amp;DATE(E$5,1,1),DATA!$N:$N,"&lt;="&amp;DATE(E$5,12,31))</f>
        <v/>
      </c>
      <c r="F59" s="331">
        <f>SUMIFS(DATA!$M:$M,DATA!$C:$C,$B59,DATA!$N:$N,"&gt;="&amp;DATE(F$5,1,1),DATA!$N:$N,"&lt;="&amp;DATE(F$5,12,31))</f>
        <v/>
      </c>
      <c r="G59" s="331">
        <f>SUMIFS(DATA!$M:$M,DATA!$C:$C,$B59,DATA!$N:$N,"&gt;="&amp;DATE(G$5,1,1),DATA!$N:$N,"&lt;="&amp;DATE(G$5,12,31))</f>
        <v/>
      </c>
      <c r="H59" s="331">
        <f>SUMIFS(DATA!$M:$M,DATA!$C:$C,$B59,DATA!$N:$N,"&gt;="&amp;DATE(H$5,1,1),DATA!$N:$N,"&lt;="&amp;DATE(H$5,12,31))</f>
        <v/>
      </c>
      <c r="I59" s="331">
        <f>SUMIFS(DATA!$M:$M,DATA!$C:$C,$B59,DATA!$N:$N,"&gt;="&amp;DATE(I$5,1,1),DATA!$N:$N,"&lt;="&amp;DATE(I$5,12,31))</f>
        <v/>
      </c>
      <c r="J59" s="332">
        <f>SUM(C59:I59)</f>
        <v/>
      </c>
      <c r="K59" s="333">
        <f>J59/$J$506</f>
        <v/>
      </c>
    </row>
    <row r="60" hidden="1" outlineLevel="1" ht="32.25" customHeight="1">
      <c r="A60" s="48" t="n">
        <v>55</v>
      </c>
      <c r="B60" s="107" t="inlineStr">
        <is>
          <t>EMBASSY OF FRANCE_(Lưu trữ)</t>
        </is>
      </c>
      <c r="C60" s="331">
        <f>SUMIFS(DATA!$M:$M,DATA!$C:$C,$B60,DATA!$N:$N,"&gt;="&amp;DATE(C$5,1,1),DATA!$N:$N,"&lt;="&amp;DATE(C$5,12,31))</f>
        <v/>
      </c>
      <c r="D60" s="331">
        <f>SUMIFS(DATA!$M:$M,DATA!$C:$C,$B60,DATA!$N:$N,"&gt;="&amp;DATE(D$5,1,1),DATA!$N:$N,"&lt;="&amp;DATE(D$5,12,31))</f>
        <v/>
      </c>
      <c r="E60" s="331">
        <f>SUMIFS(DATA!$M:$M,DATA!$C:$C,$B60,DATA!$N:$N,"&gt;="&amp;DATE(E$5,1,1),DATA!$N:$N,"&lt;="&amp;DATE(E$5,12,31))</f>
        <v/>
      </c>
      <c r="F60" s="331">
        <f>SUMIFS(DATA!$M:$M,DATA!$C:$C,$B60,DATA!$N:$N,"&gt;="&amp;DATE(F$5,1,1),DATA!$N:$N,"&lt;="&amp;DATE(F$5,12,31))</f>
        <v/>
      </c>
      <c r="G60" s="331">
        <f>SUMIFS(DATA!$M:$M,DATA!$C:$C,$B60,DATA!$N:$N,"&gt;="&amp;DATE(G$5,1,1),DATA!$N:$N,"&lt;="&amp;DATE(G$5,12,31))</f>
        <v/>
      </c>
      <c r="H60" s="331">
        <f>SUMIFS(DATA!$M:$M,DATA!$C:$C,$B60,DATA!$N:$N,"&gt;="&amp;DATE(H$5,1,1),DATA!$N:$N,"&lt;="&amp;DATE(H$5,12,31))</f>
        <v/>
      </c>
      <c r="I60" s="331">
        <f>SUMIFS(DATA!$M:$M,DATA!$C:$C,$B60,DATA!$N:$N,"&gt;="&amp;DATE(I$5,1,1),DATA!$N:$N,"&lt;="&amp;DATE(I$5,12,31))</f>
        <v/>
      </c>
      <c r="J60" s="332">
        <f>SUM(C60:I60)</f>
        <v/>
      </c>
      <c r="K60" s="333">
        <f>J60/$J$506</f>
        <v/>
      </c>
    </row>
    <row r="61" hidden="1" outlineLevel="1" ht="32.25" customHeight="1">
      <c r="A61" s="48" t="n">
        <v>56</v>
      </c>
      <c r="B61" s="107" t="inlineStr">
        <is>
          <t>LAURELTON DIAMONDS VIETNAM(Inactive)</t>
        </is>
      </c>
      <c r="C61" s="331">
        <f>SUMIFS(DATA!$M:$M,DATA!$C:$C,$B61,DATA!$N:$N,"&gt;="&amp;DATE(C$5,1,1),DATA!$N:$N,"&lt;="&amp;DATE(C$5,12,31))</f>
        <v/>
      </c>
      <c r="D61" s="331">
        <f>SUMIFS(DATA!$M:$M,DATA!$C:$C,$B61,DATA!$N:$N,"&gt;="&amp;DATE(D$5,1,1),DATA!$N:$N,"&lt;="&amp;DATE(D$5,12,31))</f>
        <v/>
      </c>
      <c r="E61" s="331">
        <f>SUMIFS(DATA!$M:$M,DATA!$C:$C,$B61,DATA!$N:$N,"&gt;="&amp;DATE(E$5,1,1),DATA!$N:$N,"&lt;="&amp;DATE(E$5,12,31))</f>
        <v/>
      </c>
      <c r="F61" s="331">
        <f>SUMIFS(DATA!$M:$M,DATA!$C:$C,$B61,DATA!$N:$N,"&gt;="&amp;DATE(F$5,1,1),DATA!$N:$N,"&lt;="&amp;DATE(F$5,12,31))</f>
        <v/>
      </c>
      <c r="G61" s="331">
        <f>SUMIFS(DATA!$M:$M,DATA!$C:$C,$B61,DATA!$N:$N,"&gt;="&amp;DATE(G$5,1,1),DATA!$N:$N,"&lt;="&amp;DATE(G$5,12,31))</f>
        <v/>
      </c>
      <c r="H61" s="331">
        <f>SUMIFS(DATA!$M:$M,DATA!$C:$C,$B61,DATA!$N:$N,"&gt;="&amp;DATE(H$5,1,1),DATA!$N:$N,"&lt;="&amp;DATE(H$5,12,31))</f>
        <v/>
      </c>
      <c r="I61" s="331">
        <f>SUMIFS(DATA!$M:$M,DATA!$C:$C,$B61,DATA!$N:$N,"&gt;="&amp;DATE(I$5,1,1),DATA!$N:$N,"&lt;="&amp;DATE(I$5,12,31))</f>
        <v/>
      </c>
      <c r="J61" s="332">
        <f>SUM(C61:I61)</f>
        <v/>
      </c>
      <c r="K61" s="333">
        <f>J61/$J$506</f>
        <v/>
      </c>
    </row>
    <row r="62" hidden="1" outlineLevel="1" ht="32.25" customHeight="1">
      <c r="A62" s="48" t="n">
        <v>57</v>
      </c>
      <c r="B62" s="107" t="inlineStr">
        <is>
          <t>CHUNG CƯ 282 LĨNH NAM(Inactive)</t>
        </is>
      </c>
      <c r="C62" s="331">
        <f>SUMIFS(DATA!$M:$M,DATA!$C:$C,$B62,DATA!$N:$N,"&gt;="&amp;DATE(C$5,1,1),DATA!$N:$N,"&lt;="&amp;DATE(C$5,12,31))</f>
        <v/>
      </c>
      <c r="D62" s="331">
        <f>SUMIFS(DATA!$M:$M,DATA!$C:$C,$B62,DATA!$N:$N,"&gt;="&amp;DATE(D$5,1,1),DATA!$N:$N,"&lt;="&amp;DATE(D$5,12,31))</f>
        <v/>
      </c>
      <c r="E62" s="331">
        <f>SUMIFS(DATA!$M:$M,DATA!$C:$C,$B62,DATA!$N:$N,"&gt;="&amp;DATE(E$5,1,1),DATA!$N:$N,"&lt;="&amp;DATE(E$5,12,31))</f>
        <v/>
      </c>
      <c r="F62" s="331">
        <f>SUMIFS(DATA!$M:$M,DATA!$C:$C,$B62,DATA!$N:$N,"&gt;="&amp;DATE(F$5,1,1),DATA!$N:$N,"&lt;="&amp;DATE(F$5,12,31))</f>
        <v/>
      </c>
      <c r="G62" s="331">
        <f>SUMIFS(DATA!$M:$M,DATA!$C:$C,$B62,DATA!$N:$N,"&gt;="&amp;DATE(G$5,1,1),DATA!$N:$N,"&lt;="&amp;DATE(G$5,12,31))</f>
        <v/>
      </c>
      <c r="H62" s="331">
        <f>SUMIFS(DATA!$M:$M,DATA!$C:$C,$B62,DATA!$N:$N,"&gt;="&amp;DATE(H$5,1,1),DATA!$N:$N,"&lt;="&amp;DATE(H$5,12,31))</f>
        <v/>
      </c>
      <c r="I62" s="331">
        <f>SUMIFS(DATA!$M:$M,DATA!$C:$C,$B62,DATA!$N:$N,"&gt;="&amp;DATE(I$5,1,1),DATA!$N:$N,"&lt;="&amp;DATE(I$5,12,31))</f>
        <v/>
      </c>
      <c r="J62" s="332">
        <f>SUM(C62:I62)</f>
        <v/>
      </c>
      <c r="K62" s="333">
        <f>J62/$J$506</f>
        <v/>
      </c>
    </row>
    <row r="63" hidden="1" outlineLevel="1" ht="32.25" customHeight="1">
      <c r="A63" s="48" t="n">
        <v>58</v>
      </c>
      <c r="B63" s="107" t="inlineStr">
        <is>
          <t>FSOFT - FVILLE 1</t>
        </is>
      </c>
      <c r="C63" s="331">
        <f>SUMIFS(DATA!$M:$M,DATA!$C:$C,$B63,DATA!$N:$N,"&gt;="&amp;DATE(C$5,1,1),DATA!$N:$N,"&lt;="&amp;DATE(C$5,12,31))</f>
        <v/>
      </c>
      <c r="D63" s="331">
        <f>SUMIFS(DATA!$M:$M,DATA!$C:$C,$B63,DATA!$N:$N,"&gt;="&amp;DATE(D$5,1,1),DATA!$N:$N,"&lt;="&amp;DATE(D$5,12,31))</f>
        <v/>
      </c>
      <c r="E63" s="331">
        <f>SUMIFS(DATA!$M:$M,DATA!$C:$C,$B63,DATA!$N:$N,"&gt;="&amp;DATE(E$5,1,1),DATA!$N:$N,"&lt;="&amp;DATE(E$5,12,31))</f>
        <v/>
      </c>
      <c r="F63" s="331">
        <f>SUMIFS(DATA!$M:$M,DATA!$C:$C,$B63,DATA!$N:$N,"&gt;="&amp;DATE(F$5,1,1),DATA!$N:$N,"&lt;="&amp;DATE(F$5,12,31))</f>
        <v/>
      </c>
      <c r="G63" s="331">
        <f>SUMIFS(DATA!$M:$M,DATA!$C:$C,$B63,DATA!$N:$N,"&gt;="&amp;DATE(G$5,1,1),DATA!$N:$N,"&lt;="&amp;DATE(G$5,12,31))</f>
        <v/>
      </c>
      <c r="H63" s="331">
        <f>SUMIFS(DATA!$M:$M,DATA!$C:$C,$B63,DATA!$N:$N,"&gt;="&amp;DATE(H$5,1,1),DATA!$N:$N,"&lt;="&amp;DATE(H$5,12,31))</f>
        <v/>
      </c>
      <c r="I63" s="331">
        <f>SUMIFS(DATA!$M:$M,DATA!$C:$C,$B63,DATA!$N:$N,"&gt;="&amp;DATE(I$5,1,1),DATA!$N:$N,"&lt;="&amp;DATE(I$5,12,31))</f>
        <v/>
      </c>
      <c r="J63" s="332">
        <f>SUM(C63:I63)</f>
        <v/>
      </c>
      <c r="K63" s="333">
        <f>J63/$J$506</f>
        <v/>
      </c>
    </row>
    <row r="64" hidden="1" outlineLevel="1" ht="32.25" customHeight="1">
      <c r="A64" s="48" t="n">
        <v>59</v>
      </c>
      <c r="B64" s="107" t="inlineStr">
        <is>
          <t>Ban Quản Trị và Chủ đầu tư của tòa nhà Hoàng Cầu Skyline</t>
        </is>
      </c>
      <c r="C64" s="331">
        <f>SUMIFS(DATA!$M:$M,DATA!$C:$C,$B64,DATA!$N:$N,"&gt;="&amp;DATE(C$5,1,1),DATA!$N:$N,"&lt;="&amp;DATE(C$5,12,31))</f>
        <v/>
      </c>
      <c r="D64" s="331">
        <f>SUMIFS(DATA!$M:$M,DATA!$C:$C,$B64,DATA!$N:$N,"&gt;="&amp;DATE(D$5,1,1),DATA!$N:$N,"&lt;="&amp;DATE(D$5,12,31))</f>
        <v/>
      </c>
      <c r="E64" s="331">
        <f>SUMIFS(DATA!$M:$M,DATA!$C:$C,$B64,DATA!$N:$N,"&gt;="&amp;DATE(E$5,1,1),DATA!$N:$N,"&lt;="&amp;DATE(E$5,12,31))</f>
        <v/>
      </c>
      <c r="F64" s="331">
        <f>SUMIFS(DATA!$M:$M,DATA!$C:$C,$B64,DATA!$N:$N,"&gt;="&amp;DATE(F$5,1,1),DATA!$N:$N,"&lt;="&amp;DATE(F$5,12,31))</f>
        <v/>
      </c>
      <c r="G64" s="331">
        <f>SUMIFS(DATA!$M:$M,DATA!$C:$C,$B64,DATA!$N:$N,"&gt;="&amp;DATE(G$5,1,1),DATA!$N:$N,"&lt;="&amp;DATE(G$5,12,31))</f>
        <v/>
      </c>
      <c r="H64" s="331">
        <f>SUMIFS(DATA!$M:$M,DATA!$C:$C,$B64,DATA!$N:$N,"&gt;="&amp;DATE(H$5,1,1),DATA!$N:$N,"&lt;="&amp;DATE(H$5,12,31))</f>
        <v/>
      </c>
      <c r="I64" s="331">
        <f>SUMIFS(DATA!$M:$M,DATA!$C:$C,$B64,DATA!$N:$N,"&gt;="&amp;DATE(I$5,1,1),DATA!$N:$N,"&lt;="&amp;DATE(I$5,12,31))</f>
        <v/>
      </c>
      <c r="J64" s="332">
        <f>SUM(C64:I64)</f>
        <v/>
      </c>
      <c r="K64" s="333">
        <f>J64/$J$506</f>
        <v/>
      </c>
    </row>
    <row r="65" hidden="1" outlineLevel="1" ht="32.25" customHeight="1">
      <c r="A65" s="48" t="n">
        <v>60</v>
      </c>
      <c r="B65" s="107" t="inlineStr">
        <is>
          <t>TRƯỜNG ĐẠI HỌC FPT</t>
        </is>
      </c>
      <c r="C65" s="331">
        <f>SUMIFS(DATA!$M:$M,DATA!$C:$C,$B65,DATA!$N:$N,"&gt;="&amp;DATE(C$5,1,1),DATA!$N:$N,"&lt;="&amp;DATE(C$5,12,31))</f>
        <v/>
      </c>
      <c r="D65" s="331">
        <f>SUMIFS(DATA!$M:$M,DATA!$C:$C,$B65,DATA!$N:$N,"&gt;="&amp;DATE(D$5,1,1),DATA!$N:$N,"&lt;="&amp;DATE(D$5,12,31))</f>
        <v/>
      </c>
      <c r="E65" s="331">
        <f>SUMIFS(DATA!$M:$M,DATA!$C:$C,$B65,DATA!$N:$N,"&gt;="&amp;DATE(E$5,1,1),DATA!$N:$N,"&lt;="&amp;DATE(E$5,12,31))</f>
        <v/>
      </c>
      <c r="F65" s="331">
        <f>SUMIFS(DATA!$M:$M,DATA!$C:$C,$B65,DATA!$N:$N,"&gt;="&amp;DATE(F$5,1,1),DATA!$N:$N,"&lt;="&amp;DATE(F$5,12,31))</f>
        <v/>
      </c>
      <c r="G65" s="331">
        <f>SUMIFS(DATA!$M:$M,DATA!$C:$C,$B65,DATA!$N:$N,"&gt;="&amp;DATE(G$5,1,1),DATA!$N:$N,"&lt;="&amp;DATE(G$5,12,31))</f>
        <v/>
      </c>
      <c r="H65" s="331">
        <f>SUMIFS(DATA!$M:$M,DATA!$C:$C,$B65,DATA!$N:$N,"&gt;="&amp;DATE(H$5,1,1),DATA!$N:$N,"&lt;="&amp;DATE(H$5,12,31))</f>
        <v/>
      </c>
      <c r="I65" s="331">
        <f>SUMIFS(DATA!$M:$M,DATA!$C:$C,$B65,DATA!$N:$N,"&gt;="&amp;DATE(I$5,1,1),DATA!$N:$N,"&lt;="&amp;DATE(I$5,12,31))</f>
        <v/>
      </c>
      <c r="J65" s="332">
        <f>SUM(C65:I65)</f>
        <v/>
      </c>
      <c r="K65" s="333">
        <f>J65/$J$506</f>
        <v/>
      </c>
    </row>
    <row r="66" hidden="1" outlineLevel="1" ht="32.25" customHeight="1">
      <c r="A66" s="48" t="n">
        <v>61</v>
      </c>
      <c r="B66" s="107" t="inlineStr">
        <is>
          <t>VNPT IDC - Internet Tower</t>
        </is>
      </c>
      <c r="C66" s="331">
        <f>SUMIFS(DATA!$M:$M,DATA!$C:$C,$B66,DATA!$N:$N,"&gt;="&amp;DATE(C$5,1,1),DATA!$N:$N,"&lt;="&amp;DATE(C$5,12,31))</f>
        <v/>
      </c>
      <c r="D66" s="331">
        <f>SUMIFS(DATA!$M:$M,DATA!$C:$C,$B66,DATA!$N:$N,"&gt;="&amp;DATE(D$5,1,1),DATA!$N:$N,"&lt;="&amp;DATE(D$5,12,31))</f>
        <v/>
      </c>
      <c r="E66" s="331">
        <f>SUMIFS(DATA!$M:$M,DATA!$C:$C,$B66,DATA!$N:$N,"&gt;="&amp;DATE(E$5,1,1),DATA!$N:$N,"&lt;="&amp;DATE(E$5,12,31))</f>
        <v/>
      </c>
      <c r="F66" s="331">
        <f>SUMIFS(DATA!$M:$M,DATA!$C:$C,$B66,DATA!$N:$N,"&gt;="&amp;DATE(F$5,1,1),DATA!$N:$N,"&lt;="&amp;DATE(F$5,12,31))</f>
        <v/>
      </c>
      <c r="G66" s="331">
        <f>SUMIFS(DATA!$M:$M,DATA!$C:$C,$B66,DATA!$N:$N,"&gt;="&amp;DATE(G$5,1,1),DATA!$N:$N,"&lt;="&amp;DATE(G$5,12,31))</f>
        <v/>
      </c>
      <c r="H66" s="331">
        <f>SUMIFS(DATA!$M:$M,DATA!$C:$C,$B66,DATA!$N:$N,"&gt;="&amp;DATE(H$5,1,1),DATA!$N:$N,"&lt;="&amp;DATE(H$5,12,31))</f>
        <v/>
      </c>
      <c r="I66" s="331">
        <f>SUMIFS(DATA!$M:$M,DATA!$C:$C,$B66,DATA!$N:$N,"&gt;="&amp;DATE(I$5,1,1),DATA!$N:$N,"&lt;="&amp;DATE(I$5,12,31))</f>
        <v/>
      </c>
      <c r="J66" s="332">
        <f>SUM(C66:I66)</f>
        <v/>
      </c>
      <c r="K66" s="333">
        <f>J66/$J$506</f>
        <v/>
      </c>
    </row>
    <row r="67" hidden="1" outlineLevel="1" ht="32.25" customHeight="1">
      <c r="A67" s="48" t="n">
        <v>62</v>
      </c>
      <c r="B67" s="107" t="inlineStr">
        <is>
          <t>CHUNG CƯ 282 LĨNH NAM</t>
        </is>
      </c>
      <c r="C67" s="331">
        <f>SUMIFS(DATA!$M:$M,DATA!$C:$C,$B67,DATA!$N:$N,"&gt;="&amp;DATE(C$5,1,1),DATA!$N:$N,"&lt;="&amp;DATE(C$5,12,31))</f>
        <v/>
      </c>
      <c r="D67" s="331">
        <f>SUMIFS(DATA!$M:$M,DATA!$C:$C,$B67,DATA!$N:$N,"&gt;="&amp;DATE(D$5,1,1),DATA!$N:$N,"&lt;="&amp;DATE(D$5,12,31))</f>
        <v/>
      </c>
      <c r="E67" s="331">
        <f>SUMIFS(DATA!$M:$M,DATA!$C:$C,$B67,DATA!$N:$N,"&gt;="&amp;DATE(E$5,1,1),DATA!$N:$N,"&lt;="&amp;DATE(E$5,12,31))</f>
        <v/>
      </c>
      <c r="F67" s="331">
        <f>SUMIFS(DATA!$M:$M,DATA!$C:$C,$B67,DATA!$N:$N,"&gt;="&amp;DATE(F$5,1,1),DATA!$N:$N,"&lt;="&amp;DATE(F$5,12,31))</f>
        <v/>
      </c>
      <c r="G67" s="331">
        <f>SUMIFS(DATA!$M:$M,DATA!$C:$C,$B67,DATA!$N:$N,"&gt;="&amp;DATE(G$5,1,1),DATA!$N:$N,"&lt;="&amp;DATE(G$5,12,31))</f>
        <v/>
      </c>
      <c r="H67" s="331">
        <f>SUMIFS(DATA!$M:$M,DATA!$C:$C,$B67,DATA!$N:$N,"&gt;="&amp;DATE(H$5,1,1),DATA!$N:$N,"&lt;="&amp;DATE(H$5,12,31))</f>
        <v/>
      </c>
      <c r="I67" s="331">
        <f>SUMIFS(DATA!$M:$M,DATA!$C:$C,$B67,DATA!$N:$N,"&gt;="&amp;DATE(I$5,1,1),DATA!$N:$N,"&lt;="&amp;DATE(I$5,12,31))</f>
        <v/>
      </c>
      <c r="J67" s="332">
        <f>SUM(C67:I67)</f>
        <v/>
      </c>
      <c r="K67" s="333">
        <f>J67/$J$506</f>
        <v/>
      </c>
    </row>
    <row r="68" hidden="1" outlineLevel="1" ht="32.25" customHeight="1">
      <c r="A68" s="48" t="n">
        <v>63</v>
      </c>
      <c r="B68" s="107" t="inlineStr">
        <is>
          <t>HYUNDAI LÊ VĂN LƯƠNG</t>
        </is>
      </c>
      <c r="C68" s="331">
        <f>SUMIFS(DATA!$M:$M,DATA!$C:$C,$B68,DATA!$N:$N,"&gt;="&amp;DATE(C$5,1,1),DATA!$N:$N,"&lt;="&amp;DATE(C$5,12,31))</f>
        <v/>
      </c>
      <c r="D68" s="331">
        <f>SUMIFS(DATA!$M:$M,DATA!$C:$C,$B68,DATA!$N:$N,"&gt;="&amp;DATE(D$5,1,1),DATA!$N:$N,"&lt;="&amp;DATE(D$5,12,31))</f>
        <v/>
      </c>
      <c r="E68" s="331">
        <f>SUMIFS(DATA!$M:$M,DATA!$C:$C,$B68,DATA!$N:$N,"&gt;="&amp;DATE(E$5,1,1),DATA!$N:$N,"&lt;="&amp;DATE(E$5,12,31))</f>
        <v/>
      </c>
      <c r="F68" s="331">
        <f>SUMIFS(DATA!$M:$M,DATA!$C:$C,$B68,DATA!$N:$N,"&gt;="&amp;DATE(F$5,1,1),DATA!$N:$N,"&lt;="&amp;DATE(F$5,12,31))</f>
        <v/>
      </c>
      <c r="G68" s="331">
        <f>SUMIFS(DATA!$M:$M,DATA!$C:$C,$B68,DATA!$N:$N,"&gt;="&amp;DATE(G$5,1,1),DATA!$N:$N,"&lt;="&amp;DATE(G$5,12,31))</f>
        <v/>
      </c>
      <c r="H68" s="331">
        <f>SUMIFS(DATA!$M:$M,DATA!$C:$C,$B68,DATA!$N:$N,"&gt;="&amp;DATE(H$5,1,1),DATA!$N:$N,"&lt;="&amp;DATE(H$5,12,31))</f>
        <v/>
      </c>
      <c r="I68" s="331">
        <f>SUMIFS(DATA!$M:$M,DATA!$C:$C,$B68,DATA!$N:$N,"&gt;="&amp;DATE(I$5,1,1),DATA!$N:$N,"&lt;="&amp;DATE(I$5,12,31))</f>
        <v/>
      </c>
      <c r="J68" s="332">
        <f>SUM(C68:I68)</f>
        <v/>
      </c>
      <c r="K68" s="333">
        <f>J68/$J$506</f>
        <v/>
      </c>
    </row>
    <row r="69" hidden="1" outlineLevel="1" ht="32.25" customHeight="1">
      <c r="A69" s="48" t="n">
        <v>64</v>
      </c>
      <c r="B69" s="107" t="inlineStr">
        <is>
          <t>VINA-SANWA CO.,LTD</t>
        </is>
      </c>
      <c r="C69" s="331">
        <f>SUMIFS(DATA!$M:$M,DATA!$C:$C,$B69,DATA!$N:$N,"&gt;="&amp;DATE(C$5,1,1),DATA!$N:$N,"&lt;="&amp;DATE(C$5,12,31))</f>
        <v/>
      </c>
      <c r="D69" s="331">
        <f>SUMIFS(DATA!$M:$M,DATA!$C:$C,$B69,DATA!$N:$N,"&gt;="&amp;DATE(D$5,1,1),DATA!$N:$N,"&lt;="&amp;DATE(D$5,12,31))</f>
        <v/>
      </c>
      <c r="E69" s="331">
        <f>SUMIFS(DATA!$M:$M,DATA!$C:$C,$B69,DATA!$N:$N,"&gt;="&amp;DATE(E$5,1,1),DATA!$N:$N,"&lt;="&amp;DATE(E$5,12,31))</f>
        <v/>
      </c>
      <c r="F69" s="331">
        <f>SUMIFS(DATA!$M:$M,DATA!$C:$C,$B69,DATA!$N:$N,"&gt;="&amp;DATE(F$5,1,1),DATA!$N:$N,"&lt;="&amp;DATE(F$5,12,31))</f>
        <v/>
      </c>
      <c r="G69" s="331">
        <f>SUMIFS(DATA!$M:$M,DATA!$C:$C,$B69,DATA!$N:$N,"&gt;="&amp;DATE(G$5,1,1),DATA!$N:$N,"&lt;="&amp;DATE(G$5,12,31))</f>
        <v/>
      </c>
      <c r="H69" s="331">
        <f>SUMIFS(DATA!$M:$M,DATA!$C:$C,$B69,DATA!$N:$N,"&gt;="&amp;DATE(H$5,1,1),DATA!$N:$N,"&lt;="&amp;DATE(H$5,12,31))</f>
        <v/>
      </c>
      <c r="I69" s="331">
        <f>SUMIFS(DATA!$M:$M,DATA!$C:$C,$B69,DATA!$N:$N,"&gt;="&amp;DATE(I$5,1,1),DATA!$N:$N,"&lt;="&amp;DATE(I$5,12,31))</f>
        <v/>
      </c>
      <c r="J69" s="332">
        <f>SUM(C69:I69)</f>
        <v/>
      </c>
      <c r="K69" s="333">
        <f>J69/$J$506</f>
        <v/>
      </c>
    </row>
    <row r="70" hidden="1" outlineLevel="1" ht="32.25" customHeight="1">
      <c r="A70" s="48" t="n">
        <v>65</v>
      </c>
      <c r="B70" s="107" t="inlineStr">
        <is>
          <t>AEONMALL HIMLAM</t>
        </is>
      </c>
      <c r="C70" s="331">
        <f>SUMIFS(DATA!$M:$M,DATA!$C:$C,$B70,DATA!$N:$N,"&gt;="&amp;DATE(C$5,1,1),DATA!$N:$N,"&lt;="&amp;DATE(C$5,12,31))</f>
        <v/>
      </c>
      <c r="D70" s="331">
        <f>SUMIFS(DATA!$M:$M,DATA!$C:$C,$B70,DATA!$N:$N,"&gt;="&amp;DATE(D$5,1,1),DATA!$N:$N,"&lt;="&amp;DATE(D$5,12,31))</f>
        <v/>
      </c>
      <c r="E70" s="331">
        <f>SUMIFS(DATA!$M:$M,DATA!$C:$C,$B70,DATA!$N:$N,"&gt;="&amp;DATE(E$5,1,1),DATA!$N:$N,"&lt;="&amp;DATE(E$5,12,31))</f>
        <v/>
      </c>
      <c r="F70" s="331">
        <f>SUMIFS(DATA!$M:$M,DATA!$C:$C,$B70,DATA!$N:$N,"&gt;="&amp;DATE(F$5,1,1),DATA!$N:$N,"&lt;="&amp;DATE(F$5,12,31))</f>
        <v/>
      </c>
      <c r="G70" s="331">
        <f>SUMIFS(DATA!$M:$M,DATA!$C:$C,$B70,DATA!$N:$N,"&gt;="&amp;DATE(G$5,1,1),DATA!$N:$N,"&lt;="&amp;DATE(G$5,12,31))</f>
        <v/>
      </c>
      <c r="H70" s="331">
        <f>SUMIFS(DATA!$M:$M,DATA!$C:$C,$B70,DATA!$N:$N,"&gt;="&amp;DATE(H$5,1,1),DATA!$N:$N,"&lt;="&amp;DATE(H$5,12,31))</f>
        <v/>
      </c>
      <c r="I70" s="331">
        <f>SUMIFS(DATA!$M:$M,DATA!$C:$C,$B70,DATA!$N:$N,"&gt;="&amp;DATE(I$5,1,1),DATA!$N:$N,"&lt;="&amp;DATE(I$5,12,31))</f>
        <v/>
      </c>
      <c r="J70" s="332">
        <f>SUM(C70:I70)</f>
        <v/>
      </c>
      <c r="K70" s="333">
        <f>J70/$J$506</f>
        <v/>
      </c>
    </row>
    <row r="71" hidden="1" outlineLevel="1" ht="32.25" customHeight="1">
      <c r="A71" s="48" t="n">
        <v>66</v>
      </c>
      <c r="B71" s="107" t="inlineStr">
        <is>
          <t>BRITISH EMBASSY HANOI</t>
        </is>
      </c>
      <c r="C71" s="331">
        <f>SUMIFS(DATA!$M:$M,DATA!$C:$C,$B71,DATA!$N:$N,"&gt;="&amp;DATE(C$5,1,1),DATA!$N:$N,"&lt;="&amp;DATE(C$5,12,31))</f>
        <v/>
      </c>
      <c r="D71" s="331">
        <f>SUMIFS(DATA!$M:$M,DATA!$C:$C,$B71,DATA!$N:$N,"&gt;="&amp;DATE(D$5,1,1),DATA!$N:$N,"&lt;="&amp;DATE(D$5,12,31))</f>
        <v/>
      </c>
      <c r="E71" s="331">
        <f>SUMIFS(DATA!$M:$M,DATA!$C:$C,$B71,DATA!$N:$N,"&gt;="&amp;DATE(E$5,1,1),DATA!$N:$N,"&lt;="&amp;DATE(E$5,12,31))</f>
        <v/>
      </c>
      <c r="F71" s="331">
        <f>SUMIFS(DATA!$M:$M,DATA!$C:$C,$B71,DATA!$N:$N,"&gt;="&amp;DATE(F$5,1,1),DATA!$N:$N,"&lt;="&amp;DATE(F$5,12,31))</f>
        <v/>
      </c>
      <c r="G71" s="331">
        <f>SUMIFS(DATA!$M:$M,DATA!$C:$C,$B71,DATA!$N:$N,"&gt;="&amp;DATE(G$5,1,1),DATA!$N:$N,"&lt;="&amp;DATE(G$5,12,31))</f>
        <v/>
      </c>
      <c r="H71" s="331">
        <f>SUMIFS(DATA!$M:$M,DATA!$C:$C,$B71,DATA!$N:$N,"&gt;="&amp;DATE(H$5,1,1),DATA!$N:$N,"&lt;="&amp;DATE(H$5,12,31))</f>
        <v/>
      </c>
      <c r="I71" s="331">
        <f>SUMIFS(DATA!$M:$M,DATA!$C:$C,$B71,DATA!$N:$N,"&gt;="&amp;DATE(I$5,1,1),DATA!$N:$N,"&lt;="&amp;DATE(I$5,12,31))</f>
        <v/>
      </c>
      <c r="J71" s="332">
        <f>SUM(C71:I71)</f>
        <v/>
      </c>
      <c r="K71" s="333">
        <f>J71/$J$506</f>
        <v/>
      </c>
    </row>
    <row r="72" hidden="1" outlineLevel="1" ht="32.25" customHeight="1">
      <c r="A72" s="48" t="n">
        <v>67</v>
      </c>
      <c r="B72" s="107" t="inlineStr">
        <is>
          <t>BARGHEST BUILDING PERFORMANCE VIETNAM</t>
        </is>
      </c>
      <c r="C72" s="331">
        <f>SUMIFS(DATA!$M:$M,DATA!$C:$C,$B72,DATA!$N:$N,"&gt;="&amp;DATE(C$5,1,1),DATA!$N:$N,"&lt;="&amp;DATE(C$5,12,31))</f>
        <v/>
      </c>
      <c r="D72" s="331">
        <f>SUMIFS(DATA!$M:$M,DATA!$C:$C,$B72,DATA!$N:$N,"&gt;="&amp;DATE(D$5,1,1),DATA!$N:$N,"&lt;="&amp;DATE(D$5,12,31))</f>
        <v/>
      </c>
      <c r="E72" s="331">
        <f>SUMIFS(DATA!$M:$M,DATA!$C:$C,$B72,DATA!$N:$N,"&gt;="&amp;DATE(E$5,1,1),DATA!$N:$N,"&lt;="&amp;DATE(E$5,12,31))</f>
        <v/>
      </c>
      <c r="F72" s="331">
        <f>SUMIFS(DATA!$M:$M,DATA!$C:$C,$B72,DATA!$N:$N,"&gt;="&amp;DATE(F$5,1,1),DATA!$N:$N,"&lt;="&amp;DATE(F$5,12,31))</f>
        <v/>
      </c>
      <c r="G72" s="331">
        <f>SUMIFS(DATA!$M:$M,DATA!$C:$C,$B72,DATA!$N:$N,"&gt;="&amp;DATE(G$5,1,1),DATA!$N:$N,"&lt;="&amp;DATE(G$5,12,31))</f>
        <v/>
      </c>
      <c r="H72" s="331">
        <f>SUMIFS(DATA!$M:$M,DATA!$C:$C,$B72,DATA!$N:$N,"&gt;="&amp;DATE(H$5,1,1),DATA!$N:$N,"&lt;="&amp;DATE(H$5,12,31))</f>
        <v/>
      </c>
      <c r="I72" s="331">
        <f>SUMIFS(DATA!$M:$M,DATA!$C:$C,$B72,DATA!$N:$N,"&gt;="&amp;DATE(I$5,1,1),DATA!$N:$N,"&lt;="&amp;DATE(I$5,12,31))</f>
        <v/>
      </c>
      <c r="J72" s="332">
        <f>SUM(C72:I72)</f>
        <v/>
      </c>
      <c r="K72" s="333">
        <f>J72/$J$506</f>
        <v/>
      </c>
    </row>
    <row r="73" hidden="1" outlineLevel="1" ht="32.25" customHeight="1">
      <c r="A73" s="48" t="n">
        <v>68</v>
      </c>
      <c r="B73" s="107" t="inlineStr">
        <is>
          <t>SKY PARK RESIDENCE</t>
        </is>
      </c>
      <c r="C73" s="331">
        <f>SUMIFS(DATA!$M:$M,DATA!$C:$C,$B73,DATA!$N:$N,"&gt;="&amp;DATE(C$5,1,1),DATA!$N:$N,"&lt;="&amp;DATE(C$5,12,31))</f>
        <v/>
      </c>
      <c r="D73" s="331">
        <f>SUMIFS(DATA!$M:$M,DATA!$C:$C,$B73,DATA!$N:$N,"&gt;="&amp;DATE(D$5,1,1),DATA!$N:$N,"&lt;="&amp;DATE(D$5,12,31))</f>
        <v/>
      </c>
      <c r="E73" s="331">
        <f>SUMIFS(DATA!$M:$M,DATA!$C:$C,$B73,DATA!$N:$N,"&gt;="&amp;DATE(E$5,1,1),DATA!$N:$N,"&lt;="&amp;DATE(E$5,12,31))</f>
        <v/>
      </c>
      <c r="F73" s="331">
        <f>SUMIFS(DATA!$M:$M,DATA!$C:$C,$B73,DATA!$N:$N,"&gt;="&amp;DATE(F$5,1,1),DATA!$N:$N,"&lt;="&amp;DATE(F$5,12,31))</f>
        <v/>
      </c>
      <c r="G73" s="331">
        <f>SUMIFS(DATA!$M:$M,DATA!$C:$C,$B73,DATA!$N:$N,"&gt;="&amp;DATE(G$5,1,1),DATA!$N:$N,"&lt;="&amp;DATE(G$5,12,31))</f>
        <v/>
      </c>
      <c r="H73" s="331">
        <f>SUMIFS(DATA!$M:$M,DATA!$C:$C,$B73,DATA!$N:$N,"&gt;="&amp;DATE(H$5,1,1),DATA!$N:$N,"&lt;="&amp;DATE(H$5,12,31))</f>
        <v/>
      </c>
      <c r="I73" s="331">
        <f>SUMIFS(DATA!$M:$M,DATA!$C:$C,$B73,DATA!$N:$N,"&gt;="&amp;DATE(I$5,1,1),DATA!$N:$N,"&lt;="&amp;DATE(I$5,12,31))</f>
        <v/>
      </c>
      <c r="J73" s="332">
        <f>SUM(C73:I73)</f>
        <v/>
      </c>
      <c r="K73" s="333">
        <f>J73/$J$506</f>
        <v/>
      </c>
    </row>
    <row r="74" hidden="1" outlineLevel="1" ht="32.25" customHeight="1">
      <c r="A74" s="48" t="n">
        <v>69</v>
      </c>
      <c r="B74" s="107" t="inlineStr">
        <is>
          <t>HITACHI ENERGY VIETNAM</t>
        </is>
      </c>
      <c r="C74" s="331">
        <f>SUMIFS(DATA!$M:$M,DATA!$C:$C,$B74,DATA!$N:$N,"&gt;="&amp;DATE(C$5,1,1),DATA!$N:$N,"&lt;="&amp;DATE(C$5,12,31))</f>
        <v/>
      </c>
      <c r="D74" s="331">
        <f>SUMIFS(DATA!$M:$M,DATA!$C:$C,$B74,DATA!$N:$N,"&gt;="&amp;DATE(D$5,1,1),DATA!$N:$N,"&lt;="&amp;DATE(D$5,12,31))</f>
        <v/>
      </c>
      <c r="E74" s="331">
        <f>SUMIFS(DATA!$M:$M,DATA!$C:$C,$B74,DATA!$N:$N,"&gt;="&amp;DATE(E$5,1,1),DATA!$N:$N,"&lt;="&amp;DATE(E$5,12,31))</f>
        <v/>
      </c>
      <c r="F74" s="331">
        <f>SUMIFS(DATA!$M:$M,DATA!$C:$C,$B74,DATA!$N:$N,"&gt;="&amp;DATE(F$5,1,1),DATA!$N:$N,"&lt;="&amp;DATE(F$5,12,31))</f>
        <v/>
      </c>
      <c r="G74" s="331">
        <f>SUMIFS(DATA!$M:$M,DATA!$C:$C,$B74,DATA!$N:$N,"&gt;="&amp;DATE(G$5,1,1),DATA!$N:$N,"&lt;="&amp;DATE(G$5,12,31))</f>
        <v/>
      </c>
      <c r="H74" s="331">
        <f>SUMIFS(DATA!$M:$M,DATA!$C:$C,$B74,DATA!$N:$N,"&gt;="&amp;DATE(H$5,1,1),DATA!$N:$N,"&lt;="&amp;DATE(H$5,12,31))</f>
        <v/>
      </c>
      <c r="I74" s="331">
        <f>SUMIFS(DATA!$M:$M,DATA!$C:$C,$B74,DATA!$N:$N,"&gt;="&amp;DATE(I$5,1,1),DATA!$N:$N,"&lt;="&amp;DATE(I$5,12,31))</f>
        <v/>
      </c>
      <c r="J74" s="332">
        <f>SUM(C74:I74)</f>
        <v/>
      </c>
      <c r="K74" s="333">
        <f>J74/$J$506</f>
        <v/>
      </c>
    </row>
    <row r="75" hidden="1" outlineLevel="1" ht="32.25" customHeight="1">
      <c r="A75" s="48" t="n">
        <v>70</v>
      </c>
      <c r="B75" s="107" t="inlineStr">
        <is>
          <t>CTY CỔ PHẦN XÂY LẮP CƠ ĐIỆN PHÚ HƯNG (cũ)</t>
        </is>
      </c>
      <c r="C75" s="331">
        <f>SUMIFS(DATA!$M:$M,DATA!$C:$C,$B75,DATA!$N:$N,"&gt;="&amp;DATE(C$5,1,1),DATA!$N:$N,"&lt;="&amp;DATE(C$5,12,31))</f>
        <v/>
      </c>
      <c r="D75" s="331">
        <f>SUMIFS(DATA!$M:$M,DATA!$C:$C,$B75,DATA!$N:$N,"&gt;="&amp;DATE(D$5,1,1),DATA!$N:$N,"&lt;="&amp;DATE(D$5,12,31))</f>
        <v/>
      </c>
      <c r="E75" s="331">
        <f>SUMIFS(DATA!$M:$M,DATA!$C:$C,$B75,DATA!$N:$N,"&gt;="&amp;DATE(E$5,1,1),DATA!$N:$N,"&lt;="&amp;DATE(E$5,12,31))</f>
        <v/>
      </c>
      <c r="F75" s="331">
        <f>SUMIFS(DATA!$M:$M,DATA!$C:$C,$B75,DATA!$N:$N,"&gt;="&amp;DATE(F$5,1,1),DATA!$N:$N,"&lt;="&amp;DATE(F$5,12,31))</f>
        <v/>
      </c>
      <c r="G75" s="331">
        <f>SUMIFS(DATA!$M:$M,DATA!$C:$C,$B75,DATA!$N:$N,"&gt;="&amp;DATE(G$5,1,1),DATA!$N:$N,"&lt;="&amp;DATE(G$5,12,31))</f>
        <v/>
      </c>
      <c r="H75" s="331">
        <f>SUMIFS(DATA!$M:$M,DATA!$C:$C,$B75,DATA!$N:$N,"&gt;="&amp;DATE(H$5,1,1),DATA!$N:$N,"&lt;="&amp;DATE(H$5,12,31))</f>
        <v/>
      </c>
      <c r="I75" s="331">
        <f>SUMIFS(DATA!$M:$M,DATA!$C:$C,$B75,DATA!$N:$N,"&gt;="&amp;DATE(I$5,1,1),DATA!$N:$N,"&lt;="&amp;DATE(I$5,12,31))</f>
        <v/>
      </c>
      <c r="J75" s="332">
        <f>SUM(C75:I75)</f>
        <v/>
      </c>
      <c r="K75" s="333">
        <f>J75/$J$506</f>
        <v/>
      </c>
    </row>
    <row r="76" hidden="1" outlineLevel="1" ht="32.25" customHeight="1">
      <c r="A76" s="48" t="n">
        <v>71</v>
      </c>
      <c r="B76" s="107" t="inlineStr">
        <is>
          <t>CIPUTRA CLUB</t>
        </is>
      </c>
      <c r="C76" s="331">
        <f>SUMIFS(DATA!$M:$M,DATA!$C:$C,$B76,DATA!$N:$N,"&gt;="&amp;DATE(C$5,1,1),DATA!$N:$N,"&lt;="&amp;DATE(C$5,12,31))</f>
        <v/>
      </c>
      <c r="D76" s="331">
        <f>SUMIFS(DATA!$M:$M,DATA!$C:$C,$B76,DATA!$N:$N,"&gt;="&amp;DATE(D$5,1,1),DATA!$N:$N,"&lt;="&amp;DATE(D$5,12,31))</f>
        <v/>
      </c>
      <c r="E76" s="331">
        <f>SUMIFS(DATA!$M:$M,DATA!$C:$C,$B76,DATA!$N:$N,"&gt;="&amp;DATE(E$5,1,1),DATA!$N:$N,"&lt;="&amp;DATE(E$5,12,31))</f>
        <v/>
      </c>
      <c r="F76" s="331">
        <f>SUMIFS(DATA!$M:$M,DATA!$C:$C,$B76,DATA!$N:$N,"&gt;="&amp;DATE(F$5,1,1),DATA!$N:$N,"&lt;="&amp;DATE(F$5,12,31))</f>
        <v/>
      </c>
      <c r="G76" s="331">
        <f>SUMIFS(DATA!$M:$M,DATA!$C:$C,$B76,DATA!$N:$N,"&gt;="&amp;DATE(G$5,1,1),DATA!$N:$N,"&lt;="&amp;DATE(G$5,12,31))</f>
        <v/>
      </c>
      <c r="H76" s="331">
        <f>SUMIFS(DATA!$M:$M,DATA!$C:$C,$B76,DATA!$N:$N,"&gt;="&amp;DATE(H$5,1,1),DATA!$N:$N,"&lt;="&amp;DATE(H$5,12,31))</f>
        <v/>
      </c>
      <c r="I76" s="331">
        <f>SUMIFS(DATA!$M:$M,DATA!$C:$C,$B76,DATA!$N:$N,"&gt;="&amp;DATE(I$5,1,1),DATA!$N:$N,"&lt;="&amp;DATE(I$5,12,31))</f>
        <v/>
      </c>
      <c r="J76" s="332">
        <f>SUM(C76:I76)</f>
        <v/>
      </c>
      <c r="K76" s="333">
        <f>J76/$J$506</f>
        <v/>
      </c>
    </row>
    <row r="77" hidden="1" outlineLevel="1" ht="32.25" customHeight="1">
      <c r="A77" s="48" t="n">
        <v>72</v>
      </c>
      <c r="B77" s="107" t="inlineStr">
        <is>
          <t>CÔNG TY CỔ PHẦN XÂY DỰNG &amp; THƯƠNG MẠI NIKKOH</t>
        </is>
      </c>
      <c r="C77" s="331">
        <f>SUMIFS(DATA!$M:$M,DATA!$C:$C,$B77,DATA!$N:$N,"&gt;="&amp;DATE(C$5,1,1),DATA!$N:$N,"&lt;="&amp;DATE(C$5,12,31))</f>
        <v/>
      </c>
      <c r="D77" s="331">
        <f>SUMIFS(DATA!$M:$M,DATA!$C:$C,$B77,DATA!$N:$N,"&gt;="&amp;DATE(D$5,1,1),DATA!$N:$N,"&lt;="&amp;DATE(D$5,12,31))</f>
        <v/>
      </c>
      <c r="E77" s="331">
        <f>SUMIFS(DATA!$M:$M,DATA!$C:$C,$B77,DATA!$N:$N,"&gt;="&amp;DATE(E$5,1,1),DATA!$N:$N,"&lt;="&amp;DATE(E$5,12,31))</f>
        <v/>
      </c>
      <c r="F77" s="331">
        <f>SUMIFS(DATA!$M:$M,DATA!$C:$C,$B77,DATA!$N:$N,"&gt;="&amp;DATE(F$5,1,1),DATA!$N:$N,"&lt;="&amp;DATE(F$5,12,31))</f>
        <v/>
      </c>
      <c r="G77" s="331">
        <f>SUMIFS(DATA!$M:$M,DATA!$C:$C,$B77,DATA!$N:$N,"&gt;="&amp;DATE(G$5,1,1),DATA!$N:$N,"&lt;="&amp;DATE(G$5,12,31))</f>
        <v/>
      </c>
      <c r="H77" s="331">
        <f>SUMIFS(DATA!$M:$M,DATA!$C:$C,$B77,DATA!$N:$N,"&gt;="&amp;DATE(H$5,1,1),DATA!$N:$N,"&lt;="&amp;DATE(H$5,12,31))</f>
        <v/>
      </c>
      <c r="I77" s="331">
        <f>SUMIFS(DATA!$M:$M,DATA!$C:$C,$B77,DATA!$N:$N,"&gt;="&amp;DATE(I$5,1,1),DATA!$N:$N,"&lt;="&amp;DATE(I$5,12,31))</f>
        <v/>
      </c>
      <c r="J77" s="332">
        <f>SUM(C77:I77)</f>
        <v/>
      </c>
      <c r="K77" s="333">
        <f>J77/$J$506</f>
        <v/>
      </c>
    </row>
    <row r="78" hidden="1" outlineLevel="1" ht="32.25" customHeight="1">
      <c r="A78" s="48" t="n">
        <v>73</v>
      </c>
      <c r="B78" s="107" t="inlineStr">
        <is>
          <t>TRƯỜNG ĐÀO TẠO VIETCOMBANK</t>
        </is>
      </c>
      <c r="C78" s="331">
        <f>SUMIFS(DATA!$M:$M,DATA!$C:$C,$B78,DATA!$N:$N,"&gt;="&amp;DATE(C$5,1,1),DATA!$N:$N,"&lt;="&amp;DATE(C$5,12,31))</f>
        <v/>
      </c>
      <c r="D78" s="331">
        <f>SUMIFS(DATA!$M:$M,DATA!$C:$C,$B78,DATA!$N:$N,"&gt;="&amp;DATE(D$5,1,1),DATA!$N:$N,"&lt;="&amp;DATE(D$5,12,31))</f>
        <v/>
      </c>
      <c r="E78" s="331">
        <f>SUMIFS(DATA!$M:$M,DATA!$C:$C,$B78,DATA!$N:$N,"&gt;="&amp;DATE(E$5,1,1),DATA!$N:$N,"&lt;="&amp;DATE(E$5,12,31))</f>
        <v/>
      </c>
      <c r="F78" s="331">
        <f>SUMIFS(DATA!$M:$M,DATA!$C:$C,$B78,DATA!$N:$N,"&gt;="&amp;DATE(F$5,1,1),DATA!$N:$N,"&lt;="&amp;DATE(F$5,12,31))</f>
        <v/>
      </c>
      <c r="G78" s="331">
        <f>SUMIFS(DATA!$M:$M,DATA!$C:$C,$B78,DATA!$N:$N,"&gt;="&amp;DATE(G$5,1,1),DATA!$N:$N,"&lt;="&amp;DATE(G$5,12,31))</f>
        <v/>
      </c>
      <c r="H78" s="331">
        <f>SUMIFS(DATA!$M:$M,DATA!$C:$C,$B78,DATA!$N:$N,"&gt;="&amp;DATE(H$5,1,1),DATA!$N:$N,"&lt;="&amp;DATE(H$5,12,31))</f>
        <v/>
      </c>
      <c r="I78" s="331">
        <f>SUMIFS(DATA!$M:$M,DATA!$C:$C,$B78,DATA!$N:$N,"&gt;="&amp;DATE(I$5,1,1),DATA!$N:$N,"&lt;="&amp;DATE(I$5,12,31))</f>
        <v/>
      </c>
      <c r="J78" s="332">
        <f>SUM(C78:I78)</f>
        <v/>
      </c>
      <c r="K78" s="333">
        <f>J78/$J$506</f>
        <v/>
      </c>
    </row>
    <row r="79" hidden="1" outlineLevel="1" ht="32.25" customHeight="1">
      <c r="A79" s="48" t="n">
        <v>74</v>
      </c>
      <c r="B79" s="107" t="inlineStr">
        <is>
          <t>THE DEWEY SCHOOLS</t>
        </is>
      </c>
      <c r="C79" s="331">
        <f>SUMIFS(DATA!$M:$M,DATA!$C:$C,$B79,DATA!$N:$N,"&gt;="&amp;DATE(C$5,1,1),DATA!$N:$N,"&lt;="&amp;DATE(C$5,12,31))</f>
        <v/>
      </c>
      <c r="D79" s="331">
        <f>SUMIFS(DATA!$M:$M,DATA!$C:$C,$B79,DATA!$N:$N,"&gt;="&amp;DATE(D$5,1,1),DATA!$N:$N,"&lt;="&amp;DATE(D$5,12,31))</f>
        <v/>
      </c>
      <c r="E79" s="331">
        <f>SUMIFS(DATA!$M:$M,DATA!$C:$C,$B79,DATA!$N:$N,"&gt;="&amp;DATE(E$5,1,1),DATA!$N:$N,"&lt;="&amp;DATE(E$5,12,31))</f>
        <v/>
      </c>
      <c r="F79" s="331">
        <f>SUMIFS(DATA!$M:$M,DATA!$C:$C,$B79,DATA!$N:$N,"&gt;="&amp;DATE(F$5,1,1),DATA!$N:$N,"&lt;="&amp;DATE(F$5,12,31))</f>
        <v/>
      </c>
      <c r="G79" s="331">
        <f>SUMIFS(DATA!$M:$M,DATA!$C:$C,$B79,DATA!$N:$N,"&gt;="&amp;DATE(G$5,1,1),DATA!$N:$N,"&lt;="&amp;DATE(G$5,12,31))</f>
        <v/>
      </c>
      <c r="H79" s="331">
        <f>SUMIFS(DATA!$M:$M,DATA!$C:$C,$B79,DATA!$N:$N,"&gt;="&amp;DATE(H$5,1,1),DATA!$N:$N,"&lt;="&amp;DATE(H$5,12,31))</f>
        <v/>
      </c>
      <c r="I79" s="331">
        <f>SUMIFS(DATA!$M:$M,DATA!$C:$C,$B79,DATA!$N:$N,"&gt;="&amp;DATE(I$5,1,1),DATA!$N:$N,"&lt;="&amp;DATE(I$5,12,31))</f>
        <v/>
      </c>
      <c r="J79" s="332">
        <f>SUM(C79:I79)</f>
        <v/>
      </c>
      <c r="K79" s="333">
        <f>J79/$J$506</f>
        <v/>
      </c>
    </row>
    <row r="80" hidden="1" outlineLevel="1" ht="32.25" customHeight="1">
      <c r="A80" s="48" t="n">
        <v>75</v>
      </c>
      <c r="B80" s="107" t="inlineStr">
        <is>
          <t>CÔNG TY TNHH THÁP LÁNG HẠ(Inactive)</t>
        </is>
      </c>
      <c r="C80" s="331">
        <f>SUMIFS(DATA!$M:$M,DATA!$C:$C,$B80,DATA!$N:$N,"&gt;="&amp;DATE(C$5,1,1),DATA!$N:$N,"&lt;="&amp;DATE(C$5,12,31))</f>
        <v/>
      </c>
      <c r="D80" s="331">
        <f>SUMIFS(DATA!$M:$M,DATA!$C:$C,$B80,DATA!$N:$N,"&gt;="&amp;DATE(D$5,1,1),DATA!$N:$N,"&lt;="&amp;DATE(D$5,12,31))</f>
        <v/>
      </c>
      <c r="E80" s="331">
        <f>SUMIFS(DATA!$M:$M,DATA!$C:$C,$B80,DATA!$N:$N,"&gt;="&amp;DATE(E$5,1,1),DATA!$N:$N,"&lt;="&amp;DATE(E$5,12,31))</f>
        <v/>
      </c>
      <c r="F80" s="331">
        <f>SUMIFS(DATA!$M:$M,DATA!$C:$C,$B80,DATA!$N:$N,"&gt;="&amp;DATE(F$5,1,1),DATA!$N:$N,"&lt;="&amp;DATE(F$5,12,31))</f>
        <v/>
      </c>
      <c r="G80" s="331">
        <f>SUMIFS(DATA!$M:$M,DATA!$C:$C,$B80,DATA!$N:$N,"&gt;="&amp;DATE(G$5,1,1),DATA!$N:$N,"&lt;="&amp;DATE(G$5,12,31))</f>
        <v/>
      </c>
      <c r="H80" s="331">
        <f>SUMIFS(DATA!$M:$M,DATA!$C:$C,$B80,DATA!$N:$N,"&gt;="&amp;DATE(H$5,1,1),DATA!$N:$N,"&lt;="&amp;DATE(H$5,12,31))</f>
        <v/>
      </c>
      <c r="I80" s="331">
        <f>SUMIFS(DATA!$M:$M,DATA!$C:$C,$B80,DATA!$N:$N,"&gt;="&amp;DATE(I$5,1,1),DATA!$N:$N,"&lt;="&amp;DATE(I$5,12,31))</f>
        <v/>
      </c>
      <c r="J80" s="332">
        <f>SUM(C80:I80)</f>
        <v/>
      </c>
      <c r="K80" s="333">
        <f>J80/$J$506</f>
        <v/>
      </c>
    </row>
    <row r="81" hidden="1" outlineLevel="1" ht="32.25" customHeight="1">
      <c r="A81" s="48" t="n">
        <v>76</v>
      </c>
      <c r="B81" s="107" t="inlineStr">
        <is>
          <t>MHI AEROSPACE VIETNAM</t>
        </is>
      </c>
      <c r="C81" s="331">
        <f>SUMIFS(DATA!$M:$M,DATA!$C:$C,$B81,DATA!$N:$N,"&gt;="&amp;DATE(C$5,1,1),DATA!$N:$N,"&lt;="&amp;DATE(C$5,12,31))</f>
        <v/>
      </c>
      <c r="D81" s="331">
        <f>SUMIFS(DATA!$M:$M,DATA!$C:$C,$B81,DATA!$N:$N,"&gt;="&amp;DATE(D$5,1,1),DATA!$N:$N,"&lt;="&amp;DATE(D$5,12,31))</f>
        <v/>
      </c>
      <c r="E81" s="331">
        <f>SUMIFS(DATA!$M:$M,DATA!$C:$C,$B81,DATA!$N:$N,"&gt;="&amp;DATE(E$5,1,1),DATA!$N:$N,"&lt;="&amp;DATE(E$5,12,31))</f>
        <v/>
      </c>
      <c r="F81" s="331">
        <f>SUMIFS(DATA!$M:$M,DATA!$C:$C,$B81,DATA!$N:$N,"&gt;="&amp;DATE(F$5,1,1),DATA!$N:$N,"&lt;="&amp;DATE(F$5,12,31))</f>
        <v/>
      </c>
      <c r="G81" s="331">
        <f>SUMIFS(DATA!$M:$M,DATA!$C:$C,$B81,DATA!$N:$N,"&gt;="&amp;DATE(G$5,1,1),DATA!$N:$N,"&lt;="&amp;DATE(G$5,12,31))</f>
        <v/>
      </c>
      <c r="H81" s="331">
        <f>SUMIFS(DATA!$M:$M,DATA!$C:$C,$B81,DATA!$N:$N,"&gt;="&amp;DATE(H$5,1,1),DATA!$N:$N,"&lt;="&amp;DATE(H$5,12,31))</f>
        <v/>
      </c>
      <c r="I81" s="331">
        <f>SUMIFS(DATA!$M:$M,DATA!$C:$C,$B81,DATA!$N:$N,"&gt;="&amp;DATE(I$5,1,1),DATA!$N:$N,"&lt;="&amp;DATE(I$5,12,31))</f>
        <v/>
      </c>
      <c r="J81" s="332">
        <f>SUM(C81:I81)</f>
        <v/>
      </c>
      <c r="K81" s="333">
        <f>J81/$J$506</f>
        <v/>
      </c>
    </row>
    <row r="82" hidden="1" outlineLevel="1" ht="32.25" customHeight="1">
      <c r="A82" s="48" t="n">
        <v>77</v>
      </c>
      <c r="B82" s="107" t="inlineStr">
        <is>
          <t>Công ty TNHH MHI Engine System Việt Nam</t>
        </is>
      </c>
      <c r="C82" s="331">
        <f>SUMIFS(DATA!$M:$M,DATA!$C:$C,$B82,DATA!$N:$N,"&gt;="&amp;DATE(C$5,1,1),DATA!$N:$N,"&lt;="&amp;DATE(C$5,12,31))</f>
        <v/>
      </c>
      <c r="D82" s="331">
        <f>SUMIFS(DATA!$M:$M,DATA!$C:$C,$B82,DATA!$N:$N,"&gt;="&amp;DATE(D$5,1,1),DATA!$N:$N,"&lt;="&amp;DATE(D$5,12,31))</f>
        <v/>
      </c>
      <c r="E82" s="331">
        <f>SUMIFS(DATA!$M:$M,DATA!$C:$C,$B82,DATA!$N:$N,"&gt;="&amp;DATE(E$5,1,1),DATA!$N:$N,"&lt;="&amp;DATE(E$5,12,31))</f>
        <v/>
      </c>
      <c r="F82" s="331">
        <f>SUMIFS(DATA!$M:$M,DATA!$C:$C,$B82,DATA!$N:$N,"&gt;="&amp;DATE(F$5,1,1),DATA!$N:$N,"&lt;="&amp;DATE(F$5,12,31))</f>
        <v/>
      </c>
      <c r="G82" s="331">
        <f>SUMIFS(DATA!$M:$M,DATA!$C:$C,$B82,DATA!$N:$N,"&gt;="&amp;DATE(G$5,1,1),DATA!$N:$N,"&lt;="&amp;DATE(G$5,12,31))</f>
        <v/>
      </c>
      <c r="H82" s="331">
        <f>SUMIFS(DATA!$M:$M,DATA!$C:$C,$B82,DATA!$N:$N,"&gt;="&amp;DATE(H$5,1,1),DATA!$N:$N,"&lt;="&amp;DATE(H$5,12,31))</f>
        <v/>
      </c>
      <c r="I82" s="331">
        <f>SUMIFS(DATA!$M:$M,DATA!$C:$C,$B82,DATA!$N:$N,"&gt;="&amp;DATE(I$5,1,1),DATA!$N:$N,"&lt;="&amp;DATE(I$5,12,31))</f>
        <v/>
      </c>
      <c r="J82" s="332">
        <f>SUM(C82:I82)</f>
        <v/>
      </c>
      <c r="K82" s="333">
        <f>J82/$J$506</f>
        <v/>
      </c>
    </row>
    <row r="83" hidden="1" outlineLevel="1" ht="32.25" customHeight="1">
      <c r="A83" s="48" t="n">
        <v>78</v>
      </c>
      <c r="B83" s="107" t="inlineStr">
        <is>
          <t>ALOHA HOMESTAY</t>
        </is>
      </c>
      <c r="C83" s="331">
        <f>SUMIFS(DATA!$M:$M,DATA!$C:$C,$B83,DATA!$N:$N,"&gt;="&amp;DATE(C$5,1,1),DATA!$N:$N,"&lt;="&amp;DATE(C$5,12,31))</f>
        <v/>
      </c>
      <c r="D83" s="331">
        <f>SUMIFS(DATA!$M:$M,DATA!$C:$C,$B83,DATA!$N:$N,"&gt;="&amp;DATE(D$5,1,1),DATA!$N:$N,"&lt;="&amp;DATE(D$5,12,31))</f>
        <v/>
      </c>
      <c r="E83" s="331">
        <f>SUMIFS(DATA!$M:$M,DATA!$C:$C,$B83,DATA!$N:$N,"&gt;="&amp;DATE(E$5,1,1),DATA!$N:$N,"&lt;="&amp;DATE(E$5,12,31))</f>
        <v/>
      </c>
      <c r="F83" s="331">
        <f>SUMIFS(DATA!$M:$M,DATA!$C:$C,$B83,DATA!$N:$N,"&gt;="&amp;DATE(F$5,1,1),DATA!$N:$N,"&lt;="&amp;DATE(F$5,12,31))</f>
        <v/>
      </c>
      <c r="G83" s="331">
        <f>SUMIFS(DATA!$M:$M,DATA!$C:$C,$B83,DATA!$N:$N,"&gt;="&amp;DATE(G$5,1,1),DATA!$N:$N,"&lt;="&amp;DATE(G$5,12,31))</f>
        <v/>
      </c>
      <c r="H83" s="331">
        <f>SUMIFS(DATA!$M:$M,DATA!$C:$C,$B83,DATA!$N:$N,"&gt;="&amp;DATE(H$5,1,1),DATA!$N:$N,"&lt;="&amp;DATE(H$5,12,31))</f>
        <v/>
      </c>
      <c r="I83" s="331">
        <f>SUMIFS(DATA!$M:$M,DATA!$C:$C,$B83,DATA!$N:$N,"&gt;="&amp;DATE(I$5,1,1),DATA!$N:$N,"&lt;="&amp;DATE(I$5,12,31))</f>
        <v/>
      </c>
      <c r="J83" s="332">
        <f>SUM(C83:I83)</f>
        <v/>
      </c>
      <c r="K83" s="333">
        <f>J83/$J$506</f>
        <v/>
      </c>
    </row>
    <row r="84" hidden="1" outlineLevel="1" ht="32.25" customHeight="1">
      <c r="A84" s="48" t="n">
        <v>79</v>
      </c>
      <c r="B84" s="107" t="inlineStr">
        <is>
          <t>N03 T1 NGOẠI GIAO ĐOÀN</t>
        </is>
      </c>
      <c r="C84" s="331">
        <f>SUMIFS(DATA!$M:$M,DATA!$C:$C,$B84,DATA!$N:$N,"&gt;="&amp;DATE(C$5,1,1),DATA!$N:$N,"&lt;="&amp;DATE(C$5,12,31))</f>
        <v/>
      </c>
      <c r="D84" s="331">
        <f>SUMIFS(DATA!$M:$M,DATA!$C:$C,$B84,DATA!$N:$N,"&gt;="&amp;DATE(D$5,1,1),DATA!$N:$N,"&lt;="&amp;DATE(D$5,12,31))</f>
        <v/>
      </c>
      <c r="E84" s="331">
        <f>SUMIFS(DATA!$M:$M,DATA!$C:$C,$B84,DATA!$N:$N,"&gt;="&amp;DATE(E$5,1,1),DATA!$N:$N,"&lt;="&amp;DATE(E$5,12,31))</f>
        <v/>
      </c>
      <c r="F84" s="331">
        <f>SUMIFS(DATA!$M:$M,DATA!$C:$C,$B84,DATA!$N:$N,"&gt;="&amp;DATE(F$5,1,1),DATA!$N:$N,"&lt;="&amp;DATE(F$5,12,31))</f>
        <v/>
      </c>
      <c r="G84" s="331">
        <f>SUMIFS(DATA!$M:$M,DATA!$C:$C,$B84,DATA!$N:$N,"&gt;="&amp;DATE(G$5,1,1),DATA!$N:$N,"&lt;="&amp;DATE(G$5,12,31))</f>
        <v/>
      </c>
      <c r="H84" s="331">
        <f>SUMIFS(DATA!$M:$M,DATA!$C:$C,$B84,DATA!$N:$N,"&gt;="&amp;DATE(H$5,1,1),DATA!$N:$N,"&lt;="&amp;DATE(H$5,12,31))</f>
        <v/>
      </c>
      <c r="I84" s="331">
        <f>SUMIFS(DATA!$M:$M,DATA!$C:$C,$B84,DATA!$N:$N,"&gt;="&amp;DATE(I$5,1,1),DATA!$N:$N,"&lt;="&amp;DATE(I$5,12,31))</f>
        <v/>
      </c>
      <c r="J84" s="332">
        <f>SUM(C84:I84)</f>
        <v/>
      </c>
      <c r="K84" s="333">
        <f>J84/$J$506</f>
        <v/>
      </c>
    </row>
    <row r="85" hidden="1" outlineLevel="1" ht="32.25" customHeight="1">
      <c r="A85" s="48" t="n">
        <v>80</v>
      </c>
      <c r="B85" s="107" t="inlineStr">
        <is>
          <t>CÔNG TY TNHH TOTECH VIỆT NAM SOLUTIONS</t>
        </is>
      </c>
      <c r="C85" s="331">
        <f>SUMIFS(DATA!$M:$M,DATA!$C:$C,$B85,DATA!$N:$N,"&gt;="&amp;DATE(C$5,1,1),DATA!$N:$N,"&lt;="&amp;DATE(C$5,12,31))</f>
        <v/>
      </c>
      <c r="D85" s="331">
        <f>SUMIFS(DATA!$M:$M,DATA!$C:$C,$B85,DATA!$N:$N,"&gt;="&amp;DATE(D$5,1,1),DATA!$N:$N,"&lt;="&amp;DATE(D$5,12,31))</f>
        <v/>
      </c>
      <c r="E85" s="331">
        <f>SUMIFS(DATA!$M:$M,DATA!$C:$C,$B85,DATA!$N:$N,"&gt;="&amp;DATE(E$5,1,1),DATA!$N:$N,"&lt;="&amp;DATE(E$5,12,31))</f>
        <v/>
      </c>
      <c r="F85" s="331">
        <f>SUMIFS(DATA!$M:$M,DATA!$C:$C,$B85,DATA!$N:$N,"&gt;="&amp;DATE(F$5,1,1),DATA!$N:$N,"&lt;="&amp;DATE(F$5,12,31))</f>
        <v/>
      </c>
      <c r="G85" s="331">
        <f>SUMIFS(DATA!$M:$M,DATA!$C:$C,$B85,DATA!$N:$N,"&gt;="&amp;DATE(G$5,1,1),DATA!$N:$N,"&lt;="&amp;DATE(G$5,12,31))</f>
        <v/>
      </c>
      <c r="H85" s="331">
        <f>SUMIFS(DATA!$M:$M,DATA!$C:$C,$B85,DATA!$N:$N,"&gt;="&amp;DATE(H$5,1,1),DATA!$N:$N,"&lt;="&amp;DATE(H$5,12,31))</f>
        <v/>
      </c>
      <c r="I85" s="331">
        <f>SUMIFS(DATA!$M:$M,DATA!$C:$C,$B85,DATA!$N:$N,"&gt;="&amp;DATE(I$5,1,1),DATA!$N:$N,"&lt;="&amp;DATE(I$5,12,31))</f>
        <v/>
      </c>
      <c r="J85" s="332">
        <f>SUM(C85:I85)</f>
        <v/>
      </c>
      <c r="K85" s="333">
        <f>J85/$J$506</f>
        <v/>
      </c>
    </row>
    <row r="86" hidden="1" outlineLevel="1" ht="32.25" customHeight="1">
      <c r="A86" s="48" t="n">
        <v>81</v>
      </c>
      <c r="B86" s="107" t="inlineStr">
        <is>
          <t>JEMMTEC VIETNAM</t>
        </is>
      </c>
      <c r="C86" s="331">
        <f>SUMIFS(DATA!$M:$M,DATA!$C:$C,$B86,DATA!$N:$N,"&gt;="&amp;DATE(C$5,1,1),DATA!$N:$N,"&lt;="&amp;DATE(C$5,12,31))</f>
        <v/>
      </c>
      <c r="D86" s="331">
        <f>SUMIFS(DATA!$M:$M,DATA!$C:$C,$B86,DATA!$N:$N,"&gt;="&amp;DATE(D$5,1,1),DATA!$N:$N,"&lt;="&amp;DATE(D$5,12,31))</f>
        <v/>
      </c>
      <c r="E86" s="331">
        <f>SUMIFS(DATA!$M:$M,DATA!$C:$C,$B86,DATA!$N:$N,"&gt;="&amp;DATE(E$5,1,1),DATA!$N:$N,"&lt;="&amp;DATE(E$5,12,31))</f>
        <v/>
      </c>
      <c r="F86" s="331">
        <f>SUMIFS(DATA!$M:$M,DATA!$C:$C,$B86,DATA!$N:$N,"&gt;="&amp;DATE(F$5,1,1),DATA!$N:$N,"&lt;="&amp;DATE(F$5,12,31))</f>
        <v/>
      </c>
      <c r="G86" s="331">
        <f>SUMIFS(DATA!$M:$M,DATA!$C:$C,$B86,DATA!$N:$N,"&gt;="&amp;DATE(G$5,1,1),DATA!$N:$N,"&lt;="&amp;DATE(G$5,12,31))</f>
        <v/>
      </c>
      <c r="H86" s="331">
        <f>SUMIFS(DATA!$M:$M,DATA!$C:$C,$B86,DATA!$N:$N,"&gt;="&amp;DATE(H$5,1,1),DATA!$N:$N,"&lt;="&amp;DATE(H$5,12,31))</f>
        <v/>
      </c>
      <c r="I86" s="331">
        <f>SUMIFS(DATA!$M:$M,DATA!$C:$C,$B86,DATA!$N:$N,"&gt;="&amp;DATE(I$5,1,1),DATA!$N:$N,"&lt;="&amp;DATE(I$5,12,31))</f>
        <v/>
      </c>
      <c r="J86" s="332">
        <f>SUM(C86:I86)</f>
        <v/>
      </c>
      <c r="K86" s="333">
        <f>J86/$J$506</f>
        <v/>
      </c>
    </row>
    <row r="87" hidden="1" outlineLevel="1" ht="32.25" customHeight="1">
      <c r="A87" s="48" t="n">
        <v>82</v>
      </c>
      <c r="B87" s="107" t="inlineStr">
        <is>
          <t>LAURELTON DIAMONDS VIETNAM</t>
        </is>
      </c>
      <c r="C87" s="331">
        <f>SUMIFS(DATA!$M:$M,DATA!$C:$C,$B87,DATA!$N:$N,"&gt;="&amp;DATE(C$5,1,1),DATA!$N:$N,"&lt;="&amp;DATE(C$5,12,31))</f>
        <v/>
      </c>
      <c r="D87" s="331">
        <f>SUMIFS(DATA!$M:$M,DATA!$C:$C,$B87,DATA!$N:$N,"&gt;="&amp;DATE(D$5,1,1),DATA!$N:$N,"&lt;="&amp;DATE(D$5,12,31))</f>
        <v/>
      </c>
      <c r="E87" s="331">
        <f>SUMIFS(DATA!$M:$M,DATA!$C:$C,$B87,DATA!$N:$N,"&gt;="&amp;DATE(E$5,1,1),DATA!$N:$N,"&lt;="&amp;DATE(E$5,12,31))</f>
        <v/>
      </c>
      <c r="F87" s="331">
        <f>SUMIFS(DATA!$M:$M,DATA!$C:$C,$B87,DATA!$N:$N,"&gt;="&amp;DATE(F$5,1,1),DATA!$N:$N,"&lt;="&amp;DATE(F$5,12,31))</f>
        <v/>
      </c>
      <c r="G87" s="331">
        <f>SUMIFS(DATA!$M:$M,DATA!$C:$C,$B87,DATA!$N:$N,"&gt;="&amp;DATE(G$5,1,1),DATA!$N:$N,"&lt;="&amp;DATE(G$5,12,31))</f>
        <v/>
      </c>
      <c r="H87" s="331">
        <f>SUMIFS(DATA!$M:$M,DATA!$C:$C,$B87,DATA!$N:$N,"&gt;="&amp;DATE(H$5,1,1),DATA!$N:$N,"&lt;="&amp;DATE(H$5,12,31))</f>
        <v/>
      </c>
      <c r="I87" s="331">
        <f>SUMIFS(DATA!$M:$M,DATA!$C:$C,$B87,DATA!$N:$N,"&gt;="&amp;DATE(I$5,1,1),DATA!$N:$N,"&lt;="&amp;DATE(I$5,12,31))</f>
        <v/>
      </c>
      <c r="J87" s="332">
        <f>SUM(C87:I87)</f>
        <v/>
      </c>
      <c r="K87" s="333">
        <f>J87/$J$506</f>
        <v/>
      </c>
    </row>
    <row r="88" hidden="1" outlineLevel="1" ht="32.25" customHeight="1">
      <c r="A88" s="48" t="n">
        <v>83</v>
      </c>
      <c r="B88" s="107" t="inlineStr">
        <is>
          <t>YAMAHA MOTOR ELECTRONICS VIETNAM</t>
        </is>
      </c>
      <c r="C88" s="331">
        <f>SUMIFS(DATA!$M:$M,DATA!$C:$C,$B88,DATA!$N:$N,"&gt;="&amp;DATE(C$5,1,1),DATA!$N:$N,"&lt;="&amp;DATE(C$5,12,31))</f>
        <v/>
      </c>
      <c r="D88" s="331">
        <f>SUMIFS(DATA!$M:$M,DATA!$C:$C,$B88,DATA!$N:$N,"&gt;="&amp;DATE(D$5,1,1),DATA!$N:$N,"&lt;="&amp;DATE(D$5,12,31))</f>
        <v/>
      </c>
      <c r="E88" s="331">
        <f>SUMIFS(DATA!$M:$M,DATA!$C:$C,$B88,DATA!$N:$N,"&gt;="&amp;DATE(E$5,1,1),DATA!$N:$N,"&lt;="&amp;DATE(E$5,12,31))</f>
        <v/>
      </c>
      <c r="F88" s="331">
        <f>SUMIFS(DATA!$M:$M,DATA!$C:$C,$B88,DATA!$N:$N,"&gt;="&amp;DATE(F$5,1,1),DATA!$N:$N,"&lt;="&amp;DATE(F$5,12,31))</f>
        <v/>
      </c>
      <c r="G88" s="331">
        <f>SUMIFS(DATA!$M:$M,DATA!$C:$C,$B88,DATA!$N:$N,"&gt;="&amp;DATE(G$5,1,1),DATA!$N:$N,"&lt;="&amp;DATE(G$5,12,31))</f>
        <v/>
      </c>
      <c r="H88" s="331">
        <f>SUMIFS(DATA!$M:$M,DATA!$C:$C,$B88,DATA!$N:$N,"&gt;="&amp;DATE(H$5,1,1),DATA!$N:$N,"&lt;="&amp;DATE(H$5,12,31))</f>
        <v/>
      </c>
      <c r="I88" s="331">
        <f>SUMIFS(DATA!$M:$M,DATA!$C:$C,$B88,DATA!$N:$N,"&gt;="&amp;DATE(I$5,1,1),DATA!$N:$N,"&lt;="&amp;DATE(I$5,12,31))</f>
        <v/>
      </c>
      <c r="J88" s="332">
        <f>SUM(C88:I88)</f>
        <v/>
      </c>
      <c r="K88" s="333">
        <f>J88/$J$506</f>
        <v/>
      </c>
    </row>
    <row r="89" hidden="1" outlineLevel="1" ht="32.25" customHeight="1">
      <c r="A89" s="48" t="n">
        <v>84</v>
      </c>
      <c r="B89" s="107" t="inlineStr">
        <is>
          <t>Mr. Ngọc</t>
        </is>
      </c>
      <c r="C89" s="331">
        <f>SUMIFS(DATA!$M:$M,DATA!$C:$C,$B89,DATA!$N:$N,"&gt;="&amp;DATE(C$5,1,1),DATA!$N:$N,"&lt;="&amp;DATE(C$5,12,31))</f>
        <v/>
      </c>
      <c r="D89" s="331">
        <f>SUMIFS(DATA!$M:$M,DATA!$C:$C,$B89,DATA!$N:$N,"&gt;="&amp;DATE(D$5,1,1),DATA!$N:$N,"&lt;="&amp;DATE(D$5,12,31))</f>
        <v/>
      </c>
      <c r="E89" s="331">
        <f>SUMIFS(DATA!$M:$M,DATA!$C:$C,$B89,DATA!$N:$N,"&gt;="&amp;DATE(E$5,1,1),DATA!$N:$N,"&lt;="&amp;DATE(E$5,12,31))</f>
        <v/>
      </c>
      <c r="F89" s="331">
        <f>SUMIFS(DATA!$M:$M,DATA!$C:$C,$B89,DATA!$N:$N,"&gt;="&amp;DATE(F$5,1,1),DATA!$N:$N,"&lt;="&amp;DATE(F$5,12,31))</f>
        <v/>
      </c>
      <c r="G89" s="331">
        <f>SUMIFS(DATA!$M:$M,DATA!$C:$C,$B89,DATA!$N:$N,"&gt;="&amp;DATE(G$5,1,1),DATA!$N:$N,"&lt;="&amp;DATE(G$5,12,31))</f>
        <v/>
      </c>
      <c r="H89" s="331">
        <f>SUMIFS(DATA!$M:$M,DATA!$C:$C,$B89,DATA!$N:$N,"&gt;="&amp;DATE(H$5,1,1),DATA!$N:$N,"&lt;="&amp;DATE(H$5,12,31))</f>
        <v/>
      </c>
      <c r="I89" s="331">
        <f>SUMIFS(DATA!$M:$M,DATA!$C:$C,$B89,DATA!$N:$N,"&gt;="&amp;DATE(I$5,1,1),DATA!$N:$N,"&lt;="&amp;DATE(I$5,12,31))</f>
        <v/>
      </c>
      <c r="J89" s="332">
        <f>SUM(C89:I89)</f>
        <v/>
      </c>
      <c r="K89" s="333">
        <f>J89/$J$506</f>
        <v/>
      </c>
    </row>
    <row r="90" hidden="1" outlineLevel="1" ht="32.25" customHeight="1">
      <c r="A90" s="48" t="n">
        <v>85</v>
      </c>
      <c r="B90" s="107" t="inlineStr">
        <is>
          <t>US EMBASSY HANOI - RESIDENCE</t>
        </is>
      </c>
      <c r="C90" s="331">
        <f>SUMIFS(DATA!$M:$M,DATA!$C:$C,$B90,DATA!$N:$N,"&gt;="&amp;DATE(C$5,1,1),DATA!$N:$N,"&lt;="&amp;DATE(C$5,12,31))</f>
        <v/>
      </c>
      <c r="D90" s="331">
        <f>SUMIFS(DATA!$M:$M,DATA!$C:$C,$B90,DATA!$N:$N,"&gt;="&amp;DATE(D$5,1,1),DATA!$N:$N,"&lt;="&amp;DATE(D$5,12,31))</f>
        <v/>
      </c>
      <c r="E90" s="331">
        <f>SUMIFS(DATA!$M:$M,DATA!$C:$C,$B90,DATA!$N:$N,"&gt;="&amp;DATE(E$5,1,1),DATA!$N:$N,"&lt;="&amp;DATE(E$5,12,31))</f>
        <v/>
      </c>
      <c r="F90" s="331">
        <f>SUMIFS(DATA!$M:$M,DATA!$C:$C,$B90,DATA!$N:$N,"&gt;="&amp;DATE(F$5,1,1),DATA!$N:$N,"&lt;="&amp;DATE(F$5,12,31))</f>
        <v/>
      </c>
      <c r="G90" s="331">
        <f>SUMIFS(DATA!$M:$M,DATA!$C:$C,$B90,DATA!$N:$N,"&gt;="&amp;DATE(G$5,1,1),DATA!$N:$N,"&lt;="&amp;DATE(G$5,12,31))</f>
        <v/>
      </c>
      <c r="H90" s="331">
        <f>SUMIFS(DATA!$M:$M,DATA!$C:$C,$B90,DATA!$N:$N,"&gt;="&amp;DATE(H$5,1,1),DATA!$N:$N,"&lt;="&amp;DATE(H$5,12,31))</f>
        <v/>
      </c>
      <c r="I90" s="331">
        <f>SUMIFS(DATA!$M:$M,DATA!$C:$C,$B90,DATA!$N:$N,"&gt;="&amp;DATE(I$5,1,1),DATA!$N:$N,"&lt;="&amp;DATE(I$5,12,31))</f>
        <v/>
      </c>
      <c r="J90" s="332">
        <f>SUM(C90:I90)</f>
        <v/>
      </c>
      <c r="K90" s="333">
        <f>J90/$J$506</f>
        <v/>
      </c>
    </row>
    <row r="91" hidden="1" outlineLevel="1" ht="32.25" customHeight="1">
      <c r="A91" s="48" t="n">
        <v>86</v>
      </c>
      <c r="B91" s="107" t="inlineStr">
        <is>
          <t>CT36A ĐỊNH CÔNG</t>
        </is>
      </c>
      <c r="C91" s="331">
        <f>SUMIFS(DATA!$M:$M,DATA!$C:$C,$B91,DATA!$N:$N,"&gt;="&amp;DATE(C$5,1,1),DATA!$N:$N,"&lt;="&amp;DATE(C$5,12,31))</f>
        <v/>
      </c>
      <c r="D91" s="331">
        <f>SUMIFS(DATA!$M:$M,DATA!$C:$C,$B91,DATA!$N:$N,"&gt;="&amp;DATE(D$5,1,1),DATA!$N:$N,"&lt;="&amp;DATE(D$5,12,31))</f>
        <v/>
      </c>
      <c r="E91" s="331">
        <f>SUMIFS(DATA!$M:$M,DATA!$C:$C,$B91,DATA!$N:$N,"&gt;="&amp;DATE(E$5,1,1),DATA!$N:$N,"&lt;="&amp;DATE(E$5,12,31))</f>
        <v/>
      </c>
      <c r="F91" s="331">
        <f>SUMIFS(DATA!$M:$M,DATA!$C:$C,$B91,DATA!$N:$N,"&gt;="&amp;DATE(F$5,1,1),DATA!$N:$N,"&lt;="&amp;DATE(F$5,12,31))</f>
        <v/>
      </c>
      <c r="G91" s="331">
        <f>SUMIFS(DATA!$M:$M,DATA!$C:$C,$B91,DATA!$N:$N,"&gt;="&amp;DATE(G$5,1,1),DATA!$N:$N,"&lt;="&amp;DATE(G$5,12,31))</f>
        <v/>
      </c>
      <c r="H91" s="331">
        <f>SUMIFS(DATA!$M:$M,DATA!$C:$C,$B91,DATA!$N:$N,"&gt;="&amp;DATE(H$5,1,1),DATA!$N:$N,"&lt;="&amp;DATE(H$5,12,31))</f>
        <v/>
      </c>
      <c r="I91" s="331">
        <f>SUMIFS(DATA!$M:$M,DATA!$C:$C,$B91,DATA!$N:$N,"&gt;="&amp;DATE(I$5,1,1),DATA!$N:$N,"&lt;="&amp;DATE(I$5,12,31))</f>
        <v/>
      </c>
      <c r="J91" s="332">
        <f>SUM(C91:I91)</f>
        <v/>
      </c>
      <c r="K91" s="333">
        <f>J91/$J$506</f>
        <v/>
      </c>
    </row>
    <row r="92" hidden="1" outlineLevel="1" ht="32.25" customHeight="1">
      <c r="A92" s="48" t="n">
        <v>87</v>
      </c>
      <c r="B92" s="107" t="inlineStr">
        <is>
          <t>CÔNG TY CỔ PHẦN KỸ THUẬT EDC VN</t>
        </is>
      </c>
      <c r="C92" s="331">
        <f>SUMIFS(DATA!$M:$M,DATA!$C:$C,$B92,DATA!$N:$N,"&gt;="&amp;DATE(C$5,1,1),DATA!$N:$N,"&lt;="&amp;DATE(C$5,12,31))</f>
        <v/>
      </c>
      <c r="D92" s="331">
        <f>SUMIFS(DATA!$M:$M,DATA!$C:$C,$B92,DATA!$N:$N,"&gt;="&amp;DATE(D$5,1,1),DATA!$N:$N,"&lt;="&amp;DATE(D$5,12,31))</f>
        <v/>
      </c>
      <c r="E92" s="331">
        <f>SUMIFS(DATA!$M:$M,DATA!$C:$C,$B92,DATA!$N:$N,"&gt;="&amp;DATE(E$5,1,1),DATA!$N:$N,"&lt;="&amp;DATE(E$5,12,31))</f>
        <v/>
      </c>
      <c r="F92" s="331">
        <f>SUMIFS(DATA!$M:$M,DATA!$C:$C,$B92,DATA!$N:$N,"&gt;="&amp;DATE(F$5,1,1),DATA!$N:$N,"&lt;="&amp;DATE(F$5,12,31))</f>
        <v/>
      </c>
      <c r="G92" s="331">
        <f>SUMIFS(DATA!$M:$M,DATA!$C:$C,$B92,DATA!$N:$N,"&gt;="&amp;DATE(G$5,1,1),DATA!$N:$N,"&lt;="&amp;DATE(G$5,12,31))</f>
        <v/>
      </c>
      <c r="H92" s="331">
        <f>SUMIFS(DATA!$M:$M,DATA!$C:$C,$B92,DATA!$N:$N,"&gt;="&amp;DATE(H$5,1,1),DATA!$N:$N,"&lt;="&amp;DATE(H$5,12,31))</f>
        <v/>
      </c>
      <c r="I92" s="331">
        <f>SUMIFS(DATA!$M:$M,DATA!$C:$C,$B92,DATA!$N:$N,"&gt;="&amp;DATE(I$5,1,1),DATA!$N:$N,"&lt;="&amp;DATE(I$5,12,31))</f>
        <v/>
      </c>
      <c r="J92" s="332">
        <f>SUM(C92:I92)</f>
        <v/>
      </c>
      <c r="K92" s="333">
        <f>J92/$J$506</f>
        <v/>
      </c>
    </row>
    <row r="93" hidden="1" outlineLevel="1" ht="32.25" customHeight="1">
      <c r="A93" s="48" t="n">
        <v>88</v>
      </c>
      <c r="B93" s="107" t="inlineStr">
        <is>
          <t>HSBC</t>
        </is>
      </c>
      <c r="C93" s="331">
        <f>SUMIFS(DATA!$M:$M,DATA!$C:$C,$B93,DATA!$N:$N,"&gt;="&amp;DATE(C$5,1,1),DATA!$N:$N,"&lt;="&amp;DATE(C$5,12,31))</f>
        <v/>
      </c>
      <c r="D93" s="331">
        <f>SUMIFS(DATA!$M:$M,DATA!$C:$C,$B93,DATA!$N:$N,"&gt;="&amp;DATE(D$5,1,1),DATA!$N:$N,"&lt;="&amp;DATE(D$5,12,31))</f>
        <v/>
      </c>
      <c r="E93" s="331">
        <f>SUMIFS(DATA!$M:$M,DATA!$C:$C,$B93,DATA!$N:$N,"&gt;="&amp;DATE(E$5,1,1),DATA!$N:$N,"&lt;="&amp;DATE(E$5,12,31))</f>
        <v/>
      </c>
      <c r="F93" s="331">
        <f>SUMIFS(DATA!$M:$M,DATA!$C:$C,$B93,DATA!$N:$N,"&gt;="&amp;DATE(F$5,1,1),DATA!$N:$N,"&lt;="&amp;DATE(F$5,12,31))</f>
        <v/>
      </c>
      <c r="G93" s="331">
        <f>SUMIFS(DATA!$M:$M,DATA!$C:$C,$B93,DATA!$N:$N,"&gt;="&amp;DATE(G$5,1,1),DATA!$N:$N,"&lt;="&amp;DATE(G$5,12,31))</f>
        <v/>
      </c>
      <c r="H93" s="331">
        <f>SUMIFS(DATA!$M:$M,DATA!$C:$C,$B93,DATA!$N:$N,"&gt;="&amp;DATE(H$5,1,1),DATA!$N:$N,"&lt;="&amp;DATE(H$5,12,31))</f>
        <v/>
      </c>
      <c r="I93" s="331">
        <f>SUMIFS(DATA!$M:$M,DATA!$C:$C,$B93,DATA!$N:$N,"&gt;="&amp;DATE(I$5,1,1),DATA!$N:$N,"&lt;="&amp;DATE(I$5,12,31))</f>
        <v/>
      </c>
      <c r="J93" s="332">
        <f>SUM(C93:I93)</f>
        <v/>
      </c>
      <c r="K93" s="333">
        <f>J93/$J$506</f>
        <v/>
      </c>
    </row>
    <row r="94" hidden="1" outlineLevel="1" ht="32.25" customHeight="1">
      <c r="A94" s="48" t="n">
        <v>89</v>
      </c>
      <c r="B94" s="107" t="inlineStr">
        <is>
          <t>JLL VIETNAM</t>
        </is>
      </c>
      <c r="C94" s="331">
        <f>SUMIFS(DATA!$M:$M,DATA!$C:$C,$B94,DATA!$N:$N,"&gt;="&amp;DATE(C$5,1,1),DATA!$N:$N,"&lt;="&amp;DATE(C$5,12,31))</f>
        <v/>
      </c>
      <c r="D94" s="331">
        <f>SUMIFS(DATA!$M:$M,DATA!$C:$C,$B94,DATA!$N:$N,"&gt;="&amp;DATE(D$5,1,1),DATA!$N:$N,"&lt;="&amp;DATE(D$5,12,31))</f>
        <v/>
      </c>
      <c r="E94" s="331">
        <f>SUMIFS(DATA!$M:$M,DATA!$C:$C,$B94,DATA!$N:$N,"&gt;="&amp;DATE(E$5,1,1),DATA!$N:$N,"&lt;="&amp;DATE(E$5,12,31))</f>
        <v/>
      </c>
      <c r="F94" s="331">
        <f>SUMIFS(DATA!$M:$M,DATA!$C:$C,$B94,DATA!$N:$N,"&gt;="&amp;DATE(F$5,1,1),DATA!$N:$N,"&lt;="&amp;DATE(F$5,12,31))</f>
        <v/>
      </c>
      <c r="G94" s="331">
        <f>SUMIFS(DATA!$M:$M,DATA!$C:$C,$B94,DATA!$N:$N,"&gt;="&amp;DATE(G$5,1,1),DATA!$N:$N,"&lt;="&amp;DATE(G$5,12,31))</f>
        <v/>
      </c>
      <c r="H94" s="331">
        <f>SUMIFS(DATA!$M:$M,DATA!$C:$C,$B94,DATA!$N:$N,"&gt;="&amp;DATE(H$5,1,1),DATA!$N:$N,"&lt;="&amp;DATE(H$5,12,31))</f>
        <v/>
      </c>
      <c r="I94" s="331">
        <f>SUMIFS(DATA!$M:$M,DATA!$C:$C,$B94,DATA!$N:$N,"&gt;="&amp;DATE(I$5,1,1),DATA!$N:$N,"&lt;="&amp;DATE(I$5,12,31))</f>
        <v/>
      </c>
      <c r="J94" s="332">
        <f>SUM(C94:I94)</f>
        <v/>
      </c>
      <c r="K94" s="333">
        <f>J94/$J$506</f>
        <v/>
      </c>
    </row>
    <row r="95" hidden="1" outlineLevel="1" ht="32.25" customHeight="1">
      <c r="A95" s="48" t="n">
        <v>90</v>
      </c>
      <c r="B95" s="107" t="inlineStr">
        <is>
          <t>SUZURAN VIETNAM</t>
        </is>
      </c>
      <c r="C95" s="331">
        <f>SUMIFS(DATA!$M:$M,DATA!$C:$C,$B95,DATA!$N:$N,"&gt;="&amp;DATE(C$5,1,1),DATA!$N:$N,"&lt;="&amp;DATE(C$5,12,31))</f>
        <v/>
      </c>
      <c r="D95" s="331">
        <f>SUMIFS(DATA!$M:$M,DATA!$C:$C,$B95,DATA!$N:$N,"&gt;="&amp;DATE(D$5,1,1),DATA!$N:$N,"&lt;="&amp;DATE(D$5,12,31))</f>
        <v/>
      </c>
      <c r="E95" s="331">
        <f>SUMIFS(DATA!$M:$M,DATA!$C:$C,$B95,DATA!$N:$N,"&gt;="&amp;DATE(E$5,1,1),DATA!$N:$N,"&lt;="&amp;DATE(E$5,12,31))</f>
        <v/>
      </c>
      <c r="F95" s="331">
        <f>SUMIFS(DATA!$M:$M,DATA!$C:$C,$B95,DATA!$N:$N,"&gt;="&amp;DATE(F$5,1,1),DATA!$N:$N,"&lt;="&amp;DATE(F$5,12,31))</f>
        <v/>
      </c>
      <c r="G95" s="331">
        <f>SUMIFS(DATA!$M:$M,DATA!$C:$C,$B95,DATA!$N:$N,"&gt;="&amp;DATE(G$5,1,1),DATA!$N:$N,"&lt;="&amp;DATE(G$5,12,31))</f>
        <v/>
      </c>
      <c r="H95" s="331">
        <f>SUMIFS(DATA!$M:$M,DATA!$C:$C,$B95,DATA!$N:$N,"&gt;="&amp;DATE(H$5,1,1),DATA!$N:$N,"&lt;="&amp;DATE(H$5,12,31))</f>
        <v/>
      </c>
      <c r="I95" s="331">
        <f>SUMIFS(DATA!$M:$M,DATA!$C:$C,$B95,DATA!$N:$N,"&gt;="&amp;DATE(I$5,1,1),DATA!$N:$N,"&lt;="&amp;DATE(I$5,12,31))</f>
        <v/>
      </c>
      <c r="J95" s="332">
        <f>SUM(C95:I95)</f>
        <v/>
      </c>
      <c r="K95" s="333">
        <f>J95/$J$506</f>
        <v/>
      </c>
    </row>
    <row r="96" hidden="1" outlineLevel="1" ht="32.25" customHeight="1">
      <c r="A96" s="48" t="n">
        <v>91</v>
      </c>
      <c r="B96" s="107" t="inlineStr">
        <is>
          <t>EMBASSY OF AUSTRALIA-66LTK</t>
        </is>
      </c>
      <c r="C96" s="331">
        <f>SUMIFS(DATA!$M:$M,DATA!$C:$C,$B96,DATA!$N:$N,"&gt;="&amp;DATE(C$5,1,1),DATA!$N:$N,"&lt;="&amp;DATE(C$5,12,31))</f>
        <v/>
      </c>
      <c r="D96" s="331">
        <f>SUMIFS(DATA!$M:$M,DATA!$C:$C,$B96,DATA!$N:$N,"&gt;="&amp;DATE(D$5,1,1),DATA!$N:$N,"&lt;="&amp;DATE(D$5,12,31))</f>
        <v/>
      </c>
      <c r="E96" s="331">
        <f>SUMIFS(DATA!$M:$M,DATA!$C:$C,$B96,DATA!$N:$N,"&gt;="&amp;DATE(E$5,1,1),DATA!$N:$N,"&lt;="&amp;DATE(E$5,12,31))</f>
        <v/>
      </c>
      <c r="F96" s="331">
        <f>SUMIFS(DATA!$M:$M,DATA!$C:$C,$B96,DATA!$N:$N,"&gt;="&amp;DATE(F$5,1,1),DATA!$N:$N,"&lt;="&amp;DATE(F$5,12,31))</f>
        <v/>
      </c>
      <c r="G96" s="331">
        <f>SUMIFS(DATA!$M:$M,DATA!$C:$C,$B96,DATA!$N:$N,"&gt;="&amp;DATE(G$5,1,1),DATA!$N:$N,"&lt;="&amp;DATE(G$5,12,31))</f>
        <v/>
      </c>
      <c r="H96" s="331">
        <f>SUMIFS(DATA!$M:$M,DATA!$C:$C,$B96,DATA!$N:$N,"&gt;="&amp;DATE(H$5,1,1),DATA!$N:$N,"&lt;="&amp;DATE(H$5,12,31))</f>
        <v/>
      </c>
      <c r="I96" s="331">
        <f>SUMIFS(DATA!$M:$M,DATA!$C:$C,$B96,DATA!$N:$N,"&gt;="&amp;DATE(I$5,1,1),DATA!$N:$N,"&lt;="&amp;DATE(I$5,12,31))</f>
        <v/>
      </c>
      <c r="J96" s="332">
        <f>SUM(C96:I96)</f>
        <v/>
      </c>
      <c r="K96" s="333">
        <f>J96/$J$506</f>
        <v/>
      </c>
    </row>
    <row r="97" hidden="1" outlineLevel="1" ht="32.25" customHeight="1">
      <c r="A97" s="48" t="n">
        <v>92</v>
      </c>
      <c r="B97" s="107" t="inlineStr">
        <is>
          <t>VINHOMES SYMPHONY LONG BIÊN</t>
        </is>
      </c>
      <c r="C97" s="331">
        <f>SUMIFS(DATA!$M:$M,DATA!$C:$C,$B97,DATA!$N:$N,"&gt;="&amp;DATE(C$5,1,1),DATA!$N:$N,"&lt;="&amp;DATE(C$5,12,31))</f>
        <v/>
      </c>
      <c r="D97" s="331">
        <f>SUMIFS(DATA!$M:$M,DATA!$C:$C,$B97,DATA!$N:$N,"&gt;="&amp;DATE(D$5,1,1),DATA!$N:$N,"&lt;="&amp;DATE(D$5,12,31))</f>
        <v/>
      </c>
      <c r="E97" s="331">
        <f>SUMIFS(DATA!$M:$M,DATA!$C:$C,$B97,DATA!$N:$N,"&gt;="&amp;DATE(E$5,1,1),DATA!$N:$N,"&lt;="&amp;DATE(E$5,12,31))</f>
        <v/>
      </c>
      <c r="F97" s="331">
        <f>SUMIFS(DATA!$M:$M,DATA!$C:$C,$B97,DATA!$N:$N,"&gt;="&amp;DATE(F$5,1,1),DATA!$N:$N,"&lt;="&amp;DATE(F$5,12,31))</f>
        <v/>
      </c>
      <c r="G97" s="331">
        <f>SUMIFS(DATA!$M:$M,DATA!$C:$C,$B97,DATA!$N:$N,"&gt;="&amp;DATE(G$5,1,1),DATA!$N:$N,"&lt;="&amp;DATE(G$5,12,31))</f>
        <v/>
      </c>
      <c r="H97" s="331">
        <f>SUMIFS(DATA!$M:$M,DATA!$C:$C,$B97,DATA!$N:$N,"&gt;="&amp;DATE(H$5,1,1),DATA!$N:$N,"&lt;="&amp;DATE(H$5,12,31))</f>
        <v/>
      </c>
      <c r="I97" s="331">
        <f>SUMIFS(DATA!$M:$M,DATA!$C:$C,$B97,DATA!$N:$N,"&gt;="&amp;DATE(I$5,1,1),DATA!$N:$N,"&lt;="&amp;DATE(I$5,12,31))</f>
        <v/>
      </c>
      <c r="J97" s="332">
        <f>SUM(C97:I97)</f>
        <v/>
      </c>
      <c r="K97" s="333">
        <f>J97/$J$506</f>
        <v/>
      </c>
    </row>
    <row r="98" hidden="1" outlineLevel="1" ht="32.25" customHeight="1">
      <c r="A98" s="48" t="n">
        <v>93</v>
      </c>
      <c r="B98" s="107" t="inlineStr">
        <is>
          <t>CNC VINA</t>
        </is>
      </c>
      <c r="C98" s="331">
        <f>SUMIFS(DATA!$M:$M,DATA!$C:$C,$B98,DATA!$N:$N,"&gt;="&amp;DATE(C$5,1,1),DATA!$N:$N,"&lt;="&amp;DATE(C$5,12,31))</f>
        <v/>
      </c>
      <c r="D98" s="331">
        <f>SUMIFS(DATA!$M:$M,DATA!$C:$C,$B98,DATA!$N:$N,"&gt;="&amp;DATE(D$5,1,1),DATA!$N:$N,"&lt;="&amp;DATE(D$5,12,31))</f>
        <v/>
      </c>
      <c r="E98" s="331">
        <f>SUMIFS(DATA!$M:$M,DATA!$C:$C,$B98,DATA!$N:$N,"&gt;="&amp;DATE(E$5,1,1),DATA!$N:$N,"&lt;="&amp;DATE(E$5,12,31))</f>
        <v/>
      </c>
      <c r="F98" s="331">
        <f>SUMIFS(DATA!$M:$M,DATA!$C:$C,$B98,DATA!$N:$N,"&gt;="&amp;DATE(F$5,1,1),DATA!$N:$N,"&lt;="&amp;DATE(F$5,12,31))</f>
        <v/>
      </c>
      <c r="G98" s="331">
        <f>SUMIFS(DATA!$M:$M,DATA!$C:$C,$B98,DATA!$N:$N,"&gt;="&amp;DATE(G$5,1,1),DATA!$N:$N,"&lt;="&amp;DATE(G$5,12,31))</f>
        <v/>
      </c>
      <c r="H98" s="331">
        <f>SUMIFS(DATA!$M:$M,DATA!$C:$C,$B98,DATA!$N:$N,"&gt;="&amp;DATE(H$5,1,1),DATA!$N:$N,"&lt;="&amp;DATE(H$5,12,31))</f>
        <v/>
      </c>
      <c r="I98" s="331">
        <f>SUMIFS(DATA!$M:$M,DATA!$C:$C,$B98,DATA!$N:$N,"&gt;="&amp;DATE(I$5,1,1),DATA!$N:$N,"&lt;="&amp;DATE(I$5,12,31))</f>
        <v/>
      </c>
      <c r="J98" s="332">
        <f>SUM(C98:I98)</f>
        <v/>
      </c>
      <c r="K98" s="333">
        <f>J98/$J$506</f>
        <v/>
      </c>
    </row>
    <row r="99" hidden="1" outlineLevel="1" ht="32.25" customHeight="1">
      <c r="A99" s="48" t="n">
        <v>94</v>
      </c>
      <c r="B99" s="107" t="inlineStr">
        <is>
          <t>HEINEKEN VIETNAM</t>
        </is>
      </c>
      <c r="C99" s="331">
        <f>SUMIFS(DATA!$M:$M,DATA!$C:$C,$B99,DATA!$N:$N,"&gt;="&amp;DATE(C$5,1,1),DATA!$N:$N,"&lt;="&amp;DATE(C$5,12,31))</f>
        <v/>
      </c>
      <c r="D99" s="331">
        <f>SUMIFS(DATA!$M:$M,DATA!$C:$C,$B99,DATA!$N:$N,"&gt;="&amp;DATE(D$5,1,1),DATA!$N:$N,"&lt;="&amp;DATE(D$5,12,31))</f>
        <v/>
      </c>
      <c r="E99" s="331">
        <f>SUMIFS(DATA!$M:$M,DATA!$C:$C,$B99,DATA!$N:$N,"&gt;="&amp;DATE(E$5,1,1),DATA!$N:$N,"&lt;="&amp;DATE(E$5,12,31))</f>
        <v/>
      </c>
      <c r="F99" s="331">
        <f>SUMIFS(DATA!$M:$M,DATA!$C:$C,$B99,DATA!$N:$N,"&gt;="&amp;DATE(F$5,1,1),DATA!$N:$N,"&lt;="&amp;DATE(F$5,12,31))</f>
        <v/>
      </c>
      <c r="G99" s="331">
        <f>SUMIFS(DATA!$M:$M,DATA!$C:$C,$B99,DATA!$N:$N,"&gt;="&amp;DATE(G$5,1,1),DATA!$N:$N,"&lt;="&amp;DATE(G$5,12,31))</f>
        <v/>
      </c>
      <c r="H99" s="331">
        <f>SUMIFS(DATA!$M:$M,DATA!$C:$C,$B99,DATA!$N:$N,"&gt;="&amp;DATE(H$5,1,1),DATA!$N:$N,"&lt;="&amp;DATE(H$5,12,31))</f>
        <v/>
      </c>
      <c r="I99" s="331">
        <f>SUMIFS(DATA!$M:$M,DATA!$C:$C,$B99,DATA!$N:$N,"&gt;="&amp;DATE(I$5,1,1),DATA!$N:$N,"&lt;="&amp;DATE(I$5,12,31))</f>
        <v/>
      </c>
      <c r="J99" s="332">
        <f>SUM(C99:I99)</f>
        <v/>
      </c>
      <c r="K99" s="333">
        <f>J99/$J$506</f>
        <v/>
      </c>
    </row>
    <row r="100" hidden="1" outlineLevel="1" ht="32.25" customHeight="1">
      <c r="A100" s="48" t="n">
        <v>95</v>
      </c>
      <c r="B100" s="107" t="inlineStr">
        <is>
          <t>VINHOMES OCEAN PARK S2</t>
        </is>
      </c>
      <c r="C100" s="331">
        <f>SUMIFS(DATA!$M:$M,DATA!$C:$C,$B100,DATA!$N:$N,"&gt;="&amp;DATE(C$5,1,1),DATA!$N:$N,"&lt;="&amp;DATE(C$5,12,31))</f>
        <v/>
      </c>
      <c r="D100" s="331">
        <f>SUMIFS(DATA!$M:$M,DATA!$C:$C,$B100,DATA!$N:$N,"&gt;="&amp;DATE(D$5,1,1),DATA!$N:$N,"&lt;="&amp;DATE(D$5,12,31))</f>
        <v/>
      </c>
      <c r="E100" s="331">
        <f>SUMIFS(DATA!$M:$M,DATA!$C:$C,$B100,DATA!$N:$N,"&gt;="&amp;DATE(E$5,1,1),DATA!$N:$N,"&lt;="&amp;DATE(E$5,12,31))</f>
        <v/>
      </c>
      <c r="F100" s="331">
        <f>SUMIFS(DATA!$M:$M,DATA!$C:$C,$B100,DATA!$N:$N,"&gt;="&amp;DATE(F$5,1,1),DATA!$N:$N,"&lt;="&amp;DATE(F$5,12,31))</f>
        <v/>
      </c>
      <c r="G100" s="331">
        <f>SUMIFS(DATA!$M:$M,DATA!$C:$C,$B100,DATA!$N:$N,"&gt;="&amp;DATE(G$5,1,1),DATA!$N:$N,"&lt;="&amp;DATE(G$5,12,31))</f>
        <v/>
      </c>
      <c r="H100" s="331">
        <f>SUMIFS(DATA!$M:$M,DATA!$C:$C,$B100,DATA!$N:$N,"&gt;="&amp;DATE(H$5,1,1),DATA!$N:$N,"&lt;="&amp;DATE(H$5,12,31))</f>
        <v/>
      </c>
      <c r="I100" s="331">
        <f>SUMIFS(DATA!$M:$M,DATA!$C:$C,$B100,DATA!$N:$N,"&gt;="&amp;DATE(I$5,1,1),DATA!$N:$N,"&lt;="&amp;DATE(I$5,12,31))</f>
        <v/>
      </c>
      <c r="J100" s="332">
        <f>SUM(C100:I100)</f>
        <v/>
      </c>
      <c r="K100" s="333">
        <f>J100/$J$506</f>
        <v/>
      </c>
    </row>
    <row r="101" hidden="1" outlineLevel="1" ht="32.25" customHeight="1">
      <c r="A101" s="48" t="n">
        <v>96</v>
      </c>
      <c r="B101" s="107" t="inlineStr">
        <is>
          <t>CASTROL BP PETCO</t>
        </is>
      </c>
      <c r="C101" s="331">
        <f>SUMIFS(DATA!$M:$M,DATA!$C:$C,$B101,DATA!$N:$N,"&gt;="&amp;DATE(C$5,1,1),DATA!$N:$N,"&lt;="&amp;DATE(C$5,12,31))</f>
        <v/>
      </c>
      <c r="D101" s="331">
        <f>SUMIFS(DATA!$M:$M,DATA!$C:$C,$B101,DATA!$N:$N,"&gt;="&amp;DATE(D$5,1,1),DATA!$N:$N,"&lt;="&amp;DATE(D$5,12,31))</f>
        <v/>
      </c>
      <c r="E101" s="331">
        <f>SUMIFS(DATA!$M:$M,DATA!$C:$C,$B101,DATA!$N:$N,"&gt;="&amp;DATE(E$5,1,1),DATA!$N:$N,"&lt;="&amp;DATE(E$5,12,31))</f>
        <v/>
      </c>
      <c r="F101" s="331">
        <f>SUMIFS(DATA!$M:$M,DATA!$C:$C,$B101,DATA!$N:$N,"&gt;="&amp;DATE(F$5,1,1),DATA!$N:$N,"&lt;="&amp;DATE(F$5,12,31))</f>
        <v/>
      </c>
      <c r="G101" s="331">
        <f>SUMIFS(DATA!$M:$M,DATA!$C:$C,$B101,DATA!$N:$N,"&gt;="&amp;DATE(G$5,1,1),DATA!$N:$N,"&lt;="&amp;DATE(G$5,12,31))</f>
        <v/>
      </c>
      <c r="H101" s="331">
        <f>SUMIFS(DATA!$M:$M,DATA!$C:$C,$B101,DATA!$N:$N,"&gt;="&amp;DATE(H$5,1,1),DATA!$N:$N,"&lt;="&amp;DATE(H$5,12,31))</f>
        <v/>
      </c>
      <c r="I101" s="331">
        <f>SUMIFS(DATA!$M:$M,DATA!$C:$C,$B101,DATA!$N:$N,"&gt;="&amp;DATE(I$5,1,1),DATA!$N:$N,"&lt;="&amp;DATE(I$5,12,31))</f>
        <v/>
      </c>
      <c r="J101" s="332">
        <f>SUM(C101:I101)</f>
        <v/>
      </c>
      <c r="K101" s="333">
        <f>J101/$J$506</f>
        <v/>
      </c>
    </row>
    <row r="102" hidden="1" outlineLevel="1" ht="32.25" customHeight="1">
      <c r="A102" s="48" t="n">
        <v>97</v>
      </c>
      <c r="B102" s="107" t="inlineStr">
        <is>
          <t>CÔNG TY TNHH THỊNH ĐIỀN (PROSLAND)</t>
        </is>
      </c>
      <c r="C102" s="331">
        <f>SUMIFS(DATA!$M:$M,DATA!$C:$C,$B102,DATA!$N:$N,"&gt;="&amp;DATE(C$5,1,1),DATA!$N:$N,"&lt;="&amp;DATE(C$5,12,31))</f>
        <v/>
      </c>
      <c r="D102" s="331">
        <f>SUMIFS(DATA!$M:$M,DATA!$C:$C,$B102,DATA!$N:$N,"&gt;="&amp;DATE(D$5,1,1),DATA!$N:$N,"&lt;="&amp;DATE(D$5,12,31))</f>
        <v/>
      </c>
      <c r="E102" s="331">
        <f>SUMIFS(DATA!$M:$M,DATA!$C:$C,$B102,DATA!$N:$N,"&gt;="&amp;DATE(E$5,1,1),DATA!$N:$N,"&lt;="&amp;DATE(E$5,12,31))</f>
        <v/>
      </c>
      <c r="F102" s="331">
        <f>SUMIFS(DATA!$M:$M,DATA!$C:$C,$B102,DATA!$N:$N,"&gt;="&amp;DATE(F$5,1,1),DATA!$N:$N,"&lt;="&amp;DATE(F$5,12,31))</f>
        <v/>
      </c>
      <c r="G102" s="331">
        <f>SUMIFS(DATA!$M:$M,DATA!$C:$C,$B102,DATA!$N:$N,"&gt;="&amp;DATE(G$5,1,1),DATA!$N:$N,"&lt;="&amp;DATE(G$5,12,31))</f>
        <v/>
      </c>
      <c r="H102" s="331">
        <f>SUMIFS(DATA!$M:$M,DATA!$C:$C,$B102,DATA!$N:$N,"&gt;="&amp;DATE(H$5,1,1),DATA!$N:$N,"&lt;="&amp;DATE(H$5,12,31))</f>
        <v/>
      </c>
      <c r="I102" s="331">
        <f>SUMIFS(DATA!$M:$M,DATA!$C:$C,$B102,DATA!$N:$N,"&gt;="&amp;DATE(I$5,1,1),DATA!$N:$N,"&lt;="&amp;DATE(I$5,12,31))</f>
        <v/>
      </c>
      <c r="J102" s="332">
        <f>SUM(C102:I102)</f>
        <v/>
      </c>
      <c r="K102" s="333">
        <f>J102/$J$506</f>
        <v/>
      </c>
    </row>
    <row r="103" hidden="1" outlineLevel="1" ht="32.25" customHeight="1">
      <c r="A103" s="48" t="n">
        <v>98</v>
      </c>
      <c r="B103" s="107" t="inlineStr">
        <is>
          <t>CAPITAL GARDEN</t>
        </is>
      </c>
      <c r="C103" s="331">
        <f>SUMIFS(DATA!$M:$M,DATA!$C:$C,$B103,DATA!$N:$N,"&gt;="&amp;DATE(C$5,1,1),DATA!$N:$N,"&lt;="&amp;DATE(C$5,12,31))</f>
        <v/>
      </c>
      <c r="D103" s="331">
        <f>SUMIFS(DATA!$M:$M,DATA!$C:$C,$B103,DATA!$N:$N,"&gt;="&amp;DATE(D$5,1,1),DATA!$N:$N,"&lt;="&amp;DATE(D$5,12,31))</f>
        <v/>
      </c>
      <c r="E103" s="331">
        <f>SUMIFS(DATA!$M:$M,DATA!$C:$C,$B103,DATA!$N:$N,"&gt;="&amp;DATE(E$5,1,1),DATA!$N:$N,"&lt;="&amp;DATE(E$5,12,31))</f>
        <v/>
      </c>
      <c r="F103" s="331">
        <f>SUMIFS(DATA!$M:$M,DATA!$C:$C,$B103,DATA!$N:$N,"&gt;="&amp;DATE(F$5,1,1),DATA!$N:$N,"&lt;="&amp;DATE(F$5,12,31))</f>
        <v/>
      </c>
      <c r="G103" s="331">
        <f>SUMIFS(DATA!$M:$M,DATA!$C:$C,$B103,DATA!$N:$N,"&gt;="&amp;DATE(G$5,1,1),DATA!$N:$N,"&lt;="&amp;DATE(G$5,12,31))</f>
        <v/>
      </c>
      <c r="H103" s="331">
        <f>SUMIFS(DATA!$M:$M,DATA!$C:$C,$B103,DATA!$N:$N,"&gt;="&amp;DATE(H$5,1,1),DATA!$N:$N,"&lt;="&amp;DATE(H$5,12,31))</f>
        <v/>
      </c>
      <c r="I103" s="331">
        <f>SUMIFS(DATA!$M:$M,DATA!$C:$C,$B103,DATA!$N:$N,"&gt;="&amp;DATE(I$5,1,1),DATA!$N:$N,"&lt;="&amp;DATE(I$5,12,31))</f>
        <v/>
      </c>
      <c r="J103" s="332">
        <f>SUM(C103:I103)</f>
        <v/>
      </c>
      <c r="K103" s="333">
        <f>J103/$J$506</f>
        <v/>
      </c>
    </row>
    <row r="104" hidden="1" outlineLevel="1" ht="32.25" customHeight="1">
      <c r="A104" s="48" t="n">
        <v>99</v>
      </c>
      <c r="B104" s="107" t="inlineStr">
        <is>
          <t>FSOFT - FVILLE 1 &amp; 2</t>
        </is>
      </c>
      <c r="C104" s="331">
        <f>SUMIFS(DATA!$M:$M,DATA!$C:$C,$B104,DATA!$N:$N,"&gt;="&amp;DATE(C$5,1,1),DATA!$N:$N,"&lt;="&amp;DATE(C$5,12,31))</f>
        <v/>
      </c>
      <c r="D104" s="331">
        <f>SUMIFS(DATA!$M:$M,DATA!$C:$C,$B104,DATA!$N:$N,"&gt;="&amp;DATE(D$5,1,1),DATA!$N:$N,"&lt;="&amp;DATE(D$5,12,31))</f>
        <v/>
      </c>
      <c r="E104" s="331">
        <f>SUMIFS(DATA!$M:$M,DATA!$C:$C,$B104,DATA!$N:$N,"&gt;="&amp;DATE(E$5,1,1),DATA!$N:$N,"&lt;="&amp;DATE(E$5,12,31))</f>
        <v/>
      </c>
      <c r="F104" s="331">
        <f>SUMIFS(DATA!$M:$M,DATA!$C:$C,$B104,DATA!$N:$N,"&gt;="&amp;DATE(F$5,1,1),DATA!$N:$N,"&lt;="&amp;DATE(F$5,12,31))</f>
        <v/>
      </c>
      <c r="G104" s="331">
        <f>SUMIFS(DATA!$M:$M,DATA!$C:$C,$B104,DATA!$N:$N,"&gt;="&amp;DATE(G$5,1,1),DATA!$N:$N,"&lt;="&amp;DATE(G$5,12,31))</f>
        <v/>
      </c>
      <c r="H104" s="331">
        <f>SUMIFS(DATA!$M:$M,DATA!$C:$C,$B104,DATA!$N:$N,"&gt;="&amp;DATE(H$5,1,1),DATA!$N:$N,"&lt;="&amp;DATE(H$5,12,31))</f>
        <v/>
      </c>
      <c r="I104" s="331">
        <f>SUMIFS(DATA!$M:$M,DATA!$C:$C,$B104,DATA!$N:$N,"&gt;="&amp;DATE(I$5,1,1),DATA!$N:$N,"&lt;="&amp;DATE(I$5,12,31))</f>
        <v/>
      </c>
      <c r="J104" s="332">
        <f>SUM(C104:I104)</f>
        <v/>
      </c>
      <c r="K104" s="333">
        <f>J104/$J$506</f>
        <v/>
      </c>
    </row>
    <row r="105" hidden="1" outlineLevel="1" ht="32.25" customHeight="1">
      <c r="A105" s="48" t="n">
        <v>100</v>
      </c>
      <c r="B105" s="107" t="inlineStr">
        <is>
          <t>BIG C VIỆT TRÌ</t>
        </is>
      </c>
      <c r="C105" s="331">
        <f>SUMIFS(DATA!$M:$M,DATA!$C:$C,$B105,DATA!$N:$N,"&gt;="&amp;DATE(C$5,1,1),DATA!$N:$N,"&lt;="&amp;DATE(C$5,12,31))</f>
        <v/>
      </c>
      <c r="D105" s="331">
        <f>SUMIFS(DATA!$M:$M,DATA!$C:$C,$B105,DATA!$N:$N,"&gt;="&amp;DATE(D$5,1,1),DATA!$N:$N,"&lt;="&amp;DATE(D$5,12,31))</f>
        <v/>
      </c>
      <c r="E105" s="331">
        <f>SUMIFS(DATA!$M:$M,DATA!$C:$C,$B105,DATA!$N:$N,"&gt;="&amp;DATE(E$5,1,1),DATA!$N:$N,"&lt;="&amp;DATE(E$5,12,31))</f>
        <v/>
      </c>
      <c r="F105" s="331">
        <f>SUMIFS(DATA!$M:$M,DATA!$C:$C,$B105,DATA!$N:$N,"&gt;="&amp;DATE(F$5,1,1),DATA!$N:$N,"&lt;="&amp;DATE(F$5,12,31))</f>
        <v/>
      </c>
      <c r="G105" s="331">
        <f>SUMIFS(DATA!$M:$M,DATA!$C:$C,$B105,DATA!$N:$N,"&gt;="&amp;DATE(G$5,1,1),DATA!$N:$N,"&lt;="&amp;DATE(G$5,12,31))</f>
        <v/>
      </c>
      <c r="H105" s="331">
        <f>SUMIFS(DATA!$M:$M,DATA!$C:$C,$B105,DATA!$N:$N,"&gt;="&amp;DATE(H$5,1,1),DATA!$N:$N,"&lt;="&amp;DATE(H$5,12,31))</f>
        <v/>
      </c>
      <c r="I105" s="331">
        <f>SUMIFS(DATA!$M:$M,DATA!$C:$C,$B105,DATA!$N:$N,"&gt;="&amp;DATE(I$5,1,1),DATA!$N:$N,"&lt;="&amp;DATE(I$5,12,31))</f>
        <v/>
      </c>
      <c r="J105" s="332">
        <f>SUM(C105:I105)</f>
        <v/>
      </c>
      <c r="K105" s="333">
        <f>J105/$J$506</f>
        <v/>
      </c>
    </row>
    <row r="106" hidden="1" outlineLevel="1" ht="32.25" customHeight="1">
      <c r="A106" s="48" t="n">
        <v>101</v>
      </c>
      <c r="B106" s="107" t="inlineStr">
        <is>
          <t>THE EMERALD MỸ ĐÌNH</t>
        </is>
      </c>
      <c r="C106" s="331">
        <f>SUMIFS(DATA!$M:$M,DATA!$C:$C,$B106,DATA!$N:$N,"&gt;="&amp;DATE(C$5,1,1),DATA!$N:$N,"&lt;="&amp;DATE(C$5,12,31))</f>
        <v/>
      </c>
      <c r="D106" s="331">
        <f>SUMIFS(DATA!$M:$M,DATA!$C:$C,$B106,DATA!$N:$N,"&gt;="&amp;DATE(D$5,1,1),DATA!$N:$N,"&lt;="&amp;DATE(D$5,12,31))</f>
        <v/>
      </c>
      <c r="E106" s="331">
        <f>SUMIFS(DATA!$M:$M,DATA!$C:$C,$B106,DATA!$N:$N,"&gt;="&amp;DATE(E$5,1,1),DATA!$N:$N,"&lt;="&amp;DATE(E$5,12,31))</f>
        <v/>
      </c>
      <c r="F106" s="331">
        <f>SUMIFS(DATA!$M:$M,DATA!$C:$C,$B106,DATA!$N:$N,"&gt;="&amp;DATE(F$5,1,1),DATA!$N:$N,"&lt;="&amp;DATE(F$5,12,31))</f>
        <v/>
      </c>
      <c r="G106" s="331">
        <f>SUMIFS(DATA!$M:$M,DATA!$C:$C,$B106,DATA!$N:$N,"&gt;="&amp;DATE(G$5,1,1),DATA!$N:$N,"&lt;="&amp;DATE(G$5,12,31))</f>
        <v/>
      </c>
      <c r="H106" s="331">
        <f>SUMIFS(DATA!$M:$M,DATA!$C:$C,$B106,DATA!$N:$N,"&gt;="&amp;DATE(H$5,1,1),DATA!$N:$N,"&lt;="&amp;DATE(H$5,12,31))</f>
        <v/>
      </c>
      <c r="I106" s="331">
        <f>SUMIFS(DATA!$M:$M,DATA!$C:$C,$B106,DATA!$N:$N,"&gt;="&amp;DATE(I$5,1,1),DATA!$N:$N,"&lt;="&amp;DATE(I$5,12,31))</f>
        <v/>
      </c>
      <c r="J106" s="332">
        <f>SUM(C106:I106)</f>
        <v/>
      </c>
      <c r="K106" s="333">
        <f>J106/$J$506</f>
        <v/>
      </c>
    </row>
    <row r="107" hidden="1" outlineLevel="1" ht="32.25" customHeight="1">
      <c r="A107" s="48" t="n">
        <v>102</v>
      </c>
      <c r="B107" s="107" t="inlineStr">
        <is>
          <t>YAMAHA TOWN</t>
        </is>
      </c>
      <c r="C107" s="331">
        <f>SUMIFS(DATA!$M:$M,DATA!$C:$C,$B107,DATA!$N:$N,"&gt;="&amp;DATE(C$5,1,1),DATA!$N:$N,"&lt;="&amp;DATE(C$5,12,31))</f>
        <v/>
      </c>
      <c r="D107" s="331">
        <f>SUMIFS(DATA!$M:$M,DATA!$C:$C,$B107,DATA!$N:$N,"&gt;="&amp;DATE(D$5,1,1),DATA!$N:$N,"&lt;="&amp;DATE(D$5,12,31))</f>
        <v/>
      </c>
      <c r="E107" s="331">
        <f>SUMIFS(DATA!$M:$M,DATA!$C:$C,$B107,DATA!$N:$N,"&gt;="&amp;DATE(E$5,1,1),DATA!$N:$N,"&lt;="&amp;DATE(E$5,12,31))</f>
        <v/>
      </c>
      <c r="F107" s="331">
        <f>SUMIFS(DATA!$M:$M,DATA!$C:$C,$B107,DATA!$N:$N,"&gt;="&amp;DATE(F$5,1,1),DATA!$N:$N,"&lt;="&amp;DATE(F$5,12,31))</f>
        <v/>
      </c>
      <c r="G107" s="331">
        <f>SUMIFS(DATA!$M:$M,DATA!$C:$C,$B107,DATA!$N:$N,"&gt;="&amp;DATE(G$5,1,1),DATA!$N:$N,"&lt;="&amp;DATE(G$5,12,31))</f>
        <v/>
      </c>
      <c r="H107" s="331">
        <f>SUMIFS(DATA!$M:$M,DATA!$C:$C,$B107,DATA!$N:$N,"&gt;="&amp;DATE(H$5,1,1),DATA!$N:$N,"&lt;="&amp;DATE(H$5,12,31))</f>
        <v/>
      </c>
      <c r="I107" s="331">
        <f>SUMIFS(DATA!$M:$M,DATA!$C:$C,$B107,DATA!$N:$N,"&gt;="&amp;DATE(I$5,1,1),DATA!$N:$N,"&lt;="&amp;DATE(I$5,12,31))</f>
        <v/>
      </c>
      <c r="J107" s="332">
        <f>SUM(C107:I107)</f>
        <v/>
      </c>
      <c r="K107" s="333">
        <f>J107/$J$506</f>
        <v/>
      </c>
    </row>
    <row r="108" hidden="1" outlineLevel="1" ht="32.25" customHeight="1">
      <c r="A108" s="48" t="n">
        <v>103</v>
      </c>
      <c r="B108" s="107" t="inlineStr">
        <is>
          <t>TAV THÁI BÌNH</t>
        </is>
      </c>
      <c r="C108" s="331">
        <f>SUMIFS(DATA!$M:$M,DATA!$C:$C,$B108,DATA!$N:$N,"&gt;="&amp;DATE(C$5,1,1),DATA!$N:$N,"&lt;="&amp;DATE(C$5,12,31))</f>
        <v/>
      </c>
      <c r="D108" s="331">
        <f>SUMIFS(DATA!$M:$M,DATA!$C:$C,$B108,DATA!$N:$N,"&gt;="&amp;DATE(D$5,1,1),DATA!$N:$N,"&lt;="&amp;DATE(D$5,12,31))</f>
        <v/>
      </c>
      <c r="E108" s="331">
        <f>SUMIFS(DATA!$M:$M,DATA!$C:$C,$B108,DATA!$N:$N,"&gt;="&amp;DATE(E$5,1,1),DATA!$N:$N,"&lt;="&amp;DATE(E$5,12,31))</f>
        <v/>
      </c>
      <c r="F108" s="331">
        <f>SUMIFS(DATA!$M:$M,DATA!$C:$C,$B108,DATA!$N:$N,"&gt;="&amp;DATE(F$5,1,1),DATA!$N:$N,"&lt;="&amp;DATE(F$5,12,31))</f>
        <v/>
      </c>
      <c r="G108" s="331">
        <f>SUMIFS(DATA!$M:$M,DATA!$C:$C,$B108,DATA!$N:$N,"&gt;="&amp;DATE(G$5,1,1),DATA!$N:$N,"&lt;="&amp;DATE(G$5,12,31))</f>
        <v/>
      </c>
      <c r="H108" s="331">
        <f>SUMIFS(DATA!$M:$M,DATA!$C:$C,$B108,DATA!$N:$N,"&gt;="&amp;DATE(H$5,1,1),DATA!$N:$N,"&lt;="&amp;DATE(H$5,12,31))</f>
        <v/>
      </c>
      <c r="I108" s="331">
        <f>SUMIFS(DATA!$M:$M,DATA!$C:$C,$B108,DATA!$N:$N,"&gt;="&amp;DATE(I$5,1,1),DATA!$N:$N,"&lt;="&amp;DATE(I$5,12,31))</f>
        <v/>
      </c>
      <c r="J108" s="332">
        <f>SUM(C108:I108)</f>
        <v/>
      </c>
      <c r="K108" s="333">
        <f>J108/$J$506</f>
        <v/>
      </c>
    </row>
    <row r="109" hidden="1" outlineLevel="1" ht="32.25" customHeight="1">
      <c r="A109" s="48" t="n">
        <v>104</v>
      </c>
      <c r="B109" s="107" t="inlineStr">
        <is>
          <t>AGRIBANK</t>
        </is>
      </c>
      <c r="C109" s="331">
        <f>SUMIFS(DATA!$M:$M,DATA!$C:$C,$B109,DATA!$N:$N,"&gt;="&amp;DATE(C$5,1,1),DATA!$N:$N,"&lt;="&amp;DATE(C$5,12,31))</f>
        <v/>
      </c>
      <c r="D109" s="331">
        <f>SUMIFS(DATA!$M:$M,DATA!$C:$C,$B109,DATA!$N:$N,"&gt;="&amp;DATE(D$5,1,1),DATA!$N:$N,"&lt;="&amp;DATE(D$5,12,31))</f>
        <v/>
      </c>
      <c r="E109" s="331">
        <f>SUMIFS(DATA!$M:$M,DATA!$C:$C,$B109,DATA!$N:$N,"&gt;="&amp;DATE(E$5,1,1),DATA!$N:$N,"&lt;="&amp;DATE(E$5,12,31))</f>
        <v/>
      </c>
      <c r="F109" s="331">
        <f>SUMIFS(DATA!$M:$M,DATA!$C:$C,$B109,DATA!$N:$N,"&gt;="&amp;DATE(F$5,1,1),DATA!$N:$N,"&lt;="&amp;DATE(F$5,12,31))</f>
        <v/>
      </c>
      <c r="G109" s="331">
        <f>SUMIFS(DATA!$M:$M,DATA!$C:$C,$B109,DATA!$N:$N,"&gt;="&amp;DATE(G$5,1,1),DATA!$N:$N,"&lt;="&amp;DATE(G$5,12,31))</f>
        <v/>
      </c>
      <c r="H109" s="331">
        <f>SUMIFS(DATA!$M:$M,DATA!$C:$C,$B109,DATA!$N:$N,"&gt;="&amp;DATE(H$5,1,1),DATA!$N:$N,"&lt;="&amp;DATE(H$5,12,31))</f>
        <v/>
      </c>
      <c r="I109" s="331">
        <f>SUMIFS(DATA!$M:$M,DATA!$C:$C,$B109,DATA!$N:$N,"&gt;="&amp;DATE(I$5,1,1),DATA!$N:$N,"&lt;="&amp;DATE(I$5,12,31))</f>
        <v/>
      </c>
      <c r="J109" s="332">
        <f>SUM(C109:I109)</f>
        <v/>
      </c>
      <c r="K109" s="333">
        <f>J109/$J$506</f>
        <v/>
      </c>
    </row>
    <row r="110" hidden="1" outlineLevel="1" ht="32.25" customHeight="1">
      <c r="A110" s="48" t="n">
        <v>105</v>
      </c>
      <c r="B110" s="107" t="inlineStr">
        <is>
          <t>CÔNG AN BẮC GIANG(Inactive)</t>
        </is>
      </c>
      <c r="C110" s="331">
        <f>SUMIFS(DATA!$M:$M,DATA!$C:$C,$B110,DATA!$N:$N,"&gt;="&amp;DATE(C$5,1,1),DATA!$N:$N,"&lt;="&amp;DATE(C$5,12,31))</f>
        <v/>
      </c>
      <c r="D110" s="331">
        <f>SUMIFS(DATA!$M:$M,DATA!$C:$C,$B110,DATA!$N:$N,"&gt;="&amp;DATE(D$5,1,1),DATA!$N:$N,"&lt;="&amp;DATE(D$5,12,31))</f>
        <v/>
      </c>
      <c r="E110" s="331">
        <f>SUMIFS(DATA!$M:$M,DATA!$C:$C,$B110,DATA!$N:$N,"&gt;="&amp;DATE(E$5,1,1),DATA!$N:$N,"&lt;="&amp;DATE(E$5,12,31))</f>
        <v/>
      </c>
      <c r="F110" s="331">
        <f>SUMIFS(DATA!$M:$M,DATA!$C:$C,$B110,DATA!$N:$N,"&gt;="&amp;DATE(F$5,1,1),DATA!$N:$N,"&lt;="&amp;DATE(F$5,12,31))</f>
        <v/>
      </c>
      <c r="G110" s="331">
        <f>SUMIFS(DATA!$M:$M,DATA!$C:$C,$B110,DATA!$N:$N,"&gt;="&amp;DATE(G$5,1,1),DATA!$N:$N,"&lt;="&amp;DATE(G$5,12,31))</f>
        <v/>
      </c>
      <c r="H110" s="331">
        <f>SUMIFS(DATA!$M:$M,DATA!$C:$C,$B110,DATA!$N:$N,"&gt;="&amp;DATE(H$5,1,1),DATA!$N:$N,"&lt;="&amp;DATE(H$5,12,31))</f>
        <v/>
      </c>
      <c r="I110" s="331">
        <f>SUMIFS(DATA!$M:$M,DATA!$C:$C,$B110,DATA!$N:$N,"&gt;="&amp;DATE(I$5,1,1),DATA!$N:$N,"&lt;="&amp;DATE(I$5,12,31))</f>
        <v/>
      </c>
      <c r="J110" s="332">
        <f>SUM(C110:I110)</f>
        <v/>
      </c>
      <c r="K110" s="333">
        <f>J110/$J$506</f>
        <v/>
      </c>
    </row>
    <row r="111" hidden="1" outlineLevel="1" ht="32.25" customHeight="1">
      <c r="A111" s="48" t="n">
        <v>106</v>
      </c>
      <c r="B111" s="107" t="inlineStr">
        <is>
          <t>CÔNG AN TỈNH BẮC GIANG</t>
        </is>
      </c>
      <c r="C111" s="331">
        <f>SUMIFS(DATA!$M:$M,DATA!$C:$C,$B111,DATA!$N:$N,"&gt;="&amp;DATE(C$5,1,1),DATA!$N:$N,"&lt;="&amp;DATE(C$5,12,31))</f>
        <v/>
      </c>
      <c r="D111" s="331">
        <f>SUMIFS(DATA!$M:$M,DATA!$C:$C,$B111,DATA!$N:$N,"&gt;="&amp;DATE(D$5,1,1),DATA!$N:$N,"&lt;="&amp;DATE(D$5,12,31))</f>
        <v/>
      </c>
      <c r="E111" s="331">
        <f>SUMIFS(DATA!$M:$M,DATA!$C:$C,$B111,DATA!$N:$N,"&gt;="&amp;DATE(E$5,1,1),DATA!$N:$N,"&lt;="&amp;DATE(E$5,12,31))</f>
        <v/>
      </c>
      <c r="F111" s="331">
        <f>SUMIFS(DATA!$M:$M,DATA!$C:$C,$B111,DATA!$N:$N,"&gt;="&amp;DATE(F$5,1,1),DATA!$N:$N,"&lt;="&amp;DATE(F$5,12,31))</f>
        <v/>
      </c>
      <c r="G111" s="331">
        <f>SUMIFS(DATA!$M:$M,DATA!$C:$C,$B111,DATA!$N:$N,"&gt;="&amp;DATE(G$5,1,1),DATA!$N:$N,"&lt;="&amp;DATE(G$5,12,31))</f>
        <v/>
      </c>
      <c r="H111" s="331">
        <f>SUMIFS(DATA!$M:$M,DATA!$C:$C,$B111,DATA!$N:$N,"&gt;="&amp;DATE(H$5,1,1),DATA!$N:$N,"&lt;="&amp;DATE(H$5,12,31))</f>
        <v/>
      </c>
      <c r="I111" s="331">
        <f>SUMIFS(DATA!$M:$M,DATA!$C:$C,$B111,DATA!$N:$N,"&gt;="&amp;DATE(I$5,1,1),DATA!$N:$N,"&lt;="&amp;DATE(I$5,12,31))</f>
        <v/>
      </c>
      <c r="J111" s="332">
        <f>SUM(C111:I111)</f>
        <v/>
      </c>
      <c r="K111" s="333">
        <f>J111/$J$506</f>
        <v/>
      </c>
    </row>
    <row r="112" hidden="1" outlineLevel="1" ht="32.25" customHeight="1">
      <c r="A112" s="48" t="n">
        <v>107</v>
      </c>
      <c r="B112" s="107" t="inlineStr">
        <is>
          <t>GOLDSUN PACKAGING</t>
        </is>
      </c>
      <c r="C112" s="331">
        <f>SUMIFS(DATA!$M:$M,DATA!$C:$C,$B112,DATA!$N:$N,"&gt;="&amp;DATE(C$5,1,1),DATA!$N:$N,"&lt;="&amp;DATE(C$5,12,31))</f>
        <v/>
      </c>
      <c r="D112" s="331">
        <f>SUMIFS(DATA!$M:$M,DATA!$C:$C,$B112,DATA!$N:$N,"&gt;="&amp;DATE(D$5,1,1),DATA!$N:$N,"&lt;="&amp;DATE(D$5,12,31))</f>
        <v/>
      </c>
      <c r="E112" s="331">
        <f>SUMIFS(DATA!$M:$M,DATA!$C:$C,$B112,DATA!$N:$N,"&gt;="&amp;DATE(E$5,1,1),DATA!$N:$N,"&lt;="&amp;DATE(E$5,12,31))</f>
        <v/>
      </c>
      <c r="F112" s="331">
        <f>SUMIFS(DATA!$M:$M,DATA!$C:$C,$B112,DATA!$N:$N,"&gt;="&amp;DATE(F$5,1,1),DATA!$N:$N,"&lt;="&amp;DATE(F$5,12,31))</f>
        <v/>
      </c>
      <c r="G112" s="331">
        <f>SUMIFS(DATA!$M:$M,DATA!$C:$C,$B112,DATA!$N:$N,"&gt;="&amp;DATE(G$5,1,1),DATA!$N:$N,"&lt;="&amp;DATE(G$5,12,31))</f>
        <v/>
      </c>
      <c r="H112" s="331">
        <f>SUMIFS(DATA!$M:$M,DATA!$C:$C,$B112,DATA!$N:$N,"&gt;="&amp;DATE(H$5,1,1),DATA!$N:$N,"&lt;="&amp;DATE(H$5,12,31))</f>
        <v/>
      </c>
      <c r="I112" s="331">
        <f>SUMIFS(DATA!$M:$M,DATA!$C:$C,$B112,DATA!$N:$N,"&gt;="&amp;DATE(I$5,1,1),DATA!$N:$N,"&lt;="&amp;DATE(I$5,12,31))</f>
        <v/>
      </c>
      <c r="J112" s="332">
        <f>SUM(C112:I112)</f>
        <v/>
      </c>
      <c r="K112" s="333">
        <f>J112/$J$506</f>
        <v/>
      </c>
    </row>
    <row r="113" hidden="1" outlineLevel="1" ht="32.25" customHeight="1">
      <c r="A113" s="48" t="n">
        <v>108</v>
      </c>
      <c r="B113" s="107" t="inlineStr">
        <is>
          <t>GOLD SEASON</t>
        </is>
      </c>
      <c r="C113" s="331">
        <f>SUMIFS(DATA!$M:$M,DATA!$C:$C,$B113,DATA!$N:$N,"&gt;="&amp;DATE(C$5,1,1),DATA!$N:$N,"&lt;="&amp;DATE(C$5,12,31))</f>
        <v/>
      </c>
      <c r="D113" s="331">
        <f>SUMIFS(DATA!$M:$M,DATA!$C:$C,$B113,DATA!$N:$N,"&gt;="&amp;DATE(D$5,1,1),DATA!$N:$N,"&lt;="&amp;DATE(D$5,12,31))</f>
        <v/>
      </c>
      <c r="E113" s="331">
        <f>SUMIFS(DATA!$M:$M,DATA!$C:$C,$B113,DATA!$N:$N,"&gt;="&amp;DATE(E$5,1,1),DATA!$N:$N,"&lt;="&amp;DATE(E$5,12,31))</f>
        <v/>
      </c>
      <c r="F113" s="331">
        <f>SUMIFS(DATA!$M:$M,DATA!$C:$C,$B113,DATA!$N:$N,"&gt;="&amp;DATE(F$5,1,1),DATA!$N:$N,"&lt;="&amp;DATE(F$5,12,31))</f>
        <v/>
      </c>
      <c r="G113" s="331">
        <f>SUMIFS(DATA!$M:$M,DATA!$C:$C,$B113,DATA!$N:$N,"&gt;="&amp;DATE(G$5,1,1),DATA!$N:$N,"&lt;="&amp;DATE(G$5,12,31))</f>
        <v/>
      </c>
      <c r="H113" s="331">
        <f>SUMIFS(DATA!$M:$M,DATA!$C:$C,$B113,DATA!$N:$N,"&gt;="&amp;DATE(H$5,1,1),DATA!$N:$N,"&lt;="&amp;DATE(H$5,12,31))</f>
        <v/>
      </c>
      <c r="I113" s="331">
        <f>SUMIFS(DATA!$M:$M,DATA!$C:$C,$B113,DATA!$N:$N,"&gt;="&amp;DATE(I$5,1,1),DATA!$N:$N,"&lt;="&amp;DATE(I$5,12,31))</f>
        <v/>
      </c>
      <c r="J113" s="332">
        <f>SUM(C113:I113)</f>
        <v/>
      </c>
      <c r="K113" s="333">
        <f>J113/$J$506</f>
        <v/>
      </c>
    </row>
    <row r="114" hidden="1" outlineLevel="1" ht="32.25" customHeight="1">
      <c r="A114" s="48" t="n">
        <v>109</v>
      </c>
      <c r="B114" s="107" t="inlineStr">
        <is>
          <t>VALENCIA GARDEN</t>
        </is>
      </c>
      <c r="C114" s="331">
        <f>SUMIFS(DATA!$M:$M,DATA!$C:$C,$B114,DATA!$N:$N,"&gt;="&amp;DATE(C$5,1,1),DATA!$N:$N,"&lt;="&amp;DATE(C$5,12,31))</f>
        <v/>
      </c>
      <c r="D114" s="331">
        <f>SUMIFS(DATA!$M:$M,DATA!$C:$C,$B114,DATA!$N:$N,"&gt;="&amp;DATE(D$5,1,1),DATA!$N:$N,"&lt;="&amp;DATE(D$5,12,31))</f>
        <v/>
      </c>
      <c r="E114" s="331">
        <f>SUMIFS(DATA!$M:$M,DATA!$C:$C,$B114,DATA!$N:$N,"&gt;="&amp;DATE(E$5,1,1),DATA!$N:$N,"&lt;="&amp;DATE(E$5,12,31))</f>
        <v/>
      </c>
      <c r="F114" s="331">
        <f>SUMIFS(DATA!$M:$M,DATA!$C:$C,$B114,DATA!$N:$N,"&gt;="&amp;DATE(F$5,1,1),DATA!$N:$N,"&lt;="&amp;DATE(F$5,12,31))</f>
        <v/>
      </c>
      <c r="G114" s="331">
        <f>SUMIFS(DATA!$M:$M,DATA!$C:$C,$B114,DATA!$N:$N,"&gt;="&amp;DATE(G$5,1,1),DATA!$N:$N,"&lt;="&amp;DATE(G$5,12,31))</f>
        <v/>
      </c>
      <c r="H114" s="331">
        <f>SUMIFS(DATA!$M:$M,DATA!$C:$C,$B114,DATA!$N:$N,"&gt;="&amp;DATE(H$5,1,1),DATA!$N:$N,"&lt;="&amp;DATE(H$5,12,31))</f>
        <v/>
      </c>
      <c r="I114" s="331">
        <f>SUMIFS(DATA!$M:$M,DATA!$C:$C,$B114,DATA!$N:$N,"&gt;="&amp;DATE(I$5,1,1),DATA!$N:$N,"&lt;="&amp;DATE(I$5,12,31))</f>
        <v/>
      </c>
      <c r="J114" s="332">
        <f>SUM(C114:I114)</f>
        <v/>
      </c>
      <c r="K114" s="333">
        <f>J114/$J$506</f>
        <v/>
      </c>
    </row>
    <row r="115" hidden="1" outlineLevel="1" ht="32.25" customHeight="1">
      <c r="A115" s="48" t="n">
        <v>110</v>
      </c>
      <c r="B115" s="107" t="inlineStr">
        <is>
          <t>THE LEGEND</t>
        </is>
      </c>
      <c r="C115" s="331">
        <f>SUMIFS(DATA!$M:$M,DATA!$C:$C,$B115,DATA!$N:$N,"&gt;="&amp;DATE(C$5,1,1),DATA!$N:$N,"&lt;="&amp;DATE(C$5,12,31))</f>
        <v/>
      </c>
      <c r="D115" s="331">
        <f>SUMIFS(DATA!$M:$M,DATA!$C:$C,$B115,DATA!$N:$N,"&gt;="&amp;DATE(D$5,1,1),DATA!$N:$N,"&lt;="&amp;DATE(D$5,12,31))</f>
        <v/>
      </c>
      <c r="E115" s="331">
        <f>SUMIFS(DATA!$M:$M,DATA!$C:$C,$B115,DATA!$N:$N,"&gt;="&amp;DATE(E$5,1,1),DATA!$N:$N,"&lt;="&amp;DATE(E$5,12,31))</f>
        <v/>
      </c>
      <c r="F115" s="331">
        <f>SUMIFS(DATA!$M:$M,DATA!$C:$C,$B115,DATA!$N:$N,"&gt;="&amp;DATE(F$5,1,1),DATA!$N:$N,"&lt;="&amp;DATE(F$5,12,31))</f>
        <v/>
      </c>
      <c r="G115" s="331">
        <f>SUMIFS(DATA!$M:$M,DATA!$C:$C,$B115,DATA!$N:$N,"&gt;="&amp;DATE(G$5,1,1),DATA!$N:$N,"&lt;="&amp;DATE(G$5,12,31))</f>
        <v/>
      </c>
      <c r="H115" s="331">
        <f>SUMIFS(DATA!$M:$M,DATA!$C:$C,$B115,DATA!$N:$N,"&gt;="&amp;DATE(H$5,1,1),DATA!$N:$N,"&lt;="&amp;DATE(H$5,12,31))</f>
        <v/>
      </c>
      <c r="I115" s="331">
        <f>SUMIFS(DATA!$M:$M,DATA!$C:$C,$B115,DATA!$N:$N,"&gt;="&amp;DATE(I$5,1,1),DATA!$N:$N,"&lt;="&amp;DATE(I$5,12,31))</f>
        <v/>
      </c>
      <c r="J115" s="332">
        <f>SUM(C115:I115)</f>
        <v/>
      </c>
      <c r="K115" s="333">
        <f>J115/$J$506</f>
        <v/>
      </c>
    </row>
    <row r="116" hidden="1" outlineLevel="1" ht="32.25" customHeight="1">
      <c r="A116" s="48" t="n">
        <v>111</v>
      </c>
      <c r="B116" s="107" t="inlineStr">
        <is>
          <t>TRƯỜNG ĐẠI HỌC KINH TẾ QUỐC DÂN</t>
        </is>
      </c>
      <c r="C116" s="331">
        <f>SUMIFS(DATA!$M:$M,DATA!$C:$C,$B116,DATA!$N:$N,"&gt;="&amp;DATE(C$5,1,1),DATA!$N:$N,"&lt;="&amp;DATE(C$5,12,31))</f>
        <v/>
      </c>
      <c r="D116" s="331">
        <f>SUMIFS(DATA!$M:$M,DATA!$C:$C,$B116,DATA!$N:$N,"&gt;="&amp;DATE(D$5,1,1),DATA!$N:$N,"&lt;="&amp;DATE(D$5,12,31))</f>
        <v/>
      </c>
      <c r="E116" s="331">
        <f>SUMIFS(DATA!$M:$M,DATA!$C:$C,$B116,DATA!$N:$N,"&gt;="&amp;DATE(E$5,1,1),DATA!$N:$N,"&lt;="&amp;DATE(E$5,12,31))</f>
        <v/>
      </c>
      <c r="F116" s="331">
        <f>SUMIFS(DATA!$M:$M,DATA!$C:$C,$B116,DATA!$N:$N,"&gt;="&amp;DATE(F$5,1,1),DATA!$N:$N,"&lt;="&amp;DATE(F$5,12,31))</f>
        <v/>
      </c>
      <c r="G116" s="331">
        <f>SUMIFS(DATA!$M:$M,DATA!$C:$C,$B116,DATA!$N:$N,"&gt;="&amp;DATE(G$5,1,1),DATA!$N:$N,"&lt;="&amp;DATE(G$5,12,31))</f>
        <v/>
      </c>
      <c r="H116" s="331">
        <f>SUMIFS(DATA!$M:$M,DATA!$C:$C,$B116,DATA!$N:$N,"&gt;="&amp;DATE(H$5,1,1),DATA!$N:$N,"&lt;="&amp;DATE(H$5,12,31))</f>
        <v/>
      </c>
      <c r="I116" s="331">
        <f>SUMIFS(DATA!$M:$M,DATA!$C:$C,$B116,DATA!$N:$N,"&gt;="&amp;DATE(I$5,1,1),DATA!$N:$N,"&lt;="&amp;DATE(I$5,12,31))</f>
        <v/>
      </c>
      <c r="J116" s="332">
        <f>SUM(C116:I116)</f>
        <v/>
      </c>
      <c r="K116" s="333">
        <f>J116/$J$506</f>
        <v/>
      </c>
    </row>
    <row r="117" hidden="1" outlineLevel="1" ht="32.25" customHeight="1">
      <c r="A117" s="48" t="n">
        <v>112</v>
      </c>
      <c r="B117" s="107" t="inlineStr">
        <is>
          <t>HAREC BUILDING</t>
        </is>
      </c>
      <c r="C117" s="331">
        <f>SUMIFS(DATA!$M:$M,DATA!$C:$C,$B117,DATA!$N:$N,"&gt;="&amp;DATE(C$5,1,1),DATA!$N:$N,"&lt;="&amp;DATE(C$5,12,31))</f>
        <v/>
      </c>
      <c r="D117" s="331">
        <f>SUMIFS(DATA!$M:$M,DATA!$C:$C,$B117,DATA!$N:$N,"&gt;="&amp;DATE(D$5,1,1),DATA!$N:$N,"&lt;="&amp;DATE(D$5,12,31))</f>
        <v/>
      </c>
      <c r="E117" s="331">
        <f>SUMIFS(DATA!$M:$M,DATA!$C:$C,$B117,DATA!$N:$N,"&gt;="&amp;DATE(E$5,1,1),DATA!$N:$N,"&lt;="&amp;DATE(E$5,12,31))</f>
        <v/>
      </c>
      <c r="F117" s="331">
        <f>SUMIFS(DATA!$M:$M,DATA!$C:$C,$B117,DATA!$N:$N,"&gt;="&amp;DATE(F$5,1,1),DATA!$N:$N,"&lt;="&amp;DATE(F$5,12,31))</f>
        <v/>
      </c>
      <c r="G117" s="331">
        <f>SUMIFS(DATA!$M:$M,DATA!$C:$C,$B117,DATA!$N:$N,"&gt;="&amp;DATE(G$5,1,1),DATA!$N:$N,"&lt;="&amp;DATE(G$5,12,31))</f>
        <v/>
      </c>
      <c r="H117" s="331">
        <f>SUMIFS(DATA!$M:$M,DATA!$C:$C,$B117,DATA!$N:$N,"&gt;="&amp;DATE(H$5,1,1),DATA!$N:$N,"&lt;="&amp;DATE(H$5,12,31))</f>
        <v/>
      </c>
      <c r="I117" s="331">
        <f>SUMIFS(DATA!$M:$M,DATA!$C:$C,$B117,DATA!$N:$N,"&gt;="&amp;DATE(I$5,1,1),DATA!$N:$N,"&lt;="&amp;DATE(I$5,12,31))</f>
        <v/>
      </c>
      <c r="J117" s="332">
        <f>SUM(C117:I117)</f>
        <v/>
      </c>
      <c r="K117" s="333">
        <f>J117/$J$506</f>
        <v/>
      </c>
    </row>
    <row r="118" hidden="1" outlineLevel="1" ht="32.25" customHeight="1">
      <c r="A118" s="48" t="n">
        <v>113</v>
      </c>
      <c r="B118" s="107" t="inlineStr">
        <is>
          <t>DELTA POWER SOLUTIONS VIETNAM</t>
        </is>
      </c>
      <c r="C118" s="331">
        <f>SUMIFS(DATA!$M:$M,DATA!$C:$C,$B118,DATA!$N:$N,"&gt;="&amp;DATE(C$5,1,1),DATA!$N:$N,"&lt;="&amp;DATE(C$5,12,31))</f>
        <v/>
      </c>
      <c r="D118" s="331">
        <f>SUMIFS(DATA!$M:$M,DATA!$C:$C,$B118,DATA!$N:$N,"&gt;="&amp;DATE(D$5,1,1),DATA!$N:$N,"&lt;="&amp;DATE(D$5,12,31))</f>
        <v/>
      </c>
      <c r="E118" s="331">
        <f>SUMIFS(DATA!$M:$M,DATA!$C:$C,$B118,DATA!$N:$N,"&gt;="&amp;DATE(E$5,1,1),DATA!$N:$N,"&lt;="&amp;DATE(E$5,12,31))</f>
        <v/>
      </c>
      <c r="F118" s="331">
        <f>SUMIFS(DATA!$M:$M,DATA!$C:$C,$B118,DATA!$N:$N,"&gt;="&amp;DATE(F$5,1,1),DATA!$N:$N,"&lt;="&amp;DATE(F$5,12,31))</f>
        <v/>
      </c>
      <c r="G118" s="331">
        <f>SUMIFS(DATA!$M:$M,DATA!$C:$C,$B118,DATA!$N:$N,"&gt;="&amp;DATE(G$5,1,1),DATA!$N:$N,"&lt;="&amp;DATE(G$5,12,31))</f>
        <v/>
      </c>
      <c r="H118" s="331">
        <f>SUMIFS(DATA!$M:$M,DATA!$C:$C,$B118,DATA!$N:$N,"&gt;="&amp;DATE(H$5,1,1),DATA!$N:$N,"&lt;="&amp;DATE(H$5,12,31))</f>
        <v/>
      </c>
      <c r="I118" s="331">
        <f>SUMIFS(DATA!$M:$M,DATA!$C:$C,$B118,DATA!$N:$N,"&gt;="&amp;DATE(I$5,1,1),DATA!$N:$N,"&lt;="&amp;DATE(I$5,12,31))</f>
        <v/>
      </c>
      <c r="J118" s="332">
        <f>SUM(C118:I118)</f>
        <v/>
      </c>
      <c r="K118" s="333">
        <f>J118/$J$506</f>
        <v/>
      </c>
    </row>
    <row r="119" hidden="1" outlineLevel="1" ht="32.25" customHeight="1">
      <c r="A119" s="48" t="n">
        <v>114</v>
      </c>
      <c r="B119" s="107" t="inlineStr">
        <is>
          <t>THE ZENPARK</t>
        </is>
      </c>
      <c r="C119" s="331">
        <f>SUMIFS(DATA!$M:$M,DATA!$C:$C,$B119,DATA!$N:$N,"&gt;="&amp;DATE(C$5,1,1),DATA!$N:$N,"&lt;="&amp;DATE(C$5,12,31))</f>
        <v/>
      </c>
      <c r="D119" s="331">
        <f>SUMIFS(DATA!$M:$M,DATA!$C:$C,$B119,DATA!$N:$N,"&gt;="&amp;DATE(D$5,1,1),DATA!$N:$N,"&lt;="&amp;DATE(D$5,12,31))</f>
        <v/>
      </c>
      <c r="E119" s="331">
        <f>SUMIFS(DATA!$M:$M,DATA!$C:$C,$B119,DATA!$N:$N,"&gt;="&amp;DATE(E$5,1,1),DATA!$N:$N,"&lt;="&amp;DATE(E$5,12,31))</f>
        <v/>
      </c>
      <c r="F119" s="331">
        <f>SUMIFS(DATA!$M:$M,DATA!$C:$C,$B119,DATA!$N:$N,"&gt;="&amp;DATE(F$5,1,1),DATA!$N:$N,"&lt;="&amp;DATE(F$5,12,31))</f>
        <v/>
      </c>
      <c r="G119" s="331">
        <f>SUMIFS(DATA!$M:$M,DATA!$C:$C,$B119,DATA!$N:$N,"&gt;="&amp;DATE(G$5,1,1),DATA!$N:$N,"&lt;="&amp;DATE(G$5,12,31))</f>
        <v/>
      </c>
      <c r="H119" s="331">
        <f>SUMIFS(DATA!$M:$M,DATA!$C:$C,$B119,DATA!$N:$N,"&gt;="&amp;DATE(H$5,1,1),DATA!$N:$N,"&lt;="&amp;DATE(H$5,12,31))</f>
        <v/>
      </c>
      <c r="I119" s="331">
        <f>SUMIFS(DATA!$M:$M,DATA!$C:$C,$B119,DATA!$N:$N,"&gt;="&amp;DATE(I$5,1,1),DATA!$N:$N,"&lt;="&amp;DATE(I$5,12,31))</f>
        <v/>
      </c>
      <c r="J119" s="332">
        <f>SUM(C119:I119)</f>
        <v/>
      </c>
      <c r="K119" s="333">
        <f>J119/$J$506</f>
        <v/>
      </c>
    </row>
    <row r="120" hidden="1" outlineLevel="1" ht="32.25" customHeight="1">
      <c r="A120" s="48" t="n">
        <v>115</v>
      </c>
      <c r="B120" s="107" t="inlineStr">
        <is>
          <t>ECO LAKE VIEW</t>
        </is>
      </c>
      <c r="C120" s="331">
        <f>SUMIFS(DATA!$M:$M,DATA!$C:$C,$B120,DATA!$N:$N,"&gt;="&amp;DATE(C$5,1,1),DATA!$N:$N,"&lt;="&amp;DATE(C$5,12,31))</f>
        <v/>
      </c>
      <c r="D120" s="331">
        <f>SUMIFS(DATA!$M:$M,DATA!$C:$C,$B120,DATA!$N:$N,"&gt;="&amp;DATE(D$5,1,1),DATA!$N:$N,"&lt;="&amp;DATE(D$5,12,31))</f>
        <v/>
      </c>
      <c r="E120" s="331">
        <f>SUMIFS(DATA!$M:$M,DATA!$C:$C,$B120,DATA!$N:$N,"&gt;="&amp;DATE(E$5,1,1),DATA!$N:$N,"&lt;="&amp;DATE(E$5,12,31))</f>
        <v/>
      </c>
      <c r="F120" s="331">
        <f>SUMIFS(DATA!$M:$M,DATA!$C:$C,$B120,DATA!$N:$N,"&gt;="&amp;DATE(F$5,1,1),DATA!$N:$N,"&lt;="&amp;DATE(F$5,12,31))</f>
        <v/>
      </c>
      <c r="G120" s="331">
        <f>SUMIFS(DATA!$M:$M,DATA!$C:$C,$B120,DATA!$N:$N,"&gt;="&amp;DATE(G$5,1,1),DATA!$N:$N,"&lt;="&amp;DATE(G$5,12,31))</f>
        <v/>
      </c>
      <c r="H120" s="331">
        <f>SUMIFS(DATA!$M:$M,DATA!$C:$C,$B120,DATA!$N:$N,"&gt;="&amp;DATE(H$5,1,1),DATA!$N:$N,"&lt;="&amp;DATE(H$5,12,31))</f>
        <v/>
      </c>
      <c r="I120" s="331">
        <f>SUMIFS(DATA!$M:$M,DATA!$C:$C,$B120,DATA!$N:$N,"&gt;="&amp;DATE(I$5,1,1),DATA!$N:$N,"&lt;="&amp;DATE(I$5,12,31))</f>
        <v/>
      </c>
      <c r="J120" s="332">
        <f>SUM(C120:I120)</f>
        <v/>
      </c>
      <c r="K120" s="333">
        <f>J120/$J$506</f>
        <v/>
      </c>
    </row>
    <row r="121" hidden="1" outlineLevel="1" ht="32.25" customHeight="1">
      <c r="A121" s="48" t="n">
        <v>116</v>
      </c>
      <c r="B121" s="107" t="inlineStr">
        <is>
          <t>CT2A,B XUÂN LA</t>
        </is>
      </c>
      <c r="C121" s="331">
        <f>SUMIFS(DATA!$M:$M,DATA!$C:$C,$B121,DATA!$N:$N,"&gt;="&amp;DATE(C$5,1,1),DATA!$N:$N,"&lt;="&amp;DATE(C$5,12,31))</f>
        <v/>
      </c>
      <c r="D121" s="331">
        <f>SUMIFS(DATA!$M:$M,DATA!$C:$C,$B121,DATA!$N:$N,"&gt;="&amp;DATE(D$5,1,1),DATA!$N:$N,"&lt;="&amp;DATE(D$5,12,31))</f>
        <v/>
      </c>
      <c r="E121" s="331">
        <f>SUMIFS(DATA!$M:$M,DATA!$C:$C,$B121,DATA!$N:$N,"&gt;="&amp;DATE(E$5,1,1),DATA!$N:$N,"&lt;="&amp;DATE(E$5,12,31))</f>
        <v/>
      </c>
      <c r="F121" s="331">
        <f>SUMIFS(DATA!$M:$M,DATA!$C:$C,$B121,DATA!$N:$N,"&gt;="&amp;DATE(F$5,1,1),DATA!$N:$N,"&lt;="&amp;DATE(F$5,12,31))</f>
        <v/>
      </c>
      <c r="G121" s="331">
        <f>SUMIFS(DATA!$M:$M,DATA!$C:$C,$B121,DATA!$N:$N,"&gt;="&amp;DATE(G$5,1,1),DATA!$N:$N,"&lt;="&amp;DATE(G$5,12,31))</f>
        <v/>
      </c>
      <c r="H121" s="331">
        <f>SUMIFS(DATA!$M:$M,DATA!$C:$C,$B121,DATA!$N:$N,"&gt;="&amp;DATE(H$5,1,1),DATA!$N:$N,"&lt;="&amp;DATE(H$5,12,31))</f>
        <v/>
      </c>
      <c r="I121" s="331">
        <f>SUMIFS(DATA!$M:$M,DATA!$C:$C,$B121,DATA!$N:$N,"&gt;="&amp;DATE(I$5,1,1),DATA!$N:$N,"&lt;="&amp;DATE(I$5,12,31))</f>
        <v/>
      </c>
      <c r="J121" s="332">
        <f>SUM(C121:I121)</f>
        <v/>
      </c>
      <c r="K121" s="333">
        <f>J121/$J$506</f>
        <v/>
      </c>
    </row>
    <row r="122" hidden="1" outlineLevel="1" ht="32.25" customHeight="1">
      <c r="A122" s="48" t="n">
        <v>117</v>
      </c>
      <c r="B122" s="107" t="inlineStr">
        <is>
          <t>CÔNG TY XI MĂNG VICEM HOÀNG THẠCH</t>
        </is>
      </c>
      <c r="C122" s="331">
        <f>SUMIFS(DATA!$M:$M,DATA!$C:$C,$B122,DATA!$N:$N,"&gt;="&amp;DATE(C$5,1,1),DATA!$N:$N,"&lt;="&amp;DATE(C$5,12,31))</f>
        <v/>
      </c>
      <c r="D122" s="331">
        <f>SUMIFS(DATA!$M:$M,DATA!$C:$C,$B122,DATA!$N:$N,"&gt;="&amp;DATE(D$5,1,1),DATA!$N:$N,"&lt;="&amp;DATE(D$5,12,31))</f>
        <v/>
      </c>
      <c r="E122" s="331">
        <f>SUMIFS(DATA!$M:$M,DATA!$C:$C,$B122,DATA!$N:$N,"&gt;="&amp;DATE(E$5,1,1),DATA!$N:$N,"&lt;="&amp;DATE(E$5,12,31))</f>
        <v/>
      </c>
      <c r="F122" s="331">
        <f>SUMIFS(DATA!$M:$M,DATA!$C:$C,$B122,DATA!$N:$N,"&gt;="&amp;DATE(F$5,1,1),DATA!$N:$N,"&lt;="&amp;DATE(F$5,12,31))</f>
        <v/>
      </c>
      <c r="G122" s="331">
        <f>SUMIFS(DATA!$M:$M,DATA!$C:$C,$B122,DATA!$N:$N,"&gt;="&amp;DATE(G$5,1,1),DATA!$N:$N,"&lt;="&amp;DATE(G$5,12,31))</f>
        <v/>
      </c>
      <c r="H122" s="331">
        <f>SUMIFS(DATA!$M:$M,DATA!$C:$C,$B122,DATA!$N:$N,"&gt;="&amp;DATE(H$5,1,1),DATA!$N:$N,"&lt;="&amp;DATE(H$5,12,31))</f>
        <v/>
      </c>
      <c r="I122" s="331">
        <f>SUMIFS(DATA!$M:$M,DATA!$C:$C,$B122,DATA!$N:$N,"&gt;="&amp;DATE(I$5,1,1),DATA!$N:$N,"&lt;="&amp;DATE(I$5,12,31))</f>
        <v/>
      </c>
      <c r="J122" s="332">
        <f>SUM(C122:I122)</f>
        <v/>
      </c>
      <c r="K122" s="333">
        <f>J122/$J$506</f>
        <v/>
      </c>
    </row>
    <row r="123" hidden="1" outlineLevel="1" ht="32.25" customHeight="1">
      <c r="A123" s="48" t="n">
        <v>118</v>
      </c>
      <c r="B123" s="107" t="inlineStr">
        <is>
          <t>CÔNG TY TNHH MITSUBISHI ELECTRIC VIỆT NAM (MITSUBISHI ELECTRIC VIETNAM)</t>
        </is>
      </c>
      <c r="C123" s="331">
        <f>SUMIFS(DATA!$M:$M,DATA!$C:$C,$B123,DATA!$N:$N,"&gt;="&amp;DATE(C$5,1,1),DATA!$N:$N,"&lt;="&amp;DATE(C$5,12,31))</f>
        <v/>
      </c>
      <c r="D123" s="331">
        <f>SUMIFS(DATA!$M:$M,DATA!$C:$C,$B123,DATA!$N:$N,"&gt;="&amp;DATE(D$5,1,1),DATA!$N:$N,"&lt;="&amp;DATE(D$5,12,31))</f>
        <v/>
      </c>
      <c r="E123" s="331">
        <f>SUMIFS(DATA!$M:$M,DATA!$C:$C,$B123,DATA!$N:$N,"&gt;="&amp;DATE(E$5,1,1),DATA!$N:$N,"&lt;="&amp;DATE(E$5,12,31))</f>
        <v/>
      </c>
      <c r="F123" s="331">
        <f>SUMIFS(DATA!$M:$M,DATA!$C:$C,$B123,DATA!$N:$N,"&gt;="&amp;DATE(F$5,1,1),DATA!$N:$N,"&lt;="&amp;DATE(F$5,12,31))</f>
        <v/>
      </c>
      <c r="G123" s="331">
        <f>SUMIFS(DATA!$M:$M,DATA!$C:$C,$B123,DATA!$N:$N,"&gt;="&amp;DATE(G$5,1,1),DATA!$N:$N,"&lt;="&amp;DATE(G$5,12,31))</f>
        <v/>
      </c>
      <c r="H123" s="331">
        <f>SUMIFS(DATA!$M:$M,DATA!$C:$C,$B123,DATA!$N:$N,"&gt;="&amp;DATE(H$5,1,1),DATA!$N:$N,"&lt;="&amp;DATE(H$5,12,31))</f>
        <v/>
      </c>
      <c r="I123" s="331">
        <f>SUMIFS(DATA!$M:$M,DATA!$C:$C,$B123,DATA!$N:$N,"&gt;="&amp;DATE(I$5,1,1),DATA!$N:$N,"&lt;="&amp;DATE(I$5,12,31))</f>
        <v/>
      </c>
      <c r="J123" s="332">
        <f>SUM(C123:I123)</f>
        <v/>
      </c>
      <c r="K123" s="333">
        <f>J123/$J$506</f>
        <v/>
      </c>
    </row>
    <row r="124" hidden="1" outlineLevel="1" ht="32.25" customHeight="1">
      <c r="A124" s="48" t="n">
        <v>119</v>
      </c>
      <c r="B124" s="107" t="inlineStr">
        <is>
          <t>CT1 - HẢI ĐĂNG CITY</t>
        </is>
      </c>
      <c r="C124" s="331">
        <f>SUMIFS(DATA!$M:$M,DATA!$C:$C,$B124,DATA!$N:$N,"&gt;="&amp;DATE(C$5,1,1),DATA!$N:$N,"&lt;="&amp;DATE(C$5,12,31))</f>
        <v/>
      </c>
      <c r="D124" s="331">
        <f>SUMIFS(DATA!$M:$M,DATA!$C:$C,$B124,DATA!$N:$N,"&gt;="&amp;DATE(D$5,1,1),DATA!$N:$N,"&lt;="&amp;DATE(D$5,12,31))</f>
        <v/>
      </c>
      <c r="E124" s="331">
        <f>SUMIFS(DATA!$M:$M,DATA!$C:$C,$B124,DATA!$N:$N,"&gt;="&amp;DATE(E$5,1,1),DATA!$N:$N,"&lt;="&amp;DATE(E$5,12,31))</f>
        <v/>
      </c>
      <c r="F124" s="331">
        <f>SUMIFS(DATA!$M:$M,DATA!$C:$C,$B124,DATA!$N:$N,"&gt;="&amp;DATE(F$5,1,1),DATA!$N:$N,"&lt;="&amp;DATE(F$5,12,31))</f>
        <v/>
      </c>
      <c r="G124" s="331">
        <f>SUMIFS(DATA!$M:$M,DATA!$C:$C,$B124,DATA!$N:$N,"&gt;="&amp;DATE(G$5,1,1),DATA!$N:$N,"&lt;="&amp;DATE(G$5,12,31))</f>
        <v/>
      </c>
      <c r="H124" s="331">
        <f>SUMIFS(DATA!$M:$M,DATA!$C:$C,$B124,DATA!$N:$N,"&gt;="&amp;DATE(H$5,1,1),DATA!$N:$N,"&lt;="&amp;DATE(H$5,12,31))</f>
        <v/>
      </c>
      <c r="I124" s="331">
        <f>SUMIFS(DATA!$M:$M,DATA!$C:$C,$B124,DATA!$N:$N,"&gt;="&amp;DATE(I$5,1,1),DATA!$N:$N,"&lt;="&amp;DATE(I$5,12,31))</f>
        <v/>
      </c>
      <c r="J124" s="332">
        <f>SUM(C124:I124)</f>
        <v/>
      </c>
      <c r="K124" s="333">
        <f>J124/$J$506</f>
        <v/>
      </c>
    </row>
    <row r="125" hidden="1" outlineLevel="1" ht="32.25" customHeight="1">
      <c r="A125" s="48" t="n">
        <v>120</v>
      </c>
      <c r="B125" s="107" t="inlineStr">
        <is>
          <t>FRENCH EMBASSY</t>
        </is>
      </c>
      <c r="C125" s="331">
        <f>SUMIFS(DATA!$M:$M,DATA!$C:$C,$B125,DATA!$N:$N,"&gt;="&amp;DATE(C$5,1,1),DATA!$N:$N,"&lt;="&amp;DATE(C$5,12,31))</f>
        <v/>
      </c>
      <c r="D125" s="331">
        <f>SUMIFS(DATA!$M:$M,DATA!$C:$C,$B125,DATA!$N:$N,"&gt;="&amp;DATE(D$5,1,1),DATA!$N:$N,"&lt;="&amp;DATE(D$5,12,31))</f>
        <v/>
      </c>
      <c r="E125" s="331">
        <f>SUMIFS(DATA!$M:$M,DATA!$C:$C,$B125,DATA!$N:$N,"&gt;="&amp;DATE(E$5,1,1),DATA!$N:$N,"&lt;="&amp;DATE(E$5,12,31))</f>
        <v/>
      </c>
      <c r="F125" s="331">
        <f>SUMIFS(DATA!$M:$M,DATA!$C:$C,$B125,DATA!$N:$N,"&gt;="&amp;DATE(F$5,1,1),DATA!$N:$N,"&lt;="&amp;DATE(F$5,12,31))</f>
        <v/>
      </c>
      <c r="G125" s="331">
        <f>SUMIFS(DATA!$M:$M,DATA!$C:$C,$B125,DATA!$N:$N,"&gt;="&amp;DATE(G$5,1,1),DATA!$N:$N,"&lt;="&amp;DATE(G$5,12,31))</f>
        <v/>
      </c>
      <c r="H125" s="331">
        <f>SUMIFS(DATA!$M:$M,DATA!$C:$C,$B125,DATA!$N:$N,"&gt;="&amp;DATE(H$5,1,1),DATA!$N:$N,"&lt;="&amp;DATE(H$5,12,31))</f>
        <v/>
      </c>
      <c r="I125" s="331">
        <f>SUMIFS(DATA!$M:$M,DATA!$C:$C,$B125,DATA!$N:$N,"&gt;="&amp;DATE(I$5,1,1),DATA!$N:$N,"&lt;="&amp;DATE(I$5,12,31))</f>
        <v/>
      </c>
      <c r="J125" s="332">
        <f>SUM(C125:I125)</f>
        <v/>
      </c>
      <c r="K125" s="333">
        <f>J125/$J$506</f>
        <v/>
      </c>
    </row>
    <row r="126" hidden="1" outlineLevel="1" ht="32.25" customHeight="1">
      <c r="A126" s="48" t="n">
        <v>121</v>
      </c>
      <c r="B126" s="107" t="inlineStr">
        <is>
          <t>FPT FORNIX</t>
        </is>
      </c>
      <c r="C126" s="331">
        <f>SUMIFS(DATA!$M:$M,DATA!$C:$C,$B126,DATA!$N:$N,"&gt;="&amp;DATE(C$5,1,1),DATA!$N:$N,"&lt;="&amp;DATE(C$5,12,31))</f>
        <v/>
      </c>
      <c r="D126" s="331">
        <f>SUMIFS(DATA!$M:$M,DATA!$C:$C,$B126,DATA!$N:$N,"&gt;="&amp;DATE(D$5,1,1),DATA!$N:$N,"&lt;="&amp;DATE(D$5,12,31))</f>
        <v/>
      </c>
      <c r="E126" s="331">
        <f>SUMIFS(DATA!$M:$M,DATA!$C:$C,$B126,DATA!$N:$N,"&gt;="&amp;DATE(E$5,1,1),DATA!$N:$N,"&lt;="&amp;DATE(E$5,12,31))</f>
        <v/>
      </c>
      <c r="F126" s="331">
        <f>SUMIFS(DATA!$M:$M,DATA!$C:$C,$B126,DATA!$N:$N,"&gt;="&amp;DATE(F$5,1,1),DATA!$N:$N,"&lt;="&amp;DATE(F$5,12,31))</f>
        <v/>
      </c>
      <c r="G126" s="331">
        <f>SUMIFS(DATA!$M:$M,DATA!$C:$C,$B126,DATA!$N:$N,"&gt;="&amp;DATE(G$5,1,1),DATA!$N:$N,"&lt;="&amp;DATE(G$5,12,31))</f>
        <v/>
      </c>
      <c r="H126" s="331">
        <f>SUMIFS(DATA!$M:$M,DATA!$C:$C,$B126,DATA!$N:$N,"&gt;="&amp;DATE(H$5,1,1),DATA!$N:$N,"&lt;="&amp;DATE(H$5,12,31))</f>
        <v/>
      </c>
      <c r="I126" s="331">
        <f>SUMIFS(DATA!$M:$M,DATA!$C:$C,$B126,DATA!$N:$N,"&gt;="&amp;DATE(I$5,1,1),DATA!$N:$N,"&lt;="&amp;DATE(I$5,12,31))</f>
        <v/>
      </c>
      <c r="J126" s="332">
        <f>SUM(C126:I126)</f>
        <v/>
      </c>
      <c r="K126" s="333">
        <f>J126/$J$506</f>
        <v/>
      </c>
    </row>
    <row r="127" hidden="1" outlineLevel="1" ht="32.25" customHeight="1">
      <c r="A127" s="48" t="n">
        <v>122</v>
      </c>
      <c r="B127" s="107" t="inlineStr">
        <is>
          <t>Mr.Niềm</t>
        </is>
      </c>
      <c r="C127" s="331">
        <f>SUMIFS(DATA!$M:$M,DATA!$C:$C,$B127,DATA!$N:$N,"&gt;="&amp;DATE(C$5,1,1),DATA!$N:$N,"&lt;="&amp;DATE(C$5,12,31))</f>
        <v/>
      </c>
      <c r="D127" s="331">
        <f>SUMIFS(DATA!$M:$M,DATA!$C:$C,$B127,DATA!$N:$N,"&gt;="&amp;DATE(D$5,1,1),DATA!$N:$N,"&lt;="&amp;DATE(D$5,12,31))</f>
        <v/>
      </c>
      <c r="E127" s="331">
        <f>SUMIFS(DATA!$M:$M,DATA!$C:$C,$B127,DATA!$N:$N,"&gt;="&amp;DATE(E$5,1,1),DATA!$N:$N,"&lt;="&amp;DATE(E$5,12,31))</f>
        <v/>
      </c>
      <c r="F127" s="331">
        <f>SUMIFS(DATA!$M:$M,DATA!$C:$C,$B127,DATA!$N:$N,"&gt;="&amp;DATE(F$5,1,1),DATA!$N:$N,"&lt;="&amp;DATE(F$5,12,31))</f>
        <v/>
      </c>
      <c r="G127" s="331">
        <f>SUMIFS(DATA!$M:$M,DATA!$C:$C,$B127,DATA!$N:$N,"&gt;="&amp;DATE(G$5,1,1),DATA!$N:$N,"&lt;="&amp;DATE(G$5,12,31))</f>
        <v/>
      </c>
      <c r="H127" s="331">
        <f>SUMIFS(DATA!$M:$M,DATA!$C:$C,$B127,DATA!$N:$N,"&gt;="&amp;DATE(H$5,1,1),DATA!$N:$N,"&lt;="&amp;DATE(H$5,12,31))</f>
        <v/>
      </c>
      <c r="I127" s="331">
        <f>SUMIFS(DATA!$M:$M,DATA!$C:$C,$B127,DATA!$N:$N,"&gt;="&amp;DATE(I$5,1,1),DATA!$N:$N,"&lt;="&amp;DATE(I$5,12,31))</f>
        <v/>
      </c>
      <c r="J127" s="332">
        <f>SUM(C127:I127)</f>
        <v/>
      </c>
      <c r="K127" s="333">
        <f>J127/$J$506</f>
        <v/>
      </c>
    </row>
    <row r="128" hidden="1" outlineLevel="1" ht="32.25" customHeight="1">
      <c r="A128" s="48" t="n">
        <v>123</v>
      </c>
      <c r="B128" s="107" t="inlineStr">
        <is>
          <t>CÔNG TY TNHH NAM XƯƠNG</t>
        </is>
      </c>
      <c r="C128" s="331">
        <f>SUMIFS(DATA!$M:$M,DATA!$C:$C,$B128,DATA!$N:$N,"&gt;="&amp;DATE(C$5,1,1),DATA!$N:$N,"&lt;="&amp;DATE(C$5,12,31))</f>
        <v/>
      </c>
      <c r="D128" s="331">
        <f>SUMIFS(DATA!$M:$M,DATA!$C:$C,$B128,DATA!$N:$N,"&gt;="&amp;DATE(D$5,1,1),DATA!$N:$N,"&lt;="&amp;DATE(D$5,12,31))</f>
        <v/>
      </c>
      <c r="E128" s="331">
        <f>SUMIFS(DATA!$M:$M,DATA!$C:$C,$B128,DATA!$N:$N,"&gt;="&amp;DATE(E$5,1,1),DATA!$N:$N,"&lt;="&amp;DATE(E$5,12,31))</f>
        <v/>
      </c>
      <c r="F128" s="331">
        <f>SUMIFS(DATA!$M:$M,DATA!$C:$C,$B128,DATA!$N:$N,"&gt;="&amp;DATE(F$5,1,1),DATA!$N:$N,"&lt;="&amp;DATE(F$5,12,31))</f>
        <v/>
      </c>
      <c r="G128" s="331">
        <f>SUMIFS(DATA!$M:$M,DATA!$C:$C,$B128,DATA!$N:$N,"&gt;="&amp;DATE(G$5,1,1),DATA!$N:$N,"&lt;="&amp;DATE(G$5,12,31))</f>
        <v/>
      </c>
      <c r="H128" s="331">
        <f>SUMIFS(DATA!$M:$M,DATA!$C:$C,$B128,DATA!$N:$N,"&gt;="&amp;DATE(H$5,1,1),DATA!$N:$N,"&lt;="&amp;DATE(H$5,12,31))</f>
        <v/>
      </c>
      <c r="I128" s="331">
        <f>SUMIFS(DATA!$M:$M,DATA!$C:$C,$B128,DATA!$N:$N,"&gt;="&amp;DATE(I$5,1,1),DATA!$N:$N,"&lt;="&amp;DATE(I$5,12,31))</f>
        <v/>
      </c>
      <c r="J128" s="332">
        <f>SUM(C128:I128)</f>
        <v/>
      </c>
      <c r="K128" s="333">
        <f>J128/$J$506</f>
        <v/>
      </c>
    </row>
    <row r="129" hidden="1" outlineLevel="1" ht="32.25" customHeight="1">
      <c r="A129" s="48" t="n">
        <v>124</v>
      </c>
      <c r="B129" s="107" t="inlineStr">
        <is>
          <t>HONGKONG TOWER</t>
        </is>
      </c>
      <c r="C129" s="331">
        <f>SUMIFS(DATA!$M:$M,DATA!$C:$C,$B129,DATA!$N:$N,"&gt;="&amp;DATE(C$5,1,1),DATA!$N:$N,"&lt;="&amp;DATE(C$5,12,31))</f>
        <v/>
      </c>
      <c r="D129" s="331">
        <f>SUMIFS(DATA!$M:$M,DATA!$C:$C,$B129,DATA!$N:$N,"&gt;="&amp;DATE(D$5,1,1),DATA!$N:$N,"&lt;="&amp;DATE(D$5,12,31))</f>
        <v/>
      </c>
      <c r="E129" s="331">
        <f>SUMIFS(DATA!$M:$M,DATA!$C:$C,$B129,DATA!$N:$N,"&gt;="&amp;DATE(E$5,1,1),DATA!$N:$N,"&lt;="&amp;DATE(E$5,12,31))</f>
        <v/>
      </c>
      <c r="F129" s="331">
        <f>SUMIFS(DATA!$M:$M,DATA!$C:$C,$B129,DATA!$N:$N,"&gt;="&amp;DATE(F$5,1,1),DATA!$N:$N,"&lt;="&amp;DATE(F$5,12,31))</f>
        <v/>
      </c>
      <c r="G129" s="331">
        <f>SUMIFS(DATA!$M:$M,DATA!$C:$C,$B129,DATA!$N:$N,"&gt;="&amp;DATE(G$5,1,1),DATA!$N:$N,"&lt;="&amp;DATE(G$5,12,31))</f>
        <v/>
      </c>
      <c r="H129" s="331">
        <f>SUMIFS(DATA!$M:$M,DATA!$C:$C,$B129,DATA!$N:$N,"&gt;="&amp;DATE(H$5,1,1),DATA!$N:$N,"&lt;="&amp;DATE(H$5,12,31))</f>
        <v/>
      </c>
      <c r="I129" s="331">
        <f>SUMIFS(DATA!$M:$M,DATA!$C:$C,$B129,DATA!$N:$N,"&gt;="&amp;DATE(I$5,1,1),DATA!$N:$N,"&lt;="&amp;DATE(I$5,12,31))</f>
        <v/>
      </c>
      <c r="J129" s="332">
        <f>SUM(C129:I129)</f>
        <v/>
      </c>
      <c r="K129" s="333">
        <f>J129/$J$506</f>
        <v/>
      </c>
    </row>
    <row r="130" hidden="1" outlineLevel="1" ht="32.25" customHeight="1">
      <c r="A130" s="48" t="n">
        <v>125</v>
      </c>
      <c r="B130" s="107" t="inlineStr">
        <is>
          <t>VNPAY - CÔNG TY CỔ PHẦN GIẢI PHÁP THANH TOÁN VIỆT NAM</t>
        </is>
      </c>
      <c r="C130" s="331">
        <f>SUMIFS(DATA!$M:$M,DATA!$C:$C,$B130,DATA!$N:$N,"&gt;="&amp;DATE(C$5,1,1),DATA!$N:$N,"&lt;="&amp;DATE(C$5,12,31))</f>
        <v/>
      </c>
      <c r="D130" s="331">
        <f>SUMIFS(DATA!$M:$M,DATA!$C:$C,$B130,DATA!$N:$N,"&gt;="&amp;DATE(D$5,1,1),DATA!$N:$N,"&lt;="&amp;DATE(D$5,12,31))</f>
        <v/>
      </c>
      <c r="E130" s="331">
        <f>SUMIFS(DATA!$M:$M,DATA!$C:$C,$B130,DATA!$N:$N,"&gt;="&amp;DATE(E$5,1,1),DATA!$N:$N,"&lt;="&amp;DATE(E$5,12,31))</f>
        <v/>
      </c>
      <c r="F130" s="331">
        <f>SUMIFS(DATA!$M:$M,DATA!$C:$C,$B130,DATA!$N:$N,"&gt;="&amp;DATE(F$5,1,1),DATA!$N:$N,"&lt;="&amp;DATE(F$5,12,31))</f>
        <v/>
      </c>
      <c r="G130" s="331">
        <f>SUMIFS(DATA!$M:$M,DATA!$C:$C,$B130,DATA!$N:$N,"&gt;="&amp;DATE(G$5,1,1),DATA!$N:$N,"&lt;="&amp;DATE(G$5,12,31))</f>
        <v/>
      </c>
      <c r="H130" s="331">
        <f>SUMIFS(DATA!$M:$M,DATA!$C:$C,$B130,DATA!$N:$N,"&gt;="&amp;DATE(H$5,1,1),DATA!$N:$N,"&lt;="&amp;DATE(H$5,12,31))</f>
        <v/>
      </c>
      <c r="I130" s="331">
        <f>SUMIFS(DATA!$M:$M,DATA!$C:$C,$B130,DATA!$N:$N,"&gt;="&amp;DATE(I$5,1,1),DATA!$N:$N,"&lt;="&amp;DATE(I$5,12,31))</f>
        <v/>
      </c>
      <c r="J130" s="332">
        <f>SUM(C130:I130)</f>
        <v/>
      </c>
      <c r="K130" s="333">
        <f>J130/$J$506</f>
        <v/>
      </c>
    </row>
    <row r="131" hidden="1" outlineLevel="1" ht="32.25" customHeight="1">
      <c r="A131" s="48" t="n">
        <v>126</v>
      </c>
      <c r="B131" s="107" t="inlineStr">
        <is>
          <t>CÔNG TY CỔ PHẦN PROPERTY ONE</t>
        </is>
      </c>
      <c r="C131" s="331">
        <f>SUMIFS(DATA!$M:$M,DATA!$C:$C,$B131,DATA!$N:$N,"&gt;="&amp;DATE(C$5,1,1),DATA!$N:$N,"&lt;="&amp;DATE(C$5,12,31))</f>
        <v/>
      </c>
      <c r="D131" s="331">
        <f>SUMIFS(DATA!$M:$M,DATA!$C:$C,$B131,DATA!$N:$N,"&gt;="&amp;DATE(D$5,1,1),DATA!$N:$N,"&lt;="&amp;DATE(D$5,12,31))</f>
        <v/>
      </c>
      <c r="E131" s="331">
        <f>SUMIFS(DATA!$M:$M,DATA!$C:$C,$B131,DATA!$N:$N,"&gt;="&amp;DATE(E$5,1,1),DATA!$N:$N,"&lt;="&amp;DATE(E$5,12,31))</f>
        <v/>
      </c>
      <c r="F131" s="331">
        <f>SUMIFS(DATA!$M:$M,DATA!$C:$C,$B131,DATA!$N:$N,"&gt;="&amp;DATE(F$5,1,1),DATA!$N:$N,"&lt;="&amp;DATE(F$5,12,31))</f>
        <v/>
      </c>
      <c r="G131" s="331">
        <f>SUMIFS(DATA!$M:$M,DATA!$C:$C,$B131,DATA!$N:$N,"&gt;="&amp;DATE(G$5,1,1),DATA!$N:$N,"&lt;="&amp;DATE(G$5,12,31))</f>
        <v/>
      </c>
      <c r="H131" s="331">
        <f>SUMIFS(DATA!$M:$M,DATA!$C:$C,$B131,DATA!$N:$N,"&gt;="&amp;DATE(H$5,1,1),DATA!$N:$N,"&lt;="&amp;DATE(H$5,12,31))</f>
        <v/>
      </c>
      <c r="I131" s="331">
        <f>SUMIFS(DATA!$M:$M,DATA!$C:$C,$B131,DATA!$N:$N,"&gt;="&amp;DATE(I$5,1,1),DATA!$N:$N,"&lt;="&amp;DATE(I$5,12,31))</f>
        <v/>
      </c>
      <c r="J131" s="332">
        <f>SUM(C131:I131)</f>
        <v/>
      </c>
      <c r="K131" s="333">
        <f>J131/$J$506</f>
        <v/>
      </c>
    </row>
    <row r="132" hidden="1" outlineLevel="1" ht="32.25" customHeight="1">
      <c r="A132" s="48" t="n">
        <v>127</v>
      </c>
      <c r="B132" s="107" t="inlineStr">
        <is>
          <t>Ms.Phương</t>
        </is>
      </c>
      <c r="C132" s="331">
        <f>SUMIFS(DATA!$M:$M,DATA!$C:$C,$B132,DATA!$N:$N,"&gt;="&amp;DATE(C$5,1,1),DATA!$N:$N,"&lt;="&amp;DATE(C$5,12,31))</f>
        <v/>
      </c>
      <c r="D132" s="331">
        <f>SUMIFS(DATA!$M:$M,DATA!$C:$C,$B132,DATA!$N:$N,"&gt;="&amp;DATE(D$5,1,1),DATA!$N:$N,"&lt;="&amp;DATE(D$5,12,31))</f>
        <v/>
      </c>
      <c r="E132" s="331">
        <f>SUMIFS(DATA!$M:$M,DATA!$C:$C,$B132,DATA!$N:$N,"&gt;="&amp;DATE(E$5,1,1),DATA!$N:$N,"&lt;="&amp;DATE(E$5,12,31))</f>
        <v/>
      </c>
      <c r="F132" s="331">
        <f>SUMIFS(DATA!$M:$M,DATA!$C:$C,$B132,DATA!$N:$N,"&gt;="&amp;DATE(F$5,1,1),DATA!$N:$N,"&lt;="&amp;DATE(F$5,12,31))</f>
        <v/>
      </c>
      <c r="G132" s="331">
        <f>SUMIFS(DATA!$M:$M,DATA!$C:$C,$B132,DATA!$N:$N,"&gt;="&amp;DATE(G$5,1,1),DATA!$N:$N,"&lt;="&amp;DATE(G$5,12,31))</f>
        <v/>
      </c>
      <c r="H132" s="331">
        <f>SUMIFS(DATA!$M:$M,DATA!$C:$C,$B132,DATA!$N:$N,"&gt;="&amp;DATE(H$5,1,1),DATA!$N:$N,"&lt;="&amp;DATE(H$5,12,31))</f>
        <v/>
      </c>
      <c r="I132" s="331">
        <f>SUMIFS(DATA!$M:$M,DATA!$C:$C,$B132,DATA!$N:$N,"&gt;="&amp;DATE(I$5,1,1),DATA!$N:$N,"&lt;="&amp;DATE(I$5,12,31))</f>
        <v/>
      </c>
      <c r="J132" s="332">
        <f>SUM(C132:I132)</f>
        <v/>
      </c>
      <c r="K132" s="333">
        <f>J132/$J$506</f>
        <v/>
      </c>
    </row>
    <row r="133" hidden="1" outlineLevel="1" ht="32.25" customHeight="1">
      <c r="A133" s="48" t="n">
        <v>128</v>
      </c>
      <c r="B133" s="107" t="inlineStr">
        <is>
          <t>BIG C HẢI DƯƠNG</t>
        </is>
      </c>
      <c r="C133" s="331">
        <f>SUMIFS(DATA!$M:$M,DATA!$C:$C,$B133,DATA!$N:$N,"&gt;="&amp;DATE(C$5,1,1),DATA!$N:$N,"&lt;="&amp;DATE(C$5,12,31))</f>
        <v/>
      </c>
      <c r="D133" s="331">
        <f>SUMIFS(DATA!$M:$M,DATA!$C:$C,$B133,DATA!$N:$N,"&gt;="&amp;DATE(D$5,1,1),DATA!$N:$N,"&lt;="&amp;DATE(D$5,12,31))</f>
        <v/>
      </c>
      <c r="E133" s="331">
        <f>SUMIFS(DATA!$M:$M,DATA!$C:$C,$B133,DATA!$N:$N,"&gt;="&amp;DATE(E$5,1,1),DATA!$N:$N,"&lt;="&amp;DATE(E$5,12,31))</f>
        <v/>
      </c>
      <c r="F133" s="331">
        <f>SUMIFS(DATA!$M:$M,DATA!$C:$C,$B133,DATA!$N:$N,"&gt;="&amp;DATE(F$5,1,1),DATA!$N:$N,"&lt;="&amp;DATE(F$5,12,31))</f>
        <v/>
      </c>
      <c r="G133" s="331">
        <f>SUMIFS(DATA!$M:$M,DATA!$C:$C,$B133,DATA!$N:$N,"&gt;="&amp;DATE(G$5,1,1),DATA!$N:$N,"&lt;="&amp;DATE(G$5,12,31))</f>
        <v/>
      </c>
      <c r="H133" s="331">
        <f>SUMIFS(DATA!$M:$M,DATA!$C:$C,$B133,DATA!$N:$N,"&gt;="&amp;DATE(H$5,1,1),DATA!$N:$N,"&lt;="&amp;DATE(H$5,12,31))</f>
        <v/>
      </c>
      <c r="I133" s="331">
        <f>SUMIFS(DATA!$M:$M,DATA!$C:$C,$B133,DATA!$N:$N,"&gt;="&amp;DATE(I$5,1,1),DATA!$N:$N,"&lt;="&amp;DATE(I$5,12,31))</f>
        <v/>
      </c>
      <c r="J133" s="332">
        <f>SUM(C133:I133)</f>
        <v/>
      </c>
      <c r="K133" s="333">
        <f>J133/$J$506</f>
        <v/>
      </c>
    </row>
    <row r="134" hidden="1" outlineLevel="1" ht="32.25" customHeight="1">
      <c r="A134" s="48" t="n">
        <v>129</v>
      </c>
      <c r="B134" s="107" t="inlineStr">
        <is>
          <t>JLL VIETNAM/ ORACLE</t>
        </is>
      </c>
      <c r="C134" s="331">
        <f>SUMIFS(DATA!$M:$M,DATA!$C:$C,$B134,DATA!$N:$N,"&gt;="&amp;DATE(C$5,1,1),DATA!$N:$N,"&lt;="&amp;DATE(C$5,12,31))</f>
        <v/>
      </c>
      <c r="D134" s="331">
        <f>SUMIFS(DATA!$M:$M,DATA!$C:$C,$B134,DATA!$N:$N,"&gt;="&amp;DATE(D$5,1,1),DATA!$N:$N,"&lt;="&amp;DATE(D$5,12,31))</f>
        <v/>
      </c>
      <c r="E134" s="331">
        <f>SUMIFS(DATA!$M:$M,DATA!$C:$C,$B134,DATA!$N:$N,"&gt;="&amp;DATE(E$5,1,1),DATA!$N:$N,"&lt;="&amp;DATE(E$5,12,31))</f>
        <v/>
      </c>
      <c r="F134" s="331">
        <f>SUMIFS(DATA!$M:$M,DATA!$C:$C,$B134,DATA!$N:$N,"&gt;="&amp;DATE(F$5,1,1),DATA!$N:$N,"&lt;="&amp;DATE(F$5,12,31))</f>
        <v/>
      </c>
      <c r="G134" s="331">
        <f>SUMIFS(DATA!$M:$M,DATA!$C:$C,$B134,DATA!$N:$N,"&gt;="&amp;DATE(G$5,1,1),DATA!$N:$N,"&lt;="&amp;DATE(G$5,12,31))</f>
        <v/>
      </c>
      <c r="H134" s="331">
        <f>SUMIFS(DATA!$M:$M,DATA!$C:$C,$B134,DATA!$N:$N,"&gt;="&amp;DATE(H$5,1,1),DATA!$N:$N,"&lt;="&amp;DATE(H$5,12,31))</f>
        <v/>
      </c>
      <c r="I134" s="331">
        <f>SUMIFS(DATA!$M:$M,DATA!$C:$C,$B134,DATA!$N:$N,"&gt;="&amp;DATE(I$5,1,1),DATA!$N:$N,"&lt;="&amp;DATE(I$5,12,31))</f>
        <v/>
      </c>
      <c r="J134" s="332">
        <f>SUM(C134:I134)</f>
        <v/>
      </c>
      <c r="K134" s="333">
        <f>J134/$J$506</f>
        <v/>
      </c>
    </row>
    <row r="135" hidden="1" outlineLevel="1" ht="32.25" customHeight="1">
      <c r="A135" s="48" t="n">
        <v>130</v>
      </c>
      <c r="B135" s="107" t="inlineStr">
        <is>
          <t>ASIA TOWER</t>
        </is>
      </c>
      <c r="C135" s="331">
        <f>SUMIFS(DATA!$M:$M,DATA!$C:$C,$B135,DATA!$N:$N,"&gt;="&amp;DATE(C$5,1,1),DATA!$N:$N,"&lt;="&amp;DATE(C$5,12,31))</f>
        <v/>
      </c>
      <c r="D135" s="331">
        <f>SUMIFS(DATA!$M:$M,DATA!$C:$C,$B135,DATA!$N:$N,"&gt;="&amp;DATE(D$5,1,1),DATA!$N:$N,"&lt;="&amp;DATE(D$5,12,31))</f>
        <v/>
      </c>
      <c r="E135" s="331">
        <f>SUMIFS(DATA!$M:$M,DATA!$C:$C,$B135,DATA!$N:$N,"&gt;="&amp;DATE(E$5,1,1),DATA!$N:$N,"&lt;="&amp;DATE(E$5,12,31))</f>
        <v/>
      </c>
      <c r="F135" s="331">
        <f>SUMIFS(DATA!$M:$M,DATA!$C:$C,$B135,DATA!$N:$N,"&gt;="&amp;DATE(F$5,1,1),DATA!$N:$N,"&lt;="&amp;DATE(F$5,12,31))</f>
        <v/>
      </c>
      <c r="G135" s="331">
        <f>SUMIFS(DATA!$M:$M,DATA!$C:$C,$B135,DATA!$N:$N,"&gt;="&amp;DATE(G$5,1,1),DATA!$N:$N,"&lt;="&amp;DATE(G$5,12,31))</f>
        <v/>
      </c>
      <c r="H135" s="331">
        <f>SUMIFS(DATA!$M:$M,DATA!$C:$C,$B135,DATA!$N:$N,"&gt;="&amp;DATE(H$5,1,1),DATA!$N:$N,"&lt;="&amp;DATE(H$5,12,31))</f>
        <v/>
      </c>
      <c r="I135" s="331">
        <f>SUMIFS(DATA!$M:$M,DATA!$C:$C,$B135,DATA!$N:$N,"&gt;="&amp;DATE(I$5,1,1),DATA!$N:$N,"&lt;="&amp;DATE(I$5,12,31))</f>
        <v/>
      </c>
      <c r="J135" s="332">
        <f>SUM(C135:I135)</f>
        <v/>
      </c>
      <c r="K135" s="333">
        <f>J135/$J$506</f>
        <v/>
      </c>
    </row>
    <row r="136" hidden="1" outlineLevel="1" ht="32.25" customHeight="1">
      <c r="A136" s="48" t="n">
        <v>131</v>
      </c>
      <c r="B136" s="107" t="inlineStr">
        <is>
          <t>GREEN PEARL</t>
        </is>
      </c>
      <c r="C136" s="331">
        <f>SUMIFS(DATA!$M:$M,DATA!$C:$C,$B136,DATA!$N:$N,"&gt;="&amp;DATE(C$5,1,1),DATA!$N:$N,"&lt;="&amp;DATE(C$5,12,31))</f>
        <v/>
      </c>
      <c r="D136" s="331">
        <f>SUMIFS(DATA!$M:$M,DATA!$C:$C,$B136,DATA!$N:$N,"&gt;="&amp;DATE(D$5,1,1),DATA!$N:$N,"&lt;="&amp;DATE(D$5,12,31))</f>
        <v/>
      </c>
      <c r="E136" s="331">
        <f>SUMIFS(DATA!$M:$M,DATA!$C:$C,$B136,DATA!$N:$N,"&gt;="&amp;DATE(E$5,1,1),DATA!$N:$N,"&lt;="&amp;DATE(E$5,12,31))</f>
        <v/>
      </c>
      <c r="F136" s="331">
        <f>SUMIFS(DATA!$M:$M,DATA!$C:$C,$B136,DATA!$N:$N,"&gt;="&amp;DATE(F$5,1,1),DATA!$N:$N,"&lt;="&amp;DATE(F$5,12,31))</f>
        <v/>
      </c>
      <c r="G136" s="331">
        <f>SUMIFS(DATA!$M:$M,DATA!$C:$C,$B136,DATA!$N:$N,"&gt;="&amp;DATE(G$5,1,1),DATA!$N:$N,"&lt;="&amp;DATE(G$5,12,31))</f>
        <v/>
      </c>
      <c r="H136" s="331">
        <f>SUMIFS(DATA!$M:$M,DATA!$C:$C,$B136,DATA!$N:$N,"&gt;="&amp;DATE(H$5,1,1),DATA!$N:$N,"&lt;="&amp;DATE(H$5,12,31))</f>
        <v/>
      </c>
      <c r="I136" s="331">
        <f>SUMIFS(DATA!$M:$M,DATA!$C:$C,$B136,DATA!$N:$N,"&gt;="&amp;DATE(I$5,1,1),DATA!$N:$N,"&lt;="&amp;DATE(I$5,12,31))</f>
        <v/>
      </c>
      <c r="J136" s="332">
        <f>SUM(C136:I136)</f>
        <v/>
      </c>
      <c r="K136" s="333">
        <f>J136/$J$506</f>
        <v/>
      </c>
    </row>
    <row r="137" hidden="1" outlineLevel="1" ht="32.25" customHeight="1">
      <c r="A137" s="48" t="n">
        <v>132</v>
      </c>
      <c r="B137" s="107" t="inlineStr">
        <is>
          <t>NGÂN HÀNG THẾ GIỚI TẠI VIỆT NAM</t>
        </is>
      </c>
      <c r="C137" s="331">
        <f>SUMIFS(DATA!$M:$M,DATA!$C:$C,$B137,DATA!$N:$N,"&gt;="&amp;DATE(C$5,1,1),DATA!$N:$N,"&lt;="&amp;DATE(C$5,12,31))</f>
        <v/>
      </c>
      <c r="D137" s="331">
        <f>SUMIFS(DATA!$M:$M,DATA!$C:$C,$B137,DATA!$N:$N,"&gt;="&amp;DATE(D$5,1,1),DATA!$N:$N,"&lt;="&amp;DATE(D$5,12,31))</f>
        <v/>
      </c>
      <c r="E137" s="331">
        <f>SUMIFS(DATA!$M:$M,DATA!$C:$C,$B137,DATA!$N:$N,"&gt;="&amp;DATE(E$5,1,1),DATA!$N:$N,"&lt;="&amp;DATE(E$5,12,31))</f>
        <v/>
      </c>
      <c r="F137" s="331">
        <f>SUMIFS(DATA!$M:$M,DATA!$C:$C,$B137,DATA!$N:$N,"&gt;="&amp;DATE(F$5,1,1),DATA!$N:$N,"&lt;="&amp;DATE(F$5,12,31))</f>
        <v/>
      </c>
      <c r="G137" s="331">
        <f>SUMIFS(DATA!$M:$M,DATA!$C:$C,$B137,DATA!$N:$N,"&gt;="&amp;DATE(G$5,1,1),DATA!$N:$N,"&lt;="&amp;DATE(G$5,12,31))</f>
        <v/>
      </c>
      <c r="H137" s="331">
        <f>SUMIFS(DATA!$M:$M,DATA!$C:$C,$B137,DATA!$N:$N,"&gt;="&amp;DATE(H$5,1,1),DATA!$N:$N,"&lt;="&amp;DATE(H$5,12,31))</f>
        <v/>
      </c>
      <c r="I137" s="331">
        <f>SUMIFS(DATA!$M:$M,DATA!$C:$C,$B137,DATA!$N:$N,"&gt;="&amp;DATE(I$5,1,1),DATA!$N:$N,"&lt;="&amp;DATE(I$5,12,31))</f>
        <v/>
      </c>
      <c r="J137" s="332">
        <f>SUM(C137:I137)</f>
        <v/>
      </c>
      <c r="K137" s="333">
        <f>J137/$J$506</f>
        <v/>
      </c>
    </row>
    <row r="138" hidden="1" outlineLevel="1" ht="32.25" customHeight="1">
      <c r="A138" s="48" t="n">
        <v>133</v>
      </c>
      <c r="B138" s="107" t="inlineStr">
        <is>
          <t>GOLDEN LAND</t>
        </is>
      </c>
      <c r="C138" s="331">
        <f>SUMIFS(DATA!$M:$M,DATA!$C:$C,$B138,DATA!$N:$N,"&gt;="&amp;DATE(C$5,1,1),DATA!$N:$N,"&lt;="&amp;DATE(C$5,12,31))</f>
        <v/>
      </c>
      <c r="D138" s="331">
        <f>SUMIFS(DATA!$M:$M,DATA!$C:$C,$B138,DATA!$N:$N,"&gt;="&amp;DATE(D$5,1,1),DATA!$N:$N,"&lt;="&amp;DATE(D$5,12,31))</f>
        <v/>
      </c>
      <c r="E138" s="331">
        <f>SUMIFS(DATA!$M:$M,DATA!$C:$C,$B138,DATA!$N:$N,"&gt;="&amp;DATE(E$5,1,1),DATA!$N:$N,"&lt;="&amp;DATE(E$5,12,31))</f>
        <v/>
      </c>
      <c r="F138" s="331">
        <f>SUMIFS(DATA!$M:$M,DATA!$C:$C,$B138,DATA!$N:$N,"&gt;="&amp;DATE(F$5,1,1),DATA!$N:$N,"&lt;="&amp;DATE(F$5,12,31))</f>
        <v/>
      </c>
      <c r="G138" s="331">
        <f>SUMIFS(DATA!$M:$M,DATA!$C:$C,$B138,DATA!$N:$N,"&gt;="&amp;DATE(G$5,1,1),DATA!$N:$N,"&lt;="&amp;DATE(G$5,12,31))</f>
        <v/>
      </c>
      <c r="H138" s="331">
        <f>SUMIFS(DATA!$M:$M,DATA!$C:$C,$B138,DATA!$N:$N,"&gt;="&amp;DATE(H$5,1,1),DATA!$N:$N,"&lt;="&amp;DATE(H$5,12,31))</f>
        <v/>
      </c>
      <c r="I138" s="331">
        <f>SUMIFS(DATA!$M:$M,DATA!$C:$C,$B138,DATA!$N:$N,"&gt;="&amp;DATE(I$5,1,1),DATA!$N:$N,"&lt;="&amp;DATE(I$5,12,31))</f>
        <v/>
      </c>
      <c r="J138" s="332">
        <f>SUM(C138:I138)</f>
        <v/>
      </c>
      <c r="K138" s="333">
        <f>J138/$J$506</f>
        <v/>
      </c>
    </row>
    <row r="139" hidden="1" outlineLevel="1" ht="32.25" customHeight="1">
      <c r="A139" s="48" t="n">
        <v>134</v>
      </c>
      <c r="B139" s="107" t="inlineStr">
        <is>
          <t>ORIENTAL WESTLAKE</t>
        </is>
      </c>
      <c r="C139" s="331">
        <f>SUMIFS(DATA!$M:$M,DATA!$C:$C,$B139,DATA!$N:$N,"&gt;="&amp;DATE(C$5,1,1),DATA!$N:$N,"&lt;="&amp;DATE(C$5,12,31))</f>
        <v/>
      </c>
      <c r="D139" s="331">
        <f>SUMIFS(DATA!$M:$M,DATA!$C:$C,$B139,DATA!$N:$N,"&gt;="&amp;DATE(D$5,1,1),DATA!$N:$N,"&lt;="&amp;DATE(D$5,12,31))</f>
        <v/>
      </c>
      <c r="E139" s="331">
        <f>SUMIFS(DATA!$M:$M,DATA!$C:$C,$B139,DATA!$N:$N,"&gt;="&amp;DATE(E$5,1,1),DATA!$N:$N,"&lt;="&amp;DATE(E$5,12,31))</f>
        <v/>
      </c>
      <c r="F139" s="331">
        <f>SUMIFS(DATA!$M:$M,DATA!$C:$C,$B139,DATA!$N:$N,"&gt;="&amp;DATE(F$5,1,1),DATA!$N:$N,"&lt;="&amp;DATE(F$5,12,31))</f>
        <v/>
      </c>
      <c r="G139" s="331">
        <f>SUMIFS(DATA!$M:$M,DATA!$C:$C,$B139,DATA!$N:$N,"&gt;="&amp;DATE(G$5,1,1),DATA!$N:$N,"&lt;="&amp;DATE(G$5,12,31))</f>
        <v/>
      </c>
      <c r="H139" s="331">
        <f>SUMIFS(DATA!$M:$M,DATA!$C:$C,$B139,DATA!$N:$N,"&gt;="&amp;DATE(H$5,1,1),DATA!$N:$N,"&lt;="&amp;DATE(H$5,12,31))</f>
        <v/>
      </c>
      <c r="I139" s="331">
        <f>SUMIFS(DATA!$M:$M,DATA!$C:$C,$B139,DATA!$N:$N,"&gt;="&amp;DATE(I$5,1,1),DATA!$N:$N,"&lt;="&amp;DATE(I$5,12,31))</f>
        <v/>
      </c>
      <c r="J139" s="332">
        <f>SUM(C139:I139)</f>
        <v/>
      </c>
      <c r="K139" s="333">
        <f>J139/$J$506</f>
        <v/>
      </c>
    </row>
    <row r="140" hidden="1" outlineLevel="1" ht="32.25" customHeight="1">
      <c r="A140" s="48" t="n">
        <v>135</v>
      </c>
      <c r="B140" s="107" t="inlineStr">
        <is>
          <t>FIVE STAR GARDEN (BI-A)</t>
        </is>
      </c>
      <c r="C140" s="331">
        <f>SUMIFS(DATA!$M:$M,DATA!$C:$C,$B140,DATA!$N:$N,"&gt;="&amp;DATE(C$5,1,1),DATA!$N:$N,"&lt;="&amp;DATE(C$5,12,31))</f>
        <v/>
      </c>
      <c r="D140" s="331">
        <f>SUMIFS(DATA!$M:$M,DATA!$C:$C,$B140,DATA!$N:$N,"&gt;="&amp;DATE(D$5,1,1),DATA!$N:$N,"&lt;="&amp;DATE(D$5,12,31))</f>
        <v/>
      </c>
      <c r="E140" s="331">
        <f>SUMIFS(DATA!$M:$M,DATA!$C:$C,$B140,DATA!$N:$N,"&gt;="&amp;DATE(E$5,1,1),DATA!$N:$N,"&lt;="&amp;DATE(E$5,12,31))</f>
        <v/>
      </c>
      <c r="F140" s="331">
        <f>SUMIFS(DATA!$M:$M,DATA!$C:$C,$B140,DATA!$N:$N,"&gt;="&amp;DATE(F$5,1,1),DATA!$N:$N,"&lt;="&amp;DATE(F$5,12,31))</f>
        <v/>
      </c>
      <c r="G140" s="331">
        <f>SUMIFS(DATA!$M:$M,DATA!$C:$C,$B140,DATA!$N:$N,"&gt;="&amp;DATE(G$5,1,1),DATA!$N:$N,"&lt;="&amp;DATE(G$5,12,31))</f>
        <v/>
      </c>
      <c r="H140" s="331">
        <f>SUMIFS(DATA!$M:$M,DATA!$C:$C,$B140,DATA!$N:$N,"&gt;="&amp;DATE(H$5,1,1),DATA!$N:$N,"&lt;="&amp;DATE(H$5,12,31))</f>
        <v/>
      </c>
      <c r="I140" s="331">
        <f>SUMIFS(DATA!$M:$M,DATA!$C:$C,$B140,DATA!$N:$N,"&gt;="&amp;DATE(I$5,1,1),DATA!$N:$N,"&lt;="&amp;DATE(I$5,12,31))</f>
        <v/>
      </c>
      <c r="J140" s="332">
        <f>SUM(C140:I140)</f>
        <v/>
      </c>
      <c r="K140" s="333">
        <f>J140/$J$506</f>
        <v/>
      </c>
    </row>
    <row r="141" hidden="1" outlineLevel="1" ht="32.25" customHeight="1">
      <c r="A141" s="48" t="n">
        <v>136</v>
      </c>
      <c r="B141" s="107" t="inlineStr">
        <is>
          <t>JLL VIETNAM / HENKEL BẮC NINH</t>
        </is>
      </c>
      <c r="C141" s="331">
        <f>SUMIFS(DATA!$M:$M,DATA!$C:$C,$B141,DATA!$N:$N,"&gt;="&amp;DATE(C$5,1,1),DATA!$N:$N,"&lt;="&amp;DATE(C$5,12,31))</f>
        <v/>
      </c>
      <c r="D141" s="331">
        <f>SUMIFS(DATA!$M:$M,DATA!$C:$C,$B141,DATA!$N:$N,"&gt;="&amp;DATE(D$5,1,1),DATA!$N:$N,"&lt;="&amp;DATE(D$5,12,31))</f>
        <v/>
      </c>
      <c r="E141" s="331">
        <f>SUMIFS(DATA!$M:$M,DATA!$C:$C,$B141,DATA!$N:$N,"&gt;="&amp;DATE(E$5,1,1),DATA!$N:$N,"&lt;="&amp;DATE(E$5,12,31))</f>
        <v/>
      </c>
      <c r="F141" s="331">
        <f>SUMIFS(DATA!$M:$M,DATA!$C:$C,$B141,DATA!$N:$N,"&gt;="&amp;DATE(F$5,1,1),DATA!$N:$N,"&lt;="&amp;DATE(F$5,12,31))</f>
        <v/>
      </c>
      <c r="G141" s="331">
        <f>SUMIFS(DATA!$M:$M,DATA!$C:$C,$B141,DATA!$N:$N,"&gt;="&amp;DATE(G$5,1,1),DATA!$N:$N,"&lt;="&amp;DATE(G$5,12,31))</f>
        <v/>
      </c>
      <c r="H141" s="331">
        <f>SUMIFS(DATA!$M:$M,DATA!$C:$C,$B141,DATA!$N:$N,"&gt;="&amp;DATE(H$5,1,1),DATA!$N:$N,"&lt;="&amp;DATE(H$5,12,31))</f>
        <v/>
      </c>
      <c r="I141" s="331">
        <f>SUMIFS(DATA!$M:$M,DATA!$C:$C,$B141,DATA!$N:$N,"&gt;="&amp;DATE(I$5,1,1),DATA!$N:$N,"&lt;="&amp;DATE(I$5,12,31))</f>
        <v/>
      </c>
      <c r="J141" s="332">
        <f>SUM(C141:I141)</f>
        <v/>
      </c>
      <c r="K141" s="333">
        <f>J141/$J$506</f>
        <v/>
      </c>
    </row>
    <row r="142" hidden="1" outlineLevel="1" ht="32.25" customHeight="1">
      <c r="A142" s="48" t="n">
        <v>137</v>
      </c>
      <c r="B142" s="107" t="inlineStr">
        <is>
          <t>CÔNG TY TNHH THƯƠNG MẠI KỸ THUẬT CÔNG NGHỆ ANH ĐĂNG</t>
        </is>
      </c>
      <c r="C142" s="331">
        <f>SUMIFS(DATA!$M:$M,DATA!$C:$C,$B142,DATA!$N:$N,"&gt;="&amp;DATE(C$5,1,1),DATA!$N:$N,"&lt;="&amp;DATE(C$5,12,31))</f>
        <v/>
      </c>
      <c r="D142" s="331">
        <f>SUMIFS(DATA!$M:$M,DATA!$C:$C,$B142,DATA!$N:$N,"&gt;="&amp;DATE(D$5,1,1),DATA!$N:$N,"&lt;="&amp;DATE(D$5,12,31))</f>
        <v/>
      </c>
      <c r="E142" s="331">
        <f>SUMIFS(DATA!$M:$M,DATA!$C:$C,$B142,DATA!$N:$N,"&gt;="&amp;DATE(E$5,1,1),DATA!$N:$N,"&lt;="&amp;DATE(E$5,12,31))</f>
        <v/>
      </c>
      <c r="F142" s="331">
        <f>SUMIFS(DATA!$M:$M,DATA!$C:$C,$B142,DATA!$N:$N,"&gt;="&amp;DATE(F$5,1,1),DATA!$N:$N,"&lt;="&amp;DATE(F$5,12,31))</f>
        <v/>
      </c>
      <c r="G142" s="331">
        <f>SUMIFS(DATA!$M:$M,DATA!$C:$C,$B142,DATA!$N:$N,"&gt;="&amp;DATE(G$5,1,1),DATA!$N:$N,"&lt;="&amp;DATE(G$5,12,31))</f>
        <v/>
      </c>
      <c r="H142" s="331">
        <f>SUMIFS(DATA!$M:$M,DATA!$C:$C,$B142,DATA!$N:$N,"&gt;="&amp;DATE(H$5,1,1),DATA!$N:$N,"&lt;="&amp;DATE(H$5,12,31))</f>
        <v/>
      </c>
      <c r="I142" s="331">
        <f>SUMIFS(DATA!$M:$M,DATA!$C:$C,$B142,DATA!$N:$N,"&gt;="&amp;DATE(I$5,1,1),DATA!$N:$N,"&lt;="&amp;DATE(I$5,12,31))</f>
        <v/>
      </c>
      <c r="J142" s="332">
        <f>SUM(C142:I142)</f>
        <v/>
      </c>
      <c r="K142" s="333">
        <f>J142/$J$506</f>
        <v/>
      </c>
    </row>
    <row r="143" hidden="1" outlineLevel="1" ht="32.25" customHeight="1">
      <c r="A143" s="48" t="n">
        <v>138</v>
      </c>
      <c r="B143" s="107" t="inlineStr">
        <is>
          <t>WISTRON INFOCOMM (VIET NAM) CO., LTD</t>
        </is>
      </c>
      <c r="C143" s="331">
        <f>SUMIFS(DATA!$M:$M,DATA!$C:$C,$B143,DATA!$N:$N,"&gt;="&amp;DATE(C$5,1,1),DATA!$N:$N,"&lt;="&amp;DATE(C$5,12,31))</f>
        <v/>
      </c>
      <c r="D143" s="331">
        <f>SUMIFS(DATA!$M:$M,DATA!$C:$C,$B143,DATA!$N:$N,"&gt;="&amp;DATE(D$5,1,1),DATA!$N:$N,"&lt;="&amp;DATE(D$5,12,31))</f>
        <v/>
      </c>
      <c r="E143" s="331">
        <f>SUMIFS(DATA!$M:$M,DATA!$C:$C,$B143,DATA!$N:$N,"&gt;="&amp;DATE(E$5,1,1),DATA!$N:$N,"&lt;="&amp;DATE(E$5,12,31))</f>
        <v/>
      </c>
      <c r="F143" s="331">
        <f>SUMIFS(DATA!$M:$M,DATA!$C:$C,$B143,DATA!$N:$N,"&gt;="&amp;DATE(F$5,1,1),DATA!$N:$N,"&lt;="&amp;DATE(F$5,12,31))</f>
        <v/>
      </c>
      <c r="G143" s="331">
        <f>SUMIFS(DATA!$M:$M,DATA!$C:$C,$B143,DATA!$N:$N,"&gt;="&amp;DATE(G$5,1,1),DATA!$N:$N,"&lt;="&amp;DATE(G$5,12,31))</f>
        <v/>
      </c>
      <c r="H143" s="331">
        <f>SUMIFS(DATA!$M:$M,DATA!$C:$C,$B143,DATA!$N:$N,"&gt;="&amp;DATE(H$5,1,1),DATA!$N:$N,"&lt;="&amp;DATE(H$5,12,31))</f>
        <v/>
      </c>
      <c r="I143" s="331">
        <f>SUMIFS(DATA!$M:$M,DATA!$C:$C,$B143,DATA!$N:$N,"&gt;="&amp;DATE(I$5,1,1),DATA!$N:$N,"&lt;="&amp;DATE(I$5,12,31))</f>
        <v/>
      </c>
      <c r="J143" s="332">
        <f>SUM(C143:I143)</f>
        <v/>
      </c>
      <c r="K143" s="333">
        <f>J143/$J$506</f>
        <v/>
      </c>
    </row>
    <row r="144" hidden="1" outlineLevel="1" ht="32.25" customHeight="1">
      <c r="A144" s="48" t="n">
        <v>139</v>
      </c>
      <c r="B144" s="107" t="inlineStr">
        <is>
          <t>AMERICAN COMMUNITY ASSOCIATION</t>
        </is>
      </c>
      <c r="C144" s="331">
        <f>SUMIFS(DATA!$M:$M,DATA!$C:$C,$B144,DATA!$N:$N,"&gt;="&amp;DATE(C$5,1,1),DATA!$N:$N,"&lt;="&amp;DATE(C$5,12,31))</f>
        <v/>
      </c>
      <c r="D144" s="331">
        <f>SUMIFS(DATA!$M:$M,DATA!$C:$C,$B144,DATA!$N:$N,"&gt;="&amp;DATE(D$5,1,1),DATA!$N:$N,"&lt;="&amp;DATE(D$5,12,31))</f>
        <v/>
      </c>
      <c r="E144" s="331">
        <f>SUMIFS(DATA!$M:$M,DATA!$C:$C,$B144,DATA!$N:$N,"&gt;="&amp;DATE(E$5,1,1),DATA!$N:$N,"&lt;="&amp;DATE(E$5,12,31))</f>
        <v/>
      </c>
      <c r="F144" s="331">
        <f>SUMIFS(DATA!$M:$M,DATA!$C:$C,$B144,DATA!$N:$N,"&gt;="&amp;DATE(F$5,1,1),DATA!$N:$N,"&lt;="&amp;DATE(F$5,12,31))</f>
        <v/>
      </c>
      <c r="G144" s="331">
        <f>SUMIFS(DATA!$M:$M,DATA!$C:$C,$B144,DATA!$N:$N,"&gt;="&amp;DATE(G$5,1,1),DATA!$N:$N,"&lt;="&amp;DATE(G$5,12,31))</f>
        <v/>
      </c>
      <c r="H144" s="331">
        <f>SUMIFS(DATA!$M:$M,DATA!$C:$C,$B144,DATA!$N:$N,"&gt;="&amp;DATE(H$5,1,1),DATA!$N:$N,"&lt;="&amp;DATE(H$5,12,31))</f>
        <v/>
      </c>
      <c r="I144" s="331">
        <f>SUMIFS(DATA!$M:$M,DATA!$C:$C,$B144,DATA!$N:$N,"&gt;="&amp;DATE(I$5,1,1),DATA!$N:$N,"&lt;="&amp;DATE(I$5,12,31))</f>
        <v/>
      </c>
      <c r="J144" s="332">
        <f>SUM(C144:I144)</f>
        <v/>
      </c>
      <c r="K144" s="333">
        <f>J144/$J$506</f>
        <v/>
      </c>
    </row>
    <row r="145" hidden="1" outlineLevel="1" ht="32.25" customHeight="1">
      <c r="A145" s="48" t="n">
        <v>140</v>
      </c>
      <c r="B145" s="107" t="inlineStr">
        <is>
          <t>BAN QUẢN TRỊ KHU CĂN HỘ INDOCHINA PLAZA HÀ NỘI</t>
        </is>
      </c>
      <c r="C145" s="331">
        <f>SUMIFS(DATA!$M:$M,DATA!$C:$C,$B145,DATA!$N:$N,"&gt;="&amp;DATE(C$5,1,1),DATA!$N:$N,"&lt;="&amp;DATE(C$5,12,31))</f>
        <v/>
      </c>
      <c r="D145" s="331">
        <f>SUMIFS(DATA!$M:$M,DATA!$C:$C,$B145,DATA!$N:$N,"&gt;="&amp;DATE(D$5,1,1),DATA!$N:$N,"&lt;="&amp;DATE(D$5,12,31))</f>
        <v/>
      </c>
      <c r="E145" s="331">
        <f>SUMIFS(DATA!$M:$M,DATA!$C:$C,$B145,DATA!$N:$N,"&gt;="&amp;DATE(E$5,1,1),DATA!$N:$N,"&lt;="&amp;DATE(E$5,12,31))</f>
        <v/>
      </c>
      <c r="F145" s="331">
        <f>SUMIFS(DATA!$M:$M,DATA!$C:$C,$B145,DATA!$N:$N,"&gt;="&amp;DATE(F$5,1,1),DATA!$N:$N,"&lt;="&amp;DATE(F$5,12,31))</f>
        <v/>
      </c>
      <c r="G145" s="331">
        <f>SUMIFS(DATA!$M:$M,DATA!$C:$C,$B145,DATA!$N:$N,"&gt;="&amp;DATE(G$5,1,1),DATA!$N:$N,"&lt;="&amp;DATE(G$5,12,31))</f>
        <v/>
      </c>
      <c r="H145" s="331">
        <f>SUMIFS(DATA!$M:$M,DATA!$C:$C,$B145,DATA!$N:$N,"&gt;="&amp;DATE(H$5,1,1),DATA!$N:$N,"&lt;="&amp;DATE(H$5,12,31))</f>
        <v/>
      </c>
      <c r="I145" s="331">
        <f>SUMIFS(DATA!$M:$M,DATA!$C:$C,$B145,DATA!$N:$N,"&gt;="&amp;DATE(I$5,1,1),DATA!$N:$N,"&lt;="&amp;DATE(I$5,12,31))</f>
        <v/>
      </c>
      <c r="J145" s="332">
        <f>SUM(C145:I145)</f>
        <v/>
      </c>
      <c r="K145" s="333">
        <f>J145/$J$506</f>
        <v/>
      </c>
    </row>
    <row r="146" hidden="1" outlineLevel="1" ht="32.25" customHeight="1">
      <c r="A146" s="48" t="n">
        <v>141</v>
      </c>
      <c r="B146" s="107" t="inlineStr">
        <is>
          <t>FAMILLE HANAM</t>
        </is>
      </c>
      <c r="C146" s="331">
        <f>SUMIFS(DATA!$M:$M,DATA!$C:$C,$B146,DATA!$N:$N,"&gt;="&amp;DATE(C$5,1,1),DATA!$N:$N,"&lt;="&amp;DATE(C$5,12,31))</f>
        <v/>
      </c>
      <c r="D146" s="331">
        <f>SUMIFS(DATA!$M:$M,DATA!$C:$C,$B146,DATA!$N:$N,"&gt;="&amp;DATE(D$5,1,1),DATA!$N:$N,"&lt;="&amp;DATE(D$5,12,31))</f>
        <v/>
      </c>
      <c r="E146" s="331">
        <f>SUMIFS(DATA!$M:$M,DATA!$C:$C,$B146,DATA!$N:$N,"&gt;="&amp;DATE(E$5,1,1),DATA!$N:$N,"&lt;="&amp;DATE(E$5,12,31))</f>
        <v/>
      </c>
      <c r="F146" s="331">
        <f>SUMIFS(DATA!$M:$M,DATA!$C:$C,$B146,DATA!$N:$N,"&gt;="&amp;DATE(F$5,1,1),DATA!$N:$N,"&lt;="&amp;DATE(F$5,12,31))</f>
        <v/>
      </c>
      <c r="G146" s="331">
        <f>SUMIFS(DATA!$M:$M,DATA!$C:$C,$B146,DATA!$N:$N,"&gt;="&amp;DATE(G$5,1,1),DATA!$N:$N,"&lt;="&amp;DATE(G$5,12,31))</f>
        <v/>
      </c>
      <c r="H146" s="331">
        <f>SUMIFS(DATA!$M:$M,DATA!$C:$C,$B146,DATA!$N:$N,"&gt;="&amp;DATE(H$5,1,1),DATA!$N:$N,"&lt;="&amp;DATE(H$5,12,31))</f>
        <v/>
      </c>
      <c r="I146" s="331">
        <f>SUMIFS(DATA!$M:$M,DATA!$C:$C,$B146,DATA!$N:$N,"&gt;="&amp;DATE(I$5,1,1),DATA!$N:$N,"&lt;="&amp;DATE(I$5,12,31))</f>
        <v/>
      </c>
      <c r="J146" s="332">
        <f>SUM(C146:I146)</f>
        <v/>
      </c>
      <c r="K146" s="333">
        <f>J146/$J$506</f>
        <v/>
      </c>
    </row>
    <row r="147" hidden="1" outlineLevel="1" ht="32.25" customHeight="1">
      <c r="A147" s="48" t="n">
        <v>142</v>
      </c>
      <c r="B147" s="107" t="inlineStr">
        <is>
          <t>MR.TOÀN</t>
        </is>
      </c>
      <c r="C147" s="331">
        <f>SUMIFS(DATA!$M:$M,DATA!$C:$C,$B147,DATA!$N:$N,"&gt;="&amp;DATE(C$5,1,1),DATA!$N:$N,"&lt;="&amp;DATE(C$5,12,31))</f>
        <v/>
      </c>
      <c r="D147" s="331">
        <f>SUMIFS(DATA!$M:$M,DATA!$C:$C,$B147,DATA!$N:$N,"&gt;="&amp;DATE(D$5,1,1),DATA!$N:$N,"&lt;="&amp;DATE(D$5,12,31))</f>
        <v/>
      </c>
      <c r="E147" s="331">
        <f>SUMIFS(DATA!$M:$M,DATA!$C:$C,$B147,DATA!$N:$N,"&gt;="&amp;DATE(E$5,1,1),DATA!$N:$N,"&lt;="&amp;DATE(E$5,12,31))</f>
        <v/>
      </c>
      <c r="F147" s="331">
        <f>SUMIFS(DATA!$M:$M,DATA!$C:$C,$B147,DATA!$N:$N,"&gt;="&amp;DATE(F$5,1,1),DATA!$N:$N,"&lt;="&amp;DATE(F$5,12,31))</f>
        <v/>
      </c>
      <c r="G147" s="331">
        <f>SUMIFS(DATA!$M:$M,DATA!$C:$C,$B147,DATA!$N:$N,"&gt;="&amp;DATE(G$5,1,1),DATA!$N:$N,"&lt;="&amp;DATE(G$5,12,31))</f>
        <v/>
      </c>
      <c r="H147" s="331">
        <f>SUMIFS(DATA!$M:$M,DATA!$C:$C,$B147,DATA!$N:$N,"&gt;="&amp;DATE(H$5,1,1),DATA!$N:$N,"&lt;="&amp;DATE(H$5,12,31))</f>
        <v/>
      </c>
      <c r="I147" s="331">
        <f>SUMIFS(DATA!$M:$M,DATA!$C:$C,$B147,DATA!$N:$N,"&gt;="&amp;DATE(I$5,1,1),DATA!$N:$N,"&lt;="&amp;DATE(I$5,12,31))</f>
        <v/>
      </c>
      <c r="J147" s="332">
        <f>SUM(C147:I147)</f>
        <v/>
      </c>
      <c r="K147" s="333">
        <f>J147/$J$506</f>
        <v/>
      </c>
    </row>
    <row r="148" hidden="1" outlineLevel="1" ht="32.25" customHeight="1">
      <c r="A148" s="48" t="n">
        <v>143</v>
      </c>
      <c r="B148" s="107" t="inlineStr">
        <is>
          <t>Mr. Toàn - Hoàng Thạch</t>
        </is>
      </c>
      <c r="C148" s="331">
        <f>SUMIFS(DATA!$M:$M,DATA!$C:$C,$B148,DATA!$N:$N,"&gt;="&amp;DATE(C$5,1,1),DATA!$N:$N,"&lt;="&amp;DATE(C$5,12,31))</f>
        <v/>
      </c>
      <c r="D148" s="331">
        <f>SUMIFS(DATA!$M:$M,DATA!$C:$C,$B148,DATA!$N:$N,"&gt;="&amp;DATE(D$5,1,1),DATA!$N:$N,"&lt;="&amp;DATE(D$5,12,31))</f>
        <v/>
      </c>
      <c r="E148" s="331">
        <f>SUMIFS(DATA!$M:$M,DATA!$C:$C,$B148,DATA!$N:$N,"&gt;="&amp;DATE(E$5,1,1),DATA!$N:$N,"&lt;="&amp;DATE(E$5,12,31))</f>
        <v/>
      </c>
      <c r="F148" s="331">
        <f>SUMIFS(DATA!$M:$M,DATA!$C:$C,$B148,DATA!$N:$N,"&gt;="&amp;DATE(F$5,1,1),DATA!$N:$N,"&lt;="&amp;DATE(F$5,12,31))</f>
        <v/>
      </c>
      <c r="G148" s="331">
        <f>SUMIFS(DATA!$M:$M,DATA!$C:$C,$B148,DATA!$N:$N,"&gt;="&amp;DATE(G$5,1,1),DATA!$N:$N,"&lt;="&amp;DATE(G$5,12,31))</f>
        <v/>
      </c>
      <c r="H148" s="331">
        <f>SUMIFS(DATA!$M:$M,DATA!$C:$C,$B148,DATA!$N:$N,"&gt;="&amp;DATE(H$5,1,1),DATA!$N:$N,"&lt;="&amp;DATE(H$5,12,31))</f>
        <v/>
      </c>
      <c r="I148" s="331">
        <f>SUMIFS(DATA!$M:$M,DATA!$C:$C,$B148,DATA!$N:$N,"&gt;="&amp;DATE(I$5,1,1),DATA!$N:$N,"&lt;="&amp;DATE(I$5,12,31))</f>
        <v/>
      </c>
      <c r="J148" s="332">
        <f>SUM(C148:I148)</f>
        <v/>
      </c>
      <c r="K148" s="333">
        <f>J148/$J$506</f>
        <v/>
      </c>
    </row>
    <row r="149" hidden="1" outlineLevel="1" ht="32.25" customHeight="1">
      <c r="A149" s="48" t="n">
        <v>144</v>
      </c>
      <c r="B149" s="107" t="inlineStr">
        <is>
          <t>OSAWA VIỆT NAM</t>
        </is>
      </c>
      <c r="C149" s="331">
        <f>SUMIFS(DATA!$M:$M,DATA!$C:$C,$B149,DATA!$N:$N,"&gt;="&amp;DATE(C$5,1,1),DATA!$N:$N,"&lt;="&amp;DATE(C$5,12,31))</f>
        <v/>
      </c>
      <c r="D149" s="331">
        <f>SUMIFS(DATA!$M:$M,DATA!$C:$C,$B149,DATA!$N:$N,"&gt;="&amp;DATE(D$5,1,1),DATA!$N:$N,"&lt;="&amp;DATE(D$5,12,31))</f>
        <v/>
      </c>
      <c r="E149" s="331">
        <f>SUMIFS(DATA!$M:$M,DATA!$C:$C,$B149,DATA!$N:$N,"&gt;="&amp;DATE(E$5,1,1),DATA!$N:$N,"&lt;="&amp;DATE(E$5,12,31))</f>
        <v/>
      </c>
      <c r="F149" s="331">
        <f>SUMIFS(DATA!$M:$M,DATA!$C:$C,$B149,DATA!$N:$N,"&gt;="&amp;DATE(F$5,1,1),DATA!$N:$N,"&lt;="&amp;DATE(F$5,12,31))</f>
        <v/>
      </c>
      <c r="G149" s="331">
        <f>SUMIFS(DATA!$M:$M,DATA!$C:$C,$B149,DATA!$N:$N,"&gt;="&amp;DATE(G$5,1,1),DATA!$N:$N,"&lt;="&amp;DATE(G$5,12,31))</f>
        <v/>
      </c>
      <c r="H149" s="331">
        <f>SUMIFS(DATA!$M:$M,DATA!$C:$C,$B149,DATA!$N:$N,"&gt;="&amp;DATE(H$5,1,1),DATA!$N:$N,"&lt;="&amp;DATE(H$5,12,31))</f>
        <v/>
      </c>
      <c r="I149" s="331">
        <f>SUMIFS(DATA!$M:$M,DATA!$C:$C,$B149,DATA!$N:$N,"&gt;="&amp;DATE(I$5,1,1),DATA!$N:$N,"&lt;="&amp;DATE(I$5,12,31))</f>
        <v/>
      </c>
      <c r="J149" s="332">
        <f>SUM(C149:I149)</f>
        <v/>
      </c>
      <c r="K149" s="333">
        <f>J149/$J$506</f>
        <v/>
      </c>
    </row>
    <row r="150" hidden="1" outlineLevel="1" ht="32.25" customHeight="1">
      <c r="A150" s="48" t="n">
        <v>145</v>
      </c>
      <c r="B150" s="107" t="inlineStr">
        <is>
          <t>PARK KIARA</t>
        </is>
      </c>
      <c r="C150" s="331">
        <f>SUMIFS(DATA!$M:$M,DATA!$C:$C,$B150,DATA!$N:$N,"&gt;="&amp;DATE(C$5,1,1),DATA!$N:$N,"&lt;="&amp;DATE(C$5,12,31))</f>
        <v/>
      </c>
      <c r="D150" s="331">
        <f>SUMIFS(DATA!$M:$M,DATA!$C:$C,$B150,DATA!$N:$N,"&gt;="&amp;DATE(D$5,1,1),DATA!$N:$N,"&lt;="&amp;DATE(D$5,12,31))</f>
        <v/>
      </c>
      <c r="E150" s="331">
        <f>SUMIFS(DATA!$M:$M,DATA!$C:$C,$B150,DATA!$N:$N,"&gt;="&amp;DATE(E$5,1,1),DATA!$N:$N,"&lt;="&amp;DATE(E$5,12,31))</f>
        <v/>
      </c>
      <c r="F150" s="331">
        <f>SUMIFS(DATA!$M:$M,DATA!$C:$C,$B150,DATA!$N:$N,"&gt;="&amp;DATE(F$5,1,1),DATA!$N:$N,"&lt;="&amp;DATE(F$5,12,31))</f>
        <v/>
      </c>
      <c r="G150" s="331">
        <f>SUMIFS(DATA!$M:$M,DATA!$C:$C,$B150,DATA!$N:$N,"&gt;="&amp;DATE(G$5,1,1),DATA!$N:$N,"&lt;="&amp;DATE(G$5,12,31))</f>
        <v/>
      </c>
      <c r="H150" s="331">
        <f>SUMIFS(DATA!$M:$M,DATA!$C:$C,$B150,DATA!$N:$N,"&gt;="&amp;DATE(H$5,1,1),DATA!$N:$N,"&lt;="&amp;DATE(H$5,12,31))</f>
        <v/>
      </c>
      <c r="I150" s="331">
        <f>SUMIFS(DATA!$M:$M,DATA!$C:$C,$B150,DATA!$N:$N,"&gt;="&amp;DATE(I$5,1,1),DATA!$N:$N,"&lt;="&amp;DATE(I$5,12,31))</f>
        <v/>
      </c>
      <c r="J150" s="332">
        <f>SUM(C150:I150)</f>
        <v/>
      </c>
      <c r="K150" s="333">
        <f>J150/$J$506</f>
        <v/>
      </c>
    </row>
    <row r="151" hidden="1" outlineLevel="1" ht="32.25" customHeight="1">
      <c r="A151" s="48" t="n">
        <v>146</v>
      </c>
      <c r="B151" s="107" t="inlineStr">
        <is>
          <t>SUNSHINE CITY</t>
        </is>
      </c>
      <c r="C151" s="331">
        <f>SUMIFS(DATA!$M:$M,DATA!$C:$C,$B151,DATA!$N:$N,"&gt;="&amp;DATE(C$5,1,1),DATA!$N:$N,"&lt;="&amp;DATE(C$5,12,31))</f>
        <v/>
      </c>
      <c r="D151" s="331">
        <f>SUMIFS(DATA!$M:$M,DATA!$C:$C,$B151,DATA!$N:$N,"&gt;="&amp;DATE(D$5,1,1),DATA!$N:$N,"&lt;="&amp;DATE(D$5,12,31))</f>
        <v/>
      </c>
      <c r="E151" s="331">
        <f>SUMIFS(DATA!$M:$M,DATA!$C:$C,$B151,DATA!$N:$N,"&gt;="&amp;DATE(E$5,1,1),DATA!$N:$N,"&lt;="&amp;DATE(E$5,12,31))</f>
        <v/>
      </c>
      <c r="F151" s="331">
        <f>SUMIFS(DATA!$M:$M,DATA!$C:$C,$B151,DATA!$N:$N,"&gt;="&amp;DATE(F$5,1,1),DATA!$N:$N,"&lt;="&amp;DATE(F$5,12,31))</f>
        <v/>
      </c>
      <c r="G151" s="331">
        <f>SUMIFS(DATA!$M:$M,DATA!$C:$C,$B151,DATA!$N:$N,"&gt;="&amp;DATE(G$5,1,1),DATA!$N:$N,"&lt;="&amp;DATE(G$5,12,31))</f>
        <v/>
      </c>
      <c r="H151" s="331">
        <f>SUMIFS(DATA!$M:$M,DATA!$C:$C,$B151,DATA!$N:$N,"&gt;="&amp;DATE(H$5,1,1),DATA!$N:$N,"&lt;="&amp;DATE(H$5,12,31))</f>
        <v/>
      </c>
      <c r="I151" s="331">
        <f>SUMIFS(DATA!$M:$M,DATA!$C:$C,$B151,DATA!$N:$N,"&gt;="&amp;DATE(I$5,1,1),DATA!$N:$N,"&lt;="&amp;DATE(I$5,12,31))</f>
        <v/>
      </c>
      <c r="J151" s="332">
        <f>SUM(C151:I151)</f>
        <v/>
      </c>
      <c r="K151" s="333">
        <f>J151/$J$506</f>
        <v/>
      </c>
    </row>
    <row r="152" hidden="1" outlineLevel="1" ht="32.25" customHeight="1">
      <c r="A152" s="48" t="n">
        <v>147</v>
      </c>
      <c r="B152" s="107" t="inlineStr">
        <is>
          <t>SECURE CONSTRUCT LTD</t>
        </is>
      </c>
      <c r="C152" s="331">
        <f>SUMIFS(DATA!$M:$M,DATA!$C:$C,$B152,DATA!$N:$N,"&gt;="&amp;DATE(C$5,1,1),DATA!$N:$N,"&lt;="&amp;DATE(C$5,12,31))</f>
        <v/>
      </c>
      <c r="D152" s="331">
        <f>SUMIFS(DATA!$M:$M,DATA!$C:$C,$B152,DATA!$N:$N,"&gt;="&amp;DATE(D$5,1,1),DATA!$N:$N,"&lt;="&amp;DATE(D$5,12,31))</f>
        <v/>
      </c>
      <c r="E152" s="331">
        <f>SUMIFS(DATA!$M:$M,DATA!$C:$C,$B152,DATA!$N:$N,"&gt;="&amp;DATE(E$5,1,1),DATA!$N:$N,"&lt;="&amp;DATE(E$5,12,31))</f>
        <v/>
      </c>
      <c r="F152" s="331">
        <f>SUMIFS(DATA!$M:$M,DATA!$C:$C,$B152,DATA!$N:$N,"&gt;="&amp;DATE(F$5,1,1),DATA!$N:$N,"&lt;="&amp;DATE(F$5,12,31))</f>
        <v/>
      </c>
      <c r="G152" s="331">
        <f>SUMIFS(DATA!$M:$M,DATA!$C:$C,$B152,DATA!$N:$N,"&gt;="&amp;DATE(G$5,1,1),DATA!$N:$N,"&lt;="&amp;DATE(G$5,12,31))</f>
        <v/>
      </c>
      <c r="H152" s="331">
        <f>SUMIFS(DATA!$M:$M,DATA!$C:$C,$B152,DATA!$N:$N,"&gt;="&amp;DATE(H$5,1,1),DATA!$N:$N,"&lt;="&amp;DATE(H$5,12,31))</f>
        <v/>
      </c>
      <c r="I152" s="331">
        <f>SUMIFS(DATA!$M:$M,DATA!$C:$C,$B152,DATA!$N:$N,"&gt;="&amp;DATE(I$5,1,1),DATA!$N:$N,"&lt;="&amp;DATE(I$5,12,31))</f>
        <v/>
      </c>
      <c r="J152" s="332">
        <f>SUM(C152:I152)</f>
        <v/>
      </c>
      <c r="K152" s="333">
        <f>J152/$J$506</f>
        <v/>
      </c>
    </row>
    <row r="153" hidden="1" outlineLevel="1" ht="32.25" customHeight="1">
      <c r="A153" s="48" t="n">
        <v>148</v>
      </c>
      <c r="B153" s="107" t="inlineStr">
        <is>
          <t>AEONMALL LONG BIÊN</t>
        </is>
      </c>
      <c r="C153" s="331">
        <f>SUMIFS(DATA!$M:$M,DATA!$C:$C,$B153,DATA!$N:$N,"&gt;="&amp;DATE(C$5,1,1),DATA!$N:$N,"&lt;="&amp;DATE(C$5,12,31))</f>
        <v/>
      </c>
      <c r="D153" s="331">
        <f>SUMIFS(DATA!$M:$M,DATA!$C:$C,$B153,DATA!$N:$N,"&gt;="&amp;DATE(D$5,1,1),DATA!$N:$N,"&lt;="&amp;DATE(D$5,12,31))</f>
        <v/>
      </c>
      <c r="E153" s="331">
        <f>SUMIFS(DATA!$M:$M,DATA!$C:$C,$B153,DATA!$N:$N,"&gt;="&amp;DATE(E$5,1,1),DATA!$N:$N,"&lt;="&amp;DATE(E$5,12,31))</f>
        <v/>
      </c>
      <c r="F153" s="331">
        <f>SUMIFS(DATA!$M:$M,DATA!$C:$C,$B153,DATA!$N:$N,"&gt;="&amp;DATE(F$5,1,1),DATA!$N:$N,"&lt;="&amp;DATE(F$5,12,31))</f>
        <v/>
      </c>
      <c r="G153" s="331">
        <f>SUMIFS(DATA!$M:$M,DATA!$C:$C,$B153,DATA!$N:$N,"&gt;="&amp;DATE(G$5,1,1),DATA!$N:$N,"&lt;="&amp;DATE(G$5,12,31))</f>
        <v/>
      </c>
      <c r="H153" s="331">
        <f>SUMIFS(DATA!$M:$M,DATA!$C:$C,$B153,DATA!$N:$N,"&gt;="&amp;DATE(H$5,1,1),DATA!$N:$N,"&lt;="&amp;DATE(H$5,12,31))</f>
        <v/>
      </c>
      <c r="I153" s="331">
        <f>SUMIFS(DATA!$M:$M,DATA!$C:$C,$B153,DATA!$N:$N,"&gt;="&amp;DATE(I$5,1,1),DATA!$N:$N,"&lt;="&amp;DATE(I$5,12,31))</f>
        <v/>
      </c>
      <c r="J153" s="332">
        <f>SUM(C153:I153)</f>
        <v/>
      </c>
      <c r="K153" s="333">
        <f>J153/$J$506</f>
        <v/>
      </c>
    </row>
    <row r="154" hidden="1" outlineLevel="1" ht="32.25" customHeight="1">
      <c r="A154" s="48" t="n">
        <v>149</v>
      </c>
      <c r="B154" s="107" t="inlineStr">
        <is>
          <t>YÊN HÒA PARK VIEW</t>
        </is>
      </c>
      <c r="C154" s="331">
        <f>SUMIFS(DATA!$M:$M,DATA!$C:$C,$B154,DATA!$N:$N,"&gt;="&amp;DATE(C$5,1,1),DATA!$N:$N,"&lt;="&amp;DATE(C$5,12,31))</f>
        <v/>
      </c>
      <c r="D154" s="331">
        <f>SUMIFS(DATA!$M:$M,DATA!$C:$C,$B154,DATA!$N:$N,"&gt;="&amp;DATE(D$5,1,1),DATA!$N:$N,"&lt;="&amp;DATE(D$5,12,31))</f>
        <v/>
      </c>
      <c r="E154" s="331">
        <f>SUMIFS(DATA!$M:$M,DATA!$C:$C,$B154,DATA!$N:$N,"&gt;="&amp;DATE(E$5,1,1),DATA!$N:$N,"&lt;="&amp;DATE(E$5,12,31))</f>
        <v/>
      </c>
      <c r="F154" s="331">
        <f>SUMIFS(DATA!$M:$M,DATA!$C:$C,$B154,DATA!$N:$N,"&gt;="&amp;DATE(F$5,1,1),DATA!$N:$N,"&lt;="&amp;DATE(F$5,12,31))</f>
        <v/>
      </c>
      <c r="G154" s="331">
        <f>SUMIFS(DATA!$M:$M,DATA!$C:$C,$B154,DATA!$N:$N,"&gt;="&amp;DATE(G$5,1,1),DATA!$N:$N,"&lt;="&amp;DATE(G$5,12,31))</f>
        <v/>
      </c>
      <c r="H154" s="331">
        <f>SUMIFS(DATA!$M:$M,DATA!$C:$C,$B154,DATA!$N:$N,"&gt;="&amp;DATE(H$5,1,1),DATA!$N:$N,"&lt;="&amp;DATE(H$5,12,31))</f>
        <v/>
      </c>
      <c r="I154" s="331">
        <f>SUMIFS(DATA!$M:$M,DATA!$C:$C,$B154,DATA!$N:$N,"&gt;="&amp;DATE(I$5,1,1),DATA!$N:$N,"&lt;="&amp;DATE(I$5,12,31))</f>
        <v/>
      </c>
      <c r="J154" s="332">
        <f>SUM(C154:I154)</f>
        <v/>
      </c>
      <c r="K154" s="333">
        <f>J154/$J$506</f>
        <v/>
      </c>
    </row>
    <row r="155" hidden="1" outlineLevel="1" ht="32.25" customHeight="1">
      <c r="A155" s="48" t="n">
        <v>150</v>
      </c>
      <c r="B155" s="107" t="inlineStr">
        <is>
          <t>BAN QUẢN TRỊ NHÀ CHUNG CƯ GELEXIMCO - SOURTHERN STAR PHƯỜNG GIÁP BÁT</t>
        </is>
      </c>
      <c r="C155" s="331">
        <f>SUMIFS(DATA!$M:$M,DATA!$C:$C,$B155,DATA!$N:$N,"&gt;="&amp;DATE(C$5,1,1),DATA!$N:$N,"&lt;="&amp;DATE(C$5,12,31))</f>
        <v/>
      </c>
      <c r="D155" s="331">
        <f>SUMIFS(DATA!$M:$M,DATA!$C:$C,$B155,DATA!$N:$N,"&gt;="&amp;DATE(D$5,1,1),DATA!$N:$N,"&lt;="&amp;DATE(D$5,12,31))</f>
        <v/>
      </c>
      <c r="E155" s="331">
        <f>SUMIFS(DATA!$M:$M,DATA!$C:$C,$B155,DATA!$N:$N,"&gt;="&amp;DATE(E$5,1,1),DATA!$N:$N,"&lt;="&amp;DATE(E$5,12,31))</f>
        <v/>
      </c>
      <c r="F155" s="331">
        <f>SUMIFS(DATA!$M:$M,DATA!$C:$C,$B155,DATA!$N:$N,"&gt;="&amp;DATE(F$5,1,1),DATA!$N:$N,"&lt;="&amp;DATE(F$5,12,31))</f>
        <v/>
      </c>
      <c r="G155" s="331">
        <f>SUMIFS(DATA!$M:$M,DATA!$C:$C,$B155,DATA!$N:$N,"&gt;="&amp;DATE(G$5,1,1),DATA!$N:$N,"&lt;="&amp;DATE(G$5,12,31))</f>
        <v/>
      </c>
      <c r="H155" s="331">
        <f>SUMIFS(DATA!$M:$M,DATA!$C:$C,$B155,DATA!$N:$N,"&gt;="&amp;DATE(H$5,1,1),DATA!$N:$N,"&lt;="&amp;DATE(H$5,12,31))</f>
        <v/>
      </c>
      <c r="I155" s="331">
        <f>SUMIFS(DATA!$M:$M,DATA!$C:$C,$B155,DATA!$N:$N,"&gt;="&amp;DATE(I$5,1,1),DATA!$N:$N,"&lt;="&amp;DATE(I$5,12,31))</f>
        <v/>
      </c>
      <c r="J155" s="332">
        <f>SUM(C155:I155)</f>
        <v/>
      </c>
      <c r="K155" s="333">
        <f>J155/$J$506</f>
        <v/>
      </c>
    </row>
    <row r="156" hidden="1" outlineLevel="1" ht="32.25" customHeight="1">
      <c r="A156" s="48" t="n">
        <v>151</v>
      </c>
      <c r="B156" s="107" t="inlineStr">
        <is>
          <t>SD VIET NAM</t>
        </is>
      </c>
      <c r="C156" s="331">
        <f>SUMIFS(DATA!$M:$M,DATA!$C:$C,$B156,DATA!$N:$N,"&gt;="&amp;DATE(C$5,1,1),DATA!$N:$N,"&lt;="&amp;DATE(C$5,12,31))</f>
        <v/>
      </c>
      <c r="D156" s="331">
        <f>SUMIFS(DATA!$M:$M,DATA!$C:$C,$B156,DATA!$N:$N,"&gt;="&amp;DATE(D$5,1,1),DATA!$N:$N,"&lt;="&amp;DATE(D$5,12,31))</f>
        <v/>
      </c>
      <c r="E156" s="331">
        <f>SUMIFS(DATA!$M:$M,DATA!$C:$C,$B156,DATA!$N:$N,"&gt;="&amp;DATE(E$5,1,1),DATA!$N:$N,"&lt;="&amp;DATE(E$5,12,31))</f>
        <v/>
      </c>
      <c r="F156" s="331">
        <f>SUMIFS(DATA!$M:$M,DATA!$C:$C,$B156,DATA!$N:$N,"&gt;="&amp;DATE(F$5,1,1),DATA!$N:$N,"&lt;="&amp;DATE(F$5,12,31))</f>
        <v/>
      </c>
      <c r="G156" s="331">
        <f>SUMIFS(DATA!$M:$M,DATA!$C:$C,$B156,DATA!$N:$N,"&gt;="&amp;DATE(G$5,1,1),DATA!$N:$N,"&lt;="&amp;DATE(G$5,12,31))</f>
        <v/>
      </c>
      <c r="H156" s="331">
        <f>SUMIFS(DATA!$M:$M,DATA!$C:$C,$B156,DATA!$N:$N,"&gt;="&amp;DATE(H$5,1,1),DATA!$N:$N,"&lt;="&amp;DATE(H$5,12,31))</f>
        <v/>
      </c>
      <c r="I156" s="331">
        <f>SUMIFS(DATA!$M:$M,DATA!$C:$C,$B156,DATA!$N:$N,"&gt;="&amp;DATE(I$5,1,1),DATA!$N:$N,"&lt;="&amp;DATE(I$5,12,31))</f>
        <v/>
      </c>
      <c r="J156" s="332">
        <f>SUM(C156:I156)</f>
        <v/>
      </c>
      <c r="K156" s="333">
        <f>J156/$J$506</f>
        <v/>
      </c>
    </row>
    <row r="157" hidden="1" outlineLevel="1" ht="32.25" customHeight="1">
      <c r="A157" s="48" t="n">
        <v>152</v>
      </c>
      <c r="B157" s="107" t="inlineStr">
        <is>
          <t>CÔNG TY CỔ PHẦN ĐẦU TƯ XÂY DỰNG PHÁT TRIỂN NHÀ SỐ 7 HÀ NỘI</t>
        </is>
      </c>
      <c r="C157" s="331">
        <f>SUMIFS(DATA!$M:$M,DATA!$C:$C,$B157,DATA!$N:$N,"&gt;="&amp;DATE(C$5,1,1),DATA!$N:$N,"&lt;="&amp;DATE(C$5,12,31))</f>
        <v/>
      </c>
      <c r="D157" s="331">
        <f>SUMIFS(DATA!$M:$M,DATA!$C:$C,$B157,DATA!$N:$N,"&gt;="&amp;DATE(D$5,1,1),DATA!$N:$N,"&lt;="&amp;DATE(D$5,12,31))</f>
        <v/>
      </c>
      <c r="E157" s="331">
        <f>SUMIFS(DATA!$M:$M,DATA!$C:$C,$B157,DATA!$N:$N,"&gt;="&amp;DATE(E$5,1,1),DATA!$N:$N,"&lt;="&amp;DATE(E$5,12,31))</f>
        <v/>
      </c>
      <c r="F157" s="331">
        <f>SUMIFS(DATA!$M:$M,DATA!$C:$C,$B157,DATA!$N:$N,"&gt;="&amp;DATE(F$5,1,1),DATA!$N:$N,"&lt;="&amp;DATE(F$5,12,31))</f>
        <v/>
      </c>
      <c r="G157" s="331">
        <f>SUMIFS(DATA!$M:$M,DATA!$C:$C,$B157,DATA!$N:$N,"&gt;="&amp;DATE(G$5,1,1),DATA!$N:$N,"&lt;="&amp;DATE(G$5,12,31))</f>
        <v/>
      </c>
      <c r="H157" s="331">
        <f>SUMIFS(DATA!$M:$M,DATA!$C:$C,$B157,DATA!$N:$N,"&gt;="&amp;DATE(H$5,1,1),DATA!$N:$N,"&lt;="&amp;DATE(H$5,12,31))</f>
        <v/>
      </c>
      <c r="I157" s="331">
        <f>SUMIFS(DATA!$M:$M,DATA!$C:$C,$B157,DATA!$N:$N,"&gt;="&amp;DATE(I$5,1,1),DATA!$N:$N,"&lt;="&amp;DATE(I$5,12,31))</f>
        <v/>
      </c>
      <c r="J157" s="332">
        <f>SUM(C157:I157)</f>
        <v/>
      </c>
      <c r="K157" s="333">
        <f>J157/$J$506</f>
        <v/>
      </c>
    </row>
    <row r="158" hidden="1" outlineLevel="1" ht="32.25" customHeight="1">
      <c r="A158" s="48" t="n">
        <v>153</v>
      </c>
      <c r="B158" s="107" t="inlineStr">
        <is>
          <t>MEDLATEC VIỆT NAM</t>
        </is>
      </c>
      <c r="C158" s="331">
        <f>SUMIFS(DATA!$M:$M,DATA!$C:$C,$B158,DATA!$N:$N,"&gt;="&amp;DATE(C$5,1,1),DATA!$N:$N,"&lt;="&amp;DATE(C$5,12,31))</f>
        <v/>
      </c>
      <c r="D158" s="331">
        <f>SUMIFS(DATA!$M:$M,DATA!$C:$C,$B158,DATA!$N:$N,"&gt;="&amp;DATE(D$5,1,1),DATA!$N:$N,"&lt;="&amp;DATE(D$5,12,31))</f>
        <v/>
      </c>
      <c r="E158" s="331">
        <f>SUMIFS(DATA!$M:$M,DATA!$C:$C,$B158,DATA!$N:$N,"&gt;="&amp;DATE(E$5,1,1),DATA!$N:$N,"&lt;="&amp;DATE(E$5,12,31))</f>
        <v/>
      </c>
      <c r="F158" s="331">
        <f>SUMIFS(DATA!$M:$M,DATA!$C:$C,$B158,DATA!$N:$N,"&gt;="&amp;DATE(F$5,1,1),DATA!$N:$N,"&lt;="&amp;DATE(F$5,12,31))</f>
        <v/>
      </c>
      <c r="G158" s="331">
        <f>SUMIFS(DATA!$M:$M,DATA!$C:$C,$B158,DATA!$N:$N,"&gt;="&amp;DATE(G$5,1,1),DATA!$N:$N,"&lt;="&amp;DATE(G$5,12,31))</f>
        <v/>
      </c>
      <c r="H158" s="331">
        <f>SUMIFS(DATA!$M:$M,DATA!$C:$C,$B158,DATA!$N:$N,"&gt;="&amp;DATE(H$5,1,1),DATA!$N:$N,"&lt;="&amp;DATE(H$5,12,31))</f>
        <v/>
      </c>
      <c r="I158" s="331">
        <f>SUMIFS(DATA!$M:$M,DATA!$C:$C,$B158,DATA!$N:$N,"&gt;="&amp;DATE(I$5,1,1),DATA!$N:$N,"&lt;="&amp;DATE(I$5,12,31))</f>
        <v/>
      </c>
      <c r="J158" s="332">
        <f>SUM(C158:I158)</f>
        <v/>
      </c>
      <c r="K158" s="333">
        <f>J158/$J$506</f>
        <v/>
      </c>
    </row>
    <row r="159" hidden="1" outlineLevel="1" ht="32.25" customHeight="1">
      <c r="A159" s="48" t="n">
        <v>154</v>
      </c>
      <c r="B159" s="107" t="inlineStr">
        <is>
          <t>HITC ECO DC</t>
        </is>
      </c>
      <c r="C159" s="331">
        <f>SUMIFS(DATA!$M:$M,DATA!$C:$C,$B159,DATA!$N:$N,"&gt;="&amp;DATE(C$5,1,1),DATA!$N:$N,"&lt;="&amp;DATE(C$5,12,31))</f>
        <v/>
      </c>
      <c r="D159" s="331">
        <f>SUMIFS(DATA!$M:$M,DATA!$C:$C,$B159,DATA!$N:$N,"&gt;="&amp;DATE(D$5,1,1),DATA!$N:$N,"&lt;="&amp;DATE(D$5,12,31))</f>
        <v/>
      </c>
      <c r="E159" s="331">
        <f>SUMIFS(DATA!$M:$M,DATA!$C:$C,$B159,DATA!$N:$N,"&gt;="&amp;DATE(E$5,1,1),DATA!$N:$N,"&lt;="&amp;DATE(E$5,12,31))</f>
        <v/>
      </c>
      <c r="F159" s="331">
        <f>SUMIFS(DATA!$M:$M,DATA!$C:$C,$B159,DATA!$N:$N,"&gt;="&amp;DATE(F$5,1,1),DATA!$N:$N,"&lt;="&amp;DATE(F$5,12,31))</f>
        <v/>
      </c>
      <c r="G159" s="331">
        <f>SUMIFS(DATA!$M:$M,DATA!$C:$C,$B159,DATA!$N:$N,"&gt;="&amp;DATE(G$5,1,1),DATA!$N:$N,"&lt;="&amp;DATE(G$5,12,31))</f>
        <v/>
      </c>
      <c r="H159" s="331">
        <f>SUMIFS(DATA!$M:$M,DATA!$C:$C,$B159,DATA!$N:$N,"&gt;="&amp;DATE(H$5,1,1),DATA!$N:$N,"&lt;="&amp;DATE(H$5,12,31))</f>
        <v/>
      </c>
      <c r="I159" s="331">
        <f>SUMIFS(DATA!$M:$M,DATA!$C:$C,$B159,DATA!$N:$N,"&gt;="&amp;DATE(I$5,1,1),DATA!$N:$N,"&lt;="&amp;DATE(I$5,12,31))</f>
        <v/>
      </c>
      <c r="J159" s="332">
        <f>SUM(C159:I159)</f>
        <v/>
      </c>
      <c r="K159" s="333">
        <f>J159/$J$506</f>
        <v/>
      </c>
    </row>
    <row r="160" hidden="1" outlineLevel="1" ht="32.25" customHeight="1">
      <c r="A160" s="48" t="n">
        <v>155</v>
      </c>
      <c r="B160" s="107" t="inlineStr">
        <is>
          <t>CÔNG TY CỔ PHẦN VIỄN THÔNG FPT</t>
        </is>
      </c>
      <c r="C160" s="331">
        <f>SUMIFS(DATA!$M:$M,DATA!$C:$C,$B160,DATA!$N:$N,"&gt;="&amp;DATE(C$5,1,1),DATA!$N:$N,"&lt;="&amp;DATE(C$5,12,31))</f>
        <v/>
      </c>
      <c r="D160" s="331">
        <f>SUMIFS(DATA!$M:$M,DATA!$C:$C,$B160,DATA!$N:$N,"&gt;="&amp;DATE(D$5,1,1),DATA!$N:$N,"&lt;="&amp;DATE(D$5,12,31))</f>
        <v/>
      </c>
      <c r="E160" s="331">
        <f>SUMIFS(DATA!$M:$M,DATA!$C:$C,$B160,DATA!$N:$N,"&gt;="&amp;DATE(E$5,1,1),DATA!$N:$N,"&lt;="&amp;DATE(E$5,12,31))</f>
        <v/>
      </c>
      <c r="F160" s="331">
        <f>SUMIFS(DATA!$M:$M,DATA!$C:$C,$B160,DATA!$N:$N,"&gt;="&amp;DATE(F$5,1,1),DATA!$N:$N,"&lt;="&amp;DATE(F$5,12,31))</f>
        <v/>
      </c>
      <c r="G160" s="331">
        <f>SUMIFS(DATA!$M:$M,DATA!$C:$C,$B160,DATA!$N:$N,"&gt;="&amp;DATE(G$5,1,1),DATA!$N:$N,"&lt;="&amp;DATE(G$5,12,31))</f>
        <v/>
      </c>
      <c r="H160" s="331">
        <f>SUMIFS(DATA!$M:$M,DATA!$C:$C,$B160,DATA!$N:$N,"&gt;="&amp;DATE(H$5,1,1),DATA!$N:$N,"&lt;="&amp;DATE(H$5,12,31))</f>
        <v/>
      </c>
      <c r="I160" s="331">
        <f>SUMIFS(DATA!$M:$M,DATA!$C:$C,$B160,DATA!$N:$N,"&gt;="&amp;DATE(I$5,1,1),DATA!$N:$N,"&lt;="&amp;DATE(I$5,12,31))</f>
        <v/>
      </c>
      <c r="J160" s="332">
        <f>SUM(C160:I160)</f>
        <v/>
      </c>
      <c r="K160" s="333">
        <f>J160/$J$506</f>
        <v/>
      </c>
    </row>
    <row r="161" hidden="1" outlineLevel="1" ht="32.25" customHeight="1">
      <c r="A161" s="48" t="n">
        <v>156</v>
      </c>
      <c r="B161" s="107" t="inlineStr">
        <is>
          <t>CÔNG TY TNHH TƯ VẤN  &amp; XÂY LẮP PCCC NTK</t>
        </is>
      </c>
      <c r="C161" s="331">
        <f>SUMIFS(DATA!$M:$M,DATA!$C:$C,$B161,DATA!$N:$N,"&gt;="&amp;DATE(C$5,1,1),DATA!$N:$N,"&lt;="&amp;DATE(C$5,12,31))</f>
        <v/>
      </c>
      <c r="D161" s="331">
        <f>SUMIFS(DATA!$M:$M,DATA!$C:$C,$B161,DATA!$N:$N,"&gt;="&amp;DATE(D$5,1,1),DATA!$N:$N,"&lt;="&amp;DATE(D$5,12,31))</f>
        <v/>
      </c>
      <c r="E161" s="331">
        <f>SUMIFS(DATA!$M:$M,DATA!$C:$C,$B161,DATA!$N:$N,"&gt;="&amp;DATE(E$5,1,1),DATA!$N:$N,"&lt;="&amp;DATE(E$5,12,31))</f>
        <v/>
      </c>
      <c r="F161" s="331">
        <f>SUMIFS(DATA!$M:$M,DATA!$C:$C,$B161,DATA!$N:$N,"&gt;="&amp;DATE(F$5,1,1),DATA!$N:$N,"&lt;="&amp;DATE(F$5,12,31))</f>
        <v/>
      </c>
      <c r="G161" s="331">
        <f>SUMIFS(DATA!$M:$M,DATA!$C:$C,$B161,DATA!$N:$N,"&gt;="&amp;DATE(G$5,1,1),DATA!$N:$N,"&lt;="&amp;DATE(G$5,12,31))</f>
        <v/>
      </c>
      <c r="H161" s="331">
        <f>SUMIFS(DATA!$M:$M,DATA!$C:$C,$B161,DATA!$N:$N,"&gt;="&amp;DATE(H$5,1,1),DATA!$N:$N,"&lt;="&amp;DATE(H$5,12,31))</f>
        <v/>
      </c>
      <c r="I161" s="331">
        <f>SUMIFS(DATA!$M:$M,DATA!$C:$C,$B161,DATA!$N:$N,"&gt;="&amp;DATE(I$5,1,1),DATA!$N:$N,"&lt;="&amp;DATE(I$5,12,31))</f>
        <v/>
      </c>
      <c r="J161" s="332">
        <f>SUM(C161:I161)</f>
        <v/>
      </c>
      <c r="K161" s="333">
        <f>J161/$J$506</f>
        <v/>
      </c>
    </row>
    <row r="162" hidden="1" outlineLevel="1" ht="32.25" customHeight="1">
      <c r="A162" s="48" t="n">
        <v>157</v>
      </c>
      <c r="B162" s="107" t="n"/>
      <c r="C162" s="331">
        <f>SUMIFS(DATA!$M:$M,DATA!$C:$C,$B162,DATA!$N:$N,"&gt;="&amp;DATE(C$5,1,1),DATA!$N:$N,"&lt;="&amp;DATE(C$5,12,31))</f>
        <v/>
      </c>
      <c r="D162" s="331">
        <f>SUMIFS(DATA!$M:$M,DATA!$C:$C,$B162,DATA!$N:$N,"&gt;="&amp;DATE(D$5,1,1),DATA!$N:$N,"&lt;="&amp;DATE(D$5,12,31))</f>
        <v/>
      </c>
      <c r="E162" s="331">
        <f>SUMIFS(DATA!$M:$M,DATA!$C:$C,$B162,DATA!$N:$N,"&gt;="&amp;DATE(E$5,1,1),DATA!$N:$N,"&lt;="&amp;DATE(E$5,12,31))</f>
        <v/>
      </c>
      <c r="F162" s="331">
        <f>SUMIFS(DATA!$M:$M,DATA!$C:$C,$B162,DATA!$N:$N,"&gt;="&amp;DATE(F$5,1,1),DATA!$N:$N,"&lt;="&amp;DATE(F$5,12,31))</f>
        <v/>
      </c>
      <c r="G162" s="331">
        <f>SUMIFS(DATA!$M:$M,DATA!$C:$C,$B162,DATA!$N:$N,"&gt;="&amp;DATE(G$5,1,1),DATA!$N:$N,"&lt;="&amp;DATE(G$5,12,31))</f>
        <v/>
      </c>
      <c r="H162" s="331">
        <f>SUMIFS(DATA!$M:$M,DATA!$C:$C,$B162,DATA!$N:$N,"&gt;="&amp;DATE(H$5,1,1),DATA!$N:$N,"&lt;="&amp;DATE(H$5,12,31))</f>
        <v/>
      </c>
      <c r="I162" s="331">
        <f>SUMIFS(DATA!$M:$M,DATA!$C:$C,$B162,DATA!$N:$N,"&gt;="&amp;DATE(I$5,1,1),DATA!$N:$N,"&lt;="&amp;DATE(I$5,12,31))</f>
        <v/>
      </c>
      <c r="J162" s="332">
        <f>SUM(C162:I162)</f>
        <v/>
      </c>
      <c r="K162" s="333">
        <f>J162/$J$506</f>
        <v/>
      </c>
    </row>
    <row r="163" hidden="1" outlineLevel="1" ht="32.25" customHeight="1">
      <c r="A163" s="48" t="n">
        <v>158</v>
      </c>
      <c r="B163" s="107" t="n"/>
      <c r="C163" s="331">
        <f>SUMIFS(DATA!$M:$M,DATA!$C:$C,$B163,DATA!$N:$N,"&gt;="&amp;DATE(C$5,1,1),DATA!$N:$N,"&lt;="&amp;DATE(C$5,12,31))</f>
        <v/>
      </c>
      <c r="D163" s="331">
        <f>SUMIFS(DATA!$M:$M,DATA!$C:$C,$B163,DATA!$N:$N,"&gt;="&amp;DATE(D$5,1,1),DATA!$N:$N,"&lt;="&amp;DATE(D$5,12,31))</f>
        <v/>
      </c>
      <c r="E163" s="331">
        <f>SUMIFS(DATA!$M:$M,DATA!$C:$C,$B163,DATA!$N:$N,"&gt;="&amp;DATE(E$5,1,1),DATA!$N:$N,"&lt;="&amp;DATE(E$5,12,31))</f>
        <v/>
      </c>
      <c r="F163" s="331">
        <f>SUMIFS(DATA!$M:$M,DATA!$C:$C,$B163,DATA!$N:$N,"&gt;="&amp;DATE(F$5,1,1),DATA!$N:$N,"&lt;="&amp;DATE(F$5,12,31))</f>
        <v/>
      </c>
      <c r="G163" s="331">
        <f>SUMIFS(DATA!$M:$M,DATA!$C:$C,$B163,DATA!$N:$N,"&gt;="&amp;DATE(G$5,1,1),DATA!$N:$N,"&lt;="&amp;DATE(G$5,12,31))</f>
        <v/>
      </c>
      <c r="H163" s="331">
        <f>SUMIFS(DATA!$M:$M,DATA!$C:$C,$B163,DATA!$N:$N,"&gt;="&amp;DATE(H$5,1,1),DATA!$N:$N,"&lt;="&amp;DATE(H$5,12,31))</f>
        <v/>
      </c>
      <c r="I163" s="331">
        <f>SUMIFS(DATA!$M:$M,DATA!$C:$C,$B163,DATA!$N:$N,"&gt;="&amp;DATE(I$5,1,1),DATA!$N:$N,"&lt;="&amp;DATE(I$5,12,31))</f>
        <v/>
      </c>
      <c r="J163" s="332">
        <f>SUM(C163:I163)</f>
        <v/>
      </c>
      <c r="K163" s="333">
        <f>J163/$J$506</f>
        <v/>
      </c>
    </row>
    <row r="164" hidden="1" outlineLevel="1" ht="32.25" customHeight="1">
      <c r="A164" s="48" t="n">
        <v>159</v>
      </c>
      <c r="B164" s="107" t="n"/>
      <c r="C164" s="331">
        <f>SUMIFS(DATA!$M:$M,DATA!$C:$C,$B164,DATA!$N:$N,"&gt;="&amp;DATE(C$5,1,1),DATA!$N:$N,"&lt;="&amp;DATE(C$5,12,31))</f>
        <v/>
      </c>
      <c r="D164" s="331">
        <f>SUMIFS(DATA!$M:$M,DATA!$C:$C,$B164,DATA!$N:$N,"&gt;="&amp;DATE(D$5,1,1),DATA!$N:$N,"&lt;="&amp;DATE(D$5,12,31))</f>
        <v/>
      </c>
      <c r="E164" s="331">
        <f>SUMIFS(DATA!$M:$M,DATA!$C:$C,$B164,DATA!$N:$N,"&gt;="&amp;DATE(E$5,1,1),DATA!$N:$N,"&lt;="&amp;DATE(E$5,12,31))</f>
        <v/>
      </c>
      <c r="F164" s="331">
        <f>SUMIFS(DATA!$M:$M,DATA!$C:$C,$B164,DATA!$N:$N,"&gt;="&amp;DATE(F$5,1,1),DATA!$N:$N,"&lt;="&amp;DATE(F$5,12,31))</f>
        <v/>
      </c>
      <c r="G164" s="331">
        <f>SUMIFS(DATA!$M:$M,DATA!$C:$C,$B164,DATA!$N:$N,"&gt;="&amp;DATE(G$5,1,1),DATA!$N:$N,"&lt;="&amp;DATE(G$5,12,31))</f>
        <v/>
      </c>
      <c r="H164" s="331">
        <f>SUMIFS(DATA!$M:$M,DATA!$C:$C,$B164,DATA!$N:$N,"&gt;="&amp;DATE(H$5,1,1),DATA!$N:$N,"&lt;="&amp;DATE(H$5,12,31))</f>
        <v/>
      </c>
      <c r="I164" s="331">
        <f>SUMIFS(DATA!$M:$M,DATA!$C:$C,$B164,DATA!$N:$N,"&gt;="&amp;DATE(I$5,1,1),DATA!$N:$N,"&lt;="&amp;DATE(I$5,12,31))</f>
        <v/>
      </c>
      <c r="J164" s="332">
        <f>SUM(C164:I164)</f>
        <v/>
      </c>
      <c r="K164" s="333">
        <f>J164/$J$506</f>
        <v/>
      </c>
    </row>
    <row r="165" hidden="1" outlineLevel="1" ht="32.25" customHeight="1">
      <c r="A165" s="48" t="n">
        <v>160</v>
      </c>
      <c r="B165" s="107" t="n"/>
      <c r="C165" s="331">
        <f>SUMIFS(DATA!$M:$M,DATA!$C:$C,$B165,DATA!$N:$N,"&gt;="&amp;DATE(C$5,1,1),DATA!$N:$N,"&lt;="&amp;DATE(C$5,12,31))</f>
        <v/>
      </c>
      <c r="D165" s="331">
        <f>SUMIFS(DATA!$M:$M,DATA!$C:$C,$B165,DATA!$N:$N,"&gt;="&amp;DATE(D$5,1,1),DATA!$N:$N,"&lt;="&amp;DATE(D$5,12,31))</f>
        <v/>
      </c>
      <c r="E165" s="331">
        <f>SUMIFS(DATA!$M:$M,DATA!$C:$C,$B165,DATA!$N:$N,"&gt;="&amp;DATE(E$5,1,1),DATA!$N:$N,"&lt;="&amp;DATE(E$5,12,31))</f>
        <v/>
      </c>
      <c r="F165" s="331">
        <f>SUMIFS(DATA!$M:$M,DATA!$C:$C,$B165,DATA!$N:$N,"&gt;="&amp;DATE(F$5,1,1),DATA!$N:$N,"&lt;="&amp;DATE(F$5,12,31))</f>
        <v/>
      </c>
      <c r="G165" s="331">
        <f>SUMIFS(DATA!$M:$M,DATA!$C:$C,$B165,DATA!$N:$N,"&gt;="&amp;DATE(G$5,1,1),DATA!$N:$N,"&lt;="&amp;DATE(G$5,12,31))</f>
        <v/>
      </c>
      <c r="H165" s="331">
        <f>SUMIFS(DATA!$M:$M,DATA!$C:$C,$B165,DATA!$N:$N,"&gt;="&amp;DATE(H$5,1,1),DATA!$N:$N,"&lt;="&amp;DATE(H$5,12,31))</f>
        <v/>
      </c>
      <c r="I165" s="331">
        <f>SUMIFS(DATA!$M:$M,DATA!$C:$C,$B165,DATA!$N:$N,"&gt;="&amp;DATE(I$5,1,1),DATA!$N:$N,"&lt;="&amp;DATE(I$5,12,31))</f>
        <v/>
      </c>
      <c r="J165" s="332">
        <f>SUM(C165:I165)</f>
        <v/>
      </c>
      <c r="K165" s="333">
        <f>J165/$J$506</f>
        <v/>
      </c>
    </row>
    <row r="166" hidden="1" outlineLevel="1" ht="32.25" customHeight="1">
      <c r="A166" s="48" t="n">
        <v>161</v>
      </c>
      <c r="B166" s="107" t="n"/>
      <c r="C166" s="331">
        <f>SUMIFS(DATA!$M:$M,DATA!$C:$C,$B166,DATA!$N:$N,"&gt;="&amp;DATE(C$5,1,1),DATA!$N:$N,"&lt;="&amp;DATE(C$5,12,31))</f>
        <v/>
      </c>
      <c r="D166" s="331">
        <f>SUMIFS(DATA!$M:$M,DATA!$C:$C,$B166,DATA!$N:$N,"&gt;="&amp;DATE(D$5,1,1),DATA!$N:$N,"&lt;="&amp;DATE(D$5,12,31))</f>
        <v/>
      </c>
      <c r="E166" s="331">
        <f>SUMIFS(DATA!$M:$M,DATA!$C:$C,$B166,DATA!$N:$N,"&gt;="&amp;DATE(E$5,1,1),DATA!$N:$N,"&lt;="&amp;DATE(E$5,12,31))</f>
        <v/>
      </c>
      <c r="F166" s="331">
        <f>SUMIFS(DATA!$M:$M,DATA!$C:$C,$B166,DATA!$N:$N,"&gt;="&amp;DATE(F$5,1,1),DATA!$N:$N,"&lt;="&amp;DATE(F$5,12,31))</f>
        <v/>
      </c>
      <c r="G166" s="331">
        <f>SUMIFS(DATA!$M:$M,DATA!$C:$C,$B166,DATA!$N:$N,"&gt;="&amp;DATE(G$5,1,1),DATA!$N:$N,"&lt;="&amp;DATE(G$5,12,31))</f>
        <v/>
      </c>
      <c r="H166" s="331">
        <f>SUMIFS(DATA!$M:$M,DATA!$C:$C,$B166,DATA!$N:$N,"&gt;="&amp;DATE(H$5,1,1),DATA!$N:$N,"&lt;="&amp;DATE(H$5,12,31))</f>
        <v/>
      </c>
      <c r="I166" s="331">
        <f>SUMIFS(DATA!$M:$M,DATA!$C:$C,$B166,DATA!$N:$N,"&gt;="&amp;DATE(I$5,1,1),DATA!$N:$N,"&lt;="&amp;DATE(I$5,12,31))</f>
        <v/>
      </c>
      <c r="J166" s="332">
        <f>SUM(C166:I166)</f>
        <v/>
      </c>
      <c r="K166" s="333">
        <f>J166/$J$506</f>
        <v/>
      </c>
    </row>
    <row r="167" hidden="1" outlineLevel="1" ht="32.25" customHeight="1">
      <c r="A167" s="48" t="n">
        <v>162</v>
      </c>
      <c r="B167" s="107" t="n"/>
      <c r="C167" s="331">
        <f>SUMIFS(DATA!$M:$M,DATA!$C:$C,$B167,DATA!$N:$N,"&gt;="&amp;DATE(C$5,1,1),DATA!$N:$N,"&lt;="&amp;DATE(C$5,12,31))</f>
        <v/>
      </c>
      <c r="D167" s="331">
        <f>SUMIFS(DATA!$M:$M,DATA!$C:$C,$B167,DATA!$N:$N,"&gt;="&amp;DATE(D$5,1,1),DATA!$N:$N,"&lt;="&amp;DATE(D$5,12,31))</f>
        <v/>
      </c>
      <c r="E167" s="331">
        <f>SUMIFS(DATA!$M:$M,DATA!$C:$C,$B167,DATA!$N:$N,"&gt;="&amp;DATE(E$5,1,1),DATA!$N:$N,"&lt;="&amp;DATE(E$5,12,31))</f>
        <v/>
      </c>
      <c r="F167" s="331">
        <f>SUMIFS(DATA!$M:$M,DATA!$C:$C,$B167,DATA!$N:$N,"&gt;="&amp;DATE(F$5,1,1),DATA!$N:$N,"&lt;="&amp;DATE(F$5,12,31))</f>
        <v/>
      </c>
      <c r="G167" s="331">
        <f>SUMIFS(DATA!$M:$M,DATA!$C:$C,$B167,DATA!$N:$N,"&gt;="&amp;DATE(G$5,1,1),DATA!$N:$N,"&lt;="&amp;DATE(G$5,12,31))</f>
        <v/>
      </c>
      <c r="H167" s="331">
        <f>SUMIFS(DATA!$M:$M,DATA!$C:$C,$B167,DATA!$N:$N,"&gt;="&amp;DATE(H$5,1,1),DATA!$N:$N,"&lt;="&amp;DATE(H$5,12,31))</f>
        <v/>
      </c>
      <c r="I167" s="331">
        <f>SUMIFS(DATA!$M:$M,DATA!$C:$C,$B167,DATA!$N:$N,"&gt;="&amp;DATE(I$5,1,1),DATA!$N:$N,"&lt;="&amp;DATE(I$5,12,31))</f>
        <v/>
      </c>
      <c r="J167" s="332">
        <f>SUM(C167:I167)</f>
        <v/>
      </c>
      <c r="K167" s="333">
        <f>J167/$J$506</f>
        <v/>
      </c>
    </row>
    <row r="168" hidden="1" outlineLevel="1" ht="32.25" customHeight="1">
      <c r="A168" s="48" t="n">
        <v>163</v>
      </c>
      <c r="B168" s="107" t="n"/>
      <c r="C168" s="331">
        <f>SUMIFS(DATA!$M:$M,DATA!$C:$C,$B168,DATA!$N:$N,"&gt;="&amp;DATE(C$5,1,1),DATA!$N:$N,"&lt;="&amp;DATE(C$5,12,31))</f>
        <v/>
      </c>
      <c r="D168" s="331">
        <f>SUMIFS(DATA!$M:$M,DATA!$C:$C,$B168,DATA!$N:$N,"&gt;="&amp;DATE(D$5,1,1),DATA!$N:$N,"&lt;="&amp;DATE(D$5,12,31))</f>
        <v/>
      </c>
      <c r="E168" s="331">
        <f>SUMIFS(DATA!$M:$M,DATA!$C:$C,$B168,DATA!$N:$N,"&gt;="&amp;DATE(E$5,1,1),DATA!$N:$N,"&lt;="&amp;DATE(E$5,12,31))</f>
        <v/>
      </c>
      <c r="F168" s="331">
        <f>SUMIFS(DATA!$M:$M,DATA!$C:$C,$B168,DATA!$N:$N,"&gt;="&amp;DATE(F$5,1,1),DATA!$N:$N,"&lt;="&amp;DATE(F$5,12,31))</f>
        <v/>
      </c>
      <c r="G168" s="331">
        <f>SUMIFS(DATA!$M:$M,DATA!$C:$C,$B168,DATA!$N:$N,"&gt;="&amp;DATE(G$5,1,1),DATA!$N:$N,"&lt;="&amp;DATE(G$5,12,31))</f>
        <v/>
      </c>
      <c r="H168" s="331">
        <f>SUMIFS(DATA!$M:$M,DATA!$C:$C,$B168,DATA!$N:$N,"&gt;="&amp;DATE(H$5,1,1),DATA!$N:$N,"&lt;="&amp;DATE(H$5,12,31))</f>
        <v/>
      </c>
      <c r="I168" s="331">
        <f>SUMIFS(DATA!$M:$M,DATA!$C:$C,$B168,DATA!$N:$N,"&gt;="&amp;DATE(I$5,1,1),DATA!$N:$N,"&lt;="&amp;DATE(I$5,12,31))</f>
        <v/>
      </c>
      <c r="J168" s="332">
        <f>SUM(C168:I168)</f>
        <v/>
      </c>
      <c r="K168" s="333">
        <f>J168/$J$506</f>
        <v/>
      </c>
    </row>
    <row r="169" hidden="1" outlineLevel="1" ht="32.25" customHeight="1">
      <c r="A169" s="48" t="n">
        <v>164</v>
      </c>
      <c r="B169" s="107" t="n"/>
      <c r="C169" s="331">
        <f>SUMIFS(DATA!$M:$M,DATA!$C:$C,$B169,DATA!$N:$N,"&gt;="&amp;DATE(C$5,1,1),DATA!$N:$N,"&lt;="&amp;DATE(C$5,12,31))</f>
        <v/>
      </c>
      <c r="D169" s="331">
        <f>SUMIFS(DATA!$M:$M,DATA!$C:$C,$B169,DATA!$N:$N,"&gt;="&amp;DATE(D$5,1,1),DATA!$N:$N,"&lt;="&amp;DATE(D$5,12,31))</f>
        <v/>
      </c>
      <c r="E169" s="331">
        <f>SUMIFS(DATA!$M:$M,DATA!$C:$C,$B169,DATA!$N:$N,"&gt;="&amp;DATE(E$5,1,1),DATA!$N:$N,"&lt;="&amp;DATE(E$5,12,31))</f>
        <v/>
      </c>
      <c r="F169" s="331">
        <f>SUMIFS(DATA!$M:$M,DATA!$C:$C,$B169,DATA!$N:$N,"&gt;="&amp;DATE(F$5,1,1),DATA!$N:$N,"&lt;="&amp;DATE(F$5,12,31))</f>
        <v/>
      </c>
      <c r="G169" s="331">
        <f>SUMIFS(DATA!$M:$M,DATA!$C:$C,$B169,DATA!$N:$N,"&gt;="&amp;DATE(G$5,1,1),DATA!$N:$N,"&lt;="&amp;DATE(G$5,12,31))</f>
        <v/>
      </c>
      <c r="H169" s="331">
        <f>SUMIFS(DATA!$M:$M,DATA!$C:$C,$B169,DATA!$N:$N,"&gt;="&amp;DATE(H$5,1,1),DATA!$N:$N,"&lt;="&amp;DATE(H$5,12,31))</f>
        <v/>
      </c>
      <c r="I169" s="331">
        <f>SUMIFS(DATA!$M:$M,DATA!$C:$C,$B169,DATA!$N:$N,"&gt;="&amp;DATE(I$5,1,1),DATA!$N:$N,"&lt;="&amp;DATE(I$5,12,31))</f>
        <v/>
      </c>
      <c r="J169" s="332">
        <f>SUM(C169:I169)</f>
        <v/>
      </c>
      <c r="K169" s="333">
        <f>J169/$J$506</f>
        <v/>
      </c>
    </row>
    <row r="170" hidden="1" outlineLevel="1" ht="32.25" customHeight="1">
      <c r="A170" s="48" t="n">
        <v>165</v>
      </c>
      <c r="B170" s="107" t="n"/>
      <c r="C170" s="331">
        <f>SUMIFS(DATA!$M:$M,DATA!$C:$C,$B170,DATA!$N:$N,"&gt;="&amp;DATE(C$5,1,1),DATA!$N:$N,"&lt;="&amp;DATE(C$5,12,31))</f>
        <v/>
      </c>
      <c r="D170" s="331">
        <f>SUMIFS(DATA!$M:$M,DATA!$C:$C,$B170,DATA!$N:$N,"&gt;="&amp;DATE(D$5,1,1),DATA!$N:$N,"&lt;="&amp;DATE(D$5,12,31))</f>
        <v/>
      </c>
      <c r="E170" s="331">
        <f>SUMIFS(DATA!$M:$M,DATA!$C:$C,$B170,DATA!$N:$N,"&gt;="&amp;DATE(E$5,1,1),DATA!$N:$N,"&lt;="&amp;DATE(E$5,12,31))</f>
        <v/>
      </c>
      <c r="F170" s="331">
        <f>SUMIFS(DATA!$M:$M,DATA!$C:$C,$B170,DATA!$N:$N,"&gt;="&amp;DATE(F$5,1,1),DATA!$N:$N,"&lt;="&amp;DATE(F$5,12,31))</f>
        <v/>
      </c>
      <c r="G170" s="331">
        <f>SUMIFS(DATA!$M:$M,DATA!$C:$C,$B170,DATA!$N:$N,"&gt;="&amp;DATE(G$5,1,1),DATA!$N:$N,"&lt;="&amp;DATE(G$5,12,31))</f>
        <v/>
      </c>
      <c r="H170" s="331">
        <f>SUMIFS(DATA!$M:$M,DATA!$C:$C,$B170,DATA!$N:$N,"&gt;="&amp;DATE(H$5,1,1),DATA!$N:$N,"&lt;="&amp;DATE(H$5,12,31))</f>
        <v/>
      </c>
      <c r="I170" s="331">
        <f>SUMIFS(DATA!$M:$M,DATA!$C:$C,$B170,DATA!$N:$N,"&gt;="&amp;DATE(I$5,1,1),DATA!$N:$N,"&lt;="&amp;DATE(I$5,12,31))</f>
        <v/>
      </c>
      <c r="J170" s="332">
        <f>SUM(C170:I170)</f>
        <v/>
      </c>
      <c r="K170" s="333">
        <f>J170/$J$506</f>
        <v/>
      </c>
    </row>
    <row r="171" hidden="1" outlineLevel="1" ht="32.25" customHeight="1">
      <c r="A171" s="48" t="n">
        <v>166</v>
      </c>
      <c r="B171" s="107" t="n"/>
      <c r="C171" s="331">
        <f>SUMIFS(DATA!$M:$M,DATA!$C:$C,$B171,DATA!$N:$N,"&gt;="&amp;DATE(C$5,1,1),DATA!$N:$N,"&lt;="&amp;DATE(C$5,12,31))</f>
        <v/>
      </c>
      <c r="D171" s="331">
        <f>SUMIFS(DATA!$M:$M,DATA!$C:$C,$B171,DATA!$N:$N,"&gt;="&amp;DATE(D$5,1,1),DATA!$N:$N,"&lt;="&amp;DATE(D$5,12,31))</f>
        <v/>
      </c>
      <c r="E171" s="331">
        <f>SUMIFS(DATA!$M:$M,DATA!$C:$C,$B171,DATA!$N:$N,"&gt;="&amp;DATE(E$5,1,1),DATA!$N:$N,"&lt;="&amp;DATE(E$5,12,31))</f>
        <v/>
      </c>
      <c r="F171" s="331">
        <f>SUMIFS(DATA!$M:$M,DATA!$C:$C,$B171,DATA!$N:$N,"&gt;="&amp;DATE(F$5,1,1),DATA!$N:$N,"&lt;="&amp;DATE(F$5,12,31))</f>
        <v/>
      </c>
      <c r="G171" s="331">
        <f>SUMIFS(DATA!$M:$M,DATA!$C:$C,$B171,DATA!$N:$N,"&gt;="&amp;DATE(G$5,1,1),DATA!$N:$N,"&lt;="&amp;DATE(G$5,12,31))</f>
        <v/>
      </c>
      <c r="H171" s="331">
        <f>SUMIFS(DATA!$M:$M,DATA!$C:$C,$B171,DATA!$N:$N,"&gt;="&amp;DATE(H$5,1,1),DATA!$N:$N,"&lt;="&amp;DATE(H$5,12,31))</f>
        <v/>
      </c>
      <c r="I171" s="331">
        <f>SUMIFS(DATA!$M:$M,DATA!$C:$C,$B171,DATA!$N:$N,"&gt;="&amp;DATE(I$5,1,1),DATA!$N:$N,"&lt;="&amp;DATE(I$5,12,31))</f>
        <v/>
      </c>
      <c r="J171" s="332">
        <f>SUM(C171:I171)</f>
        <v/>
      </c>
      <c r="K171" s="333">
        <f>J171/$J$506</f>
        <v/>
      </c>
    </row>
    <row r="172" hidden="1" outlineLevel="1" ht="32.25" customHeight="1">
      <c r="A172" s="48" t="n">
        <v>167</v>
      </c>
      <c r="B172" s="107" t="n"/>
      <c r="C172" s="331">
        <f>SUMIFS(DATA!$M:$M,DATA!$C:$C,$B172,DATA!$N:$N,"&gt;="&amp;DATE(C$5,1,1),DATA!$N:$N,"&lt;="&amp;DATE(C$5,12,31))</f>
        <v/>
      </c>
      <c r="D172" s="331">
        <f>SUMIFS(DATA!$M:$M,DATA!$C:$C,$B172,DATA!$N:$N,"&gt;="&amp;DATE(D$5,1,1),DATA!$N:$N,"&lt;="&amp;DATE(D$5,12,31))</f>
        <v/>
      </c>
      <c r="E172" s="331">
        <f>SUMIFS(DATA!$M:$M,DATA!$C:$C,$B172,DATA!$N:$N,"&gt;="&amp;DATE(E$5,1,1),DATA!$N:$N,"&lt;="&amp;DATE(E$5,12,31))</f>
        <v/>
      </c>
      <c r="F172" s="331">
        <f>SUMIFS(DATA!$M:$M,DATA!$C:$C,$B172,DATA!$N:$N,"&gt;="&amp;DATE(F$5,1,1),DATA!$N:$N,"&lt;="&amp;DATE(F$5,12,31))</f>
        <v/>
      </c>
      <c r="G172" s="331">
        <f>SUMIFS(DATA!$M:$M,DATA!$C:$C,$B172,DATA!$N:$N,"&gt;="&amp;DATE(G$5,1,1),DATA!$N:$N,"&lt;="&amp;DATE(G$5,12,31))</f>
        <v/>
      </c>
      <c r="H172" s="331">
        <f>SUMIFS(DATA!$M:$M,DATA!$C:$C,$B172,DATA!$N:$N,"&gt;="&amp;DATE(H$5,1,1),DATA!$N:$N,"&lt;="&amp;DATE(H$5,12,31))</f>
        <v/>
      </c>
      <c r="I172" s="331">
        <f>SUMIFS(DATA!$M:$M,DATA!$C:$C,$B172,DATA!$N:$N,"&gt;="&amp;DATE(I$5,1,1),DATA!$N:$N,"&lt;="&amp;DATE(I$5,12,31))</f>
        <v/>
      </c>
      <c r="J172" s="332">
        <f>SUM(C172:I172)</f>
        <v/>
      </c>
      <c r="K172" s="333">
        <f>J172/$J$506</f>
        <v/>
      </c>
    </row>
    <row r="173" hidden="1" outlineLevel="1" ht="32.25" customHeight="1">
      <c r="A173" s="48" t="n">
        <v>168</v>
      </c>
      <c r="B173" s="107" t="n"/>
      <c r="C173" s="331">
        <f>SUMIFS(DATA!$M:$M,DATA!$C:$C,$B173,DATA!$N:$N,"&gt;="&amp;DATE(C$5,1,1),DATA!$N:$N,"&lt;="&amp;DATE(C$5,12,31))</f>
        <v/>
      </c>
      <c r="D173" s="331">
        <f>SUMIFS(DATA!$M:$M,DATA!$C:$C,$B173,DATA!$N:$N,"&gt;="&amp;DATE(D$5,1,1),DATA!$N:$N,"&lt;="&amp;DATE(D$5,12,31))</f>
        <v/>
      </c>
      <c r="E173" s="331">
        <f>SUMIFS(DATA!$M:$M,DATA!$C:$C,$B173,DATA!$N:$N,"&gt;="&amp;DATE(E$5,1,1),DATA!$N:$N,"&lt;="&amp;DATE(E$5,12,31))</f>
        <v/>
      </c>
      <c r="F173" s="331">
        <f>SUMIFS(DATA!$M:$M,DATA!$C:$C,$B173,DATA!$N:$N,"&gt;="&amp;DATE(F$5,1,1),DATA!$N:$N,"&lt;="&amp;DATE(F$5,12,31))</f>
        <v/>
      </c>
      <c r="G173" s="331">
        <f>SUMIFS(DATA!$M:$M,DATA!$C:$C,$B173,DATA!$N:$N,"&gt;="&amp;DATE(G$5,1,1),DATA!$N:$N,"&lt;="&amp;DATE(G$5,12,31))</f>
        <v/>
      </c>
      <c r="H173" s="331">
        <f>SUMIFS(DATA!$M:$M,DATA!$C:$C,$B173,DATA!$N:$N,"&gt;="&amp;DATE(H$5,1,1),DATA!$N:$N,"&lt;="&amp;DATE(H$5,12,31))</f>
        <v/>
      </c>
      <c r="I173" s="331">
        <f>SUMIFS(DATA!$M:$M,DATA!$C:$C,$B173,DATA!$N:$N,"&gt;="&amp;DATE(I$5,1,1),DATA!$N:$N,"&lt;="&amp;DATE(I$5,12,31))</f>
        <v/>
      </c>
      <c r="J173" s="332">
        <f>SUM(C173:I173)</f>
        <v/>
      </c>
      <c r="K173" s="333">
        <f>J173/$J$506</f>
        <v/>
      </c>
    </row>
    <row r="174" hidden="1" outlineLevel="1" ht="32.25" customHeight="1">
      <c r="A174" s="48" t="n">
        <v>169</v>
      </c>
      <c r="B174" s="107" t="n"/>
      <c r="C174" s="331">
        <f>SUMIFS(DATA!$M:$M,DATA!$C:$C,$B174,DATA!$N:$N,"&gt;="&amp;DATE(C$5,1,1),DATA!$N:$N,"&lt;="&amp;DATE(C$5,12,31))</f>
        <v/>
      </c>
      <c r="D174" s="331">
        <f>SUMIFS(DATA!$M:$M,DATA!$C:$C,$B174,DATA!$N:$N,"&gt;="&amp;DATE(D$5,1,1),DATA!$N:$N,"&lt;="&amp;DATE(D$5,12,31))</f>
        <v/>
      </c>
      <c r="E174" s="331">
        <f>SUMIFS(DATA!$M:$M,DATA!$C:$C,$B174,DATA!$N:$N,"&gt;="&amp;DATE(E$5,1,1),DATA!$N:$N,"&lt;="&amp;DATE(E$5,12,31))</f>
        <v/>
      </c>
      <c r="F174" s="331">
        <f>SUMIFS(DATA!$M:$M,DATA!$C:$C,$B174,DATA!$N:$N,"&gt;="&amp;DATE(F$5,1,1),DATA!$N:$N,"&lt;="&amp;DATE(F$5,12,31))</f>
        <v/>
      </c>
      <c r="G174" s="331">
        <f>SUMIFS(DATA!$M:$M,DATA!$C:$C,$B174,DATA!$N:$N,"&gt;="&amp;DATE(G$5,1,1),DATA!$N:$N,"&lt;="&amp;DATE(G$5,12,31))</f>
        <v/>
      </c>
      <c r="H174" s="331">
        <f>SUMIFS(DATA!$M:$M,DATA!$C:$C,$B174,DATA!$N:$N,"&gt;="&amp;DATE(H$5,1,1),DATA!$N:$N,"&lt;="&amp;DATE(H$5,12,31))</f>
        <v/>
      </c>
      <c r="I174" s="331">
        <f>SUMIFS(DATA!$M:$M,DATA!$C:$C,$B174,DATA!$N:$N,"&gt;="&amp;DATE(I$5,1,1),DATA!$N:$N,"&lt;="&amp;DATE(I$5,12,31))</f>
        <v/>
      </c>
      <c r="J174" s="332">
        <f>SUM(C174:I174)</f>
        <v/>
      </c>
      <c r="K174" s="333">
        <f>J174/$J$506</f>
        <v/>
      </c>
    </row>
    <row r="175" hidden="1" outlineLevel="1" ht="32.25" customHeight="1">
      <c r="A175" s="48" t="n">
        <v>170</v>
      </c>
      <c r="B175" s="107" t="n"/>
      <c r="C175" s="331">
        <f>SUMIFS(DATA!$M:$M,DATA!$C:$C,$B175,DATA!$N:$N,"&gt;="&amp;DATE(C$5,1,1),DATA!$N:$N,"&lt;="&amp;DATE(C$5,12,31))</f>
        <v/>
      </c>
      <c r="D175" s="331">
        <f>SUMIFS(DATA!$M:$M,DATA!$C:$C,$B175,DATA!$N:$N,"&gt;="&amp;DATE(D$5,1,1),DATA!$N:$N,"&lt;="&amp;DATE(D$5,12,31))</f>
        <v/>
      </c>
      <c r="E175" s="331">
        <f>SUMIFS(DATA!$M:$M,DATA!$C:$C,$B175,DATA!$N:$N,"&gt;="&amp;DATE(E$5,1,1),DATA!$N:$N,"&lt;="&amp;DATE(E$5,12,31))</f>
        <v/>
      </c>
      <c r="F175" s="331">
        <f>SUMIFS(DATA!$M:$M,DATA!$C:$C,$B175,DATA!$N:$N,"&gt;="&amp;DATE(F$5,1,1),DATA!$N:$N,"&lt;="&amp;DATE(F$5,12,31))</f>
        <v/>
      </c>
      <c r="G175" s="331">
        <f>SUMIFS(DATA!$M:$M,DATA!$C:$C,$B175,DATA!$N:$N,"&gt;="&amp;DATE(G$5,1,1),DATA!$N:$N,"&lt;="&amp;DATE(G$5,12,31))</f>
        <v/>
      </c>
      <c r="H175" s="331">
        <f>SUMIFS(DATA!$M:$M,DATA!$C:$C,$B175,DATA!$N:$N,"&gt;="&amp;DATE(H$5,1,1),DATA!$N:$N,"&lt;="&amp;DATE(H$5,12,31))</f>
        <v/>
      </c>
      <c r="I175" s="331">
        <f>SUMIFS(DATA!$M:$M,DATA!$C:$C,$B175,DATA!$N:$N,"&gt;="&amp;DATE(I$5,1,1),DATA!$N:$N,"&lt;="&amp;DATE(I$5,12,31))</f>
        <v/>
      </c>
      <c r="J175" s="332">
        <f>SUM(C175:I175)</f>
        <v/>
      </c>
      <c r="K175" s="333">
        <f>J175/$J$506</f>
        <v/>
      </c>
    </row>
    <row r="176" hidden="1" outlineLevel="1" ht="32.25" customHeight="1">
      <c r="A176" s="48" t="n">
        <v>171</v>
      </c>
      <c r="B176" s="107" t="n"/>
      <c r="C176" s="331">
        <f>SUMIFS(DATA!$M:$M,DATA!$C:$C,$B176,DATA!$N:$N,"&gt;="&amp;DATE(C$5,1,1),DATA!$N:$N,"&lt;="&amp;DATE(C$5,12,31))</f>
        <v/>
      </c>
      <c r="D176" s="331">
        <f>SUMIFS(DATA!$M:$M,DATA!$C:$C,$B176,DATA!$N:$N,"&gt;="&amp;DATE(D$5,1,1),DATA!$N:$N,"&lt;="&amp;DATE(D$5,12,31))</f>
        <v/>
      </c>
      <c r="E176" s="331">
        <f>SUMIFS(DATA!$M:$M,DATA!$C:$C,$B176,DATA!$N:$N,"&gt;="&amp;DATE(E$5,1,1),DATA!$N:$N,"&lt;="&amp;DATE(E$5,12,31))</f>
        <v/>
      </c>
      <c r="F176" s="331">
        <f>SUMIFS(DATA!$M:$M,DATA!$C:$C,$B176,DATA!$N:$N,"&gt;="&amp;DATE(F$5,1,1),DATA!$N:$N,"&lt;="&amp;DATE(F$5,12,31))</f>
        <v/>
      </c>
      <c r="G176" s="331">
        <f>SUMIFS(DATA!$M:$M,DATA!$C:$C,$B176,DATA!$N:$N,"&gt;="&amp;DATE(G$5,1,1),DATA!$N:$N,"&lt;="&amp;DATE(G$5,12,31))</f>
        <v/>
      </c>
      <c r="H176" s="331">
        <f>SUMIFS(DATA!$M:$M,DATA!$C:$C,$B176,DATA!$N:$N,"&gt;="&amp;DATE(H$5,1,1),DATA!$N:$N,"&lt;="&amp;DATE(H$5,12,31))</f>
        <v/>
      </c>
      <c r="I176" s="331">
        <f>SUMIFS(DATA!$M:$M,DATA!$C:$C,$B176,DATA!$N:$N,"&gt;="&amp;DATE(I$5,1,1),DATA!$N:$N,"&lt;="&amp;DATE(I$5,12,31))</f>
        <v/>
      </c>
      <c r="J176" s="332">
        <f>SUM(C176:I176)</f>
        <v/>
      </c>
      <c r="K176" s="333">
        <f>J176/$J$506</f>
        <v/>
      </c>
    </row>
    <row r="177" hidden="1" outlineLevel="1" ht="32.25" customHeight="1">
      <c r="A177" s="48" t="n">
        <v>172</v>
      </c>
      <c r="B177" s="107" t="n"/>
      <c r="C177" s="331">
        <f>SUMIFS(DATA!$M:$M,DATA!$C:$C,$B177,DATA!$N:$N,"&gt;="&amp;DATE(C$5,1,1),DATA!$N:$N,"&lt;="&amp;DATE(C$5,12,31))</f>
        <v/>
      </c>
      <c r="D177" s="331">
        <f>SUMIFS(DATA!$M:$M,DATA!$C:$C,$B177,DATA!$N:$N,"&gt;="&amp;DATE(D$5,1,1),DATA!$N:$N,"&lt;="&amp;DATE(D$5,12,31))</f>
        <v/>
      </c>
      <c r="E177" s="331">
        <f>SUMIFS(DATA!$M:$M,DATA!$C:$C,$B177,DATA!$N:$N,"&gt;="&amp;DATE(E$5,1,1),DATA!$N:$N,"&lt;="&amp;DATE(E$5,12,31))</f>
        <v/>
      </c>
      <c r="F177" s="331">
        <f>SUMIFS(DATA!$M:$M,DATA!$C:$C,$B177,DATA!$N:$N,"&gt;="&amp;DATE(F$5,1,1),DATA!$N:$N,"&lt;="&amp;DATE(F$5,12,31))</f>
        <v/>
      </c>
      <c r="G177" s="331">
        <f>SUMIFS(DATA!$M:$M,DATA!$C:$C,$B177,DATA!$N:$N,"&gt;="&amp;DATE(G$5,1,1),DATA!$N:$N,"&lt;="&amp;DATE(G$5,12,31))</f>
        <v/>
      </c>
      <c r="H177" s="331">
        <f>SUMIFS(DATA!$M:$M,DATA!$C:$C,$B177,DATA!$N:$N,"&gt;="&amp;DATE(H$5,1,1),DATA!$N:$N,"&lt;="&amp;DATE(H$5,12,31))</f>
        <v/>
      </c>
      <c r="I177" s="331">
        <f>SUMIFS(DATA!$M:$M,DATA!$C:$C,$B177,DATA!$N:$N,"&gt;="&amp;DATE(I$5,1,1),DATA!$N:$N,"&lt;="&amp;DATE(I$5,12,31))</f>
        <v/>
      </c>
      <c r="J177" s="332">
        <f>SUM(C177:I177)</f>
        <v/>
      </c>
      <c r="K177" s="333">
        <f>J177/$J$506</f>
        <v/>
      </c>
    </row>
    <row r="178" hidden="1" outlineLevel="1" ht="32.25" customHeight="1">
      <c r="A178" s="48" t="n">
        <v>173</v>
      </c>
      <c r="B178" s="107" t="n"/>
      <c r="C178" s="331">
        <f>SUMIFS(DATA!$M:$M,DATA!$C:$C,$B178,DATA!$N:$N,"&gt;="&amp;DATE(C$5,1,1),DATA!$N:$N,"&lt;="&amp;DATE(C$5,12,31))</f>
        <v/>
      </c>
      <c r="D178" s="331">
        <f>SUMIFS(DATA!$M:$M,DATA!$C:$C,$B178,DATA!$N:$N,"&gt;="&amp;DATE(D$5,1,1),DATA!$N:$N,"&lt;="&amp;DATE(D$5,12,31))</f>
        <v/>
      </c>
      <c r="E178" s="331">
        <f>SUMIFS(DATA!$M:$M,DATA!$C:$C,$B178,DATA!$N:$N,"&gt;="&amp;DATE(E$5,1,1),DATA!$N:$N,"&lt;="&amp;DATE(E$5,12,31))</f>
        <v/>
      </c>
      <c r="F178" s="331">
        <f>SUMIFS(DATA!$M:$M,DATA!$C:$C,$B178,DATA!$N:$N,"&gt;="&amp;DATE(F$5,1,1),DATA!$N:$N,"&lt;="&amp;DATE(F$5,12,31))</f>
        <v/>
      </c>
      <c r="G178" s="331">
        <f>SUMIFS(DATA!$M:$M,DATA!$C:$C,$B178,DATA!$N:$N,"&gt;="&amp;DATE(G$5,1,1),DATA!$N:$N,"&lt;="&amp;DATE(G$5,12,31))</f>
        <v/>
      </c>
      <c r="H178" s="331">
        <f>SUMIFS(DATA!$M:$M,DATA!$C:$C,$B178,DATA!$N:$N,"&gt;="&amp;DATE(H$5,1,1),DATA!$N:$N,"&lt;="&amp;DATE(H$5,12,31))</f>
        <v/>
      </c>
      <c r="I178" s="331">
        <f>SUMIFS(DATA!$M:$M,DATA!$C:$C,$B178,DATA!$N:$N,"&gt;="&amp;DATE(I$5,1,1),DATA!$N:$N,"&lt;="&amp;DATE(I$5,12,31))</f>
        <v/>
      </c>
      <c r="J178" s="332">
        <f>SUM(C178:I178)</f>
        <v/>
      </c>
      <c r="K178" s="333">
        <f>J178/$J$506</f>
        <v/>
      </c>
    </row>
    <row r="179" hidden="1" outlineLevel="1" ht="32.25" customHeight="1">
      <c r="A179" s="48" t="n">
        <v>174</v>
      </c>
      <c r="B179" s="107" t="n"/>
      <c r="C179" s="331">
        <f>SUMIFS(DATA!$M:$M,DATA!$C:$C,$B179,DATA!$N:$N,"&gt;="&amp;DATE(C$5,1,1),DATA!$N:$N,"&lt;="&amp;DATE(C$5,12,31))</f>
        <v/>
      </c>
      <c r="D179" s="331">
        <f>SUMIFS(DATA!$M:$M,DATA!$C:$C,$B179,DATA!$N:$N,"&gt;="&amp;DATE(D$5,1,1),DATA!$N:$N,"&lt;="&amp;DATE(D$5,12,31))</f>
        <v/>
      </c>
      <c r="E179" s="331">
        <f>SUMIFS(DATA!$M:$M,DATA!$C:$C,$B179,DATA!$N:$N,"&gt;="&amp;DATE(E$5,1,1),DATA!$N:$N,"&lt;="&amp;DATE(E$5,12,31))</f>
        <v/>
      </c>
      <c r="F179" s="331">
        <f>SUMIFS(DATA!$M:$M,DATA!$C:$C,$B179,DATA!$N:$N,"&gt;="&amp;DATE(F$5,1,1),DATA!$N:$N,"&lt;="&amp;DATE(F$5,12,31))</f>
        <v/>
      </c>
      <c r="G179" s="331">
        <f>SUMIFS(DATA!$M:$M,DATA!$C:$C,$B179,DATA!$N:$N,"&gt;="&amp;DATE(G$5,1,1),DATA!$N:$N,"&lt;="&amp;DATE(G$5,12,31))</f>
        <v/>
      </c>
      <c r="H179" s="331">
        <f>SUMIFS(DATA!$M:$M,DATA!$C:$C,$B179,DATA!$N:$N,"&gt;="&amp;DATE(H$5,1,1),DATA!$N:$N,"&lt;="&amp;DATE(H$5,12,31))</f>
        <v/>
      </c>
      <c r="I179" s="331">
        <f>SUMIFS(DATA!$M:$M,DATA!$C:$C,$B179,DATA!$N:$N,"&gt;="&amp;DATE(I$5,1,1),DATA!$N:$N,"&lt;="&amp;DATE(I$5,12,31))</f>
        <v/>
      </c>
      <c r="J179" s="332">
        <f>SUM(C179:I179)</f>
        <v/>
      </c>
      <c r="K179" s="333">
        <f>J179/$J$506</f>
        <v/>
      </c>
    </row>
    <row r="180" hidden="1" outlineLevel="1" ht="32.25" customHeight="1">
      <c r="A180" s="48" t="n">
        <v>175</v>
      </c>
      <c r="B180" s="107" t="n"/>
      <c r="C180" s="331">
        <f>SUMIFS(DATA!$M:$M,DATA!$C:$C,$B180,DATA!$N:$N,"&gt;="&amp;DATE(C$5,1,1),DATA!$N:$N,"&lt;="&amp;DATE(C$5,12,31))</f>
        <v/>
      </c>
      <c r="D180" s="331">
        <f>SUMIFS(DATA!$M:$M,DATA!$C:$C,$B180,DATA!$N:$N,"&gt;="&amp;DATE(D$5,1,1),DATA!$N:$N,"&lt;="&amp;DATE(D$5,12,31))</f>
        <v/>
      </c>
      <c r="E180" s="331">
        <f>SUMIFS(DATA!$M:$M,DATA!$C:$C,$B180,DATA!$N:$N,"&gt;="&amp;DATE(E$5,1,1),DATA!$N:$N,"&lt;="&amp;DATE(E$5,12,31))</f>
        <v/>
      </c>
      <c r="F180" s="331">
        <f>SUMIFS(DATA!$M:$M,DATA!$C:$C,$B180,DATA!$N:$N,"&gt;="&amp;DATE(F$5,1,1),DATA!$N:$N,"&lt;="&amp;DATE(F$5,12,31))</f>
        <v/>
      </c>
      <c r="G180" s="331">
        <f>SUMIFS(DATA!$M:$M,DATA!$C:$C,$B180,DATA!$N:$N,"&gt;="&amp;DATE(G$5,1,1),DATA!$N:$N,"&lt;="&amp;DATE(G$5,12,31))</f>
        <v/>
      </c>
      <c r="H180" s="331">
        <f>SUMIFS(DATA!$M:$M,DATA!$C:$C,$B180,DATA!$N:$N,"&gt;="&amp;DATE(H$5,1,1),DATA!$N:$N,"&lt;="&amp;DATE(H$5,12,31))</f>
        <v/>
      </c>
      <c r="I180" s="331">
        <f>SUMIFS(DATA!$M:$M,DATA!$C:$C,$B180,DATA!$N:$N,"&gt;="&amp;DATE(I$5,1,1),DATA!$N:$N,"&lt;="&amp;DATE(I$5,12,31))</f>
        <v/>
      </c>
      <c r="J180" s="332">
        <f>SUM(C180:I180)</f>
        <v/>
      </c>
      <c r="K180" s="333">
        <f>J180/$J$506</f>
        <v/>
      </c>
    </row>
    <row r="181" hidden="1" outlineLevel="1" ht="32.25" customHeight="1">
      <c r="A181" s="48" t="n">
        <v>176</v>
      </c>
      <c r="B181" s="107" t="n"/>
      <c r="C181" s="331">
        <f>SUMIFS(DATA!$M:$M,DATA!$C:$C,$B181,DATA!$N:$N,"&gt;="&amp;DATE(C$5,1,1),DATA!$N:$N,"&lt;="&amp;DATE(C$5,12,31))</f>
        <v/>
      </c>
      <c r="D181" s="331">
        <f>SUMIFS(DATA!$M:$M,DATA!$C:$C,$B181,DATA!$N:$N,"&gt;="&amp;DATE(D$5,1,1),DATA!$N:$N,"&lt;="&amp;DATE(D$5,12,31))</f>
        <v/>
      </c>
      <c r="E181" s="331">
        <f>SUMIFS(DATA!$M:$M,DATA!$C:$C,$B181,DATA!$N:$N,"&gt;="&amp;DATE(E$5,1,1),DATA!$N:$N,"&lt;="&amp;DATE(E$5,12,31))</f>
        <v/>
      </c>
      <c r="F181" s="331">
        <f>SUMIFS(DATA!$M:$M,DATA!$C:$C,$B181,DATA!$N:$N,"&gt;="&amp;DATE(F$5,1,1),DATA!$N:$N,"&lt;="&amp;DATE(F$5,12,31))</f>
        <v/>
      </c>
      <c r="G181" s="331">
        <f>SUMIFS(DATA!$M:$M,DATA!$C:$C,$B181,DATA!$N:$N,"&gt;="&amp;DATE(G$5,1,1),DATA!$N:$N,"&lt;="&amp;DATE(G$5,12,31))</f>
        <v/>
      </c>
      <c r="H181" s="331">
        <f>SUMIFS(DATA!$M:$M,DATA!$C:$C,$B181,DATA!$N:$N,"&gt;="&amp;DATE(H$5,1,1),DATA!$N:$N,"&lt;="&amp;DATE(H$5,12,31))</f>
        <v/>
      </c>
      <c r="I181" s="331">
        <f>SUMIFS(DATA!$M:$M,DATA!$C:$C,$B181,DATA!$N:$N,"&gt;="&amp;DATE(I$5,1,1),DATA!$N:$N,"&lt;="&amp;DATE(I$5,12,31))</f>
        <v/>
      </c>
      <c r="J181" s="332">
        <f>SUM(C181:I181)</f>
        <v/>
      </c>
      <c r="K181" s="333">
        <f>J181/$J$506</f>
        <v/>
      </c>
    </row>
    <row r="182" hidden="1" outlineLevel="1" ht="32.25" customHeight="1">
      <c r="A182" s="48" t="n">
        <v>177</v>
      </c>
      <c r="B182" s="107" t="n"/>
      <c r="C182" s="331">
        <f>SUMIFS(DATA!$M:$M,DATA!$C:$C,$B182,DATA!$N:$N,"&gt;="&amp;DATE(C$5,1,1),DATA!$N:$N,"&lt;="&amp;DATE(C$5,12,31))</f>
        <v/>
      </c>
      <c r="D182" s="331">
        <f>SUMIFS(DATA!$M:$M,DATA!$C:$C,$B182,DATA!$N:$N,"&gt;="&amp;DATE(D$5,1,1),DATA!$N:$N,"&lt;="&amp;DATE(D$5,12,31))</f>
        <v/>
      </c>
      <c r="E182" s="331">
        <f>SUMIFS(DATA!$M:$M,DATA!$C:$C,$B182,DATA!$N:$N,"&gt;="&amp;DATE(E$5,1,1),DATA!$N:$N,"&lt;="&amp;DATE(E$5,12,31))</f>
        <v/>
      </c>
      <c r="F182" s="331">
        <f>SUMIFS(DATA!$M:$M,DATA!$C:$C,$B182,DATA!$N:$N,"&gt;="&amp;DATE(F$5,1,1),DATA!$N:$N,"&lt;="&amp;DATE(F$5,12,31))</f>
        <v/>
      </c>
      <c r="G182" s="331">
        <f>SUMIFS(DATA!$M:$M,DATA!$C:$C,$B182,DATA!$N:$N,"&gt;="&amp;DATE(G$5,1,1),DATA!$N:$N,"&lt;="&amp;DATE(G$5,12,31))</f>
        <v/>
      </c>
      <c r="H182" s="331">
        <f>SUMIFS(DATA!$M:$M,DATA!$C:$C,$B182,DATA!$N:$N,"&gt;="&amp;DATE(H$5,1,1),DATA!$N:$N,"&lt;="&amp;DATE(H$5,12,31))</f>
        <v/>
      </c>
      <c r="I182" s="331">
        <f>SUMIFS(DATA!$M:$M,DATA!$C:$C,$B182,DATA!$N:$N,"&gt;="&amp;DATE(I$5,1,1),DATA!$N:$N,"&lt;="&amp;DATE(I$5,12,31))</f>
        <v/>
      </c>
      <c r="J182" s="332">
        <f>SUM(C182:I182)</f>
        <v/>
      </c>
      <c r="K182" s="333">
        <f>J182/$J$506</f>
        <v/>
      </c>
    </row>
    <row r="183" hidden="1" outlineLevel="1" ht="32.25" customHeight="1">
      <c r="A183" s="48" t="n">
        <v>178</v>
      </c>
      <c r="B183" s="107" t="n"/>
      <c r="C183" s="331">
        <f>SUMIFS(DATA!$M:$M,DATA!$C:$C,$B183,DATA!$N:$N,"&gt;="&amp;DATE(C$5,1,1),DATA!$N:$N,"&lt;="&amp;DATE(C$5,12,31))</f>
        <v/>
      </c>
      <c r="D183" s="331">
        <f>SUMIFS(DATA!$M:$M,DATA!$C:$C,$B183,DATA!$N:$N,"&gt;="&amp;DATE(D$5,1,1),DATA!$N:$N,"&lt;="&amp;DATE(D$5,12,31))</f>
        <v/>
      </c>
      <c r="E183" s="331">
        <f>SUMIFS(DATA!$M:$M,DATA!$C:$C,$B183,DATA!$N:$N,"&gt;="&amp;DATE(E$5,1,1),DATA!$N:$N,"&lt;="&amp;DATE(E$5,12,31))</f>
        <v/>
      </c>
      <c r="F183" s="331">
        <f>SUMIFS(DATA!$M:$M,DATA!$C:$C,$B183,DATA!$N:$N,"&gt;="&amp;DATE(F$5,1,1),DATA!$N:$N,"&lt;="&amp;DATE(F$5,12,31))</f>
        <v/>
      </c>
      <c r="G183" s="331">
        <f>SUMIFS(DATA!$M:$M,DATA!$C:$C,$B183,DATA!$N:$N,"&gt;="&amp;DATE(G$5,1,1),DATA!$N:$N,"&lt;="&amp;DATE(G$5,12,31))</f>
        <v/>
      </c>
      <c r="H183" s="331">
        <f>SUMIFS(DATA!$M:$M,DATA!$C:$C,$B183,DATA!$N:$N,"&gt;="&amp;DATE(H$5,1,1),DATA!$N:$N,"&lt;="&amp;DATE(H$5,12,31))</f>
        <v/>
      </c>
      <c r="I183" s="331">
        <f>SUMIFS(DATA!$M:$M,DATA!$C:$C,$B183,DATA!$N:$N,"&gt;="&amp;DATE(I$5,1,1),DATA!$N:$N,"&lt;="&amp;DATE(I$5,12,31))</f>
        <v/>
      </c>
      <c r="J183" s="332">
        <f>SUM(C183:I183)</f>
        <v/>
      </c>
      <c r="K183" s="333">
        <f>J183/$J$506</f>
        <v/>
      </c>
    </row>
    <row r="184" hidden="1" outlineLevel="1" ht="32.25" customHeight="1">
      <c r="A184" s="48" t="n">
        <v>179</v>
      </c>
      <c r="B184" s="107" t="n"/>
      <c r="C184" s="331">
        <f>SUMIFS(DATA!$M:$M,DATA!$C:$C,$B184,DATA!$N:$N,"&gt;="&amp;DATE(C$5,1,1),DATA!$N:$N,"&lt;="&amp;DATE(C$5,12,31))</f>
        <v/>
      </c>
      <c r="D184" s="331">
        <f>SUMIFS(DATA!$M:$M,DATA!$C:$C,$B184,DATA!$N:$N,"&gt;="&amp;DATE(D$5,1,1),DATA!$N:$N,"&lt;="&amp;DATE(D$5,12,31))</f>
        <v/>
      </c>
      <c r="E184" s="331">
        <f>SUMIFS(DATA!$M:$M,DATA!$C:$C,$B184,DATA!$N:$N,"&gt;="&amp;DATE(E$5,1,1),DATA!$N:$N,"&lt;="&amp;DATE(E$5,12,31))</f>
        <v/>
      </c>
      <c r="F184" s="331">
        <f>SUMIFS(DATA!$M:$M,DATA!$C:$C,$B184,DATA!$N:$N,"&gt;="&amp;DATE(F$5,1,1),DATA!$N:$N,"&lt;="&amp;DATE(F$5,12,31))</f>
        <v/>
      </c>
      <c r="G184" s="331">
        <f>SUMIFS(DATA!$M:$M,DATA!$C:$C,$B184,DATA!$N:$N,"&gt;="&amp;DATE(G$5,1,1),DATA!$N:$N,"&lt;="&amp;DATE(G$5,12,31))</f>
        <v/>
      </c>
      <c r="H184" s="331">
        <f>SUMIFS(DATA!$M:$M,DATA!$C:$C,$B184,DATA!$N:$N,"&gt;="&amp;DATE(H$5,1,1),DATA!$N:$N,"&lt;="&amp;DATE(H$5,12,31))</f>
        <v/>
      </c>
      <c r="I184" s="331">
        <f>SUMIFS(DATA!$M:$M,DATA!$C:$C,$B184,DATA!$N:$N,"&gt;="&amp;DATE(I$5,1,1),DATA!$N:$N,"&lt;="&amp;DATE(I$5,12,31))</f>
        <v/>
      </c>
      <c r="J184" s="332">
        <f>SUM(C184:I184)</f>
        <v/>
      </c>
      <c r="K184" s="333">
        <f>J184/$J$506</f>
        <v/>
      </c>
    </row>
    <row r="185" hidden="1" outlineLevel="1" ht="32.25" customHeight="1">
      <c r="A185" s="48" t="n">
        <v>180</v>
      </c>
      <c r="B185" s="107" t="n"/>
      <c r="C185" s="331">
        <f>SUMIFS(DATA!$M:$M,DATA!$C:$C,$B185,DATA!$N:$N,"&gt;="&amp;DATE(C$5,1,1),DATA!$N:$N,"&lt;="&amp;DATE(C$5,12,31))</f>
        <v/>
      </c>
      <c r="D185" s="331">
        <f>SUMIFS(DATA!$M:$M,DATA!$C:$C,$B185,DATA!$N:$N,"&gt;="&amp;DATE(D$5,1,1),DATA!$N:$N,"&lt;="&amp;DATE(D$5,12,31))</f>
        <v/>
      </c>
      <c r="E185" s="331">
        <f>SUMIFS(DATA!$M:$M,DATA!$C:$C,$B185,DATA!$N:$N,"&gt;="&amp;DATE(E$5,1,1),DATA!$N:$N,"&lt;="&amp;DATE(E$5,12,31))</f>
        <v/>
      </c>
      <c r="F185" s="331">
        <f>SUMIFS(DATA!$M:$M,DATA!$C:$C,$B185,DATA!$N:$N,"&gt;="&amp;DATE(F$5,1,1),DATA!$N:$N,"&lt;="&amp;DATE(F$5,12,31))</f>
        <v/>
      </c>
      <c r="G185" s="331">
        <f>SUMIFS(DATA!$M:$M,DATA!$C:$C,$B185,DATA!$N:$N,"&gt;="&amp;DATE(G$5,1,1),DATA!$N:$N,"&lt;="&amp;DATE(G$5,12,31))</f>
        <v/>
      </c>
      <c r="H185" s="331">
        <f>SUMIFS(DATA!$M:$M,DATA!$C:$C,$B185,DATA!$N:$N,"&gt;="&amp;DATE(H$5,1,1),DATA!$N:$N,"&lt;="&amp;DATE(H$5,12,31))</f>
        <v/>
      </c>
      <c r="I185" s="331">
        <f>SUMIFS(DATA!$M:$M,DATA!$C:$C,$B185,DATA!$N:$N,"&gt;="&amp;DATE(I$5,1,1),DATA!$N:$N,"&lt;="&amp;DATE(I$5,12,31))</f>
        <v/>
      </c>
      <c r="J185" s="332">
        <f>SUM(C185:I185)</f>
        <v/>
      </c>
      <c r="K185" s="333">
        <f>J185/$J$506</f>
        <v/>
      </c>
    </row>
    <row r="186" hidden="1" outlineLevel="1" ht="32.25" customHeight="1">
      <c r="A186" s="48" t="n">
        <v>181</v>
      </c>
      <c r="B186" s="107" t="n"/>
      <c r="C186" s="331">
        <f>SUMIFS(DATA!$M:$M,DATA!$C:$C,$B186,DATA!$N:$N,"&gt;="&amp;DATE(C$5,1,1),DATA!$N:$N,"&lt;="&amp;DATE(C$5,12,31))</f>
        <v/>
      </c>
      <c r="D186" s="331">
        <f>SUMIFS(DATA!$M:$M,DATA!$C:$C,$B186,DATA!$N:$N,"&gt;="&amp;DATE(D$5,1,1),DATA!$N:$N,"&lt;="&amp;DATE(D$5,12,31))</f>
        <v/>
      </c>
      <c r="E186" s="331">
        <f>SUMIFS(DATA!$M:$M,DATA!$C:$C,$B186,DATA!$N:$N,"&gt;="&amp;DATE(E$5,1,1),DATA!$N:$N,"&lt;="&amp;DATE(E$5,12,31))</f>
        <v/>
      </c>
      <c r="F186" s="331">
        <f>SUMIFS(DATA!$M:$M,DATA!$C:$C,$B186,DATA!$N:$N,"&gt;="&amp;DATE(F$5,1,1),DATA!$N:$N,"&lt;="&amp;DATE(F$5,12,31))</f>
        <v/>
      </c>
      <c r="G186" s="331">
        <f>SUMIFS(DATA!$M:$M,DATA!$C:$C,$B186,DATA!$N:$N,"&gt;="&amp;DATE(G$5,1,1),DATA!$N:$N,"&lt;="&amp;DATE(G$5,12,31))</f>
        <v/>
      </c>
      <c r="H186" s="331">
        <f>SUMIFS(DATA!$M:$M,DATA!$C:$C,$B186,DATA!$N:$N,"&gt;="&amp;DATE(H$5,1,1),DATA!$N:$N,"&lt;="&amp;DATE(H$5,12,31))</f>
        <v/>
      </c>
      <c r="I186" s="331">
        <f>SUMIFS(DATA!$M:$M,DATA!$C:$C,$B186,DATA!$N:$N,"&gt;="&amp;DATE(I$5,1,1),DATA!$N:$N,"&lt;="&amp;DATE(I$5,12,31))</f>
        <v/>
      </c>
      <c r="J186" s="332">
        <f>SUM(C186:I186)</f>
        <v/>
      </c>
      <c r="K186" s="333">
        <f>J186/$J$506</f>
        <v/>
      </c>
    </row>
    <row r="187" hidden="1" outlineLevel="1" ht="32.25" customHeight="1">
      <c r="A187" s="48" t="n">
        <v>182</v>
      </c>
      <c r="B187" s="107" t="n"/>
      <c r="C187" s="331">
        <f>SUMIFS(DATA!$M:$M,DATA!$C:$C,$B187,DATA!$N:$N,"&gt;="&amp;DATE(C$5,1,1),DATA!$N:$N,"&lt;="&amp;DATE(C$5,12,31))</f>
        <v/>
      </c>
      <c r="D187" s="331">
        <f>SUMIFS(DATA!$M:$M,DATA!$C:$C,$B187,DATA!$N:$N,"&gt;="&amp;DATE(D$5,1,1),DATA!$N:$N,"&lt;="&amp;DATE(D$5,12,31))</f>
        <v/>
      </c>
      <c r="E187" s="331">
        <f>SUMIFS(DATA!$M:$M,DATA!$C:$C,$B187,DATA!$N:$N,"&gt;="&amp;DATE(E$5,1,1),DATA!$N:$N,"&lt;="&amp;DATE(E$5,12,31))</f>
        <v/>
      </c>
      <c r="F187" s="331">
        <f>SUMIFS(DATA!$M:$M,DATA!$C:$C,$B187,DATA!$N:$N,"&gt;="&amp;DATE(F$5,1,1),DATA!$N:$N,"&lt;="&amp;DATE(F$5,12,31))</f>
        <v/>
      </c>
      <c r="G187" s="331">
        <f>SUMIFS(DATA!$M:$M,DATA!$C:$C,$B187,DATA!$N:$N,"&gt;="&amp;DATE(G$5,1,1),DATA!$N:$N,"&lt;="&amp;DATE(G$5,12,31))</f>
        <v/>
      </c>
      <c r="H187" s="331">
        <f>SUMIFS(DATA!$M:$M,DATA!$C:$C,$B187,DATA!$N:$N,"&gt;="&amp;DATE(H$5,1,1),DATA!$N:$N,"&lt;="&amp;DATE(H$5,12,31))</f>
        <v/>
      </c>
      <c r="I187" s="331">
        <f>SUMIFS(DATA!$M:$M,DATA!$C:$C,$B187,DATA!$N:$N,"&gt;="&amp;DATE(I$5,1,1),DATA!$N:$N,"&lt;="&amp;DATE(I$5,12,31))</f>
        <v/>
      </c>
      <c r="J187" s="332">
        <f>SUM(C187:I187)</f>
        <v/>
      </c>
      <c r="K187" s="333">
        <f>J187/$J$506</f>
        <v/>
      </c>
    </row>
    <row r="188" hidden="1" outlineLevel="1" ht="32.25" customHeight="1">
      <c r="A188" s="48" t="n">
        <v>183</v>
      </c>
      <c r="B188" s="107" t="n"/>
      <c r="C188" s="331">
        <f>SUMIFS(DATA!$M:$M,DATA!$C:$C,$B188,DATA!$N:$N,"&gt;="&amp;DATE(C$5,1,1),DATA!$N:$N,"&lt;="&amp;DATE(C$5,12,31))</f>
        <v/>
      </c>
      <c r="D188" s="331">
        <f>SUMIFS(DATA!$M:$M,DATA!$C:$C,$B188,DATA!$N:$N,"&gt;="&amp;DATE(D$5,1,1),DATA!$N:$N,"&lt;="&amp;DATE(D$5,12,31))</f>
        <v/>
      </c>
      <c r="E188" s="331">
        <f>SUMIFS(DATA!$M:$M,DATA!$C:$C,$B188,DATA!$N:$N,"&gt;="&amp;DATE(E$5,1,1),DATA!$N:$N,"&lt;="&amp;DATE(E$5,12,31))</f>
        <v/>
      </c>
      <c r="F188" s="331">
        <f>SUMIFS(DATA!$M:$M,DATA!$C:$C,$B188,DATA!$N:$N,"&gt;="&amp;DATE(F$5,1,1),DATA!$N:$N,"&lt;="&amp;DATE(F$5,12,31))</f>
        <v/>
      </c>
      <c r="G188" s="331">
        <f>SUMIFS(DATA!$M:$M,DATA!$C:$C,$B188,DATA!$N:$N,"&gt;="&amp;DATE(G$5,1,1),DATA!$N:$N,"&lt;="&amp;DATE(G$5,12,31))</f>
        <v/>
      </c>
      <c r="H188" s="331">
        <f>SUMIFS(DATA!$M:$M,DATA!$C:$C,$B188,DATA!$N:$N,"&gt;="&amp;DATE(H$5,1,1),DATA!$N:$N,"&lt;="&amp;DATE(H$5,12,31))</f>
        <v/>
      </c>
      <c r="I188" s="331">
        <f>SUMIFS(DATA!$M:$M,DATA!$C:$C,$B188,DATA!$N:$N,"&gt;="&amp;DATE(I$5,1,1),DATA!$N:$N,"&lt;="&amp;DATE(I$5,12,31))</f>
        <v/>
      </c>
      <c r="J188" s="332">
        <f>SUM(C188:I188)</f>
        <v/>
      </c>
      <c r="K188" s="333">
        <f>J188/$J$506</f>
        <v/>
      </c>
    </row>
    <row r="189" hidden="1" outlineLevel="1" ht="32.25" customHeight="1">
      <c r="A189" s="48" t="n">
        <v>184</v>
      </c>
      <c r="B189" s="107" t="n"/>
      <c r="C189" s="331">
        <f>SUMIFS(DATA!$M:$M,DATA!$C:$C,$B189,DATA!$N:$N,"&gt;="&amp;DATE(C$5,1,1),DATA!$N:$N,"&lt;="&amp;DATE(C$5,12,31))</f>
        <v/>
      </c>
      <c r="D189" s="331">
        <f>SUMIFS(DATA!$M:$M,DATA!$C:$C,$B189,DATA!$N:$N,"&gt;="&amp;DATE(D$5,1,1),DATA!$N:$N,"&lt;="&amp;DATE(D$5,12,31))</f>
        <v/>
      </c>
      <c r="E189" s="331">
        <f>SUMIFS(DATA!$M:$M,DATA!$C:$C,$B189,DATA!$N:$N,"&gt;="&amp;DATE(E$5,1,1),DATA!$N:$N,"&lt;="&amp;DATE(E$5,12,31))</f>
        <v/>
      </c>
      <c r="F189" s="331">
        <f>SUMIFS(DATA!$M:$M,DATA!$C:$C,$B189,DATA!$N:$N,"&gt;="&amp;DATE(F$5,1,1),DATA!$N:$N,"&lt;="&amp;DATE(F$5,12,31))</f>
        <v/>
      </c>
      <c r="G189" s="331">
        <f>SUMIFS(DATA!$M:$M,DATA!$C:$C,$B189,DATA!$N:$N,"&gt;="&amp;DATE(G$5,1,1),DATA!$N:$N,"&lt;="&amp;DATE(G$5,12,31))</f>
        <v/>
      </c>
      <c r="H189" s="331">
        <f>SUMIFS(DATA!$M:$M,DATA!$C:$C,$B189,DATA!$N:$N,"&gt;="&amp;DATE(H$5,1,1),DATA!$N:$N,"&lt;="&amp;DATE(H$5,12,31))</f>
        <v/>
      </c>
      <c r="I189" s="331">
        <f>SUMIFS(DATA!$M:$M,DATA!$C:$C,$B189,DATA!$N:$N,"&gt;="&amp;DATE(I$5,1,1),DATA!$N:$N,"&lt;="&amp;DATE(I$5,12,31))</f>
        <v/>
      </c>
      <c r="J189" s="332">
        <f>SUM(C189:I189)</f>
        <v/>
      </c>
      <c r="K189" s="333">
        <f>J189/$J$506</f>
        <v/>
      </c>
    </row>
    <row r="190" hidden="1" outlineLevel="1" ht="32.25" customHeight="1">
      <c r="A190" s="48" t="n">
        <v>185</v>
      </c>
      <c r="B190" s="107" t="n"/>
      <c r="C190" s="331">
        <f>SUMIFS(DATA!$M:$M,DATA!$C:$C,$B190,DATA!$N:$N,"&gt;="&amp;DATE(C$5,1,1),DATA!$N:$N,"&lt;="&amp;DATE(C$5,12,31))</f>
        <v/>
      </c>
      <c r="D190" s="331">
        <f>SUMIFS(DATA!$M:$M,DATA!$C:$C,$B190,DATA!$N:$N,"&gt;="&amp;DATE(D$5,1,1),DATA!$N:$N,"&lt;="&amp;DATE(D$5,12,31))</f>
        <v/>
      </c>
      <c r="E190" s="331">
        <f>SUMIFS(DATA!$M:$M,DATA!$C:$C,$B190,DATA!$N:$N,"&gt;="&amp;DATE(E$5,1,1),DATA!$N:$N,"&lt;="&amp;DATE(E$5,12,31))</f>
        <v/>
      </c>
      <c r="F190" s="331">
        <f>SUMIFS(DATA!$M:$M,DATA!$C:$C,$B190,DATA!$N:$N,"&gt;="&amp;DATE(F$5,1,1),DATA!$N:$N,"&lt;="&amp;DATE(F$5,12,31))</f>
        <v/>
      </c>
      <c r="G190" s="331">
        <f>SUMIFS(DATA!$M:$M,DATA!$C:$C,$B190,DATA!$N:$N,"&gt;="&amp;DATE(G$5,1,1),DATA!$N:$N,"&lt;="&amp;DATE(G$5,12,31))</f>
        <v/>
      </c>
      <c r="H190" s="331">
        <f>SUMIFS(DATA!$M:$M,DATA!$C:$C,$B190,DATA!$N:$N,"&gt;="&amp;DATE(H$5,1,1),DATA!$N:$N,"&lt;="&amp;DATE(H$5,12,31))</f>
        <v/>
      </c>
      <c r="I190" s="331">
        <f>SUMIFS(DATA!$M:$M,DATA!$C:$C,$B190,DATA!$N:$N,"&gt;="&amp;DATE(I$5,1,1),DATA!$N:$N,"&lt;="&amp;DATE(I$5,12,31))</f>
        <v/>
      </c>
      <c r="J190" s="332">
        <f>SUM(C190:I190)</f>
        <v/>
      </c>
      <c r="K190" s="333">
        <f>J190/$J$506</f>
        <v/>
      </c>
    </row>
    <row r="191" hidden="1" outlineLevel="1" ht="32.25" customHeight="1">
      <c r="A191" s="48" t="n">
        <v>186</v>
      </c>
      <c r="B191" s="107" t="n"/>
      <c r="C191" s="331">
        <f>SUMIFS(DATA!$M:$M,DATA!$C:$C,$B191,DATA!$N:$N,"&gt;="&amp;DATE(C$5,1,1),DATA!$N:$N,"&lt;="&amp;DATE(C$5,12,31))</f>
        <v/>
      </c>
      <c r="D191" s="331">
        <f>SUMIFS(DATA!$M:$M,DATA!$C:$C,$B191,DATA!$N:$N,"&gt;="&amp;DATE(D$5,1,1),DATA!$N:$N,"&lt;="&amp;DATE(D$5,12,31))</f>
        <v/>
      </c>
      <c r="E191" s="331">
        <f>SUMIFS(DATA!$M:$M,DATA!$C:$C,$B191,DATA!$N:$N,"&gt;="&amp;DATE(E$5,1,1),DATA!$N:$N,"&lt;="&amp;DATE(E$5,12,31))</f>
        <v/>
      </c>
      <c r="F191" s="331">
        <f>SUMIFS(DATA!$M:$M,DATA!$C:$C,$B191,DATA!$N:$N,"&gt;="&amp;DATE(F$5,1,1),DATA!$N:$N,"&lt;="&amp;DATE(F$5,12,31))</f>
        <v/>
      </c>
      <c r="G191" s="331">
        <f>SUMIFS(DATA!$M:$M,DATA!$C:$C,$B191,DATA!$N:$N,"&gt;="&amp;DATE(G$5,1,1),DATA!$N:$N,"&lt;="&amp;DATE(G$5,12,31))</f>
        <v/>
      </c>
      <c r="H191" s="331">
        <f>SUMIFS(DATA!$M:$M,DATA!$C:$C,$B191,DATA!$N:$N,"&gt;="&amp;DATE(H$5,1,1),DATA!$N:$N,"&lt;="&amp;DATE(H$5,12,31))</f>
        <v/>
      </c>
      <c r="I191" s="331">
        <f>SUMIFS(DATA!$M:$M,DATA!$C:$C,$B191,DATA!$N:$N,"&gt;="&amp;DATE(I$5,1,1),DATA!$N:$N,"&lt;="&amp;DATE(I$5,12,31))</f>
        <v/>
      </c>
      <c r="J191" s="332">
        <f>SUM(C191:I191)</f>
        <v/>
      </c>
      <c r="K191" s="333">
        <f>J191/$J$506</f>
        <v/>
      </c>
    </row>
    <row r="192" hidden="1" outlineLevel="1" ht="32.25" customHeight="1">
      <c r="A192" s="48" t="n">
        <v>187</v>
      </c>
      <c r="B192" s="107" t="n"/>
      <c r="C192" s="331">
        <f>SUMIFS(DATA!$M:$M,DATA!$C:$C,$B192,DATA!$N:$N,"&gt;="&amp;DATE(C$5,1,1),DATA!$N:$N,"&lt;="&amp;DATE(C$5,12,31))</f>
        <v/>
      </c>
      <c r="D192" s="331">
        <f>SUMIFS(DATA!$M:$M,DATA!$C:$C,$B192,DATA!$N:$N,"&gt;="&amp;DATE(D$5,1,1),DATA!$N:$N,"&lt;="&amp;DATE(D$5,12,31))</f>
        <v/>
      </c>
      <c r="E192" s="331">
        <f>SUMIFS(DATA!$M:$M,DATA!$C:$C,$B192,DATA!$N:$N,"&gt;="&amp;DATE(E$5,1,1),DATA!$N:$N,"&lt;="&amp;DATE(E$5,12,31))</f>
        <v/>
      </c>
      <c r="F192" s="331">
        <f>SUMIFS(DATA!$M:$M,DATA!$C:$C,$B192,DATA!$N:$N,"&gt;="&amp;DATE(F$5,1,1),DATA!$N:$N,"&lt;="&amp;DATE(F$5,12,31))</f>
        <v/>
      </c>
      <c r="G192" s="331">
        <f>SUMIFS(DATA!$M:$M,DATA!$C:$C,$B192,DATA!$N:$N,"&gt;="&amp;DATE(G$5,1,1),DATA!$N:$N,"&lt;="&amp;DATE(G$5,12,31))</f>
        <v/>
      </c>
      <c r="H192" s="331">
        <f>SUMIFS(DATA!$M:$M,DATA!$C:$C,$B192,DATA!$N:$N,"&gt;="&amp;DATE(H$5,1,1),DATA!$N:$N,"&lt;="&amp;DATE(H$5,12,31))</f>
        <v/>
      </c>
      <c r="I192" s="331">
        <f>SUMIFS(DATA!$M:$M,DATA!$C:$C,$B192,DATA!$N:$N,"&gt;="&amp;DATE(I$5,1,1),DATA!$N:$N,"&lt;="&amp;DATE(I$5,12,31))</f>
        <v/>
      </c>
      <c r="J192" s="332">
        <f>SUM(C192:I192)</f>
        <v/>
      </c>
      <c r="K192" s="333">
        <f>J192/$J$506</f>
        <v/>
      </c>
    </row>
    <row r="193" hidden="1" outlineLevel="1" ht="32.25" customHeight="1">
      <c r="A193" s="48" t="n">
        <v>188</v>
      </c>
      <c r="B193" s="107" t="n"/>
      <c r="C193" s="331">
        <f>SUMIFS(DATA!$M:$M,DATA!$C:$C,$B193,DATA!$N:$N,"&gt;="&amp;DATE(C$5,1,1),DATA!$N:$N,"&lt;="&amp;DATE(C$5,12,31))</f>
        <v/>
      </c>
      <c r="D193" s="331">
        <f>SUMIFS(DATA!$M:$M,DATA!$C:$C,$B193,DATA!$N:$N,"&gt;="&amp;DATE(D$5,1,1),DATA!$N:$N,"&lt;="&amp;DATE(D$5,12,31))</f>
        <v/>
      </c>
      <c r="E193" s="331">
        <f>SUMIFS(DATA!$M:$M,DATA!$C:$C,$B193,DATA!$N:$N,"&gt;="&amp;DATE(E$5,1,1),DATA!$N:$N,"&lt;="&amp;DATE(E$5,12,31))</f>
        <v/>
      </c>
      <c r="F193" s="331">
        <f>SUMIFS(DATA!$M:$M,DATA!$C:$C,$B193,DATA!$N:$N,"&gt;="&amp;DATE(F$5,1,1),DATA!$N:$N,"&lt;="&amp;DATE(F$5,12,31))</f>
        <v/>
      </c>
      <c r="G193" s="331">
        <f>SUMIFS(DATA!$M:$M,DATA!$C:$C,$B193,DATA!$N:$N,"&gt;="&amp;DATE(G$5,1,1),DATA!$N:$N,"&lt;="&amp;DATE(G$5,12,31))</f>
        <v/>
      </c>
      <c r="H193" s="331">
        <f>SUMIFS(DATA!$M:$M,DATA!$C:$C,$B193,DATA!$N:$N,"&gt;="&amp;DATE(H$5,1,1),DATA!$N:$N,"&lt;="&amp;DATE(H$5,12,31))</f>
        <v/>
      </c>
      <c r="I193" s="331">
        <f>SUMIFS(DATA!$M:$M,DATA!$C:$C,$B193,DATA!$N:$N,"&gt;="&amp;DATE(I$5,1,1),DATA!$N:$N,"&lt;="&amp;DATE(I$5,12,31))</f>
        <v/>
      </c>
      <c r="J193" s="332">
        <f>SUM(C193:I193)</f>
        <v/>
      </c>
      <c r="K193" s="333">
        <f>J193/$J$506</f>
        <v/>
      </c>
    </row>
    <row r="194" hidden="1" outlineLevel="1" ht="32.25" customHeight="1">
      <c r="A194" s="48" t="n">
        <v>189</v>
      </c>
      <c r="B194" s="107" t="n"/>
      <c r="C194" s="331">
        <f>SUMIFS(DATA!$M:$M,DATA!$C:$C,$B194,DATA!$N:$N,"&gt;="&amp;DATE(C$5,1,1),DATA!$N:$N,"&lt;="&amp;DATE(C$5,12,31))</f>
        <v/>
      </c>
      <c r="D194" s="331">
        <f>SUMIFS(DATA!$M:$M,DATA!$C:$C,$B194,DATA!$N:$N,"&gt;="&amp;DATE(D$5,1,1),DATA!$N:$N,"&lt;="&amp;DATE(D$5,12,31))</f>
        <v/>
      </c>
      <c r="E194" s="331">
        <f>SUMIFS(DATA!$M:$M,DATA!$C:$C,$B194,DATA!$N:$N,"&gt;="&amp;DATE(E$5,1,1),DATA!$N:$N,"&lt;="&amp;DATE(E$5,12,31))</f>
        <v/>
      </c>
      <c r="F194" s="331">
        <f>SUMIFS(DATA!$M:$M,DATA!$C:$C,$B194,DATA!$N:$N,"&gt;="&amp;DATE(F$5,1,1),DATA!$N:$N,"&lt;="&amp;DATE(F$5,12,31))</f>
        <v/>
      </c>
      <c r="G194" s="331">
        <f>SUMIFS(DATA!$M:$M,DATA!$C:$C,$B194,DATA!$N:$N,"&gt;="&amp;DATE(G$5,1,1),DATA!$N:$N,"&lt;="&amp;DATE(G$5,12,31))</f>
        <v/>
      </c>
      <c r="H194" s="331">
        <f>SUMIFS(DATA!$M:$M,DATA!$C:$C,$B194,DATA!$N:$N,"&gt;="&amp;DATE(H$5,1,1),DATA!$N:$N,"&lt;="&amp;DATE(H$5,12,31))</f>
        <v/>
      </c>
      <c r="I194" s="331">
        <f>SUMIFS(DATA!$M:$M,DATA!$C:$C,$B194,DATA!$N:$N,"&gt;="&amp;DATE(I$5,1,1),DATA!$N:$N,"&lt;="&amp;DATE(I$5,12,31))</f>
        <v/>
      </c>
      <c r="J194" s="332">
        <f>SUM(C194:I194)</f>
        <v/>
      </c>
      <c r="K194" s="333">
        <f>J194/$J$506</f>
        <v/>
      </c>
    </row>
    <row r="195" hidden="1" outlineLevel="1" ht="32.25" customHeight="1">
      <c r="A195" s="48" t="n">
        <v>190</v>
      </c>
      <c r="B195" s="107" t="n"/>
      <c r="C195" s="331">
        <f>SUMIFS(DATA!$M:$M,DATA!$C:$C,$B195,DATA!$N:$N,"&gt;="&amp;DATE(C$5,1,1),DATA!$N:$N,"&lt;="&amp;DATE(C$5,12,31))</f>
        <v/>
      </c>
      <c r="D195" s="331">
        <f>SUMIFS(DATA!$M:$M,DATA!$C:$C,$B195,DATA!$N:$N,"&gt;="&amp;DATE(D$5,1,1),DATA!$N:$N,"&lt;="&amp;DATE(D$5,12,31))</f>
        <v/>
      </c>
      <c r="E195" s="331">
        <f>SUMIFS(DATA!$M:$M,DATA!$C:$C,$B195,DATA!$N:$N,"&gt;="&amp;DATE(E$5,1,1),DATA!$N:$N,"&lt;="&amp;DATE(E$5,12,31))</f>
        <v/>
      </c>
      <c r="F195" s="331">
        <f>SUMIFS(DATA!$M:$M,DATA!$C:$C,$B195,DATA!$N:$N,"&gt;="&amp;DATE(F$5,1,1),DATA!$N:$N,"&lt;="&amp;DATE(F$5,12,31))</f>
        <v/>
      </c>
      <c r="G195" s="331">
        <f>SUMIFS(DATA!$M:$M,DATA!$C:$C,$B195,DATA!$N:$N,"&gt;="&amp;DATE(G$5,1,1),DATA!$N:$N,"&lt;="&amp;DATE(G$5,12,31))</f>
        <v/>
      </c>
      <c r="H195" s="331">
        <f>SUMIFS(DATA!$M:$M,DATA!$C:$C,$B195,DATA!$N:$N,"&gt;="&amp;DATE(H$5,1,1),DATA!$N:$N,"&lt;="&amp;DATE(H$5,12,31))</f>
        <v/>
      </c>
      <c r="I195" s="331">
        <f>SUMIFS(DATA!$M:$M,DATA!$C:$C,$B195,DATA!$N:$N,"&gt;="&amp;DATE(I$5,1,1),DATA!$N:$N,"&lt;="&amp;DATE(I$5,12,31))</f>
        <v/>
      </c>
      <c r="J195" s="332">
        <f>SUM(C195:I195)</f>
        <v/>
      </c>
      <c r="K195" s="333">
        <f>J195/$J$506</f>
        <v/>
      </c>
    </row>
    <row r="196" hidden="1" outlineLevel="1" ht="32.25" customHeight="1">
      <c r="A196" s="48" t="n">
        <v>191</v>
      </c>
      <c r="B196" s="107" t="n"/>
      <c r="C196" s="331">
        <f>SUMIFS(DATA!$M:$M,DATA!$C:$C,$B196,DATA!$N:$N,"&gt;="&amp;DATE(C$5,1,1),DATA!$N:$N,"&lt;="&amp;DATE(C$5,12,31))</f>
        <v/>
      </c>
      <c r="D196" s="331">
        <f>SUMIFS(DATA!$M:$M,DATA!$C:$C,$B196,DATA!$N:$N,"&gt;="&amp;DATE(D$5,1,1),DATA!$N:$N,"&lt;="&amp;DATE(D$5,12,31))</f>
        <v/>
      </c>
      <c r="E196" s="331">
        <f>SUMIFS(DATA!$M:$M,DATA!$C:$C,$B196,DATA!$N:$N,"&gt;="&amp;DATE(E$5,1,1),DATA!$N:$N,"&lt;="&amp;DATE(E$5,12,31))</f>
        <v/>
      </c>
      <c r="F196" s="331">
        <f>SUMIFS(DATA!$M:$M,DATA!$C:$C,$B196,DATA!$N:$N,"&gt;="&amp;DATE(F$5,1,1),DATA!$N:$N,"&lt;="&amp;DATE(F$5,12,31))</f>
        <v/>
      </c>
      <c r="G196" s="331">
        <f>SUMIFS(DATA!$M:$M,DATA!$C:$C,$B196,DATA!$N:$N,"&gt;="&amp;DATE(G$5,1,1),DATA!$N:$N,"&lt;="&amp;DATE(G$5,12,31))</f>
        <v/>
      </c>
      <c r="H196" s="331">
        <f>SUMIFS(DATA!$M:$M,DATA!$C:$C,$B196,DATA!$N:$N,"&gt;="&amp;DATE(H$5,1,1),DATA!$N:$N,"&lt;="&amp;DATE(H$5,12,31))</f>
        <v/>
      </c>
      <c r="I196" s="331">
        <f>SUMIFS(DATA!$M:$M,DATA!$C:$C,$B196,DATA!$N:$N,"&gt;="&amp;DATE(I$5,1,1),DATA!$N:$N,"&lt;="&amp;DATE(I$5,12,31))</f>
        <v/>
      </c>
      <c r="J196" s="332">
        <f>SUM(C196:I196)</f>
        <v/>
      </c>
      <c r="K196" s="333">
        <f>J196/$J$506</f>
        <v/>
      </c>
    </row>
    <row r="197" hidden="1" outlineLevel="1" ht="32.25" customHeight="1">
      <c r="A197" s="48" t="n">
        <v>192</v>
      </c>
      <c r="B197" s="107" t="n"/>
      <c r="C197" s="331">
        <f>SUMIFS(DATA!$M:$M,DATA!$C:$C,$B197,DATA!$N:$N,"&gt;="&amp;DATE(C$5,1,1),DATA!$N:$N,"&lt;="&amp;DATE(C$5,12,31))</f>
        <v/>
      </c>
      <c r="D197" s="331">
        <f>SUMIFS(DATA!$M:$M,DATA!$C:$C,$B197,DATA!$N:$N,"&gt;="&amp;DATE(D$5,1,1),DATA!$N:$N,"&lt;="&amp;DATE(D$5,12,31))</f>
        <v/>
      </c>
      <c r="E197" s="331">
        <f>SUMIFS(DATA!$M:$M,DATA!$C:$C,$B197,DATA!$N:$N,"&gt;="&amp;DATE(E$5,1,1),DATA!$N:$N,"&lt;="&amp;DATE(E$5,12,31))</f>
        <v/>
      </c>
      <c r="F197" s="331">
        <f>SUMIFS(DATA!$M:$M,DATA!$C:$C,$B197,DATA!$N:$N,"&gt;="&amp;DATE(F$5,1,1),DATA!$N:$N,"&lt;="&amp;DATE(F$5,12,31))</f>
        <v/>
      </c>
      <c r="G197" s="331">
        <f>SUMIFS(DATA!$M:$M,DATA!$C:$C,$B197,DATA!$N:$N,"&gt;="&amp;DATE(G$5,1,1),DATA!$N:$N,"&lt;="&amp;DATE(G$5,12,31))</f>
        <v/>
      </c>
      <c r="H197" s="331">
        <f>SUMIFS(DATA!$M:$M,DATA!$C:$C,$B197,DATA!$N:$N,"&gt;="&amp;DATE(H$5,1,1),DATA!$N:$N,"&lt;="&amp;DATE(H$5,12,31))</f>
        <v/>
      </c>
      <c r="I197" s="331">
        <f>SUMIFS(DATA!$M:$M,DATA!$C:$C,$B197,DATA!$N:$N,"&gt;="&amp;DATE(I$5,1,1),DATA!$N:$N,"&lt;="&amp;DATE(I$5,12,31))</f>
        <v/>
      </c>
      <c r="J197" s="332">
        <f>SUM(C197:I197)</f>
        <v/>
      </c>
      <c r="K197" s="333">
        <f>J197/$J$506</f>
        <v/>
      </c>
    </row>
    <row r="198" hidden="1" outlineLevel="1" ht="32.25" customHeight="1">
      <c r="A198" s="48" t="n">
        <v>193</v>
      </c>
      <c r="B198" s="107" t="n"/>
      <c r="C198" s="331">
        <f>SUMIFS(DATA!$M:$M,DATA!$C:$C,$B198,DATA!$N:$N,"&gt;="&amp;DATE(C$5,1,1),DATA!$N:$N,"&lt;="&amp;DATE(C$5,12,31))</f>
        <v/>
      </c>
      <c r="D198" s="331">
        <f>SUMIFS(DATA!$M:$M,DATA!$C:$C,$B198,DATA!$N:$N,"&gt;="&amp;DATE(D$5,1,1),DATA!$N:$N,"&lt;="&amp;DATE(D$5,12,31))</f>
        <v/>
      </c>
      <c r="E198" s="331">
        <f>SUMIFS(DATA!$M:$M,DATA!$C:$C,$B198,DATA!$N:$N,"&gt;="&amp;DATE(E$5,1,1),DATA!$N:$N,"&lt;="&amp;DATE(E$5,12,31))</f>
        <v/>
      </c>
      <c r="F198" s="331">
        <f>SUMIFS(DATA!$M:$M,DATA!$C:$C,$B198,DATA!$N:$N,"&gt;="&amp;DATE(F$5,1,1),DATA!$N:$N,"&lt;="&amp;DATE(F$5,12,31))</f>
        <v/>
      </c>
      <c r="G198" s="331">
        <f>SUMIFS(DATA!$M:$M,DATA!$C:$C,$B198,DATA!$N:$N,"&gt;="&amp;DATE(G$5,1,1),DATA!$N:$N,"&lt;="&amp;DATE(G$5,12,31))</f>
        <v/>
      </c>
      <c r="H198" s="331">
        <f>SUMIFS(DATA!$M:$M,DATA!$C:$C,$B198,DATA!$N:$N,"&gt;="&amp;DATE(H$5,1,1),DATA!$N:$N,"&lt;="&amp;DATE(H$5,12,31))</f>
        <v/>
      </c>
      <c r="I198" s="331">
        <f>SUMIFS(DATA!$M:$M,DATA!$C:$C,$B198,DATA!$N:$N,"&gt;="&amp;DATE(I$5,1,1),DATA!$N:$N,"&lt;="&amp;DATE(I$5,12,31))</f>
        <v/>
      </c>
      <c r="J198" s="332">
        <f>SUM(C198:I198)</f>
        <v/>
      </c>
      <c r="K198" s="333">
        <f>J198/$J$506</f>
        <v/>
      </c>
    </row>
    <row r="199" hidden="1" outlineLevel="1" ht="32.25" customHeight="1">
      <c r="A199" s="48" t="n">
        <v>194</v>
      </c>
      <c r="B199" s="107" t="n"/>
      <c r="C199" s="331">
        <f>SUMIFS(DATA!$M:$M,DATA!$C:$C,$B199,DATA!$N:$N,"&gt;="&amp;DATE(C$5,1,1),DATA!$N:$N,"&lt;="&amp;DATE(C$5,12,31))</f>
        <v/>
      </c>
      <c r="D199" s="331">
        <f>SUMIFS(DATA!$M:$M,DATA!$C:$C,$B199,DATA!$N:$N,"&gt;="&amp;DATE(D$5,1,1),DATA!$N:$N,"&lt;="&amp;DATE(D$5,12,31))</f>
        <v/>
      </c>
      <c r="E199" s="331">
        <f>SUMIFS(DATA!$M:$M,DATA!$C:$C,$B199,DATA!$N:$N,"&gt;="&amp;DATE(E$5,1,1),DATA!$N:$N,"&lt;="&amp;DATE(E$5,12,31))</f>
        <v/>
      </c>
      <c r="F199" s="331">
        <f>SUMIFS(DATA!$M:$M,DATA!$C:$C,$B199,DATA!$N:$N,"&gt;="&amp;DATE(F$5,1,1),DATA!$N:$N,"&lt;="&amp;DATE(F$5,12,31))</f>
        <v/>
      </c>
      <c r="G199" s="331">
        <f>SUMIFS(DATA!$M:$M,DATA!$C:$C,$B199,DATA!$N:$N,"&gt;="&amp;DATE(G$5,1,1),DATA!$N:$N,"&lt;="&amp;DATE(G$5,12,31))</f>
        <v/>
      </c>
      <c r="H199" s="331">
        <f>SUMIFS(DATA!$M:$M,DATA!$C:$C,$B199,DATA!$N:$N,"&gt;="&amp;DATE(H$5,1,1),DATA!$N:$N,"&lt;="&amp;DATE(H$5,12,31))</f>
        <v/>
      </c>
      <c r="I199" s="331">
        <f>SUMIFS(DATA!$M:$M,DATA!$C:$C,$B199,DATA!$N:$N,"&gt;="&amp;DATE(I$5,1,1),DATA!$N:$N,"&lt;="&amp;DATE(I$5,12,31))</f>
        <v/>
      </c>
      <c r="J199" s="332">
        <f>SUM(C199:I199)</f>
        <v/>
      </c>
      <c r="K199" s="333">
        <f>J199/$J$506</f>
        <v/>
      </c>
    </row>
    <row r="200" hidden="1" outlineLevel="1" ht="32.25" customHeight="1">
      <c r="A200" s="48" t="n">
        <v>195</v>
      </c>
      <c r="B200" s="107" t="n"/>
      <c r="C200" s="331">
        <f>SUMIFS(DATA!$M:$M,DATA!$C:$C,$B200,DATA!$N:$N,"&gt;="&amp;DATE(C$5,1,1),DATA!$N:$N,"&lt;="&amp;DATE(C$5,12,31))</f>
        <v/>
      </c>
      <c r="D200" s="331">
        <f>SUMIFS(DATA!$M:$M,DATA!$C:$C,$B200,DATA!$N:$N,"&gt;="&amp;DATE(D$5,1,1),DATA!$N:$N,"&lt;="&amp;DATE(D$5,12,31))</f>
        <v/>
      </c>
      <c r="E200" s="331">
        <f>SUMIFS(DATA!$M:$M,DATA!$C:$C,$B200,DATA!$N:$N,"&gt;="&amp;DATE(E$5,1,1),DATA!$N:$N,"&lt;="&amp;DATE(E$5,12,31))</f>
        <v/>
      </c>
      <c r="F200" s="331">
        <f>SUMIFS(DATA!$M:$M,DATA!$C:$C,$B200,DATA!$N:$N,"&gt;="&amp;DATE(F$5,1,1),DATA!$N:$N,"&lt;="&amp;DATE(F$5,12,31))</f>
        <v/>
      </c>
      <c r="G200" s="331">
        <f>SUMIFS(DATA!$M:$M,DATA!$C:$C,$B200,DATA!$N:$N,"&gt;="&amp;DATE(G$5,1,1),DATA!$N:$N,"&lt;="&amp;DATE(G$5,12,31))</f>
        <v/>
      </c>
      <c r="H200" s="331">
        <f>SUMIFS(DATA!$M:$M,DATA!$C:$C,$B200,DATA!$N:$N,"&gt;="&amp;DATE(H$5,1,1),DATA!$N:$N,"&lt;="&amp;DATE(H$5,12,31))</f>
        <v/>
      </c>
      <c r="I200" s="331">
        <f>SUMIFS(DATA!$M:$M,DATA!$C:$C,$B200,DATA!$N:$N,"&gt;="&amp;DATE(I$5,1,1),DATA!$N:$N,"&lt;="&amp;DATE(I$5,12,31))</f>
        <v/>
      </c>
      <c r="J200" s="332">
        <f>SUM(C200:I200)</f>
        <v/>
      </c>
      <c r="K200" s="333">
        <f>J200/$J$506</f>
        <v/>
      </c>
    </row>
    <row r="201" hidden="1" outlineLevel="1" ht="32.25" customHeight="1">
      <c r="A201" s="48" t="n">
        <v>196</v>
      </c>
      <c r="B201" s="107" t="n"/>
      <c r="C201" s="331">
        <f>SUMIFS(DATA!$M:$M,DATA!$C:$C,$B201,DATA!$N:$N,"&gt;="&amp;DATE(C$5,1,1),DATA!$N:$N,"&lt;="&amp;DATE(C$5,12,31))</f>
        <v/>
      </c>
      <c r="D201" s="331">
        <f>SUMIFS(DATA!$M:$M,DATA!$C:$C,$B201,DATA!$N:$N,"&gt;="&amp;DATE(D$5,1,1),DATA!$N:$N,"&lt;="&amp;DATE(D$5,12,31))</f>
        <v/>
      </c>
      <c r="E201" s="331">
        <f>SUMIFS(DATA!$M:$M,DATA!$C:$C,$B201,DATA!$N:$N,"&gt;="&amp;DATE(E$5,1,1),DATA!$N:$N,"&lt;="&amp;DATE(E$5,12,31))</f>
        <v/>
      </c>
      <c r="F201" s="331">
        <f>SUMIFS(DATA!$M:$M,DATA!$C:$C,$B201,DATA!$N:$N,"&gt;="&amp;DATE(F$5,1,1),DATA!$N:$N,"&lt;="&amp;DATE(F$5,12,31))</f>
        <v/>
      </c>
      <c r="G201" s="331">
        <f>SUMIFS(DATA!$M:$M,DATA!$C:$C,$B201,DATA!$N:$N,"&gt;="&amp;DATE(G$5,1,1),DATA!$N:$N,"&lt;="&amp;DATE(G$5,12,31))</f>
        <v/>
      </c>
      <c r="H201" s="331">
        <f>SUMIFS(DATA!$M:$M,DATA!$C:$C,$B201,DATA!$N:$N,"&gt;="&amp;DATE(H$5,1,1),DATA!$N:$N,"&lt;="&amp;DATE(H$5,12,31))</f>
        <v/>
      </c>
      <c r="I201" s="331">
        <f>SUMIFS(DATA!$M:$M,DATA!$C:$C,$B201,DATA!$N:$N,"&gt;="&amp;DATE(I$5,1,1),DATA!$N:$N,"&lt;="&amp;DATE(I$5,12,31))</f>
        <v/>
      </c>
      <c r="J201" s="332">
        <f>SUM(C201:I201)</f>
        <v/>
      </c>
      <c r="K201" s="333">
        <f>J201/$J$506</f>
        <v/>
      </c>
    </row>
    <row r="202" hidden="1" outlineLevel="1" ht="32.25" customHeight="1">
      <c r="A202" s="48" t="n">
        <v>197</v>
      </c>
      <c r="B202" s="107" t="n"/>
      <c r="C202" s="331">
        <f>SUMIFS(DATA!$M:$M,DATA!$C:$C,$B202,DATA!$N:$N,"&gt;="&amp;DATE(C$5,1,1),DATA!$N:$N,"&lt;="&amp;DATE(C$5,12,31))</f>
        <v/>
      </c>
      <c r="D202" s="331">
        <f>SUMIFS(DATA!$M:$M,DATA!$C:$C,$B202,DATA!$N:$N,"&gt;="&amp;DATE(D$5,1,1),DATA!$N:$N,"&lt;="&amp;DATE(D$5,12,31))</f>
        <v/>
      </c>
      <c r="E202" s="331">
        <f>SUMIFS(DATA!$M:$M,DATA!$C:$C,$B202,DATA!$N:$N,"&gt;="&amp;DATE(E$5,1,1),DATA!$N:$N,"&lt;="&amp;DATE(E$5,12,31))</f>
        <v/>
      </c>
      <c r="F202" s="331">
        <f>SUMIFS(DATA!$M:$M,DATA!$C:$C,$B202,DATA!$N:$N,"&gt;="&amp;DATE(F$5,1,1),DATA!$N:$N,"&lt;="&amp;DATE(F$5,12,31))</f>
        <v/>
      </c>
      <c r="G202" s="331">
        <f>SUMIFS(DATA!$M:$M,DATA!$C:$C,$B202,DATA!$N:$N,"&gt;="&amp;DATE(G$5,1,1),DATA!$N:$N,"&lt;="&amp;DATE(G$5,12,31))</f>
        <v/>
      </c>
      <c r="H202" s="331">
        <f>SUMIFS(DATA!$M:$M,DATA!$C:$C,$B202,DATA!$N:$N,"&gt;="&amp;DATE(H$5,1,1),DATA!$N:$N,"&lt;="&amp;DATE(H$5,12,31))</f>
        <v/>
      </c>
      <c r="I202" s="331">
        <f>SUMIFS(DATA!$M:$M,DATA!$C:$C,$B202,DATA!$N:$N,"&gt;="&amp;DATE(I$5,1,1),DATA!$N:$N,"&lt;="&amp;DATE(I$5,12,31))</f>
        <v/>
      </c>
      <c r="J202" s="332">
        <f>SUM(C202:I202)</f>
        <v/>
      </c>
      <c r="K202" s="333">
        <f>J202/$J$506</f>
        <v/>
      </c>
    </row>
    <row r="203" hidden="1" outlineLevel="1" ht="32.25" customHeight="1">
      <c r="A203" s="48" t="n">
        <v>198</v>
      </c>
      <c r="B203" s="107" t="n"/>
      <c r="C203" s="331">
        <f>SUMIFS(DATA!$M:$M,DATA!$C:$C,$B203,DATA!$N:$N,"&gt;="&amp;DATE(C$5,1,1),DATA!$N:$N,"&lt;="&amp;DATE(C$5,12,31))</f>
        <v/>
      </c>
      <c r="D203" s="331">
        <f>SUMIFS(DATA!$M:$M,DATA!$C:$C,$B203,DATA!$N:$N,"&gt;="&amp;DATE(D$5,1,1),DATA!$N:$N,"&lt;="&amp;DATE(D$5,12,31))</f>
        <v/>
      </c>
      <c r="E203" s="331">
        <f>SUMIFS(DATA!$M:$M,DATA!$C:$C,$B203,DATA!$N:$N,"&gt;="&amp;DATE(E$5,1,1),DATA!$N:$N,"&lt;="&amp;DATE(E$5,12,31))</f>
        <v/>
      </c>
      <c r="F203" s="331">
        <f>SUMIFS(DATA!$M:$M,DATA!$C:$C,$B203,DATA!$N:$N,"&gt;="&amp;DATE(F$5,1,1),DATA!$N:$N,"&lt;="&amp;DATE(F$5,12,31))</f>
        <v/>
      </c>
      <c r="G203" s="331">
        <f>SUMIFS(DATA!$M:$M,DATA!$C:$C,$B203,DATA!$N:$N,"&gt;="&amp;DATE(G$5,1,1),DATA!$N:$N,"&lt;="&amp;DATE(G$5,12,31))</f>
        <v/>
      </c>
      <c r="H203" s="331">
        <f>SUMIFS(DATA!$M:$M,DATA!$C:$C,$B203,DATA!$N:$N,"&gt;="&amp;DATE(H$5,1,1),DATA!$N:$N,"&lt;="&amp;DATE(H$5,12,31))</f>
        <v/>
      </c>
      <c r="I203" s="331">
        <f>SUMIFS(DATA!$M:$M,DATA!$C:$C,$B203,DATA!$N:$N,"&gt;="&amp;DATE(I$5,1,1),DATA!$N:$N,"&lt;="&amp;DATE(I$5,12,31))</f>
        <v/>
      </c>
      <c r="J203" s="332">
        <f>SUM(C203:I203)</f>
        <v/>
      </c>
      <c r="K203" s="333">
        <f>J203/$J$506</f>
        <v/>
      </c>
    </row>
    <row r="204" hidden="1" outlineLevel="1" ht="32.25" customHeight="1">
      <c r="A204" s="48" t="n">
        <v>199</v>
      </c>
      <c r="B204" s="107" t="n"/>
      <c r="C204" s="331">
        <f>SUMIFS(DATA!$M:$M,DATA!$C:$C,$B204,DATA!$N:$N,"&gt;="&amp;DATE(C$5,1,1),DATA!$N:$N,"&lt;="&amp;DATE(C$5,12,31))</f>
        <v/>
      </c>
      <c r="D204" s="331">
        <f>SUMIFS(DATA!$M:$M,DATA!$C:$C,$B204,DATA!$N:$N,"&gt;="&amp;DATE(D$5,1,1),DATA!$N:$N,"&lt;="&amp;DATE(D$5,12,31))</f>
        <v/>
      </c>
      <c r="E204" s="331">
        <f>SUMIFS(DATA!$M:$M,DATA!$C:$C,$B204,DATA!$N:$N,"&gt;="&amp;DATE(E$5,1,1),DATA!$N:$N,"&lt;="&amp;DATE(E$5,12,31))</f>
        <v/>
      </c>
      <c r="F204" s="331">
        <f>SUMIFS(DATA!$M:$M,DATA!$C:$C,$B204,DATA!$N:$N,"&gt;="&amp;DATE(F$5,1,1),DATA!$N:$N,"&lt;="&amp;DATE(F$5,12,31))</f>
        <v/>
      </c>
      <c r="G204" s="331">
        <f>SUMIFS(DATA!$M:$M,DATA!$C:$C,$B204,DATA!$N:$N,"&gt;="&amp;DATE(G$5,1,1),DATA!$N:$N,"&lt;="&amp;DATE(G$5,12,31))</f>
        <v/>
      </c>
      <c r="H204" s="331">
        <f>SUMIFS(DATA!$M:$M,DATA!$C:$C,$B204,DATA!$N:$N,"&gt;="&amp;DATE(H$5,1,1),DATA!$N:$N,"&lt;="&amp;DATE(H$5,12,31))</f>
        <v/>
      </c>
      <c r="I204" s="331">
        <f>SUMIFS(DATA!$M:$M,DATA!$C:$C,$B204,DATA!$N:$N,"&gt;="&amp;DATE(I$5,1,1),DATA!$N:$N,"&lt;="&amp;DATE(I$5,12,31))</f>
        <v/>
      </c>
      <c r="J204" s="332">
        <f>SUM(C204:I204)</f>
        <v/>
      </c>
      <c r="K204" s="333">
        <f>J204/$J$506</f>
        <v/>
      </c>
    </row>
    <row r="205" hidden="1" outlineLevel="1" ht="32.25" customHeight="1">
      <c r="A205" s="48" t="n">
        <v>200</v>
      </c>
      <c r="B205" s="107" t="n"/>
      <c r="C205" s="331">
        <f>SUMIFS(DATA!$M:$M,DATA!$C:$C,$B205,DATA!$N:$N,"&gt;="&amp;DATE(C$5,1,1),DATA!$N:$N,"&lt;="&amp;DATE(C$5,12,31))</f>
        <v/>
      </c>
      <c r="D205" s="331">
        <f>SUMIFS(DATA!$M:$M,DATA!$C:$C,$B205,DATA!$N:$N,"&gt;="&amp;DATE(D$5,1,1),DATA!$N:$N,"&lt;="&amp;DATE(D$5,12,31))</f>
        <v/>
      </c>
      <c r="E205" s="331">
        <f>SUMIFS(DATA!$M:$M,DATA!$C:$C,$B205,DATA!$N:$N,"&gt;="&amp;DATE(E$5,1,1),DATA!$N:$N,"&lt;="&amp;DATE(E$5,12,31))</f>
        <v/>
      </c>
      <c r="F205" s="331">
        <f>SUMIFS(DATA!$M:$M,DATA!$C:$C,$B205,DATA!$N:$N,"&gt;="&amp;DATE(F$5,1,1),DATA!$N:$N,"&lt;="&amp;DATE(F$5,12,31))</f>
        <v/>
      </c>
      <c r="G205" s="331">
        <f>SUMIFS(DATA!$M:$M,DATA!$C:$C,$B205,DATA!$N:$N,"&gt;="&amp;DATE(G$5,1,1),DATA!$N:$N,"&lt;="&amp;DATE(G$5,12,31))</f>
        <v/>
      </c>
      <c r="H205" s="331">
        <f>SUMIFS(DATA!$M:$M,DATA!$C:$C,$B205,DATA!$N:$N,"&gt;="&amp;DATE(H$5,1,1),DATA!$N:$N,"&lt;="&amp;DATE(H$5,12,31))</f>
        <v/>
      </c>
      <c r="I205" s="331">
        <f>SUMIFS(DATA!$M:$M,DATA!$C:$C,$B205,DATA!$N:$N,"&gt;="&amp;DATE(I$5,1,1),DATA!$N:$N,"&lt;="&amp;DATE(I$5,12,31))</f>
        <v/>
      </c>
      <c r="J205" s="332">
        <f>SUM(C205:I205)</f>
        <v/>
      </c>
      <c r="K205" s="333">
        <f>J205/$J$506</f>
        <v/>
      </c>
    </row>
    <row r="206" hidden="1" outlineLevel="1" ht="32.25" customHeight="1">
      <c r="A206" s="48" t="n">
        <v>201</v>
      </c>
      <c r="B206" s="107" t="n"/>
      <c r="C206" s="331">
        <f>SUMIFS(DATA!$M:$M,DATA!$C:$C,$B206,DATA!$N:$N,"&gt;="&amp;DATE(C$5,1,1),DATA!$N:$N,"&lt;="&amp;DATE(C$5,12,31))</f>
        <v/>
      </c>
      <c r="D206" s="331">
        <f>SUMIFS(DATA!$M:$M,DATA!$C:$C,$B206,DATA!$N:$N,"&gt;="&amp;DATE(D$5,1,1),DATA!$N:$N,"&lt;="&amp;DATE(D$5,12,31))</f>
        <v/>
      </c>
      <c r="E206" s="331">
        <f>SUMIFS(DATA!$M:$M,DATA!$C:$C,$B206,DATA!$N:$N,"&gt;="&amp;DATE(E$5,1,1),DATA!$N:$N,"&lt;="&amp;DATE(E$5,12,31))</f>
        <v/>
      </c>
      <c r="F206" s="331">
        <f>SUMIFS(DATA!$M:$M,DATA!$C:$C,$B206,DATA!$N:$N,"&gt;="&amp;DATE(F$5,1,1),DATA!$N:$N,"&lt;="&amp;DATE(F$5,12,31))</f>
        <v/>
      </c>
      <c r="G206" s="331">
        <f>SUMIFS(DATA!$M:$M,DATA!$C:$C,$B206,DATA!$N:$N,"&gt;="&amp;DATE(G$5,1,1),DATA!$N:$N,"&lt;="&amp;DATE(G$5,12,31))</f>
        <v/>
      </c>
      <c r="H206" s="331">
        <f>SUMIFS(DATA!$M:$M,DATA!$C:$C,$B206,DATA!$N:$N,"&gt;="&amp;DATE(H$5,1,1),DATA!$N:$N,"&lt;="&amp;DATE(H$5,12,31))</f>
        <v/>
      </c>
      <c r="I206" s="331">
        <f>SUMIFS(DATA!$M:$M,DATA!$C:$C,$B206,DATA!$N:$N,"&gt;="&amp;DATE(I$5,1,1),DATA!$N:$N,"&lt;="&amp;DATE(I$5,12,31))</f>
        <v/>
      </c>
      <c r="J206" s="332">
        <f>SUM(C206:I206)</f>
        <v/>
      </c>
      <c r="K206" s="333">
        <f>J206/$J$506</f>
        <v/>
      </c>
    </row>
    <row r="207" hidden="1" outlineLevel="1" ht="32.25" customHeight="1">
      <c r="A207" s="48" t="n">
        <v>202</v>
      </c>
      <c r="B207" s="107" t="n"/>
      <c r="C207" s="331">
        <f>SUMIFS(DATA!$M:$M,DATA!$C:$C,$B207,DATA!$N:$N,"&gt;="&amp;DATE(C$5,1,1),DATA!$N:$N,"&lt;="&amp;DATE(C$5,12,31))</f>
        <v/>
      </c>
      <c r="D207" s="331">
        <f>SUMIFS(DATA!$M:$M,DATA!$C:$C,$B207,DATA!$N:$N,"&gt;="&amp;DATE(D$5,1,1),DATA!$N:$N,"&lt;="&amp;DATE(D$5,12,31))</f>
        <v/>
      </c>
      <c r="E207" s="331">
        <f>SUMIFS(DATA!$M:$M,DATA!$C:$C,$B207,DATA!$N:$N,"&gt;="&amp;DATE(E$5,1,1),DATA!$N:$N,"&lt;="&amp;DATE(E$5,12,31))</f>
        <v/>
      </c>
      <c r="F207" s="331">
        <f>SUMIFS(DATA!$M:$M,DATA!$C:$C,$B207,DATA!$N:$N,"&gt;="&amp;DATE(F$5,1,1),DATA!$N:$N,"&lt;="&amp;DATE(F$5,12,31))</f>
        <v/>
      </c>
      <c r="G207" s="331">
        <f>SUMIFS(DATA!$M:$M,DATA!$C:$C,$B207,DATA!$N:$N,"&gt;="&amp;DATE(G$5,1,1),DATA!$N:$N,"&lt;="&amp;DATE(G$5,12,31))</f>
        <v/>
      </c>
      <c r="H207" s="331">
        <f>SUMIFS(DATA!$M:$M,DATA!$C:$C,$B207,DATA!$N:$N,"&gt;="&amp;DATE(H$5,1,1),DATA!$N:$N,"&lt;="&amp;DATE(H$5,12,31))</f>
        <v/>
      </c>
      <c r="I207" s="331">
        <f>SUMIFS(DATA!$M:$M,DATA!$C:$C,$B207,DATA!$N:$N,"&gt;="&amp;DATE(I$5,1,1),DATA!$N:$N,"&lt;="&amp;DATE(I$5,12,31))</f>
        <v/>
      </c>
      <c r="J207" s="332">
        <f>SUM(C207:I207)</f>
        <v/>
      </c>
      <c r="K207" s="333">
        <f>J207/$J$506</f>
        <v/>
      </c>
    </row>
    <row r="208" hidden="1" outlineLevel="1" ht="32.25" customHeight="1">
      <c r="A208" s="48" t="n">
        <v>203</v>
      </c>
      <c r="B208" s="107" t="n"/>
      <c r="C208" s="331">
        <f>SUMIFS(DATA!$M:$M,DATA!$C:$C,$B208,DATA!$N:$N,"&gt;="&amp;DATE(C$5,1,1),DATA!$N:$N,"&lt;="&amp;DATE(C$5,12,31))</f>
        <v/>
      </c>
      <c r="D208" s="331">
        <f>SUMIFS(DATA!$M:$M,DATA!$C:$C,$B208,DATA!$N:$N,"&gt;="&amp;DATE(D$5,1,1),DATA!$N:$N,"&lt;="&amp;DATE(D$5,12,31))</f>
        <v/>
      </c>
      <c r="E208" s="331">
        <f>SUMIFS(DATA!$M:$M,DATA!$C:$C,$B208,DATA!$N:$N,"&gt;="&amp;DATE(E$5,1,1),DATA!$N:$N,"&lt;="&amp;DATE(E$5,12,31))</f>
        <v/>
      </c>
      <c r="F208" s="331">
        <f>SUMIFS(DATA!$M:$M,DATA!$C:$C,$B208,DATA!$N:$N,"&gt;="&amp;DATE(F$5,1,1),DATA!$N:$N,"&lt;="&amp;DATE(F$5,12,31))</f>
        <v/>
      </c>
      <c r="G208" s="331">
        <f>SUMIFS(DATA!$M:$M,DATA!$C:$C,$B208,DATA!$N:$N,"&gt;="&amp;DATE(G$5,1,1),DATA!$N:$N,"&lt;="&amp;DATE(G$5,12,31))</f>
        <v/>
      </c>
      <c r="H208" s="331">
        <f>SUMIFS(DATA!$M:$M,DATA!$C:$C,$B208,DATA!$N:$N,"&gt;="&amp;DATE(H$5,1,1),DATA!$N:$N,"&lt;="&amp;DATE(H$5,12,31))</f>
        <v/>
      </c>
      <c r="I208" s="331">
        <f>SUMIFS(DATA!$M:$M,DATA!$C:$C,$B208,DATA!$N:$N,"&gt;="&amp;DATE(I$5,1,1),DATA!$N:$N,"&lt;="&amp;DATE(I$5,12,31))</f>
        <v/>
      </c>
      <c r="J208" s="332">
        <f>SUM(C208:I208)</f>
        <v/>
      </c>
      <c r="K208" s="333">
        <f>J208/$J$506</f>
        <v/>
      </c>
    </row>
    <row r="209" hidden="1" outlineLevel="1" ht="32.25" customHeight="1">
      <c r="A209" s="48" t="n">
        <v>204</v>
      </c>
      <c r="B209" s="107" t="n"/>
      <c r="C209" s="331">
        <f>SUMIFS(DATA!$M:$M,DATA!$C:$C,$B209,DATA!$N:$N,"&gt;="&amp;DATE(C$5,1,1),DATA!$N:$N,"&lt;="&amp;DATE(C$5,12,31))</f>
        <v/>
      </c>
      <c r="D209" s="331">
        <f>SUMIFS(DATA!$M:$M,DATA!$C:$C,$B209,DATA!$N:$N,"&gt;="&amp;DATE(D$5,1,1),DATA!$N:$N,"&lt;="&amp;DATE(D$5,12,31))</f>
        <v/>
      </c>
      <c r="E209" s="331">
        <f>SUMIFS(DATA!$M:$M,DATA!$C:$C,$B209,DATA!$N:$N,"&gt;="&amp;DATE(E$5,1,1),DATA!$N:$N,"&lt;="&amp;DATE(E$5,12,31))</f>
        <v/>
      </c>
      <c r="F209" s="331">
        <f>SUMIFS(DATA!$M:$M,DATA!$C:$C,$B209,DATA!$N:$N,"&gt;="&amp;DATE(F$5,1,1),DATA!$N:$N,"&lt;="&amp;DATE(F$5,12,31))</f>
        <v/>
      </c>
      <c r="G209" s="331">
        <f>SUMIFS(DATA!$M:$M,DATA!$C:$C,$B209,DATA!$N:$N,"&gt;="&amp;DATE(G$5,1,1),DATA!$N:$N,"&lt;="&amp;DATE(G$5,12,31))</f>
        <v/>
      </c>
      <c r="H209" s="331">
        <f>SUMIFS(DATA!$M:$M,DATA!$C:$C,$B209,DATA!$N:$N,"&gt;="&amp;DATE(H$5,1,1),DATA!$N:$N,"&lt;="&amp;DATE(H$5,12,31))</f>
        <v/>
      </c>
      <c r="I209" s="331">
        <f>SUMIFS(DATA!$M:$M,DATA!$C:$C,$B209,DATA!$N:$N,"&gt;="&amp;DATE(I$5,1,1),DATA!$N:$N,"&lt;="&amp;DATE(I$5,12,31))</f>
        <v/>
      </c>
      <c r="J209" s="332">
        <f>SUM(C209:I209)</f>
        <v/>
      </c>
      <c r="K209" s="333">
        <f>J209/$J$506</f>
        <v/>
      </c>
    </row>
    <row r="210" hidden="1" outlineLevel="1" ht="32.25" customHeight="1">
      <c r="A210" s="48" t="n">
        <v>205</v>
      </c>
      <c r="B210" s="107" t="n"/>
      <c r="C210" s="331">
        <f>SUMIFS(DATA!$M:$M,DATA!$C:$C,$B210,DATA!$N:$N,"&gt;="&amp;DATE(C$5,1,1),DATA!$N:$N,"&lt;="&amp;DATE(C$5,12,31))</f>
        <v/>
      </c>
      <c r="D210" s="331">
        <f>SUMIFS(DATA!$M:$M,DATA!$C:$C,$B210,DATA!$N:$N,"&gt;="&amp;DATE(D$5,1,1),DATA!$N:$N,"&lt;="&amp;DATE(D$5,12,31))</f>
        <v/>
      </c>
      <c r="E210" s="331">
        <f>SUMIFS(DATA!$M:$M,DATA!$C:$C,$B210,DATA!$N:$N,"&gt;="&amp;DATE(E$5,1,1),DATA!$N:$N,"&lt;="&amp;DATE(E$5,12,31))</f>
        <v/>
      </c>
      <c r="F210" s="331">
        <f>SUMIFS(DATA!$M:$M,DATA!$C:$C,$B210,DATA!$N:$N,"&gt;="&amp;DATE(F$5,1,1),DATA!$N:$N,"&lt;="&amp;DATE(F$5,12,31))</f>
        <v/>
      </c>
      <c r="G210" s="331">
        <f>SUMIFS(DATA!$M:$M,DATA!$C:$C,$B210,DATA!$N:$N,"&gt;="&amp;DATE(G$5,1,1),DATA!$N:$N,"&lt;="&amp;DATE(G$5,12,31))</f>
        <v/>
      </c>
      <c r="H210" s="331">
        <f>SUMIFS(DATA!$M:$M,DATA!$C:$C,$B210,DATA!$N:$N,"&gt;="&amp;DATE(H$5,1,1),DATA!$N:$N,"&lt;="&amp;DATE(H$5,12,31))</f>
        <v/>
      </c>
      <c r="I210" s="331">
        <f>SUMIFS(DATA!$M:$M,DATA!$C:$C,$B210,DATA!$N:$N,"&gt;="&amp;DATE(I$5,1,1),DATA!$N:$N,"&lt;="&amp;DATE(I$5,12,31))</f>
        <v/>
      </c>
      <c r="J210" s="332">
        <f>SUM(C210:I210)</f>
        <v/>
      </c>
      <c r="K210" s="333">
        <f>J210/$J$506</f>
        <v/>
      </c>
    </row>
    <row r="211" hidden="1" outlineLevel="1" ht="32.25" customHeight="1">
      <c r="A211" s="48" t="n">
        <v>206</v>
      </c>
      <c r="B211" s="107" t="n"/>
      <c r="C211" s="331">
        <f>SUMIFS(DATA!$M:$M,DATA!$C:$C,$B211,DATA!$N:$N,"&gt;="&amp;DATE(C$5,1,1),DATA!$N:$N,"&lt;="&amp;DATE(C$5,12,31))</f>
        <v/>
      </c>
      <c r="D211" s="331">
        <f>SUMIFS(DATA!$M:$M,DATA!$C:$C,$B211,DATA!$N:$N,"&gt;="&amp;DATE(D$5,1,1),DATA!$N:$N,"&lt;="&amp;DATE(D$5,12,31))</f>
        <v/>
      </c>
      <c r="E211" s="331">
        <f>SUMIFS(DATA!$M:$M,DATA!$C:$C,$B211,DATA!$N:$N,"&gt;="&amp;DATE(E$5,1,1),DATA!$N:$N,"&lt;="&amp;DATE(E$5,12,31))</f>
        <v/>
      </c>
      <c r="F211" s="331">
        <f>SUMIFS(DATA!$M:$M,DATA!$C:$C,$B211,DATA!$N:$N,"&gt;="&amp;DATE(F$5,1,1),DATA!$N:$N,"&lt;="&amp;DATE(F$5,12,31))</f>
        <v/>
      </c>
      <c r="G211" s="331">
        <f>SUMIFS(DATA!$M:$M,DATA!$C:$C,$B211,DATA!$N:$N,"&gt;="&amp;DATE(G$5,1,1),DATA!$N:$N,"&lt;="&amp;DATE(G$5,12,31))</f>
        <v/>
      </c>
      <c r="H211" s="331">
        <f>SUMIFS(DATA!$M:$M,DATA!$C:$C,$B211,DATA!$N:$N,"&gt;="&amp;DATE(H$5,1,1),DATA!$N:$N,"&lt;="&amp;DATE(H$5,12,31))</f>
        <v/>
      </c>
      <c r="I211" s="331">
        <f>SUMIFS(DATA!$M:$M,DATA!$C:$C,$B211,DATA!$N:$N,"&gt;="&amp;DATE(I$5,1,1),DATA!$N:$N,"&lt;="&amp;DATE(I$5,12,31))</f>
        <v/>
      </c>
      <c r="J211" s="332">
        <f>SUM(C211:I211)</f>
        <v/>
      </c>
      <c r="K211" s="333">
        <f>J211/$J$506</f>
        <v/>
      </c>
    </row>
    <row r="212" hidden="1" outlineLevel="1" ht="32.25" customHeight="1">
      <c r="A212" s="48" t="n">
        <v>207</v>
      </c>
      <c r="B212" s="107" t="n"/>
      <c r="C212" s="331">
        <f>SUMIFS(DATA!$M:$M,DATA!$C:$C,$B212,DATA!$N:$N,"&gt;="&amp;DATE(C$5,1,1),DATA!$N:$N,"&lt;="&amp;DATE(C$5,12,31))</f>
        <v/>
      </c>
      <c r="D212" s="331">
        <f>SUMIFS(DATA!$M:$M,DATA!$C:$C,$B212,DATA!$N:$N,"&gt;="&amp;DATE(D$5,1,1),DATA!$N:$N,"&lt;="&amp;DATE(D$5,12,31))</f>
        <v/>
      </c>
      <c r="E212" s="331">
        <f>SUMIFS(DATA!$M:$M,DATA!$C:$C,$B212,DATA!$N:$N,"&gt;="&amp;DATE(E$5,1,1),DATA!$N:$N,"&lt;="&amp;DATE(E$5,12,31))</f>
        <v/>
      </c>
      <c r="F212" s="331">
        <f>SUMIFS(DATA!$M:$M,DATA!$C:$C,$B212,DATA!$N:$N,"&gt;="&amp;DATE(F$5,1,1),DATA!$N:$N,"&lt;="&amp;DATE(F$5,12,31))</f>
        <v/>
      </c>
      <c r="G212" s="331">
        <f>SUMIFS(DATA!$M:$M,DATA!$C:$C,$B212,DATA!$N:$N,"&gt;="&amp;DATE(G$5,1,1),DATA!$N:$N,"&lt;="&amp;DATE(G$5,12,31))</f>
        <v/>
      </c>
      <c r="H212" s="331">
        <f>SUMIFS(DATA!$M:$M,DATA!$C:$C,$B212,DATA!$N:$N,"&gt;="&amp;DATE(H$5,1,1),DATA!$N:$N,"&lt;="&amp;DATE(H$5,12,31))</f>
        <v/>
      </c>
      <c r="I212" s="331">
        <f>SUMIFS(DATA!$M:$M,DATA!$C:$C,$B212,DATA!$N:$N,"&gt;="&amp;DATE(I$5,1,1),DATA!$N:$N,"&lt;="&amp;DATE(I$5,12,31))</f>
        <v/>
      </c>
      <c r="J212" s="332">
        <f>SUM(C212:I212)</f>
        <v/>
      </c>
      <c r="K212" s="333">
        <f>J212/$J$506</f>
        <v/>
      </c>
    </row>
    <row r="213" hidden="1" outlineLevel="1" ht="32.25" customHeight="1">
      <c r="A213" s="48" t="n">
        <v>208</v>
      </c>
      <c r="B213" s="107" t="n"/>
      <c r="C213" s="331">
        <f>SUMIFS(DATA!$M:$M,DATA!$C:$C,$B213,DATA!$N:$N,"&gt;="&amp;DATE(C$5,1,1),DATA!$N:$N,"&lt;="&amp;DATE(C$5,12,31))</f>
        <v/>
      </c>
      <c r="D213" s="331">
        <f>SUMIFS(DATA!$M:$M,DATA!$C:$C,$B213,DATA!$N:$N,"&gt;="&amp;DATE(D$5,1,1),DATA!$N:$N,"&lt;="&amp;DATE(D$5,12,31))</f>
        <v/>
      </c>
      <c r="E213" s="331">
        <f>SUMIFS(DATA!$M:$M,DATA!$C:$C,$B213,DATA!$N:$N,"&gt;="&amp;DATE(E$5,1,1),DATA!$N:$N,"&lt;="&amp;DATE(E$5,12,31))</f>
        <v/>
      </c>
      <c r="F213" s="331">
        <f>SUMIFS(DATA!$M:$M,DATA!$C:$C,$B213,DATA!$N:$N,"&gt;="&amp;DATE(F$5,1,1),DATA!$N:$N,"&lt;="&amp;DATE(F$5,12,31))</f>
        <v/>
      </c>
      <c r="G213" s="331">
        <f>SUMIFS(DATA!$M:$M,DATA!$C:$C,$B213,DATA!$N:$N,"&gt;="&amp;DATE(G$5,1,1),DATA!$N:$N,"&lt;="&amp;DATE(G$5,12,31))</f>
        <v/>
      </c>
      <c r="H213" s="331">
        <f>SUMIFS(DATA!$M:$M,DATA!$C:$C,$B213,DATA!$N:$N,"&gt;="&amp;DATE(H$5,1,1),DATA!$N:$N,"&lt;="&amp;DATE(H$5,12,31))</f>
        <v/>
      </c>
      <c r="I213" s="331">
        <f>SUMIFS(DATA!$M:$M,DATA!$C:$C,$B213,DATA!$N:$N,"&gt;="&amp;DATE(I$5,1,1),DATA!$N:$N,"&lt;="&amp;DATE(I$5,12,31))</f>
        <v/>
      </c>
      <c r="J213" s="332">
        <f>SUM(C213:I213)</f>
        <v/>
      </c>
      <c r="K213" s="333">
        <f>J213/$J$506</f>
        <v/>
      </c>
    </row>
    <row r="214" hidden="1" outlineLevel="1" ht="32.25" customHeight="1">
      <c r="A214" s="48" t="n">
        <v>209</v>
      </c>
      <c r="B214" s="107" t="n"/>
      <c r="C214" s="331">
        <f>SUMIFS(DATA!$M:$M,DATA!$C:$C,$B214,DATA!$N:$N,"&gt;="&amp;DATE(C$5,1,1),DATA!$N:$N,"&lt;="&amp;DATE(C$5,12,31))</f>
        <v/>
      </c>
      <c r="D214" s="331">
        <f>SUMIFS(DATA!$M:$M,DATA!$C:$C,$B214,DATA!$N:$N,"&gt;="&amp;DATE(D$5,1,1),DATA!$N:$N,"&lt;="&amp;DATE(D$5,12,31))</f>
        <v/>
      </c>
      <c r="E214" s="331">
        <f>SUMIFS(DATA!$M:$M,DATA!$C:$C,$B214,DATA!$N:$N,"&gt;="&amp;DATE(E$5,1,1),DATA!$N:$N,"&lt;="&amp;DATE(E$5,12,31))</f>
        <v/>
      </c>
      <c r="F214" s="331">
        <f>SUMIFS(DATA!$M:$M,DATA!$C:$C,$B214,DATA!$N:$N,"&gt;="&amp;DATE(F$5,1,1),DATA!$N:$N,"&lt;="&amp;DATE(F$5,12,31))</f>
        <v/>
      </c>
      <c r="G214" s="331">
        <f>SUMIFS(DATA!$M:$M,DATA!$C:$C,$B214,DATA!$N:$N,"&gt;="&amp;DATE(G$5,1,1),DATA!$N:$N,"&lt;="&amp;DATE(G$5,12,31))</f>
        <v/>
      </c>
      <c r="H214" s="331">
        <f>SUMIFS(DATA!$M:$M,DATA!$C:$C,$B214,DATA!$N:$N,"&gt;="&amp;DATE(H$5,1,1),DATA!$N:$N,"&lt;="&amp;DATE(H$5,12,31))</f>
        <v/>
      </c>
      <c r="I214" s="331">
        <f>SUMIFS(DATA!$M:$M,DATA!$C:$C,$B214,DATA!$N:$N,"&gt;="&amp;DATE(I$5,1,1),DATA!$N:$N,"&lt;="&amp;DATE(I$5,12,31))</f>
        <v/>
      </c>
      <c r="J214" s="332">
        <f>SUM(C214:I214)</f>
        <v/>
      </c>
      <c r="K214" s="333">
        <f>J214/$J$506</f>
        <v/>
      </c>
    </row>
    <row r="215" hidden="1" outlineLevel="1" ht="32.25" customHeight="1">
      <c r="A215" s="48" t="n">
        <v>210</v>
      </c>
      <c r="B215" s="107" t="n"/>
      <c r="C215" s="331">
        <f>SUMIFS(DATA!$M:$M,DATA!$C:$C,$B215,DATA!$N:$N,"&gt;="&amp;DATE(C$5,1,1),DATA!$N:$N,"&lt;="&amp;DATE(C$5,12,31))</f>
        <v/>
      </c>
      <c r="D215" s="331">
        <f>SUMIFS(DATA!$M:$M,DATA!$C:$C,$B215,DATA!$N:$N,"&gt;="&amp;DATE(D$5,1,1),DATA!$N:$N,"&lt;="&amp;DATE(D$5,12,31))</f>
        <v/>
      </c>
      <c r="E215" s="331">
        <f>SUMIFS(DATA!$M:$M,DATA!$C:$C,$B215,DATA!$N:$N,"&gt;="&amp;DATE(E$5,1,1),DATA!$N:$N,"&lt;="&amp;DATE(E$5,12,31))</f>
        <v/>
      </c>
      <c r="F215" s="331">
        <f>SUMIFS(DATA!$M:$M,DATA!$C:$C,$B215,DATA!$N:$N,"&gt;="&amp;DATE(F$5,1,1),DATA!$N:$N,"&lt;="&amp;DATE(F$5,12,31))</f>
        <v/>
      </c>
      <c r="G215" s="331">
        <f>SUMIFS(DATA!$M:$M,DATA!$C:$C,$B215,DATA!$N:$N,"&gt;="&amp;DATE(G$5,1,1),DATA!$N:$N,"&lt;="&amp;DATE(G$5,12,31))</f>
        <v/>
      </c>
      <c r="H215" s="331">
        <f>SUMIFS(DATA!$M:$M,DATA!$C:$C,$B215,DATA!$N:$N,"&gt;="&amp;DATE(H$5,1,1),DATA!$N:$N,"&lt;="&amp;DATE(H$5,12,31))</f>
        <v/>
      </c>
      <c r="I215" s="331">
        <f>SUMIFS(DATA!$M:$M,DATA!$C:$C,$B215,DATA!$N:$N,"&gt;="&amp;DATE(I$5,1,1),DATA!$N:$N,"&lt;="&amp;DATE(I$5,12,31))</f>
        <v/>
      </c>
      <c r="J215" s="332">
        <f>SUM(C215:I215)</f>
        <v/>
      </c>
      <c r="K215" s="333">
        <f>J215/$J$506</f>
        <v/>
      </c>
    </row>
    <row r="216" hidden="1" outlineLevel="1" ht="32.25" customHeight="1">
      <c r="A216" s="48" t="n">
        <v>211</v>
      </c>
      <c r="B216" s="107" t="n"/>
      <c r="C216" s="331">
        <f>SUMIFS(DATA!$M:$M,DATA!$C:$C,$B216,DATA!$N:$N,"&gt;="&amp;DATE(C$5,1,1),DATA!$N:$N,"&lt;="&amp;DATE(C$5,12,31))</f>
        <v/>
      </c>
      <c r="D216" s="331">
        <f>SUMIFS(DATA!$M:$M,DATA!$C:$C,$B216,DATA!$N:$N,"&gt;="&amp;DATE(D$5,1,1),DATA!$N:$N,"&lt;="&amp;DATE(D$5,12,31))</f>
        <v/>
      </c>
      <c r="E216" s="331">
        <f>SUMIFS(DATA!$M:$M,DATA!$C:$C,$B216,DATA!$N:$N,"&gt;="&amp;DATE(E$5,1,1),DATA!$N:$N,"&lt;="&amp;DATE(E$5,12,31))</f>
        <v/>
      </c>
      <c r="F216" s="331">
        <f>SUMIFS(DATA!$M:$M,DATA!$C:$C,$B216,DATA!$N:$N,"&gt;="&amp;DATE(F$5,1,1),DATA!$N:$N,"&lt;="&amp;DATE(F$5,12,31))</f>
        <v/>
      </c>
      <c r="G216" s="331">
        <f>SUMIFS(DATA!$M:$M,DATA!$C:$C,$B216,DATA!$N:$N,"&gt;="&amp;DATE(G$5,1,1),DATA!$N:$N,"&lt;="&amp;DATE(G$5,12,31))</f>
        <v/>
      </c>
      <c r="H216" s="331">
        <f>SUMIFS(DATA!$M:$M,DATA!$C:$C,$B216,DATA!$N:$N,"&gt;="&amp;DATE(H$5,1,1),DATA!$N:$N,"&lt;="&amp;DATE(H$5,12,31))</f>
        <v/>
      </c>
      <c r="I216" s="331">
        <f>SUMIFS(DATA!$M:$M,DATA!$C:$C,$B216,DATA!$N:$N,"&gt;="&amp;DATE(I$5,1,1),DATA!$N:$N,"&lt;="&amp;DATE(I$5,12,31))</f>
        <v/>
      </c>
      <c r="J216" s="332">
        <f>SUM(C216:I216)</f>
        <v/>
      </c>
      <c r="K216" s="333">
        <f>J216/$J$506</f>
        <v/>
      </c>
    </row>
    <row r="217" hidden="1" outlineLevel="1" ht="32.25" customHeight="1">
      <c r="A217" s="48" t="n">
        <v>212</v>
      </c>
      <c r="B217" s="107" t="n"/>
      <c r="C217" s="331">
        <f>SUMIFS(DATA!$M:$M,DATA!$C:$C,$B217,DATA!$N:$N,"&gt;="&amp;DATE(C$5,1,1),DATA!$N:$N,"&lt;="&amp;DATE(C$5,12,31))</f>
        <v/>
      </c>
      <c r="D217" s="331">
        <f>SUMIFS(DATA!$M:$M,DATA!$C:$C,$B217,DATA!$N:$N,"&gt;="&amp;DATE(D$5,1,1),DATA!$N:$N,"&lt;="&amp;DATE(D$5,12,31))</f>
        <v/>
      </c>
      <c r="E217" s="331">
        <f>SUMIFS(DATA!$M:$M,DATA!$C:$C,$B217,DATA!$N:$N,"&gt;="&amp;DATE(E$5,1,1),DATA!$N:$N,"&lt;="&amp;DATE(E$5,12,31))</f>
        <v/>
      </c>
      <c r="F217" s="331">
        <f>SUMIFS(DATA!$M:$M,DATA!$C:$C,$B217,DATA!$N:$N,"&gt;="&amp;DATE(F$5,1,1),DATA!$N:$N,"&lt;="&amp;DATE(F$5,12,31))</f>
        <v/>
      </c>
      <c r="G217" s="331">
        <f>SUMIFS(DATA!$M:$M,DATA!$C:$C,$B217,DATA!$N:$N,"&gt;="&amp;DATE(G$5,1,1),DATA!$N:$N,"&lt;="&amp;DATE(G$5,12,31))</f>
        <v/>
      </c>
      <c r="H217" s="331">
        <f>SUMIFS(DATA!$M:$M,DATA!$C:$C,$B217,DATA!$N:$N,"&gt;="&amp;DATE(H$5,1,1),DATA!$N:$N,"&lt;="&amp;DATE(H$5,12,31))</f>
        <v/>
      </c>
      <c r="I217" s="331">
        <f>SUMIFS(DATA!$M:$M,DATA!$C:$C,$B217,DATA!$N:$N,"&gt;="&amp;DATE(I$5,1,1),DATA!$N:$N,"&lt;="&amp;DATE(I$5,12,31))</f>
        <v/>
      </c>
      <c r="J217" s="332">
        <f>SUM(C217:I217)</f>
        <v/>
      </c>
      <c r="K217" s="333">
        <f>J217/$J$506</f>
        <v/>
      </c>
    </row>
    <row r="218" hidden="1" outlineLevel="1" ht="32.25" customHeight="1">
      <c r="A218" s="48" t="n">
        <v>213</v>
      </c>
      <c r="B218" s="107" t="n"/>
      <c r="C218" s="331">
        <f>SUMIFS(DATA!$M:$M,DATA!$C:$C,$B218,DATA!$N:$N,"&gt;="&amp;DATE(C$5,1,1),DATA!$N:$N,"&lt;="&amp;DATE(C$5,12,31))</f>
        <v/>
      </c>
      <c r="D218" s="331">
        <f>SUMIFS(DATA!$M:$M,DATA!$C:$C,$B218,DATA!$N:$N,"&gt;="&amp;DATE(D$5,1,1),DATA!$N:$N,"&lt;="&amp;DATE(D$5,12,31))</f>
        <v/>
      </c>
      <c r="E218" s="331">
        <f>SUMIFS(DATA!$M:$M,DATA!$C:$C,$B218,DATA!$N:$N,"&gt;="&amp;DATE(E$5,1,1),DATA!$N:$N,"&lt;="&amp;DATE(E$5,12,31))</f>
        <v/>
      </c>
      <c r="F218" s="331">
        <f>SUMIFS(DATA!$M:$M,DATA!$C:$C,$B218,DATA!$N:$N,"&gt;="&amp;DATE(F$5,1,1),DATA!$N:$N,"&lt;="&amp;DATE(F$5,12,31))</f>
        <v/>
      </c>
      <c r="G218" s="331">
        <f>SUMIFS(DATA!$M:$M,DATA!$C:$C,$B218,DATA!$N:$N,"&gt;="&amp;DATE(G$5,1,1),DATA!$N:$N,"&lt;="&amp;DATE(G$5,12,31))</f>
        <v/>
      </c>
      <c r="H218" s="331">
        <f>SUMIFS(DATA!$M:$M,DATA!$C:$C,$B218,DATA!$N:$N,"&gt;="&amp;DATE(H$5,1,1),DATA!$N:$N,"&lt;="&amp;DATE(H$5,12,31))</f>
        <v/>
      </c>
      <c r="I218" s="331">
        <f>SUMIFS(DATA!$M:$M,DATA!$C:$C,$B218,DATA!$N:$N,"&gt;="&amp;DATE(I$5,1,1),DATA!$N:$N,"&lt;="&amp;DATE(I$5,12,31))</f>
        <v/>
      </c>
      <c r="J218" s="332">
        <f>SUM(C218:I218)</f>
        <v/>
      </c>
      <c r="K218" s="333">
        <f>J218/$J$506</f>
        <v/>
      </c>
    </row>
    <row r="219" hidden="1" outlineLevel="1" ht="32.25" customHeight="1">
      <c r="A219" s="48" t="n">
        <v>214</v>
      </c>
      <c r="B219" s="107" t="n"/>
      <c r="C219" s="331">
        <f>SUMIFS(DATA!$M:$M,DATA!$C:$C,$B219,DATA!$N:$N,"&gt;="&amp;DATE(C$5,1,1),DATA!$N:$N,"&lt;="&amp;DATE(C$5,12,31))</f>
        <v/>
      </c>
      <c r="D219" s="331">
        <f>SUMIFS(DATA!$M:$M,DATA!$C:$C,$B219,DATA!$N:$N,"&gt;="&amp;DATE(D$5,1,1),DATA!$N:$N,"&lt;="&amp;DATE(D$5,12,31))</f>
        <v/>
      </c>
      <c r="E219" s="331">
        <f>SUMIFS(DATA!$M:$M,DATA!$C:$C,$B219,DATA!$N:$N,"&gt;="&amp;DATE(E$5,1,1),DATA!$N:$N,"&lt;="&amp;DATE(E$5,12,31))</f>
        <v/>
      </c>
      <c r="F219" s="331">
        <f>SUMIFS(DATA!$M:$M,DATA!$C:$C,$B219,DATA!$N:$N,"&gt;="&amp;DATE(F$5,1,1),DATA!$N:$N,"&lt;="&amp;DATE(F$5,12,31))</f>
        <v/>
      </c>
      <c r="G219" s="331">
        <f>SUMIFS(DATA!$M:$M,DATA!$C:$C,$B219,DATA!$N:$N,"&gt;="&amp;DATE(G$5,1,1),DATA!$N:$N,"&lt;="&amp;DATE(G$5,12,31))</f>
        <v/>
      </c>
      <c r="H219" s="331">
        <f>SUMIFS(DATA!$M:$M,DATA!$C:$C,$B219,DATA!$N:$N,"&gt;="&amp;DATE(H$5,1,1),DATA!$N:$N,"&lt;="&amp;DATE(H$5,12,31))</f>
        <v/>
      </c>
      <c r="I219" s="331">
        <f>SUMIFS(DATA!$M:$M,DATA!$C:$C,$B219,DATA!$N:$N,"&gt;="&amp;DATE(I$5,1,1),DATA!$N:$N,"&lt;="&amp;DATE(I$5,12,31))</f>
        <v/>
      </c>
      <c r="J219" s="332">
        <f>SUM(C219:I219)</f>
        <v/>
      </c>
      <c r="K219" s="333">
        <f>J219/$J$506</f>
        <v/>
      </c>
    </row>
    <row r="220" hidden="1" outlineLevel="1" ht="32.25" customHeight="1">
      <c r="A220" s="48" t="n">
        <v>215</v>
      </c>
      <c r="B220" s="107" t="n"/>
      <c r="C220" s="331">
        <f>SUMIFS(DATA!$M:$M,DATA!$C:$C,$B220,DATA!$N:$N,"&gt;="&amp;DATE(C$5,1,1),DATA!$N:$N,"&lt;="&amp;DATE(C$5,12,31))</f>
        <v/>
      </c>
      <c r="D220" s="331">
        <f>SUMIFS(DATA!$M:$M,DATA!$C:$C,$B220,DATA!$N:$N,"&gt;="&amp;DATE(D$5,1,1),DATA!$N:$N,"&lt;="&amp;DATE(D$5,12,31))</f>
        <v/>
      </c>
      <c r="E220" s="331">
        <f>SUMIFS(DATA!$M:$M,DATA!$C:$C,$B220,DATA!$N:$N,"&gt;="&amp;DATE(E$5,1,1),DATA!$N:$N,"&lt;="&amp;DATE(E$5,12,31))</f>
        <v/>
      </c>
      <c r="F220" s="331">
        <f>SUMIFS(DATA!$M:$M,DATA!$C:$C,$B220,DATA!$N:$N,"&gt;="&amp;DATE(F$5,1,1),DATA!$N:$N,"&lt;="&amp;DATE(F$5,12,31))</f>
        <v/>
      </c>
      <c r="G220" s="331">
        <f>SUMIFS(DATA!$M:$M,DATA!$C:$C,$B220,DATA!$N:$N,"&gt;="&amp;DATE(G$5,1,1),DATA!$N:$N,"&lt;="&amp;DATE(G$5,12,31))</f>
        <v/>
      </c>
      <c r="H220" s="331">
        <f>SUMIFS(DATA!$M:$M,DATA!$C:$C,$B220,DATA!$N:$N,"&gt;="&amp;DATE(H$5,1,1),DATA!$N:$N,"&lt;="&amp;DATE(H$5,12,31))</f>
        <v/>
      </c>
      <c r="I220" s="331">
        <f>SUMIFS(DATA!$M:$M,DATA!$C:$C,$B220,DATA!$N:$N,"&gt;="&amp;DATE(I$5,1,1),DATA!$N:$N,"&lt;="&amp;DATE(I$5,12,31))</f>
        <v/>
      </c>
      <c r="J220" s="332">
        <f>SUM(C220:I220)</f>
        <v/>
      </c>
      <c r="K220" s="333">
        <f>J220/$J$506</f>
        <v/>
      </c>
    </row>
    <row r="221" hidden="1" outlineLevel="1" ht="32.25" customHeight="1">
      <c r="A221" s="48" t="n">
        <v>216</v>
      </c>
      <c r="B221" s="107" t="n"/>
      <c r="C221" s="331">
        <f>SUMIFS(DATA!$M:$M,DATA!$C:$C,$B221,DATA!$N:$N,"&gt;="&amp;DATE(C$5,1,1),DATA!$N:$N,"&lt;="&amp;DATE(C$5,12,31))</f>
        <v/>
      </c>
      <c r="D221" s="331">
        <f>SUMIFS(DATA!$M:$M,DATA!$C:$C,$B221,DATA!$N:$N,"&gt;="&amp;DATE(D$5,1,1),DATA!$N:$N,"&lt;="&amp;DATE(D$5,12,31))</f>
        <v/>
      </c>
      <c r="E221" s="331">
        <f>SUMIFS(DATA!$M:$M,DATA!$C:$C,$B221,DATA!$N:$N,"&gt;="&amp;DATE(E$5,1,1),DATA!$N:$N,"&lt;="&amp;DATE(E$5,12,31))</f>
        <v/>
      </c>
      <c r="F221" s="331">
        <f>SUMIFS(DATA!$M:$M,DATA!$C:$C,$B221,DATA!$N:$N,"&gt;="&amp;DATE(F$5,1,1),DATA!$N:$N,"&lt;="&amp;DATE(F$5,12,31))</f>
        <v/>
      </c>
      <c r="G221" s="331">
        <f>SUMIFS(DATA!$M:$M,DATA!$C:$C,$B221,DATA!$N:$N,"&gt;="&amp;DATE(G$5,1,1),DATA!$N:$N,"&lt;="&amp;DATE(G$5,12,31))</f>
        <v/>
      </c>
      <c r="H221" s="331">
        <f>SUMIFS(DATA!$M:$M,DATA!$C:$C,$B221,DATA!$N:$N,"&gt;="&amp;DATE(H$5,1,1),DATA!$N:$N,"&lt;="&amp;DATE(H$5,12,31))</f>
        <v/>
      </c>
      <c r="I221" s="331">
        <f>SUMIFS(DATA!$M:$M,DATA!$C:$C,$B221,DATA!$N:$N,"&gt;="&amp;DATE(I$5,1,1),DATA!$N:$N,"&lt;="&amp;DATE(I$5,12,31))</f>
        <v/>
      </c>
      <c r="J221" s="332">
        <f>SUM(C221:I221)</f>
        <v/>
      </c>
      <c r="K221" s="333">
        <f>J221/$J$506</f>
        <v/>
      </c>
    </row>
    <row r="222" hidden="1" outlineLevel="1" ht="32.25" customHeight="1">
      <c r="A222" s="48" t="n">
        <v>217</v>
      </c>
      <c r="B222" s="107" t="n"/>
      <c r="C222" s="331">
        <f>SUMIFS(DATA!$M:$M,DATA!$C:$C,$B222,DATA!$N:$N,"&gt;="&amp;DATE(C$5,1,1),DATA!$N:$N,"&lt;="&amp;DATE(C$5,12,31))</f>
        <v/>
      </c>
      <c r="D222" s="331">
        <f>SUMIFS(DATA!$M:$M,DATA!$C:$C,$B222,DATA!$N:$N,"&gt;="&amp;DATE(D$5,1,1),DATA!$N:$N,"&lt;="&amp;DATE(D$5,12,31))</f>
        <v/>
      </c>
      <c r="E222" s="331">
        <f>SUMIFS(DATA!$M:$M,DATA!$C:$C,$B222,DATA!$N:$N,"&gt;="&amp;DATE(E$5,1,1),DATA!$N:$N,"&lt;="&amp;DATE(E$5,12,31))</f>
        <v/>
      </c>
      <c r="F222" s="331">
        <f>SUMIFS(DATA!$M:$M,DATA!$C:$C,$B222,DATA!$N:$N,"&gt;="&amp;DATE(F$5,1,1),DATA!$N:$N,"&lt;="&amp;DATE(F$5,12,31))</f>
        <v/>
      </c>
      <c r="G222" s="331">
        <f>SUMIFS(DATA!$M:$M,DATA!$C:$C,$B222,DATA!$N:$N,"&gt;="&amp;DATE(G$5,1,1),DATA!$N:$N,"&lt;="&amp;DATE(G$5,12,31))</f>
        <v/>
      </c>
      <c r="H222" s="331">
        <f>SUMIFS(DATA!$M:$M,DATA!$C:$C,$B222,DATA!$N:$N,"&gt;="&amp;DATE(H$5,1,1),DATA!$N:$N,"&lt;="&amp;DATE(H$5,12,31))</f>
        <v/>
      </c>
      <c r="I222" s="331">
        <f>SUMIFS(DATA!$M:$M,DATA!$C:$C,$B222,DATA!$N:$N,"&gt;="&amp;DATE(I$5,1,1),DATA!$N:$N,"&lt;="&amp;DATE(I$5,12,31))</f>
        <v/>
      </c>
      <c r="J222" s="332">
        <f>SUM(C222:I222)</f>
        <v/>
      </c>
      <c r="K222" s="333">
        <f>J222/$J$506</f>
        <v/>
      </c>
    </row>
    <row r="223" hidden="1" outlineLevel="1" ht="32.25" customHeight="1">
      <c r="A223" s="48" t="n">
        <v>218</v>
      </c>
      <c r="B223" s="107" t="n"/>
      <c r="C223" s="331">
        <f>SUMIFS(DATA!$M:$M,DATA!$C:$C,$B223,DATA!$N:$N,"&gt;="&amp;DATE(C$5,1,1),DATA!$N:$N,"&lt;="&amp;DATE(C$5,12,31))</f>
        <v/>
      </c>
      <c r="D223" s="331">
        <f>SUMIFS(DATA!$M:$M,DATA!$C:$C,$B223,DATA!$N:$N,"&gt;="&amp;DATE(D$5,1,1),DATA!$N:$N,"&lt;="&amp;DATE(D$5,12,31))</f>
        <v/>
      </c>
      <c r="E223" s="331">
        <f>SUMIFS(DATA!$M:$M,DATA!$C:$C,$B223,DATA!$N:$N,"&gt;="&amp;DATE(E$5,1,1),DATA!$N:$N,"&lt;="&amp;DATE(E$5,12,31))</f>
        <v/>
      </c>
      <c r="F223" s="331">
        <f>SUMIFS(DATA!$M:$M,DATA!$C:$C,$B223,DATA!$N:$N,"&gt;="&amp;DATE(F$5,1,1),DATA!$N:$N,"&lt;="&amp;DATE(F$5,12,31))</f>
        <v/>
      </c>
      <c r="G223" s="331">
        <f>SUMIFS(DATA!$M:$M,DATA!$C:$C,$B223,DATA!$N:$N,"&gt;="&amp;DATE(G$5,1,1),DATA!$N:$N,"&lt;="&amp;DATE(G$5,12,31))</f>
        <v/>
      </c>
      <c r="H223" s="331">
        <f>SUMIFS(DATA!$M:$M,DATA!$C:$C,$B223,DATA!$N:$N,"&gt;="&amp;DATE(H$5,1,1),DATA!$N:$N,"&lt;="&amp;DATE(H$5,12,31))</f>
        <v/>
      </c>
      <c r="I223" s="331">
        <f>SUMIFS(DATA!$M:$M,DATA!$C:$C,$B223,DATA!$N:$N,"&gt;="&amp;DATE(I$5,1,1),DATA!$N:$N,"&lt;="&amp;DATE(I$5,12,31))</f>
        <v/>
      </c>
      <c r="J223" s="332">
        <f>SUM(C223:I223)</f>
        <v/>
      </c>
      <c r="K223" s="333">
        <f>J223/$J$506</f>
        <v/>
      </c>
    </row>
    <row r="224" hidden="1" outlineLevel="1" ht="32.25" customHeight="1">
      <c r="A224" s="48" t="n">
        <v>219</v>
      </c>
      <c r="B224" s="107" t="n"/>
      <c r="C224" s="331">
        <f>SUMIFS(DATA!$M:$M,DATA!$C:$C,$B224,DATA!$N:$N,"&gt;="&amp;DATE(C$5,1,1),DATA!$N:$N,"&lt;="&amp;DATE(C$5,12,31))</f>
        <v/>
      </c>
      <c r="D224" s="331">
        <f>SUMIFS(DATA!$M:$M,DATA!$C:$C,$B224,DATA!$N:$N,"&gt;="&amp;DATE(D$5,1,1),DATA!$N:$N,"&lt;="&amp;DATE(D$5,12,31))</f>
        <v/>
      </c>
      <c r="E224" s="331">
        <f>SUMIFS(DATA!$M:$M,DATA!$C:$C,$B224,DATA!$N:$N,"&gt;="&amp;DATE(E$5,1,1),DATA!$N:$N,"&lt;="&amp;DATE(E$5,12,31))</f>
        <v/>
      </c>
      <c r="F224" s="331">
        <f>SUMIFS(DATA!$M:$M,DATA!$C:$C,$B224,DATA!$N:$N,"&gt;="&amp;DATE(F$5,1,1),DATA!$N:$N,"&lt;="&amp;DATE(F$5,12,31))</f>
        <v/>
      </c>
      <c r="G224" s="331">
        <f>SUMIFS(DATA!$M:$M,DATA!$C:$C,$B224,DATA!$N:$N,"&gt;="&amp;DATE(G$5,1,1),DATA!$N:$N,"&lt;="&amp;DATE(G$5,12,31))</f>
        <v/>
      </c>
      <c r="H224" s="331">
        <f>SUMIFS(DATA!$M:$M,DATA!$C:$C,$B224,DATA!$N:$N,"&gt;="&amp;DATE(H$5,1,1),DATA!$N:$N,"&lt;="&amp;DATE(H$5,12,31))</f>
        <v/>
      </c>
      <c r="I224" s="331">
        <f>SUMIFS(DATA!$M:$M,DATA!$C:$C,$B224,DATA!$N:$N,"&gt;="&amp;DATE(I$5,1,1),DATA!$N:$N,"&lt;="&amp;DATE(I$5,12,31))</f>
        <v/>
      </c>
      <c r="J224" s="332">
        <f>SUM(C224:I224)</f>
        <v/>
      </c>
      <c r="K224" s="333">
        <f>J224/$J$506</f>
        <v/>
      </c>
    </row>
    <row r="225" hidden="1" outlineLevel="1" ht="32.25" customHeight="1">
      <c r="A225" s="48" t="n">
        <v>220</v>
      </c>
      <c r="B225" s="107" t="n"/>
      <c r="C225" s="331">
        <f>SUMIFS(DATA!$M:$M,DATA!$C:$C,$B225,DATA!$N:$N,"&gt;="&amp;DATE(C$5,1,1),DATA!$N:$N,"&lt;="&amp;DATE(C$5,12,31))</f>
        <v/>
      </c>
      <c r="D225" s="331">
        <f>SUMIFS(DATA!$M:$M,DATA!$C:$C,$B225,DATA!$N:$N,"&gt;="&amp;DATE(D$5,1,1),DATA!$N:$N,"&lt;="&amp;DATE(D$5,12,31))</f>
        <v/>
      </c>
      <c r="E225" s="331">
        <f>SUMIFS(DATA!$M:$M,DATA!$C:$C,$B225,DATA!$N:$N,"&gt;="&amp;DATE(E$5,1,1),DATA!$N:$N,"&lt;="&amp;DATE(E$5,12,31))</f>
        <v/>
      </c>
      <c r="F225" s="331">
        <f>SUMIFS(DATA!$M:$M,DATA!$C:$C,$B225,DATA!$N:$N,"&gt;="&amp;DATE(F$5,1,1),DATA!$N:$N,"&lt;="&amp;DATE(F$5,12,31))</f>
        <v/>
      </c>
      <c r="G225" s="331">
        <f>SUMIFS(DATA!$M:$M,DATA!$C:$C,$B225,DATA!$N:$N,"&gt;="&amp;DATE(G$5,1,1),DATA!$N:$N,"&lt;="&amp;DATE(G$5,12,31))</f>
        <v/>
      </c>
      <c r="H225" s="331">
        <f>SUMIFS(DATA!$M:$M,DATA!$C:$C,$B225,DATA!$N:$N,"&gt;="&amp;DATE(H$5,1,1),DATA!$N:$N,"&lt;="&amp;DATE(H$5,12,31))</f>
        <v/>
      </c>
      <c r="I225" s="331">
        <f>SUMIFS(DATA!$M:$M,DATA!$C:$C,$B225,DATA!$N:$N,"&gt;="&amp;DATE(I$5,1,1),DATA!$N:$N,"&lt;="&amp;DATE(I$5,12,31))</f>
        <v/>
      </c>
      <c r="J225" s="332">
        <f>SUM(C225:I225)</f>
        <v/>
      </c>
      <c r="K225" s="333">
        <f>J225/$J$506</f>
        <v/>
      </c>
    </row>
    <row r="226" hidden="1" outlineLevel="1" ht="32.25" customHeight="1">
      <c r="A226" s="48" t="n">
        <v>221</v>
      </c>
      <c r="B226" s="107" t="n"/>
      <c r="C226" s="331">
        <f>SUMIFS(DATA!$M:$M,DATA!$C:$C,$B226,DATA!$N:$N,"&gt;="&amp;DATE(C$5,1,1),DATA!$N:$N,"&lt;="&amp;DATE(C$5,12,31))</f>
        <v/>
      </c>
      <c r="D226" s="331">
        <f>SUMIFS(DATA!$M:$M,DATA!$C:$C,$B226,DATA!$N:$N,"&gt;="&amp;DATE(D$5,1,1),DATA!$N:$N,"&lt;="&amp;DATE(D$5,12,31))</f>
        <v/>
      </c>
      <c r="E226" s="331">
        <f>SUMIFS(DATA!$M:$M,DATA!$C:$C,$B226,DATA!$N:$N,"&gt;="&amp;DATE(E$5,1,1),DATA!$N:$N,"&lt;="&amp;DATE(E$5,12,31))</f>
        <v/>
      </c>
      <c r="F226" s="331">
        <f>SUMIFS(DATA!$M:$M,DATA!$C:$C,$B226,DATA!$N:$N,"&gt;="&amp;DATE(F$5,1,1),DATA!$N:$N,"&lt;="&amp;DATE(F$5,12,31))</f>
        <v/>
      </c>
      <c r="G226" s="331">
        <f>SUMIFS(DATA!$M:$M,DATA!$C:$C,$B226,DATA!$N:$N,"&gt;="&amp;DATE(G$5,1,1),DATA!$N:$N,"&lt;="&amp;DATE(G$5,12,31))</f>
        <v/>
      </c>
      <c r="H226" s="331">
        <f>SUMIFS(DATA!$M:$M,DATA!$C:$C,$B226,DATA!$N:$N,"&gt;="&amp;DATE(H$5,1,1),DATA!$N:$N,"&lt;="&amp;DATE(H$5,12,31))</f>
        <v/>
      </c>
      <c r="I226" s="331">
        <f>SUMIFS(DATA!$M:$M,DATA!$C:$C,$B226,DATA!$N:$N,"&gt;="&amp;DATE(I$5,1,1),DATA!$N:$N,"&lt;="&amp;DATE(I$5,12,31))</f>
        <v/>
      </c>
      <c r="J226" s="332">
        <f>SUM(C226:I226)</f>
        <v/>
      </c>
      <c r="K226" s="333">
        <f>J226/$J$506</f>
        <v/>
      </c>
    </row>
    <row r="227" hidden="1" outlineLevel="1" ht="32.25" customHeight="1">
      <c r="A227" s="48" t="n">
        <v>222</v>
      </c>
      <c r="B227" s="107" t="n"/>
      <c r="C227" s="331">
        <f>SUMIFS(DATA!$M:$M,DATA!$C:$C,$B227,DATA!$N:$N,"&gt;="&amp;DATE(C$5,1,1),DATA!$N:$N,"&lt;="&amp;DATE(C$5,12,31))</f>
        <v/>
      </c>
      <c r="D227" s="331">
        <f>SUMIFS(DATA!$M:$M,DATA!$C:$C,$B227,DATA!$N:$N,"&gt;="&amp;DATE(D$5,1,1),DATA!$N:$N,"&lt;="&amp;DATE(D$5,12,31))</f>
        <v/>
      </c>
      <c r="E227" s="331">
        <f>SUMIFS(DATA!$M:$M,DATA!$C:$C,$B227,DATA!$N:$N,"&gt;="&amp;DATE(E$5,1,1),DATA!$N:$N,"&lt;="&amp;DATE(E$5,12,31))</f>
        <v/>
      </c>
      <c r="F227" s="331">
        <f>SUMIFS(DATA!$M:$M,DATA!$C:$C,$B227,DATA!$N:$N,"&gt;="&amp;DATE(F$5,1,1),DATA!$N:$N,"&lt;="&amp;DATE(F$5,12,31))</f>
        <v/>
      </c>
      <c r="G227" s="331">
        <f>SUMIFS(DATA!$M:$M,DATA!$C:$C,$B227,DATA!$N:$N,"&gt;="&amp;DATE(G$5,1,1),DATA!$N:$N,"&lt;="&amp;DATE(G$5,12,31))</f>
        <v/>
      </c>
      <c r="H227" s="331">
        <f>SUMIFS(DATA!$M:$M,DATA!$C:$C,$B227,DATA!$N:$N,"&gt;="&amp;DATE(H$5,1,1),DATA!$N:$N,"&lt;="&amp;DATE(H$5,12,31))</f>
        <v/>
      </c>
      <c r="I227" s="331">
        <f>SUMIFS(DATA!$M:$M,DATA!$C:$C,$B227,DATA!$N:$N,"&gt;="&amp;DATE(I$5,1,1),DATA!$N:$N,"&lt;="&amp;DATE(I$5,12,31))</f>
        <v/>
      </c>
      <c r="J227" s="332">
        <f>SUM(C227:I227)</f>
        <v/>
      </c>
      <c r="K227" s="333">
        <f>J227/$J$506</f>
        <v/>
      </c>
    </row>
    <row r="228" hidden="1" outlineLevel="1" ht="32.25" customHeight="1">
      <c r="A228" s="48" t="n">
        <v>223</v>
      </c>
      <c r="B228" s="107" t="n"/>
      <c r="C228" s="331">
        <f>SUMIFS(DATA!$M:$M,DATA!$C:$C,$B228,DATA!$N:$N,"&gt;="&amp;DATE(C$5,1,1),DATA!$N:$N,"&lt;="&amp;DATE(C$5,12,31))</f>
        <v/>
      </c>
      <c r="D228" s="331">
        <f>SUMIFS(DATA!$M:$M,DATA!$C:$C,$B228,DATA!$N:$N,"&gt;="&amp;DATE(D$5,1,1),DATA!$N:$N,"&lt;="&amp;DATE(D$5,12,31))</f>
        <v/>
      </c>
      <c r="E228" s="331">
        <f>SUMIFS(DATA!$M:$M,DATA!$C:$C,$B228,DATA!$N:$N,"&gt;="&amp;DATE(E$5,1,1),DATA!$N:$N,"&lt;="&amp;DATE(E$5,12,31))</f>
        <v/>
      </c>
      <c r="F228" s="331">
        <f>SUMIFS(DATA!$M:$M,DATA!$C:$C,$B228,DATA!$N:$N,"&gt;="&amp;DATE(F$5,1,1),DATA!$N:$N,"&lt;="&amp;DATE(F$5,12,31))</f>
        <v/>
      </c>
      <c r="G228" s="331">
        <f>SUMIFS(DATA!$M:$M,DATA!$C:$C,$B228,DATA!$N:$N,"&gt;="&amp;DATE(G$5,1,1),DATA!$N:$N,"&lt;="&amp;DATE(G$5,12,31))</f>
        <v/>
      </c>
      <c r="H228" s="331">
        <f>SUMIFS(DATA!$M:$M,DATA!$C:$C,$B228,DATA!$N:$N,"&gt;="&amp;DATE(H$5,1,1),DATA!$N:$N,"&lt;="&amp;DATE(H$5,12,31))</f>
        <v/>
      </c>
      <c r="I228" s="331">
        <f>SUMIFS(DATA!$M:$M,DATA!$C:$C,$B228,DATA!$N:$N,"&gt;="&amp;DATE(I$5,1,1),DATA!$N:$N,"&lt;="&amp;DATE(I$5,12,31))</f>
        <v/>
      </c>
      <c r="J228" s="332">
        <f>SUM(C228:I228)</f>
        <v/>
      </c>
      <c r="K228" s="333">
        <f>J228/$J$506</f>
        <v/>
      </c>
    </row>
    <row r="229" hidden="1" outlineLevel="1" ht="32.25" customHeight="1">
      <c r="A229" s="48" t="n">
        <v>224</v>
      </c>
      <c r="B229" s="107" t="n"/>
      <c r="C229" s="331">
        <f>SUMIFS(DATA!$M:$M,DATA!$C:$C,$B229,DATA!$N:$N,"&gt;="&amp;DATE(C$5,1,1),DATA!$N:$N,"&lt;="&amp;DATE(C$5,12,31))</f>
        <v/>
      </c>
      <c r="D229" s="331">
        <f>SUMIFS(DATA!$M:$M,DATA!$C:$C,$B229,DATA!$N:$N,"&gt;="&amp;DATE(D$5,1,1),DATA!$N:$N,"&lt;="&amp;DATE(D$5,12,31))</f>
        <v/>
      </c>
      <c r="E229" s="331">
        <f>SUMIFS(DATA!$M:$M,DATA!$C:$C,$B229,DATA!$N:$N,"&gt;="&amp;DATE(E$5,1,1),DATA!$N:$N,"&lt;="&amp;DATE(E$5,12,31))</f>
        <v/>
      </c>
      <c r="F229" s="331">
        <f>SUMIFS(DATA!$M:$M,DATA!$C:$C,$B229,DATA!$N:$N,"&gt;="&amp;DATE(F$5,1,1),DATA!$N:$N,"&lt;="&amp;DATE(F$5,12,31))</f>
        <v/>
      </c>
      <c r="G229" s="331">
        <f>SUMIFS(DATA!$M:$M,DATA!$C:$C,$B229,DATA!$N:$N,"&gt;="&amp;DATE(G$5,1,1),DATA!$N:$N,"&lt;="&amp;DATE(G$5,12,31))</f>
        <v/>
      </c>
      <c r="H229" s="331">
        <f>SUMIFS(DATA!$M:$M,DATA!$C:$C,$B229,DATA!$N:$N,"&gt;="&amp;DATE(H$5,1,1),DATA!$N:$N,"&lt;="&amp;DATE(H$5,12,31))</f>
        <v/>
      </c>
      <c r="I229" s="331">
        <f>SUMIFS(DATA!$M:$M,DATA!$C:$C,$B229,DATA!$N:$N,"&gt;="&amp;DATE(I$5,1,1),DATA!$N:$N,"&lt;="&amp;DATE(I$5,12,31))</f>
        <v/>
      </c>
      <c r="J229" s="332">
        <f>SUM(C229:I229)</f>
        <v/>
      </c>
      <c r="K229" s="333">
        <f>J229/$J$506</f>
        <v/>
      </c>
    </row>
    <row r="230" hidden="1" outlineLevel="1" ht="32.25" customHeight="1">
      <c r="A230" s="48" t="n">
        <v>225</v>
      </c>
      <c r="B230" s="107" t="n"/>
      <c r="C230" s="331">
        <f>SUMIFS(DATA!$M:$M,DATA!$C:$C,$B230,DATA!$N:$N,"&gt;="&amp;DATE(C$5,1,1),DATA!$N:$N,"&lt;="&amp;DATE(C$5,12,31))</f>
        <v/>
      </c>
      <c r="D230" s="331">
        <f>SUMIFS(DATA!$M:$M,DATA!$C:$C,$B230,DATA!$N:$N,"&gt;="&amp;DATE(D$5,1,1),DATA!$N:$N,"&lt;="&amp;DATE(D$5,12,31))</f>
        <v/>
      </c>
      <c r="E230" s="331">
        <f>SUMIFS(DATA!$M:$M,DATA!$C:$C,$B230,DATA!$N:$N,"&gt;="&amp;DATE(E$5,1,1),DATA!$N:$N,"&lt;="&amp;DATE(E$5,12,31))</f>
        <v/>
      </c>
      <c r="F230" s="331">
        <f>SUMIFS(DATA!$M:$M,DATA!$C:$C,$B230,DATA!$N:$N,"&gt;="&amp;DATE(F$5,1,1),DATA!$N:$N,"&lt;="&amp;DATE(F$5,12,31))</f>
        <v/>
      </c>
      <c r="G230" s="331">
        <f>SUMIFS(DATA!$M:$M,DATA!$C:$C,$B230,DATA!$N:$N,"&gt;="&amp;DATE(G$5,1,1),DATA!$N:$N,"&lt;="&amp;DATE(G$5,12,31))</f>
        <v/>
      </c>
      <c r="H230" s="331">
        <f>SUMIFS(DATA!$M:$M,DATA!$C:$C,$B230,DATA!$N:$N,"&gt;="&amp;DATE(H$5,1,1),DATA!$N:$N,"&lt;="&amp;DATE(H$5,12,31))</f>
        <v/>
      </c>
      <c r="I230" s="331">
        <f>SUMIFS(DATA!$M:$M,DATA!$C:$C,$B230,DATA!$N:$N,"&gt;="&amp;DATE(I$5,1,1),DATA!$N:$N,"&lt;="&amp;DATE(I$5,12,31))</f>
        <v/>
      </c>
      <c r="J230" s="332">
        <f>SUM(C230:I230)</f>
        <v/>
      </c>
      <c r="K230" s="333">
        <f>J230/$J$506</f>
        <v/>
      </c>
    </row>
    <row r="231" hidden="1" outlineLevel="1" ht="32.25" customHeight="1">
      <c r="A231" s="48" t="n">
        <v>226</v>
      </c>
      <c r="B231" s="107" t="n"/>
      <c r="C231" s="331">
        <f>SUMIFS(DATA!$M:$M,DATA!$C:$C,$B231,DATA!$N:$N,"&gt;="&amp;DATE(C$5,1,1),DATA!$N:$N,"&lt;="&amp;DATE(C$5,12,31))</f>
        <v/>
      </c>
      <c r="D231" s="331">
        <f>SUMIFS(DATA!$M:$M,DATA!$C:$C,$B231,DATA!$N:$N,"&gt;="&amp;DATE(D$5,1,1),DATA!$N:$N,"&lt;="&amp;DATE(D$5,12,31))</f>
        <v/>
      </c>
      <c r="E231" s="331">
        <f>SUMIFS(DATA!$M:$M,DATA!$C:$C,$B231,DATA!$N:$N,"&gt;="&amp;DATE(E$5,1,1),DATA!$N:$N,"&lt;="&amp;DATE(E$5,12,31))</f>
        <v/>
      </c>
      <c r="F231" s="331">
        <f>SUMIFS(DATA!$M:$M,DATA!$C:$C,$B231,DATA!$N:$N,"&gt;="&amp;DATE(F$5,1,1),DATA!$N:$N,"&lt;="&amp;DATE(F$5,12,31))</f>
        <v/>
      </c>
      <c r="G231" s="331">
        <f>SUMIFS(DATA!$M:$M,DATA!$C:$C,$B231,DATA!$N:$N,"&gt;="&amp;DATE(G$5,1,1),DATA!$N:$N,"&lt;="&amp;DATE(G$5,12,31))</f>
        <v/>
      </c>
      <c r="H231" s="331">
        <f>SUMIFS(DATA!$M:$M,DATA!$C:$C,$B231,DATA!$N:$N,"&gt;="&amp;DATE(H$5,1,1),DATA!$N:$N,"&lt;="&amp;DATE(H$5,12,31))</f>
        <v/>
      </c>
      <c r="I231" s="331">
        <f>SUMIFS(DATA!$M:$M,DATA!$C:$C,$B231,DATA!$N:$N,"&gt;="&amp;DATE(I$5,1,1),DATA!$N:$N,"&lt;="&amp;DATE(I$5,12,31))</f>
        <v/>
      </c>
      <c r="J231" s="332">
        <f>SUM(C231:I231)</f>
        <v/>
      </c>
      <c r="K231" s="333">
        <f>J231/$J$506</f>
        <v/>
      </c>
    </row>
    <row r="232" hidden="1" outlineLevel="1" ht="32.25" customHeight="1">
      <c r="A232" s="48" t="n">
        <v>227</v>
      </c>
      <c r="B232" s="107" t="n"/>
      <c r="C232" s="331">
        <f>SUMIFS(DATA!$M:$M,DATA!$C:$C,$B232,DATA!$N:$N,"&gt;="&amp;DATE(C$5,1,1),DATA!$N:$N,"&lt;="&amp;DATE(C$5,12,31))</f>
        <v/>
      </c>
      <c r="D232" s="331">
        <f>SUMIFS(DATA!$M:$M,DATA!$C:$C,$B232,DATA!$N:$N,"&gt;="&amp;DATE(D$5,1,1),DATA!$N:$N,"&lt;="&amp;DATE(D$5,12,31))</f>
        <v/>
      </c>
      <c r="E232" s="331">
        <f>SUMIFS(DATA!$M:$M,DATA!$C:$C,$B232,DATA!$N:$N,"&gt;="&amp;DATE(E$5,1,1),DATA!$N:$N,"&lt;="&amp;DATE(E$5,12,31))</f>
        <v/>
      </c>
      <c r="F232" s="331">
        <f>SUMIFS(DATA!$M:$M,DATA!$C:$C,$B232,DATA!$N:$N,"&gt;="&amp;DATE(F$5,1,1),DATA!$N:$N,"&lt;="&amp;DATE(F$5,12,31))</f>
        <v/>
      </c>
      <c r="G232" s="331">
        <f>SUMIFS(DATA!$M:$M,DATA!$C:$C,$B232,DATA!$N:$N,"&gt;="&amp;DATE(G$5,1,1),DATA!$N:$N,"&lt;="&amp;DATE(G$5,12,31))</f>
        <v/>
      </c>
      <c r="H232" s="331">
        <f>SUMIFS(DATA!$M:$M,DATA!$C:$C,$B232,DATA!$N:$N,"&gt;="&amp;DATE(H$5,1,1),DATA!$N:$N,"&lt;="&amp;DATE(H$5,12,31))</f>
        <v/>
      </c>
      <c r="I232" s="331">
        <f>SUMIFS(DATA!$M:$M,DATA!$C:$C,$B232,DATA!$N:$N,"&gt;="&amp;DATE(I$5,1,1),DATA!$N:$N,"&lt;="&amp;DATE(I$5,12,31))</f>
        <v/>
      </c>
      <c r="J232" s="332">
        <f>SUM(C232:I232)</f>
        <v/>
      </c>
      <c r="K232" s="333">
        <f>J232/$J$506</f>
        <v/>
      </c>
    </row>
    <row r="233" hidden="1" outlineLevel="1" ht="32.25" customHeight="1">
      <c r="A233" s="48" t="n">
        <v>228</v>
      </c>
      <c r="B233" s="107" t="n"/>
      <c r="C233" s="331">
        <f>SUMIFS(DATA!$M:$M,DATA!$C:$C,$B233,DATA!$N:$N,"&gt;="&amp;DATE(C$5,1,1),DATA!$N:$N,"&lt;="&amp;DATE(C$5,12,31))</f>
        <v/>
      </c>
      <c r="D233" s="331">
        <f>SUMIFS(DATA!$M:$M,DATA!$C:$C,$B233,DATA!$N:$N,"&gt;="&amp;DATE(D$5,1,1),DATA!$N:$N,"&lt;="&amp;DATE(D$5,12,31))</f>
        <v/>
      </c>
      <c r="E233" s="331">
        <f>SUMIFS(DATA!$M:$M,DATA!$C:$C,$B233,DATA!$N:$N,"&gt;="&amp;DATE(E$5,1,1),DATA!$N:$N,"&lt;="&amp;DATE(E$5,12,31))</f>
        <v/>
      </c>
      <c r="F233" s="331">
        <f>SUMIFS(DATA!$M:$M,DATA!$C:$C,$B233,DATA!$N:$N,"&gt;="&amp;DATE(F$5,1,1),DATA!$N:$N,"&lt;="&amp;DATE(F$5,12,31))</f>
        <v/>
      </c>
      <c r="G233" s="331">
        <f>SUMIFS(DATA!$M:$M,DATA!$C:$C,$B233,DATA!$N:$N,"&gt;="&amp;DATE(G$5,1,1),DATA!$N:$N,"&lt;="&amp;DATE(G$5,12,31))</f>
        <v/>
      </c>
      <c r="H233" s="331">
        <f>SUMIFS(DATA!$M:$M,DATA!$C:$C,$B233,DATA!$N:$N,"&gt;="&amp;DATE(H$5,1,1),DATA!$N:$N,"&lt;="&amp;DATE(H$5,12,31))</f>
        <v/>
      </c>
      <c r="I233" s="331">
        <f>SUMIFS(DATA!$M:$M,DATA!$C:$C,$B233,DATA!$N:$N,"&gt;="&amp;DATE(I$5,1,1),DATA!$N:$N,"&lt;="&amp;DATE(I$5,12,31))</f>
        <v/>
      </c>
      <c r="J233" s="332">
        <f>SUM(C233:I233)</f>
        <v/>
      </c>
      <c r="K233" s="333">
        <f>J233/$J$506</f>
        <v/>
      </c>
    </row>
    <row r="234" hidden="1" outlineLevel="1" ht="32.25" customHeight="1">
      <c r="A234" s="48" t="n">
        <v>229</v>
      </c>
      <c r="B234" s="107" t="n"/>
      <c r="C234" s="331">
        <f>SUMIFS(DATA!$M:$M,DATA!$C:$C,$B234,DATA!$N:$N,"&gt;="&amp;DATE(C$5,1,1),DATA!$N:$N,"&lt;="&amp;DATE(C$5,12,31))</f>
        <v/>
      </c>
      <c r="D234" s="331">
        <f>SUMIFS(DATA!$M:$M,DATA!$C:$C,$B234,DATA!$N:$N,"&gt;="&amp;DATE(D$5,1,1),DATA!$N:$N,"&lt;="&amp;DATE(D$5,12,31))</f>
        <v/>
      </c>
      <c r="E234" s="331">
        <f>SUMIFS(DATA!$M:$M,DATA!$C:$C,$B234,DATA!$N:$N,"&gt;="&amp;DATE(E$5,1,1),DATA!$N:$N,"&lt;="&amp;DATE(E$5,12,31))</f>
        <v/>
      </c>
      <c r="F234" s="331">
        <f>SUMIFS(DATA!$M:$M,DATA!$C:$C,$B234,DATA!$N:$N,"&gt;="&amp;DATE(F$5,1,1),DATA!$N:$N,"&lt;="&amp;DATE(F$5,12,31))</f>
        <v/>
      </c>
      <c r="G234" s="331">
        <f>SUMIFS(DATA!$M:$M,DATA!$C:$C,$B234,DATA!$N:$N,"&gt;="&amp;DATE(G$5,1,1),DATA!$N:$N,"&lt;="&amp;DATE(G$5,12,31))</f>
        <v/>
      </c>
      <c r="H234" s="331">
        <f>SUMIFS(DATA!$M:$M,DATA!$C:$C,$B234,DATA!$N:$N,"&gt;="&amp;DATE(H$5,1,1),DATA!$N:$N,"&lt;="&amp;DATE(H$5,12,31))</f>
        <v/>
      </c>
      <c r="I234" s="331">
        <f>SUMIFS(DATA!$M:$M,DATA!$C:$C,$B234,DATA!$N:$N,"&gt;="&amp;DATE(I$5,1,1),DATA!$N:$N,"&lt;="&amp;DATE(I$5,12,31))</f>
        <v/>
      </c>
      <c r="J234" s="332">
        <f>SUM(C234:I234)</f>
        <v/>
      </c>
      <c r="K234" s="333">
        <f>J234/$J$506</f>
        <v/>
      </c>
    </row>
    <row r="235" hidden="1" outlineLevel="1" ht="32.25" customHeight="1">
      <c r="A235" s="48" t="n">
        <v>230</v>
      </c>
      <c r="B235" s="107" t="n"/>
      <c r="C235" s="331">
        <f>SUMIFS(DATA!$M:$M,DATA!$C:$C,$B235,DATA!$N:$N,"&gt;="&amp;DATE(C$5,1,1),DATA!$N:$N,"&lt;="&amp;DATE(C$5,12,31))</f>
        <v/>
      </c>
      <c r="D235" s="331">
        <f>SUMIFS(DATA!$M:$M,DATA!$C:$C,$B235,DATA!$N:$N,"&gt;="&amp;DATE(D$5,1,1),DATA!$N:$N,"&lt;="&amp;DATE(D$5,12,31))</f>
        <v/>
      </c>
      <c r="E235" s="331">
        <f>SUMIFS(DATA!$M:$M,DATA!$C:$C,$B235,DATA!$N:$N,"&gt;="&amp;DATE(E$5,1,1),DATA!$N:$N,"&lt;="&amp;DATE(E$5,12,31))</f>
        <v/>
      </c>
      <c r="F235" s="331">
        <f>SUMIFS(DATA!$M:$M,DATA!$C:$C,$B235,DATA!$N:$N,"&gt;="&amp;DATE(F$5,1,1),DATA!$N:$N,"&lt;="&amp;DATE(F$5,12,31))</f>
        <v/>
      </c>
      <c r="G235" s="331">
        <f>SUMIFS(DATA!$M:$M,DATA!$C:$C,$B235,DATA!$N:$N,"&gt;="&amp;DATE(G$5,1,1),DATA!$N:$N,"&lt;="&amp;DATE(G$5,12,31))</f>
        <v/>
      </c>
      <c r="H235" s="331">
        <f>SUMIFS(DATA!$M:$M,DATA!$C:$C,$B235,DATA!$N:$N,"&gt;="&amp;DATE(H$5,1,1),DATA!$N:$N,"&lt;="&amp;DATE(H$5,12,31))</f>
        <v/>
      </c>
      <c r="I235" s="331">
        <f>SUMIFS(DATA!$M:$M,DATA!$C:$C,$B235,DATA!$N:$N,"&gt;="&amp;DATE(I$5,1,1),DATA!$N:$N,"&lt;="&amp;DATE(I$5,12,31))</f>
        <v/>
      </c>
      <c r="J235" s="332">
        <f>SUM(C235:I235)</f>
        <v/>
      </c>
      <c r="K235" s="333">
        <f>J235/$J$506</f>
        <v/>
      </c>
    </row>
    <row r="236" hidden="1" outlineLevel="1" ht="32.25" customHeight="1">
      <c r="A236" s="48" t="n">
        <v>231</v>
      </c>
      <c r="B236" s="107" t="n"/>
      <c r="C236" s="331">
        <f>SUMIFS(DATA!$M:$M,DATA!$C:$C,$B236,DATA!$N:$N,"&gt;="&amp;DATE(C$5,1,1),DATA!$N:$N,"&lt;="&amp;DATE(C$5,12,31))</f>
        <v/>
      </c>
      <c r="D236" s="331">
        <f>SUMIFS(DATA!$M:$M,DATA!$C:$C,$B236,DATA!$N:$N,"&gt;="&amp;DATE(D$5,1,1),DATA!$N:$N,"&lt;="&amp;DATE(D$5,12,31))</f>
        <v/>
      </c>
      <c r="E236" s="331">
        <f>SUMIFS(DATA!$M:$M,DATA!$C:$C,$B236,DATA!$N:$N,"&gt;="&amp;DATE(E$5,1,1),DATA!$N:$N,"&lt;="&amp;DATE(E$5,12,31))</f>
        <v/>
      </c>
      <c r="F236" s="331">
        <f>SUMIFS(DATA!$M:$M,DATA!$C:$C,$B236,DATA!$N:$N,"&gt;="&amp;DATE(F$5,1,1),DATA!$N:$N,"&lt;="&amp;DATE(F$5,12,31))</f>
        <v/>
      </c>
      <c r="G236" s="331">
        <f>SUMIFS(DATA!$M:$M,DATA!$C:$C,$B236,DATA!$N:$N,"&gt;="&amp;DATE(G$5,1,1),DATA!$N:$N,"&lt;="&amp;DATE(G$5,12,31))</f>
        <v/>
      </c>
      <c r="H236" s="331">
        <f>SUMIFS(DATA!$M:$M,DATA!$C:$C,$B236,DATA!$N:$N,"&gt;="&amp;DATE(H$5,1,1),DATA!$N:$N,"&lt;="&amp;DATE(H$5,12,31))</f>
        <v/>
      </c>
      <c r="I236" s="331">
        <f>SUMIFS(DATA!$M:$M,DATA!$C:$C,$B236,DATA!$N:$N,"&gt;="&amp;DATE(I$5,1,1),DATA!$N:$N,"&lt;="&amp;DATE(I$5,12,31))</f>
        <v/>
      </c>
      <c r="J236" s="332">
        <f>SUM(C236:I236)</f>
        <v/>
      </c>
      <c r="K236" s="333">
        <f>J236/$J$506</f>
        <v/>
      </c>
    </row>
    <row r="237" hidden="1" outlineLevel="1" ht="32.25" customHeight="1">
      <c r="A237" s="48" t="n">
        <v>232</v>
      </c>
      <c r="B237" s="107" t="n"/>
      <c r="C237" s="331">
        <f>SUMIFS(DATA!$M:$M,DATA!$C:$C,$B237,DATA!$N:$N,"&gt;="&amp;DATE(C$5,1,1),DATA!$N:$N,"&lt;="&amp;DATE(C$5,12,31))</f>
        <v/>
      </c>
      <c r="D237" s="331">
        <f>SUMIFS(DATA!$M:$M,DATA!$C:$C,$B237,DATA!$N:$N,"&gt;="&amp;DATE(D$5,1,1),DATA!$N:$N,"&lt;="&amp;DATE(D$5,12,31))</f>
        <v/>
      </c>
      <c r="E237" s="331">
        <f>SUMIFS(DATA!$M:$M,DATA!$C:$C,$B237,DATA!$N:$N,"&gt;="&amp;DATE(E$5,1,1),DATA!$N:$N,"&lt;="&amp;DATE(E$5,12,31))</f>
        <v/>
      </c>
      <c r="F237" s="331">
        <f>SUMIFS(DATA!$M:$M,DATA!$C:$C,$B237,DATA!$N:$N,"&gt;="&amp;DATE(F$5,1,1),DATA!$N:$N,"&lt;="&amp;DATE(F$5,12,31))</f>
        <v/>
      </c>
      <c r="G237" s="331">
        <f>SUMIFS(DATA!$M:$M,DATA!$C:$C,$B237,DATA!$N:$N,"&gt;="&amp;DATE(G$5,1,1),DATA!$N:$N,"&lt;="&amp;DATE(G$5,12,31))</f>
        <v/>
      </c>
      <c r="H237" s="331">
        <f>SUMIFS(DATA!$M:$M,DATA!$C:$C,$B237,DATA!$N:$N,"&gt;="&amp;DATE(H$5,1,1),DATA!$N:$N,"&lt;="&amp;DATE(H$5,12,31))</f>
        <v/>
      </c>
      <c r="I237" s="331">
        <f>SUMIFS(DATA!$M:$M,DATA!$C:$C,$B237,DATA!$N:$N,"&gt;="&amp;DATE(I$5,1,1),DATA!$N:$N,"&lt;="&amp;DATE(I$5,12,31))</f>
        <v/>
      </c>
      <c r="J237" s="332">
        <f>SUM(C237:I237)</f>
        <v/>
      </c>
      <c r="K237" s="333">
        <f>J237/$J$506</f>
        <v/>
      </c>
    </row>
    <row r="238" hidden="1" outlineLevel="1" ht="32.25" customHeight="1">
      <c r="A238" s="48" t="n">
        <v>233</v>
      </c>
      <c r="B238" s="107" t="n"/>
      <c r="C238" s="331">
        <f>SUMIFS(DATA!$M:$M,DATA!$C:$C,$B238,DATA!$N:$N,"&gt;="&amp;DATE(C$5,1,1),DATA!$N:$N,"&lt;="&amp;DATE(C$5,12,31))</f>
        <v/>
      </c>
      <c r="D238" s="331">
        <f>SUMIFS(DATA!$M:$M,DATA!$C:$C,$B238,DATA!$N:$N,"&gt;="&amp;DATE(D$5,1,1),DATA!$N:$N,"&lt;="&amp;DATE(D$5,12,31))</f>
        <v/>
      </c>
      <c r="E238" s="331">
        <f>SUMIFS(DATA!$M:$M,DATA!$C:$C,$B238,DATA!$N:$N,"&gt;="&amp;DATE(E$5,1,1),DATA!$N:$N,"&lt;="&amp;DATE(E$5,12,31))</f>
        <v/>
      </c>
      <c r="F238" s="331">
        <f>SUMIFS(DATA!$M:$M,DATA!$C:$C,$B238,DATA!$N:$N,"&gt;="&amp;DATE(F$5,1,1),DATA!$N:$N,"&lt;="&amp;DATE(F$5,12,31))</f>
        <v/>
      </c>
      <c r="G238" s="331">
        <f>SUMIFS(DATA!$M:$M,DATA!$C:$C,$B238,DATA!$N:$N,"&gt;="&amp;DATE(G$5,1,1),DATA!$N:$N,"&lt;="&amp;DATE(G$5,12,31))</f>
        <v/>
      </c>
      <c r="H238" s="331">
        <f>SUMIFS(DATA!$M:$M,DATA!$C:$C,$B238,DATA!$N:$N,"&gt;="&amp;DATE(H$5,1,1),DATA!$N:$N,"&lt;="&amp;DATE(H$5,12,31))</f>
        <v/>
      </c>
      <c r="I238" s="331">
        <f>SUMIFS(DATA!$M:$M,DATA!$C:$C,$B238,DATA!$N:$N,"&gt;="&amp;DATE(I$5,1,1),DATA!$N:$N,"&lt;="&amp;DATE(I$5,12,31))</f>
        <v/>
      </c>
      <c r="J238" s="332">
        <f>SUM(C238:I238)</f>
        <v/>
      </c>
      <c r="K238" s="333">
        <f>J238/$J$506</f>
        <v/>
      </c>
    </row>
    <row r="239" hidden="1" outlineLevel="1" ht="32.25" customHeight="1">
      <c r="A239" s="48" t="n">
        <v>234</v>
      </c>
      <c r="B239" s="107" t="n"/>
      <c r="C239" s="331">
        <f>SUMIFS(DATA!$M:$M,DATA!$C:$C,$B239,DATA!$N:$N,"&gt;="&amp;DATE(C$5,1,1),DATA!$N:$N,"&lt;="&amp;DATE(C$5,12,31))</f>
        <v/>
      </c>
      <c r="D239" s="331">
        <f>SUMIFS(DATA!$M:$M,DATA!$C:$C,$B239,DATA!$N:$N,"&gt;="&amp;DATE(D$5,1,1),DATA!$N:$N,"&lt;="&amp;DATE(D$5,12,31))</f>
        <v/>
      </c>
      <c r="E239" s="331">
        <f>SUMIFS(DATA!$M:$M,DATA!$C:$C,$B239,DATA!$N:$N,"&gt;="&amp;DATE(E$5,1,1),DATA!$N:$N,"&lt;="&amp;DATE(E$5,12,31))</f>
        <v/>
      </c>
      <c r="F239" s="331">
        <f>SUMIFS(DATA!$M:$M,DATA!$C:$C,$B239,DATA!$N:$N,"&gt;="&amp;DATE(F$5,1,1),DATA!$N:$N,"&lt;="&amp;DATE(F$5,12,31))</f>
        <v/>
      </c>
      <c r="G239" s="331">
        <f>SUMIFS(DATA!$M:$M,DATA!$C:$C,$B239,DATA!$N:$N,"&gt;="&amp;DATE(G$5,1,1),DATA!$N:$N,"&lt;="&amp;DATE(G$5,12,31))</f>
        <v/>
      </c>
      <c r="H239" s="331">
        <f>SUMIFS(DATA!$M:$M,DATA!$C:$C,$B239,DATA!$N:$N,"&gt;="&amp;DATE(H$5,1,1),DATA!$N:$N,"&lt;="&amp;DATE(H$5,12,31))</f>
        <v/>
      </c>
      <c r="I239" s="331">
        <f>SUMIFS(DATA!$M:$M,DATA!$C:$C,$B239,DATA!$N:$N,"&gt;="&amp;DATE(I$5,1,1),DATA!$N:$N,"&lt;="&amp;DATE(I$5,12,31))</f>
        <v/>
      </c>
      <c r="J239" s="332">
        <f>SUM(C239:I239)</f>
        <v/>
      </c>
      <c r="K239" s="333">
        <f>J239/$J$506</f>
        <v/>
      </c>
    </row>
    <row r="240" hidden="1" outlineLevel="1" ht="32.25" customHeight="1">
      <c r="A240" s="48" t="n">
        <v>235</v>
      </c>
      <c r="B240" s="107" t="n"/>
      <c r="C240" s="331">
        <f>SUMIFS(DATA!$M:$M,DATA!$C:$C,$B240,DATA!$N:$N,"&gt;="&amp;DATE(C$5,1,1),DATA!$N:$N,"&lt;="&amp;DATE(C$5,12,31))</f>
        <v/>
      </c>
      <c r="D240" s="331">
        <f>SUMIFS(DATA!$M:$M,DATA!$C:$C,$B240,DATA!$N:$N,"&gt;="&amp;DATE(D$5,1,1),DATA!$N:$N,"&lt;="&amp;DATE(D$5,12,31))</f>
        <v/>
      </c>
      <c r="E240" s="331">
        <f>SUMIFS(DATA!$M:$M,DATA!$C:$C,$B240,DATA!$N:$N,"&gt;="&amp;DATE(E$5,1,1),DATA!$N:$N,"&lt;="&amp;DATE(E$5,12,31))</f>
        <v/>
      </c>
      <c r="F240" s="331">
        <f>SUMIFS(DATA!$M:$M,DATA!$C:$C,$B240,DATA!$N:$N,"&gt;="&amp;DATE(F$5,1,1),DATA!$N:$N,"&lt;="&amp;DATE(F$5,12,31))</f>
        <v/>
      </c>
      <c r="G240" s="331">
        <f>SUMIFS(DATA!$M:$M,DATA!$C:$C,$B240,DATA!$N:$N,"&gt;="&amp;DATE(G$5,1,1),DATA!$N:$N,"&lt;="&amp;DATE(G$5,12,31))</f>
        <v/>
      </c>
      <c r="H240" s="331">
        <f>SUMIFS(DATA!$M:$M,DATA!$C:$C,$B240,DATA!$N:$N,"&gt;="&amp;DATE(H$5,1,1),DATA!$N:$N,"&lt;="&amp;DATE(H$5,12,31))</f>
        <v/>
      </c>
      <c r="I240" s="331">
        <f>SUMIFS(DATA!$M:$M,DATA!$C:$C,$B240,DATA!$N:$N,"&gt;="&amp;DATE(I$5,1,1),DATA!$N:$N,"&lt;="&amp;DATE(I$5,12,31))</f>
        <v/>
      </c>
      <c r="J240" s="332">
        <f>SUM(C240:I240)</f>
        <v/>
      </c>
      <c r="K240" s="333">
        <f>J240/$J$506</f>
        <v/>
      </c>
    </row>
    <row r="241" hidden="1" outlineLevel="1" ht="32.25" customHeight="1">
      <c r="A241" s="48" t="n">
        <v>236</v>
      </c>
      <c r="B241" s="107" t="n"/>
      <c r="C241" s="331">
        <f>SUMIFS(DATA!$M:$M,DATA!$C:$C,$B241,DATA!$N:$N,"&gt;="&amp;DATE(C$5,1,1),DATA!$N:$N,"&lt;="&amp;DATE(C$5,12,31))</f>
        <v/>
      </c>
      <c r="D241" s="331">
        <f>SUMIFS(DATA!$M:$M,DATA!$C:$C,$B241,DATA!$N:$N,"&gt;="&amp;DATE(D$5,1,1),DATA!$N:$N,"&lt;="&amp;DATE(D$5,12,31))</f>
        <v/>
      </c>
      <c r="E241" s="331">
        <f>SUMIFS(DATA!$M:$M,DATA!$C:$C,$B241,DATA!$N:$N,"&gt;="&amp;DATE(E$5,1,1),DATA!$N:$N,"&lt;="&amp;DATE(E$5,12,31))</f>
        <v/>
      </c>
      <c r="F241" s="331">
        <f>SUMIFS(DATA!$M:$M,DATA!$C:$C,$B241,DATA!$N:$N,"&gt;="&amp;DATE(F$5,1,1),DATA!$N:$N,"&lt;="&amp;DATE(F$5,12,31))</f>
        <v/>
      </c>
      <c r="G241" s="331">
        <f>SUMIFS(DATA!$M:$M,DATA!$C:$C,$B241,DATA!$N:$N,"&gt;="&amp;DATE(G$5,1,1),DATA!$N:$N,"&lt;="&amp;DATE(G$5,12,31))</f>
        <v/>
      </c>
      <c r="H241" s="331">
        <f>SUMIFS(DATA!$M:$M,DATA!$C:$C,$B241,DATA!$N:$N,"&gt;="&amp;DATE(H$5,1,1),DATA!$N:$N,"&lt;="&amp;DATE(H$5,12,31))</f>
        <v/>
      </c>
      <c r="I241" s="331">
        <f>SUMIFS(DATA!$M:$M,DATA!$C:$C,$B241,DATA!$N:$N,"&gt;="&amp;DATE(I$5,1,1),DATA!$N:$N,"&lt;="&amp;DATE(I$5,12,31))</f>
        <v/>
      </c>
      <c r="J241" s="332">
        <f>SUM(C241:I241)</f>
        <v/>
      </c>
      <c r="K241" s="333">
        <f>J241/$J$506</f>
        <v/>
      </c>
    </row>
    <row r="242" hidden="1" outlineLevel="1" ht="32.25" customHeight="1">
      <c r="A242" s="48" t="n">
        <v>237</v>
      </c>
      <c r="B242" s="107" t="n"/>
      <c r="C242" s="331">
        <f>SUMIFS(DATA!$M:$M,DATA!$C:$C,$B242,DATA!$N:$N,"&gt;="&amp;DATE(C$5,1,1),DATA!$N:$N,"&lt;="&amp;DATE(C$5,12,31))</f>
        <v/>
      </c>
      <c r="D242" s="331">
        <f>SUMIFS(DATA!$M:$M,DATA!$C:$C,$B242,DATA!$N:$N,"&gt;="&amp;DATE(D$5,1,1),DATA!$N:$N,"&lt;="&amp;DATE(D$5,12,31))</f>
        <v/>
      </c>
      <c r="E242" s="331">
        <f>SUMIFS(DATA!$M:$M,DATA!$C:$C,$B242,DATA!$N:$N,"&gt;="&amp;DATE(E$5,1,1),DATA!$N:$N,"&lt;="&amp;DATE(E$5,12,31))</f>
        <v/>
      </c>
      <c r="F242" s="331">
        <f>SUMIFS(DATA!$M:$M,DATA!$C:$C,$B242,DATA!$N:$N,"&gt;="&amp;DATE(F$5,1,1),DATA!$N:$N,"&lt;="&amp;DATE(F$5,12,31))</f>
        <v/>
      </c>
      <c r="G242" s="331">
        <f>SUMIFS(DATA!$M:$M,DATA!$C:$C,$B242,DATA!$N:$N,"&gt;="&amp;DATE(G$5,1,1),DATA!$N:$N,"&lt;="&amp;DATE(G$5,12,31))</f>
        <v/>
      </c>
      <c r="H242" s="331">
        <f>SUMIFS(DATA!$M:$M,DATA!$C:$C,$B242,DATA!$N:$N,"&gt;="&amp;DATE(H$5,1,1),DATA!$N:$N,"&lt;="&amp;DATE(H$5,12,31))</f>
        <v/>
      </c>
      <c r="I242" s="331">
        <f>SUMIFS(DATA!$M:$M,DATA!$C:$C,$B242,DATA!$N:$N,"&gt;="&amp;DATE(I$5,1,1),DATA!$N:$N,"&lt;="&amp;DATE(I$5,12,31))</f>
        <v/>
      </c>
      <c r="J242" s="332">
        <f>SUM(C242:I242)</f>
        <v/>
      </c>
      <c r="K242" s="333">
        <f>J242/$J$506</f>
        <v/>
      </c>
    </row>
    <row r="243" hidden="1" outlineLevel="1" ht="32.25" customHeight="1">
      <c r="A243" s="48" t="n">
        <v>238</v>
      </c>
      <c r="B243" s="107" t="n"/>
      <c r="C243" s="331">
        <f>SUMIFS(DATA!$M:$M,DATA!$C:$C,$B243,DATA!$N:$N,"&gt;="&amp;DATE(C$5,1,1),DATA!$N:$N,"&lt;="&amp;DATE(C$5,12,31))</f>
        <v/>
      </c>
      <c r="D243" s="331">
        <f>SUMIFS(DATA!$M:$M,DATA!$C:$C,$B243,DATA!$N:$N,"&gt;="&amp;DATE(D$5,1,1),DATA!$N:$N,"&lt;="&amp;DATE(D$5,12,31))</f>
        <v/>
      </c>
      <c r="E243" s="331">
        <f>SUMIFS(DATA!$M:$M,DATA!$C:$C,$B243,DATA!$N:$N,"&gt;="&amp;DATE(E$5,1,1),DATA!$N:$N,"&lt;="&amp;DATE(E$5,12,31))</f>
        <v/>
      </c>
      <c r="F243" s="331">
        <f>SUMIFS(DATA!$M:$M,DATA!$C:$C,$B243,DATA!$N:$N,"&gt;="&amp;DATE(F$5,1,1),DATA!$N:$N,"&lt;="&amp;DATE(F$5,12,31))</f>
        <v/>
      </c>
      <c r="G243" s="331">
        <f>SUMIFS(DATA!$M:$M,DATA!$C:$C,$B243,DATA!$N:$N,"&gt;="&amp;DATE(G$5,1,1),DATA!$N:$N,"&lt;="&amp;DATE(G$5,12,31))</f>
        <v/>
      </c>
      <c r="H243" s="331">
        <f>SUMIFS(DATA!$M:$M,DATA!$C:$C,$B243,DATA!$N:$N,"&gt;="&amp;DATE(H$5,1,1),DATA!$N:$N,"&lt;="&amp;DATE(H$5,12,31))</f>
        <v/>
      </c>
      <c r="I243" s="331">
        <f>SUMIFS(DATA!$M:$M,DATA!$C:$C,$B243,DATA!$N:$N,"&gt;="&amp;DATE(I$5,1,1),DATA!$N:$N,"&lt;="&amp;DATE(I$5,12,31))</f>
        <v/>
      </c>
      <c r="J243" s="332">
        <f>SUM(C243:I243)</f>
        <v/>
      </c>
      <c r="K243" s="333">
        <f>J243/$J$506</f>
        <v/>
      </c>
    </row>
    <row r="244" hidden="1" outlineLevel="1" ht="32.25" customHeight="1">
      <c r="A244" s="48" t="n">
        <v>239</v>
      </c>
      <c r="B244" s="107" t="n"/>
      <c r="C244" s="331">
        <f>SUMIFS(DATA!$M:$M,DATA!$C:$C,$B244,DATA!$N:$N,"&gt;="&amp;DATE(C$5,1,1),DATA!$N:$N,"&lt;="&amp;DATE(C$5,12,31))</f>
        <v/>
      </c>
      <c r="D244" s="331">
        <f>SUMIFS(DATA!$M:$M,DATA!$C:$C,$B244,DATA!$N:$N,"&gt;="&amp;DATE(D$5,1,1),DATA!$N:$N,"&lt;="&amp;DATE(D$5,12,31))</f>
        <v/>
      </c>
      <c r="E244" s="331">
        <f>SUMIFS(DATA!$M:$M,DATA!$C:$C,$B244,DATA!$N:$N,"&gt;="&amp;DATE(E$5,1,1),DATA!$N:$N,"&lt;="&amp;DATE(E$5,12,31))</f>
        <v/>
      </c>
      <c r="F244" s="331">
        <f>SUMIFS(DATA!$M:$M,DATA!$C:$C,$B244,DATA!$N:$N,"&gt;="&amp;DATE(F$5,1,1),DATA!$N:$N,"&lt;="&amp;DATE(F$5,12,31))</f>
        <v/>
      </c>
      <c r="G244" s="331">
        <f>SUMIFS(DATA!$M:$M,DATA!$C:$C,$B244,DATA!$N:$N,"&gt;="&amp;DATE(G$5,1,1),DATA!$N:$N,"&lt;="&amp;DATE(G$5,12,31))</f>
        <v/>
      </c>
      <c r="H244" s="331">
        <f>SUMIFS(DATA!$M:$M,DATA!$C:$C,$B244,DATA!$N:$N,"&gt;="&amp;DATE(H$5,1,1),DATA!$N:$N,"&lt;="&amp;DATE(H$5,12,31))</f>
        <v/>
      </c>
      <c r="I244" s="331">
        <f>SUMIFS(DATA!$M:$M,DATA!$C:$C,$B244,DATA!$N:$N,"&gt;="&amp;DATE(I$5,1,1),DATA!$N:$N,"&lt;="&amp;DATE(I$5,12,31))</f>
        <v/>
      </c>
      <c r="J244" s="332">
        <f>SUM(C244:I244)</f>
        <v/>
      </c>
      <c r="K244" s="333">
        <f>J244/$J$506</f>
        <v/>
      </c>
    </row>
    <row r="245" hidden="1" outlineLevel="1" ht="32.25" customHeight="1">
      <c r="A245" s="48" t="n">
        <v>240</v>
      </c>
      <c r="B245" s="107" t="n"/>
      <c r="C245" s="331">
        <f>SUMIFS(DATA!$M:$M,DATA!$C:$C,$B245,DATA!$N:$N,"&gt;="&amp;DATE(C$5,1,1),DATA!$N:$N,"&lt;="&amp;DATE(C$5,12,31))</f>
        <v/>
      </c>
      <c r="D245" s="331">
        <f>SUMIFS(DATA!$M:$M,DATA!$C:$C,$B245,DATA!$N:$N,"&gt;="&amp;DATE(D$5,1,1),DATA!$N:$N,"&lt;="&amp;DATE(D$5,12,31))</f>
        <v/>
      </c>
      <c r="E245" s="331">
        <f>SUMIFS(DATA!$M:$M,DATA!$C:$C,$B245,DATA!$N:$N,"&gt;="&amp;DATE(E$5,1,1),DATA!$N:$N,"&lt;="&amp;DATE(E$5,12,31))</f>
        <v/>
      </c>
      <c r="F245" s="331">
        <f>SUMIFS(DATA!$M:$M,DATA!$C:$C,$B245,DATA!$N:$N,"&gt;="&amp;DATE(F$5,1,1),DATA!$N:$N,"&lt;="&amp;DATE(F$5,12,31))</f>
        <v/>
      </c>
      <c r="G245" s="331">
        <f>SUMIFS(DATA!$M:$M,DATA!$C:$C,$B245,DATA!$N:$N,"&gt;="&amp;DATE(G$5,1,1),DATA!$N:$N,"&lt;="&amp;DATE(G$5,12,31))</f>
        <v/>
      </c>
      <c r="H245" s="331">
        <f>SUMIFS(DATA!$M:$M,DATA!$C:$C,$B245,DATA!$N:$N,"&gt;="&amp;DATE(H$5,1,1),DATA!$N:$N,"&lt;="&amp;DATE(H$5,12,31))</f>
        <v/>
      </c>
      <c r="I245" s="331">
        <f>SUMIFS(DATA!$M:$M,DATA!$C:$C,$B245,DATA!$N:$N,"&gt;="&amp;DATE(I$5,1,1),DATA!$N:$N,"&lt;="&amp;DATE(I$5,12,31))</f>
        <v/>
      </c>
      <c r="J245" s="332">
        <f>SUM(C245:I245)</f>
        <v/>
      </c>
      <c r="K245" s="333">
        <f>J245/$J$506</f>
        <v/>
      </c>
    </row>
    <row r="246" hidden="1" outlineLevel="1" ht="32.25" customHeight="1">
      <c r="A246" s="48" t="n">
        <v>241</v>
      </c>
      <c r="B246" s="107" t="n"/>
      <c r="C246" s="331">
        <f>SUMIFS(DATA!$M:$M,DATA!$C:$C,$B246,DATA!$N:$N,"&gt;="&amp;DATE(C$5,1,1),DATA!$N:$N,"&lt;="&amp;DATE(C$5,12,31))</f>
        <v/>
      </c>
      <c r="D246" s="331">
        <f>SUMIFS(DATA!$M:$M,DATA!$C:$C,$B246,DATA!$N:$N,"&gt;="&amp;DATE(D$5,1,1),DATA!$N:$N,"&lt;="&amp;DATE(D$5,12,31))</f>
        <v/>
      </c>
      <c r="E246" s="331">
        <f>SUMIFS(DATA!$M:$M,DATA!$C:$C,$B246,DATA!$N:$N,"&gt;="&amp;DATE(E$5,1,1),DATA!$N:$N,"&lt;="&amp;DATE(E$5,12,31))</f>
        <v/>
      </c>
      <c r="F246" s="331">
        <f>SUMIFS(DATA!$M:$M,DATA!$C:$C,$B246,DATA!$N:$N,"&gt;="&amp;DATE(F$5,1,1),DATA!$N:$N,"&lt;="&amp;DATE(F$5,12,31))</f>
        <v/>
      </c>
      <c r="G246" s="331">
        <f>SUMIFS(DATA!$M:$M,DATA!$C:$C,$B246,DATA!$N:$N,"&gt;="&amp;DATE(G$5,1,1),DATA!$N:$N,"&lt;="&amp;DATE(G$5,12,31))</f>
        <v/>
      </c>
      <c r="H246" s="331">
        <f>SUMIFS(DATA!$M:$M,DATA!$C:$C,$B246,DATA!$N:$N,"&gt;="&amp;DATE(H$5,1,1),DATA!$N:$N,"&lt;="&amp;DATE(H$5,12,31))</f>
        <v/>
      </c>
      <c r="I246" s="331">
        <f>SUMIFS(DATA!$M:$M,DATA!$C:$C,$B246,DATA!$N:$N,"&gt;="&amp;DATE(I$5,1,1),DATA!$N:$N,"&lt;="&amp;DATE(I$5,12,31))</f>
        <v/>
      </c>
      <c r="J246" s="332">
        <f>SUM(C246:I246)</f>
        <v/>
      </c>
      <c r="K246" s="333">
        <f>J246/$J$506</f>
        <v/>
      </c>
    </row>
    <row r="247" hidden="1" outlineLevel="1" ht="32.25" customHeight="1">
      <c r="A247" s="48" t="n">
        <v>242</v>
      </c>
      <c r="B247" s="107" t="n"/>
      <c r="C247" s="331">
        <f>SUMIFS(DATA!$M:$M,DATA!$C:$C,$B247,DATA!$N:$N,"&gt;="&amp;DATE(C$5,1,1),DATA!$N:$N,"&lt;="&amp;DATE(C$5,12,31))</f>
        <v/>
      </c>
      <c r="D247" s="331">
        <f>SUMIFS(DATA!$M:$M,DATA!$C:$C,$B247,DATA!$N:$N,"&gt;="&amp;DATE(D$5,1,1),DATA!$N:$N,"&lt;="&amp;DATE(D$5,12,31))</f>
        <v/>
      </c>
      <c r="E247" s="331">
        <f>SUMIFS(DATA!$M:$M,DATA!$C:$C,$B247,DATA!$N:$N,"&gt;="&amp;DATE(E$5,1,1),DATA!$N:$N,"&lt;="&amp;DATE(E$5,12,31))</f>
        <v/>
      </c>
      <c r="F247" s="331">
        <f>SUMIFS(DATA!$M:$M,DATA!$C:$C,$B247,DATA!$N:$N,"&gt;="&amp;DATE(F$5,1,1),DATA!$N:$N,"&lt;="&amp;DATE(F$5,12,31))</f>
        <v/>
      </c>
      <c r="G247" s="331">
        <f>SUMIFS(DATA!$M:$M,DATA!$C:$C,$B247,DATA!$N:$N,"&gt;="&amp;DATE(G$5,1,1),DATA!$N:$N,"&lt;="&amp;DATE(G$5,12,31))</f>
        <v/>
      </c>
      <c r="H247" s="331">
        <f>SUMIFS(DATA!$M:$M,DATA!$C:$C,$B247,DATA!$N:$N,"&gt;="&amp;DATE(H$5,1,1),DATA!$N:$N,"&lt;="&amp;DATE(H$5,12,31))</f>
        <v/>
      </c>
      <c r="I247" s="331">
        <f>SUMIFS(DATA!$M:$M,DATA!$C:$C,$B247,DATA!$N:$N,"&gt;="&amp;DATE(I$5,1,1),DATA!$N:$N,"&lt;="&amp;DATE(I$5,12,31))</f>
        <v/>
      </c>
      <c r="J247" s="332">
        <f>SUM(C247:I247)</f>
        <v/>
      </c>
      <c r="K247" s="333">
        <f>J247/$J$506</f>
        <v/>
      </c>
    </row>
    <row r="248" hidden="1" outlineLevel="1" ht="32.25" customHeight="1">
      <c r="A248" s="48" t="n">
        <v>243</v>
      </c>
      <c r="B248" s="107" t="n"/>
      <c r="C248" s="331">
        <f>SUMIFS(DATA!$M:$M,DATA!$C:$C,$B248,DATA!$N:$N,"&gt;="&amp;DATE(C$5,1,1),DATA!$N:$N,"&lt;="&amp;DATE(C$5,12,31))</f>
        <v/>
      </c>
      <c r="D248" s="331">
        <f>SUMIFS(DATA!$M:$M,DATA!$C:$C,$B248,DATA!$N:$N,"&gt;="&amp;DATE(D$5,1,1),DATA!$N:$N,"&lt;="&amp;DATE(D$5,12,31))</f>
        <v/>
      </c>
      <c r="E248" s="331">
        <f>SUMIFS(DATA!$M:$M,DATA!$C:$C,$B248,DATA!$N:$N,"&gt;="&amp;DATE(E$5,1,1),DATA!$N:$N,"&lt;="&amp;DATE(E$5,12,31))</f>
        <v/>
      </c>
      <c r="F248" s="331">
        <f>SUMIFS(DATA!$M:$M,DATA!$C:$C,$B248,DATA!$N:$N,"&gt;="&amp;DATE(F$5,1,1),DATA!$N:$N,"&lt;="&amp;DATE(F$5,12,31))</f>
        <v/>
      </c>
      <c r="G248" s="331">
        <f>SUMIFS(DATA!$M:$M,DATA!$C:$C,$B248,DATA!$N:$N,"&gt;="&amp;DATE(G$5,1,1),DATA!$N:$N,"&lt;="&amp;DATE(G$5,12,31))</f>
        <v/>
      </c>
      <c r="H248" s="331">
        <f>SUMIFS(DATA!$M:$M,DATA!$C:$C,$B248,DATA!$N:$N,"&gt;="&amp;DATE(H$5,1,1),DATA!$N:$N,"&lt;="&amp;DATE(H$5,12,31))</f>
        <v/>
      </c>
      <c r="I248" s="331">
        <f>SUMIFS(DATA!$M:$M,DATA!$C:$C,$B248,DATA!$N:$N,"&gt;="&amp;DATE(I$5,1,1),DATA!$N:$N,"&lt;="&amp;DATE(I$5,12,31))</f>
        <v/>
      </c>
      <c r="J248" s="332">
        <f>SUM(C248:I248)</f>
        <v/>
      </c>
      <c r="K248" s="333">
        <f>J248/$J$506</f>
        <v/>
      </c>
    </row>
    <row r="249" hidden="1" outlineLevel="1" ht="32.25" customHeight="1">
      <c r="A249" s="48" t="n">
        <v>244</v>
      </c>
      <c r="B249" s="107" t="n"/>
      <c r="C249" s="331">
        <f>SUMIFS(DATA!$M:$M,DATA!$C:$C,$B249,DATA!$N:$N,"&gt;="&amp;DATE(C$5,1,1),DATA!$N:$N,"&lt;="&amp;DATE(C$5,12,31))</f>
        <v/>
      </c>
      <c r="D249" s="331">
        <f>SUMIFS(DATA!$M:$M,DATA!$C:$C,$B249,DATA!$N:$N,"&gt;="&amp;DATE(D$5,1,1),DATA!$N:$N,"&lt;="&amp;DATE(D$5,12,31))</f>
        <v/>
      </c>
      <c r="E249" s="331">
        <f>SUMIFS(DATA!$M:$M,DATA!$C:$C,$B249,DATA!$N:$N,"&gt;="&amp;DATE(E$5,1,1),DATA!$N:$N,"&lt;="&amp;DATE(E$5,12,31))</f>
        <v/>
      </c>
      <c r="F249" s="331">
        <f>SUMIFS(DATA!$M:$M,DATA!$C:$C,$B249,DATA!$N:$N,"&gt;="&amp;DATE(F$5,1,1),DATA!$N:$N,"&lt;="&amp;DATE(F$5,12,31))</f>
        <v/>
      </c>
      <c r="G249" s="331">
        <f>SUMIFS(DATA!$M:$M,DATA!$C:$C,$B249,DATA!$N:$N,"&gt;="&amp;DATE(G$5,1,1),DATA!$N:$N,"&lt;="&amp;DATE(G$5,12,31))</f>
        <v/>
      </c>
      <c r="H249" s="331">
        <f>SUMIFS(DATA!$M:$M,DATA!$C:$C,$B249,DATA!$N:$N,"&gt;="&amp;DATE(H$5,1,1),DATA!$N:$N,"&lt;="&amp;DATE(H$5,12,31))</f>
        <v/>
      </c>
      <c r="I249" s="331">
        <f>SUMIFS(DATA!$M:$M,DATA!$C:$C,$B249,DATA!$N:$N,"&gt;="&amp;DATE(I$5,1,1),DATA!$N:$N,"&lt;="&amp;DATE(I$5,12,31))</f>
        <v/>
      </c>
      <c r="J249" s="332">
        <f>SUM(C249:I249)</f>
        <v/>
      </c>
      <c r="K249" s="333">
        <f>J249/$J$506</f>
        <v/>
      </c>
    </row>
    <row r="250" hidden="1" outlineLevel="1" ht="32.25" customHeight="1">
      <c r="A250" s="48" t="n">
        <v>245</v>
      </c>
      <c r="B250" s="107" t="n"/>
      <c r="C250" s="331">
        <f>SUMIFS(DATA!$M:$M,DATA!$C:$C,$B250,DATA!$N:$N,"&gt;="&amp;DATE(C$5,1,1),DATA!$N:$N,"&lt;="&amp;DATE(C$5,12,31))</f>
        <v/>
      </c>
      <c r="D250" s="331">
        <f>SUMIFS(DATA!$M:$M,DATA!$C:$C,$B250,DATA!$N:$N,"&gt;="&amp;DATE(D$5,1,1),DATA!$N:$N,"&lt;="&amp;DATE(D$5,12,31))</f>
        <v/>
      </c>
      <c r="E250" s="331">
        <f>SUMIFS(DATA!$M:$M,DATA!$C:$C,$B250,DATA!$N:$N,"&gt;="&amp;DATE(E$5,1,1),DATA!$N:$N,"&lt;="&amp;DATE(E$5,12,31))</f>
        <v/>
      </c>
      <c r="F250" s="331">
        <f>SUMIFS(DATA!$M:$M,DATA!$C:$C,$B250,DATA!$N:$N,"&gt;="&amp;DATE(F$5,1,1),DATA!$N:$N,"&lt;="&amp;DATE(F$5,12,31))</f>
        <v/>
      </c>
      <c r="G250" s="331">
        <f>SUMIFS(DATA!$M:$M,DATA!$C:$C,$B250,DATA!$N:$N,"&gt;="&amp;DATE(G$5,1,1),DATA!$N:$N,"&lt;="&amp;DATE(G$5,12,31))</f>
        <v/>
      </c>
      <c r="H250" s="331">
        <f>SUMIFS(DATA!$M:$M,DATA!$C:$C,$B250,DATA!$N:$N,"&gt;="&amp;DATE(H$5,1,1),DATA!$N:$N,"&lt;="&amp;DATE(H$5,12,31))</f>
        <v/>
      </c>
      <c r="I250" s="331">
        <f>SUMIFS(DATA!$M:$M,DATA!$C:$C,$B250,DATA!$N:$N,"&gt;="&amp;DATE(I$5,1,1),DATA!$N:$N,"&lt;="&amp;DATE(I$5,12,31))</f>
        <v/>
      </c>
      <c r="J250" s="332">
        <f>SUM(C250:I250)</f>
        <v/>
      </c>
      <c r="K250" s="333">
        <f>J250/$J$506</f>
        <v/>
      </c>
    </row>
    <row r="251" hidden="1" outlineLevel="1" ht="32.25" customHeight="1">
      <c r="A251" s="48" t="n">
        <v>246</v>
      </c>
      <c r="B251" s="107" t="n"/>
      <c r="C251" s="331">
        <f>SUMIFS(DATA!$M:$M,DATA!$C:$C,$B251,DATA!$N:$N,"&gt;="&amp;DATE(C$5,1,1),DATA!$N:$N,"&lt;="&amp;DATE(C$5,12,31))</f>
        <v/>
      </c>
      <c r="D251" s="331">
        <f>SUMIFS(DATA!$M:$M,DATA!$C:$C,$B251,DATA!$N:$N,"&gt;="&amp;DATE(D$5,1,1),DATA!$N:$N,"&lt;="&amp;DATE(D$5,12,31))</f>
        <v/>
      </c>
      <c r="E251" s="331">
        <f>SUMIFS(DATA!$M:$M,DATA!$C:$C,$B251,DATA!$N:$N,"&gt;="&amp;DATE(E$5,1,1),DATA!$N:$N,"&lt;="&amp;DATE(E$5,12,31))</f>
        <v/>
      </c>
      <c r="F251" s="331">
        <f>SUMIFS(DATA!$M:$M,DATA!$C:$C,$B251,DATA!$N:$N,"&gt;="&amp;DATE(F$5,1,1),DATA!$N:$N,"&lt;="&amp;DATE(F$5,12,31))</f>
        <v/>
      </c>
      <c r="G251" s="331">
        <f>SUMIFS(DATA!$M:$M,DATA!$C:$C,$B251,DATA!$N:$N,"&gt;="&amp;DATE(G$5,1,1),DATA!$N:$N,"&lt;="&amp;DATE(G$5,12,31))</f>
        <v/>
      </c>
      <c r="H251" s="331">
        <f>SUMIFS(DATA!$M:$M,DATA!$C:$C,$B251,DATA!$N:$N,"&gt;="&amp;DATE(H$5,1,1),DATA!$N:$N,"&lt;="&amp;DATE(H$5,12,31))</f>
        <v/>
      </c>
      <c r="I251" s="331">
        <f>SUMIFS(DATA!$M:$M,DATA!$C:$C,$B251,DATA!$N:$N,"&gt;="&amp;DATE(I$5,1,1),DATA!$N:$N,"&lt;="&amp;DATE(I$5,12,31))</f>
        <v/>
      </c>
      <c r="J251" s="332">
        <f>SUM(C251:I251)</f>
        <v/>
      </c>
      <c r="K251" s="333">
        <f>J251/$J$506</f>
        <v/>
      </c>
    </row>
    <row r="252" hidden="1" outlineLevel="1" ht="32.25" customHeight="1">
      <c r="A252" s="48" t="n">
        <v>247</v>
      </c>
      <c r="B252" s="107" t="n"/>
      <c r="C252" s="331">
        <f>SUMIFS(DATA!$M:$M,DATA!$C:$C,$B252,DATA!$N:$N,"&gt;="&amp;DATE(C$5,1,1),DATA!$N:$N,"&lt;="&amp;DATE(C$5,12,31))</f>
        <v/>
      </c>
      <c r="D252" s="331">
        <f>SUMIFS(DATA!$M:$M,DATA!$C:$C,$B252,DATA!$N:$N,"&gt;="&amp;DATE(D$5,1,1),DATA!$N:$N,"&lt;="&amp;DATE(D$5,12,31))</f>
        <v/>
      </c>
      <c r="E252" s="331">
        <f>SUMIFS(DATA!$M:$M,DATA!$C:$C,$B252,DATA!$N:$N,"&gt;="&amp;DATE(E$5,1,1),DATA!$N:$N,"&lt;="&amp;DATE(E$5,12,31))</f>
        <v/>
      </c>
      <c r="F252" s="331">
        <f>SUMIFS(DATA!$M:$M,DATA!$C:$C,$B252,DATA!$N:$N,"&gt;="&amp;DATE(F$5,1,1),DATA!$N:$N,"&lt;="&amp;DATE(F$5,12,31))</f>
        <v/>
      </c>
      <c r="G252" s="331">
        <f>SUMIFS(DATA!$M:$M,DATA!$C:$C,$B252,DATA!$N:$N,"&gt;="&amp;DATE(G$5,1,1),DATA!$N:$N,"&lt;="&amp;DATE(G$5,12,31))</f>
        <v/>
      </c>
      <c r="H252" s="331">
        <f>SUMIFS(DATA!$M:$M,DATA!$C:$C,$B252,DATA!$N:$N,"&gt;="&amp;DATE(H$5,1,1),DATA!$N:$N,"&lt;="&amp;DATE(H$5,12,31))</f>
        <v/>
      </c>
      <c r="I252" s="331">
        <f>SUMIFS(DATA!$M:$M,DATA!$C:$C,$B252,DATA!$N:$N,"&gt;="&amp;DATE(I$5,1,1),DATA!$N:$N,"&lt;="&amp;DATE(I$5,12,31))</f>
        <v/>
      </c>
      <c r="J252" s="332">
        <f>SUM(C252:I252)</f>
        <v/>
      </c>
      <c r="K252" s="333">
        <f>J252/$J$506</f>
        <v/>
      </c>
    </row>
    <row r="253" hidden="1" outlineLevel="1" ht="32.25" customHeight="1">
      <c r="A253" s="48" t="n">
        <v>248</v>
      </c>
      <c r="B253" s="107" t="n"/>
      <c r="C253" s="331">
        <f>SUMIFS(DATA!$M:$M,DATA!$C:$C,$B253,DATA!$N:$N,"&gt;="&amp;DATE(C$5,1,1),DATA!$N:$N,"&lt;="&amp;DATE(C$5,12,31))</f>
        <v/>
      </c>
      <c r="D253" s="331">
        <f>SUMIFS(DATA!$M:$M,DATA!$C:$C,$B253,DATA!$N:$N,"&gt;="&amp;DATE(D$5,1,1),DATA!$N:$N,"&lt;="&amp;DATE(D$5,12,31))</f>
        <v/>
      </c>
      <c r="E253" s="331">
        <f>SUMIFS(DATA!$M:$M,DATA!$C:$C,$B253,DATA!$N:$N,"&gt;="&amp;DATE(E$5,1,1),DATA!$N:$N,"&lt;="&amp;DATE(E$5,12,31))</f>
        <v/>
      </c>
      <c r="F253" s="331">
        <f>SUMIFS(DATA!$M:$M,DATA!$C:$C,$B253,DATA!$N:$N,"&gt;="&amp;DATE(F$5,1,1),DATA!$N:$N,"&lt;="&amp;DATE(F$5,12,31))</f>
        <v/>
      </c>
      <c r="G253" s="331">
        <f>SUMIFS(DATA!$M:$M,DATA!$C:$C,$B253,DATA!$N:$N,"&gt;="&amp;DATE(G$5,1,1),DATA!$N:$N,"&lt;="&amp;DATE(G$5,12,31))</f>
        <v/>
      </c>
      <c r="H253" s="331">
        <f>SUMIFS(DATA!$M:$M,DATA!$C:$C,$B253,DATA!$N:$N,"&gt;="&amp;DATE(H$5,1,1),DATA!$N:$N,"&lt;="&amp;DATE(H$5,12,31))</f>
        <v/>
      </c>
      <c r="I253" s="331">
        <f>SUMIFS(DATA!$M:$M,DATA!$C:$C,$B253,DATA!$N:$N,"&gt;="&amp;DATE(I$5,1,1),DATA!$N:$N,"&lt;="&amp;DATE(I$5,12,31))</f>
        <v/>
      </c>
      <c r="J253" s="332">
        <f>SUM(C253:I253)</f>
        <v/>
      </c>
      <c r="K253" s="333">
        <f>J253/$J$506</f>
        <v/>
      </c>
    </row>
    <row r="254" hidden="1" outlineLevel="1" ht="32.25" customHeight="1">
      <c r="A254" s="48" t="n">
        <v>249</v>
      </c>
      <c r="B254" s="107" t="n"/>
      <c r="C254" s="331">
        <f>SUMIFS(DATA!$M:$M,DATA!$C:$C,$B254,DATA!$N:$N,"&gt;="&amp;DATE(C$5,1,1),DATA!$N:$N,"&lt;="&amp;DATE(C$5,12,31))</f>
        <v/>
      </c>
      <c r="D254" s="331">
        <f>SUMIFS(DATA!$M:$M,DATA!$C:$C,$B254,DATA!$N:$N,"&gt;="&amp;DATE(D$5,1,1),DATA!$N:$N,"&lt;="&amp;DATE(D$5,12,31))</f>
        <v/>
      </c>
      <c r="E254" s="331">
        <f>SUMIFS(DATA!$M:$M,DATA!$C:$C,$B254,DATA!$N:$N,"&gt;="&amp;DATE(E$5,1,1),DATA!$N:$N,"&lt;="&amp;DATE(E$5,12,31))</f>
        <v/>
      </c>
      <c r="F254" s="331">
        <f>SUMIFS(DATA!$M:$M,DATA!$C:$C,$B254,DATA!$N:$N,"&gt;="&amp;DATE(F$5,1,1),DATA!$N:$N,"&lt;="&amp;DATE(F$5,12,31))</f>
        <v/>
      </c>
      <c r="G254" s="331">
        <f>SUMIFS(DATA!$M:$M,DATA!$C:$C,$B254,DATA!$N:$N,"&gt;="&amp;DATE(G$5,1,1),DATA!$N:$N,"&lt;="&amp;DATE(G$5,12,31))</f>
        <v/>
      </c>
      <c r="H254" s="331">
        <f>SUMIFS(DATA!$M:$M,DATA!$C:$C,$B254,DATA!$N:$N,"&gt;="&amp;DATE(H$5,1,1),DATA!$N:$N,"&lt;="&amp;DATE(H$5,12,31))</f>
        <v/>
      </c>
      <c r="I254" s="331">
        <f>SUMIFS(DATA!$M:$M,DATA!$C:$C,$B254,DATA!$N:$N,"&gt;="&amp;DATE(I$5,1,1),DATA!$N:$N,"&lt;="&amp;DATE(I$5,12,31))</f>
        <v/>
      </c>
      <c r="J254" s="332">
        <f>SUM(C254:I254)</f>
        <v/>
      </c>
      <c r="K254" s="333">
        <f>J254/$J$506</f>
        <v/>
      </c>
    </row>
    <row r="255" hidden="1" outlineLevel="1" ht="32.25" customHeight="1">
      <c r="A255" s="48" t="n">
        <v>250</v>
      </c>
      <c r="B255" s="107" t="n"/>
      <c r="C255" s="331">
        <f>SUMIFS(DATA!$M:$M,DATA!$C:$C,$B255,DATA!$N:$N,"&gt;="&amp;DATE(C$5,1,1),DATA!$N:$N,"&lt;="&amp;DATE(C$5,12,31))</f>
        <v/>
      </c>
      <c r="D255" s="331">
        <f>SUMIFS(DATA!$M:$M,DATA!$C:$C,$B255,DATA!$N:$N,"&gt;="&amp;DATE(D$5,1,1),DATA!$N:$N,"&lt;="&amp;DATE(D$5,12,31))</f>
        <v/>
      </c>
      <c r="E255" s="331">
        <f>SUMIFS(DATA!$M:$M,DATA!$C:$C,$B255,DATA!$N:$N,"&gt;="&amp;DATE(E$5,1,1),DATA!$N:$N,"&lt;="&amp;DATE(E$5,12,31))</f>
        <v/>
      </c>
      <c r="F255" s="331">
        <f>SUMIFS(DATA!$M:$M,DATA!$C:$C,$B255,DATA!$N:$N,"&gt;="&amp;DATE(F$5,1,1),DATA!$N:$N,"&lt;="&amp;DATE(F$5,12,31))</f>
        <v/>
      </c>
      <c r="G255" s="331">
        <f>SUMIFS(DATA!$M:$M,DATA!$C:$C,$B255,DATA!$N:$N,"&gt;="&amp;DATE(G$5,1,1),DATA!$N:$N,"&lt;="&amp;DATE(G$5,12,31))</f>
        <v/>
      </c>
      <c r="H255" s="331">
        <f>SUMIFS(DATA!$M:$M,DATA!$C:$C,$B255,DATA!$N:$N,"&gt;="&amp;DATE(H$5,1,1),DATA!$N:$N,"&lt;="&amp;DATE(H$5,12,31))</f>
        <v/>
      </c>
      <c r="I255" s="331">
        <f>SUMIFS(DATA!$M:$M,DATA!$C:$C,$B255,DATA!$N:$N,"&gt;="&amp;DATE(I$5,1,1),DATA!$N:$N,"&lt;="&amp;DATE(I$5,12,31))</f>
        <v/>
      </c>
      <c r="J255" s="332">
        <f>SUM(C255:I255)</f>
        <v/>
      </c>
      <c r="K255" s="333">
        <f>J255/$J$506</f>
        <v/>
      </c>
    </row>
    <row r="256" hidden="1" outlineLevel="1" ht="32.25" customHeight="1">
      <c r="A256" s="48" t="n">
        <v>251</v>
      </c>
      <c r="B256" s="107" t="n"/>
      <c r="C256" s="331">
        <f>SUMIFS(DATA!$M:$M,DATA!$C:$C,$B256,DATA!$N:$N,"&gt;="&amp;DATE(C$5,1,1),DATA!$N:$N,"&lt;="&amp;DATE(C$5,12,31))</f>
        <v/>
      </c>
      <c r="D256" s="331">
        <f>SUMIFS(DATA!$M:$M,DATA!$C:$C,$B256,DATA!$N:$N,"&gt;="&amp;DATE(D$5,1,1),DATA!$N:$N,"&lt;="&amp;DATE(D$5,12,31))</f>
        <v/>
      </c>
      <c r="E256" s="331">
        <f>SUMIFS(DATA!$M:$M,DATA!$C:$C,$B256,DATA!$N:$N,"&gt;="&amp;DATE(E$5,1,1),DATA!$N:$N,"&lt;="&amp;DATE(E$5,12,31))</f>
        <v/>
      </c>
      <c r="F256" s="331">
        <f>SUMIFS(DATA!$M:$M,DATA!$C:$C,$B256,DATA!$N:$N,"&gt;="&amp;DATE(F$5,1,1),DATA!$N:$N,"&lt;="&amp;DATE(F$5,12,31))</f>
        <v/>
      </c>
      <c r="G256" s="331">
        <f>SUMIFS(DATA!$M:$M,DATA!$C:$C,$B256,DATA!$N:$N,"&gt;="&amp;DATE(G$5,1,1),DATA!$N:$N,"&lt;="&amp;DATE(G$5,12,31))</f>
        <v/>
      </c>
      <c r="H256" s="331">
        <f>SUMIFS(DATA!$M:$M,DATA!$C:$C,$B256,DATA!$N:$N,"&gt;="&amp;DATE(H$5,1,1),DATA!$N:$N,"&lt;="&amp;DATE(H$5,12,31))</f>
        <v/>
      </c>
      <c r="I256" s="331">
        <f>SUMIFS(DATA!$M:$M,DATA!$C:$C,$B256,DATA!$N:$N,"&gt;="&amp;DATE(I$5,1,1),DATA!$N:$N,"&lt;="&amp;DATE(I$5,12,31))</f>
        <v/>
      </c>
      <c r="J256" s="332">
        <f>SUM(C256:I256)</f>
        <v/>
      </c>
      <c r="K256" s="333">
        <f>J256/$J$506</f>
        <v/>
      </c>
    </row>
    <row r="257" hidden="1" outlineLevel="1" ht="32.25" customHeight="1">
      <c r="A257" s="48" t="n">
        <v>252</v>
      </c>
      <c r="B257" s="107" t="n"/>
      <c r="C257" s="331">
        <f>SUMIFS(DATA!$M:$M,DATA!$C:$C,$B257,DATA!$N:$N,"&gt;="&amp;DATE(C$5,1,1),DATA!$N:$N,"&lt;="&amp;DATE(C$5,12,31))</f>
        <v/>
      </c>
      <c r="D257" s="331">
        <f>SUMIFS(DATA!$M:$M,DATA!$C:$C,$B257,DATA!$N:$N,"&gt;="&amp;DATE(D$5,1,1),DATA!$N:$N,"&lt;="&amp;DATE(D$5,12,31))</f>
        <v/>
      </c>
      <c r="E257" s="331">
        <f>SUMIFS(DATA!$M:$M,DATA!$C:$C,$B257,DATA!$N:$N,"&gt;="&amp;DATE(E$5,1,1),DATA!$N:$N,"&lt;="&amp;DATE(E$5,12,31))</f>
        <v/>
      </c>
      <c r="F257" s="331">
        <f>SUMIFS(DATA!$M:$M,DATA!$C:$C,$B257,DATA!$N:$N,"&gt;="&amp;DATE(F$5,1,1),DATA!$N:$N,"&lt;="&amp;DATE(F$5,12,31))</f>
        <v/>
      </c>
      <c r="G257" s="331">
        <f>SUMIFS(DATA!$M:$M,DATA!$C:$C,$B257,DATA!$N:$N,"&gt;="&amp;DATE(G$5,1,1),DATA!$N:$N,"&lt;="&amp;DATE(G$5,12,31))</f>
        <v/>
      </c>
      <c r="H257" s="331">
        <f>SUMIFS(DATA!$M:$M,DATA!$C:$C,$B257,DATA!$N:$N,"&gt;="&amp;DATE(H$5,1,1),DATA!$N:$N,"&lt;="&amp;DATE(H$5,12,31))</f>
        <v/>
      </c>
      <c r="I257" s="331">
        <f>SUMIFS(DATA!$M:$M,DATA!$C:$C,$B257,DATA!$N:$N,"&gt;="&amp;DATE(I$5,1,1),DATA!$N:$N,"&lt;="&amp;DATE(I$5,12,31))</f>
        <v/>
      </c>
      <c r="J257" s="332">
        <f>SUM(C257:I257)</f>
        <v/>
      </c>
      <c r="K257" s="333">
        <f>J257/$J$506</f>
        <v/>
      </c>
    </row>
    <row r="258" hidden="1" outlineLevel="1" ht="32.25" customHeight="1">
      <c r="A258" s="48" t="n">
        <v>253</v>
      </c>
      <c r="B258" s="107" t="n"/>
      <c r="C258" s="331">
        <f>SUMIFS(DATA!$M:$M,DATA!$C:$C,$B258,DATA!$N:$N,"&gt;="&amp;DATE(C$5,1,1),DATA!$N:$N,"&lt;="&amp;DATE(C$5,12,31))</f>
        <v/>
      </c>
      <c r="D258" s="331">
        <f>SUMIFS(DATA!$M:$M,DATA!$C:$C,$B258,DATA!$N:$N,"&gt;="&amp;DATE(D$5,1,1),DATA!$N:$N,"&lt;="&amp;DATE(D$5,12,31))</f>
        <v/>
      </c>
      <c r="E258" s="331">
        <f>SUMIFS(DATA!$M:$M,DATA!$C:$C,$B258,DATA!$N:$N,"&gt;="&amp;DATE(E$5,1,1),DATA!$N:$N,"&lt;="&amp;DATE(E$5,12,31))</f>
        <v/>
      </c>
      <c r="F258" s="331">
        <f>SUMIFS(DATA!$M:$M,DATA!$C:$C,$B258,DATA!$N:$N,"&gt;="&amp;DATE(F$5,1,1),DATA!$N:$N,"&lt;="&amp;DATE(F$5,12,31))</f>
        <v/>
      </c>
      <c r="G258" s="331">
        <f>SUMIFS(DATA!$M:$M,DATA!$C:$C,$B258,DATA!$N:$N,"&gt;="&amp;DATE(G$5,1,1),DATA!$N:$N,"&lt;="&amp;DATE(G$5,12,31))</f>
        <v/>
      </c>
      <c r="H258" s="331">
        <f>SUMIFS(DATA!$M:$M,DATA!$C:$C,$B258,DATA!$N:$N,"&gt;="&amp;DATE(H$5,1,1),DATA!$N:$N,"&lt;="&amp;DATE(H$5,12,31))</f>
        <v/>
      </c>
      <c r="I258" s="331">
        <f>SUMIFS(DATA!$M:$M,DATA!$C:$C,$B258,DATA!$N:$N,"&gt;="&amp;DATE(I$5,1,1),DATA!$N:$N,"&lt;="&amp;DATE(I$5,12,31))</f>
        <v/>
      </c>
      <c r="J258" s="332">
        <f>SUM(C258:I258)</f>
        <v/>
      </c>
      <c r="K258" s="333">
        <f>J258/$J$506</f>
        <v/>
      </c>
    </row>
    <row r="259" hidden="1" outlineLevel="1" ht="32.25" customHeight="1">
      <c r="A259" s="48" t="n">
        <v>254</v>
      </c>
      <c r="B259" s="107" t="n"/>
      <c r="C259" s="331">
        <f>SUMIFS(DATA!$M:$M,DATA!$C:$C,$B259,DATA!$N:$N,"&gt;="&amp;DATE(C$5,1,1),DATA!$N:$N,"&lt;="&amp;DATE(C$5,12,31))</f>
        <v/>
      </c>
      <c r="D259" s="331">
        <f>SUMIFS(DATA!$M:$M,DATA!$C:$C,$B259,DATA!$N:$N,"&gt;="&amp;DATE(D$5,1,1),DATA!$N:$N,"&lt;="&amp;DATE(D$5,12,31))</f>
        <v/>
      </c>
      <c r="E259" s="331">
        <f>SUMIFS(DATA!$M:$M,DATA!$C:$C,$B259,DATA!$N:$N,"&gt;="&amp;DATE(E$5,1,1),DATA!$N:$N,"&lt;="&amp;DATE(E$5,12,31))</f>
        <v/>
      </c>
      <c r="F259" s="331">
        <f>SUMIFS(DATA!$M:$M,DATA!$C:$C,$B259,DATA!$N:$N,"&gt;="&amp;DATE(F$5,1,1),DATA!$N:$N,"&lt;="&amp;DATE(F$5,12,31))</f>
        <v/>
      </c>
      <c r="G259" s="331">
        <f>SUMIFS(DATA!$M:$M,DATA!$C:$C,$B259,DATA!$N:$N,"&gt;="&amp;DATE(G$5,1,1),DATA!$N:$N,"&lt;="&amp;DATE(G$5,12,31))</f>
        <v/>
      </c>
      <c r="H259" s="331">
        <f>SUMIFS(DATA!$M:$M,DATA!$C:$C,$B259,DATA!$N:$N,"&gt;="&amp;DATE(H$5,1,1),DATA!$N:$N,"&lt;="&amp;DATE(H$5,12,31))</f>
        <v/>
      </c>
      <c r="I259" s="331">
        <f>SUMIFS(DATA!$M:$M,DATA!$C:$C,$B259,DATA!$N:$N,"&gt;="&amp;DATE(I$5,1,1),DATA!$N:$N,"&lt;="&amp;DATE(I$5,12,31))</f>
        <v/>
      </c>
      <c r="J259" s="332">
        <f>SUM(C259:I259)</f>
        <v/>
      </c>
      <c r="K259" s="333">
        <f>J259/$J$506</f>
        <v/>
      </c>
    </row>
    <row r="260" hidden="1" outlineLevel="1" ht="32.25" customHeight="1">
      <c r="A260" s="48" t="n">
        <v>255</v>
      </c>
      <c r="B260" s="107" t="n"/>
      <c r="C260" s="331">
        <f>SUMIFS(DATA!$M:$M,DATA!$C:$C,$B260,DATA!$N:$N,"&gt;="&amp;DATE(C$5,1,1),DATA!$N:$N,"&lt;="&amp;DATE(C$5,12,31))</f>
        <v/>
      </c>
      <c r="D260" s="331">
        <f>SUMIFS(DATA!$M:$M,DATA!$C:$C,$B260,DATA!$N:$N,"&gt;="&amp;DATE(D$5,1,1),DATA!$N:$N,"&lt;="&amp;DATE(D$5,12,31))</f>
        <v/>
      </c>
      <c r="E260" s="331">
        <f>SUMIFS(DATA!$M:$M,DATA!$C:$C,$B260,DATA!$N:$N,"&gt;="&amp;DATE(E$5,1,1),DATA!$N:$N,"&lt;="&amp;DATE(E$5,12,31))</f>
        <v/>
      </c>
      <c r="F260" s="331">
        <f>SUMIFS(DATA!$M:$M,DATA!$C:$C,$B260,DATA!$N:$N,"&gt;="&amp;DATE(F$5,1,1),DATA!$N:$N,"&lt;="&amp;DATE(F$5,12,31))</f>
        <v/>
      </c>
      <c r="G260" s="331">
        <f>SUMIFS(DATA!$M:$M,DATA!$C:$C,$B260,DATA!$N:$N,"&gt;="&amp;DATE(G$5,1,1),DATA!$N:$N,"&lt;="&amp;DATE(G$5,12,31))</f>
        <v/>
      </c>
      <c r="H260" s="331">
        <f>SUMIFS(DATA!$M:$M,DATA!$C:$C,$B260,DATA!$N:$N,"&gt;="&amp;DATE(H$5,1,1),DATA!$N:$N,"&lt;="&amp;DATE(H$5,12,31))</f>
        <v/>
      </c>
      <c r="I260" s="331">
        <f>SUMIFS(DATA!$M:$M,DATA!$C:$C,$B260,DATA!$N:$N,"&gt;="&amp;DATE(I$5,1,1),DATA!$N:$N,"&lt;="&amp;DATE(I$5,12,31))</f>
        <v/>
      </c>
      <c r="J260" s="332">
        <f>SUM(C260:I260)</f>
        <v/>
      </c>
      <c r="K260" s="333">
        <f>J260/$J$506</f>
        <v/>
      </c>
    </row>
    <row r="261" hidden="1" outlineLevel="1" ht="32.25" customHeight="1">
      <c r="A261" s="48" t="n">
        <v>256</v>
      </c>
      <c r="B261" s="107" t="n"/>
      <c r="C261" s="331">
        <f>SUMIFS(DATA!$M:$M,DATA!$C:$C,$B261,DATA!$N:$N,"&gt;="&amp;DATE(C$5,1,1),DATA!$N:$N,"&lt;="&amp;DATE(C$5,12,31))</f>
        <v/>
      </c>
      <c r="D261" s="331">
        <f>SUMIFS(DATA!$M:$M,DATA!$C:$C,$B261,DATA!$N:$N,"&gt;="&amp;DATE(D$5,1,1),DATA!$N:$N,"&lt;="&amp;DATE(D$5,12,31))</f>
        <v/>
      </c>
      <c r="E261" s="331">
        <f>SUMIFS(DATA!$M:$M,DATA!$C:$C,$B261,DATA!$N:$N,"&gt;="&amp;DATE(E$5,1,1),DATA!$N:$N,"&lt;="&amp;DATE(E$5,12,31))</f>
        <v/>
      </c>
      <c r="F261" s="331">
        <f>SUMIFS(DATA!$M:$M,DATA!$C:$C,$B261,DATA!$N:$N,"&gt;="&amp;DATE(F$5,1,1),DATA!$N:$N,"&lt;="&amp;DATE(F$5,12,31))</f>
        <v/>
      </c>
      <c r="G261" s="331">
        <f>SUMIFS(DATA!$M:$M,DATA!$C:$C,$B261,DATA!$N:$N,"&gt;="&amp;DATE(G$5,1,1),DATA!$N:$N,"&lt;="&amp;DATE(G$5,12,31))</f>
        <v/>
      </c>
      <c r="H261" s="331">
        <f>SUMIFS(DATA!$M:$M,DATA!$C:$C,$B261,DATA!$N:$N,"&gt;="&amp;DATE(H$5,1,1),DATA!$N:$N,"&lt;="&amp;DATE(H$5,12,31))</f>
        <v/>
      </c>
      <c r="I261" s="331">
        <f>SUMIFS(DATA!$M:$M,DATA!$C:$C,$B261,DATA!$N:$N,"&gt;="&amp;DATE(I$5,1,1),DATA!$N:$N,"&lt;="&amp;DATE(I$5,12,31))</f>
        <v/>
      </c>
      <c r="J261" s="332">
        <f>SUM(C261:I261)</f>
        <v/>
      </c>
      <c r="K261" s="333">
        <f>J261/$J$506</f>
        <v/>
      </c>
    </row>
    <row r="262" hidden="1" outlineLevel="1" ht="32.25" customHeight="1">
      <c r="A262" s="48" t="n">
        <v>257</v>
      </c>
      <c r="B262" s="107" t="n"/>
      <c r="C262" s="331">
        <f>SUMIFS(DATA!$M:$M,DATA!$C:$C,$B262,DATA!$N:$N,"&gt;="&amp;DATE(C$5,1,1),DATA!$N:$N,"&lt;="&amp;DATE(C$5,12,31))</f>
        <v/>
      </c>
      <c r="D262" s="331">
        <f>SUMIFS(DATA!$M:$M,DATA!$C:$C,$B262,DATA!$N:$N,"&gt;="&amp;DATE(D$5,1,1),DATA!$N:$N,"&lt;="&amp;DATE(D$5,12,31))</f>
        <v/>
      </c>
      <c r="E262" s="331">
        <f>SUMIFS(DATA!$M:$M,DATA!$C:$C,$B262,DATA!$N:$N,"&gt;="&amp;DATE(E$5,1,1),DATA!$N:$N,"&lt;="&amp;DATE(E$5,12,31))</f>
        <v/>
      </c>
      <c r="F262" s="331">
        <f>SUMIFS(DATA!$M:$M,DATA!$C:$C,$B262,DATA!$N:$N,"&gt;="&amp;DATE(F$5,1,1),DATA!$N:$N,"&lt;="&amp;DATE(F$5,12,31))</f>
        <v/>
      </c>
      <c r="G262" s="331">
        <f>SUMIFS(DATA!$M:$M,DATA!$C:$C,$B262,DATA!$N:$N,"&gt;="&amp;DATE(G$5,1,1),DATA!$N:$N,"&lt;="&amp;DATE(G$5,12,31))</f>
        <v/>
      </c>
      <c r="H262" s="331">
        <f>SUMIFS(DATA!$M:$M,DATA!$C:$C,$B262,DATA!$N:$N,"&gt;="&amp;DATE(H$5,1,1),DATA!$N:$N,"&lt;="&amp;DATE(H$5,12,31))</f>
        <v/>
      </c>
      <c r="I262" s="331">
        <f>SUMIFS(DATA!$M:$M,DATA!$C:$C,$B262,DATA!$N:$N,"&gt;="&amp;DATE(I$5,1,1),DATA!$N:$N,"&lt;="&amp;DATE(I$5,12,31))</f>
        <v/>
      </c>
      <c r="J262" s="332">
        <f>SUM(C262:I262)</f>
        <v/>
      </c>
      <c r="K262" s="333">
        <f>J262/$J$506</f>
        <v/>
      </c>
    </row>
    <row r="263" hidden="1" outlineLevel="1" ht="32.25" customHeight="1">
      <c r="A263" s="48" t="n">
        <v>258</v>
      </c>
      <c r="B263" s="107" t="n"/>
      <c r="C263" s="331">
        <f>SUMIFS(DATA!$M:$M,DATA!$C:$C,$B263,DATA!$N:$N,"&gt;="&amp;DATE(C$5,1,1),DATA!$N:$N,"&lt;="&amp;DATE(C$5,12,31))</f>
        <v/>
      </c>
      <c r="D263" s="331">
        <f>SUMIFS(DATA!$M:$M,DATA!$C:$C,$B263,DATA!$N:$N,"&gt;="&amp;DATE(D$5,1,1),DATA!$N:$N,"&lt;="&amp;DATE(D$5,12,31))</f>
        <v/>
      </c>
      <c r="E263" s="331">
        <f>SUMIFS(DATA!$M:$M,DATA!$C:$C,$B263,DATA!$N:$N,"&gt;="&amp;DATE(E$5,1,1),DATA!$N:$N,"&lt;="&amp;DATE(E$5,12,31))</f>
        <v/>
      </c>
      <c r="F263" s="331">
        <f>SUMIFS(DATA!$M:$M,DATA!$C:$C,$B263,DATA!$N:$N,"&gt;="&amp;DATE(F$5,1,1),DATA!$N:$N,"&lt;="&amp;DATE(F$5,12,31))</f>
        <v/>
      </c>
      <c r="G263" s="331">
        <f>SUMIFS(DATA!$M:$M,DATA!$C:$C,$B263,DATA!$N:$N,"&gt;="&amp;DATE(G$5,1,1),DATA!$N:$N,"&lt;="&amp;DATE(G$5,12,31))</f>
        <v/>
      </c>
      <c r="H263" s="331">
        <f>SUMIFS(DATA!$M:$M,DATA!$C:$C,$B263,DATA!$N:$N,"&gt;="&amp;DATE(H$5,1,1),DATA!$N:$N,"&lt;="&amp;DATE(H$5,12,31))</f>
        <v/>
      </c>
      <c r="I263" s="331">
        <f>SUMIFS(DATA!$M:$M,DATA!$C:$C,$B263,DATA!$N:$N,"&gt;="&amp;DATE(I$5,1,1),DATA!$N:$N,"&lt;="&amp;DATE(I$5,12,31))</f>
        <v/>
      </c>
      <c r="J263" s="332">
        <f>SUM(C263:I263)</f>
        <v/>
      </c>
      <c r="K263" s="333">
        <f>J263/$J$506</f>
        <v/>
      </c>
    </row>
    <row r="264" hidden="1" outlineLevel="1" ht="32.25" customHeight="1">
      <c r="A264" s="48" t="n">
        <v>259</v>
      </c>
      <c r="B264" s="107" t="n"/>
      <c r="C264" s="331">
        <f>SUMIFS(DATA!$M:$M,DATA!$C:$C,$B264,DATA!$N:$N,"&gt;="&amp;DATE(C$5,1,1),DATA!$N:$N,"&lt;="&amp;DATE(C$5,12,31))</f>
        <v/>
      </c>
      <c r="D264" s="331">
        <f>SUMIFS(DATA!$M:$M,DATA!$C:$C,$B264,DATA!$N:$N,"&gt;="&amp;DATE(D$5,1,1),DATA!$N:$N,"&lt;="&amp;DATE(D$5,12,31))</f>
        <v/>
      </c>
      <c r="E264" s="331">
        <f>SUMIFS(DATA!$M:$M,DATA!$C:$C,$B264,DATA!$N:$N,"&gt;="&amp;DATE(E$5,1,1),DATA!$N:$N,"&lt;="&amp;DATE(E$5,12,31))</f>
        <v/>
      </c>
      <c r="F264" s="331">
        <f>SUMIFS(DATA!$M:$M,DATA!$C:$C,$B264,DATA!$N:$N,"&gt;="&amp;DATE(F$5,1,1),DATA!$N:$N,"&lt;="&amp;DATE(F$5,12,31))</f>
        <v/>
      </c>
      <c r="G264" s="331">
        <f>SUMIFS(DATA!$M:$M,DATA!$C:$C,$B264,DATA!$N:$N,"&gt;="&amp;DATE(G$5,1,1),DATA!$N:$N,"&lt;="&amp;DATE(G$5,12,31))</f>
        <v/>
      </c>
      <c r="H264" s="331">
        <f>SUMIFS(DATA!$M:$M,DATA!$C:$C,$B264,DATA!$N:$N,"&gt;="&amp;DATE(H$5,1,1),DATA!$N:$N,"&lt;="&amp;DATE(H$5,12,31))</f>
        <v/>
      </c>
      <c r="I264" s="331">
        <f>SUMIFS(DATA!$M:$M,DATA!$C:$C,$B264,DATA!$N:$N,"&gt;="&amp;DATE(I$5,1,1),DATA!$N:$N,"&lt;="&amp;DATE(I$5,12,31))</f>
        <v/>
      </c>
      <c r="J264" s="332">
        <f>SUM(C264:I264)</f>
        <v/>
      </c>
      <c r="K264" s="333">
        <f>J264/$J$506</f>
        <v/>
      </c>
    </row>
    <row r="265" hidden="1" outlineLevel="1" ht="32.25" customHeight="1">
      <c r="A265" s="48" t="n">
        <v>260</v>
      </c>
      <c r="B265" s="107" t="n"/>
      <c r="C265" s="331">
        <f>SUMIFS(DATA!$M:$M,DATA!$C:$C,$B265,DATA!$N:$N,"&gt;="&amp;DATE(C$5,1,1),DATA!$N:$N,"&lt;="&amp;DATE(C$5,12,31))</f>
        <v/>
      </c>
      <c r="D265" s="331">
        <f>SUMIFS(DATA!$M:$M,DATA!$C:$C,$B265,DATA!$N:$N,"&gt;="&amp;DATE(D$5,1,1),DATA!$N:$N,"&lt;="&amp;DATE(D$5,12,31))</f>
        <v/>
      </c>
      <c r="E265" s="331">
        <f>SUMIFS(DATA!$M:$M,DATA!$C:$C,$B265,DATA!$N:$N,"&gt;="&amp;DATE(E$5,1,1),DATA!$N:$N,"&lt;="&amp;DATE(E$5,12,31))</f>
        <v/>
      </c>
      <c r="F265" s="331">
        <f>SUMIFS(DATA!$M:$M,DATA!$C:$C,$B265,DATA!$N:$N,"&gt;="&amp;DATE(F$5,1,1),DATA!$N:$N,"&lt;="&amp;DATE(F$5,12,31))</f>
        <v/>
      </c>
      <c r="G265" s="331">
        <f>SUMIFS(DATA!$M:$M,DATA!$C:$C,$B265,DATA!$N:$N,"&gt;="&amp;DATE(G$5,1,1),DATA!$N:$N,"&lt;="&amp;DATE(G$5,12,31))</f>
        <v/>
      </c>
      <c r="H265" s="331">
        <f>SUMIFS(DATA!$M:$M,DATA!$C:$C,$B265,DATA!$N:$N,"&gt;="&amp;DATE(H$5,1,1),DATA!$N:$N,"&lt;="&amp;DATE(H$5,12,31))</f>
        <v/>
      </c>
      <c r="I265" s="331">
        <f>SUMIFS(DATA!$M:$M,DATA!$C:$C,$B265,DATA!$N:$N,"&gt;="&amp;DATE(I$5,1,1),DATA!$N:$N,"&lt;="&amp;DATE(I$5,12,31))</f>
        <v/>
      </c>
      <c r="J265" s="332">
        <f>SUM(C265:I265)</f>
        <v/>
      </c>
      <c r="K265" s="333">
        <f>J265/$J$506</f>
        <v/>
      </c>
    </row>
    <row r="266" hidden="1" outlineLevel="1" ht="32.25" customHeight="1">
      <c r="A266" s="48" t="n">
        <v>261</v>
      </c>
      <c r="B266" s="107" t="n"/>
      <c r="C266" s="331">
        <f>SUMIFS(DATA!$M:$M,DATA!$C:$C,$B266,DATA!$N:$N,"&gt;="&amp;DATE(C$5,1,1),DATA!$N:$N,"&lt;="&amp;DATE(C$5,12,31))</f>
        <v/>
      </c>
      <c r="D266" s="331">
        <f>SUMIFS(DATA!$M:$M,DATA!$C:$C,$B266,DATA!$N:$N,"&gt;="&amp;DATE(D$5,1,1),DATA!$N:$N,"&lt;="&amp;DATE(D$5,12,31))</f>
        <v/>
      </c>
      <c r="E266" s="331">
        <f>SUMIFS(DATA!$M:$M,DATA!$C:$C,$B266,DATA!$N:$N,"&gt;="&amp;DATE(E$5,1,1),DATA!$N:$N,"&lt;="&amp;DATE(E$5,12,31))</f>
        <v/>
      </c>
      <c r="F266" s="331">
        <f>SUMIFS(DATA!$M:$M,DATA!$C:$C,$B266,DATA!$N:$N,"&gt;="&amp;DATE(F$5,1,1),DATA!$N:$N,"&lt;="&amp;DATE(F$5,12,31))</f>
        <v/>
      </c>
      <c r="G266" s="331">
        <f>SUMIFS(DATA!$M:$M,DATA!$C:$C,$B266,DATA!$N:$N,"&gt;="&amp;DATE(G$5,1,1),DATA!$N:$N,"&lt;="&amp;DATE(G$5,12,31))</f>
        <v/>
      </c>
      <c r="H266" s="331">
        <f>SUMIFS(DATA!$M:$M,DATA!$C:$C,$B266,DATA!$N:$N,"&gt;="&amp;DATE(H$5,1,1),DATA!$N:$N,"&lt;="&amp;DATE(H$5,12,31))</f>
        <v/>
      </c>
      <c r="I266" s="331">
        <f>SUMIFS(DATA!$M:$M,DATA!$C:$C,$B266,DATA!$N:$N,"&gt;="&amp;DATE(I$5,1,1),DATA!$N:$N,"&lt;="&amp;DATE(I$5,12,31))</f>
        <v/>
      </c>
      <c r="J266" s="332">
        <f>SUM(C266:I266)</f>
        <v/>
      </c>
      <c r="K266" s="333">
        <f>J266/$J$506</f>
        <v/>
      </c>
    </row>
    <row r="267" hidden="1" outlineLevel="1" ht="32.25" customHeight="1">
      <c r="A267" s="48" t="n">
        <v>262</v>
      </c>
      <c r="B267" s="107" t="n"/>
      <c r="C267" s="331">
        <f>SUMIFS(DATA!$M:$M,DATA!$C:$C,$B267,DATA!$N:$N,"&gt;="&amp;DATE(C$5,1,1),DATA!$N:$N,"&lt;="&amp;DATE(C$5,12,31))</f>
        <v/>
      </c>
      <c r="D267" s="331">
        <f>SUMIFS(DATA!$M:$M,DATA!$C:$C,$B267,DATA!$N:$N,"&gt;="&amp;DATE(D$5,1,1),DATA!$N:$N,"&lt;="&amp;DATE(D$5,12,31))</f>
        <v/>
      </c>
      <c r="E267" s="331">
        <f>SUMIFS(DATA!$M:$M,DATA!$C:$C,$B267,DATA!$N:$N,"&gt;="&amp;DATE(E$5,1,1),DATA!$N:$N,"&lt;="&amp;DATE(E$5,12,31))</f>
        <v/>
      </c>
      <c r="F267" s="331">
        <f>SUMIFS(DATA!$M:$M,DATA!$C:$C,$B267,DATA!$N:$N,"&gt;="&amp;DATE(F$5,1,1),DATA!$N:$N,"&lt;="&amp;DATE(F$5,12,31))</f>
        <v/>
      </c>
      <c r="G267" s="331">
        <f>SUMIFS(DATA!$M:$M,DATA!$C:$C,$B267,DATA!$N:$N,"&gt;="&amp;DATE(G$5,1,1),DATA!$N:$N,"&lt;="&amp;DATE(G$5,12,31))</f>
        <v/>
      </c>
      <c r="H267" s="331">
        <f>SUMIFS(DATA!$M:$M,DATA!$C:$C,$B267,DATA!$N:$N,"&gt;="&amp;DATE(H$5,1,1),DATA!$N:$N,"&lt;="&amp;DATE(H$5,12,31))</f>
        <v/>
      </c>
      <c r="I267" s="331">
        <f>SUMIFS(DATA!$M:$M,DATA!$C:$C,$B267,DATA!$N:$N,"&gt;="&amp;DATE(I$5,1,1),DATA!$N:$N,"&lt;="&amp;DATE(I$5,12,31))</f>
        <v/>
      </c>
      <c r="J267" s="332">
        <f>SUM(C267:I267)</f>
        <v/>
      </c>
      <c r="K267" s="333">
        <f>J267/$J$506</f>
        <v/>
      </c>
    </row>
    <row r="268" hidden="1" outlineLevel="1" ht="32.25" customHeight="1">
      <c r="A268" s="48" t="n">
        <v>263</v>
      </c>
      <c r="B268" s="107" t="n"/>
      <c r="C268" s="331">
        <f>SUMIFS(DATA!$M:$M,DATA!$C:$C,$B268,DATA!$N:$N,"&gt;="&amp;DATE(C$5,1,1),DATA!$N:$N,"&lt;="&amp;DATE(C$5,12,31))</f>
        <v/>
      </c>
      <c r="D268" s="331">
        <f>SUMIFS(DATA!$M:$M,DATA!$C:$C,$B268,DATA!$N:$N,"&gt;="&amp;DATE(D$5,1,1),DATA!$N:$N,"&lt;="&amp;DATE(D$5,12,31))</f>
        <v/>
      </c>
      <c r="E268" s="331">
        <f>SUMIFS(DATA!$M:$M,DATA!$C:$C,$B268,DATA!$N:$N,"&gt;="&amp;DATE(E$5,1,1),DATA!$N:$N,"&lt;="&amp;DATE(E$5,12,31))</f>
        <v/>
      </c>
      <c r="F268" s="331">
        <f>SUMIFS(DATA!$M:$M,DATA!$C:$C,$B268,DATA!$N:$N,"&gt;="&amp;DATE(F$5,1,1),DATA!$N:$N,"&lt;="&amp;DATE(F$5,12,31))</f>
        <v/>
      </c>
      <c r="G268" s="331">
        <f>SUMIFS(DATA!$M:$M,DATA!$C:$C,$B268,DATA!$N:$N,"&gt;="&amp;DATE(G$5,1,1),DATA!$N:$N,"&lt;="&amp;DATE(G$5,12,31))</f>
        <v/>
      </c>
      <c r="H268" s="331">
        <f>SUMIFS(DATA!$M:$M,DATA!$C:$C,$B268,DATA!$N:$N,"&gt;="&amp;DATE(H$5,1,1),DATA!$N:$N,"&lt;="&amp;DATE(H$5,12,31))</f>
        <v/>
      </c>
      <c r="I268" s="331">
        <f>SUMIFS(DATA!$M:$M,DATA!$C:$C,$B268,DATA!$N:$N,"&gt;="&amp;DATE(I$5,1,1),DATA!$N:$N,"&lt;="&amp;DATE(I$5,12,31))</f>
        <v/>
      </c>
      <c r="J268" s="332">
        <f>SUM(C268:I268)</f>
        <v/>
      </c>
      <c r="K268" s="333">
        <f>J268/$J$506</f>
        <v/>
      </c>
    </row>
    <row r="269" hidden="1" outlineLevel="1" ht="32.25" customHeight="1">
      <c r="A269" s="48" t="n">
        <v>264</v>
      </c>
      <c r="B269" s="107" t="n"/>
      <c r="C269" s="331">
        <f>SUMIFS(DATA!$M:$M,DATA!$C:$C,$B269,DATA!$N:$N,"&gt;="&amp;DATE(C$5,1,1),DATA!$N:$N,"&lt;="&amp;DATE(C$5,12,31))</f>
        <v/>
      </c>
      <c r="D269" s="331">
        <f>SUMIFS(DATA!$M:$M,DATA!$C:$C,$B269,DATA!$N:$N,"&gt;="&amp;DATE(D$5,1,1),DATA!$N:$N,"&lt;="&amp;DATE(D$5,12,31))</f>
        <v/>
      </c>
      <c r="E269" s="331">
        <f>SUMIFS(DATA!$M:$M,DATA!$C:$C,$B269,DATA!$N:$N,"&gt;="&amp;DATE(E$5,1,1),DATA!$N:$N,"&lt;="&amp;DATE(E$5,12,31))</f>
        <v/>
      </c>
      <c r="F269" s="331">
        <f>SUMIFS(DATA!$M:$M,DATA!$C:$C,$B269,DATA!$N:$N,"&gt;="&amp;DATE(F$5,1,1),DATA!$N:$N,"&lt;="&amp;DATE(F$5,12,31))</f>
        <v/>
      </c>
      <c r="G269" s="331">
        <f>SUMIFS(DATA!$M:$M,DATA!$C:$C,$B269,DATA!$N:$N,"&gt;="&amp;DATE(G$5,1,1),DATA!$N:$N,"&lt;="&amp;DATE(G$5,12,31))</f>
        <v/>
      </c>
      <c r="H269" s="331">
        <f>SUMIFS(DATA!$M:$M,DATA!$C:$C,$B269,DATA!$N:$N,"&gt;="&amp;DATE(H$5,1,1),DATA!$N:$N,"&lt;="&amp;DATE(H$5,12,31))</f>
        <v/>
      </c>
      <c r="I269" s="331">
        <f>SUMIFS(DATA!$M:$M,DATA!$C:$C,$B269,DATA!$N:$N,"&gt;="&amp;DATE(I$5,1,1),DATA!$N:$N,"&lt;="&amp;DATE(I$5,12,31))</f>
        <v/>
      </c>
      <c r="J269" s="332">
        <f>SUM(C269:I269)</f>
        <v/>
      </c>
      <c r="K269" s="333">
        <f>J269/$J$506</f>
        <v/>
      </c>
    </row>
    <row r="270" hidden="1" outlineLevel="1" ht="32.25" customHeight="1">
      <c r="A270" s="48" t="n">
        <v>265</v>
      </c>
      <c r="B270" s="107" t="n"/>
      <c r="C270" s="331">
        <f>SUMIFS(DATA!$M:$M,DATA!$C:$C,$B270,DATA!$N:$N,"&gt;="&amp;DATE(C$5,1,1),DATA!$N:$N,"&lt;="&amp;DATE(C$5,12,31))</f>
        <v/>
      </c>
      <c r="D270" s="331">
        <f>SUMIFS(DATA!$M:$M,DATA!$C:$C,$B270,DATA!$N:$N,"&gt;="&amp;DATE(D$5,1,1),DATA!$N:$N,"&lt;="&amp;DATE(D$5,12,31))</f>
        <v/>
      </c>
      <c r="E270" s="331">
        <f>SUMIFS(DATA!$M:$M,DATA!$C:$C,$B270,DATA!$N:$N,"&gt;="&amp;DATE(E$5,1,1),DATA!$N:$N,"&lt;="&amp;DATE(E$5,12,31))</f>
        <v/>
      </c>
      <c r="F270" s="331">
        <f>SUMIFS(DATA!$M:$M,DATA!$C:$C,$B270,DATA!$N:$N,"&gt;="&amp;DATE(F$5,1,1),DATA!$N:$N,"&lt;="&amp;DATE(F$5,12,31))</f>
        <v/>
      </c>
      <c r="G270" s="331">
        <f>SUMIFS(DATA!$M:$M,DATA!$C:$C,$B270,DATA!$N:$N,"&gt;="&amp;DATE(G$5,1,1),DATA!$N:$N,"&lt;="&amp;DATE(G$5,12,31))</f>
        <v/>
      </c>
      <c r="H270" s="331">
        <f>SUMIFS(DATA!$M:$M,DATA!$C:$C,$B270,DATA!$N:$N,"&gt;="&amp;DATE(H$5,1,1),DATA!$N:$N,"&lt;="&amp;DATE(H$5,12,31))</f>
        <v/>
      </c>
      <c r="I270" s="331">
        <f>SUMIFS(DATA!$M:$M,DATA!$C:$C,$B270,DATA!$N:$N,"&gt;="&amp;DATE(I$5,1,1),DATA!$N:$N,"&lt;="&amp;DATE(I$5,12,31))</f>
        <v/>
      </c>
      <c r="J270" s="332">
        <f>SUM(C270:I270)</f>
        <v/>
      </c>
      <c r="K270" s="333">
        <f>J270/$J$506</f>
        <v/>
      </c>
    </row>
    <row r="271" hidden="1" outlineLevel="1" ht="32.25" customHeight="1">
      <c r="A271" s="48" t="n">
        <v>266</v>
      </c>
      <c r="B271" s="107" t="n"/>
      <c r="C271" s="331">
        <f>SUMIFS(DATA!$M:$M,DATA!$C:$C,$B271,DATA!$N:$N,"&gt;="&amp;DATE(C$5,1,1),DATA!$N:$N,"&lt;="&amp;DATE(C$5,12,31))</f>
        <v/>
      </c>
      <c r="D271" s="331">
        <f>SUMIFS(DATA!$M:$M,DATA!$C:$C,$B271,DATA!$N:$N,"&gt;="&amp;DATE(D$5,1,1),DATA!$N:$N,"&lt;="&amp;DATE(D$5,12,31))</f>
        <v/>
      </c>
      <c r="E271" s="331">
        <f>SUMIFS(DATA!$M:$M,DATA!$C:$C,$B271,DATA!$N:$N,"&gt;="&amp;DATE(E$5,1,1),DATA!$N:$N,"&lt;="&amp;DATE(E$5,12,31))</f>
        <v/>
      </c>
      <c r="F271" s="331">
        <f>SUMIFS(DATA!$M:$M,DATA!$C:$C,$B271,DATA!$N:$N,"&gt;="&amp;DATE(F$5,1,1),DATA!$N:$N,"&lt;="&amp;DATE(F$5,12,31))</f>
        <v/>
      </c>
      <c r="G271" s="331">
        <f>SUMIFS(DATA!$M:$M,DATA!$C:$C,$B271,DATA!$N:$N,"&gt;="&amp;DATE(G$5,1,1),DATA!$N:$N,"&lt;="&amp;DATE(G$5,12,31))</f>
        <v/>
      </c>
      <c r="H271" s="331">
        <f>SUMIFS(DATA!$M:$M,DATA!$C:$C,$B271,DATA!$N:$N,"&gt;="&amp;DATE(H$5,1,1),DATA!$N:$N,"&lt;="&amp;DATE(H$5,12,31))</f>
        <v/>
      </c>
      <c r="I271" s="331">
        <f>SUMIFS(DATA!$M:$M,DATA!$C:$C,$B271,DATA!$N:$N,"&gt;="&amp;DATE(I$5,1,1),DATA!$N:$N,"&lt;="&amp;DATE(I$5,12,31))</f>
        <v/>
      </c>
      <c r="J271" s="332">
        <f>SUM(C271:I271)</f>
        <v/>
      </c>
      <c r="K271" s="333">
        <f>J271/$J$506</f>
        <v/>
      </c>
    </row>
    <row r="272" hidden="1" outlineLevel="1" ht="32.25" customHeight="1">
      <c r="A272" s="48" t="n">
        <v>267</v>
      </c>
      <c r="B272" s="107" t="n"/>
      <c r="C272" s="331">
        <f>SUMIFS(DATA!$M:$M,DATA!$C:$C,$B272,DATA!$N:$N,"&gt;="&amp;DATE(C$5,1,1),DATA!$N:$N,"&lt;="&amp;DATE(C$5,12,31))</f>
        <v/>
      </c>
      <c r="D272" s="331">
        <f>SUMIFS(DATA!$M:$M,DATA!$C:$C,$B272,DATA!$N:$N,"&gt;="&amp;DATE(D$5,1,1),DATA!$N:$N,"&lt;="&amp;DATE(D$5,12,31))</f>
        <v/>
      </c>
      <c r="E272" s="331">
        <f>SUMIFS(DATA!$M:$M,DATA!$C:$C,$B272,DATA!$N:$N,"&gt;="&amp;DATE(E$5,1,1),DATA!$N:$N,"&lt;="&amp;DATE(E$5,12,31))</f>
        <v/>
      </c>
      <c r="F272" s="331">
        <f>SUMIFS(DATA!$M:$M,DATA!$C:$C,$B272,DATA!$N:$N,"&gt;="&amp;DATE(F$5,1,1),DATA!$N:$N,"&lt;="&amp;DATE(F$5,12,31))</f>
        <v/>
      </c>
      <c r="G272" s="331">
        <f>SUMIFS(DATA!$M:$M,DATA!$C:$C,$B272,DATA!$N:$N,"&gt;="&amp;DATE(G$5,1,1),DATA!$N:$N,"&lt;="&amp;DATE(G$5,12,31))</f>
        <v/>
      </c>
      <c r="H272" s="331">
        <f>SUMIFS(DATA!$M:$M,DATA!$C:$C,$B272,DATA!$N:$N,"&gt;="&amp;DATE(H$5,1,1),DATA!$N:$N,"&lt;="&amp;DATE(H$5,12,31))</f>
        <v/>
      </c>
      <c r="I272" s="331">
        <f>SUMIFS(DATA!$M:$M,DATA!$C:$C,$B272,DATA!$N:$N,"&gt;="&amp;DATE(I$5,1,1),DATA!$N:$N,"&lt;="&amp;DATE(I$5,12,31))</f>
        <v/>
      </c>
      <c r="J272" s="332">
        <f>SUM(C272:I272)</f>
        <v/>
      </c>
      <c r="K272" s="333">
        <f>J272/$J$506</f>
        <v/>
      </c>
    </row>
    <row r="273" hidden="1" outlineLevel="1" ht="32.25" customHeight="1">
      <c r="A273" s="48" t="n">
        <v>268</v>
      </c>
      <c r="B273" s="107" t="n"/>
      <c r="C273" s="331">
        <f>SUMIFS(DATA!$M:$M,DATA!$C:$C,$B273,DATA!$N:$N,"&gt;="&amp;DATE(C$5,1,1),DATA!$N:$N,"&lt;="&amp;DATE(C$5,12,31))</f>
        <v/>
      </c>
      <c r="D273" s="331">
        <f>SUMIFS(DATA!$M:$M,DATA!$C:$C,$B273,DATA!$N:$N,"&gt;="&amp;DATE(D$5,1,1),DATA!$N:$N,"&lt;="&amp;DATE(D$5,12,31))</f>
        <v/>
      </c>
      <c r="E273" s="331">
        <f>SUMIFS(DATA!$M:$M,DATA!$C:$C,$B273,DATA!$N:$N,"&gt;="&amp;DATE(E$5,1,1),DATA!$N:$N,"&lt;="&amp;DATE(E$5,12,31))</f>
        <v/>
      </c>
      <c r="F273" s="331">
        <f>SUMIFS(DATA!$M:$M,DATA!$C:$C,$B273,DATA!$N:$N,"&gt;="&amp;DATE(F$5,1,1),DATA!$N:$N,"&lt;="&amp;DATE(F$5,12,31))</f>
        <v/>
      </c>
      <c r="G273" s="331">
        <f>SUMIFS(DATA!$M:$M,DATA!$C:$C,$B273,DATA!$N:$N,"&gt;="&amp;DATE(G$5,1,1),DATA!$N:$N,"&lt;="&amp;DATE(G$5,12,31))</f>
        <v/>
      </c>
      <c r="H273" s="331">
        <f>SUMIFS(DATA!$M:$M,DATA!$C:$C,$B273,DATA!$N:$N,"&gt;="&amp;DATE(H$5,1,1),DATA!$N:$N,"&lt;="&amp;DATE(H$5,12,31))</f>
        <v/>
      </c>
      <c r="I273" s="331">
        <f>SUMIFS(DATA!$M:$M,DATA!$C:$C,$B273,DATA!$N:$N,"&gt;="&amp;DATE(I$5,1,1),DATA!$N:$N,"&lt;="&amp;DATE(I$5,12,31))</f>
        <v/>
      </c>
      <c r="J273" s="332">
        <f>SUM(C273:I273)</f>
        <v/>
      </c>
      <c r="K273" s="333">
        <f>J273/$J$506</f>
        <v/>
      </c>
    </row>
    <row r="274" hidden="1" outlineLevel="1" ht="32.25" customHeight="1">
      <c r="A274" s="48" t="n">
        <v>269</v>
      </c>
      <c r="B274" s="107" t="n"/>
      <c r="C274" s="331">
        <f>SUMIFS(DATA!$M:$M,DATA!$C:$C,$B274,DATA!$N:$N,"&gt;="&amp;DATE(C$5,1,1),DATA!$N:$N,"&lt;="&amp;DATE(C$5,12,31))</f>
        <v/>
      </c>
      <c r="D274" s="331">
        <f>SUMIFS(DATA!$M:$M,DATA!$C:$C,$B274,DATA!$N:$N,"&gt;="&amp;DATE(D$5,1,1),DATA!$N:$N,"&lt;="&amp;DATE(D$5,12,31))</f>
        <v/>
      </c>
      <c r="E274" s="331">
        <f>SUMIFS(DATA!$M:$M,DATA!$C:$C,$B274,DATA!$N:$N,"&gt;="&amp;DATE(E$5,1,1),DATA!$N:$N,"&lt;="&amp;DATE(E$5,12,31))</f>
        <v/>
      </c>
      <c r="F274" s="331">
        <f>SUMIFS(DATA!$M:$M,DATA!$C:$C,$B274,DATA!$N:$N,"&gt;="&amp;DATE(F$5,1,1),DATA!$N:$N,"&lt;="&amp;DATE(F$5,12,31))</f>
        <v/>
      </c>
      <c r="G274" s="331">
        <f>SUMIFS(DATA!$M:$M,DATA!$C:$C,$B274,DATA!$N:$N,"&gt;="&amp;DATE(G$5,1,1),DATA!$N:$N,"&lt;="&amp;DATE(G$5,12,31))</f>
        <v/>
      </c>
      <c r="H274" s="331">
        <f>SUMIFS(DATA!$M:$M,DATA!$C:$C,$B274,DATA!$N:$N,"&gt;="&amp;DATE(H$5,1,1),DATA!$N:$N,"&lt;="&amp;DATE(H$5,12,31))</f>
        <v/>
      </c>
      <c r="I274" s="331">
        <f>SUMIFS(DATA!$M:$M,DATA!$C:$C,$B274,DATA!$N:$N,"&gt;="&amp;DATE(I$5,1,1),DATA!$N:$N,"&lt;="&amp;DATE(I$5,12,31))</f>
        <v/>
      </c>
      <c r="J274" s="332">
        <f>SUM(C274:I274)</f>
        <v/>
      </c>
      <c r="K274" s="333">
        <f>J274/$J$506</f>
        <v/>
      </c>
    </row>
    <row r="275" hidden="1" outlineLevel="1" ht="32.25" customHeight="1">
      <c r="A275" s="48" t="n">
        <v>270</v>
      </c>
      <c r="B275" s="107" t="n"/>
      <c r="C275" s="331">
        <f>SUMIFS(DATA!$M:$M,DATA!$C:$C,$B275,DATA!$N:$N,"&gt;="&amp;DATE(C$5,1,1),DATA!$N:$N,"&lt;="&amp;DATE(C$5,12,31))</f>
        <v/>
      </c>
      <c r="D275" s="331">
        <f>SUMIFS(DATA!$M:$M,DATA!$C:$C,$B275,DATA!$N:$N,"&gt;="&amp;DATE(D$5,1,1),DATA!$N:$N,"&lt;="&amp;DATE(D$5,12,31))</f>
        <v/>
      </c>
      <c r="E275" s="331">
        <f>SUMIFS(DATA!$M:$M,DATA!$C:$C,$B275,DATA!$N:$N,"&gt;="&amp;DATE(E$5,1,1),DATA!$N:$N,"&lt;="&amp;DATE(E$5,12,31))</f>
        <v/>
      </c>
      <c r="F275" s="331">
        <f>SUMIFS(DATA!$M:$M,DATA!$C:$C,$B275,DATA!$N:$N,"&gt;="&amp;DATE(F$5,1,1),DATA!$N:$N,"&lt;="&amp;DATE(F$5,12,31))</f>
        <v/>
      </c>
      <c r="G275" s="331">
        <f>SUMIFS(DATA!$M:$M,DATA!$C:$C,$B275,DATA!$N:$N,"&gt;="&amp;DATE(G$5,1,1),DATA!$N:$N,"&lt;="&amp;DATE(G$5,12,31))</f>
        <v/>
      </c>
      <c r="H275" s="331">
        <f>SUMIFS(DATA!$M:$M,DATA!$C:$C,$B275,DATA!$N:$N,"&gt;="&amp;DATE(H$5,1,1),DATA!$N:$N,"&lt;="&amp;DATE(H$5,12,31))</f>
        <v/>
      </c>
      <c r="I275" s="331">
        <f>SUMIFS(DATA!$M:$M,DATA!$C:$C,$B275,DATA!$N:$N,"&gt;="&amp;DATE(I$5,1,1),DATA!$N:$N,"&lt;="&amp;DATE(I$5,12,31))</f>
        <v/>
      </c>
      <c r="J275" s="332">
        <f>SUM(C275:I275)</f>
        <v/>
      </c>
      <c r="K275" s="333">
        <f>J275/$J$506</f>
        <v/>
      </c>
    </row>
    <row r="276" hidden="1" outlineLevel="1" ht="32.25" customHeight="1">
      <c r="A276" s="48" t="n">
        <v>271</v>
      </c>
      <c r="B276" s="107" t="n"/>
      <c r="C276" s="331">
        <f>SUMIFS(DATA!$M:$M,DATA!$C:$C,$B276,DATA!$N:$N,"&gt;="&amp;DATE(C$5,1,1),DATA!$N:$N,"&lt;="&amp;DATE(C$5,12,31))</f>
        <v/>
      </c>
      <c r="D276" s="331">
        <f>SUMIFS(DATA!$M:$M,DATA!$C:$C,$B276,DATA!$N:$N,"&gt;="&amp;DATE(D$5,1,1),DATA!$N:$N,"&lt;="&amp;DATE(D$5,12,31))</f>
        <v/>
      </c>
      <c r="E276" s="331">
        <f>SUMIFS(DATA!$M:$M,DATA!$C:$C,$B276,DATA!$N:$N,"&gt;="&amp;DATE(E$5,1,1),DATA!$N:$N,"&lt;="&amp;DATE(E$5,12,31))</f>
        <v/>
      </c>
      <c r="F276" s="331">
        <f>SUMIFS(DATA!$M:$M,DATA!$C:$C,$B276,DATA!$N:$N,"&gt;="&amp;DATE(F$5,1,1),DATA!$N:$N,"&lt;="&amp;DATE(F$5,12,31))</f>
        <v/>
      </c>
      <c r="G276" s="331">
        <f>SUMIFS(DATA!$M:$M,DATA!$C:$C,$B276,DATA!$N:$N,"&gt;="&amp;DATE(G$5,1,1),DATA!$N:$N,"&lt;="&amp;DATE(G$5,12,31))</f>
        <v/>
      </c>
      <c r="H276" s="331">
        <f>SUMIFS(DATA!$M:$M,DATA!$C:$C,$B276,DATA!$N:$N,"&gt;="&amp;DATE(H$5,1,1),DATA!$N:$N,"&lt;="&amp;DATE(H$5,12,31))</f>
        <v/>
      </c>
      <c r="I276" s="331">
        <f>SUMIFS(DATA!$M:$M,DATA!$C:$C,$B276,DATA!$N:$N,"&gt;="&amp;DATE(I$5,1,1),DATA!$N:$N,"&lt;="&amp;DATE(I$5,12,31))</f>
        <v/>
      </c>
      <c r="J276" s="332">
        <f>SUM(C276:I276)</f>
        <v/>
      </c>
      <c r="K276" s="333">
        <f>J276/$J$506</f>
        <v/>
      </c>
    </row>
    <row r="277" hidden="1" outlineLevel="1" ht="32.25" customHeight="1">
      <c r="A277" s="48" t="n">
        <v>272</v>
      </c>
      <c r="B277" s="107" t="n"/>
      <c r="C277" s="331">
        <f>SUMIFS(DATA!$M:$M,DATA!$C:$C,$B277,DATA!$N:$N,"&gt;="&amp;DATE(C$5,1,1),DATA!$N:$N,"&lt;="&amp;DATE(C$5,12,31))</f>
        <v/>
      </c>
      <c r="D277" s="331">
        <f>SUMIFS(DATA!$M:$M,DATA!$C:$C,$B277,DATA!$N:$N,"&gt;="&amp;DATE(D$5,1,1),DATA!$N:$N,"&lt;="&amp;DATE(D$5,12,31))</f>
        <v/>
      </c>
      <c r="E277" s="331">
        <f>SUMIFS(DATA!$M:$M,DATA!$C:$C,$B277,DATA!$N:$N,"&gt;="&amp;DATE(E$5,1,1),DATA!$N:$N,"&lt;="&amp;DATE(E$5,12,31))</f>
        <v/>
      </c>
      <c r="F277" s="331">
        <f>SUMIFS(DATA!$M:$M,DATA!$C:$C,$B277,DATA!$N:$N,"&gt;="&amp;DATE(F$5,1,1),DATA!$N:$N,"&lt;="&amp;DATE(F$5,12,31))</f>
        <v/>
      </c>
      <c r="G277" s="331">
        <f>SUMIFS(DATA!$M:$M,DATA!$C:$C,$B277,DATA!$N:$N,"&gt;="&amp;DATE(G$5,1,1),DATA!$N:$N,"&lt;="&amp;DATE(G$5,12,31))</f>
        <v/>
      </c>
      <c r="H277" s="331">
        <f>SUMIFS(DATA!$M:$M,DATA!$C:$C,$B277,DATA!$N:$N,"&gt;="&amp;DATE(H$5,1,1),DATA!$N:$N,"&lt;="&amp;DATE(H$5,12,31))</f>
        <v/>
      </c>
      <c r="I277" s="331">
        <f>SUMIFS(DATA!$M:$M,DATA!$C:$C,$B277,DATA!$N:$N,"&gt;="&amp;DATE(I$5,1,1),DATA!$N:$N,"&lt;="&amp;DATE(I$5,12,31))</f>
        <v/>
      </c>
      <c r="J277" s="332">
        <f>SUM(C277:I277)</f>
        <v/>
      </c>
      <c r="K277" s="333">
        <f>J277/$J$506</f>
        <v/>
      </c>
    </row>
    <row r="278" hidden="1" outlineLevel="1" ht="32.25" customHeight="1">
      <c r="A278" s="48" t="n">
        <v>273</v>
      </c>
      <c r="B278" s="107" t="n"/>
      <c r="C278" s="331">
        <f>SUMIFS(DATA!$M:$M,DATA!$C:$C,$B278,DATA!$N:$N,"&gt;="&amp;DATE(C$5,1,1),DATA!$N:$N,"&lt;="&amp;DATE(C$5,12,31))</f>
        <v/>
      </c>
      <c r="D278" s="331">
        <f>SUMIFS(DATA!$M:$M,DATA!$C:$C,$B278,DATA!$N:$N,"&gt;="&amp;DATE(D$5,1,1),DATA!$N:$N,"&lt;="&amp;DATE(D$5,12,31))</f>
        <v/>
      </c>
      <c r="E278" s="331">
        <f>SUMIFS(DATA!$M:$M,DATA!$C:$C,$B278,DATA!$N:$N,"&gt;="&amp;DATE(E$5,1,1),DATA!$N:$N,"&lt;="&amp;DATE(E$5,12,31))</f>
        <v/>
      </c>
      <c r="F278" s="331">
        <f>SUMIFS(DATA!$M:$M,DATA!$C:$C,$B278,DATA!$N:$N,"&gt;="&amp;DATE(F$5,1,1),DATA!$N:$N,"&lt;="&amp;DATE(F$5,12,31))</f>
        <v/>
      </c>
      <c r="G278" s="331">
        <f>SUMIFS(DATA!$M:$M,DATA!$C:$C,$B278,DATA!$N:$N,"&gt;="&amp;DATE(G$5,1,1),DATA!$N:$N,"&lt;="&amp;DATE(G$5,12,31))</f>
        <v/>
      </c>
      <c r="H278" s="331">
        <f>SUMIFS(DATA!$M:$M,DATA!$C:$C,$B278,DATA!$N:$N,"&gt;="&amp;DATE(H$5,1,1),DATA!$N:$N,"&lt;="&amp;DATE(H$5,12,31))</f>
        <v/>
      </c>
      <c r="I278" s="331">
        <f>SUMIFS(DATA!$M:$M,DATA!$C:$C,$B278,DATA!$N:$N,"&gt;="&amp;DATE(I$5,1,1),DATA!$N:$N,"&lt;="&amp;DATE(I$5,12,31))</f>
        <v/>
      </c>
      <c r="J278" s="332">
        <f>SUM(C278:I278)</f>
        <v/>
      </c>
      <c r="K278" s="333">
        <f>J278/$J$506</f>
        <v/>
      </c>
    </row>
    <row r="279" hidden="1" outlineLevel="1" ht="32.25" customHeight="1">
      <c r="A279" s="48" t="n">
        <v>274</v>
      </c>
      <c r="B279" s="107" t="n"/>
      <c r="C279" s="331">
        <f>SUMIFS(DATA!$M:$M,DATA!$C:$C,$B279,DATA!$N:$N,"&gt;="&amp;DATE(C$5,1,1),DATA!$N:$N,"&lt;="&amp;DATE(C$5,12,31))</f>
        <v/>
      </c>
      <c r="D279" s="331">
        <f>SUMIFS(DATA!$M:$M,DATA!$C:$C,$B279,DATA!$N:$N,"&gt;="&amp;DATE(D$5,1,1),DATA!$N:$N,"&lt;="&amp;DATE(D$5,12,31))</f>
        <v/>
      </c>
      <c r="E279" s="331">
        <f>SUMIFS(DATA!$M:$M,DATA!$C:$C,$B279,DATA!$N:$N,"&gt;="&amp;DATE(E$5,1,1),DATA!$N:$N,"&lt;="&amp;DATE(E$5,12,31))</f>
        <v/>
      </c>
      <c r="F279" s="331">
        <f>SUMIFS(DATA!$M:$M,DATA!$C:$C,$B279,DATA!$N:$N,"&gt;="&amp;DATE(F$5,1,1),DATA!$N:$N,"&lt;="&amp;DATE(F$5,12,31))</f>
        <v/>
      </c>
      <c r="G279" s="331">
        <f>SUMIFS(DATA!$M:$M,DATA!$C:$C,$B279,DATA!$N:$N,"&gt;="&amp;DATE(G$5,1,1),DATA!$N:$N,"&lt;="&amp;DATE(G$5,12,31))</f>
        <v/>
      </c>
      <c r="H279" s="331">
        <f>SUMIFS(DATA!$M:$M,DATA!$C:$C,$B279,DATA!$N:$N,"&gt;="&amp;DATE(H$5,1,1),DATA!$N:$N,"&lt;="&amp;DATE(H$5,12,31))</f>
        <v/>
      </c>
      <c r="I279" s="331">
        <f>SUMIFS(DATA!$M:$M,DATA!$C:$C,$B279,DATA!$N:$N,"&gt;="&amp;DATE(I$5,1,1),DATA!$N:$N,"&lt;="&amp;DATE(I$5,12,31))</f>
        <v/>
      </c>
      <c r="J279" s="332">
        <f>SUM(C279:I279)</f>
        <v/>
      </c>
      <c r="K279" s="333">
        <f>J279/$J$506</f>
        <v/>
      </c>
    </row>
    <row r="280" hidden="1" outlineLevel="1" ht="32.25" customHeight="1">
      <c r="A280" s="48" t="n">
        <v>275</v>
      </c>
      <c r="B280" s="107" t="n"/>
      <c r="C280" s="331">
        <f>SUMIFS(DATA!$M:$M,DATA!$C:$C,$B280,DATA!$N:$N,"&gt;="&amp;DATE(C$5,1,1),DATA!$N:$N,"&lt;="&amp;DATE(C$5,12,31))</f>
        <v/>
      </c>
      <c r="D280" s="331">
        <f>SUMIFS(DATA!$M:$M,DATA!$C:$C,$B280,DATA!$N:$N,"&gt;="&amp;DATE(D$5,1,1),DATA!$N:$N,"&lt;="&amp;DATE(D$5,12,31))</f>
        <v/>
      </c>
      <c r="E280" s="331">
        <f>SUMIFS(DATA!$M:$M,DATA!$C:$C,$B280,DATA!$N:$N,"&gt;="&amp;DATE(E$5,1,1),DATA!$N:$N,"&lt;="&amp;DATE(E$5,12,31))</f>
        <v/>
      </c>
      <c r="F280" s="331">
        <f>SUMIFS(DATA!$M:$M,DATA!$C:$C,$B280,DATA!$N:$N,"&gt;="&amp;DATE(F$5,1,1),DATA!$N:$N,"&lt;="&amp;DATE(F$5,12,31))</f>
        <v/>
      </c>
      <c r="G280" s="331">
        <f>SUMIFS(DATA!$M:$M,DATA!$C:$C,$B280,DATA!$N:$N,"&gt;="&amp;DATE(G$5,1,1),DATA!$N:$N,"&lt;="&amp;DATE(G$5,12,31))</f>
        <v/>
      </c>
      <c r="H280" s="331">
        <f>SUMIFS(DATA!$M:$M,DATA!$C:$C,$B280,DATA!$N:$N,"&gt;="&amp;DATE(H$5,1,1),DATA!$N:$N,"&lt;="&amp;DATE(H$5,12,31))</f>
        <v/>
      </c>
      <c r="I280" s="331">
        <f>SUMIFS(DATA!$M:$M,DATA!$C:$C,$B280,DATA!$N:$N,"&gt;="&amp;DATE(I$5,1,1),DATA!$N:$N,"&lt;="&amp;DATE(I$5,12,31))</f>
        <v/>
      </c>
      <c r="J280" s="332">
        <f>SUM(C280:I280)</f>
        <v/>
      </c>
      <c r="K280" s="333">
        <f>J280/$J$506</f>
        <v/>
      </c>
    </row>
    <row r="281" hidden="1" outlineLevel="1" ht="32.25" customHeight="1">
      <c r="A281" s="48" t="n">
        <v>276</v>
      </c>
      <c r="B281" s="107" t="n"/>
      <c r="C281" s="331">
        <f>SUMIFS(DATA!$M:$M,DATA!$C:$C,$B281,DATA!$N:$N,"&gt;="&amp;DATE(C$5,1,1),DATA!$N:$N,"&lt;="&amp;DATE(C$5,12,31))</f>
        <v/>
      </c>
      <c r="D281" s="331">
        <f>SUMIFS(DATA!$M:$M,DATA!$C:$C,$B281,DATA!$N:$N,"&gt;="&amp;DATE(D$5,1,1),DATA!$N:$N,"&lt;="&amp;DATE(D$5,12,31))</f>
        <v/>
      </c>
      <c r="E281" s="331">
        <f>SUMIFS(DATA!$M:$M,DATA!$C:$C,$B281,DATA!$N:$N,"&gt;="&amp;DATE(E$5,1,1),DATA!$N:$N,"&lt;="&amp;DATE(E$5,12,31))</f>
        <v/>
      </c>
      <c r="F281" s="331">
        <f>SUMIFS(DATA!$M:$M,DATA!$C:$C,$B281,DATA!$N:$N,"&gt;="&amp;DATE(F$5,1,1),DATA!$N:$N,"&lt;="&amp;DATE(F$5,12,31))</f>
        <v/>
      </c>
      <c r="G281" s="331">
        <f>SUMIFS(DATA!$M:$M,DATA!$C:$C,$B281,DATA!$N:$N,"&gt;="&amp;DATE(G$5,1,1),DATA!$N:$N,"&lt;="&amp;DATE(G$5,12,31))</f>
        <v/>
      </c>
      <c r="H281" s="331">
        <f>SUMIFS(DATA!$M:$M,DATA!$C:$C,$B281,DATA!$N:$N,"&gt;="&amp;DATE(H$5,1,1),DATA!$N:$N,"&lt;="&amp;DATE(H$5,12,31))</f>
        <v/>
      </c>
      <c r="I281" s="331">
        <f>SUMIFS(DATA!$M:$M,DATA!$C:$C,$B281,DATA!$N:$N,"&gt;="&amp;DATE(I$5,1,1),DATA!$N:$N,"&lt;="&amp;DATE(I$5,12,31))</f>
        <v/>
      </c>
      <c r="J281" s="332">
        <f>SUM(C281:I281)</f>
        <v/>
      </c>
      <c r="K281" s="333">
        <f>J281/$J$506</f>
        <v/>
      </c>
    </row>
    <row r="282" hidden="1" outlineLevel="1" ht="32.25" customHeight="1">
      <c r="A282" s="48" t="n">
        <v>277</v>
      </c>
      <c r="B282" s="107" t="n"/>
      <c r="C282" s="331">
        <f>SUMIFS(DATA!$M:$M,DATA!$C:$C,$B282,DATA!$N:$N,"&gt;="&amp;DATE(C$5,1,1),DATA!$N:$N,"&lt;="&amp;DATE(C$5,12,31))</f>
        <v/>
      </c>
      <c r="D282" s="331">
        <f>SUMIFS(DATA!$M:$M,DATA!$C:$C,$B282,DATA!$N:$N,"&gt;="&amp;DATE(D$5,1,1),DATA!$N:$N,"&lt;="&amp;DATE(D$5,12,31))</f>
        <v/>
      </c>
      <c r="E282" s="331">
        <f>SUMIFS(DATA!$M:$M,DATA!$C:$C,$B282,DATA!$N:$N,"&gt;="&amp;DATE(E$5,1,1),DATA!$N:$N,"&lt;="&amp;DATE(E$5,12,31))</f>
        <v/>
      </c>
      <c r="F282" s="331">
        <f>SUMIFS(DATA!$M:$M,DATA!$C:$C,$B282,DATA!$N:$N,"&gt;="&amp;DATE(F$5,1,1),DATA!$N:$N,"&lt;="&amp;DATE(F$5,12,31))</f>
        <v/>
      </c>
      <c r="G282" s="331">
        <f>SUMIFS(DATA!$M:$M,DATA!$C:$C,$B282,DATA!$N:$N,"&gt;="&amp;DATE(G$5,1,1),DATA!$N:$N,"&lt;="&amp;DATE(G$5,12,31))</f>
        <v/>
      </c>
      <c r="H282" s="331">
        <f>SUMIFS(DATA!$M:$M,DATA!$C:$C,$B282,DATA!$N:$N,"&gt;="&amp;DATE(H$5,1,1),DATA!$N:$N,"&lt;="&amp;DATE(H$5,12,31))</f>
        <v/>
      </c>
      <c r="I282" s="331">
        <f>SUMIFS(DATA!$M:$M,DATA!$C:$C,$B282,DATA!$N:$N,"&gt;="&amp;DATE(I$5,1,1),DATA!$N:$N,"&lt;="&amp;DATE(I$5,12,31))</f>
        <v/>
      </c>
      <c r="J282" s="332">
        <f>SUM(C282:I282)</f>
        <v/>
      </c>
      <c r="K282" s="333">
        <f>J282/$J$506</f>
        <v/>
      </c>
    </row>
    <row r="283" hidden="1" outlineLevel="1" ht="32.25" customHeight="1">
      <c r="A283" s="48" t="n">
        <v>278</v>
      </c>
      <c r="B283" s="107" t="n"/>
      <c r="C283" s="331">
        <f>SUMIFS(DATA!$M:$M,DATA!$C:$C,$B283,DATA!$N:$N,"&gt;="&amp;DATE(C$5,1,1),DATA!$N:$N,"&lt;="&amp;DATE(C$5,12,31))</f>
        <v/>
      </c>
      <c r="D283" s="331">
        <f>SUMIFS(DATA!$M:$M,DATA!$C:$C,$B283,DATA!$N:$N,"&gt;="&amp;DATE(D$5,1,1),DATA!$N:$N,"&lt;="&amp;DATE(D$5,12,31))</f>
        <v/>
      </c>
      <c r="E283" s="331">
        <f>SUMIFS(DATA!$M:$M,DATA!$C:$C,$B283,DATA!$N:$N,"&gt;="&amp;DATE(E$5,1,1),DATA!$N:$N,"&lt;="&amp;DATE(E$5,12,31))</f>
        <v/>
      </c>
      <c r="F283" s="331">
        <f>SUMIFS(DATA!$M:$M,DATA!$C:$C,$B283,DATA!$N:$N,"&gt;="&amp;DATE(F$5,1,1),DATA!$N:$N,"&lt;="&amp;DATE(F$5,12,31))</f>
        <v/>
      </c>
      <c r="G283" s="331">
        <f>SUMIFS(DATA!$M:$M,DATA!$C:$C,$B283,DATA!$N:$N,"&gt;="&amp;DATE(G$5,1,1),DATA!$N:$N,"&lt;="&amp;DATE(G$5,12,31))</f>
        <v/>
      </c>
      <c r="H283" s="331">
        <f>SUMIFS(DATA!$M:$M,DATA!$C:$C,$B283,DATA!$N:$N,"&gt;="&amp;DATE(H$5,1,1),DATA!$N:$N,"&lt;="&amp;DATE(H$5,12,31))</f>
        <v/>
      </c>
      <c r="I283" s="331">
        <f>SUMIFS(DATA!$M:$M,DATA!$C:$C,$B283,DATA!$N:$N,"&gt;="&amp;DATE(I$5,1,1),DATA!$N:$N,"&lt;="&amp;DATE(I$5,12,31))</f>
        <v/>
      </c>
      <c r="J283" s="332">
        <f>SUM(C283:I283)</f>
        <v/>
      </c>
      <c r="K283" s="333">
        <f>J283/$J$506</f>
        <v/>
      </c>
    </row>
    <row r="284" hidden="1" outlineLevel="1" ht="32.25" customHeight="1">
      <c r="A284" s="48" t="n">
        <v>279</v>
      </c>
      <c r="B284" s="107" t="n"/>
      <c r="C284" s="331">
        <f>SUMIFS(DATA!$M:$M,DATA!$C:$C,$B284,DATA!$N:$N,"&gt;="&amp;DATE(C$5,1,1),DATA!$N:$N,"&lt;="&amp;DATE(C$5,12,31))</f>
        <v/>
      </c>
      <c r="D284" s="331">
        <f>SUMIFS(DATA!$M:$M,DATA!$C:$C,$B284,DATA!$N:$N,"&gt;="&amp;DATE(D$5,1,1),DATA!$N:$N,"&lt;="&amp;DATE(D$5,12,31))</f>
        <v/>
      </c>
      <c r="E284" s="331">
        <f>SUMIFS(DATA!$M:$M,DATA!$C:$C,$B284,DATA!$N:$N,"&gt;="&amp;DATE(E$5,1,1),DATA!$N:$N,"&lt;="&amp;DATE(E$5,12,31))</f>
        <v/>
      </c>
      <c r="F284" s="331">
        <f>SUMIFS(DATA!$M:$M,DATA!$C:$C,$B284,DATA!$N:$N,"&gt;="&amp;DATE(F$5,1,1),DATA!$N:$N,"&lt;="&amp;DATE(F$5,12,31))</f>
        <v/>
      </c>
      <c r="G284" s="331">
        <f>SUMIFS(DATA!$M:$M,DATA!$C:$C,$B284,DATA!$N:$N,"&gt;="&amp;DATE(G$5,1,1),DATA!$N:$N,"&lt;="&amp;DATE(G$5,12,31))</f>
        <v/>
      </c>
      <c r="H284" s="331">
        <f>SUMIFS(DATA!$M:$M,DATA!$C:$C,$B284,DATA!$N:$N,"&gt;="&amp;DATE(H$5,1,1),DATA!$N:$N,"&lt;="&amp;DATE(H$5,12,31))</f>
        <v/>
      </c>
      <c r="I284" s="331">
        <f>SUMIFS(DATA!$M:$M,DATA!$C:$C,$B284,DATA!$N:$N,"&gt;="&amp;DATE(I$5,1,1),DATA!$N:$N,"&lt;="&amp;DATE(I$5,12,31))</f>
        <v/>
      </c>
      <c r="J284" s="332">
        <f>SUM(C284:I284)</f>
        <v/>
      </c>
      <c r="K284" s="333">
        <f>J284/$J$506</f>
        <v/>
      </c>
    </row>
    <row r="285" hidden="1" outlineLevel="1" ht="32.25" customHeight="1">
      <c r="A285" s="48" t="n">
        <v>280</v>
      </c>
      <c r="B285" s="107" t="n"/>
      <c r="C285" s="331">
        <f>SUMIFS(DATA!$M:$M,DATA!$C:$C,$B285,DATA!$N:$N,"&gt;="&amp;DATE(C$5,1,1),DATA!$N:$N,"&lt;="&amp;DATE(C$5,12,31))</f>
        <v/>
      </c>
      <c r="D285" s="331">
        <f>SUMIFS(DATA!$M:$M,DATA!$C:$C,$B285,DATA!$N:$N,"&gt;="&amp;DATE(D$5,1,1),DATA!$N:$N,"&lt;="&amp;DATE(D$5,12,31))</f>
        <v/>
      </c>
      <c r="E285" s="331">
        <f>SUMIFS(DATA!$M:$M,DATA!$C:$C,$B285,DATA!$N:$N,"&gt;="&amp;DATE(E$5,1,1),DATA!$N:$N,"&lt;="&amp;DATE(E$5,12,31))</f>
        <v/>
      </c>
      <c r="F285" s="331">
        <f>SUMIFS(DATA!$M:$M,DATA!$C:$C,$B285,DATA!$N:$N,"&gt;="&amp;DATE(F$5,1,1),DATA!$N:$N,"&lt;="&amp;DATE(F$5,12,31))</f>
        <v/>
      </c>
      <c r="G285" s="331">
        <f>SUMIFS(DATA!$M:$M,DATA!$C:$C,$B285,DATA!$N:$N,"&gt;="&amp;DATE(G$5,1,1),DATA!$N:$N,"&lt;="&amp;DATE(G$5,12,31))</f>
        <v/>
      </c>
      <c r="H285" s="331">
        <f>SUMIFS(DATA!$M:$M,DATA!$C:$C,$B285,DATA!$N:$N,"&gt;="&amp;DATE(H$5,1,1),DATA!$N:$N,"&lt;="&amp;DATE(H$5,12,31))</f>
        <v/>
      </c>
      <c r="I285" s="331">
        <f>SUMIFS(DATA!$M:$M,DATA!$C:$C,$B285,DATA!$N:$N,"&gt;="&amp;DATE(I$5,1,1),DATA!$N:$N,"&lt;="&amp;DATE(I$5,12,31))</f>
        <v/>
      </c>
      <c r="J285" s="332">
        <f>SUM(C285:I285)</f>
        <v/>
      </c>
      <c r="K285" s="333">
        <f>J285/$J$506</f>
        <v/>
      </c>
    </row>
    <row r="286" hidden="1" outlineLevel="1" ht="32.25" customHeight="1">
      <c r="A286" s="48" t="n">
        <v>281</v>
      </c>
      <c r="B286" s="107" t="n"/>
      <c r="C286" s="331">
        <f>SUMIFS(DATA!$M:$M,DATA!$C:$C,$B286,DATA!$N:$N,"&gt;="&amp;DATE(C$5,1,1),DATA!$N:$N,"&lt;="&amp;DATE(C$5,12,31))</f>
        <v/>
      </c>
      <c r="D286" s="331">
        <f>SUMIFS(DATA!$M:$M,DATA!$C:$C,$B286,DATA!$N:$N,"&gt;="&amp;DATE(D$5,1,1),DATA!$N:$N,"&lt;="&amp;DATE(D$5,12,31))</f>
        <v/>
      </c>
      <c r="E286" s="331">
        <f>SUMIFS(DATA!$M:$M,DATA!$C:$C,$B286,DATA!$N:$N,"&gt;="&amp;DATE(E$5,1,1),DATA!$N:$N,"&lt;="&amp;DATE(E$5,12,31))</f>
        <v/>
      </c>
      <c r="F286" s="331">
        <f>SUMIFS(DATA!$M:$M,DATA!$C:$C,$B286,DATA!$N:$N,"&gt;="&amp;DATE(F$5,1,1),DATA!$N:$N,"&lt;="&amp;DATE(F$5,12,31))</f>
        <v/>
      </c>
      <c r="G286" s="331">
        <f>SUMIFS(DATA!$M:$M,DATA!$C:$C,$B286,DATA!$N:$N,"&gt;="&amp;DATE(G$5,1,1),DATA!$N:$N,"&lt;="&amp;DATE(G$5,12,31))</f>
        <v/>
      </c>
      <c r="H286" s="331">
        <f>SUMIFS(DATA!$M:$M,DATA!$C:$C,$B286,DATA!$N:$N,"&gt;="&amp;DATE(H$5,1,1),DATA!$N:$N,"&lt;="&amp;DATE(H$5,12,31))</f>
        <v/>
      </c>
      <c r="I286" s="331">
        <f>SUMIFS(DATA!$M:$M,DATA!$C:$C,$B286,DATA!$N:$N,"&gt;="&amp;DATE(I$5,1,1),DATA!$N:$N,"&lt;="&amp;DATE(I$5,12,31))</f>
        <v/>
      </c>
      <c r="J286" s="332">
        <f>SUM(C286:I286)</f>
        <v/>
      </c>
      <c r="K286" s="333">
        <f>J286/$J$506</f>
        <v/>
      </c>
    </row>
    <row r="287" hidden="1" outlineLevel="1" ht="32.25" customHeight="1">
      <c r="A287" s="48" t="n">
        <v>282</v>
      </c>
      <c r="B287" s="107" t="n"/>
      <c r="C287" s="331">
        <f>SUMIFS(DATA!$M:$M,DATA!$C:$C,$B287,DATA!$N:$N,"&gt;="&amp;DATE(C$5,1,1),DATA!$N:$N,"&lt;="&amp;DATE(C$5,12,31))</f>
        <v/>
      </c>
      <c r="D287" s="331">
        <f>SUMIFS(DATA!$M:$M,DATA!$C:$C,$B287,DATA!$N:$N,"&gt;="&amp;DATE(D$5,1,1),DATA!$N:$N,"&lt;="&amp;DATE(D$5,12,31))</f>
        <v/>
      </c>
      <c r="E287" s="331">
        <f>SUMIFS(DATA!$M:$M,DATA!$C:$C,$B287,DATA!$N:$N,"&gt;="&amp;DATE(E$5,1,1),DATA!$N:$N,"&lt;="&amp;DATE(E$5,12,31))</f>
        <v/>
      </c>
      <c r="F287" s="331">
        <f>SUMIFS(DATA!$M:$M,DATA!$C:$C,$B287,DATA!$N:$N,"&gt;="&amp;DATE(F$5,1,1),DATA!$N:$N,"&lt;="&amp;DATE(F$5,12,31))</f>
        <v/>
      </c>
      <c r="G287" s="331">
        <f>SUMIFS(DATA!$M:$M,DATA!$C:$C,$B287,DATA!$N:$N,"&gt;="&amp;DATE(G$5,1,1),DATA!$N:$N,"&lt;="&amp;DATE(G$5,12,31))</f>
        <v/>
      </c>
      <c r="H287" s="331">
        <f>SUMIFS(DATA!$M:$M,DATA!$C:$C,$B287,DATA!$N:$N,"&gt;="&amp;DATE(H$5,1,1),DATA!$N:$N,"&lt;="&amp;DATE(H$5,12,31))</f>
        <v/>
      </c>
      <c r="I287" s="331">
        <f>SUMIFS(DATA!$M:$M,DATA!$C:$C,$B287,DATA!$N:$N,"&gt;="&amp;DATE(I$5,1,1),DATA!$N:$N,"&lt;="&amp;DATE(I$5,12,31))</f>
        <v/>
      </c>
      <c r="J287" s="332">
        <f>SUM(C287:I287)</f>
        <v/>
      </c>
      <c r="K287" s="333">
        <f>J287/$J$506</f>
        <v/>
      </c>
    </row>
    <row r="288" hidden="1" outlineLevel="1" ht="32.25" customHeight="1">
      <c r="A288" s="48" t="n">
        <v>283</v>
      </c>
      <c r="B288" s="107" t="n"/>
      <c r="C288" s="331">
        <f>SUMIFS(DATA!$M:$M,DATA!$C:$C,$B288,DATA!$N:$N,"&gt;="&amp;DATE(C$5,1,1),DATA!$N:$N,"&lt;="&amp;DATE(C$5,12,31))</f>
        <v/>
      </c>
      <c r="D288" s="331">
        <f>SUMIFS(DATA!$M:$M,DATA!$C:$C,$B288,DATA!$N:$N,"&gt;="&amp;DATE(D$5,1,1),DATA!$N:$N,"&lt;="&amp;DATE(D$5,12,31))</f>
        <v/>
      </c>
      <c r="E288" s="331">
        <f>SUMIFS(DATA!$M:$M,DATA!$C:$C,$B288,DATA!$N:$N,"&gt;="&amp;DATE(E$5,1,1),DATA!$N:$N,"&lt;="&amp;DATE(E$5,12,31))</f>
        <v/>
      </c>
      <c r="F288" s="331">
        <f>SUMIFS(DATA!$M:$M,DATA!$C:$C,$B288,DATA!$N:$N,"&gt;="&amp;DATE(F$5,1,1),DATA!$N:$N,"&lt;="&amp;DATE(F$5,12,31))</f>
        <v/>
      </c>
      <c r="G288" s="331">
        <f>SUMIFS(DATA!$M:$M,DATA!$C:$C,$B288,DATA!$N:$N,"&gt;="&amp;DATE(G$5,1,1),DATA!$N:$N,"&lt;="&amp;DATE(G$5,12,31))</f>
        <v/>
      </c>
      <c r="H288" s="331">
        <f>SUMIFS(DATA!$M:$M,DATA!$C:$C,$B288,DATA!$N:$N,"&gt;="&amp;DATE(H$5,1,1),DATA!$N:$N,"&lt;="&amp;DATE(H$5,12,31))</f>
        <v/>
      </c>
      <c r="I288" s="331">
        <f>SUMIFS(DATA!$M:$M,DATA!$C:$C,$B288,DATA!$N:$N,"&gt;="&amp;DATE(I$5,1,1),DATA!$N:$N,"&lt;="&amp;DATE(I$5,12,31))</f>
        <v/>
      </c>
      <c r="J288" s="332">
        <f>SUM(C288:I288)</f>
        <v/>
      </c>
      <c r="K288" s="333">
        <f>J288/$J$506</f>
        <v/>
      </c>
    </row>
    <row r="289" hidden="1" outlineLevel="1" ht="32.25" customHeight="1">
      <c r="A289" s="48" t="n">
        <v>284</v>
      </c>
      <c r="B289" s="107" t="n"/>
      <c r="C289" s="331">
        <f>SUMIFS(DATA!$M:$M,DATA!$C:$C,$B289,DATA!$N:$N,"&gt;="&amp;DATE(C$5,1,1),DATA!$N:$N,"&lt;="&amp;DATE(C$5,12,31))</f>
        <v/>
      </c>
      <c r="D289" s="331">
        <f>SUMIFS(DATA!$M:$M,DATA!$C:$C,$B289,DATA!$N:$N,"&gt;="&amp;DATE(D$5,1,1),DATA!$N:$N,"&lt;="&amp;DATE(D$5,12,31))</f>
        <v/>
      </c>
      <c r="E289" s="331">
        <f>SUMIFS(DATA!$M:$M,DATA!$C:$C,$B289,DATA!$N:$N,"&gt;="&amp;DATE(E$5,1,1),DATA!$N:$N,"&lt;="&amp;DATE(E$5,12,31))</f>
        <v/>
      </c>
      <c r="F289" s="331">
        <f>SUMIFS(DATA!$M:$M,DATA!$C:$C,$B289,DATA!$N:$N,"&gt;="&amp;DATE(F$5,1,1),DATA!$N:$N,"&lt;="&amp;DATE(F$5,12,31))</f>
        <v/>
      </c>
      <c r="G289" s="331">
        <f>SUMIFS(DATA!$M:$M,DATA!$C:$C,$B289,DATA!$N:$N,"&gt;="&amp;DATE(G$5,1,1),DATA!$N:$N,"&lt;="&amp;DATE(G$5,12,31))</f>
        <v/>
      </c>
      <c r="H289" s="331">
        <f>SUMIFS(DATA!$M:$M,DATA!$C:$C,$B289,DATA!$N:$N,"&gt;="&amp;DATE(H$5,1,1),DATA!$N:$N,"&lt;="&amp;DATE(H$5,12,31))</f>
        <v/>
      </c>
      <c r="I289" s="331">
        <f>SUMIFS(DATA!$M:$M,DATA!$C:$C,$B289,DATA!$N:$N,"&gt;="&amp;DATE(I$5,1,1),DATA!$N:$N,"&lt;="&amp;DATE(I$5,12,31))</f>
        <v/>
      </c>
      <c r="J289" s="332">
        <f>SUM(C289:I289)</f>
        <v/>
      </c>
      <c r="K289" s="333">
        <f>J289/$J$506</f>
        <v/>
      </c>
    </row>
    <row r="290" hidden="1" outlineLevel="1" ht="32.25" customHeight="1">
      <c r="A290" s="48" t="n">
        <v>285</v>
      </c>
      <c r="B290" s="107" t="n"/>
      <c r="C290" s="331">
        <f>SUMIFS(DATA!$M:$M,DATA!$C:$C,$B290,DATA!$N:$N,"&gt;="&amp;DATE(C$5,1,1),DATA!$N:$N,"&lt;="&amp;DATE(C$5,12,31))</f>
        <v/>
      </c>
      <c r="D290" s="331">
        <f>SUMIFS(DATA!$M:$M,DATA!$C:$C,$B290,DATA!$N:$N,"&gt;="&amp;DATE(D$5,1,1),DATA!$N:$N,"&lt;="&amp;DATE(D$5,12,31))</f>
        <v/>
      </c>
      <c r="E290" s="331">
        <f>SUMIFS(DATA!$M:$M,DATA!$C:$C,$B290,DATA!$N:$N,"&gt;="&amp;DATE(E$5,1,1),DATA!$N:$N,"&lt;="&amp;DATE(E$5,12,31))</f>
        <v/>
      </c>
      <c r="F290" s="331">
        <f>SUMIFS(DATA!$M:$M,DATA!$C:$C,$B290,DATA!$N:$N,"&gt;="&amp;DATE(F$5,1,1),DATA!$N:$N,"&lt;="&amp;DATE(F$5,12,31))</f>
        <v/>
      </c>
      <c r="G290" s="331">
        <f>SUMIFS(DATA!$M:$M,DATA!$C:$C,$B290,DATA!$N:$N,"&gt;="&amp;DATE(G$5,1,1),DATA!$N:$N,"&lt;="&amp;DATE(G$5,12,31))</f>
        <v/>
      </c>
      <c r="H290" s="331">
        <f>SUMIFS(DATA!$M:$M,DATA!$C:$C,$B290,DATA!$N:$N,"&gt;="&amp;DATE(H$5,1,1),DATA!$N:$N,"&lt;="&amp;DATE(H$5,12,31))</f>
        <v/>
      </c>
      <c r="I290" s="331">
        <f>SUMIFS(DATA!$M:$M,DATA!$C:$C,$B290,DATA!$N:$N,"&gt;="&amp;DATE(I$5,1,1),DATA!$N:$N,"&lt;="&amp;DATE(I$5,12,31))</f>
        <v/>
      </c>
      <c r="J290" s="332">
        <f>SUM(C290:I290)</f>
        <v/>
      </c>
      <c r="K290" s="333">
        <f>J290/$J$506</f>
        <v/>
      </c>
    </row>
    <row r="291" hidden="1" outlineLevel="1" ht="32.25" customHeight="1">
      <c r="A291" s="48" t="n">
        <v>286</v>
      </c>
      <c r="B291" s="107" t="n"/>
      <c r="C291" s="331">
        <f>SUMIFS(DATA!$M:$M,DATA!$C:$C,$B291,DATA!$N:$N,"&gt;="&amp;DATE(C$5,1,1),DATA!$N:$N,"&lt;="&amp;DATE(C$5,12,31))</f>
        <v/>
      </c>
      <c r="D291" s="331">
        <f>SUMIFS(DATA!$M:$M,DATA!$C:$C,$B291,DATA!$N:$N,"&gt;="&amp;DATE(D$5,1,1),DATA!$N:$N,"&lt;="&amp;DATE(D$5,12,31))</f>
        <v/>
      </c>
      <c r="E291" s="331">
        <f>SUMIFS(DATA!$M:$M,DATA!$C:$C,$B291,DATA!$N:$N,"&gt;="&amp;DATE(E$5,1,1),DATA!$N:$N,"&lt;="&amp;DATE(E$5,12,31))</f>
        <v/>
      </c>
      <c r="F291" s="331">
        <f>SUMIFS(DATA!$M:$M,DATA!$C:$C,$B291,DATA!$N:$N,"&gt;="&amp;DATE(F$5,1,1),DATA!$N:$N,"&lt;="&amp;DATE(F$5,12,31))</f>
        <v/>
      </c>
      <c r="G291" s="331">
        <f>SUMIFS(DATA!$M:$M,DATA!$C:$C,$B291,DATA!$N:$N,"&gt;="&amp;DATE(G$5,1,1),DATA!$N:$N,"&lt;="&amp;DATE(G$5,12,31))</f>
        <v/>
      </c>
      <c r="H291" s="331">
        <f>SUMIFS(DATA!$M:$M,DATA!$C:$C,$B291,DATA!$N:$N,"&gt;="&amp;DATE(H$5,1,1),DATA!$N:$N,"&lt;="&amp;DATE(H$5,12,31))</f>
        <v/>
      </c>
      <c r="I291" s="331">
        <f>SUMIFS(DATA!$M:$M,DATA!$C:$C,$B291,DATA!$N:$N,"&gt;="&amp;DATE(I$5,1,1),DATA!$N:$N,"&lt;="&amp;DATE(I$5,12,31))</f>
        <v/>
      </c>
      <c r="J291" s="332">
        <f>SUM(C291:I291)</f>
        <v/>
      </c>
      <c r="K291" s="333">
        <f>J291/$J$506</f>
        <v/>
      </c>
    </row>
    <row r="292" hidden="1" outlineLevel="1" ht="32.25" customHeight="1">
      <c r="A292" s="48" t="n">
        <v>287</v>
      </c>
      <c r="B292" s="107" t="n"/>
      <c r="C292" s="331">
        <f>SUMIFS(DATA!$M:$M,DATA!$C:$C,$B292,DATA!$N:$N,"&gt;="&amp;DATE(C$5,1,1),DATA!$N:$N,"&lt;="&amp;DATE(C$5,12,31))</f>
        <v/>
      </c>
      <c r="D292" s="331">
        <f>SUMIFS(DATA!$M:$M,DATA!$C:$C,$B292,DATA!$N:$N,"&gt;="&amp;DATE(D$5,1,1),DATA!$N:$N,"&lt;="&amp;DATE(D$5,12,31))</f>
        <v/>
      </c>
      <c r="E292" s="331">
        <f>SUMIFS(DATA!$M:$M,DATA!$C:$C,$B292,DATA!$N:$N,"&gt;="&amp;DATE(E$5,1,1),DATA!$N:$N,"&lt;="&amp;DATE(E$5,12,31))</f>
        <v/>
      </c>
      <c r="F292" s="331">
        <f>SUMIFS(DATA!$M:$M,DATA!$C:$C,$B292,DATA!$N:$N,"&gt;="&amp;DATE(F$5,1,1),DATA!$N:$N,"&lt;="&amp;DATE(F$5,12,31))</f>
        <v/>
      </c>
      <c r="G292" s="331">
        <f>SUMIFS(DATA!$M:$M,DATA!$C:$C,$B292,DATA!$N:$N,"&gt;="&amp;DATE(G$5,1,1),DATA!$N:$N,"&lt;="&amp;DATE(G$5,12,31))</f>
        <v/>
      </c>
      <c r="H292" s="331">
        <f>SUMIFS(DATA!$M:$M,DATA!$C:$C,$B292,DATA!$N:$N,"&gt;="&amp;DATE(H$5,1,1),DATA!$N:$N,"&lt;="&amp;DATE(H$5,12,31))</f>
        <v/>
      </c>
      <c r="I292" s="331">
        <f>SUMIFS(DATA!$M:$M,DATA!$C:$C,$B292,DATA!$N:$N,"&gt;="&amp;DATE(I$5,1,1),DATA!$N:$N,"&lt;="&amp;DATE(I$5,12,31))</f>
        <v/>
      </c>
      <c r="J292" s="332">
        <f>SUM(C292:I292)</f>
        <v/>
      </c>
      <c r="K292" s="333">
        <f>J292/$J$506</f>
        <v/>
      </c>
    </row>
    <row r="293" hidden="1" outlineLevel="1" ht="32.25" customHeight="1">
      <c r="A293" s="48" t="n">
        <v>288</v>
      </c>
      <c r="B293" s="107" t="n"/>
      <c r="C293" s="331">
        <f>SUMIFS(DATA!$M:$M,DATA!$C:$C,$B293,DATA!$N:$N,"&gt;="&amp;DATE(C$5,1,1),DATA!$N:$N,"&lt;="&amp;DATE(C$5,12,31))</f>
        <v/>
      </c>
      <c r="D293" s="331">
        <f>SUMIFS(DATA!$M:$M,DATA!$C:$C,$B293,DATA!$N:$N,"&gt;="&amp;DATE(D$5,1,1),DATA!$N:$N,"&lt;="&amp;DATE(D$5,12,31))</f>
        <v/>
      </c>
      <c r="E293" s="331">
        <f>SUMIFS(DATA!$M:$M,DATA!$C:$C,$B293,DATA!$N:$N,"&gt;="&amp;DATE(E$5,1,1),DATA!$N:$N,"&lt;="&amp;DATE(E$5,12,31))</f>
        <v/>
      </c>
      <c r="F293" s="331">
        <f>SUMIFS(DATA!$M:$M,DATA!$C:$C,$B293,DATA!$N:$N,"&gt;="&amp;DATE(F$5,1,1),DATA!$N:$N,"&lt;="&amp;DATE(F$5,12,31))</f>
        <v/>
      </c>
      <c r="G293" s="331">
        <f>SUMIFS(DATA!$M:$M,DATA!$C:$C,$B293,DATA!$N:$N,"&gt;="&amp;DATE(G$5,1,1),DATA!$N:$N,"&lt;="&amp;DATE(G$5,12,31))</f>
        <v/>
      </c>
      <c r="H293" s="331">
        <f>SUMIFS(DATA!$M:$M,DATA!$C:$C,$B293,DATA!$N:$N,"&gt;="&amp;DATE(H$5,1,1),DATA!$N:$N,"&lt;="&amp;DATE(H$5,12,31))</f>
        <v/>
      </c>
      <c r="I293" s="331">
        <f>SUMIFS(DATA!$M:$M,DATA!$C:$C,$B293,DATA!$N:$N,"&gt;="&amp;DATE(I$5,1,1),DATA!$N:$N,"&lt;="&amp;DATE(I$5,12,31))</f>
        <v/>
      </c>
      <c r="J293" s="332">
        <f>SUM(C293:I293)</f>
        <v/>
      </c>
      <c r="K293" s="333">
        <f>J293/$J$506</f>
        <v/>
      </c>
    </row>
    <row r="294" hidden="1" outlineLevel="1" ht="32.25" customHeight="1">
      <c r="A294" s="48" t="n">
        <v>289</v>
      </c>
      <c r="B294" s="107" t="n"/>
      <c r="C294" s="331">
        <f>SUMIFS(DATA!$M:$M,DATA!$C:$C,$B294,DATA!$N:$N,"&gt;="&amp;DATE(C$5,1,1),DATA!$N:$N,"&lt;="&amp;DATE(C$5,12,31))</f>
        <v/>
      </c>
      <c r="D294" s="331">
        <f>SUMIFS(DATA!$M:$M,DATA!$C:$C,$B294,DATA!$N:$N,"&gt;="&amp;DATE(D$5,1,1),DATA!$N:$N,"&lt;="&amp;DATE(D$5,12,31))</f>
        <v/>
      </c>
      <c r="E294" s="331">
        <f>SUMIFS(DATA!$M:$M,DATA!$C:$C,$B294,DATA!$N:$N,"&gt;="&amp;DATE(E$5,1,1),DATA!$N:$N,"&lt;="&amp;DATE(E$5,12,31))</f>
        <v/>
      </c>
      <c r="F294" s="331">
        <f>SUMIFS(DATA!$M:$M,DATA!$C:$C,$B294,DATA!$N:$N,"&gt;="&amp;DATE(F$5,1,1),DATA!$N:$N,"&lt;="&amp;DATE(F$5,12,31))</f>
        <v/>
      </c>
      <c r="G294" s="331">
        <f>SUMIFS(DATA!$M:$M,DATA!$C:$C,$B294,DATA!$N:$N,"&gt;="&amp;DATE(G$5,1,1),DATA!$N:$N,"&lt;="&amp;DATE(G$5,12,31))</f>
        <v/>
      </c>
      <c r="H294" s="331">
        <f>SUMIFS(DATA!$M:$M,DATA!$C:$C,$B294,DATA!$N:$N,"&gt;="&amp;DATE(H$5,1,1),DATA!$N:$N,"&lt;="&amp;DATE(H$5,12,31))</f>
        <v/>
      </c>
      <c r="I294" s="331">
        <f>SUMIFS(DATA!$M:$M,DATA!$C:$C,$B294,DATA!$N:$N,"&gt;="&amp;DATE(I$5,1,1),DATA!$N:$N,"&lt;="&amp;DATE(I$5,12,31))</f>
        <v/>
      </c>
      <c r="J294" s="332">
        <f>SUM(C294:I294)</f>
        <v/>
      </c>
      <c r="K294" s="333">
        <f>J294/$J$506</f>
        <v/>
      </c>
    </row>
    <row r="295" hidden="1" outlineLevel="1" ht="32.25" customHeight="1">
      <c r="A295" s="48" t="n">
        <v>290</v>
      </c>
      <c r="B295" s="107" t="n"/>
      <c r="C295" s="331">
        <f>SUMIFS(DATA!$M:$M,DATA!$C:$C,$B295,DATA!$N:$N,"&gt;="&amp;DATE(C$5,1,1),DATA!$N:$N,"&lt;="&amp;DATE(C$5,12,31))</f>
        <v/>
      </c>
      <c r="D295" s="331">
        <f>SUMIFS(DATA!$M:$M,DATA!$C:$C,$B295,DATA!$N:$N,"&gt;="&amp;DATE(D$5,1,1),DATA!$N:$N,"&lt;="&amp;DATE(D$5,12,31))</f>
        <v/>
      </c>
      <c r="E295" s="331">
        <f>SUMIFS(DATA!$M:$M,DATA!$C:$C,$B295,DATA!$N:$N,"&gt;="&amp;DATE(E$5,1,1),DATA!$N:$N,"&lt;="&amp;DATE(E$5,12,31))</f>
        <v/>
      </c>
      <c r="F295" s="331">
        <f>SUMIFS(DATA!$M:$M,DATA!$C:$C,$B295,DATA!$N:$N,"&gt;="&amp;DATE(F$5,1,1),DATA!$N:$N,"&lt;="&amp;DATE(F$5,12,31))</f>
        <v/>
      </c>
      <c r="G295" s="331">
        <f>SUMIFS(DATA!$M:$M,DATA!$C:$C,$B295,DATA!$N:$N,"&gt;="&amp;DATE(G$5,1,1),DATA!$N:$N,"&lt;="&amp;DATE(G$5,12,31))</f>
        <v/>
      </c>
      <c r="H295" s="331">
        <f>SUMIFS(DATA!$M:$M,DATA!$C:$C,$B295,DATA!$N:$N,"&gt;="&amp;DATE(H$5,1,1),DATA!$N:$N,"&lt;="&amp;DATE(H$5,12,31))</f>
        <v/>
      </c>
      <c r="I295" s="331">
        <f>SUMIFS(DATA!$M:$M,DATA!$C:$C,$B295,DATA!$N:$N,"&gt;="&amp;DATE(I$5,1,1),DATA!$N:$N,"&lt;="&amp;DATE(I$5,12,31))</f>
        <v/>
      </c>
      <c r="J295" s="332">
        <f>SUM(C295:I295)</f>
        <v/>
      </c>
      <c r="K295" s="333">
        <f>J295/$J$506</f>
        <v/>
      </c>
    </row>
    <row r="296" hidden="1" outlineLevel="1" ht="32.25" customHeight="1">
      <c r="A296" s="48" t="n">
        <v>291</v>
      </c>
      <c r="B296" s="107" t="n"/>
      <c r="C296" s="331">
        <f>SUMIFS(DATA!$M:$M,DATA!$C:$C,$B296,DATA!$N:$N,"&gt;="&amp;DATE(C$5,1,1),DATA!$N:$N,"&lt;="&amp;DATE(C$5,12,31))</f>
        <v/>
      </c>
      <c r="D296" s="331">
        <f>SUMIFS(DATA!$M:$M,DATA!$C:$C,$B296,DATA!$N:$N,"&gt;="&amp;DATE(D$5,1,1),DATA!$N:$N,"&lt;="&amp;DATE(D$5,12,31))</f>
        <v/>
      </c>
      <c r="E296" s="331">
        <f>SUMIFS(DATA!$M:$M,DATA!$C:$C,$B296,DATA!$N:$N,"&gt;="&amp;DATE(E$5,1,1),DATA!$N:$N,"&lt;="&amp;DATE(E$5,12,31))</f>
        <v/>
      </c>
      <c r="F296" s="331">
        <f>SUMIFS(DATA!$M:$M,DATA!$C:$C,$B296,DATA!$N:$N,"&gt;="&amp;DATE(F$5,1,1),DATA!$N:$N,"&lt;="&amp;DATE(F$5,12,31))</f>
        <v/>
      </c>
      <c r="G296" s="331">
        <f>SUMIFS(DATA!$M:$M,DATA!$C:$C,$B296,DATA!$N:$N,"&gt;="&amp;DATE(G$5,1,1),DATA!$N:$N,"&lt;="&amp;DATE(G$5,12,31))</f>
        <v/>
      </c>
      <c r="H296" s="331">
        <f>SUMIFS(DATA!$M:$M,DATA!$C:$C,$B296,DATA!$N:$N,"&gt;="&amp;DATE(H$5,1,1),DATA!$N:$N,"&lt;="&amp;DATE(H$5,12,31))</f>
        <v/>
      </c>
      <c r="I296" s="331">
        <f>SUMIFS(DATA!$M:$M,DATA!$C:$C,$B296,DATA!$N:$N,"&gt;="&amp;DATE(I$5,1,1),DATA!$N:$N,"&lt;="&amp;DATE(I$5,12,31))</f>
        <v/>
      </c>
      <c r="J296" s="332">
        <f>SUM(C296:I296)</f>
        <v/>
      </c>
      <c r="K296" s="333">
        <f>J296/$J$506</f>
        <v/>
      </c>
    </row>
    <row r="297" hidden="1" outlineLevel="1" ht="32.25" customHeight="1">
      <c r="A297" s="48" t="n">
        <v>292</v>
      </c>
      <c r="B297" s="107" t="n"/>
      <c r="C297" s="331">
        <f>SUMIFS(DATA!$M:$M,DATA!$C:$C,$B297,DATA!$N:$N,"&gt;="&amp;DATE(C$5,1,1),DATA!$N:$N,"&lt;="&amp;DATE(C$5,12,31))</f>
        <v/>
      </c>
      <c r="D297" s="331">
        <f>SUMIFS(DATA!$M:$M,DATA!$C:$C,$B297,DATA!$N:$N,"&gt;="&amp;DATE(D$5,1,1),DATA!$N:$N,"&lt;="&amp;DATE(D$5,12,31))</f>
        <v/>
      </c>
      <c r="E297" s="331">
        <f>SUMIFS(DATA!$M:$M,DATA!$C:$C,$B297,DATA!$N:$N,"&gt;="&amp;DATE(E$5,1,1),DATA!$N:$N,"&lt;="&amp;DATE(E$5,12,31))</f>
        <v/>
      </c>
      <c r="F297" s="331">
        <f>SUMIFS(DATA!$M:$M,DATA!$C:$C,$B297,DATA!$N:$N,"&gt;="&amp;DATE(F$5,1,1),DATA!$N:$N,"&lt;="&amp;DATE(F$5,12,31))</f>
        <v/>
      </c>
      <c r="G297" s="331">
        <f>SUMIFS(DATA!$M:$M,DATA!$C:$C,$B297,DATA!$N:$N,"&gt;="&amp;DATE(G$5,1,1),DATA!$N:$N,"&lt;="&amp;DATE(G$5,12,31))</f>
        <v/>
      </c>
      <c r="H297" s="331">
        <f>SUMIFS(DATA!$M:$M,DATA!$C:$C,$B297,DATA!$N:$N,"&gt;="&amp;DATE(H$5,1,1),DATA!$N:$N,"&lt;="&amp;DATE(H$5,12,31))</f>
        <v/>
      </c>
      <c r="I297" s="331">
        <f>SUMIFS(DATA!$M:$M,DATA!$C:$C,$B297,DATA!$N:$N,"&gt;="&amp;DATE(I$5,1,1),DATA!$N:$N,"&lt;="&amp;DATE(I$5,12,31))</f>
        <v/>
      </c>
      <c r="J297" s="332">
        <f>SUM(C297:I297)</f>
        <v/>
      </c>
      <c r="K297" s="333">
        <f>J297/$J$506</f>
        <v/>
      </c>
    </row>
    <row r="298" hidden="1" outlineLevel="1" ht="32.25" customHeight="1">
      <c r="A298" s="48" t="n">
        <v>293</v>
      </c>
      <c r="B298" s="107" t="n"/>
      <c r="C298" s="331">
        <f>SUMIFS(DATA!$M:$M,DATA!$C:$C,$B298,DATA!$N:$N,"&gt;="&amp;DATE(C$5,1,1),DATA!$N:$N,"&lt;="&amp;DATE(C$5,12,31))</f>
        <v/>
      </c>
      <c r="D298" s="331">
        <f>SUMIFS(DATA!$M:$M,DATA!$C:$C,$B298,DATA!$N:$N,"&gt;="&amp;DATE(D$5,1,1),DATA!$N:$N,"&lt;="&amp;DATE(D$5,12,31))</f>
        <v/>
      </c>
      <c r="E298" s="331">
        <f>SUMIFS(DATA!$M:$M,DATA!$C:$C,$B298,DATA!$N:$N,"&gt;="&amp;DATE(E$5,1,1),DATA!$N:$N,"&lt;="&amp;DATE(E$5,12,31))</f>
        <v/>
      </c>
      <c r="F298" s="331">
        <f>SUMIFS(DATA!$M:$M,DATA!$C:$C,$B298,DATA!$N:$N,"&gt;="&amp;DATE(F$5,1,1),DATA!$N:$N,"&lt;="&amp;DATE(F$5,12,31))</f>
        <v/>
      </c>
      <c r="G298" s="331">
        <f>SUMIFS(DATA!$M:$M,DATA!$C:$C,$B298,DATA!$N:$N,"&gt;="&amp;DATE(G$5,1,1),DATA!$N:$N,"&lt;="&amp;DATE(G$5,12,31))</f>
        <v/>
      </c>
      <c r="H298" s="331">
        <f>SUMIFS(DATA!$M:$M,DATA!$C:$C,$B298,DATA!$N:$N,"&gt;="&amp;DATE(H$5,1,1),DATA!$N:$N,"&lt;="&amp;DATE(H$5,12,31))</f>
        <v/>
      </c>
      <c r="I298" s="331">
        <f>SUMIFS(DATA!$M:$M,DATA!$C:$C,$B298,DATA!$N:$N,"&gt;="&amp;DATE(I$5,1,1),DATA!$N:$N,"&lt;="&amp;DATE(I$5,12,31))</f>
        <v/>
      </c>
      <c r="J298" s="332">
        <f>SUM(C298:I298)</f>
        <v/>
      </c>
      <c r="K298" s="333">
        <f>J298/$J$506</f>
        <v/>
      </c>
    </row>
    <row r="299" hidden="1" outlineLevel="1" ht="32.25" customHeight="1">
      <c r="A299" s="48" t="n">
        <v>294</v>
      </c>
      <c r="B299" s="107" t="n"/>
      <c r="C299" s="331">
        <f>SUMIFS(DATA!$M:$M,DATA!$C:$C,$B299,DATA!$N:$N,"&gt;="&amp;DATE(C$5,1,1),DATA!$N:$N,"&lt;="&amp;DATE(C$5,12,31))</f>
        <v/>
      </c>
      <c r="D299" s="331">
        <f>SUMIFS(DATA!$M:$M,DATA!$C:$C,$B299,DATA!$N:$N,"&gt;="&amp;DATE(D$5,1,1),DATA!$N:$N,"&lt;="&amp;DATE(D$5,12,31))</f>
        <v/>
      </c>
      <c r="E299" s="331">
        <f>SUMIFS(DATA!$M:$M,DATA!$C:$C,$B299,DATA!$N:$N,"&gt;="&amp;DATE(E$5,1,1),DATA!$N:$N,"&lt;="&amp;DATE(E$5,12,31))</f>
        <v/>
      </c>
      <c r="F299" s="331">
        <f>SUMIFS(DATA!$M:$M,DATA!$C:$C,$B299,DATA!$N:$N,"&gt;="&amp;DATE(F$5,1,1),DATA!$N:$N,"&lt;="&amp;DATE(F$5,12,31))</f>
        <v/>
      </c>
      <c r="G299" s="331">
        <f>SUMIFS(DATA!$M:$M,DATA!$C:$C,$B299,DATA!$N:$N,"&gt;="&amp;DATE(G$5,1,1),DATA!$N:$N,"&lt;="&amp;DATE(G$5,12,31))</f>
        <v/>
      </c>
      <c r="H299" s="331">
        <f>SUMIFS(DATA!$M:$M,DATA!$C:$C,$B299,DATA!$N:$N,"&gt;="&amp;DATE(H$5,1,1),DATA!$N:$N,"&lt;="&amp;DATE(H$5,12,31))</f>
        <v/>
      </c>
      <c r="I299" s="331">
        <f>SUMIFS(DATA!$M:$M,DATA!$C:$C,$B299,DATA!$N:$N,"&gt;="&amp;DATE(I$5,1,1),DATA!$N:$N,"&lt;="&amp;DATE(I$5,12,31))</f>
        <v/>
      </c>
      <c r="J299" s="332">
        <f>SUM(C299:I299)</f>
        <v/>
      </c>
      <c r="K299" s="333">
        <f>J299/$J$506</f>
        <v/>
      </c>
    </row>
    <row r="300" hidden="1" outlineLevel="1" ht="32.25" customHeight="1">
      <c r="A300" s="48" t="n">
        <v>295</v>
      </c>
      <c r="B300" s="107" t="n"/>
      <c r="C300" s="331">
        <f>SUMIFS(DATA!$M:$M,DATA!$C:$C,$B300,DATA!$N:$N,"&gt;="&amp;DATE(C$5,1,1),DATA!$N:$N,"&lt;="&amp;DATE(C$5,12,31))</f>
        <v/>
      </c>
      <c r="D300" s="331">
        <f>SUMIFS(DATA!$M:$M,DATA!$C:$C,$B300,DATA!$N:$N,"&gt;="&amp;DATE(D$5,1,1),DATA!$N:$N,"&lt;="&amp;DATE(D$5,12,31))</f>
        <v/>
      </c>
      <c r="E300" s="331">
        <f>SUMIFS(DATA!$M:$M,DATA!$C:$C,$B300,DATA!$N:$N,"&gt;="&amp;DATE(E$5,1,1),DATA!$N:$N,"&lt;="&amp;DATE(E$5,12,31))</f>
        <v/>
      </c>
      <c r="F300" s="331">
        <f>SUMIFS(DATA!$M:$M,DATA!$C:$C,$B300,DATA!$N:$N,"&gt;="&amp;DATE(F$5,1,1),DATA!$N:$N,"&lt;="&amp;DATE(F$5,12,31))</f>
        <v/>
      </c>
      <c r="G300" s="331">
        <f>SUMIFS(DATA!$M:$M,DATA!$C:$C,$B300,DATA!$N:$N,"&gt;="&amp;DATE(G$5,1,1),DATA!$N:$N,"&lt;="&amp;DATE(G$5,12,31))</f>
        <v/>
      </c>
      <c r="H300" s="331">
        <f>SUMIFS(DATA!$M:$M,DATA!$C:$C,$B300,DATA!$N:$N,"&gt;="&amp;DATE(H$5,1,1),DATA!$N:$N,"&lt;="&amp;DATE(H$5,12,31))</f>
        <v/>
      </c>
      <c r="I300" s="331">
        <f>SUMIFS(DATA!$M:$M,DATA!$C:$C,$B300,DATA!$N:$N,"&gt;="&amp;DATE(I$5,1,1),DATA!$N:$N,"&lt;="&amp;DATE(I$5,12,31))</f>
        <v/>
      </c>
      <c r="J300" s="332">
        <f>SUM(C300:I300)</f>
        <v/>
      </c>
      <c r="K300" s="333">
        <f>J300/$J$506</f>
        <v/>
      </c>
    </row>
    <row r="301" hidden="1" outlineLevel="1" ht="32.25" customHeight="1">
      <c r="A301" s="48" t="n">
        <v>296</v>
      </c>
      <c r="B301" s="107" t="n"/>
      <c r="C301" s="331">
        <f>SUMIFS(DATA!$M:$M,DATA!$C:$C,$B301,DATA!$N:$N,"&gt;="&amp;DATE(C$5,1,1),DATA!$N:$N,"&lt;="&amp;DATE(C$5,12,31))</f>
        <v/>
      </c>
      <c r="D301" s="331">
        <f>SUMIFS(DATA!$M:$M,DATA!$C:$C,$B301,DATA!$N:$N,"&gt;="&amp;DATE(D$5,1,1),DATA!$N:$N,"&lt;="&amp;DATE(D$5,12,31))</f>
        <v/>
      </c>
      <c r="E301" s="331">
        <f>SUMIFS(DATA!$M:$M,DATA!$C:$C,$B301,DATA!$N:$N,"&gt;="&amp;DATE(E$5,1,1),DATA!$N:$N,"&lt;="&amp;DATE(E$5,12,31))</f>
        <v/>
      </c>
      <c r="F301" s="331">
        <f>SUMIFS(DATA!$M:$M,DATA!$C:$C,$B301,DATA!$N:$N,"&gt;="&amp;DATE(F$5,1,1),DATA!$N:$N,"&lt;="&amp;DATE(F$5,12,31))</f>
        <v/>
      </c>
      <c r="G301" s="331">
        <f>SUMIFS(DATA!$M:$M,DATA!$C:$C,$B301,DATA!$N:$N,"&gt;="&amp;DATE(G$5,1,1),DATA!$N:$N,"&lt;="&amp;DATE(G$5,12,31))</f>
        <v/>
      </c>
      <c r="H301" s="331">
        <f>SUMIFS(DATA!$M:$M,DATA!$C:$C,$B301,DATA!$N:$N,"&gt;="&amp;DATE(H$5,1,1),DATA!$N:$N,"&lt;="&amp;DATE(H$5,12,31))</f>
        <v/>
      </c>
      <c r="I301" s="331">
        <f>SUMIFS(DATA!$M:$M,DATA!$C:$C,$B301,DATA!$N:$N,"&gt;="&amp;DATE(I$5,1,1),DATA!$N:$N,"&lt;="&amp;DATE(I$5,12,31))</f>
        <v/>
      </c>
      <c r="J301" s="332">
        <f>SUM(C301:I301)</f>
        <v/>
      </c>
      <c r="K301" s="333">
        <f>J301/$J$506</f>
        <v/>
      </c>
    </row>
    <row r="302" hidden="1" outlineLevel="1" ht="32.25" customHeight="1">
      <c r="A302" s="48" t="n">
        <v>297</v>
      </c>
      <c r="B302" s="107" t="n"/>
      <c r="C302" s="331">
        <f>SUMIFS(DATA!$M:$M,DATA!$C:$C,$B302,DATA!$N:$N,"&gt;="&amp;DATE(C$5,1,1),DATA!$N:$N,"&lt;="&amp;DATE(C$5,12,31))</f>
        <v/>
      </c>
      <c r="D302" s="331">
        <f>SUMIFS(DATA!$M:$M,DATA!$C:$C,$B302,DATA!$N:$N,"&gt;="&amp;DATE(D$5,1,1),DATA!$N:$N,"&lt;="&amp;DATE(D$5,12,31))</f>
        <v/>
      </c>
      <c r="E302" s="331">
        <f>SUMIFS(DATA!$M:$M,DATA!$C:$C,$B302,DATA!$N:$N,"&gt;="&amp;DATE(E$5,1,1),DATA!$N:$N,"&lt;="&amp;DATE(E$5,12,31))</f>
        <v/>
      </c>
      <c r="F302" s="331">
        <f>SUMIFS(DATA!$M:$M,DATA!$C:$C,$B302,DATA!$N:$N,"&gt;="&amp;DATE(F$5,1,1),DATA!$N:$N,"&lt;="&amp;DATE(F$5,12,31))</f>
        <v/>
      </c>
      <c r="G302" s="331">
        <f>SUMIFS(DATA!$M:$M,DATA!$C:$C,$B302,DATA!$N:$N,"&gt;="&amp;DATE(G$5,1,1),DATA!$N:$N,"&lt;="&amp;DATE(G$5,12,31))</f>
        <v/>
      </c>
      <c r="H302" s="331">
        <f>SUMIFS(DATA!$M:$M,DATA!$C:$C,$B302,DATA!$N:$N,"&gt;="&amp;DATE(H$5,1,1),DATA!$N:$N,"&lt;="&amp;DATE(H$5,12,31))</f>
        <v/>
      </c>
      <c r="I302" s="331">
        <f>SUMIFS(DATA!$M:$M,DATA!$C:$C,$B302,DATA!$N:$N,"&gt;="&amp;DATE(I$5,1,1),DATA!$N:$N,"&lt;="&amp;DATE(I$5,12,31))</f>
        <v/>
      </c>
      <c r="J302" s="332">
        <f>SUM(C302:I302)</f>
        <v/>
      </c>
      <c r="K302" s="333">
        <f>J302/$J$506</f>
        <v/>
      </c>
    </row>
    <row r="303" hidden="1" outlineLevel="1" ht="32.25" customHeight="1">
      <c r="A303" s="48" t="n">
        <v>298</v>
      </c>
      <c r="B303" s="107" t="n"/>
      <c r="C303" s="331">
        <f>SUMIFS(DATA!$M:$M,DATA!$C:$C,$B303,DATA!$N:$N,"&gt;="&amp;DATE(C$5,1,1),DATA!$N:$N,"&lt;="&amp;DATE(C$5,12,31))</f>
        <v/>
      </c>
      <c r="D303" s="331">
        <f>SUMIFS(DATA!$M:$M,DATA!$C:$C,$B303,DATA!$N:$N,"&gt;="&amp;DATE(D$5,1,1),DATA!$N:$N,"&lt;="&amp;DATE(D$5,12,31))</f>
        <v/>
      </c>
      <c r="E303" s="331">
        <f>SUMIFS(DATA!$M:$M,DATA!$C:$C,$B303,DATA!$N:$N,"&gt;="&amp;DATE(E$5,1,1),DATA!$N:$N,"&lt;="&amp;DATE(E$5,12,31))</f>
        <v/>
      </c>
      <c r="F303" s="331">
        <f>SUMIFS(DATA!$M:$M,DATA!$C:$C,$B303,DATA!$N:$N,"&gt;="&amp;DATE(F$5,1,1),DATA!$N:$N,"&lt;="&amp;DATE(F$5,12,31))</f>
        <v/>
      </c>
      <c r="G303" s="331">
        <f>SUMIFS(DATA!$M:$M,DATA!$C:$C,$B303,DATA!$N:$N,"&gt;="&amp;DATE(G$5,1,1),DATA!$N:$N,"&lt;="&amp;DATE(G$5,12,31))</f>
        <v/>
      </c>
      <c r="H303" s="331">
        <f>SUMIFS(DATA!$M:$M,DATA!$C:$C,$B303,DATA!$N:$N,"&gt;="&amp;DATE(H$5,1,1),DATA!$N:$N,"&lt;="&amp;DATE(H$5,12,31))</f>
        <v/>
      </c>
      <c r="I303" s="331">
        <f>SUMIFS(DATA!$M:$M,DATA!$C:$C,$B303,DATA!$N:$N,"&gt;="&amp;DATE(I$5,1,1),DATA!$N:$N,"&lt;="&amp;DATE(I$5,12,31))</f>
        <v/>
      </c>
      <c r="J303" s="332">
        <f>SUM(C303:I303)</f>
        <v/>
      </c>
      <c r="K303" s="333">
        <f>J303/$J$506</f>
        <v/>
      </c>
    </row>
    <row r="304" hidden="1" outlineLevel="1" ht="32.25" customHeight="1">
      <c r="A304" s="48" t="n">
        <v>299</v>
      </c>
      <c r="B304" s="107" t="n"/>
      <c r="C304" s="331">
        <f>SUMIFS(DATA!$M:$M,DATA!$C:$C,$B304,DATA!$N:$N,"&gt;="&amp;DATE(C$5,1,1),DATA!$N:$N,"&lt;="&amp;DATE(C$5,12,31))</f>
        <v/>
      </c>
      <c r="D304" s="331">
        <f>SUMIFS(DATA!$M:$M,DATA!$C:$C,$B304,DATA!$N:$N,"&gt;="&amp;DATE(D$5,1,1),DATA!$N:$N,"&lt;="&amp;DATE(D$5,12,31))</f>
        <v/>
      </c>
      <c r="E304" s="331">
        <f>SUMIFS(DATA!$M:$M,DATA!$C:$C,$B304,DATA!$N:$N,"&gt;="&amp;DATE(E$5,1,1),DATA!$N:$N,"&lt;="&amp;DATE(E$5,12,31))</f>
        <v/>
      </c>
      <c r="F304" s="331">
        <f>SUMIFS(DATA!$M:$M,DATA!$C:$C,$B304,DATA!$N:$N,"&gt;="&amp;DATE(F$5,1,1),DATA!$N:$N,"&lt;="&amp;DATE(F$5,12,31))</f>
        <v/>
      </c>
      <c r="G304" s="331">
        <f>SUMIFS(DATA!$M:$M,DATA!$C:$C,$B304,DATA!$N:$N,"&gt;="&amp;DATE(G$5,1,1),DATA!$N:$N,"&lt;="&amp;DATE(G$5,12,31))</f>
        <v/>
      </c>
      <c r="H304" s="331">
        <f>SUMIFS(DATA!$M:$M,DATA!$C:$C,$B304,DATA!$N:$N,"&gt;="&amp;DATE(H$5,1,1),DATA!$N:$N,"&lt;="&amp;DATE(H$5,12,31))</f>
        <v/>
      </c>
      <c r="I304" s="331">
        <f>SUMIFS(DATA!$M:$M,DATA!$C:$C,$B304,DATA!$N:$N,"&gt;="&amp;DATE(I$5,1,1),DATA!$N:$N,"&lt;="&amp;DATE(I$5,12,31))</f>
        <v/>
      </c>
      <c r="J304" s="332">
        <f>SUM(C304:I304)</f>
        <v/>
      </c>
      <c r="K304" s="333">
        <f>J304/$J$506</f>
        <v/>
      </c>
    </row>
    <row r="305" hidden="1" outlineLevel="1" ht="32.25" customHeight="1">
      <c r="A305" s="48" t="n">
        <v>300</v>
      </c>
      <c r="B305" s="107" t="n"/>
      <c r="C305" s="331">
        <f>SUMIFS(DATA!$M:$M,DATA!$C:$C,$B305,DATA!$N:$N,"&gt;="&amp;DATE(C$5,1,1),DATA!$N:$N,"&lt;="&amp;DATE(C$5,12,31))</f>
        <v/>
      </c>
      <c r="D305" s="331">
        <f>SUMIFS(DATA!$M:$M,DATA!$C:$C,$B305,DATA!$N:$N,"&gt;="&amp;DATE(D$5,1,1),DATA!$N:$N,"&lt;="&amp;DATE(D$5,12,31))</f>
        <v/>
      </c>
      <c r="E305" s="331">
        <f>SUMIFS(DATA!$M:$M,DATA!$C:$C,$B305,DATA!$N:$N,"&gt;="&amp;DATE(E$5,1,1),DATA!$N:$N,"&lt;="&amp;DATE(E$5,12,31))</f>
        <v/>
      </c>
      <c r="F305" s="331">
        <f>SUMIFS(DATA!$M:$M,DATA!$C:$C,$B305,DATA!$N:$N,"&gt;="&amp;DATE(F$5,1,1),DATA!$N:$N,"&lt;="&amp;DATE(F$5,12,31))</f>
        <v/>
      </c>
      <c r="G305" s="331">
        <f>SUMIFS(DATA!$M:$M,DATA!$C:$C,$B305,DATA!$N:$N,"&gt;="&amp;DATE(G$5,1,1),DATA!$N:$N,"&lt;="&amp;DATE(G$5,12,31))</f>
        <v/>
      </c>
      <c r="H305" s="331">
        <f>SUMIFS(DATA!$M:$M,DATA!$C:$C,$B305,DATA!$N:$N,"&gt;="&amp;DATE(H$5,1,1),DATA!$N:$N,"&lt;="&amp;DATE(H$5,12,31))</f>
        <v/>
      </c>
      <c r="I305" s="331">
        <f>SUMIFS(DATA!$M:$M,DATA!$C:$C,$B305,DATA!$N:$N,"&gt;="&amp;DATE(I$5,1,1),DATA!$N:$N,"&lt;="&amp;DATE(I$5,12,31))</f>
        <v/>
      </c>
      <c r="J305" s="332">
        <f>SUM(C305:I305)</f>
        <v/>
      </c>
      <c r="K305" s="333">
        <f>J305/$J$506</f>
        <v/>
      </c>
    </row>
    <row r="306" hidden="1" outlineLevel="1" ht="32.25" customHeight="1">
      <c r="A306" s="48" t="n">
        <v>301</v>
      </c>
      <c r="B306" s="107" t="n"/>
      <c r="C306" s="331">
        <f>SUMIFS(DATA!$M:$M,DATA!$C:$C,$B306,DATA!$N:$N,"&gt;="&amp;DATE(C$5,1,1),DATA!$N:$N,"&lt;="&amp;DATE(C$5,12,31))</f>
        <v/>
      </c>
      <c r="D306" s="331">
        <f>SUMIFS(DATA!$M:$M,DATA!$C:$C,$B306,DATA!$N:$N,"&gt;="&amp;DATE(D$5,1,1),DATA!$N:$N,"&lt;="&amp;DATE(D$5,12,31))</f>
        <v/>
      </c>
      <c r="E306" s="331">
        <f>SUMIFS(DATA!$M:$M,DATA!$C:$C,$B306,DATA!$N:$N,"&gt;="&amp;DATE(E$5,1,1),DATA!$N:$N,"&lt;="&amp;DATE(E$5,12,31))</f>
        <v/>
      </c>
      <c r="F306" s="331">
        <f>SUMIFS(DATA!$M:$M,DATA!$C:$C,$B306,DATA!$N:$N,"&gt;="&amp;DATE(F$5,1,1),DATA!$N:$N,"&lt;="&amp;DATE(F$5,12,31))</f>
        <v/>
      </c>
      <c r="G306" s="331">
        <f>SUMIFS(DATA!$M:$M,DATA!$C:$C,$B306,DATA!$N:$N,"&gt;="&amp;DATE(G$5,1,1),DATA!$N:$N,"&lt;="&amp;DATE(G$5,12,31))</f>
        <v/>
      </c>
      <c r="H306" s="331">
        <f>SUMIFS(DATA!$M:$M,DATA!$C:$C,$B306,DATA!$N:$N,"&gt;="&amp;DATE(H$5,1,1),DATA!$N:$N,"&lt;="&amp;DATE(H$5,12,31))</f>
        <v/>
      </c>
      <c r="I306" s="331">
        <f>SUMIFS(DATA!$M:$M,DATA!$C:$C,$B306,DATA!$N:$N,"&gt;="&amp;DATE(I$5,1,1),DATA!$N:$N,"&lt;="&amp;DATE(I$5,12,31))</f>
        <v/>
      </c>
      <c r="J306" s="332">
        <f>SUM(C306:I306)</f>
        <v/>
      </c>
      <c r="K306" s="333">
        <f>J306/$J$506</f>
        <v/>
      </c>
    </row>
    <row r="307" hidden="1" outlineLevel="1" ht="32.25" customHeight="1">
      <c r="A307" s="48" t="n">
        <v>302</v>
      </c>
      <c r="B307" s="107" t="n"/>
      <c r="C307" s="331">
        <f>SUMIFS(DATA!$M:$M,DATA!$C:$C,$B307,DATA!$N:$N,"&gt;="&amp;DATE(C$5,1,1),DATA!$N:$N,"&lt;="&amp;DATE(C$5,12,31))</f>
        <v/>
      </c>
      <c r="D307" s="331">
        <f>SUMIFS(DATA!$M:$M,DATA!$C:$C,$B307,DATA!$N:$N,"&gt;="&amp;DATE(D$5,1,1),DATA!$N:$N,"&lt;="&amp;DATE(D$5,12,31))</f>
        <v/>
      </c>
      <c r="E307" s="331">
        <f>SUMIFS(DATA!$M:$M,DATA!$C:$C,$B307,DATA!$N:$N,"&gt;="&amp;DATE(E$5,1,1),DATA!$N:$N,"&lt;="&amp;DATE(E$5,12,31))</f>
        <v/>
      </c>
      <c r="F307" s="331">
        <f>SUMIFS(DATA!$M:$M,DATA!$C:$C,$B307,DATA!$N:$N,"&gt;="&amp;DATE(F$5,1,1),DATA!$N:$N,"&lt;="&amp;DATE(F$5,12,31))</f>
        <v/>
      </c>
      <c r="G307" s="331">
        <f>SUMIFS(DATA!$M:$M,DATA!$C:$C,$B307,DATA!$N:$N,"&gt;="&amp;DATE(G$5,1,1),DATA!$N:$N,"&lt;="&amp;DATE(G$5,12,31))</f>
        <v/>
      </c>
      <c r="H307" s="331">
        <f>SUMIFS(DATA!$M:$M,DATA!$C:$C,$B307,DATA!$N:$N,"&gt;="&amp;DATE(H$5,1,1),DATA!$N:$N,"&lt;="&amp;DATE(H$5,12,31))</f>
        <v/>
      </c>
      <c r="I307" s="331">
        <f>SUMIFS(DATA!$M:$M,DATA!$C:$C,$B307,DATA!$N:$N,"&gt;="&amp;DATE(I$5,1,1),DATA!$N:$N,"&lt;="&amp;DATE(I$5,12,31))</f>
        <v/>
      </c>
      <c r="J307" s="332">
        <f>SUM(C307:I307)</f>
        <v/>
      </c>
      <c r="K307" s="333">
        <f>J307/$J$506</f>
        <v/>
      </c>
    </row>
    <row r="308" hidden="1" outlineLevel="1" ht="32.25" customHeight="1">
      <c r="A308" s="48" t="n">
        <v>303</v>
      </c>
      <c r="B308" s="107" t="n"/>
      <c r="C308" s="331">
        <f>SUMIFS(DATA!$M:$M,DATA!$C:$C,$B308,DATA!$N:$N,"&gt;="&amp;DATE(C$5,1,1),DATA!$N:$N,"&lt;="&amp;DATE(C$5,12,31))</f>
        <v/>
      </c>
      <c r="D308" s="331">
        <f>SUMIFS(DATA!$M:$M,DATA!$C:$C,$B308,DATA!$N:$N,"&gt;="&amp;DATE(D$5,1,1),DATA!$N:$N,"&lt;="&amp;DATE(D$5,12,31))</f>
        <v/>
      </c>
      <c r="E308" s="331">
        <f>SUMIFS(DATA!$M:$M,DATA!$C:$C,$B308,DATA!$N:$N,"&gt;="&amp;DATE(E$5,1,1),DATA!$N:$N,"&lt;="&amp;DATE(E$5,12,31))</f>
        <v/>
      </c>
      <c r="F308" s="331">
        <f>SUMIFS(DATA!$M:$M,DATA!$C:$C,$B308,DATA!$N:$N,"&gt;="&amp;DATE(F$5,1,1),DATA!$N:$N,"&lt;="&amp;DATE(F$5,12,31))</f>
        <v/>
      </c>
      <c r="G308" s="331">
        <f>SUMIFS(DATA!$M:$M,DATA!$C:$C,$B308,DATA!$N:$N,"&gt;="&amp;DATE(G$5,1,1),DATA!$N:$N,"&lt;="&amp;DATE(G$5,12,31))</f>
        <v/>
      </c>
      <c r="H308" s="331">
        <f>SUMIFS(DATA!$M:$M,DATA!$C:$C,$B308,DATA!$N:$N,"&gt;="&amp;DATE(H$5,1,1),DATA!$N:$N,"&lt;="&amp;DATE(H$5,12,31))</f>
        <v/>
      </c>
      <c r="I308" s="331">
        <f>SUMIFS(DATA!$M:$M,DATA!$C:$C,$B308,DATA!$N:$N,"&gt;="&amp;DATE(I$5,1,1),DATA!$N:$N,"&lt;="&amp;DATE(I$5,12,31))</f>
        <v/>
      </c>
      <c r="J308" s="332">
        <f>SUM(C308:I308)</f>
        <v/>
      </c>
      <c r="K308" s="333">
        <f>J308/$J$506</f>
        <v/>
      </c>
    </row>
    <row r="309" hidden="1" outlineLevel="1" ht="32.25" customHeight="1">
      <c r="A309" s="48" t="n">
        <v>304</v>
      </c>
      <c r="B309" s="107" t="n"/>
      <c r="C309" s="331">
        <f>SUMIFS(DATA!$M:$M,DATA!$C:$C,$B309,DATA!$N:$N,"&gt;="&amp;DATE(C$5,1,1),DATA!$N:$N,"&lt;="&amp;DATE(C$5,12,31))</f>
        <v/>
      </c>
      <c r="D309" s="331">
        <f>SUMIFS(DATA!$M:$M,DATA!$C:$C,$B309,DATA!$N:$N,"&gt;="&amp;DATE(D$5,1,1),DATA!$N:$N,"&lt;="&amp;DATE(D$5,12,31))</f>
        <v/>
      </c>
      <c r="E309" s="331">
        <f>SUMIFS(DATA!$M:$M,DATA!$C:$C,$B309,DATA!$N:$N,"&gt;="&amp;DATE(E$5,1,1),DATA!$N:$N,"&lt;="&amp;DATE(E$5,12,31))</f>
        <v/>
      </c>
      <c r="F309" s="331">
        <f>SUMIFS(DATA!$M:$M,DATA!$C:$C,$B309,DATA!$N:$N,"&gt;="&amp;DATE(F$5,1,1),DATA!$N:$N,"&lt;="&amp;DATE(F$5,12,31))</f>
        <v/>
      </c>
      <c r="G309" s="331">
        <f>SUMIFS(DATA!$M:$M,DATA!$C:$C,$B309,DATA!$N:$N,"&gt;="&amp;DATE(G$5,1,1),DATA!$N:$N,"&lt;="&amp;DATE(G$5,12,31))</f>
        <v/>
      </c>
      <c r="H309" s="331">
        <f>SUMIFS(DATA!$M:$M,DATA!$C:$C,$B309,DATA!$N:$N,"&gt;="&amp;DATE(H$5,1,1),DATA!$N:$N,"&lt;="&amp;DATE(H$5,12,31))</f>
        <v/>
      </c>
      <c r="I309" s="331">
        <f>SUMIFS(DATA!$M:$M,DATA!$C:$C,$B309,DATA!$N:$N,"&gt;="&amp;DATE(I$5,1,1),DATA!$N:$N,"&lt;="&amp;DATE(I$5,12,31))</f>
        <v/>
      </c>
      <c r="J309" s="332">
        <f>SUM(C309:I309)</f>
        <v/>
      </c>
      <c r="K309" s="333">
        <f>J309/$J$506</f>
        <v/>
      </c>
    </row>
    <row r="310" hidden="1" outlineLevel="1" ht="32.25" customHeight="1">
      <c r="A310" s="48" t="n">
        <v>305</v>
      </c>
      <c r="B310" s="107" t="n"/>
      <c r="C310" s="331">
        <f>SUMIFS(DATA!$M:$M,DATA!$C:$C,$B310,DATA!$N:$N,"&gt;="&amp;DATE(C$5,1,1),DATA!$N:$N,"&lt;="&amp;DATE(C$5,12,31))</f>
        <v/>
      </c>
      <c r="D310" s="331">
        <f>SUMIFS(DATA!$M:$M,DATA!$C:$C,$B310,DATA!$N:$N,"&gt;="&amp;DATE(D$5,1,1),DATA!$N:$N,"&lt;="&amp;DATE(D$5,12,31))</f>
        <v/>
      </c>
      <c r="E310" s="331">
        <f>SUMIFS(DATA!$M:$M,DATA!$C:$C,$B310,DATA!$N:$N,"&gt;="&amp;DATE(E$5,1,1),DATA!$N:$N,"&lt;="&amp;DATE(E$5,12,31))</f>
        <v/>
      </c>
      <c r="F310" s="331">
        <f>SUMIFS(DATA!$M:$M,DATA!$C:$C,$B310,DATA!$N:$N,"&gt;="&amp;DATE(F$5,1,1),DATA!$N:$N,"&lt;="&amp;DATE(F$5,12,31))</f>
        <v/>
      </c>
      <c r="G310" s="331">
        <f>SUMIFS(DATA!$M:$M,DATA!$C:$C,$B310,DATA!$N:$N,"&gt;="&amp;DATE(G$5,1,1),DATA!$N:$N,"&lt;="&amp;DATE(G$5,12,31))</f>
        <v/>
      </c>
      <c r="H310" s="331">
        <f>SUMIFS(DATA!$M:$M,DATA!$C:$C,$B310,DATA!$N:$N,"&gt;="&amp;DATE(H$5,1,1),DATA!$N:$N,"&lt;="&amp;DATE(H$5,12,31))</f>
        <v/>
      </c>
      <c r="I310" s="331">
        <f>SUMIFS(DATA!$M:$M,DATA!$C:$C,$B310,DATA!$N:$N,"&gt;="&amp;DATE(I$5,1,1),DATA!$N:$N,"&lt;="&amp;DATE(I$5,12,31))</f>
        <v/>
      </c>
      <c r="J310" s="332">
        <f>SUM(C310:I310)</f>
        <v/>
      </c>
      <c r="K310" s="333">
        <f>J310/$J$506</f>
        <v/>
      </c>
    </row>
    <row r="311" hidden="1" outlineLevel="1" ht="32.25" customHeight="1">
      <c r="A311" s="48" t="n">
        <v>306</v>
      </c>
      <c r="B311" s="107" t="n"/>
      <c r="C311" s="331">
        <f>SUMIFS(DATA!$M:$M,DATA!$C:$C,$B311,DATA!$N:$N,"&gt;="&amp;DATE(C$5,1,1),DATA!$N:$N,"&lt;="&amp;DATE(C$5,12,31))</f>
        <v/>
      </c>
      <c r="D311" s="331">
        <f>SUMIFS(DATA!$M:$M,DATA!$C:$C,$B311,DATA!$N:$N,"&gt;="&amp;DATE(D$5,1,1),DATA!$N:$N,"&lt;="&amp;DATE(D$5,12,31))</f>
        <v/>
      </c>
      <c r="E311" s="331">
        <f>SUMIFS(DATA!$M:$M,DATA!$C:$C,$B311,DATA!$N:$N,"&gt;="&amp;DATE(E$5,1,1),DATA!$N:$N,"&lt;="&amp;DATE(E$5,12,31))</f>
        <v/>
      </c>
      <c r="F311" s="331">
        <f>SUMIFS(DATA!$M:$M,DATA!$C:$C,$B311,DATA!$N:$N,"&gt;="&amp;DATE(F$5,1,1),DATA!$N:$N,"&lt;="&amp;DATE(F$5,12,31))</f>
        <v/>
      </c>
      <c r="G311" s="331">
        <f>SUMIFS(DATA!$M:$M,DATA!$C:$C,$B311,DATA!$N:$N,"&gt;="&amp;DATE(G$5,1,1),DATA!$N:$N,"&lt;="&amp;DATE(G$5,12,31))</f>
        <v/>
      </c>
      <c r="H311" s="331">
        <f>SUMIFS(DATA!$M:$M,DATA!$C:$C,$B311,DATA!$N:$N,"&gt;="&amp;DATE(H$5,1,1),DATA!$N:$N,"&lt;="&amp;DATE(H$5,12,31))</f>
        <v/>
      </c>
      <c r="I311" s="331">
        <f>SUMIFS(DATA!$M:$M,DATA!$C:$C,$B311,DATA!$N:$N,"&gt;="&amp;DATE(I$5,1,1),DATA!$N:$N,"&lt;="&amp;DATE(I$5,12,31))</f>
        <v/>
      </c>
      <c r="J311" s="332">
        <f>SUM(C311:I311)</f>
        <v/>
      </c>
      <c r="K311" s="333">
        <f>J311/$J$506</f>
        <v/>
      </c>
    </row>
    <row r="312" hidden="1" outlineLevel="1" ht="32.25" customHeight="1">
      <c r="A312" s="48" t="n">
        <v>307</v>
      </c>
      <c r="B312" s="107" t="n"/>
      <c r="C312" s="331">
        <f>SUMIFS(DATA!$M:$M,DATA!$C:$C,$B312,DATA!$N:$N,"&gt;="&amp;DATE(C$5,1,1),DATA!$N:$N,"&lt;="&amp;DATE(C$5,12,31))</f>
        <v/>
      </c>
      <c r="D312" s="331">
        <f>SUMIFS(DATA!$M:$M,DATA!$C:$C,$B312,DATA!$N:$N,"&gt;="&amp;DATE(D$5,1,1),DATA!$N:$N,"&lt;="&amp;DATE(D$5,12,31))</f>
        <v/>
      </c>
      <c r="E312" s="331">
        <f>SUMIFS(DATA!$M:$M,DATA!$C:$C,$B312,DATA!$N:$N,"&gt;="&amp;DATE(E$5,1,1),DATA!$N:$N,"&lt;="&amp;DATE(E$5,12,31))</f>
        <v/>
      </c>
      <c r="F312" s="331">
        <f>SUMIFS(DATA!$M:$M,DATA!$C:$C,$B312,DATA!$N:$N,"&gt;="&amp;DATE(F$5,1,1),DATA!$N:$N,"&lt;="&amp;DATE(F$5,12,31))</f>
        <v/>
      </c>
      <c r="G312" s="331">
        <f>SUMIFS(DATA!$M:$M,DATA!$C:$C,$B312,DATA!$N:$N,"&gt;="&amp;DATE(G$5,1,1),DATA!$N:$N,"&lt;="&amp;DATE(G$5,12,31))</f>
        <v/>
      </c>
      <c r="H312" s="331">
        <f>SUMIFS(DATA!$M:$M,DATA!$C:$C,$B312,DATA!$N:$N,"&gt;="&amp;DATE(H$5,1,1),DATA!$N:$N,"&lt;="&amp;DATE(H$5,12,31))</f>
        <v/>
      </c>
      <c r="I312" s="331">
        <f>SUMIFS(DATA!$M:$M,DATA!$C:$C,$B312,DATA!$N:$N,"&gt;="&amp;DATE(I$5,1,1),DATA!$N:$N,"&lt;="&amp;DATE(I$5,12,31))</f>
        <v/>
      </c>
      <c r="J312" s="332">
        <f>SUM(C312:I312)</f>
        <v/>
      </c>
      <c r="K312" s="333">
        <f>J312/$J$506</f>
        <v/>
      </c>
    </row>
    <row r="313" hidden="1" outlineLevel="1" ht="32.25" customHeight="1">
      <c r="A313" s="48" t="n">
        <v>308</v>
      </c>
      <c r="B313" s="107" t="n"/>
      <c r="C313" s="331">
        <f>SUMIFS(DATA!$M:$M,DATA!$C:$C,$B313,DATA!$N:$N,"&gt;="&amp;DATE(C$5,1,1),DATA!$N:$N,"&lt;="&amp;DATE(C$5,12,31))</f>
        <v/>
      </c>
      <c r="D313" s="331">
        <f>SUMIFS(DATA!$M:$M,DATA!$C:$C,$B313,DATA!$N:$N,"&gt;="&amp;DATE(D$5,1,1),DATA!$N:$N,"&lt;="&amp;DATE(D$5,12,31))</f>
        <v/>
      </c>
      <c r="E313" s="331">
        <f>SUMIFS(DATA!$M:$M,DATA!$C:$C,$B313,DATA!$N:$N,"&gt;="&amp;DATE(E$5,1,1),DATA!$N:$N,"&lt;="&amp;DATE(E$5,12,31))</f>
        <v/>
      </c>
      <c r="F313" s="331">
        <f>SUMIFS(DATA!$M:$M,DATA!$C:$C,$B313,DATA!$N:$N,"&gt;="&amp;DATE(F$5,1,1),DATA!$N:$N,"&lt;="&amp;DATE(F$5,12,31))</f>
        <v/>
      </c>
      <c r="G313" s="331">
        <f>SUMIFS(DATA!$M:$M,DATA!$C:$C,$B313,DATA!$N:$N,"&gt;="&amp;DATE(G$5,1,1),DATA!$N:$N,"&lt;="&amp;DATE(G$5,12,31))</f>
        <v/>
      </c>
      <c r="H313" s="331">
        <f>SUMIFS(DATA!$M:$M,DATA!$C:$C,$B313,DATA!$N:$N,"&gt;="&amp;DATE(H$5,1,1),DATA!$N:$N,"&lt;="&amp;DATE(H$5,12,31))</f>
        <v/>
      </c>
      <c r="I313" s="331">
        <f>SUMIFS(DATA!$M:$M,DATA!$C:$C,$B313,DATA!$N:$N,"&gt;="&amp;DATE(I$5,1,1),DATA!$N:$N,"&lt;="&amp;DATE(I$5,12,31))</f>
        <v/>
      </c>
      <c r="J313" s="332">
        <f>SUM(C313:I313)</f>
        <v/>
      </c>
      <c r="K313" s="333">
        <f>J313/$J$506</f>
        <v/>
      </c>
    </row>
    <row r="314" hidden="1" outlineLevel="1" ht="32.25" customHeight="1">
      <c r="A314" s="48" t="n">
        <v>309</v>
      </c>
      <c r="B314" s="107" t="n"/>
      <c r="C314" s="331">
        <f>SUMIFS(DATA!$M:$M,DATA!$C:$C,$B314,DATA!$N:$N,"&gt;="&amp;DATE(C$5,1,1),DATA!$N:$N,"&lt;="&amp;DATE(C$5,12,31))</f>
        <v/>
      </c>
      <c r="D314" s="331">
        <f>SUMIFS(DATA!$M:$M,DATA!$C:$C,$B314,DATA!$N:$N,"&gt;="&amp;DATE(D$5,1,1),DATA!$N:$N,"&lt;="&amp;DATE(D$5,12,31))</f>
        <v/>
      </c>
      <c r="E314" s="331">
        <f>SUMIFS(DATA!$M:$M,DATA!$C:$C,$B314,DATA!$N:$N,"&gt;="&amp;DATE(E$5,1,1),DATA!$N:$N,"&lt;="&amp;DATE(E$5,12,31))</f>
        <v/>
      </c>
      <c r="F314" s="331">
        <f>SUMIFS(DATA!$M:$M,DATA!$C:$C,$B314,DATA!$N:$N,"&gt;="&amp;DATE(F$5,1,1),DATA!$N:$N,"&lt;="&amp;DATE(F$5,12,31))</f>
        <v/>
      </c>
      <c r="G314" s="331">
        <f>SUMIFS(DATA!$M:$M,DATA!$C:$C,$B314,DATA!$N:$N,"&gt;="&amp;DATE(G$5,1,1),DATA!$N:$N,"&lt;="&amp;DATE(G$5,12,31))</f>
        <v/>
      </c>
      <c r="H314" s="331">
        <f>SUMIFS(DATA!$M:$M,DATA!$C:$C,$B314,DATA!$N:$N,"&gt;="&amp;DATE(H$5,1,1),DATA!$N:$N,"&lt;="&amp;DATE(H$5,12,31))</f>
        <v/>
      </c>
      <c r="I314" s="331">
        <f>SUMIFS(DATA!$M:$M,DATA!$C:$C,$B314,DATA!$N:$N,"&gt;="&amp;DATE(I$5,1,1),DATA!$N:$N,"&lt;="&amp;DATE(I$5,12,31))</f>
        <v/>
      </c>
      <c r="J314" s="332">
        <f>SUM(C314:I314)</f>
        <v/>
      </c>
      <c r="K314" s="333">
        <f>J314/$J$506</f>
        <v/>
      </c>
    </row>
    <row r="315" hidden="1" outlineLevel="1" ht="32.25" customHeight="1">
      <c r="A315" s="48" t="n">
        <v>310</v>
      </c>
      <c r="B315" s="107" t="n"/>
      <c r="C315" s="331">
        <f>SUMIFS(DATA!$M:$M,DATA!$C:$C,$B315,DATA!$N:$N,"&gt;="&amp;DATE(C$5,1,1),DATA!$N:$N,"&lt;="&amp;DATE(C$5,12,31))</f>
        <v/>
      </c>
      <c r="D315" s="331">
        <f>SUMIFS(DATA!$M:$M,DATA!$C:$C,$B315,DATA!$N:$N,"&gt;="&amp;DATE(D$5,1,1),DATA!$N:$N,"&lt;="&amp;DATE(D$5,12,31))</f>
        <v/>
      </c>
      <c r="E315" s="331">
        <f>SUMIFS(DATA!$M:$M,DATA!$C:$C,$B315,DATA!$N:$N,"&gt;="&amp;DATE(E$5,1,1),DATA!$N:$N,"&lt;="&amp;DATE(E$5,12,31))</f>
        <v/>
      </c>
      <c r="F315" s="331">
        <f>SUMIFS(DATA!$M:$M,DATA!$C:$C,$B315,DATA!$N:$N,"&gt;="&amp;DATE(F$5,1,1),DATA!$N:$N,"&lt;="&amp;DATE(F$5,12,31))</f>
        <v/>
      </c>
      <c r="G315" s="331">
        <f>SUMIFS(DATA!$M:$M,DATA!$C:$C,$B315,DATA!$N:$N,"&gt;="&amp;DATE(G$5,1,1),DATA!$N:$N,"&lt;="&amp;DATE(G$5,12,31))</f>
        <v/>
      </c>
      <c r="H315" s="331">
        <f>SUMIFS(DATA!$M:$M,DATA!$C:$C,$B315,DATA!$N:$N,"&gt;="&amp;DATE(H$5,1,1),DATA!$N:$N,"&lt;="&amp;DATE(H$5,12,31))</f>
        <v/>
      </c>
      <c r="I315" s="331">
        <f>SUMIFS(DATA!$M:$M,DATA!$C:$C,$B315,DATA!$N:$N,"&gt;="&amp;DATE(I$5,1,1),DATA!$N:$N,"&lt;="&amp;DATE(I$5,12,31))</f>
        <v/>
      </c>
      <c r="J315" s="332">
        <f>SUM(C315:I315)</f>
        <v/>
      </c>
      <c r="K315" s="333">
        <f>J315/$J$506</f>
        <v/>
      </c>
    </row>
    <row r="316" hidden="1" outlineLevel="1" ht="32.25" customHeight="1">
      <c r="A316" s="48" t="n">
        <v>311</v>
      </c>
      <c r="B316" s="107" t="n"/>
      <c r="C316" s="331">
        <f>SUMIFS(DATA!$M:$M,DATA!$C:$C,$B316,DATA!$N:$N,"&gt;="&amp;DATE(C$5,1,1),DATA!$N:$N,"&lt;="&amp;DATE(C$5,12,31))</f>
        <v/>
      </c>
      <c r="D316" s="331">
        <f>SUMIFS(DATA!$M:$M,DATA!$C:$C,$B316,DATA!$N:$N,"&gt;="&amp;DATE(D$5,1,1),DATA!$N:$N,"&lt;="&amp;DATE(D$5,12,31))</f>
        <v/>
      </c>
      <c r="E316" s="331">
        <f>SUMIFS(DATA!$M:$M,DATA!$C:$C,$B316,DATA!$N:$N,"&gt;="&amp;DATE(E$5,1,1),DATA!$N:$N,"&lt;="&amp;DATE(E$5,12,31))</f>
        <v/>
      </c>
      <c r="F316" s="331">
        <f>SUMIFS(DATA!$M:$M,DATA!$C:$C,$B316,DATA!$N:$N,"&gt;="&amp;DATE(F$5,1,1),DATA!$N:$N,"&lt;="&amp;DATE(F$5,12,31))</f>
        <v/>
      </c>
      <c r="G316" s="331">
        <f>SUMIFS(DATA!$M:$M,DATA!$C:$C,$B316,DATA!$N:$N,"&gt;="&amp;DATE(G$5,1,1),DATA!$N:$N,"&lt;="&amp;DATE(G$5,12,31))</f>
        <v/>
      </c>
      <c r="H316" s="331">
        <f>SUMIFS(DATA!$M:$M,DATA!$C:$C,$B316,DATA!$N:$N,"&gt;="&amp;DATE(H$5,1,1),DATA!$N:$N,"&lt;="&amp;DATE(H$5,12,31))</f>
        <v/>
      </c>
      <c r="I316" s="331">
        <f>SUMIFS(DATA!$M:$M,DATA!$C:$C,$B316,DATA!$N:$N,"&gt;="&amp;DATE(I$5,1,1),DATA!$N:$N,"&lt;="&amp;DATE(I$5,12,31))</f>
        <v/>
      </c>
      <c r="J316" s="332">
        <f>SUM(C316:I316)</f>
        <v/>
      </c>
      <c r="K316" s="333">
        <f>J316/$J$506</f>
        <v/>
      </c>
    </row>
    <row r="317" hidden="1" outlineLevel="1" ht="32.25" customHeight="1">
      <c r="A317" s="48" t="n">
        <v>312</v>
      </c>
      <c r="B317" s="107" t="n"/>
      <c r="C317" s="331">
        <f>SUMIFS(DATA!$M:$M,DATA!$C:$C,$B317,DATA!$N:$N,"&gt;="&amp;DATE(C$5,1,1),DATA!$N:$N,"&lt;="&amp;DATE(C$5,12,31))</f>
        <v/>
      </c>
      <c r="D317" s="331">
        <f>SUMIFS(DATA!$M:$M,DATA!$C:$C,$B317,DATA!$N:$N,"&gt;="&amp;DATE(D$5,1,1),DATA!$N:$N,"&lt;="&amp;DATE(D$5,12,31))</f>
        <v/>
      </c>
      <c r="E317" s="331">
        <f>SUMIFS(DATA!$M:$M,DATA!$C:$C,$B317,DATA!$N:$N,"&gt;="&amp;DATE(E$5,1,1),DATA!$N:$N,"&lt;="&amp;DATE(E$5,12,31))</f>
        <v/>
      </c>
      <c r="F317" s="331">
        <f>SUMIFS(DATA!$M:$M,DATA!$C:$C,$B317,DATA!$N:$N,"&gt;="&amp;DATE(F$5,1,1),DATA!$N:$N,"&lt;="&amp;DATE(F$5,12,31))</f>
        <v/>
      </c>
      <c r="G317" s="331">
        <f>SUMIFS(DATA!$M:$M,DATA!$C:$C,$B317,DATA!$N:$N,"&gt;="&amp;DATE(G$5,1,1),DATA!$N:$N,"&lt;="&amp;DATE(G$5,12,31))</f>
        <v/>
      </c>
      <c r="H317" s="331">
        <f>SUMIFS(DATA!$M:$M,DATA!$C:$C,$B317,DATA!$N:$N,"&gt;="&amp;DATE(H$5,1,1),DATA!$N:$N,"&lt;="&amp;DATE(H$5,12,31))</f>
        <v/>
      </c>
      <c r="I317" s="331">
        <f>SUMIFS(DATA!$M:$M,DATA!$C:$C,$B317,DATA!$N:$N,"&gt;="&amp;DATE(I$5,1,1),DATA!$N:$N,"&lt;="&amp;DATE(I$5,12,31))</f>
        <v/>
      </c>
      <c r="J317" s="332">
        <f>SUM(C317:I317)</f>
        <v/>
      </c>
      <c r="K317" s="333">
        <f>J317/$J$506</f>
        <v/>
      </c>
    </row>
    <row r="318" hidden="1" outlineLevel="1" ht="32.25" customHeight="1">
      <c r="A318" s="48" t="n">
        <v>313</v>
      </c>
      <c r="B318" s="107" t="n"/>
      <c r="C318" s="331">
        <f>SUMIFS(DATA!$M:$M,DATA!$C:$C,$B318,DATA!$N:$N,"&gt;="&amp;DATE(C$5,1,1),DATA!$N:$N,"&lt;="&amp;DATE(C$5,12,31))</f>
        <v/>
      </c>
      <c r="D318" s="331">
        <f>SUMIFS(DATA!$M:$M,DATA!$C:$C,$B318,DATA!$N:$N,"&gt;="&amp;DATE(D$5,1,1),DATA!$N:$N,"&lt;="&amp;DATE(D$5,12,31))</f>
        <v/>
      </c>
      <c r="E318" s="331">
        <f>SUMIFS(DATA!$M:$M,DATA!$C:$C,$B318,DATA!$N:$N,"&gt;="&amp;DATE(E$5,1,1),DATA!$N:$N,"&lt;="&amp;DATE(E$5,12,31))</f>
        <v/>
      </c>
      <c r="F318" s="331">
        <f>SUMIFS(DATA!$M:$M,DATA!$C:$C,$B318,DATA!$N:$N,"&gt;="&amp;DATE(F$5,1,1),DATA!$N:$N,"&lt;="&amp;DATE(F$5,12,31))</f>
        <v/>
      </c>
      <c r="G318" s="331">
        <f>SUMIFS(DATA!$M:$M,DATA!$C:$C,$B318,DATA!$N:$N,"&gt;="&amp;DATE(G$5,1,1),DATA!$N:$N,"&lt;="&amp;DATE(G$5,12,31))</f>
        <v/>
      </c>
      <c r="H318" s="331">
        <f>SUMIFS(DATA!$M:$M,DATA!$C:$C,$B318,DATA!$N:$N,"&gt;="&amp;DATE(H$5,1,1),DATA!$N:$N,"&lt;="&amp;DATE(H$5,12,31))</f>
        <v/>
      </c>
      <c r="I318" s="331">
        <f>SUMIFS(DATA!$M:$M,DATA!$C:$C,$B318,DATA!$N:$N,"&gt;="&amp;DATE(I$5,1,1),DATA!$N:$N,"&lt;="&amp;DATE(I$5,12,31))</f>
        <v/>
      </c>
      <c r="J318" s="332">
        <f>SUM(C318:I318)</f>
        <v/>
      </c>
      <c r="K318" s="333">
        <f>J318/$J$506</f>
        <v/>
      </c>
    </row>
    <row r="319" hidden="1" outlineLevel="1" ht="32.25" customHeight="1">
      <c r="A319" s="48" t="n">
        <v>314</v>
      </c>
      <c r="B319" s="107" t="n"/>
      <c r="C319" s="331">
        <f>SUMIFS(DATA!$M:$M,DATA!$C:$C,$B319,DATA!$N:$N,"&gt;="&amp;DATE(C$5,1,1),DATA!$N:$N,"&lt;="&amp;DATE(C$5,12,31))</f>
        <v/>
      </c>
      <c r="D319" s="331">
        <f>SUMIFS(DATA!$M:$M,DATA!$C:$C,$B319,DATA!$N:$N,"&gt;="&amp;DATE(D$5,1,1),DATA!$N:$N,"&lt;="&amp;DATE(D$5,12,31))</f>
        <v/>
      </c>
      <c r="E319" s="331">
        <f>SUMIFS(DATA!$M:$M,DATA!$C:$C,$B319,DATA!$N:$N,"&gt;="&amp;DATE(E$5,1,1),DATA!$N:$N,"&lt;="&amp;DATE(E$5,12,31))</f>
        <v/>
      </c>
      <c r="F319" s="331">
        <f>SUMIFS(DATA!$M:$M,DATA!$C:$C,$B319,DATA!$N:$N,"&gt;="&amp;DATE(F$5,1,1),DATA!$N:$N,"&lt;="&amp;DATE(F$5,12,31))</f>
        <v/>
      </c>
      <c r="G319" s="331">
        <f>SUMIFS(DATA!$M:$M,DATA!$C:$C,$B319,DATA!$N:$N,"&gt;="&amp;DATE(G$5,1,1),DATA!$N:$N,"&lt;="&amp;DATE(G$5,12,31))</f>
        <v/>
      </c>
      <c r="H319" s="331">
        <f>SUMIFS(DATA!$M:$M,DATA!$C:$C,$B319,DATA!$N:$N,"&gt;="&amp;DATE(H$5,1,1),DATA!$N:$N,"&lt;="&amp;DATE(H$5,12,31))</f>
        <v/>
      </c>
      <c r="I319" s="331">
        <f>SUMIFS(DATA!$M:$M,DATA!$C:$C,$B319,DATA!$N:$N,"&gt;="&amp;DATE(I$5,1,1),DATA!$N:$N,"&lt;="&amp;DATE(I$5,12,31))</f>
        <v/>
      </c>
      <c r="J319" s="332">
        <f>SUM(C319:I319)</f>
        <v/>
      </c>
      <c r="K319" s="333">
        <f>J319/$J$506</f>
        <v/>
      </c>
    </row>
    <row r="320" hidden="1" outlineLevel="1" ht="32.25" customHeight="1">
      <c r="A320" s="48" t="n">
        <v>315</v>
      </c>
      <c r="B320" s="107" t="n"/>
      <c r="C320" s="331">
        <f>SUMIFS(DATA!$M:$M,DATA!$C:$C,$B320,DATA!$N:$N,"&gt;="&amp;DATE(C$5,1,1),DATA!$N:$N,"&lt;="&amp;DATE(C$5,12,31))</f>
        <v/>
      </c>
      <c r="D320" s="331">
        <f>SUMIFS(DATA!$M:$M,DATA!$C:$C,$B320,DATA!$N:$N,"&gt;="&amp;DATE(D$5,1,1),DATA!$N:$N,"&lt;="&amp;DATE(D$5,12,31))</f>
        <v/>
      </c>
      <c r="E320" s="331">
        <f>SUMIFS(DATA!$M:$M,DATA!$C:$C,$B320,DATA!$N:$N,"&gt;="&amp;DATE(E$5,1,1),DATA!$N:$N,"&lt;="&amp;DATE(E$5,12,31))</f>
        <v/>
      </c>
      <c r="F320" s="331">
        <f>SUMIFS(DATA!$M:$M,DATA!$C:$C,$B320,DATA!$N:$N,"&gt;="&amp;DATE(F$5,1,1),DATA!$N:$N,"&lt;="&amp;DATE(F$5,12,31))</f>
        <v/>
      </c>
      <c r="G320" s="331">
        <f>SUMIFS(DATA!$M:$M,DATA!$C:$C,$B320,DATA!$N:$N,"&gt;="&amp;DATE(G$5,1,1),DATA!$N:$N,"&lt;="&amp;DATE(G$5,12,31))</f>
        <v/>
      </c>
      <c r="H320" s="331">
        <f>SUMIFS(DATA!$M:$M,DATA!$C:$C,$B320,DATA!$N:$N,"&gt;="&amp;DATE(H$5,1,1),DATA!$N:$N,"&lt;="&amp;DATE(H$5,12,31))</f>
        <v/>
      </c>
      <c r="I320" s="331">
        <f>SUMIFS(DATA!$M:$M,DATA!$C:$C,$B320,DATA!$N:$N,"&gt;="&amp;DATE(I$5,1,1),DATA!$N:$N,"&lt;="&amp;DATE(I$5,12,31))</f>
        <v/>
      </c>
      <c r="J320" s="332">
        <f>SUM(C320:I320)</f>
        <v/>
      </c>
      <c r="K320" s="333">
        <f>J320/$J$506</f>
        <v/>
      </c>
    </row>
    <row r="321" hidden="1" outlineLevel="1" ht="32.25" customHeight="1">
      <c r="A321" s="48" t="n">
        <v>316</v>
      </c>
      <c r="B321" s="107" t="n"/>
      <c r="C321" s="331">
        <f>SUMIFS(DATA!$M:$M,DATA!$C:$C,$B321,DATA!$N:$N,"&gt;="&amp;DATE(C$5,1,1),DATA!$N:$N,"&lt;="&amp;DATE(C$5,12,31))</f>
        <v/>
      </c>
      <c r="D321" s="331">
        <f>SUMIFS(DATA!$M:$M,DATA!$C:$C,$B321,DATA!$N:$N,"&gt;="&amp;DATE(D$5,1,1),DATA!$N:$N,"&lt;="&amp;DATE(D$5,12,31))</f>
        <v/>
      </c>
      <c r="E321" s="331">
        <f>SUMIFS(DATA!$M:$M,DATA!$C:$C,$B321,DATA!$N:$N,"&gt;="&amp;DATE(E$5,1,1),DATA!$N:$N,"&lt;="&amp;DATE(E$5,12,31))</f>
        <v/>
      </c>
      <c r="F321" s="331">
        <f>SUMIFS(DATA!$M:$M,DATA!$C:$C,$B321,DATA!$N:$N,"&gt;="&amp;DATE(F$5,1,1),DATA!$N:$N,"&lt;="&amp;DATE(F$5,12,31))</f>
        <v/>
      </c>
      <c r="G321" s="331">
        <f>SUMIFS(DATA!$M:$M,DATA!$C:$C,$B321,DATA!$N:$N,"&gt;="&amp;DATE(G$5,1,1),DATA!$N:$N,"&lt;="&amp;DATE(G$5,12,31))</f>
        <v/>
      </c>
      <c r="H321" s="331">
        <f>SUMIFS(DATA!$M:$M,DATA!$C:$C,$B321,DATA!$N:$N,"&gt;="&amp;DATE(H$5,1,1),DATA!$N:$N,"&lt;="&amp;DATE(H$5,12,31))</f>
        <v/>
      </c>
      <c r="I321" s="331">
        <f>SUMIFS(DATA!$M:$M,DATA!$C:$C,$B321,DATA!$N:$N,"&gt;="&amp;DATE(I$5,1,1),DATA!$N:$N,"&lt;="&amp;DATE(I$5,12,31))</f>
        <v/>
      </c>
      <c r="J321" s="332">
        <f>SUM(C321:I321)</f>
        <v/>
      </c>
      <c r="K321" s="333">
        <f>J321/$J$506</f>
        <v/>
      </c>
    </row>
    <row r="322" hidden="1" outlineLevel="1" ht="32.25" customHeight="1">
      <c r="A322" s="48" t="n">
        <v>317</v>
      </c>
      <c r="B322" s="107" t="n"/>
      <c r="C322" s="331">
        <f>SUMIFS(DATA!$M:$M,DATA!$C:$C,$B322,DATA!$N:$N,"&gt;="&amp;DATE(C$5,1,1),DATA!$N:$N,"&lt;="&amp;DATE(C$5,12,31))</f>
        <v/>
      </c>
      <c r="D322" s="331">
        <f>SUMIFS(DATA!$M:$M,DATA!$C:$C,$B322,DATA!$N:$N,"&gt;="&amp;DATE(D$5,1,1),DATA!$N:$N,"&lt;="&amp;DATE(D$5,12,31))</f>
        <v/>
      </c>
      <c r="E322" s="331">
        <f>SUMIFS(DATA!$M:$M,DATA!$C:$C,$B322,DATA!$N:$N,"&gt;="&amp;DATE(E$5,1,1),DATA!$N:$N,"&lt;="&amp;DATE(E$5,12,31))</f>
        <v/>
      </c>
      <c r="F322" s="331">
        <f>SUMIFS(DATA!$M:$M,DATA!$C:$C,$B322,DATA!$N:$N,"&gt;="&amp;DATE(F$5,1,1),DATA!$N:$N,"&lt;="&amp;DATE(F$5,12,31))</f>
        <v/>
      </c>
      <c r="G322" s="331">
        <f>SUMIFS(DATA!$M:$M,DATA!$C:$C,$B322,DATA!$N:$N,"&gt;="&amp;DATE(G$5,1,1),DATA!$N:$N,"&lt;="&amp;DATE(G$5,12,31))</f>
        <v/>
      </c>
      <c r="H322" s="331">
        <f>SUMIFS(DATA!$M:$M,DATA!$C:$C,$B322,DATA!$N:$N,"&gt;="&amp;DATE(H$5,1,1),DATA!$N:$N,"&lt;="&amp;DATE(H$5,12,31))</f>
        <v/>
      </c>
      <c r="I322" s="331">
        <f>SUMIFS(DATA!$M:$M,DATA!$C:$C,$B322,DATA!$N:$N,"&gt;="&amp;DATE(I$5,1,1),DATA!$N:$N,"&lt;="&amp;DATE(I$5,12,31))</f>
        <v/>
      </c>
      <c r="J322" s="332">
        <f>SUM(C322:I322)</f>
        <v/>
      </c>
      <c r="K322" s="333">
        <f>J322/$J$506</f>
        <v/>
      </c>
    </row>
    <row r="323" hidden="1" outlineLevel="1" ht="32.25" customHeight="1">
      <c r="A323" s="48" t="n">
        <v>318</v>
      </c>
      <c r="B323" s="107" t="n"/>
      <c r="C323" s="331">
        <f>SUMIFS(DATA!$M:$M,DATA!$C:$C,$B323,DATA!$N:$N,"&gt;="&amp;DATE(C$5,1,1),DATA!$N:$N,"&lt;="&amp;DATE(C$5,12,31))</f>
        <v/>
      </c>
      <c r="D323" s="331">
        <f>SUMIFS(DATA!$M:$M,DATA!$C:$C,$B323,DATA!$N:$N,"&gt;="&amp;DATE(D$5,1,1),DATA!$N:$N,"&lt;="&amp;DATE(D$5,12,31))</f>
        <v/>
      </c>
      <c r="E323" s="331">
        <f>SUMIFS(DATA!$M:$M,DATA!$C:$C,$B323,DATA!$N:$N,"&gt;="&amp;DATE(E$5,1,1),DATA!$N:$N,"&lt;="&amp;DATE(E$5,12,31))</f>
        <v/>
      </c>
      <c r="F323" s="331">
        <f>SUMIFS(DATA!$M:$M,DATA!$C:$C,$B323,DATA!$N:$N,"&gt;="&amp;DATE(F$5,1,1),DATA!$N:$N,"&lt;="&amp;DATE(F$5,12,31))</f>
        <v/>
      </c>
      <c r="G323" s="331">
        <f>SUMIFS(DATA!$M:$M,DATA!$C:$C,$B323,DATA!$N:$N,"&gt;="&amp;DATE(G$5,1,1),DATA!$N:$N,"&lt;="&amp;DATE(G$5,12,31))</f>
        <v/>
      </c>
      <c r="H323" s="331">
        <f>SUMIFS(DATA!$M:$M,DATA!$C:$C,$B323,DATA!$N:$N,"&gt;="&amp;DATE(H$5,1,1),DATA!$N:$N,"&lt;="&amp;DATE(H$5,12,31))</f>
        <v/>
      </c>
      <c r="I323" s="331">
        <f>SUMIFS(DATA!$M:$M,DATA!$C:$C,$B323,DATA!$N:$N,"&gt;="&amp;DATE(I$5,1,1),DATA!$N:$N,"&lt;="&amp;DATE(I$5,12,31))</f>
        <v/>
      </c>
      <c r="J323" s="332">
        <f>SUM(C323:I323)</f>
        <v/>
      </c>
      <c r="K323" s="333">
        <f>J323/$J$506</f>
        <v/>
      </c>
    </row>
    <row r="324" hidden="1" outlineLevel="1" ht="32.25" customHeight="1">
      <c r="A324" s="48" t="n">
        <v>319</v>
      </c>
      <c r="B324" s="107" t="n"/>
      <c r="C324" s="331">
        <f>SUMIFS(DATA!$M:$M,DATA!$C:$C,$B324,DATA!$N:$N,"&gt;="&amp;DATE(C$5,1,1),DATA!$N:$N,"&lt;="&amp;DATE(C$5,12,31))</f>
        <v/>
      </c>
      <c r="D324" s="331">
        <f>SUMIFS(DATA!$M:$M,DATA!$C:$C,$B324,DATA!$N:$N,"&gt;="&amp;DATE(D$5,1,1),DATA!$N:$N,"&lt;="&amp;DATE(D$5,12,31))</f>
        <v/>
      </c>
      <c r="E324" s="331">
        <f>SUMIFS(DATA!$M:$M,DATA!$C:$C,$B324,DATA!$N:$N,"&gt;="&amp;DATE(E$5,1,1),DATA!$N:$N,"&lt;="&amp;DATE(E$5,12,31))</f>
        <v/>
      </c>
      <c r="F324" s="331">
        <f>SUMIFS(DATA!$M:$M,DATA!$C:$C,$B324,DATA!$N:$N,"&gt;="&amp;DATE(F$5,1,1),DATA!$N:$N,"&lt;="&amp;DATE(F$5,12,31))</f>
        <v/>
      </c>
      <c r="G324" s="331">
        <f>SUMIFS(DATA!$M:$M,DATA!$C:$C,$B324,DATA!$N:$N,"&gt;="&amp;DATE(G$5,1,1),DATA!$N:$N,"&lt;="&amp;DATE(G$5,12,31))</f>
        <v/>
      </c>
      <c r="H324" s="331">
        <f>SUMIFS(DATA!$M:$M,DATA!$C:$C,$B324,DATA!$N:$N,"&gt;="&amp;DATE(H$5,1,1),DATA!$N:$N,"&lt;="&amp;DATE(H$5,12,31))</f>
        <v/>
      </c>
      <c r="I324" s="331">
        <f>SUMIFS(DATA!$M:$M,DATA!$C:$C,$B324,DATA!$N:$N,"&gt;="&amp;DATE(I$5,1,1),DATA!$N:$N,"&lt;="&amp;DATE(I$5,12,31))</f>
        <v/>
      </c>
      <c r="J324" s="332">
        <f>SUM(C324:I324)</f>
        <v/>
      </c>
      <c r="K324" s="333">
        <f>J324/$J$506</f>
        <v/>
      </c>
    </row>
    <row r="325" hidden="1" outlineLevel="1" ht="32.25" customHeight="1">
      <c r="A325" s="48" t="n">
        <v>320</v>
      </c>
      <c r="B325" s="107" t="n"/>
      <c r="C325" s="331">
        <f>SUMIFS(DATA!$M:$M,DATA!$C:$C,$B325,DATA!$N:$N,"&gt;="&amp;DATE(C$5,1,1),DATA!$N:$N,"&lt;="&amp;DATE(C$5,12,31))</f>
        <v/>
      </c>
      <c r="D325" s="331">
        <f>SUMIFS(DATA!$M:$M,DATA!$C:$C,$B325,DATA!$N:$N,"&gt;="&amp;DATE(D$5,1,1),DATA!$N:$N,"&lt;="&amp;DATE(D$5,12,31))</f>
        <v/>
      </c>
      <c r="E325" s="331">
        <f>SUMIFS(DATA!$M:$M,DATA!$C:$C,$B325,DATA!$N:$N,"&gt;="&amp;DATE(E$5,1,1),DATA!$N:$N,"&lt;="&amp;DATE(E$5,12,31))</f>
        <v/>
      </c>
      <c r="F325" s="331">
        <f>SUMIFS(DATA!$M:$M,DATA!$C:$C,$B325,DATA!$N:$N,"&gt;="&amp;DATE(F$5,1,1),DATA!$N:$N,"&lt;="&amp;DATE(F$5,12,31))</f>
        <v/>
      </c>
      <c r="G325" s="331">
        <f>SUMIFS(DATA!$M:$M,DATA!$C:$C,$B325,DATA!$N:$N,"&gt;="&amp;DATE(G$5,1,1),DATA!$N:$N,"&lt;="&amp;DATE(G$5,12,31))</f>
        <v/>
      </c>
      <c r="H325" s="331">
        <f>SUMIFS(DATA!$M:$M,DATA!$C:$C,$B325,DATA!$N:$N,"&gt;="&amp;DATE(H$5,1,1),DATA!$N:$N,"&lt;="&amp;DATE(H$5,12,31))</f>
        <v/>
      </c>
      <c r="I325" s="331">
        <f>SUMIFS(DATA!$M:$M,DATA!$C:$C,$B325,DATA!$N:$N,"&gt;="&amp;DATE(I$5,1,1),DATA!$N:$N,"&lt;="&amp;DATE(I$5,12,31))</f>
        <v/>
      </c>
      <c r="J325" s="332">
        <f>SUM(C325:I325)</f>
        <v/>
      </c>
      <c r="K325" s="333">
        <f>J325/$J$506</f>
        <v/>
      </c>
    </row>
    <row r="326" hidden="1" outlineLevel="1" ht="32.25" customHeight="1">
      <c r="A326" s="48" t="n">
        <v>321</v>
      </c>
      <c r="B326" s="107" t="n"/>
      <c r="C326" s="331">
        <f>SUMIFS(DATA!$M:$M,DATA!$C:$C,$B326,DATA!$N:$N,"&gt;="&amp;DATE(C$5,1,1),DATA!$N:$N,"&lt;="&amp;DATE(C$5,12,31))</f>
        <v/>
      </c>
      <c r="D326" s="331">
        <f>SUMIFS(DATA!$M:$M,DATA!$C:$C,$B326,DATA!$N:$N,"&gt;="&amp;DATE(D$5,1,1),DATA!$N:$N,"&lt;="&amp;DATE(D$5,12,31))</f>
        <v/>
      </c>
      <c r="E326" s="331">
        <f>SUMIFS(DATA!$M:$M,DATA!$C:$C,$B326,DATA!$N:$N,"&gt;="&amp;DATE(E$5,1,1),DATA!$N:$N,"&lt;="&amp;DATE(E$5,12,31))</f>
        <v/>
      </c>
      <c r="F326" s="331">
        <f>SUMIFS(DATA!$M:$M,DATA!$C:$C,$B326,DATA!$N:$N,"&gt;="&amp;DATE(F$5,1,1),DATA!$N:$N,"&lt;="&amp;DATE(F$5,12,31))</f>
        <v/>
      </c>
      <c r="G326" s="331">
        <f>SUMIFS(DATA!$M:$M,DATA!$C:$C,$B326,DATA!$N:$N,"&gt;="&amp;DATE(G$5,1,1),DATA!$N:$N,"&lt;="&amp;DATE(G$5,12,31))</f>
        <v/>
      </c>
      <c r="H326" s="331">
        <f>SUMIFS(DATA!$M:$M,DATA!$C:$C,$B326,DATA!$N:$N,"&gt;="&amp;DATE(H$5,1,1),DATA!$N:$N,"&lt;="&amp;DATE(H$5,12,31))</f>
        <v/>
      </c>
      <c r="I326" s="331">
        <f>SUMIFS(DATA!$M:$M,DATA!$C:$C,$B326,DATA!$N:$N,"&gt;="&amp;DATE(I$5,1,1),DATA!$N:$N,"&lt;="&amp;DATE(I$5,12,31))</f>
        <v/>
      </c>
      <c r="J326" s="332">
        <f>SUM(C326:I326)</f>
        <v/>
      </c>
      <c r="K326" s="333">
        <f>J326/$J$506</f>
        <v/>
      </c>
    </row>
    <row r="327" hidden="1" outlineLevel="1" ht="32.25" customHeight="1">
      <c r="A327" s="48" t="n">
        <v>322</v>
      </c>
      <c r="B327" s="107" t="n"/>
      <c r="C327" s="331">
        <f>SUMIFS(DATA!$M:$M,DATA!$C:$C,$B327,DATA!$N:$N,"&gt;="&amp;DATE(C$5,1,1),DATA!$N:$N,"&lt;="&amp;DATE(C$5,12,31))</f>
        <v/>
      </c>
      <c r="D327" s="331">
        <f>SUMIFS(DATA!$M:$M,DATA!$C:$C,$B327,DATA!$N:$N,"&gt;="&amp;DATE(D$5,1,1),DATA!$N:$N,"&lt;="&amp;DATE(D$5,12,31))</f>
        <v/>
      </c>
      <c r="E327" s="331">
        <f>SUMIFS(DATA!$M:$M,DATA!$C:$C,$B327,DATA!$N:$N,"&gt;="&amp;DATE(E$5,1,1),DATA!$N:$N,"&lt;="&amp;DATE(E$5,12,31))</f>
        <v/>
      </c>
      <c r="F327" s="331">
        <f>SUMIFS(DATA!$M:$M,DATA!$C:$C,$B327,DATA!$N:$N,"&gt;="&amp;DATE(F$5,1,1),DATA!$N:$N,"&lt;="&amp;DATE(F$5,12,31))</f>
        <v/>
      </c>
      <c r="G327" s="331">
        <f>SUMIFS(DATA!$M:$M,DATA!$C:$C,$B327,DATA!$N:$N,"&gt;="&amp;DATE(G$5,1,1),DATA!$N:$N,"&lt;="&amp;DATE(G$5,12,31))</f>
        <v/>
      </c>
      <c r="H327" s="331">
        <f>SUMIFS(DATA!$M:$M,DATA!$C:$C,$B327,DATA!$N:$N,"&gt;="&amp;DATE(H$5,1,1),DATA!$N:$N,"&lt;="&amp;DATE(H$5,12,31))</f>
        <v/>
      </c>
      <c r="I327" s="331">
        <f>SUMIFS(DATA!$M:$M,DATA!$C:$C,$B327,DATA!$N:$N,"&gt;="&amp;DATE(I$5,1,1),DATA!$N:$N,"&lt;="&amp;DATE(I$5,12,31))</f>
        <v/>
      </c>
      <c r="J327" s="332">
        <f>SUM(C327:I327)</f>
        <v/>
      </c>
      <c r="K327" s="333">
        <f>J327/$J$506</f>
        <v/>
      </c>
    </row>
    <row r="328" hidden="1" outlineLevel="1" ht="32.25" customHeight="1">
      <c r="A328" s="48" t="n">
        <v>323</v>
      </c>
      <c r="B328" s="107" t="n"/>
      <c r="C328" s="331">
        <f>SUMIFS(DATA!$M:$M,DATA!$C:$C,$B328,DATA!$N:$N,"&gt;="&amp;DATE(C$5,1,1),DATA!$N:$N,"&lt;="&amp;DATE(C$5,12,31))</f>
        <v/>
      </c>
      <c r="D328" s="331">
        <f>SUMIFS(DATA!$M:$M,DATA!$C:$C,$B328,DATA!$N:$N,"&gt;="&amp;DATE(D$5,1,1),DATA!$N:$N,"&lt;="&amp;DATE(D$5,12,31))</f>
        <v/>
      </c>
      <c r="E328" s="331">
        <f>SUMIFS(DATA!$M:$M,DATA!$C:$C,$B328,DATA!$N:$N,"&gt;="&amp;DATE(E$5,1,1),DATA!$N:$N,"&lt;="&amp;DATE(E$5,12,31))</f>
        <v/>
      </c>
      <c r="F328" s="331">
        <f>SUMIFS(DATA!$M:$M,DATA!$C:$C,$B328,DATA!$N:$N,"&gt;="&amp;DATE(F$5,1,1),DATA!$N:$N,"&lt;="&amp;DATE(F$5,12,31))</f>
        <v/>
      </c>
      <c r="G328" s="331">
        <f>SUMIFS(DATA!$M:$M,DATA!$C:$C,$B328,DATA!$N:$N,"&gt;="&amp;DATE(G$5,1,1),DATA!$N:$N,"&lt;="&amp;DATE(G$5,12,31))</f>
        <v/>
      </c>
      <c r="H328" s="331">
        <f>SUMIFS(DATA!$M:$M,DATA!$C:$C,$B328,DATA!$N:$N,"&gt;="&amp;DATE(H$5,1,1),DATA!$N:$N,"&lt;="&amp;DATE(H$5,12,31))</f>
        <v/>
      </c>
      <c r="I328" s="331">
        <f>SUMIFS(DATA!$M:$M,DATA!$C:$C,$B328,DATA!$N:$N,"&gt;="&amp;DATE(I$5,1,1),DATA!$N:$N,"&lt;="&amp;DATE(I$5,12,31))</f>
        <v/>
      </c>
      <c r="J328" s="332">
        <f>SUM(C328:I328)</f>
        <v/>
      </c>
      <c r="K328" s="333">
        <f>J328/$J$506</f>
        <v/>
      </c>
    </row>
    <row r="329" hidden="1" outlineLevel="1" ht="32.25" customHeight="1">
      <c r="A329" s="48" t="n">
        <v>324</v>
      </c>
      <c r="B329" s="107" t="n"/>
      <c r="C329" s="331">
        <f>SUMIFS(DATA!$M:$M,DATA!$C:$C,$B329,DATA!$N:$N,"&gt;="&amp;DATE(C$5,1,1),DATA!$N:$N,"&lt;="&amp;DATE(C$5,12,31))</f>
        <v/>
      </c>
      <c r="D329" s="331">
        <f>SUMIFS(DATA!$M:$M,DATA!$C:$C,$B329,DATA!$N:$N,"&gt;="&amp;DATE(D$5,1,1),DATA!$N:$N,"&lt;="&amp;DATE(D$5,12,31))</f>
        <v/>
      </c>
      <c r="E329" s="331">
        <f>SUMIFS(DATA!$M:$M,DATA!$C:$C,$B329,DATA!$N:$N,"&gt;="&amp;DATE(E$5,1,1),DATA!$N:$N,"&lt;="&amp;DATE(E$5,12,31))</f>
        <v/>
      </c>
      <c r="F329" s="331">
        <f>SUMIFS(DATA!$M:$M,DATA!$C:$C,$B329,DATA!$N:$N,"&gt;="&amp;DATE(F$5,1,1),DATA!$N:$N,"&lt;="&amp;DATE(F$5,12,31))</f>
        <v/>
      </c>
      <c r="G329" s="331">
        <f>SUMIFS(DATA!$M:$M,DATA!$C:$C,$B329,DATA!$N:$N,"&gt;="&amp;DATE(G$5,1,1),DATA!$N:$N,"&lt;="&amp;DATE(G$5,12,31))</f>
        <v/>
      </c>
      <c r="H329" s="331">
        <f>SUMIFS(DATA!$M:$M,DATA!$C:$C,$B329,DATA!$N:$N,"&gt;="&amp;DATE(H$5,1,1),DATA!$N:$N,"&lt;="&amp;DATE(H$5,12,31))</f>
        <v/>
      </c>
      <c r="I329" s="331">
        <f>SUMIFS(DATA!$M:$M,DATA!$C:$C,$B329,DATA!$N:$N,"&gt;="&amp;DATE(I$5,1,1),DATA!$N:$N,"&lt;="&amp;DATE(I$5,12,31))</f>
        <v/>
      </c>
      <c r="J329" s="332">
        <f>SUM(C329:I329)</f>
        <v/>
      </c>
      <c r="K329" s="333">
        <f>J329/$J$506</f>
        <v/>
      </c>
    </row>
    <row r="330" hidden="1" outlineLevel="1" ht="32.25" customHeight="1">
      <c r="A330" s="48" t="n">
        <v>325</v>
      </c>
      <c r="B330" s="107" t="n"/>
      <c r="C330" s="331">
        <f>SUMIFS(DATA!$M:$M,DATA!$C:$C,$B330,DATA!$N:$N,"&gt;="&amp;DATE(C$5,1,1),DATA!$N:$N,"&lt;="&amp;DATE(C$5,12,31))</f>
        <v/>
      </c>
      <c r="D330" s="331">
        <f>SUMIFS(DATA!$M:$M,DATA!$C:$C,$B330,DATA!$N:$N,"&gt;="&amp;DATE(D$5,1,1),DATA!$N:$N,"&lt;="&amp;DATE(D$5,12,31))</f>
        <v/>
      </c>
      <c r="E330" s="331">
        <f>SUMIFS(DATA!$M:$M,DATA!$C:$C,$B330,DATA!$N:$N,"&gt;="&amp;DATE(E$5,1,1),DATA!$N:$N,"&lt;="&amp;DATE(E$5,12,31))</f>
        <v/>
      </c>
      <c r="F330" s="331">
        <f>SUMIFS(DATA!$M:$M,DATA!$C:$C,$B330,DATA!$N:$N,"&gt;="&amp;DATE(F$5,1,1),DATA!$N:$N,"&lt;="&amp;DATE(F$5,12,31))</f>
        <v/>
      </c>
      <c r="G330" s="331">
        <f>SUMIFS(DATA!$M:$M,DATA!$C:$C,$B330,DATA!$N:$N,"&gt;="&amp;DATE(G$5,1,1),DATA!$N:$N,"&lt;="&amp;DATE(G$5,12,31))</f>
        <v/>
      </c>
      <c r="H330" s="331">
        <f>SUMIFS(DATA!$M:$M,DATA!$C:$C,$B330,DATA!$N:$N,"&gt;="&amp;DATE(H$5,1,1),DATA!$N:$N,"&lt;="&amp;DATE(H$5,12,31))</f>
        <v/>
      </c>
      <c r="I330" s="331">
        <f>SUMIFS(DATA!$M:$M,DATA!$C:$C,$B330,DATA!$N:$N,"&gt;="&amp;DATE(I$5,1,1),DATA!$N:$N,"&lt;="&amp;DATE(I$5,12,31))</f>
        <v/>
      </c>
      <c r="J330" s="332">
        <f>SUM(C330:I330)</f>
        <v/>
      </c>
      <c r="K330" s="333">
        <f>J330/$J$506</f>
        <v/>
      </c>
    </row>
    <row r="331" hidden="1" outlineLevel="1" ht="32.25" customHeight="1">
      <c r="A331" s="48" t="n">
        <v>326</v>
      </c>
      <c r="B331" s="107" t="n"/>
      <c r="C331" s="331">
        <f>SUMIFS(DATA!$M:$M,DATA!$C:$C,$B331,DATA!$N:$N,"&gt;="&amp;DATE(C$5,1,1),DATA!$N:$N,"&lt;="&amp;DATE(C$5,12,31))</f>
        <v/>
      </c>
      <c r="D331" s="331">
        <f>SUMIFS(DATA!$M:$M,DATA!$C:$C,$B331,DATA!$N:$N,"&gt;="&amp;DATE(D$5,1,1),DATA!$N:$N,"&lt;="&amp;DATE(D$5,12,31))</f>
        <v/>
      </c>
      <c r="E331" s="331">
        <f>SUMIFS(DATA!$M:$M,DATA!$C:$C,$B331,DATA!$N:$N,"&gt;="&amp;DATE(E$5,1,1),DATA!$N:$N,"&lt;="&amp;DATE(E$5,12,31))</f>
        <v/>
      </c>
      <c r="F331" s="331">
        <f>SUMIFS(DATA!$M:$M,DATA!$C:$C,$B331,DATA!$N:$N,"&gt;="&amp;DATE(F$5,1,1),DATA!$N:$N,"&lt;="&amp;DATE(F$5,12,31))</f>
        <v/>
      </c>
      <c r="G331" s="331">
        <f>SUMIFS(DATA!$M:$M,DATA!$C:$C,$B331,DATA!$N:$N,"&gt;="&amp;DATE(G$5,1,1),DATA!$N:$N,"&lt;="&amp;DATE(G$5,12,31))</f>
        <v/>
      </c>
      <c r="H331" s="331">
        <f>SUMIFS(DATA!$M:$M,DATA!$C:$C,$B331,DATA!$N:$N,"&gt;="&amp;DATE(H$5,1,1),DATA!$N:$N,"&lt;="&amp;DATE(H$5,12,31))</f>
        <v/>
      </c>
      <c r="I331" s="331">
        <f>SUMIFS(DATA!$M:$M,DATA!$C:$C,$B331,DATA!$N:$N,"&gt;="&amp;DATE(I$5,1,1),DATA!$N:$N,"&lt;="&amp;DATE(I$5,12,31))</f>
        <v/>
      </c>
      <c r="J331" s="332">
        <f>SUM(C331:I331)</f>
        <v/>
      </c>
      <c r="K331" s="333">
        <f>J331/$J$506</f>
        <v/>
      </c>
    </row>
    <row r="332" hidden="1" outlineLevel="1" ht="32.25" customHeight="1">
      <c r="A332" s="48" t="n">
        <v>327</v>
      </c>
      <c r="B332" s="107" t="n"/>
      <c r="C332" s="331">
        <f>SUMIFS(DATA!$M:$M,DATA!$C:$C,$B332,DATA!$N:$N,"&gt;="&amp;DATE(C$5,1,1),DATA!$N:$N,"&lt;="&amp;DATE(C$5,12,31))</f>
        <v/>
      </c>
      <c r="D332" s="331">
        <f>SUMIFS(DATA!$M:$M,DATA!$C:$C,$B332,DATA!$N:$N,"&gt;="&amp;DATE(D$5,1,1),DATA!$N:$N,"&lt;="&amp;DATE(D$5,12,31))</f>
        <v/>
      </c>
      <c r="E332" s="331">
        <f>SUMIFS(DATA!$M:$M,DATA!$C:$C,$B332,DATA!$N:$N,"&gt;="&amp;DATE(E$5,1,1),DATA!$N:$N,"&lt;="&amp;DATE(E$5,12,31))</f>
        <v/>
      </c>
      <c r="F332" s="331">
        <f>SUMIFS(DATA!$M:$M,DATA!$C:$C,$B332,DATA!$N:$N,"&gt;="&amp;DATE(F$5,1,1),DATA!$N:$N,"&lt;="&amp;DATE(F$5,12,31))</f>
        <v/>
      </c>
      <c r="G332" s="331">
        <f>SUMIFS(DATA!$M:$M,DATA!$C:$C,$B332,DATA!$N:$N,"&gt;="&amp;DATE(G$5,1,1),DATA!$N:$N,"&lt;="&amp;DATE(G$5,12,31))</f>
        <v/>
      </c>
      <c r="H332" s="331">
        <f>SUMIFS(DATA!$M:$M,DATA!$C:$C,$B332,DATA!$N:$N,"&gt;="&amp;DATE(H$5,1,1),DATA!$N:$N,"&lt;="&amp;DATE(H$5,12,31))</f>
        <v/>
      </c>
      <c r="I332" s="331">
        <f>SUMIFS(DATA!$M:$M,DATA!$C:$C,$B332,DATA!$N:$N,"&gt;="&amp;DATE(I$5,1,1),DATA!$N:$N,"&lt;="&amp;DATE(I$5,12,31))</f>
        <v/>
      </c>
      <c r="J332" s="332">
        <f>SUM(C332:I332)</f>
        <v/>
      </c>
      <c r="K332" s="333">
        <f>J332/$J$506</f>
        <v/>
      </c>
    </row>
    <row r="333" hidden="1" outlineLevel="1" ht="32.25" customHeight="1">
      <c r="A333" s="48" t="n">
        <v>328</v>
      </c>
      <c r="B333" s="107" t="n"/>
      <c r="C333" s="331">
        <f>SUMIFS(DATA!$M:$M,DATA!$C:$C,$B333,DATA!$N:$N,"&gt;="&amp;DATE(C$5,1,1),DATA!$N:$N,"&lt;="&amp;DATE(C$5,12,31))</f>
        <v/>
      </c>
      <c r="D333" s="331">
        <f>SUMIFS(DATA!$M:$M,DATA!$C:$C,$B333,DATA!$N:$N,"&gt;="&amp;DATE(D$5,1,1),DATA!$N:$N,"&lt;="&amp;DATE(D$5,12,31))</f>
        <v/>
      </c>
      <c r="E333" s="331">
        <f>SUMIFS(DATA!$M:$M,DATA!$C:$C,$B333,DATA!$N:$N,"&gt;="&amp;DATE(E$5,1,1),DATA!$N:$N,"&lt;="&amp;DATE(E$5,12,31))</f>
        <v/>
      </c>
      <c r="F333" s="331">
        <f>SUMIFS(DATA!$M:$M,DATA!$C:$C,$B333,DATA!$N:$N,"&gt;="&amp;DATE(F$5,1,1),DATA!$N:$N,"&lt;="&amp;DATE(F$5,12,31))</f>
        <v/>
      </c>
      <c r="G333" s="331">
        <f>SUMIFS(DATA!$M:$M,DATA!$C:$C,$B333,DATA!$N:$N,"&gt;="&amp;DATE(G$5,1,1),DATA!$N:$N,"&lt;="&amp;DATE(G$5,12,31))</f>
        <v/>
      </c>
      <c r="H333" s="331">
        <f>SUMIFS(DATA!$M:$M,DATA!$C:$C,$B333,DATA!$N:$N,"&gt;="&amp;DATE(H$5,1,1),DATA!$N:$N,"&lt;="&amp;DATE(H$5,12,31))</f>
        <v/>
      </c>
      <c r="I333" s="331">
        <f>SUMIFS(DATA!$M:$M,DATA!$C:$C,$B333,DATA!$N:$N,"&gt;="&amp;DATE(I$5,1,1),DATA!$N:$N,"&lt;="&amp;DATE(I$5,12,31))</f>
        <v/>
      </c>
      <c r="J333" s="332">
        <f>SUM(C333:I333)</f>
        <v/>
      </c>
      <c r="K333" s="333">
        <f>J333/$J$506</f>
        <v/>
      </c>
    </row>
    <row r="334" hidden="1" outlineLevel="1" ht="32.25" customHeight="1">
      <c r="A334" s="48" t="n">
        <v>329</v>
      </c>
      <c r="B334" s="107" t="n"/>
      <c r="C334" s="331">
        <f>SUMIFS(DATA!$M:$M,DATA!$C:$C,$B334,DATA!$N:$N,"&gt;="&amp;DATE(C$5,1,1),DATA!$N:$N,"&lt;="&amp;DATE(C$5,12,31))</f>
        <v/>
      </c>
      <c r="D334" s="331">
        <f>SUMIFS(DATA!$M:$M,DATA!$C:$C,$B334,DATA!$N:$N,"&gt;="&amp;DATE(D$5,1,1),DATA!$N:$N,"&lt;="&amp;DATE(D$5,12,31))</f>
        <v/>
      </c>
      <c r="E334" s="331">
        <f>SUMIFS(DATA!$M:$M,DATA!$C:$C,$B334,DATA!$N:$N,"&gt;="&amp;DATE(E$5,1,1),DATA!$N:$N,"&lt;="&amp;DATE(E$5,12,31))</f>
        <v/>
      </c>
      <c r="F334" s="331">
        <f>SUMIFS(DATA!$M:$M,DATA!$C:$C,$B334,DATA!$N:$N,"&gt;="&amp;DATE(F$5,1,1),DATA!$N:$N,"&lt;="&amp;DATE(F$5,12,31))</f>
        <v/>
      </c>
      <c r="G334" s="331">
        <f>SUMIFS(DATA!$M:$M,DATA!$C:$C,$B334,DATA!$N:$N,"&gt;="&amp;DATE(G$5,1,1),DATA!$N:$N,"&lt;="&amp;DATE(G$5,12,31))</f>
        <v/>
      </c>
      <c r="H334" s="331">
        <f>SUMIFS(DATA!$M:$M,DATA!$C:$C,$B334,DATA!$N:$N,"&gt;="&amp;DATE(H$5,1,1),DATA!$N:$N,"&lt;="&amp;DATE(H$5,12,31))</f>
        <v/>
      </c>
      <c r="I334" s="331">
        <f>SUMIFS(DATA!$M:$M,DATA!$C:$C,$B334,DATA!$N:$N,"&gt;="&amp;DATE(I$5,1,1),DATA!$N:$N,"&lt;="&amp;DATE(I$5,12,31))</f>
        <v/>
      </c>
      <c r="J334" s="332">
        <f>SUM(C334:I334)</f>
        <v/>
      </c>
      <c r="K334" s="333">
        <f>J334/$J$506</f>
        <v/>
      </c>
    </row>
    <row r="335" hidden="1" outlineLevel="1" ht="32.25" customHeight="1">
      <c r="A335" s="48" t="n">
        <v>330</v>
      </c>
      <c r="B335" s="107" t="n"/>
      <c r="C335" s="331">
        <f>SUMIFS(DATA!$M:$M,DATA!$C:$C,$B335,DATA!$N:$N,"&gt;="&amp;DATE(C$5,1,1),DATA!$N:$N,"&lt;="&amp;DATE(C$5,12,31))</f>
        <v/>
      </c>
      <c r="D335" s="331">
        <f>SUMIFS(DATA!$M:$M,DATA!$C:$C,$B335,DATA!$N:$N,"&gt;="&amp;DATE(D$5,1,1),DATA!$N:$N,"&lt;="&amp;DATE(D$5,12,31))</f>
        <v/>
      </c>
      <c r="E335" s="331">
        <f>SUMIFS(DATA!$M:$M,DATA!$C:$C,$B335,DATA!$N:$N,"&gt;="&amp;DATE(E$5,1,1),DATA!$N:$N,"&lt;="&amp;DATE(E$5,12,31))</f>
        <v/>
      </c>
      <c r="F335" s="331">
        <f>SUMIFS(DATA!$M:$M,DATA!$C:$C,$B335,DATA!$N:$N,"&gt;="&amp;DATE(F$5,1,1),DATA!$N:$N,"&lt;="&amp;DATE(F$5,12,31))</f>
        <v/>
      </c>
      <c r="G335" s="331">
        <f>SUMIFS(DATA!$M:$M,DATA!$C:$C,$B335,DATA!$N:$N,"&gt;="&amp;DATE(G$5,1,1),DATA!$N:$N,"&lt;="&amp;DATE(G$5,12,31))</f>
        <v/>
      </c>
      <c r="H335" s="331">
        <f>SUMIFS(DATA!$M:$M,DATA!$C:$C,$B335,DATA!$N:$N,"&gt;="&amp;DATE(H$5,1,1),DATA!$N:$N,"&lt;="&amp;DATE(H$5,12,31))</f>
        <v/>
      </c>
      <c r="I335" s="331">
        <f>SUMIFS(DATA!$M:$M,DATA!$C:$C,$B335,DATA!$N:$N,"&gt;="&amp;DATE(I$5,1,1),DATA!$N:$N,"&lt;="&amp;DATE(I$5,12,31))</f>
        <v/>
      </c>
      <c r="J335" s="332">
        <f>SUM(C335:I335)</f>
        <v/>
      </c>
      <c r="K335" s="333">
        <f>J335/$J$506</f>
        <v/>
      </c>
    </row>
    <row r="336" hidden="1" outlineLevel="1" ht="32.25" customHeight="1">
      <c r="A336" s="48" t="n">
        <v>331</v>
      </c>
      <c r="B336" s="107" t="n"/>
      <c r="C336" s="331">
        <f>SUMIFS(DATA!$M:$M,DATA!$C:$C,$B336,DATA!$N:$N,"&gt;="&amp;DATE(C$5,1,1),DATA!$N:$N,"&lt;="&amp;DATE(C$5,12,31))</f>
        <v/>
      </c>
      <c r="D336" s="331">
        <f>SUMIFS(DATA!$M:$M,DATA!$C:$C,$B336,DATA!$N:$N,"&gt;="&amp;DATE(D$5,1,1),DATA!$N:$N,"&lt;="&amp;DATE(D$5,12,31))</f>
        <v/>
      </c>
      <c r="E336" s="331">
        <f>SUMIFS(DATA!$M:$M,DATA!$C:$C,$B336,DATA!$N:$N,"&gt;="&amp;DATE(E$5,1,1),DATA!$N:$N,"&lt;="&amp;DATE(E$5,12,31))</f>
        <v/>
      </c>
      <c r="F336" s="331">
        <f>SUMIFS(DATA!$M:$M,DATA!$C:$C,$B336,DATA!$N:$N,"&gt;="&amp;DATE(F$5,1,1),DATA!$N:$N,"&lt;="&amp;DATE(F$5,12,31))</f>
        <v/>
      </c>
      <c r="G336" s="331">
        <f>SUMIFS(DATA!$M:$M,DATA!$C:$C,$B336,DATA!$N:$N,"&gt;="&amp;DATE(G$5,1,1),DATA!$N:$N,"&lt;="&amp;DATE(G$5,12,31))</f>
        <v/>
      </c>
      <c r="H336" s="331">
        <f>SUMIFS(DATA!$M:$M,DATA!$C:$C,$B336,DATA!$N:$N,"&gt;="&amp;DATE(H$5,1,1),DATA!$N:$N,"&lt;="&amp;DATE(H$5,12,31))</f>
        <v/>
      </c>
      <c r="I336" s="331">
        <f>SUMIFS(DATA!$M:$M,DATA!$C:$C,$B336,DATA!$N:$N,"&gt;="&amp;DATE(I$5,1,1),DATA!$N:$N,"&lt;="&amp;DATE(I$5,12,31))</f>
        <v/>
      </c>
      <c r="J336" s="332">
        <f>SUM(C336:I336)</f>
        <v/>
      </c>
      <c r="K336" s="333">
        <f>J336/$J$506</f>
        <v/>
      </c>
    </row>
    <row r="337" hidden="1" outlineLevel="1" ht="32.25" customHeight="1">
      <c r="A337" s="48" t="n">
        <v>332</v>
      </c>
      <c r="B337" s="107" t="n"/>
      <c r="C337" s="331">
        <f>SUMIFS(DATA!$M:$M,DATA!$C:$C,$B337,DATA!$N:$N,"&gt;="&amp;DATE(C$5,1,1),DATA!$N:$N,"&lt;="&amp;DATE(C$5,12,31))</f>
        <v/>
      </c>
      <c r="D337" s="331">
        <f>SUMIFS(DATA!$M:$M,DATA!$C:$C,$B337,DATA!$N:$N,"&gt;="&amp;DATE(D$5,1,1),DATA!$N:$N,"&lt;="&amp;DATE(D$5,12,31))</f>
        <v/>
      </c>
      <c r="E337" s="331">
        <f>SUMIFS(DATA!$M:$M,DATA!$C:$C,$B337,DATA!$N:$N,"&gt;="&amp;DATE(E$5,1,1),DATA!$N:$N,"&lt;="&amp;DATE(E$5,12,31))</f>
        <v/>
      </c>
      <c r="F337" s="331">
        <f>SUMIFS(DATA!$M:$M,DATA!$C:$C,$B337,DATA!$N:$N,"&gt;="&amp;DATE(F$5,1,1),DATA!$N:$N,"&lt;="&amp;DATE(F$5,12,31))</f>
        <v/>
      </c>
      <c r="G337" s="331">
        <f>SUMIFS(DATA!$M:$M,DATA!$C:$C,$B337,DATA!$N:$N,"&gt;="&amp;DATE(G$5,1,1),DATA!$N:$N,"&lt;="&amp;DATE(G$5,12,31))</f>
        <v/>
      </c>
      <c r="H337" s="331">
        <f>SUMIFS(DATA!$M:$M,DATA!$C:$C,$B337,DATA!$N:$N,"&gt;="&amp;DATE(H$5,1,1),DATA!$N:$N,"&lt;="&amp;DATE(H$5,12,31))</f>
        <v/>
      </c>
      <c r="I337" s="331">
        <f>SUMIFS(DATA!$M:$M,DATA!$C:$C,$B337,DATA!$N:$N,"&gt;="&amp;DATE(I$5,1,1),DATA!$N:$N,"&lt;="&amp;DATE(I$5,12,31))</f>
        <v/>
      </c>
      <c r="J337" s="332">
        <f>SUM(C337:I337)</f>
        <v/>
      </c>
      <c r="K337" s="333">
        <f>J337/$J$506</f>
        <v/>
      </c>
    </row>
    <row r="338" hidden="1" outlineLevel="1" ht="32.25" customHeight="1">
      <c r="A338" s="48" t="n">
        <v>333</v>
      </c>
      <c r="B338" s="107" t="n"/>
      <c r="C338" s="331">
        <f>SUMIFS(DATA!$M:$M,DATA!$C:$C,$B338,DATA!$N:$N,"&gt;="&amp;DATE(C$5,1,1),DATA!$N:$N,"&lt;="&amp;DATE(C$5,12,31))</f>
        <v/>
      </c>
      <c r="D338" s="331">
        <f>SUMIFS(DATA!$M:$M,DATA!$C:$C,$B338,DATA!$N:$N,"&gt;="&amp;DATE(D$5,1,1),DATA!$N:$N,"&lt;="&amp;DATE(D$5,12,31))</f>
        <v/>
      </c>
      <c r="E338" s="331">
        <f>SUMIFS(DATA!$M:$M,DATA!$C:$C,$B338,DATA!$N:$N,"&gt;="&amp;DATE(E$5,1,1),DATA!$N:$N,"&lt;="&amp;DATE(E$5,12,31))</f>
        <v/>
      </c>
      <c r="F338" s="331">
        <f>SUMIFS(DATA!$M:$M,DATA!$C:$C,$B338,DATA!$N:$N,"&gt;="&amp;DATE(F$5,1,1),DATA!$N:$N,"&lt;="&amp;DATE(F$5,12,31))</f>
        <v/>
      </c>
      <c r="G338" s="331">
        <f>SUMIFS(DATA!$M:$M,DATA!$C:$C,$B338,DATA!$N:$N,"&gt;="&amp;DATE(G$5,1,1),DATA!$N:$N,"&lt;="&amp;DATE(G$5,12,31))</f>
        <v/>
      </c>
      <c r="H338" s="331">
        <f>SUMIFS(DATA!$M:$M,DATA!$C:$C,$B338,DATA!$N:$N,"&gt;="&amp;DATE(H$5,1,1),DATA!$N:$N,"&lt;="&amp;DATE(H$5,12,31))</f>
        <v/>
      </c>
      <c r="I338" s="331">
        <f>SUMIFS(DATA!$M:$M,DATA!$C:$C,$B338,DATA!$N:$N,"&gt;="&amp;DATE(I$5,1,1),DATA!$N:$N,"&lt;="&amp;DATE(I$5,12,31))</f>
        <v/>
      </c>
      <c r="J338" s="332">
        <f>SUM(C338:I338)</f>
        <v/>
      </c>
      <c r="K338" s="333">
        <f>J338/$J$506</f>
        <v/>
      </c>
    </row>
    <row r="339" hidden="1" outlineLevel="1" ht="32.25" customHeight="1">
      <c r="A339" s="48" t="n">
        <v>334</v>
      </c>
      <c r="B339" s="107" t="n"/>
      <c r="C339" s="331">
        <f>SUMIFS(DATA!$M:$M,DATA!$C:$C,$B339,DATA!$N:$N,"&gt;="&amp;DATE(C$5,1,1),DATA!$N:$N,"&lt;="&amp;DATE(C$5,12,31))</f>
        <v/>
      </c>
      <c r="D339" s="331">
        <f>SUMIFS(DATA!$M:$M,DATA!$C:$C,$B339,DATA!$N:$N,"&gt;="&amp;DATE(D$5,1,1),DATA!$N:$N,"&lt;="&amp;DATE(D$5,12,31))</f>
        <v/>
      </c>
      <c r="E339" s="331">
        <f>SUMIFS(DATA!$M:$M,DATA!$C:$C,$B339,DATA!$N:$N,"&gt;="&amp;DATE(E$5,1,1),DATA!$N:$N,"&lt;="&amp;DATE(E$5,12,31))</f>
        <v/>
      </c>
      <c r="F339" s="331">
        <f>SUMIFS(DATA!$M:$M,DATA!$C:$C,$B339,DATA!$N:$N,"&gt;="&amp;DATE(F$5,1,1),DATA!$N:$N,"&lt;="&amp;DATE(F$5,12,31))</f>
        <v/>
      </c>
      <c r="G339" s="331">
        <f>SUMIFS(DATA!$M:$M,DATA!$C:$C,$B339,DATA!$N:$N,"&gt;="&amp;DATE(G$5,1,1),DATA!$N:$N,"&lt;="&amp;DATE(G$5,12,31))</f>
        <v/>
      </c>
      <c r="H339" s="331">
        <f>SUMIFS(DATA!$M:$M,DATA!$C:$C,$B339,DATA!$N:$N,"&gt;="&amp;DATE(H$5,1,1),DATA!$N:$N,"&lt;="&amp;DATE(H$5,12,31))</f>
        <v/>
      </c>
      <c r="I339" s="331">
        <f>SUMIFS(DATA!$M:$M,DATA!$C:$C,$B339,DATA!$N:$N,"&gt;="&amp;DATE(I$5,1,1),DATA!$N:$N,"&lt;="&amp;DATE(I$5,12,31))</f>
        <v/>
      </c>
      <c r="J339" s="332">
        <f>SUM(C339:I339)</f>
        <v/>
      </c>
      <c r="K339" s="333">
        <f>J339/$J$506</f>
        <v/>
      </c>
    </row>
    <row r="340" hidden="1" outlineLevel="1" ht="32.25" customHeight="1">
      <c r="A340" s="48" t="n">
        <v>335</v>
      </c>
      <c r="B340" s="107" t="n"/>
      <c r="C340" s="331">
        <f>SUMIFS(DATA!$M:$M,DATA!$C:$C,$B340,DATA!$N:$N,"&gt;="&amp;DATE(C$5,1,1),DATA!$N:$N,"&lt;="&amp;DATE(C$5,12,31))</f>
        <v/>
      </c>
      <c r="D340" s="331">
        <f>SUMIFS(DATA!$M:$M,DATA!$C:$C,$B340,DATA!$N:$N,"&gt;="&amp;DATE(D$5,1,1),DATA!$N:$N,"&lt;="&amp;DATE(D$5,12,31))</f>
        <v/>
      </c>
      <c r="E340" s="331">
        <f>SUMIFS(DATA!$M:$M,DATA!$C:$C,$B340,DATA!$N:$N,"&gt;="&amp;DATE(E$5,1,1),DATA!$N:$N,"&lt;="&amp;DATE(E$5,12,31))</f>
        <v/>
      </c>
      <c r="F340" s="331">
        <f>SUMIFS(DATA!$M:$M,DATA!$C:$C,$B340,DATA!$N:$N,"&gt;="&amp;DATE(F$5,1,1),DATA!$N:$N,"&lt;="&amp;DATE(F$5,12,31))</f>
        <v/>
      </c>
      <c r="G340" s="331">
        <f>SUMIFS(DATA!$M:$M,DATA!$C:$C,$B340,DATA!$N:$N,"&gt;="&amp;DATE(G$5,1,1),DATA!$N:$N,"&lt;="&amp;DATE(G$5,12,31))</f>
        <v/>
      </c>
      <c r="H340" s="331">
        <f>SUMIFS(DATA!$M:$M,DATA!$C:$C,$B340,DATA!$N:$N,"&gt;="&amp;DATE(H$5,1,1),DATA!$N:$N,"&lt;="&amp;DATE(H$5,12,31))</f>
        <v/>
      </c>
      <c r="I340" s="331">
        <f>SUMIFS(DATA!$M:$M,DATA!$C:$C,$B340,DATA!$N:$N,"&gt;="&amp;DATE(I$5,1,1),DATA!$N:$N,"&lt;="&amp;DATE(I$5,12,31))</f>
        <v/>
      </c>
      <c r="J340" s="332">
        <f>SUM(C340:I340)</f>
        <v/>
      </c>
      <c r="K340" s="333">
        <f>J340/$J$506</f>
        <v/>
      </c>
    </row>
    <row r="341" hidden="1" outlineLevel="1" ht="32.25" customHeight="1">
      <c r="A341" s="48" t="n">
        <v>336</v>
      </c>
      <c r="B341" s="107" t="n"/>
      <c r="C341" s="331">
        <f>SUMIFS(DATA!$M:$M,DATA!$C:$C,$B341,DATA!$N:$N,"&gt;="&amp;DATE(C$5,1,1),DATA!$N:$N,"&lt;="&amp;DATE(C$5,12,31))</f>
        <v/>
      </c>
      <c r="D341" s="331">
        <f>SUMIFS(DATA!$M:$M,DATA!$C:$C,$B341,DATA!$N:$N,"&gt;="&amp;DATE(D$5,1,1),DATA!$N:$N,"&lt;="&amp;DATE(D$5,12,31))</f>
        <v/>
      </c>
      <c r="E341" s="331">
        <f>SUMIFS(DATA!$M:$M,DATA!$C:$C,$B341,DATA!$N:$N,"&gt;="&amp;DATE(E$5,1,1),DATA!$N:$N,"&lt;="&amp;DATE(E$5,12,31))</f>
        <v/>
      </c>
      <c r="F341" s="331">
        <f>SUMIFS(DATA!$M:$M,DATA!$C:$C,$B341,DATA!$N:$N,"&gt;="&amp;DATE(F$5,1,1),DATA!$N:$N,"&lt;="&amp;DATE(F$5,12,31))</f>
        <v/>
      </c>
      <c r="G341" s="331">
        <f>SUMIFS(DATA!$M:$M,DATA!$C:$C,$B341,DATA!$N:$N,"&gt;="&amp;DATE(G$5,1,1),DATA!$N:$N,"&lt;="&amp;DATE(G$5,12,31))</f>
        <v/>
      </c>
      <c r="H341" s="331">
        <f>SUMIFS(DATA!$M:$M,DATA!$C:$C,$B341,DATA!$N:$N,"&gt;="&amp;DATE(H$5,1,1),DATA!$N:$N,"&lt;="&amp;DATE(H$5,12,31))</f>
        <v/>
      </c>
      <c r="I341" s="331">
        <f>SUMIFS(DATA!$M:$M,DATA!$C:$C,$B341,DATA!$N:$N,"&gt;="&amp;DATE(I$5,1,1),DATA!$N:$N,"&lt;="&amp;DATE(I$5,12,31))</f>
        <v/>
      </c>
      <c r="J341" s="332">
        <f>SUM(C341:I341)</f>
        <v/>
      </c>
      <c r="K341" s="333">
        <f>J341/$J$506</f>
        <v/>
      </c>
    </row>
    <row r="342" hidden="1" outlineLevel="1" ht="32.25" customHeight="1">
      <c r="A342" s="48" t="n">
        <v>337</v>
      </c>
      <c r="B342" s="107" t="n"/>
      <c r="C342" s="331">
        <f>SUMIFS(DATA!$M:$M,DATA!$C:$C,$B342,DATA!$N:$N,"&gt;="&amp;DATE(C$5,1,1),DATA!$N:$N,"&lt;="&amp;DATE(C$5,12,31))</f>
        <v/>
      </c>
      <c r="D342" s="331">
        <f>SUMIFS(DATA!$M:$M,DATA!$C:$C,$B342,DATA!$N:$N,"&gt;="&amp;DATE(D$5,1,1),DATA!$N:$N,"&lt;="&amp;DATE(D$5,12,31))</f>
        <v/>
      </c>
      <c r="E342" s="331">
        <f>SUMIFS(DATA!$M:$M,DATA!$C:$C,$B342,DATA!$N:$N,"&gt;="&amp;DATE(E$5,1,1),DATA!$N:$N,"&lt;="&amp;DATE(E$5,12,31))</f>
        <v/>
      </c>
      <c r="F342" s="331">
        <f>SUMIFS(DATA!$M:$M,DATA!$C:$C,$B342,DATA!$N:$N,"&gt;="&amp;DATE(F$5,1,1),DATA!$N:$N,"&lt;="&amp;DATE(F$5,12,31))</f>
        <v/>
      </c>
      <c r="G342" s="331">
        <f>SUMIFS(DATA!$M:$M,DATA!$C:$C,$B342,DATA!$N:$N,"&gt;="&amp;DATE(G$5,1,1),DATA!$N:$N,"&lt;="&amp;DATE(G$5,12,31))</f>
        <v/>
      </c>
      <c r="H342" s="331">
        <f>SUMIFS(DATA!$M:$M,DATA!$C:$C,$B342,DATA!$N:$N,"&gt;="&amp;DATE(H$5,1,1),DATA!$N:$N,"&lt;="&amp;DATE(H$5,12,31))</f>
        <v/>
      </c>
      <c r="I342" s="331">
        <f>SUMIFS(DATA!$M:$M,DATA!$C:$C,$B342,DATA!$N:$N,"&gt;="&amp;DATE(I$5,1,1),DATA!$N:$N,"&lt;="&amp;DATE(I$5,12,31))</f>
        <v/>
      </c>
      <c r="J342" s="332">
        <f>SUM(C342:I342)</f>
        <v/>
      </c>
      <c r="K342" s="333">
        <f>J342/$J$506</f>
        <v/>
      </c>
    </row>
    <row r="343" hidden="1" outlineLevel="1" ht="32.25" customHeight="1">
      <c r="A343" s="48" t="n">
        <v>338</v>
      </c>
      <c r="B343" s="107" t="n"/>
      <c r="C343" s="331">
        <f>SUMIFS(DATA!$M:$M,DATA!$C:$C,$B343,DATA!$N:$N,"&gt;="&amp;DATE(C$5,1,1),DATA!$N:$N,"&lt;="&amp;DATE(C$5,12,31))</f>
        <v/>
      </c>
      <c r="D343" s="331">
        <f>SUMIFS(DATA!$M:$M,DATA!$C:$C,$B343,DATA!$N:$N,"&gt;="&amp;DATE(D$5,1,1),DATA!$N:$N,"&lt;="&amp;DATE(D$5,12,31))</f>
        <v/>
      </c>
      <c r="E343" s="331">
        <f>SUMIFS(DATA!$M:$M,DATA!$C:$C,$B343,DATA!$N:$N,"&gt;="&amp;DATE(E$5,1,1),DATA!$N:$N,"&lt;="&amp;DATE(E$5,12,31))</f>
        <v/>
      </c>
      <c r="F343" s="331">
        <f>SUMIFS(DATA!$M:$M,DATA!$C:$C,$B343,DATA!$N:$N,"&gt;="&amp;DATE(F$5,1,1),DATA!$N:$N,"&lt;="&amp;DATE(F$5,12,31))</f>
        <v/>
      </c>
      <c r="G343" s="331">
        <f>SUMIFS(DATA!$M:$M,DATA!$C:$C,$B343,DATA!$N:$N,"&gt;="&amp;DATE(G$5,1,1),DATA!$N:$N,"&lt;="&amp;DATE(G$5,12,31))</f>
        <v/>
      </c>
      <c r="H343" s="331">
        <f>SUMIFS(DATA!$M:$M,DATA!$C:$C,$B343,DATA!$N:$N,"&gt;="&amp;DATE(H$5,1,1),DATA!$N:$N,"&lt;="&amp;DATE(H$5,12,31))</f>
        <v/>
      </c>
      <c r="I343" s="331">
        <f>SUMIFS(DATA!$M:$M,DATA!$C:$C,$B343,DATA!$N:$N,"&gt;="&amp;DATE(I$5,1,1),DATA!$N:$N,"&lt;="&amp;DATE(I$5,12,31))</f>
        <v/>
      </c>
      <c r="J343" s="332">
        <f>SUM(C343:I343)</f>
        <v/>
      </c>
      <c r="K343" s="333">
        <f>J343/$J$506</f>
        <v/>
      </c>
    </row>
    <row r="344" hidden="1" outlineLevel="1" ht="32.25" customHeight="1">
      <c r="A344" s="48" t="n">
        <v>339</v>
      </c>
      <c r="B344" s="107" t="n"/>
      <c r="C344" s="331">
        <f>SUMIFS(DATA!$M:$M,DATA!$C:$C,$B344,DATA!$N:$N,"&gt;="&amp;DATE(C$5,1,1),DATA!$N:$N,"&lt;="&amp;DATE(C$5,12,31))</f>
        <v/>
      </c>
      <c r="D344" s="331">
        <f>SUMIFS(DATA!$M:$M,DATA!$C:$C,$B344,DATA!$N:$N,"&gt;="&amp;DATE(D$5,1,1),DATA!$N:$N,"&lt;="&amp;DATE(D$5,12,31))</f>
        <v/>
      </c>
      <c r="E344" s="331">
        <f>SUMIFS(DATA!$M:$M,DATA!$C:$C,$B344,DATA!$N:$N,"&gt;="&amp;DATE(E$5,1,1),DATA!$N:$N,"&lt;="&amp;DATE(E$5,12,31))</f>
        <v/>
      </c>
      <c r="F344" s="331">
        <f>SUMIFS(DATA!$M:$M,DATA!$C:$C,$B344,DATA!$N:$N,"&gt;="&amp;DATE(F$5,1,1),DATA!$N:$N,"&lt;="&amp;DATE(F$5,12,31))</f>
        <v/>
      </c>
      <c r="G344" s="331">
        <f>SUMIFS(DATA!$M:$M,DATA!$C:$C,$B344,DATA!$N:$N,"&gt;="&amp;DATE(G$5,1,1),DATA!$N:$N,"&lt;="&amp;DATE(G$5,12,31))</f>
        <v/>
      </c>
      <c r="H344" s="331">
        <f>SUMIFS(DATA!$M:$M,DATA!$C:$C,$B344,DATA!$N:$N,"&gt;="&amp;DATE(H$5,1,1),DATA!$N:$N,"&lt;="&amp;DATE(H$5,12,31))</f>
        <v/>
      </c>
      <c r="I344" s="331">
        <f>SUMIFS(DATA!$M:$M,DATA!$C:$C,$B344,DATA!$N:$N,"&gt;="&amp;DATE(I$5,1,1),DATA!$N:$N,"&lt;="&amp;DATE(I$5,12,31))</f>
        <v/>
      </c>
      <c r="J344" s="332">
        <f>SUM(C344:I344)</f>
        <v/>
      </c>
      <c r="K344" s="333">
        <f>J344/$J$506</f>
        <v/>
      </c>
    </row>
    <row r="345" hidden="1" outlineLevel="1" ht="32.25" customHeight="1">
      <c r="A345" s="48" t="n">
        <v>340</v>
      </c>
      <c r="B345" s="107" t="n"/>
      <c r="C345" s="331">
        <f>SUMIFS(DATA!$M:$M,DATA!$C:$C,$B345,DATA!$N:$N,"&gt;="&amp;DATE(C$5,1,1),DATA!$N:$N,"&lt;="&amp;DATE(C$5,12,31))</f>
        <v/>
      </c>
      <c r="D345" s="331">
        <f>SUMIFS(DATA!$M:$M,DATA!$C:$C,$B345,DATA!$N:$N,"&gt;="&amp;DATE(D$5,1,1),DATA!$N:$N,"&lt;="&amp;DATE(D$5,12,31))</f>
        <v/>
      </c>
      <c r="E345" s="331">
        <f>SUMIFS(DATA!$M:$M,DATA!$C:$C,$B345,DATA!$N:$N,"&gt;="&amp;DATE(E$5,1,1),DATA!$N:$N,"&lt;="&amp;DATE(E$5,12,31))</f>
        <v/>
      </c>
      <c r="F345" s="331">
        <f>SUMIFS(DATA!$M:$M,DATA!$C:$C,$B345,DATA!$N:$N,"&gt;="&amp;DATE(F$5,1,1),DATA!$N:$N,"&lt;="&amp;DATE(F$5,12,31))</f>
        <v/>
      </c>
      <c r="G345" s="331">
        <f>SUMIFS(DATA!$M:$M,DATA!$C:$C,$B345,DATA!$N:$N,"&gt;="&amp;DATE(G$5,1,1),DATA!$N:$N,"&lt;="&amp;DATE(G$5,12,31))</f>
        <v/>
      </c>
      <c r="H345" s="331">
        <f>SUMIFS(DATA!$M:$M,DATA!$C:$C,$B345,DATA!$N:$N,"&gt;="&amp;DATE(H$5,1,1),DATA!$N:$N,"&lt;="&amp;DATE(H$5,12,31))</f>
        <v/>
      </c>
      <c r="I345" s="331">
        <f>SUMIFS(DATA!$M:$M,DATA!$C:$C,$B345,DATA!$N:$N,"&gt;="&amp;DATE(I$5,1,1),DATA!$N:$N,"&lt;="&amp;DATE(I$5,12,31))</f>
        <v/>
      </c>
      <c r="J345" s="332">
        <f>SUM(C345:I345)</f>
        <v/>
      </c>
      <c r="K345" s="333">
        <f>J345/$J$506</f>
        <v/>
      </c>
    </row>
    <row r="346" hidden="1" outlineLevel="1" ht="32.25" customHeight="1">
      <c r="A346" s="48" t="n">
        <v>341</v>
      </c>
      <c r="B346" s="107" t="n"/>
      <c r="C346" s="331">
        <f>SUMIFS(DATA!$M:$M,DATA!$C:$C,$B346,DATA!$N:$N,"&gt;="&amp;DATE(C$5,1,1),DATA!$N:$N,"&lt;="&amp;DATE(C$5,12,31))</f>
        <v/>
      </c>
      <c r="D346" s="331">
        <f>SUMIFS(DATA!$M:$M,DATA!$C:$C,$B346,DATA!$N:$N,"&gt;="&amp;DATE(D$5,1,1),DATA!$N:$N,"&lt;="&amp;DATE(D$5,12,31))</f>
        <v/>
      </c>
      <c r="E346" s="331">
        <f>SUMIFS(DATA!$M:$M,DATA!$C:$C,$B346,DATA!$N:$N,"&gt;="&amp;DATE(E$5,1,1),DATA!$N:$N,"&lt;="&amp;DATE(E$5,12,31))</f>
        <v/>
      </c>
      <c r="F346" s="331">
        <f>SUMIFS(DATA!$M:$M,DATA!$C:$C,$B346,DATA!$N:$N,"&gt;="&amp;DATE(F$5,1,1),DATA!$N:$N,"&lt;="&amp;DATE(F$5,12,31))</f>
        <v/>
      </c>
      <c r="G346" s="331">
        <f>SUMIFS(DATA!$M:$M,DATA!$C:$C,$B346,DATA!$N:$N,"&gt;="&amp;DATE(G$5,1,1),DATA!$N:$N,"&lt;="&amp;DATE(G$5,12,31))</f>
        <v/>
      </c>
      <c r="H346" s="331">
        <f>SUMIFS(DATA!$M:$M,DATA!$C:$C,$B346,DATA!$N:$N,"&gt;="&amp;DATE(H$5,1,1),DATA!$N:$N,"&lt;="&amp;DATE(H$5,12,31))</f>
        <v/>
      </c>
      <c r="I346" s="331">
        <f>SUMIFS(DATA!$M:$M,DATA!$C:$C,$B346,DATA!$N:$N,"&gt;="&amp;DATE(I$5,1,1),DATA!$N:$N,"&lt;="&amp;DATE(I$5,12,31))</f>
        <v/>
      </c>
      <c r="J346" s="332">
        <f>SUM(C346:I346)</f>
        <v/>
      </c>
      <c r="K346" s="333">
        <f>J346/$J$506</f>
        <v/>
      </c>
    </row>
    <row r="347" hidden="1" outlineLevel="1" ht="32.25" customHeight="1">
      <c r="A347" s="48" t="n">
        <v>342</v>
      </c>
      <c r="B347" s="107" t="n"/>
      <c r="C347" s="331">
        <f>SUMIFS(DATA!$M:$M,DATA!$C:$C,$B347,DATA!$N:$N,"&gt;="&amp;DATE(C$5,1,1),DATA!$N:$N,"&lt;="&amp;DATE(C$5,12,31))</f>
        <v/>
      </c>
      <c r="D347" s="331">
        <f>SUMIFS(DATA!$M:$M,DATA!$C:$C,$B347,DATA!$N:$N,"&gt;="&amp;DATE(D$5,1,1),DATA!$N:$N,"&lt;="&amp;DATE(D$5,12,31))</f>
        <v/>
      </c>
      <c r="E347" s="331">
        <f>SUMIFS(DATA!$M:$M,DATA!$C:$C,$B347,DATA!$N:$N,"&gt;="&amp;DATE(E$5,1,1),DATA!$N:$N,"&lt;="&amp;DATE(E$5,12,31))</f>
        <v/>
      </c>
      <c r="F347" s="331">
        <f>SUMIFS(DATA!$M:$M,DATA!$C:$C,$B347,DATA!$N:$N,"&gt;="&amp;DATE(F$5,1,1),DATA!$N:$N,"&lt;="&amp;DATE(F$5,12,31))</f>
        <v/>
      </c>
      <c r="G347" s="331">
        <f>SUMIFS(DATA!$M:$M,DATA!$C:$C,$B347,DATA!$N:$N,"&gt;="&amp;DATE(G$5,1,1),DATA!$N:$N,"&lt;="&amp;DATE(G$5,12,31))</f>
        <v/>
      </c>
      <c r="H347" s="331">
        <f>SUMIFS(DATA!$M:$M,DATA!$C:$C,$B347,DATA!$N:$N,"&gt;="&amp;DATE(H$5,1,1),DATA!$N:$N,"&lt;="&amp;DATE(H$5,12,31))</f>
        <v/>
      </c>
      <c r="I347" s="331">
        <f>SUMIFS(DATA!$M:$M,DATA!$C:$C,$B347,DATA!$N:$N,"&gt;="&amp;DATE(I$5,1,1),DATA!$N:$N,"&lt;="&amp;DATE(I$5,12,31))</f>
        <v/>
      </c>
      <c r="J347" s="332">
        <f>SUM(C347:I347)</f>
        <v/>
      </c>
      <c r="K347" s="333">
        <f>J347/$J$506</f>
        <v/>
      </c>
    </row>
    <row r="348" hidden="1" outlineLevel="1" ht="32.25" customHeight="1">
      <c r="A348" s="48" t="n">
        <v>343</v>
      </c>
      <c r="B348" s="107" t="n"/>
      <c r="C348" s="331">
        <f>SUMIFS(DATA!$M:$M,DATA!$C:$C,$B348,DATA!$N:$N,"&gt;="&amp;DATE(C$5,1,1),DATA!$N:$N,"&lt;="&amp;DATE(C$5,12,31))</f>
        <v/>
      </c>
      <c r="D348" s="331">
        <f>SUMIFS(DATA!$M:$M,DATA!$C:$C,$B348,DATA!$N:$N,"&gt;="&amp;DATE(D$5,1,1),DATA!$N:$N,"&lt;="&amp;DATE(D$5,12,31))</f>
        <v/>
      </c>
      <c r="E348" s="331">
        <f>SUMIFS(DATA!$M:$M,DATA!$C:$C,$B348,DATA!$N:$N,"&gt;="&amp;DATE(E$5,1,1),DATA!$N:$N,"&lt;="&amp;DATE(E$5,12,31))</f>
        <v/>
      </c>
      <c r="F348" s="331">
        <f>SUMIFS(DATA!$M:$M,DATA!$C:$C,$B348,DATA!$N:$N,"&gt;="&amp;DATE(F$5,1,1),DATA!$N:$N,"&lt;="&amp;DATE(F$5,12,31))</f>
        <v/>
      </c>
      <c r="G348" s="331">
        <f>SUMIFS(DATA!$M:$M,DATA!$C:$C,$B348,DATA!$N:$N,"&gt;="&amp;DATE(G$5,1,1),DATA!$N:$N,"&lt;="&amp;DATE(G$5,12,31))</f>
        <v/>
      </c>
      <c r="H348" s="331">
        <f>SUMIFS(DATA!$M:$M,DATA!$C:$C,$B348,DATA!$N:$N,"&gt;="&amp;DATE(H$5,1,1),DATA!$N:$N,"&lt;="&amp;DATE(H$5,12,31))</f>
        <v/>
      </c>
      <c r="I348" s="331">
        <f>SUMIFS(DATA!$M:$M,DATA!$C:$C,$B348,DATA!$N:$N,"&gt;="&amp;DATE(I$5,1,1),DATA!$N:$N,"&lt;="&amp;DATE(I$5,12,31))</f>
        <v/>
      </c>
      <c r="J348" s="332">
        <f>SUM(C348:I348)</f>
        <v/>
      </c>
      <c r="K348" s="333">
        <f>J348/$J$506</f>
        <v/>
      </c>
    </row>
    <row r="349" hidden="1" outlineLevel="1" ht="32.25" customHeight="1">
      <c r="A349" s="48" t="n">
        <v>344</v>
      </c>
      <c r="B349" s="107" t="n"/>
      <c r="C349" s="331">
        <f>SUMIFS(DATA!$M:$M,DATA!$C:$C,$B349,DATA!$N:$N,"&gt;="&amp;DATE(C$5,1,1),DATA!$N:$N,"&lt;="&amp;DATE(C$5,12,31))</f>
        <v/>
      </c>
      <c r="D349" s="331">
        <f>SUMIFS(DATA!$M:$M,DATA!$C:$C,$B349,DATA!$N:$N,"&gt;="&amp;DATE(D$5,1,1),DATA!$N:$N,"&lt;="&amp;DATE(D$5,12,31))</f>
        <v/>
      </c>
      <c r="E349" s="331">
        <f>SUMIFS(DATA!$M:$M,DATA!$C:$C,$B349,DATA!$N:$N,"&gt;="&amp;DATE(E$5,1,1),DATA!$N:$N,"&lt;="&amp;DATE(E$5,12,31))</f>
        <v/>
      </c>
      <c r="F349" s="331">
        <f>SUMIFS(DATA!$M:$M,DATA!$C:$C,$B349,DATA!$N:$N,"&gt;="&amp;DATE(F$5,1,1),DATA!$N:$N,"&lt;="&amp;DATE(F$5,12,31))</f>
        <v/>
      </c>
      <c r="G349" s="331">
        <f>SUMIFS(DATA!$M:$M,DATA!$C:$C,$B349,DATA!$N:$N,"&gt;="&amp;DATE(G$5,1,1),DATA!$N:$N,"&lt;="&amp;DATE(G$5,12,31))</f>
        <v/>
      </c>
      <c r="H349" s="331">
        <f>SUMIFS(DATA!$M:$M,DATA!$C:$C,$B349,DATA!$N:$N,"&gt;="&amp;DATE(H$5,1,1),DATA!$N:$N,"&lt;="&amp;DATE(H$5,12,31))</f>
        <v/>
      </c>
      <c r="I349" s="331">
        <f>SUMIFS(DATA!$M:$M,DATA!$C:$C,$B349,DATA!$N:$N,"&gt;="&amp;DATE(I$5,1,1),DATA!$N:$N,"&lt;="&amp;DATE(I$5,12,31))</f>
        <v/>
      </c>
      <c r="J349" s="332">
        <f>SUM(C349:I349)</f>
        <v/>
      </c>
      <c r="K349" s="333">
        <f>J349/$J$506</f>
        <v/>
      </c>
    </row>
    <row r="350" hidden="1" outlineLevel="1" ht="32.25" customHeight="1">
      <c r="A350" s="48" t="n">
        <v>345</v>
      </c>
      <c r="B350" s="107" t="n"/>
      <c r="C350" s="331">
        <f>SUMIFS(DATA!$M:$M,DATA!$C:$C,$B350,DATA!$N:$N,"&gt;="&amp;DATE(C$5,1,1),DATA!$N:$N,"&lt;="&amp;DATE(C$5,12,31))</f>
        <v/>
      </c>
      <c r="D350" s="331">
        <f>SUMIFS(DATA!$M:$M,DATA!$C:$C,$B350,DATA!$N:$N,"&gt;="&amp;DATE(D$5,1,1),DATA!$N:$N,"&lt;="&amp;DATE(D$5,12,31))</f>
        <v/>
      </c>
      <c r="E350" s="331">
        <f>SUMIFS(DATA!$M:$M,DATA!$C:$C,$B350,DATA!$N:$N,"&gt;="&amp;DATE(E$5,1,1),DATA!$N:$N,"&lt;="&amp;DATE(E$5,12,31))</f>
        <v/>
      </c>
      <c r="F350" s="331">
        <f>SUMIFS(DATA!$M:$M,DATA!$C:$C,$B350,DATA!$N:$N,"&gt;="&amp;DATE(F$5,1,1),DATA!$N:$N,"&lt;="&amp;DATE(F$5,12,31))</f>
        <v/>
      </c>
      <c r="G350" s="331">
        <f>SUMIFS(DATA!$M:$M,DATA!$C:$C,$B350,DATA!$N:$N,"&gt;="&amp;DATE(G$5,1,1),DATA!$N:$N,"&lt;="&amp;DATE(G$5,12,31))</f>
        <v/>
      </c>
      <c r="H350" s="331">
        <f>SUMIFS(DATA!$M:$M,DATA!$C:$C,$B350,DATA!$N:$N,"&gt;="&amp;DATE(H$5,1,1),DATA!$N:$N,"&lt;="&amp;DATE(H$5,12,31))</f>
        <v/>
      </c>
      <c r="I350" s="331">
        <f>SUMIFS(DATA!$M:$M,DATA!$C:$C,$B350,DATA!$N:$N,"&gt;="&amp;DATE(I$5,1,1),DATA!$N:$N,"&lt;="&amp;DATE(I$5,12,31))</f>
        <v/>
      </c>
      <c r="J350" s="332">
        <f>SUM(C350:I350)</f>
        <v/>
      </c>
      <c r="K350" s="333">
        <f>J350/$J$506</f>
        <v/>
      </c>
    </row>
    <row r="351" hidden="1" outlineLevel="1" ht="32.25" customHeight="1">
      <c r="A351" s="48" t="n">
        <v>346</v>
      </c>
      <c r="B351" s="107" t="n"/>
      <c r="C351" s="331">
        <f>SUMIFS(DATA!$M:$M,DATA!$C:$C,$B351,DATA!$N:$N,"&gt;="&amp;DATE(C$5,1,1),DATA!$N:$N,"&lt;="&amp;DATE(C$5,12,31))</f>
        <v/>
      </c>
      <c r="D351" s="331">
        <f>SUMIFS(DATA!$M:$M,DATA!$C:$C,$B351,DATA!$N:$N,"&gt;="&amp;DATE(D$5,1,1),DATA!$N:$N,"&lt;="&amp;DATE(D$5,12,31))</f>
        <v/>
      </c>
      <c r="E351" s="331">
        <f>SUMIFS(DATA!$M:$M,DATA!$C:$C,$B351,DATA!$N:$N,"&gt;="&amp;DATE(E$5,1,1),DATA!$N:$N,"&lt;="&amp;DATE(E$5,12,31))</f>
        <v/>
      </c>
      <c r="F351" s="331">
        <f>SUMIFS(DATA!$M:$M,DATA!$C:$C,$B351,DATA!$N:$N,"&gt;="&amp;DATE(F$5,1,1),DATA!$N:$N,"&lt;="&amp;DATE(F$5,12,31))</f>
        <v/>
      </c>
      <c r="G351" s="331">
        <f>SUMIFS(DATA!$M:$M,DATA!$C:$C,$B351,DATA!$N:$N,"&gt;="&amp;DATE(G$5,1,1),DATA!$N:$N,"&lt;="&amp;DATE(G$5,12,31))</f>
        <v/>
      </c>
      <c r="H351" s="331">
        <f>SUMIFS(DATA!$M:$M,DATA!$C:$C,$B351,DATA!$N:$N,"&gt;="&amp;DATE(H$5,1,1),DATA!$N:$N,"&lt;="&amp;DATE(H$5,12,31))</f>
        <v/>
      </c>
      <c r="I351" s="331">
        <f>SUMIFS(DATA!$M:$M,DATA!$C:$C,$B351,DATA!$N:$N,"&gt;="&amp;DATE(I$5,1,1),DATA!$N:$N,"&lt;="&amp;DATE(I$5,12,31))</f>
        <v/>
      </c>
      <c r="J351" s="332">
        <f>SUM(C351:I351)</f>
        <v/>
      </c>
      <c r="K351" s="333">
        <f>J351/$J$506</f>
        <v/>
      </c>
    </row>
    <row r="352" hidden="1" outlineLevel="1" ht="32.25" customHeight="1">
      <c r="A352" s="48" t="n">
        <v>347</v>
      </c>
      <c r="B352" s="107" t="n"/>
      <c r="C352" s="331">
        <f>SUMIFS(DATA!$M:$M,DATA!$C:$C,$B352,DATA!$N:$N,"&gt;="&amp;DATE(C$5,1,1),DATA!$N:$N,"&lt;="&amp;DATE(C$5,12,31))</f>
        <v/>
      </c>
      <c r="D352" s="331">
        <f>SUMIFS(DATA!$M:$M,DATA!$C:$C,$B352,DATA!$N:$N,"&gt;="&amp;DATE(D$5,1,1),DATA!$N:$N,"&lt;="&amp;DATE(D$5,12,31))</f>
        <v/>
      </c>
      <c r="E352" s="331">
        <f>SUMIFS(DATA!$M:$M,DATA!$C:$C,$B352,DATA!$N:$N,"&gt;="&amp;DATE(E$5,1,1),DATA!$N:$N,"&lt;="&amp;DATE(E$5,12,31))</f>
        <v/>
      </c>
      <c r="F352" s="331">
        <f>SUMIFS(DATA!$M:$M,DATA!$C:$C,$B352,DATA!$N:$N,"&gt;="&amp;DATE(F$5,1,1),DATA!$N:$N,"&lt;="&amp;DATE(F$5,12,31))</f>
        <v/>
      </c>
      <c r="G352" s="331">
        <f>SUMIFS(DATA!$M:$M,DATA!$C:$C,$B352,DATA!$N:$N,"&gt;="&amp;DATE(G$5,1,1),DATA!$N:$N,"&lt;="&amp;DATE(G$5,12,31))</f>
        <v/>
      </c>
      <c r="H352" s="331">
        <f>SUMIFS(DATA!$M:$M,DATA!$C:$C,$B352,DATA!$N:$N,"&gt;="&amp;DATE(H$5,1,1),DATA!$N:$N,"&lt;="&amp;DATE(H$5,12,31))</f>
        <v/>
      </c>
      <c r="I352" s="331">
        <f>SUMIFS(DATA!$M:$M,DATA!$C:$C,$B352,DATA!$N:$N,"&gt;="&amp;DATE(I$5,1,1),DATA!$N:$N,"&lt;="&amp;DATE(I$5,12,31))</f>
        <v/>
      </c>
      <c r="J352" s="332">
        <f>SUM(C352:I352)</f>
        <v/>
      </c>
      <c r="K352" s="333">
        <f>J352/$J$506</f>
        <v/>
      </c>
    </row>
    <row r="353" hidden="1" outlineLevel="1" ht="32.25" customHeight="1">
      <c r="A353" s="48" t="n">
        <v>348</v>
      </c>
      <c r="B353" s="107" t="n"/>
      <c r="C353" s="331">
        <f>SUMIFS(DATA!$M:$M,DATA!$C:$C,$B353,DATA!$N:$N,"&gt;="&amp;DATE(C$5,1,1),DATA!$N:$N,"&lt;="&amp;DATE(C$5,12,31))</f>
        <v/>
      </c>
      <c r="D353" s="331">
        <f>SUMIFS(DATA!$M:$M,DATA!$C:$C,$B353,DATA!$N:$N,"&gt;="&amp;DATE(D$5,1,1),DATA!$N:$N,"&lt;="&amp;DATE(D$5,12,31))</f>
        <v/>
      </c>
      <c r="E353" s="331">
        <f>SUMIFS(DATA!$M:$M,DATA!$C:$C,$B353,DATA!$N:$N,"&gt;="&amp;DATE(E$5,1,1),DATA!$N:$N,"&lt;="&amp;DATE(E$5,12,31))</f>
        <v/>
      </c>
      <c r="F353" s="331">
        <f>SUMIFS(DATA!$M:$M,DATA!$C:$C,$B353,DATA!$N:$N,"&gt;="&amp;DATE(F$5,1,1),DATA!$N:$N,"&lt;="&amp;DATE(F$5,12,31))</f>
        <v/>
      </c>
      <c r="G353" s="331">
        <f>SUMIFS(DATA!$M:$M,DATA!$C:$C,$B353,DATA!$N:$N,"&gt;="&amp;DATE(G$5,1,1),DATA!$N:$N,"&lt;="&amp;DATE(G$5,12,31))</f>
        <v/>
      </c>
      <c r="H353" s="331">
        <f>SUMIFS(DATA!$M:$M,DATA!$C:$C,$B353,DATA!$N:$N,"&gt;="&amp;DATE(H$5,1,1),DATA!$N:$N,"&lt;="&amp;DATE(H$5,12,31))</f>
        <v/>
      </c>
      <c r="I353" s="331">
        <f>SUMIFS(DATA!$M:$M,DATA!$C:$C,$B353,DATA!$N:$N,"&gt;="&amp;DATE(I$5,1,1),DATA!$N:$N,"&lt;="&amp;DATE(I$5,12,31))</f>
        <v/>
      </c>
      <c r="J353" s="332">
        <f>SUM(C353:I353)</f>
        <v/>
      </c>
      <c r="K353" s="333">
        <f>J353/$J$506</f>
        <v/>
      </c>
    </row>
    <row r="354" hidden="1" outlineLevel="1" ht="32.25" customHeight="1">
      <c r="A354" s="48" t="n">
        <v>349</v>
      </c>
      <c r="B354" s="107" t="n"/>
      <c r="C354" s="331">
        <f>SUMIFS(DATA!$M:$M,DATA!$C:$C,$B354,DATA!$N:$N,"&gt;="&amp;DATE(C$5,1,1),DATA!$N:$N,"&lt;="&amp;DATE(C$5,12,31))</f>
        <v/>
      </c>
      <c r="D354" s="331">
        <f>SUMIFS(DATA!$M:$M,DATA!$C:$C,$B354,DATA!$N:$N,"&gt;="&amp;DATE(D$5,1,1),DATA!$N:$N,"&lt;="&amp;DATE(D$5,12,31))</f>
        <v/>
      </c>
      <c r="E354" s="331">
        <f>SUMIFS(DATA!$M:$M,DATA!$C:$C,$B354,DATA!$N:$N,"&gt;="&amp;DATE(E$5,1,1),DATA!$N:$N,"&lt;="&amp;DATE(E$5,12,31))</f>
        <v/>
      </c>
      <c r="F354" s="331">
        <f>SUMIFS(DATA!$M:$M,DATA!$C:$C,$B354,DATA!$N:$N,"&gt;="&amp;DATE(F$5,1,1),DATA!$N:$N,"&lt;="&amp;DATE(F$5,12,31))</f>
        <v/>
      </c>
      <c r="G354" s="331">
        <f>SUMIFS(DATA!$M:$M,DATA!$C:$C,$B354,DATA!$N:$N,"&gt;="&amp;DATE(G$5,1,1),DATA!$N:$N,"&lt;="&amp;DATE(G$5,12,31))</f>
        <v/>
      </c>
      <c r="H354" s="331">
        <f>SUMIFS(DATA!$M:$M,DATA!$C:$C,$B354,DATA!$N:$N,"&gt;="&amp;DATE(H$5,1,1),DATA!$N:$N,"&lt;="&amp;DATE(H$5,12,31))</f>
        <v/>
      </c>
      <c r="I354" s="331">
        <f>SUMIFS(DATA!$M:$M,DATA!$C:$C,$B354,DATA!$N:$N,"&gt;="&amp;DATE(I$5,1,1),DATA!$N:$N,"&lt;="&amp;DATE(I$5,12,31))</f>
        <v/>
      </c>
      <c r="J354" s="332">
        <f>SUM(C354:I354)</f>
        <v/>
      </c>
      <c r="K354" s="333">
        <f>J354/$J$506</f>
        <v/>
      </c>
    </row>
    <row r="355" hidden="1" outlineLevel="1" ht="32.25" customHeight="1">
      <c r="A355" s="48" t="n">
        <v>350</v>
      </c>
      <c r="B355" s="107" t="n"/>
      <c r="C355" s="331">
        <f>SUMIFS(DATA!$M:$M,DATA!$C:$C,$B355,DATA!$N:$N,"&gt;="&amp;DATE(C$5,1,1),DATA!$N:$N,"&lt;="&amp;DATE(C$5,12,31))</f>
        <v/>
      </c>
      <c r="D355" s="331">
        <f>SUMIFS(DATA!$M:$M,DATA!$C:$C,$B355,DATA!$N:$N,"&gt;="&amp;DATE(D$5,1,1),DATA!$N:$N,"&lt;="&amp;DATE(D$5,12,31))</f>
        <v/>
      </c>
      <c r="E355" s="331">
        <f>SUMIFS(DATA!$M:$M,DATA!$C:$C,$B355,DATA!$N:$N,"&gt;="&amp;DATE(E$5,1,1),DATA!$N:$N,"&lt;="&amp;DATE(E$5,12,31))</f>
        <v/>
      </c>
      <c r="F355" s="331">
        <f>SUMIFS(DATA!$M:$M,DATA!$C:$C,$B355,DATA!$N:$N,"&gt;="&amp;DATE(F$5,1,1),DATA!$N:$N,"&lt;="&amp;DATE(F$5,12,31))</f>
        <v/>
      </c>
      <c r="G355" s="331">
        <f>SUMIFS(DATA!$M:$M,DATA!$C:$C,$B355,DATA!$N:$N,"&gt;="&amp;DATE(G$5,1,1),DATA!$N:$N,"&lt;="&amp;DATE(G$5,12,31))</f>
        <v/>
      </c>
      <c r="H355" s="331">
        <f>SUMIFS(DATA!$M:$M,DATA!$C:$C,$B355,DATA!$N:$N,"&gt;="&amp;DATE(H$5,1,1),DATA!$N:$N,"&lt;="&amp;DATE(H$5,12,31))</f>
        <v/>
      </c>
      <c r="I355" s="331">
        <f>SUMIFS(DATA!$M:$M,DATA!$C:$C,$B355,DATA!$N:$N,"&gt;="&amp;DATE(I$5,1,1),DATA!$N:$N,"&lt;="&amp;DATE(I$5,12,31))</f>
        <v/>
      </c>
      <c r="J355" s="332">
        <f>SUM(C355:I355)</f>
        <v/>
      </c>
      <c r="K355" s="333">
        <f>J355/$J$506</f>
        <v/>
      </c>
    </row>
    <row r="356" hidden="1" outlineLevel="1" ht="32.25" customHeight="1">
      <c r="A356" s="48" t="n">
        <v>351</v>
      </c>
      <c r="B356" s="107" t="n"/>
      <c r="C356" s="331">
        <f>SUMIFS(DATA!$M:$M,DATA!$C:$C,$B356,DATA!$N:$N,"&gt;="&amp;DATE(C$5,1,1),DATA!$N:$N,"&lt;="&amp;DATE(C$5,12,31))</f>
        <v/>
      </c>
      <c r="D356" s="331">
        <f>SUMIFS(DATA!$M:$M,DATA!$C:$C,$B356,DATA!$N:$N,"&gt;="&amp;DATE(D$5,1,1),DATA!$N:$N,"&lt;="&amp;DATE(D$5,12,31))</f>
        <v/>
      </c>
      <c r="E356" s="331">
        <f>SUMIFS(DATA!$M:$M,DATA!$C:$C,$B356,DATA!$N:$N,"&gt;="&amp;DATE(E$5,1,1),DATA!$N:$N,"&lt;="&amp;DATE(E$5,12,31))</f>
        <v/>
      </c>
      <c r="F356" s="331">
        <f>SUMIFS(DATA!$M:$M,DATA!$C:$C,$B356,DATA!$N:$N,"&gt;="&amp;DATE(F$5,1,1),DATA!$N:$N,"&lt;="&amp;DATE(F$5,12,31))</f>
        <v/>
      </c>
      <c r="G356" s="331">
        <f>SUMIFS(DATA!$M:$M,DATA!$C:$C,$B356,DATA!$N:$N,"&gt;="&amp;DATE(G$5,1,1),DATA!$N:$N,"&lt;="&amp;DATE(G$5,12,31))</f>
        <v/>
      </c>
      <c r="H356" s="331">
        <f>SUMIFS(DATA!$M:$M,DATA!$C:$C,$B356,DATA!$N:$N,"&gt;="&amp;DATE(H$5,1,1),DATA!$N:$N,"&lt;="&amp;DATE(H$5,12,31))</f>
        <v/>
      </c>
      <c r="I356" s="331">
        <f>SUMIFS(DATA!$M:$M,DATA!$C:$C,$B356,DATA!$N:$N,"&gt;="&amp;DATE(I$5,1,1),DATA!$N:$N,"&lt;="&amp;DATE(I$5,12,31))</f>
        <v/>
      </c>
      <c r="J356" s="332">
        <f>SUM(C356:I356)</f>
        <v/>
      </c>
      <c r="K356" s="333">
        <f>J356/$J$506</f>
        <v/>
      </c>
    </row>
    <row r="357" hidden="1" outlineLevel="1" ht="32.25" customHeight="1">
      <c r="A357" s="48" t="n">
        <v>352</v>
      </c>
      <c r="B357" s="107" t="n"/>
      <c r="C357" s="331">
        <f>SUMIFS(DATA!$M:$M,DATA!$C:$C,$B357,DATA!$N:$N,"&gt;="&amp;DATE(C$5,1,1),DATA!$N:$N,"&lt;="&amp;DATE(C$5,12,31))</f>
        <v/>
      </c>
      <c r="D357" s="331">
        <f>SUMIFS(DATA!$M:$M,DATA!$C:$C,$B357,DATA!$N:$N,"&gt;="&amp;DATE(D$5,1,1),DATA!$N:$N,"&lt;="&amp;DATE(D$5,12,31))</f>
        <v/>
      </c>
      <c r="E357" s="331">
        <f>SUMIFS(DATA!$M:$M,DATA!$C:$C,$B357,DATA!$N:$N,"&gt;="&amp;DATE(E$5,1,1),DATA!$N:$N,"&lt;="&amp;DATE(E$5,12,31))</f>
        <v/>
      </c>
      <c r="F357" s="331">
        <f>SUMIFS(DATA!$M:$M,DATA!$C:$C,$B357,DATA!$N:$N,"&gt;="&amp;DATE(F$5,1,1),DATA!$N:$N,"&lt;="&amp;DATE(F$5,12,31))</f>
        <v/>
      </c>
      <c r="G357" s="331">
        <f>SUMIFS(DATA!$M:$M,DATA!$C:$C,$B357,DATA!$N:$N,"&gt;="&amp;DATE(G$5,1,1),DATA!$N:$N,"&lt;="&amp;DATE(G$5,12,31))</f>
        <v/>
      </c>
      <c r="H357" s="331">
        <f>SUMIFS(DATA!$M:$M,DATA!$C:$C,$B357,DATA!$N:$N,"&gt;="&amp;DATE(H$5,1,1),DATA!$N:$N,"&lt;="&amp;DATE(H$5,12,31))</f>
        <v/>
      </c>
      <c r="I357" s="331">
        <f>SUMIFS(DATA!$M:$M,DATA!$C:$C,$B357,DATA!$N:$N,"&gt;="&amp;DATE(I$5,1,1),DATA!$N:$N,"&lt;="&amp;DATE(I$5,12,31))</f>
        <v/>
      </c>
      <c r="J357" s="332">
        <f>SUM(C357:I357)</f>
        <v/>
      </c>
      <c r="K357" s="333">
        <f>J357/$J$506</f>
        <v/>
      </c>
    </row>
    <row r="358" hidden="1" outlineLevel="1" ht="32.25" customHeight="1">
      <c r="A358" s="48" t="n">
        <v>353</v>
      </c>
      <c r="B358" s="107" t="n"/>
      <c r="C358" s="331">
        <f>SUMIFS(DATA!$M:$M,DATA!$C:$C,$B358,DATA!$N:$N,"&gt;="&amp;DATE(C$5,1,1),DATA!$N:$N,"&lt;="&amp;DATE(C$5,12,31))</f>
        <v/>
      </c>
      <c r="D358" s="331">
        <f>SUMIFS(DATA!$M:$M,DATA!$C:$C,$B358,DATA!$N:$N,"&gt;="&amp;DATE(D$5,1,1),DATA!$N:$N,"&lt;="&amp;DATE(D$5,12,31))</f>
        <v/>
      </c>
      <c r="E358" s="331">
        <f>SUMIFS(DATA!$M:$M,DATA!$C:$C,$B358,DATA!$N:$N,"&gt;="&amp;DATE(E$5,1,1),DATA!$N:$N,"&lt;="&amp;DATE(E$5,12,31))</f>
        <v/>
      </c>
      <c r="F358" s="331">
        <f>SUMIFS(DATA!$M:$M,DATA!$C:$C,$B358,DATA!$N:$N,"&gt;="&amp;DATE(F$5,1,1),DATA!$N:$N,"&lt;="&amp;DATE(F$5,12,31))</f>
        <v/>
      </c>
      <c r="G358" s="331">
        <f>SUMIFS(DATA!$M:$M,DATA!$C:$C,$B358,DATA!$N:$N,"&gt;="&amp;DATE(G$5,1,1),DATA!$N:$N,"&lt;="&amp;DATE(G$5,12,31))</f>
        <v/>
      </c>
      <c r="H358" s="331">
        <f>SUMIFS(DATA!$M:$M,DATA!$C:$C,$B358,DATA!$N:$N,"&gt;="&amp;DATE(H$5,1,1),DATA!$N:$N,"&lt;="&amp;DATE(H$5,12,31))</f>
        <v/>
      </c>
      <c r="I358" s="331">
        <f>SUMIFS(DATA!$M:$M,DATA!$C:$C,$B358,DATA!$N:$N,"&gt;="&amp;DATE(I$5,1,1),DATA!$N:$N,"&lt;="&amp;DATE(I$5,12,31))</f>
        <v/>
      </c>
      <c r="J358" s="332">
        <f>SUM(C358:I358)</f>
        <v/>
      </c>
      <c r="K358" s="333">
        <f>J358/$J$506</f>
        <v/>
      </c>
    </row>
    <row r="359" hidden="1" outlineLevel="1" ht="32.25" customHeight="1">
      <c r="A359" s="48" t="n">
        <v>354</v>
      </c>
      <c r="B359" s="107" t="n"/>
      <c r="C359" s="331">
        <f>SUMIFS(DATA!$M:$M,DATA!$C:$C,$B359,DATA!$N:$N,"&gt;="&amp;DATE(C$5,1,1),DATA!$N:$N,"&lt;="&amp;DATE(C$5,12,31))</f>
        <v/>
      </c>
      <c r="D359" s="331">
        <f>SUMIFS(DATA!$M:$M,DATA!$C:$C,$B359,DATA!$N:$N,"&gt;="&amp;DATE(D$5,1,1),DATA!$N:$N,"&lt;="&amp;DATE(D$5,12,31))</f>
        <v/>
      </c>
      <c r="E359" s="331">
        <f>SUMIFS(DATA!$M:$M,DATA!$C:$C,$B359,DATA!$N:$N,"&gt;="&amp;DATE(E$5,1,1),DATA!$N:$N,"&lt;="&amp;DATE(E$5,12,31))</f>
        <v/>
      </c>
      <c r="F359" s="331">
        <f>SUMIFS(DATA!$M:$M,DATA!$C:$C,$B359,DATA!$N:$N,"&gt;="&amp;DATE(F$5,1,1),DATA!$N:$N,"&lt;="&amp;DATE(F$5,12,31))</f>
        <v/>
      </c>
      <c r="G359" s="331">
        <f>SUMIFS(DATA!$M:$M,DATA!$C:$C,$B359,DATA!$N:$N,"&gt;="&amp;DATE(G$5,1,1),DATA!$N:$N,"&lt;="&amp;DATE(G$5,12,31))</f>
        <v/>
      </c>
      <c r="H359" s="331">
        <f>SUMIFS(DATA!$M:$M,DATA!$C:$C,$B359,DATA!$N:$N,"&gt;="&amp;DATE(H$5,1,1),DATA!$N:$N,"&lt;="&amp;DATE(H$5,12,31))</f>
        <v/>
      </c>
      <c r="I359" s="331">
        <f>SUMIFS(DATA!$M:$M,DATA!$C:$C,$B359,DATA!$N:$N,"&gt;="&amp;DATE(I$5,1,1),DATA!$N:$N,"&lt;="&amp;DATE(I$5,12,31))</f>
        <v/>
      </c>
      <c r="J359" s="332">
        <f>SUM(C359:I359)</f>
        <v/>
      </c>
      <c r="K359" s="333">
        <f>J359/$J$506</f>
        <v/>
      </c>
    </row>
    <row r="360" hidden="1" outlineLevel="1" ht="32.25" customHeight="1">
      <c r="A360" s="48" t="n">
        <v>355</v>
      </c>
      <c r="B360" s="107" t="n"/>
      <c r="C360" s="331">
        <f>SUMIFS(DATA!$M:$M,DATA!$C:$C,$B360,DATA!$N:$N,"&gt;="&amp;DATE(C$5,1,1),DATA!$N:$N,"&lt;="&amp;DATE(C$5,12,31))</f>
        <v/>
      </c>
      <c r="D360" s="331">
        <f>SUMIFS(DATA!$M:$M,DATA!$C:$C,$B360,DATA!$N:$N,"&gt;="&amp;DATE(D$5,1,1),DATA!$N:$N,"&lt;="&amp;DATE(D$5,12,31))</f>
        <v/>
      </c>
      <c r="E360" s="331">
        <f>SUMIFS(DATA!$M:$M,DATA!$C:$C,$B360,DATA!$N:$N,"&gt;="&amp;DATE(E$5,1,1),DATA!$N:$N,"&lt;="&amp;DATE(E$5,12,31))</f>
        <v/>
      </c>
      <c r="F360" s="331">
        <f>SUMIFS(DATA!$M:$M,DATA!$C:$C,$B360,DATA!$N:$N,"&gt;="&amp;DATE(F$5,1,1),DATA!$N:$N,"&lt;="&amp;DATE(F$5,12,31))</f>
        <v/>
      </c>
      <c r="G360" s="331">
        <f>SUMIFS(DATA!$M:$M,DATA!$C:$C,$B360,DATA!$N:$N,"&gt;="&amp;DATE(G$5,1,1),DATA!$N:$N,"&lt;="&amp;DATE(G$5,12,31))</f>
        <v/>
      </c>
      <c r="H360" s="331">
        <f>SUMIFS(DATA!$M:$M,DATA!$C:$C,$B360,DATA!$N:$N,"&gt;="&amp;DATE(H$5,1,1),DATA!$N:$N,"&lt;="&amp;DATE(H$5,12,31))</f>
        <v/>
      </c>
      <c r="I360" s="331">
        <f>SUMIFS(DATA!$M:$M,DATA!$C:$C,$B360,DATA!$N:$N,"&gt;="&amp;DATE(I$5,1,1),DATA!$N:$N,"&lt;="&amp;DATE(I$5,12,31))</f>
        <v/>
      </c>
      <c r="J360" s="332">
        <f>SUM(C360:I360)</f>
        <v/>
      </c>
      <c r="K360" s="333">
        <f>J360/$J$506</f>
        <v/>
      </c>
    </row>
    <row r="361" hidden="1" outlineLevel="1" ht="32.25" customHeight="1">
      <c r="A361" s="48" t="n">
        <v>356</v>
      </c>
      <c r="B361" s="107" t="n"/>
      <c r="C361" s="331">
        <f>SUMIFS(DATA!$M:$M,DATA!$C:$C,$B361,DATA!$N:$N,"&gt;="&amp;DATE(C$5,1,1),DATA!$N:$N,"&lt;="&amp;DATE(C$5,12,31))</f>
        <v/>
      </c>
      <c r="D361" s="331">
        <f>SUMIFS(DATA!$M:$M,DATA!$C:$C,$B361,DATA!$N:$N,"&gt;="&amp;DATE(D$5,1,1),DATA!$N:$N,"&lt;="&amp;DATE(D$5,12,31))</f>
        <v/>
      </c>
      <c r="E361" s="331">
        <f>SUMIFS(DATA!$M:$M,DATA!$C:$C,$B361,DATA!$N:$N,"&gt;="&amp;DATE(E$5,1,1),DATA!$N:$N,"&lt;="&amp;DATE(E$5,12,31))</f>
        <v/>
      </c>
      <c r="F361" s="331">
        <f>SUMIFS(DATA!$M:$M,DATA!$C:$C,$B361,DATA!$N:$N,"&gt;="&amp;DATE(F$5,1,1),DATA!$N:$N,"&lt;="&amp;DATE(F$5,12,31))</f>
        <v/>
      </c>
      <c r="G361" s="331">
        <f>SUMIFS(DATA!$M:$M,DATA!$C:$C,$B361,DATA!$N:$N,"&gt;="&amp;DATE(G$5,1,1),DATA!$N:$N,"&lt;="&amp;DATE(G$5,12,31))</f>
        <v/>
      </c>
      <c r="H361" s="331">
        <f>SUMIFS(DATA!$M:$M,DATA!$C:$C,$B361,DATA!$N:$N,"&gt;="&amp;DATE(H$5,1,1),DATA!$N:$N,"&lt;="&amp;DATE(H$5,12,31))</f>
        <v/>
      </c>
      <c r="I361" s="331">
        <f>SUMIFS(DATA!$M:$M,DATA!$C:$C,$B361,DATA!$N:$N,"&gt;="&amp;DATE(I$5,1,1),DATA!$N:$N,"&lt;="&amp;DATE(I$5,12,31))</f>
        <v/>
      </c>
      <c r="J361" s="332">
        <f>SUM(C361:I361)</f>
        <v/>
      </c>
      <c r="K361" s="333">
        <f>J361/$J$506</f>
        <v/>
      </c>
    </row>
    <row r="362" hidden="1" outlineLevel="1" ht="32.25" customHeight="1">
      <c r="A362" s="48" t="n">
        <v>357</v>
      </c>
      <c r="B362" s="107" t="n"/>
      <c r="C362" s="331">
        <f>SUMIFS(DATA!$M:$M,DATA!$C:$C,$B362,DATA!$N:$N,"&gt;="&amp;DATE(C$5,1,1),DATA!$N:$N,"&lt;="&amp;DATE(C$5,12,31))</f>
        <v/>
      </c>
      <c r="D362" s="331">
        <f>SUMIFS(DATA!$M:$M,DATA!$C:$C,$B362,DATA!$N:$N,"&gt;="&amp;DATE(D$5,1,1),DATA!$N:$N,"&lt;="&amp;DATE(D$5,12,31))</f>
        <v/>
      </c>
      <c r="E362" s="331">
        <f>SUMIFS(DATA!$M:$M,DATA!$C:$C,$B362,DATA!$N:$N,"&gt;="&amp;DATE(E$5,1,1),DATA!$N:$N,"&lt;="&amp;DATE(E$5,12,31))</f>
        <v/>
      </c>
      <c r="F362" s="331">
        <f>SUMIFS(DATA!$M:$M,DATA!$C:$C,$B362,DATA!$N:$N,"&gt;="&amp;DATE(F$5,1,1),DATA!$N:$N,"&lt;="&amp;DATE(F$5,12,31))</f>
        <v/>
      </c>
      <c r="G362" s="331">
        <f>SUMIFS(DATA!$M:$M,DATA!$C:$C,$B362,DATA!$N:$N,"&gt;="&amp;DATE(G$5,1,1),DATA!$N:$N,"&lt;="&amp;DATE(G$5,12,31))</f>
        <v/>
      </c>
      <c r="H362" s="331">
        <f>SUMIFS(DATA!$M:$M,DATA!$C:$C,$B362,DATA!$N:$N,"&gt;="&amp;DATE(H$5,1,1),DATA!$N:$N,"&lt;="&amp;DATE(H$5,12,31))</f>
        <v/>
      </c>
      <c r="I362" s="331">
        <f>SUMIFS(DATA!$M:$M,DATA!$C:$C,$B362,DATA!$N:$N,"&gt;="&amp;DATE(I$5,1,1),DATA!$N:$N,"&lt;="&amp;DATE(I$5,12,31))</f>
        <v/>
      </c>
      <c r="J362" s="332">
        <f>SUM(C362:I362)</f>
        <v/>
      </c>
      <c r="K362" s="333">
        <f>J362/$J$506</f>
        <v/>
      </c>
    </row>
    <row r="363" hidden="1" outlineLevel="1" ht="32.25" customHeight="1">
      <c r="A363" s="48" t="n">
        <v>358</v>
      </c>
      <c r="B363" s="107" t="n"/>
      <c r="C363" s="331">
        <f>SUMIFS(DATA!$M:$M,DATA!$C:$C,$B363,DATA!$N:$N,"&gt;="&amp;DATE(C$5,1,1),DATA!$N:$N,"&lt;="&amp;DATE(C$5,12,31))</f>
        <v/>
      </c>
      <c r="D363" s="331">
        <f>SUMIFS(DATA!$M:$M,DATA!$C:$C,$B363,DATA!$N:$N,"&gt;="&amp;DATE(D$5,1,1),DATA!$N:$N,"&lt;="&amp;DATE(D$5,12,31))</f>
        <v/>
      </c>
      <c r="E363" s="331">
        <f>SUMIFS(DATA!$M:$M,DATA!$C:$C,$B363,DATA!$N:$N,"&gt;="&amp;DATE(E$5,1,1),DATA!$N:$N,"&lt;="&amp;DATE(E$5,12,31))</f>
        <v/>
      </c>
      <c r="F363" s="331">
        <f>SUMIFS(DATA!$M:$M,DATA!$C:$C,$B363,DATA!$N:$N,"&gt;="&amp;DATE(F$5,1,1),DATA!$N:$N,"&lt;="&amp;DATE(F$5,12,31))</f>
        <v/>
      </c>
      <c r="G363" s="331">
        <f>SUMIFS(DATA!$M:$M,DATA!$C:$C,$B363,DATA!$N:$N,"&gt;="&amp;DATE(G$5,1,1),DATA!$N:$N,"&lt;="&amp;DATE(G$5,12,31))</f>
        <v/>
      </c>
      <c r="H363" s="331">
        <f>SUMIFS(DATA!$M:$M,DATA!$C:$C,$B363,DATA!$N:$N,"&gt;="&amp;DATE(H$5,1,1),DATA!$N:$N,"&lt;="&amp;DATE(H$5,12,31))</f>
        <v/>
      </c>
      <c r="I363" s="331">
        <f>SUMIFS(DATA!$M:$M,DATA!$C:$C,$B363,DATA!$N:$N,"&gt;="&amp;DATE(I$5,1,1),DATA!$N:$N,"&lt;="&amp;DATE(I$5,12,31))</f>
        <v/>
      </c>
      <c r="J363" s="332">
        <f>SUM(C363:I363)</f>
        <v/>
      </c>
      <c r="K363" s="333">
        <f>J363/$J$506</f>
        <v/>
      </c>
    </row>
    <row r="364" hidden="1" outlineLevel="1" ht="32.25" customHeight="1">
      <c r="A364" s="48" t="n">
        <v>359</v>
      </c>
      <c r="B364" s="107" t="n"/>
      <c r="C364" s="331">
        <f>SUMIFS(DATA!$M:$M,DATA!$C:$C,$B364,DATA!$N:$N,"&gt;="&amp;DATE(C$5,1,1),DATA!$N:$N,"&lt;="&amp;DATE(C$5,12,31))</f>
        <v/>
      </c>
      <c r="D364" s="331">
        <f>SUMIFS(DATA!$M:$M,DATA!$C:$C,$B364,DATA!$N:$N,"&gt;="&amp;DATE(D$5,1,1),DATA!$N:$N,"&lt;="&amp;DATE(D$5,12,31))</f>
        <v/>
      </c>
      <c r="E364" s="331">
        <f>SUMIFS(DATA!$M:$M,DATA!$C:$C,$B364,DATA!$N:$N,"&gt;="&amp;DATE(E$5,1,1),DATA!$N:$N,"&lt;="&amp;DATE(E$5,12,31))</f>
        <v/>
      </c>
      <c r="F364" s="331">
        <f>SUMIFS(DATA!$M:$M,DATA!$C:$C,$B364,DATA!$N:$N,"&gt;="&amp;DATE(F$5,1,1),DATA!$N:$N,"&lt;="&amp;DATE(F$5,12,31))</f>
        <v/>
      </c>
      <c r="G364" s="331">
        <f>SUMIFS(DATA!$M:$M,DATA!$C:$C,$B364,DATA!$N:$N,"&gt;="&amp;DATE(G$5,1,1),DATA!$N:$N,"&lt;="&amp;DATE(G$5,12,31))</f>
        <v/>
      </c>
      <c r="H364" s="331">
        <f>SUMIFS(DATA!$M:$M,DATA!$C:$C,$B364,DATA!$N:$N,"&gt;="&amp;DATE(H$5,1,1),DATA!$N:$N,"&lt;="&amp;DATE(H$5,12,31))</f>
        <v/>
      </c>
      <c r="I364" s="331">
        <f>SUMIFS(DATA!$M:$M,DATA!$C:$C,$B364,DATA!$N:$N,"&gt;="&amp;DATE(I$5,1,1),DATA!$N:$N,"&lt;="&amp;DATE(I$5,12,31))</f>
        <v/>
      </c>
      <c r="J364" s="332">
        <f>SUM(C364:I364)</f>
        <v/>
      </c>
      <c r="K364" s="333">
        <f>J364/$J$506</f>
        <v/>
      </c>
    </row>
    <row r="365" hidden="1" outlineLevel="1" ht="32.25" customHeight="1">
      <c r="A365" s="48" t="n">
        <v>360</v>
      </c>
      <c r="B365" s="107" t="n"/>
      <c r="C365" s="331">
        <f>SUMIFS(DATA!$M:$M,DATA!$C:$C,$B365,DATA!$N:$N,"&gt;="&amp;DATE(C$5,1,1),DATA!$N:$N,"&lt;="&amp;DATE(C$5,12,31))</f>
        <v/>
      </c>
      <c r="D365" s="331">
        <f>SUMIFS(DATA!$M:$M,DATA!$C:$C,$B365,DATA!$N:$N,"&gt;="&amp;DATE(D$5,1,1),DATA!$N:$N,"&lt;="&amp;DATE(D$5,12,31))</f>
        <v/>
      </c>
      <c r="E365" s="331">
        <f>SUMIFS(DATA!$M:$M,DATA!$C:$C,$B365,DATA!$N:$N,"&gt;="&amp;DATE(E$5,1,1),DATA!$N:$N,"&lt;="&amp;DATE(E$5,12,31))</f>
        <v/>
      </c>
      <c r="F365" s="331">
        <f>SUMIFS(DATA!$M:$M,DATA!$C:$C,$B365,DATA!$N:$N,"&gt;="&amp;DATE(F$5,1,1),DATA!$N:$N,"&lt;="&amp;DATE(F$5,12,31))</f>
        <v/>
      </c>
      <c r="G365" s="331">
        <f>SUMIFS(DATA!$M:$M,DATA!$C:$C,$B365,DATA!$N:$N,"&gt;="&amp;DATE(G$5,1,1),DATA!$N:$N,"&lt;="&amp;DATE(G$5,12,31))</f>
        <v/>
      </c>
      <c r="H365" s="331">
        <f>SUMIFS(DATA!$M:$M,DATA!$C:$C,$B365,DATA!$N:$N,"&gt;="&amp;DATE(H$5,1,1),DATA!$N:$N,"&lt;="&amp;DATE(H$5,12,31))</f>
        <v/>
      </c>
      <c r="I365" s="331">
        <f>SUMIFS(DATA!$M:$M,DATA!$C:$C,$B365,DATA!$N:$N,"&gt;="&amp;DATE(I$5,1,1),DATA!$N:$N,"&lt;="&amp;DATE(I$5,12,31))</f>
        <v/>
      </c>
      <c r="J365" s="332">
        <f>SUM(C365:I365)</f>
        <v/>
      </c>
      <c r="K365" s="333">
        <f>J365/$J$506</f>
        <v/>
      </c>
    </row>
    <row r="366" hidden="1" outlineLevel="1" ht="32.25" customHeight="1">
      <c r="A366" s="48" t="n">
        <v>361</v>
      </c>
      <c r="B366" s="107" t="n"/>
      <c r="C366" s="331">
        <f>SUMIFS(DATA!$M:$M,DATA!$C:$C,$B366,DATA!$N:$N,"&gt;="&amp;DATE(C$5,1,1),DATA!$N:$N,"&lt;="&amp;DATE(C$5,12,31))</f>
        <v/>
      </c>
      <c r="D366" s="331">
        <f>SUMIFS(DATA!$M:$M,DATA!$C:$C,$B366,DATA!$N:$N,"&gt;="&amp;DATE(D$5,1,1),DATA!$N:$N,"&lt;="&amp;DATE(D$5,12,31))</f>
        <v/>
      </c>
      <c r="E366" s="331">
        <f>SUMIFS(DATA!$M:$M,DATA!$C:$C,$B366,DATA!$N:$N,"&gt;="&amp;DATE(E$5,1,1),DATA!$N:$N,"&lt;="&amp;DATE(E$5,12,31))</f>
        <v/>
      </c>
      <c r="F366" s="331">
        <f>SUMIFS(DATA!$M:$M,DATA!$C:$C,$B366,DATA!$N:$N,"&gt;="&amp;DATE(F$5,1,1),DATA!$N:$N,"&lt;="&amp;DATE(F$5,12,31))</f>
        <v/>
      </c>
      <c r="G366" s="331">
        <f>SUMIFS(DATA!$M:$M,DATA!$C:$C,$B366,DATA!$N:$N,"&gt;="&amp;DATE(G$5,1,1),DATA!$N:$N,"&lt;="&amp;DATE(G$5,12,31))</f>
        <v/>
      </c>
      <c r="H366" s="331">
        <f>SUMIFS(DATA!$M:$M,DATA!$C:$C,$B366,DATA!$N:$N,"&gt;="&amp;DATE(H$5,1,1),DATA!$N:$N,"&lt;="&amp;DATE(H$5,12,31))</f>
        <v/>
      </c>
      <c r="I366" s="331">
        <f>SUMIFS(DATA!$M:$M,DATA!$C:$C,$B366,DATA!$N:$N,"&gt;="&amp;DATE(I$5,1,1),DATA!$N:$N,"&lt;="&amp;DATE(I$5,12,31))</f>
        <v/>
      </c>
      <c r="J366" s="332">
        <f>SUM(C366:I366)</f>
        <v/>
      </c>
      <c r="K366" s="333">
        <f>J366/$J$506</f>
        <v/>
      </c>
    </row>
    <row r="367" hidden="1" outlineLevel="1" ht="32.25" customHeight="1">
      <c r="A367" s="48" t="n">
        <v>362</v>
      </c>
      <c r="B367" s="107" t="n"/>
      <c r="C367" s="331">
        <f>SUMIFS(DATA!$M:$M,DATA!$C:$C,$B367,DATA!$N:$N,"&gt;="&amp;DATE(C$5,1,1),DATA!$N:$N,"&lt;="&amp;DATE(C$5,12,31))</f>
        <v/>
      </c>
      <c r="D367" s="331">
        <f>SUMIFS(DATA!$M:$M,DATA!$C:$C,$B367,DATA!$N:$N,"&gt;="&amp;DATE(D$5,1,1),DATA!$N:$N,"&lt;="&amp;DATE(D$5,12,31))</f>
        <v/>
      </c>
      <c r="E367" s="331">
        <f>SUMIFS(DATA!$M:$M,DATA!$C:$C,$B367,DATA!$N:$N,"&gt;="&amp;DATE(E$5,1,1),DATA!$N:$N,"&lt;="&amp;DATE(E$5,12,31))</f>
        <v/>
      </c>
      <c r="F367" s="331">
        <f>SUMIFS(DATA!$M:$M,DATA!$C:$C,$B367,DATA!$N:$N,"&gt;="&amp;DATE(F$5,1,1),DATA!$N:$N,"&lt;="&amp;DATE(F$5,12,31))</f>
        <v/>
      </c>
      <c r="G367" s="331">
        <f>SUMIFS(DATA!$M:$M,DATA!$C:$C,$B367,DATA!$N:$N,"&gt;="&amp;DATE(G$5,1,1),DATA!$N:$N,"&lt;="&amp;DATE(G$5,12,31))</f>
        <v/>
      </c>
      <c r="H367" s="331">
        <f>SUMIFS(DATA!$M:$M,DATA!$C:$C,$B367,DATA!$N:$N,"&gt;="&amp;DATE(H$5,1,1),DATA!$N:$N,"&lt;="&amp;DATE(H$5,12,31))</f>
        <v/>
      </c>
      <c r="I367" s="331">
        <f>SUMIFS(DATA!$M:$M,DATA!$C:$C,$B367,DATA!$N:$N,"&gt;="&amp;DATE(I$5,1,1),DATA!$N:$N,"&lt;="&amp;DATE(I$5,12,31))</f>
        <v/>
      </c>
      <c r="J367" s="332">
        <f>SUM(C367:I367)</f>
        <v/>
      </c>
      <c r="K367" s="333">
        <f>J367/$J$506</f>
        <v/>
      </c>
    </row>
    <row r="368" hidden="1" outlineLevel="1" ht="32.25" customHeight="1">
      <c r="A368" s="48" t="n">
        <v>363</v>
      </c>
      <c r="B368" s="107" t="n"/>
      <c r="C368" s="331">
        <f>SUMIFS(DATA!$M:$M,DATA!$C:$C,$B368,DATA!$N:$N,"&gt;="&amp;DATE(C$5,1,1),DATA!$N:$N,"&lt;="&amp;DATE(C$5,12,31))</f>
        <v/>
      </c>
      <c r="D368" s="331">
        <f>SUMIFS(DATA!$M:$M,DATA!$C:$C,$B368,DATA!$N:$N,"&gt;="&amp;DATE(D$5,1,1),DATA!$N:$N,"&lt;="&amp;DATE(D$5,12,31))</f>
        <v/>
      </c>
      <c r="E368" s="331">
        <f>SUMIFS(DATA!$M:$M,DATA!$C:$C,$B368,DATA!$N:$N,"&gt;="&amp;DATE(E$5,1,1),DATA!$N:$N,"&lt;="&amp;DATE(E$5,12,31))</f>
        <v/>
      </c>
      <c r="F368" s="331">
        <f>SUMIFS(DATA!$M:$M,DATA!$C:$C,$B368,DATA!$N:$N,"&gt;="&amp;DATE(F$5,1,1),DATA!$N:$N,"&lt;="&amp;DATE(F$5,12,31))</f>
        <v/>
      </c>
      <c r="G368" s="331">
        <f>SUMIFS(DATA!$M:$M,DATA!$C:$C,$B368,DATA!$N:$N,"&gt;="&amp;DATE(G$5,1,1),DATA!$N:$N,"&lt;="&amp;DATE(G$5,12,31))</f>
        <v/>
      </c>
      <c r="H368" s="331">
        <f>SUMIFS(DATA!$M:$M,DATA!$C:$C,$B368,DATA!$N:$N,"&gt;="&amp;DATE(H$5,1,1),DATA!$N:$N,"&lt;="&amp;DATE(H$5,12,31))</f>
        <v/>
      </c>
      <c r="I368" s="331">
        <f>SUMIFS(DATA!$M:$M,DATA!$C:$C,$B368,DATA!$N:$N,"&gt;="&amp;DATE(I$5,1,1),DATA!$N:$N,"&lt;="&amp;DATE(I$5,12,31))</f>
        <v/>
      </c>
      <c r="J368" s="332">
        <f>SUM(C368:I368)</f>
        <v/>
      </c>
      <c r="K368" s="333">
        <f>J368/$J$506</f>
        <v/>
      </c>
    </row>
    <row r="369" hidden="1" outlineLevel="1" ht="32.25" customHeight="1">
      <c r="A369" s="48" t="n">
        <v>364</v>
      </c>
      <c r="B369" s="107" t="n"/>
      <c r="C369" s="331">
        <f>SUMIFS(DATA!$M:$M,DATA!$C:$C,$B369,DATA!$N:$N,"&gt;="&amp;DATE(C$5,1,1),DATA!$N:$N,"&lt;="&amp;DATE(C$5,12,31))</f>
        <v/>
      </c>
      <c r="D369" s="331">
        <f>SUMIFS(DATA!$M:$M,DATA!$C:$C,$B369,DATA!$N:$N,"&gt;="&amp;DATE(D$5,1,1),DATA!$N:$N,"&lt;="&amp;DATE(D$5,12,31))</f>
        <v/>
      </c>
      <c r="E369" s="331">
        <f>SUMIFS(DATA!$M:$M,DATA!$C:$C,$B369,DATA!$N:$N,"&gt;="&amp;DATE(E$5,1,1),DATA!$N:$N,"&lt;="&amp;DATE(E$5,12,31))</f>
        <v/>
      </c>
      <c r="F369" s="331">
        <f>SUMIFS(DATA!$M:$M,DATA!$C:$C,$B369,DATA!$N:$N,"&gt;="&amp;DATE(F$5,1,1),DATA!$N:$N,"&lt;="&amp;DATE(F$5,12,31))</f>
        <v/>
      </c>
      <c r="G369" s="331">
        <f>SUMIFS(DATA!$M:$M,DATA!$C:$C,$B369,DATA!$N:$N,"&gt;="&amp;DATE(G$5,1,1),DATA!$N:$N,"&lt;="&amp;DATE(G$5,12,31))</f>
        <v/>
      </c>
      <c r="H369" s="331">
        <f>SUMIFS(DATA!$M:$M,DATA!$C:$C,$B369,DATA!$N:$N,"&gt;="&amp;DATE(H$5,1,1),DATA!$N:$N,"&lt;="&amp;DATE(H$5,12,31))</f>
        <v/>
      </c>
      <c r="I369" s="331">
        <f>SUMIFS(DATA!$M:$M,DATA!$C:$C,$B369,DATA!$N:$N,"&gt;="&amp;DATE(I$5,1,1),DATA!$N:$N,"&lt;="&amp;DATE(I$5,12,31))</f>
        <v/>
      </c>
      <c r="J369" s="332">
        <f>SUM(C369:I369)</f>
        <v/>
      </c>
      <c r="K369" s="333">
        <f>J369/$J$506</f>
        <v/>
      </c>
    </row>
    <row r="370" hidden="1" outlineLevel="1" ht="32.25" customHeight="1">
      <c r="A370" s="48" t="n">
        <v>365</v>
      </c>
      <c r="B370" s="107" t="n"/>
      <c r="C370" s="331">
        <f>SUMIFS(DATA!$M:$M,DATA!$C:$C,$B370,DATA!$N:$N,"&gt;="&amp;DATE(C$5,1,1),DATA!$N:$N,"&lt;="&amp;DATE(C$5,12,31))</f>
        <v/>
      </c>
      <c r="D370" s="331">
        <f>SUMIFS(DATA!$M:$M,DATA!$C:$C,$B370,DATA!$N:$N,"&gt;="&amp;DATE(D$5,1,1),DATA!$N:$N,"&lt;="&amp;DATE(D$5,12,31))</f>
        <v/>
      </c>
      <c r="E370" s="331">
        <f>SUMIFS(DATA!$M:$M,DATA!$C:$C,$B370,DATA!$N:$N,"&gt;="&amp;DATE(E$5,1,1),DATA!$N:$N,"&lt;="&amp;DATE(E$5,12,31))</f>
        <v/>
      </c>
      <c r="F370" s="331">
        <f>SUMIFS(DATA!$M:$M,DATA!$C:$C,$B370,DATA!$N:$N,"&gt;="&amp;DATE(F$5,1,1),DATA!$N:$N,"&lt;="&amp;DATE(F$5,12,31))</f>
        <v/>
      </c>
      <c r="G370" s="331">
        <f>SUMIFS(DATA!$M:$M,DATA!$C:$C,$B370,DATA!$N:$N,"&gt;="&amp;DATE(G$5,1,1),DATA!$N:$N,"&lt;="&amp;DATE(G$5,12,31))</f>
        <v/>
      </c>
      <c r="H370" s="331">
        <f>SUMIFS(DATA!$M:$M,DATA!$C:$C,$B370,DATA!$N:$N,"&gt;="&amp;DATE(H$5,1,1),DATA!$N:$N,"&lt;="&amp;DATE(H$5,12,31))</f>
        <v/>
      </c>
      <c r="I370" s="331">
        <f>SUMIFS(DATA!$M:$M,DATA!$C:$C,$B370,DATA!$N:$N,"&gt;="&amp;DATE(I$5,1,1),DATA!$N:$N,"&lt;="&amp;DATE(I$5,12,31))</f>
        <v/>
      </c>
      <c r="J370" s="332">
        <f>SUM(C370:I370)</f>
        <v/>
      </c>
      <c r="K370" s="333">
        <f>J370/$J$506</f>
        <v/>
      </c>
    </row>
    <row r="371" hidden="1" outlineLevel="1" ht="32.25" customHeight="1">
      <c r="A371" s="48" t="n">
        <v>366</v>
      </c>
      <c r="B371" s="107" t="n"/>
      <c r="C371" s="331">
        <f>SUMIFS(DATA!$M:$M,DATA!$C:$C,$B371,DATA!$N:$N,"&gt;="&amp;DATE(C$5,1,1),DATA!$N:$N,"&lt;="&amp;DATE(C$5,12,31))</f>
        <v/>
      </c>
      <c r="D371" s="331">
        <f>SUMIFS(DATA!$M:$M,DATA!$C:$C,$B371,DATA!$N:$N,"&gt;="&amp;DATE(D$5,1,1),DATA!$N:$N,"&lt;="&amp;DATE(D$5,12,31))</f>
        <v/>
      </c>
      <c r="E371" s="331">
        <f>SUMIFS(DATA!$M:$M,DATA!$C:$C,$B371,DATA!$N:$N,"&gt;="&amp;DATE(E$5,1,1),DATA!$N:$N,"&lt;="&amp;DATE(E$5,12,31))</f>
        <v/>
      </c>
      <c r="F371" s="331">
        <f>SUMIFS(DATA!$M:$M,DATA!$C:$C,$B371,DATA!$N:$N,"&gt;="&amp;DATE(F$5,1,1),DATA!$N:$N,"&lt;="&amp;DATE(F$5,12,31))</f>
        <v/>
      </c>
      <c r="G371" s="331">
        <f>SUMIFS(DATA!$M:$M,DATA!$C:$C,$B371,DATA!$N:$N,"&gt;="&amp;DATE(G$5,1,1),DATA!$N:$N,"&lt;="&amp;DATE(G$5,12,31))</f>
        <v/>
      </c>
      <c r="H371" s="331">
        <f>SUMIFS(DATA!$M:$M,DATA!$C:$C,$B371,DATA!$N:$N,"&gt;="&amp;DATE(H$5,1,1),DATA!$N:$N,"&lt;="&amp;DATE(H$5,12,31))</f>
        <v/>
      </c>
      <c r="I371" s="331">
        <f>SUMIFS(DATA!$M:$M,DATA!$C:$C,$B371,DATA!$N:$N,"&gt;="&amp;DATE(I$5,1,1),DATA!$N:$N,"&lt;="&amp;DATE(I$5,12,31))</f>
        <v/>
      </c>
      <c r="J371" s="332">
        <f>SUM(C371:I371)</f>
        <v/>
      </c>
      <c r="K371" s="333">
        <f>J371/$J$506</f>
        <v/>
      </c>
    </row>
    <row r="372" hidden="1" outlineLevel="1" ht="32.25" customHeight="1">
      <c r="A372" s="48" t="n">
        <v>367</v>
      </c>
      <c r="B372" s="107" t="n"/>
      <c r="C372" s="331">
        <f>SUMIFS(DATA!$M:$M,DATA!$C:$C,$B372,DATA!$N:$N,"&gt;="&amp;DATE(C$5,1,1),DATA!$N:$N,"&lt;="&amp;DATE(C$5,12,31))</f>
        <v/>
      </c>
      <c r="D372" s="331">
        <f>SUMIFS(DATA!$M:$M,DATA!$C:$C,$B372,DATA!$N:$N,"&gt;="&amp;DATE(D$5,1,1),DATA!$N:$N,"&lt;="&amp;DATE(D$5,12,31))</f>
        <v/>
      </c>
      <c r="E372" s="331">
        <f>SUMIFS(DATA!$M:$M,DATA!$C:$C,$B372,DATA!$N:$N,"&gt;="&amp;DATE(E$5,1,1),DATA!$N:$N,"&lt;="&amp;DATE(E$5,12,31))</f>
        <v/>
      </c>
      <c r="F372" s="331">
        <f>SUMIFS(DATA!$M:$M,DATA!$C:$C,$B372,DATA!$N:$N,"&gt;="&amp;DATE(F$5,1,1),DATA!$N:$N,"&lt;="&amp;DATE(F$5,12,31))</f>
        <v/>
      </c>
      <c r="G372" s="331">
        <f>SUMIFS(DATA!$M:$M,DATA!$C:$C,$B372,DATA!$N:$N,"&gt;="&amp;DATE(G$5,1,1),DATA!$N:$N,"&lt;="&amp;DATE(G$5,12,31))</f>
        <v/>
      </c>
      <c r="H372" s="331">
        <f>SUMIFS(DATA!$M:$M,DATA!$C:$C,$B372,DATA!$N:$N,"&gt;="&amp;DATE(H$5,1,1),DATA!$N:$N,"&lt;="&amp;DATE(H$5,12,31))</f>
        <v/>
      </c>
      <c r="I372" s="331">
        <f>SUMIFS(DATA!$M:$M,DATA!$C:$C,$B372,DATA!$N:$N,"&gt;="&amp;DATE(I$5,1,1),DATA!$N:$N,"&lt;="&amp;DATE(I$5,12,31))</f>
        <v/>
      </c>
      <c r="J372" s="332">
        <f>SUM(C372:I372)</f>
        <v/>
      </c>
      <c r="K372" s="333">
        <f>J372/$J$506</f>
        <v/>
      </c>
    </row>
    <row r="373" hidden="1" outlineLevel="1" ht="32.25" customHeight="1">
      <c r="A373" s="48" t="n">
        <v>368</v>
      </c>
      <c r="B373" s="107" t="n"/>
      <c r="C373" s="331">
        <f>SUMIFS(DATA!$M:$M,DATA!$C:$C,$B373,DATA!$N:$N,"&gt;="&amp;DATE(C$5,1,1),DATA!$N:$N,"&lt;="&amp;DATE(C$5,12,31))</f>
        <v/>
      </c>
      <c r="D373" s="331">
        <f>SUMIFS(DATA!$M:$M,DATA!$C:$C,$B373,DATA!$N:$N,"&gt;="&amp;DATE(D$5,1,1),DATA!$N:$N,"&lt;="&amp;DATE(D$5,12,31))</f>
        <v/>
      </c>
      <c r="E373" s="331">
        <f>SUMIFS(DATA!$M:$M,DATA!$C:$C,$B373,DATA!$N:$N,"&gt;="&amp;DATE(E$5,1,1),DATA!$N:$N,"&lt;="&amp;DATE(E$5,12,31))</f>
        <v/>
      </c>
      <c r="F373" s="331">
        <f>SUMIFS(DATA!$M:$M,DATA!$C:$C,$B373,DATA!$N:$N,"&gt;="&amp;DATE(F$5,1,1),DATA!$N:$N,"&lt;="&amp;DATE(F$5,12,31))</f>
        <v/>
      </c>
      <c r="G373" s="331">
        <f>SUMIFS(DATA!$M:$M,DATA!$C:$C,$B373,DATA!$N:$N,"&gt;="&amp;DATE(G$5,1,1),DATA!$N:$N,"&lt;="&amp;DATE(G$5,12,31))</f>
        <v/>
      </c>
      <c r="H373" s="331">
        <f>SUMIFS(DATA!$M:$M,DATA!$C:$C,$B373,DATA!$N:$N,"&gt;="&amp;DATE(H$5,1,1),DATA!$N:$N,"&lt;="&amp;DATE(H$5,12,31))</f>
        <v/>
      </c>
      <c r="I373" s="331">
        <f>SUMIFS(DATA!$M:$M,DATA!$C:$C,$B373,DATA!$N:$N,"&gt;="&amp;DATE(I$5,1,1),DATA!$N:$N,"&lt;="&amp;DATE(I$5,12,31))</f>
        <v/>
      </c>
      <c r="J373" s="332">
        <f>SUM(C373:I373)</f>
        <v/>
      </c>
      <c r="K373" s="333">
        <f>J373/$J$506</f>
        <v/>
      </c>
    </row>
    <row r="374" hidden="1" outlineLevel="1" ht="32.25" customHeight="1">
      <c r="A374" s="48" t="n">
        <v>369</v>
      </c>
      <c r="B374" s="107" t="n"/>
      <c r="C374" s="331">
        <f>SUMIFS(DATA!$M:$M,DATA!$C:$C,$B374,DATA!$N:$N,"&gt;="&amp;DATE(C$5,1,1),DATA!$N:$N,"&lt;="&amp;DATE(C$5,12,31))</f>
        <v/>
      </c>
      <c r="D374" s="331">
        <f>SUMIFS(DATA!$M:$M,DATA!$C:$C,$B374,DATA!$N:$N,"&gt;="&amp;DATE(D$5,1,1),DATA!$N:$N,"&lt;="&amp;DATE(D$5,12,31))</f>
        <v/>
      </c>
      <c r="E374" s="331">
        <f>SUMIFS(DATA!$M:$M,DATA!$C:$C,$B374,DATA!$N:$N,"&gt;="&amp;DATE(E$5,1,1),DATA!$N:$N,"&lt;="&amp;DATE(E$5,12,31))</f>
        <v/>
      </c>
      <c r="F374" s="331">
        <f>SUMIFS(DATA!$M:$M,DATA!$C:$C,$B374,DATA!$N:$N,"&gt;="&amp;DATE(F$5,1,1),DATA!$N:$N,"&lt;="&amp;DATE(F$5,12,31))</f>
        <v/>
      </c>
      <c r="G374" s="331">
        <f>SUMIFS(DATA!$M:$M,DATA!$C:$C,$B374,DATA!$N:$N,"&gt;="&amp;DATE(G$5,1,1),DATA!$N:$N,"&lt;="&amp;DATE(G$5,12,31))</f>
        <v/>
      </c>
      <c r="H374" s="331">
        <f>SUMIFS(DATA!$M:$M,DATA!$C:$C,$B374,DATA!$N:$N,"&gt;="&amp;DATE(H$5,1,1),DATA!$N:$N,"&lt;="&amp;DATE(H$5,12,31))</f>
        <v/>
      </c>
      <c r="I374" s="331">
        <f>SUMIFS(DATA!$M:$M,DATA!$C:$C,$B374,DATA!$N:$N,"&gt;="&amp;DATE(I$5,1,1),DATA!$N:$N,"&lt;="&amp;DATE(I$5,12,31))</f>
        <v/>
      </c>
      <c r="J374" s="332">
        <f>SUM(C374:I374)</f>
        <v/>
      </c>
      <c r="K374" s="333">
        <f>J374/$J$506</f>
        <v/>
      </c>
    </row>
    <row r="375" hidden="1" outlineLevel="1" ht="32.25" customHeight="1">
      <c r="A375" s="48" t="n">
        <v>370</v>
      </c>
      <c r="B375" s="107" t="n"/>
      <c r="C375" s="331">
        <f>SUMIFS(DATA!$M:$M,DATA!$C:$C,$B375,DATA!$N:$N,"&gt;="&amp;DATE(C$5,1,1),DATA!$N:$N,"&lt;="&amp;DATE(C$5,12,31))</f>
        <v/>
      </c>
      <c r="D375" s="331">
        <f>SUMIFS(DATA!$M:$M,DATA!$C:$C,$B375,DATA!$N:$N,"&gt;="&amp;DATE(D$5,1,1),DATA!$N:$N,"&lt;="&amp;DATE(D$5,12,31))</f>
        <v/>
      </c>
      <c r="E375" s="331">
        <f>SUMIFS(DATA!$M:$M,DATA!$C:$C,$B375,DATA!$N:$N,"&gt;="&amp;DATE(E$5,1,1),DATA!$N:$N,"&lt;="&amp;DATE(E$5,12,31))</f>
        <v/>
      </c>
      <c r="F375" s="331">
        <f>SUMIFS(DATA!$M:$M,DATA!$C:$C,$B375,DATA!$N:$N,"&gt;="&amp;DATE(F$5,1,1),DATA!$N:$N,"&lt;="&amp;DATE(F$5,12,31))</f>
        <v/>
      </c>
      <c r="G375" s="331">
        <f>SUMIFS(DATA!$M:$M,DATA!$C:$C,$B375,DATA!$N:$N,"&gt;="&amp;DATE(G$5,1,1),DATA!$N:$N,"&lt;="&amp;DATE(G$5,12,31))</f>
        <v/>
      </c>
      <c r="H375" s="331">
        <f>SUMIFS(DATA!$M:$M,DATA!$C:$C,$B375,DATA!$N:$N,"&gt;="&amp;DATE(H$5,1,1),DATA!$N:$N,"&lt;="&amp;DATE(H$5,12,31))</f>
        <v/>
      </c>
      <c r="I375" s="331">
        <f>SUMIFS(DATA!$M:$M,DATA!$C:$C,$B375,DATA!$N:$N,"&gt;="&amp;DATE(I$5,1,1),DATA!$N:$N,"&lt;="&amp;DATE(I$5,12,31))</f>
        <v/>
      </c>
      <c r="J375" s="332">
        <f>SUM(C375:I375)</f>
        <v/>
      </c>
      <c r="K375" s="333">
        <f>J375/$J$506</f>
        <v/>
      </c>
    </row>
    <row r="376" hidden="1" outlineLevel="1" ht="32.25" customHeight="1">
      <c r="A376" s="48" t="n">
        <v>371</v>
      </c>
      <c r="B376" s="107" t="n"/>
      <c r="C376" s="331">
        <f>SUMIFS(DATA!$M:$M,DATA!$C:$C,$B376,DATA!$N:$N,"&gt;="&amp;DATE(C$5,1,1),DATA!$N:$N,"&lt;="&amp;DATE(C$5,12,31))</f>
        <v/>
      </c>
      <c r="D376" s="331">
        <f>SUMIFS(DATA!$M:$M,DATA!$C:$C,$B376,DATA!$N:$N,"&gt;="&amp;DATE(D$5,1,1),DATA!$N:$N,"&lt;="&amp;DATE(D$5,12,31))</f>
        <v/>
      </c>
      <c r="E376" s="331">
        <f>SUMIFS(DATA!$M:$M,DATA!$C:$C,$B376,DATA!$N:$N,"&gt;="&amp;DATE(E$5,1,1),DATA!$N:$N,"&lt;="&amp;DATE(E$5,12,31))</f>
        <v/>
      </c>
      <c r="F376" s="331">
        <f>SUMIFS(DATA!$M:$M,DATA!$C:$C,$B376,DATA!$N:$N,"&gt;="&amp;DATE(F$5,1,1),DATA!$N:$N,"&lt;="&amp;DATE(F$5,12,31))</f>
        <v/>
      </c>
      <c r="G376" s="331">
        <f>SUMIFS(DATA!$M:$M,DATA!$C:$C,$B376,DATA!$N:$N,"&gt;="&amp;DATE(G$5,1,1),DATA!$N:$N,"&lt;="&amp;DATE(G$5,12,31))</f>
        <v/>
      </c>
      <c r="H376" s="331">
        <f>SUMIFS(DATA!$M:$M,DATA!$C:$C,$B376,DATA!$N:$N,"&gt;="&amp;DATE(H$5,1,1),DATA!$N:$N,"&lt;="&amp;DATE(H$5,12,31))</f>
        <v/>
      </c>
      <c r="I376" s="331">
        <f>SUMIFS(DATA!$M:$M,DATA!$C:$C,$B376,DATA!$N:$N,"&gt;="&amp;DATE(I$5,1,1),DATA!$N:$N,"&lt;="&amp;DATE(I$5,12,31))</f>
        <v/>
      </c>
      <c r="J376" s="332">
        <f>SUM(C376:I376)</f>
        <v/>
      </c>
      <c r="K376" s="333">
        <f>J376/$J$506</f>
        <v/>
      </c>
    </row>
    <row r="377" hidden="1" outlineLevel="1" ht="32.25" customHeight="1">
      <c r="A377" s="48" t="n">
        <v>372</v>
      </c>
      <c r="B377" s="107" t="n"/>
      <c r="C377" s="331">
        <f>SUMIFS(DATA!$M:$M,DATA!$C:$C,$B377,DATA!$N:$N,"&gt;="&amp;DATE(C$5,1,1),DATA!$N:$N,"&lt;="&amp;DATE(C$5,12,31))</f>
        <v/>
      </c>
      <c r="D377" s="331">
        <f>SUMIFS(DATA!$M:$M,DATA!$C:$C,$B377,DATA!$N:$N,"&gt;="&amp;DATE(D$5,1,1),DATA!$N:$N,"&lt;="&amp;DATE(D$5,12,31))</f>
        <v/>
      </c>
      <c r="E377" s="331">
        <f>SUMIFS(DATA!$M:$M,DATA!$C:$C,$B377,DATA!$N:$N,"&gt;="&amp;DATE(E$5,1,1),DATA!$N:$N,"&lt;="&amp;DATE(E$5,12,31))</f>
        <v/>
      </c>
      <c r="F377" s="331">
        <f>SUMIFS(DATA!$M:$M,DATA!$C:$C,$B377,DATA!$N:$N,"&gt;="&amp;DATE(F$5,1,1),DATA!$N:$N,"&lt;="&amp;DATE(F$5,12,31))</f>
        <v/>
      </c>
      <c r="G377" s="331">
        <f>SUMIFS(DATA!$M:$M,DATA!$C:$C,$B377,DATA!$N:$N,"&gt;="&amp;DATE(G$5,1,1),DATA!$N:$N,"&lt;="&amp;DATE(G$5,12,31))</f>
        <v/>
      </c>
      <c r="H377" s="331">
        <f>SUMIFS(DATA!$M:$M,DATA!$C:$C,$B377,DATA!$N:$N,"&gt;="&amp;DATE(H$5,1,1),DATA!$N:$N,"&lt;="&amp;DATE(H$5,12,31))</f>
        <v/>
      </c>
      <c r="I377" s="331">
        <f>SUMIFS(DATA!$M:$M,DATA!$C:$C,$B377,DATA!$N:$N,"&gt;="&amp;DATE(I$5,1,1),DATA!$N:$N,"&lt;="&amp;DATE(I$5,12,31))</f>
        <v/>
      </c>
      <c r="J377" s="332">
        <f>SUM(C377:I377)</f>
        <v/>
      </c>
      <c r="K377" s="333">
        <f>J377/$J$506</f>
        <v/>
      </c>
    </row>
    <row r="378" hidden="1" outlineLevel="1" ht="32.25" customHeight="1">
      <c r="A378" s="48" t="n">
        <v>373</v>
      </c>
      <c r="B378" s="107" t="n"/>
      <c r="C378" s="331">
        <f>SUMIFS(DATA!$M:$M,DATA!$C:$C,$B378,DATA!$N:$N,"&gt;="&amp;DATE(C$5,1,1),DATA!$N:$N,"&lt;="&amp;DATE(C$5,12,31))</f>
        <v/>
      </c>
      <c r="D378" s="331">
        <f>SUMIFS(DATA!$M:$M,DATA!$C:$C,$B378,DATA!$N:$N,"&gt;="&amp;DATE(D$5,1,1),DATA!$N:$N,"&lt;="&amp;DATE(D$5,12,31))</f>
        <v/>
      </c>
      <c r="E378" s="331">
        <f>SUMIFS(DATA!$M:$M,DATA!$C:$C,$B378,DATA!$N:$N,"&gt;="&amp;DATE(E$5,1,1),DATA!$N:$N,"&lt;="&amp;DATE(E$5,12,31))</f>
        <v/>
      </c>
      <c r="F378" s="331">
        <f>SUMIFS(DATA!$M:$M,DATA!$C:$C,$B378,DATA!$N:$N,"&gt;="&amp;DATE(F$5,1,1),DATA!$N:$N,"&lt;="&amp;DATE(F$5,12,31))</f>
        <v/>
      </c>
      <c r="G378" s="331">
        <f>SUMIFS(DATA!$M:$M,DATA!$C:$C,$B378,DATA!$N:$N,"&gt;="&amp;DATE(G$5,1,1),DATA!$N:$N,"&lt;="&amp;DATE(G$5,12,31))</f>
        <v/>
      </c>
      <c r="H378" s="331">
        <f>SUMIFS(DATA!$M:$M,DATA!$C:$C,$B378,DATA!$N:$N,"&gt;="&amp;DATE(H$5,1,1),DATA!$N:$N,"&lt;="&amp;DATE(H$5,12,31))</f>
        <v/>
      </c>
      <c r="I378" s="331">
        <f>SUMIFS(DATA!$M:$M,DATA!$C:$C,$B378,DATA!$N:$N,"&gt;="&amp;DATE(I$5,1,1),DATA!$N:$N,"&lt;="&amp;DATE(I$5,12,31))</f>
        <v/>
      </c>
      <c r="J378" s="332">
        <f>SUM(C378:I378)</f>
        <v/>
      </c>
      <c r="K378" s="333">
        <f>J378/$J$506</f>
        <v/>
      </c>
    </row>
    <row r="379" hidden="1" outlineLevel="1" ht="32.25" customHeight="1">
      <c r="A379" s="48" t="n">
        <v>374</v>
      </c>
      <c r="B379" s="107" t="n"/>
      <c r="C379" s="331">
        <f>SUMIFS(DATA!$M:$M,DATA!$C:$C,$B379,DATA!$N:$N,"&gt;="&amp;DATE(C$5,1,1),DATA!$N:$N,"&lt;="&amp;DATE(C$5,12,31))</f>
        <v/>
      </c>
      <c r="D379" s="331">
        <f>SUMIFS(DATA!$M:$M,DATA!$C:$C,$B379,DATA!$N:$N,"&gt;="&amp;DATE(D$5,1,1),DATA!$N:$N,"&lt;="&amp;DATE(D$5,12,31))</f>
        <v/>
      </c>
      <c r="E379" s="331">
        <f>SUMIFS(DATA!$M:$M,DATA!$C:$C,$B379,DATA!$N:$N,"&gt;="&amp;DATE(E$5,1,1),DATA!$N:$N,"&lt;="&amp;DATE(E$5,12,31))</f>
        <v/>
      </c>
      <c r="F379" s="331">
        <f>SUMIFS(DATA!$M:$M,DATA!$C:$C,$B379,DATA!$N:$N,"&gt;="&amp;DATE(F$5,1,1),DATA!$N:$N,"&lt;="&amp;DATE(F$5,12,31))</f>
        <v/>
      </c>
      <c r="G379" s="331">
        <f>SUMIFS(DATA!$M:$M,DATA!$C:$C,$B379,DATA!$N:$N,"&gt;="&amp;DATE(G$5,1,1),DATA!$N:$N,"&lt;="&amp;DATE(G$5,12,31))</f>
        <v/>
      </c>
      <c r="H379" s="331">
        <f>SUMIFS(DATA!$M:$M,DATA!$C:$C,$B379,DATA!$N:$N,"&gt;="&amp;DATE(H$5,1,1),DATA!$N:$N,"&lt;="&amp;DATE(H$5,12,31))</f>
        <v/>
      </c>
      <c r="I379" s="331">
        <f>SUMIFS(DATA!$M:$M,DATA!$C:$C,$B379,DATA!$N:$N,"&gt;="&amp;DATE(I$5,1,1),DATA!$N:$N,"&lt;="&amp;DATE(I$5,12,31))</f>
        <v/>
      </c>
      <c r="J379" s="332">
        <f>SUM(C379:I379)</f>
        <v/>
      </c>
      <c r="K379" s="333">
        <f>J379/$J$506</f>
        <v/>
      </c>
    </row>
    <row r="380" hidden="1" outlineLevel="1" ht="32.25" customHeight="1">
      <c r="A380" s="48" t="n">
        <v>375</v>
      </c>
      <c r="B380" s="107" t="n"/>
      <c r="C380" s="331">
        <f>SUMIFS(DATA!$M:$M,DATA!$C:$C,$B380,DATA!$N:$N,"&gt;="&amp;DATE(C$5,1,1),DATA!$N:$N,"&lt;="&amp;DATE(C$5,12,31))</f>
        <v/>
      </c>
      <c r="D380" s="331">
        <f>SUMIFS(DATA!$M:$M,DATA!$C:$C,$B380,DATA!$N:$N,"&gt;="&amp;DATE(D$5,1,1),DATA!$N:$N,"&lt;="&amp;DATE(D$5,12,31))</f>
        <v/>
      </c>
      <c r="E380" s="331">
        <f>SUMIFS(DATA!$M:$M,DATA!$C:$C,$B380,DATA!$N:$N,"&gt;="&amp;DATE(E$5,1,1),DATA!$N:$N,"&lt;="&amp;DATE(E$5,12,31))</f>
        <v/>
      </c>
      <c r="F380" s="331">
        <f>SUMIFS(DATA!$M:$M,DATA!$C:$C,$B380,DATA!$N:$N,"&gt;="&amp;DATE(F$5,1,1),DATA!$N:$N,"&lt;="&amp;DATE(F$5,12,31))</f>
        <v/>
      </c>
      <c r="G380" s="331">
        <f>SUMIFS(DATA!$M:$M,DATA!$C:$C,$B380,DATA!$N:$N,"&gt;="&amp;DATE(G$5,1,1),DATA!$N:$N,"&lt;="&amp;DATE(G$5,12,31))</f>
        <v/>
      </c>
      <c r="H380" s="331">
        <f>SUMIFS(DATA!$M:$M,DATA!$C:$C,$B380,DATA!$N:$N,"&gt;="&amp;DATE(H$5,1,1),DATA!$N:$N,"&lt;="&amp;DATE(H$5,12,31))</f>
        <v/>
      </c>
      <c r="I380" s="331">
        <f>SUMIFS(DATA!$M:$M,DATA!$C:$C,$B380,DATA!$N:$N,"&gt;="&amp;DATE(I$5,1,1),DATA!$N:$N,"&lt;="&amp;DATE(I$5,12,31))</f>
        <v/>
      </c>
      <c r="J380" s="332">
        <f>SUM(C380:I380)</f>
        <v/>
      </c>
      <c r="K380" s="333">
        <f>J380/$J$506</f>
        <v/>
      </c>
    </row>
    <row r="381" hidden="1" outlineLevel="1" ht="32.25" customHeight="1">
      <c r="A381" s="48" t="n">
        <v>376</v>
      </c>
      <c r="B381" s="107" t="n"/>
      <c r="C381" s="331">
        <f>SUMIFS(DATA!$M:$M,DATA!$C:$C,$B381,DATA!$N:$N,"&gt;="&amp;DATE(C$5,1,1),DATA!$N:$N,"&lt;="&amp;DATE(C$5,12,31))</f>
        <v/>
      </c>
      <c r="D381" s="331">
        <f>SUMIFS(DATA!$M:$M,DATA!$C:$C,$B381,DATA!$N:$N,"&gt;="&amp;DATE(D$5,1,1),DATA!$N:$N,"&lt;="&amp;DATE(D$5,12,31))</f>
        <v/>
      </c>
      <c r="E381" s="331">
        <f>SUMIFS(DATA!$M:$M,DATA!$C:$C,$B381,DATA!$N:$N,"&gt;="&amp;DATE(E$5,1,1),DATA!$N:$N,"&lt;="&amp;DATE(E$5,12,31))</f>
        <v/>
      </c>
      <c r="F381" s="331">
        <f>SUMIFS(DATA!$M:$M,DATA!$C:$C,$B381,DATA!$N:$N,"&gt;="&amp;DATE(F$5,1,1),DATA!$N:$N,"&lt;="&amp;DATE(F$5,12,31))</f>
        <v/>
      </c>
      <c r="G381" s="331">
        <f>SUMIFS(DATA!$M:$M,DATA!$C:$C,$B381,DATA!$N:$N,"&gt;="&amp;DATE(G$5,1,1),DATA!$N:$N,"&lt;="&amp;DATE(G$5,12,31))</f>
        <v/>
      </c>
      <c r="H381" s="331">
        <f>SUMIFS(DATA!$M:$M,DATA!$C:$C,$B381,DATA!$N:$N,"&gt;="&amp;DATE(H$5,1,1),DATA!$N:$N,"&lt;="&amp;DATE(H$5,12,31))</f>
        <v/>
      </c>
      <c r="I381" s="331">
        <f>SUMIFS(DATA!$M:$M,DATA!$C:$C,$B381,DATA!$N:$N,"&gt;="&amp;DATE(I$5,1,1),DATA!$N:$N,"&lt;="&amp;DATE(I$5,12,31))</f>
        <v/>
      </c>
      <c r="J381" s="332">
        <f>SUM(C381:I381)</f>
        <v/>
      </c>
      <c r="K381" s="333">
        <f>J381/$J$506</f>
        <v/>
      </c>
    </row>
    <row r="382" hidden="1" outlineLevel="1" ht="32.25" customHeight="1">
      <c r="A382" s="48" t="n">
        <v>377</v>
      </c>
      <c r="B382" s="107" t="n"/>
      <c r="C382" s="331">
        <f>SUMIFS(DATA!$M:$M,DATA!$C:$C,$B382,DATA!$N:$N,"&gt;="&amp;DATE(C$5,1,1),DATA!$N:$N,"&lt;="&amp;DATE(C$5,12,31))</f>
        <v/>
      </c>
      <c r="D382" s="331">
        <f>SUMIFS(DATA!$M:$M,DATA!$C:$C,$B382,DATA!$N:$N,"&gt;="&amp;DATE(D$5,1,1),DATA!$N:$N,"&lt;="&amp;DATE(D$5,12,31))</f>
        <v/>
      </c>
      <c r="E382" s="331">
        <f>SUMIFS(DATA!$M:$M,DATA!$C:$C,$B382,DATA!$N:$N,"&gt;="&amp;DATE(E$5,1,1),DATA!$N:$N,"&lt;="&amp;DATE(E$5,12,31))</f>
        <v/>
      </c>
      <c r="F382" s="331">
        <f>SUMIFS(DATA!$M:$M,DATA!$C:$C,$B382,DATA!$N:$N,"&gt;="&amp;DATE(F$5,1,1),DATA!$N:$N,"&lt;="&amp;DATE(F$5,12,31))</f>
        <v/>
      </c>
      <c r="G382" s="331">
        <f>SUMIFS(DATA!$M:$M,DATA!$C:$C,$B382,DATA!$N:$N,"&gt;="&amp;DATE(G$5,1,1),DATA!$N:$N,"&lt;="&amp;DATE(G$5,12,31))</f>
        <v/>
      </c>
      <c r="H382" s="331">
        <f>SUMIFS(DATA!$M:$M,DATA!$C:$C,$B382,DATA!$N:$N,"&gt;="&amp;DATE(H$5,1,1),DATA!$N:$N,"&lt;="&amp;DATE(H$5,12,31))</f>
        <v/>
      </c>
      <c r="I382" s="331">
        <f>SUMIFS(DATA!$M:$M,DATA!$C:$C,$B382,DATA!$N:$N,"&gt;="&amp;DATE(I$5,1,1),DATA!$N:$N,"&lt;="&amp;DATE(I$5,12,31))</f>
        <v/>
      </c>
      <c r="J382" s="332">
        <f>SUM(C382:I382)</f>
        <v/>
      </c>
      <c r="K382" s="333">
        <f>J382/$J$506</f>
        <v/>
      </c>
    </row>
    <row r="383" hidden="1" outlineLevel="1" ht="32.25" customHeight="1">
      <c r="A383" s="48" t="n">
        <v>378</v>
      </c>
      <c r="B383" s="107" t="n"/>
      <c r="C383" s="331">
        <f>SUMIFS(DATA!$M:$M,DATA!$C:$C,$B383,DATA!$N:$N,"&gt;="&amp;DATE(C$5,1,1),DATA!$N:$N,"&lt;="&amp;DATE(C$5,12,31))</f>
        <v/>
      </c>
      <c r="D383" s="331">
        <f>SUMIFS(DATA!$M:$M,DATA!$C:$C,$B383,DATA!$N:$N,"&gt;="&amp;DATE(D$5,1,1),DATA!$N:$N,"&lt;="&amp;DATE(D$5,12,31))</f>
        <v/>
      </c>
      <c r="E383" s="331">
        <f>SUMIFS(DATA!$M:$M,DATA!$C:$C,$B383,DATA!$N:$N,"&gt;="&amp;DATE(E$5,1,1),DATA!$N:$N,"&lt;="&amp;DATE(E$5,12,31))</f>
        <v/>
      </c>
      <c r="F383" s="331">
        <f>SUMIFS(DATA!$M:$M,DATA!$C:$C,$B383,DATA!$N:$N,"&gt;="&amp;DATE(F$5,1,1),DATA!$N:$N,"&lt;="&amp;DATE(F$5,12,31))</f>
        <v/>
      </c>
      <c r="G383" s="331">
        <f>SUMIFS(DATA!$M:$M,DATA!$C:$C,$B383,DATA!$N:$N,"&gt;="&amp;DATE(G$5,1,1),DATA!$N:$N,"&lt;="&amp;DATE(G$5,12,31))</f>
        <v/>
      </c>
      <c r="H383" s="331">
        <f>SUMIFS(DATA!$M:$M,DATA!$C:$C,$B383,DATA!$N:$N,"&gt;="&amp;DATE(H$5,1,1),DATA!$N:$N,"&lt;="&amp;DATE(H$5,12,31))</f>
        <v/>
      </c>
      <c r="I383" s="331">
        <f>SUMIFS(DATA!$M:$M,DATA!$C:$C,$B383,DATA!$N:$N,"&gt;="&amp;DATE(I$5,1,1),DATA!$N:$N,"&lt;="&amp;DATE(I$5,12,31))</f>
        <v/>
      </c>
      <c r="J383" s="332">
        <f>SUM(C383:I383)</f>
        <v/>
      </c>
      <c r="K383" s="333">
        <f>J383/$J$506</f>
        <v/>
      </c>
    </row>
    <row r="384" hidden="1" outlineLevel="1" ht="32.25" customHeight="1">
      <c r="A384" s="48" t="n">
        <v>379</v>
      </c>
      <c r="B384" s="107" t="n"/>
      <c r="C384" s="331">
        <f>SUMIFS(DATA!$M:$M,DATA!$C:$C,$B384,DATA!$N:$N,"&gt;="&amp;DATE(C$5,1,1),DATA!$N:$N,"&lt;="&amp;DATE(C$5,12,31))</f>
        <v/>
      </c>
      <c r="D384" s="331">
        <f>SUMIFS(DATA!$M:$M,DATA!$C:$C,$B384,DATA!$N:$N,"&gt;="&amp;DATE(D$5,1,1),DATA!$N:$N,"&lt;="&amp;DATE(D$5,12,31))</f>
        <v/>
      </c>
      <c r="E384" s="331">
        <f>SUMIFS(DATA!$M:$M,DATA!$C:$C,$B384,DATA!$N:$N,"&gt;="&amp;DATE(E$5,1,1),DATA!$N:$N,"&lt;="&amp;DATE(E$5,12,31))</f>
        <v/>
      </c>
      <c r="F384" s="331">
        <f>SUMIFS(DATA!$M:$M,DATA!$C:$C,$B384,DATA!$N:$N,"&gt;="&amp;DATE(F$5,1,1),DATA!$N:$N,"&lt;="&amp;DATE(F$5,12,31))</f>
        <v/>
      </c>
      <c r="G384" s="331">
        <f>SUMIFS(DATA!$M:$M,DATA!$C:$C,$B384,DATA!$N:$N,"&gt;="&amp;DATE(G$5,1,1),DATA!$N:$N,"&lt;="&amp;DATE(G$5,12,31))</f>
        <v/>
      </c>
      <c r="H384" s="331">
        <f>SUMIFS(DATA!$M:$M,DATA!$C:$C,$B384,DATA!$N:$N,"&gt;="&amp;DATE(H$5,1,1),DATA!$N:$N,"&lt;="&amp;DATE(H$5,12,31))</f>
        <v/>
      </c>
      <c r="I384" s="331">
        <f>SUMIFS(DATA!$M:$M,DATA!$C:$C,$B384,DATA!$N:$N,"&gt;="&amp;DATE(I$5,1,1),DATA!$N:$N,"&lt;="&amp;DATE(I$5,12,31))</f>
        <v/>
      </c>
      <c r="J384" s="332">
        <f>SUM(C384:I384)</f>
        <v/>
      </c>
      <c r="K384" s="333">
        <f>J384/$J$506</f>
        <v/>
      </c>
    </row>
    <row r="385" hidden="1" outlineLevel="1" ht="32.25" customHeight="1">
      <c r="A385" s="48" t="n">
        <v>380</v>
      </c>
      <c r="B385" s="107" t="n"/>
      <c r="C385" s="331">
        <f>SUMIFS(DATA!$M:$M,DATA!$C:$C,$B385,DATA!$N:$N,"&gt;="&amp;DATE(C$5,1,1),DATA!$N:$N,"&lt;="&amp;DATE(C$5,12,31))</f>
        <v/>
      </c>
      <c r="D385" s="331">
        <f>SUMIFS(DATA!$M:$M,DATA!$C:$C,$B385,DATA!$N:$N,"&gt;="&amp;DATE(D$5,1,1),DATA!$N:$N,"&lt;="&amp;DATE(D$5,12,31))</f>
        <v/>
      </c>
      <c r="E385" s="331">
        <f>SUMIFS(DATA!$M:$M,DATA!$C:$C,$B385,DATA!$N:$N,"&gt;="&amp;DATE(E$5,1,1),DATA!$N:$N,"&lt;="&amp;DATE(E$5,12,31))</f>
        <v/>
      </c>
      <c r="F385" s="331">
        <f>SUMIFS(DATA!$M:$M,DATA!$C:$C,$B385,DATA!$N:$N,"&gt;="&amp;DATE(F$5,1,1),DATA!$N:$N,"&lt;="&amp;DATE(F$5,12,31))</f>
        <v/>
      </c>
      <c r="G385" s="331">
        <f>SUMIFS(DATA!$M:$M,DATA!$C:$C,$B385,DATA!$N:$N,"&gt;="&amp;DATE(G$5,1,1),DATA!$N:$N,"&lt;="&amp;DATE(G$5,12,31))</f>
        <v/>
      </c>
      <c r="H385" s="331">
        <f>SUMIFS(DATA!$M:$M,DATA!$C:$C,$B385,DATA!$N:$N,"&gt;="&amp;DATE(H$5,1,1),DATA!$N:$N,"&lt;="&amp;DATE(H$5,12,31))</f>
        <v/>
      </c>
      <c r="I385" s="331">
        <f>SUMIFS(DATA!$M:$M,DATA!$C:$C,$B385,DATA!$N:$N,"&gt;="&amp;DATE(I$5,1,1),DATA!$N:$N,"&lt;="&amp;DATE(I$5,12,31))</f>
        <v/>
      </c>
      <c r="J385" s="332">
        <f>SUM(C385:I385)</f>
        <v/>
      </c>
      <c r="K385" s="333">
        <f>J385/$J$506</f>
        <v/>
      </c>
    </row>
    <row r="386" hidden="1" outlineLevel="1" ht="32.25" customHeight="1">
      <c r="A386" s="48" t="n">
        <v>381</v>
      </c>
      <c r="B386" s="107" t="n"/>
      <c r="C386" s="331">
        <f>SUMIFS(DATA!$M:$M,DATA!$C:$C,$B386,DATA!$N:$N,"&gt;="&amp;DATE(C$5,1,1),DATA!$N:$N,"&lt;="&amp;DATE(C$5,12,31))</f>
        <v/>
      </c>
      <c r="D386" s="331">
        <f>SUMIFS(DATA!$M:$M,DATA!$C:$C,$B386,DATA!$N:$N,"&gt;="&amp;DATE(D$5,1,1),DATA!$N:$N,"&lt;="&amp;DATE(D$5,12,31))</f>
        <v/>
      </c>
      <c r="E386" s="331">
        <f>SUMIFS(DATA!$M:$M,DATA!$C:$C,$B386,DATA!$N:$N,"&gt;="&amp;DATE(E$5,1,1),DATA!$N:$N,"&lt;="&amp;DATE(E$5,12,31))</f>
        <v/>
      </c>
      <c r="F386" s="331">
        <f>SUMIFS(DATA!$M:$M,DATA!$C:$C,$B386,DATA!$N:$N,"&gt;="&amp;DATE(F$5,1,1),DATA!$N:$N,"&lt;="&amp;DATE(F$5,12,31))</f>
        <v/>
      </c>
      <c r="G386" s="331">
        <f>SUMIFS(DATA!$M:$M,DATA!$C:$C,$B386,DATA!$N:$N,"&gt;="&amp;DATE(G$5,1,1),DATA!$N:$N,"&lt;="&amp;DATE(G$5,12,31))</f>
        <v/>
      </c>
      <c r="H386" s="331">
        <f>SUMIFS(DATA!$M:$M,DATA!$C:$C,$B386,DATA!$N:$N,"&gt;="&amp;DATE(H$5,1,1),DATA!$N:$N,"&lt;="&amp;DATE(H$5,12,31))</f>
        <v/>
      </c>
      <c r="I386" s="331">
        <f>SUMIFS(DATA!$M:$M,DATA!$C:$C,$B386,DATA!$N:$N,"&gt;="&amp;DATE(I$5,1,1),DATA!$N:$N,"&lt;="&amp;DATE(I$5,12,31))</f>
        <v/>
      </c>
      <c r="J386" s="332">
        <f>SUM(C386:I386)</f>
        <v/>
      </c>
      <c r="K386" s="333">
        <f>J386/$J$506</f>
        <v/>
      </c>
    </row>
    <row r="387" hidden="1" outlineLevel="1" ht="32.25" customHeight="1">
      <c r="A387" s="48" t="n">
        <v>382</v>
      </c>
      <c r="B387" s="107" t="n"/>
      <c r="C387" s="331">
        <f>SUMIFS(DATA!$M:$M,DATA!$C:$C,$B387,DATA!$N:$N,"&gt;="&amp;DATE(C$5,1,1),DATA!$N:$N,"&lt;="&amp;DATE(C$5,12,31))</f>
        <v/>
      </c>
      <c r="D387" s="331">
        <f>SUMIFS(DATA!$M:$M,DATA!$C:$C,$B387,DATA!$N:$N,"&gt;="&amp;DATE(D$5,1,1),DATA!$N:$N,"&lt;="&amp;DATE(D$5,12,31))</f>
        <v/>
      </c>
      <c r="E387" s="331">
        <f>SUMIFS(DATA!$M:$M,DATA!$C:$C,$B387,DATA!$N:$N,"&gt;="&amp;DATE(E$5,1,1),DATA!$N:$N,"&lt;="&amp;DATE(E$5,12,31))</f>
        <v/>
      </c>
      <c r="F387" s="331">
        <f>SUMIFS(DATA!$M:$M,DATA!$C:$C,$B387,DATA!$N:$N,"&gt;="&amp;DATE(F$5,1,1),DATA!$N:$N,"&lt;="&amp;DATE(F$5,12,31))</f>
        <v/>
      </c>
      <c r="G387" s="331">
        <f>SUMIFS(DATA!$M:$M,DATA!$C:$C,$B387,DATA!$N:$N,"&gt;="&amp;DATE(G$5,1,1),DATA!$N:$N,"&lt;="&amp;DATE(G$5,12,31))</f>
        <v/>
      </c>
      <c r="H387" s="331">
        <f>SUMIFS(DATA!$M:$M,DATA!$C:$C,$B387,DATA!$N:$N,"&gt;="&amp;DATE(H$5,1,1),DATA!$N:$N,"&lt;="&amp;DATE(H$5,12,31))</f>
        <v/>
      </c>
      <c r="I387" s="331">
        <f>SUMIFS(DATA!$M:$M,DATA!$C:$C,$B387,DATA!$N:$N,"&gt;="&amp;DATE(I$5,1,1),DATA!$N:$N,"&lt;="&amp;DATE(I$5,12,31))</f>
        <v/>
      </c>
      <c r="J387" s="332">
        <f>SUM(C387:I387)</f>
        <v/>
      </c>
      <c r="K387" s="333">
        <f>J387/$J$506</f>
        <v/>
      </c>
    </row>
    <row r="388" hidden="1" outlineLevel="1" ht="32.25" customHeight="1">
      <c r="A388" s="48" t="n">
        <v>383</v>
      </c>
      <c r="B388" s="107" t="n"/>
      <c r="C388" s="331">
        <f>SUMIFS(DATA!$M:$M,DATA!$C:$C,$B388,DATA!$N:$N,"&gt;="&amp;DATE(C$5,1,1),DATA!$N:$N,"&lt;="&amp;DATE(C$5,12,31))</f>
        <v/>
      </c>
      <c r="D388" s="331">
        <f>SUMIFS(DATA!$M:$M,DATA!$C:$C,$B388,DATA!$N:$N,"&gt;="&amp;DATE(D$5,1,1),DATA!$N:$N,"&lt;="&amp;DATE(D$5,12,31))</f>
        <v/>
      </c>
      <c r="E388" s="331">
        <f>SUMIFS(DATA!$M:$M,DATA!$C:$C,$B388,DATA!$N:$N,"&gt;="&amp;DATE(E$5,1,1),DATA!$N:$N,"&lt;="&amp;DATE(E$5,12,31))</f>
        <v/>
      </c>
      <c r="F388" s="331">
        <f>SUMIFS(DATA!$M:$M,DATA!$C:$C,$B388,DATA!$N:$N,"&gt;="&amp;DATE(F$5,1,1),DATA!$N:$N,"&lt;="&amp;DATE(F$5,12,31))</f>
        <v/>
      </c>
      <c r="G388" s="331">
        <f>SUMIFS(DATA!$M:$M,DATA!$C:$C,$B388,DATA!$N:$N,"&gt;="&amp;DATE(G$5,1,1),DATA!$N:$N,"&lt;="&amp;DATE(G$5,12,31))</f>
        <v/>
      </c>
      <c r="H388" s="331">
        <f>SUMIFS(DATA!$M:$M,DATA!$C:$C,$B388,DATA!$N:$N,"&gt;="&amp;DATE(H$5,1,1),DATA!$N:$N,"&lt;="&amp;DATE(H$5,12,31))</f>
        <v/>
      </c>
      <c r="I388" s="331">
        <f>SUMIFS(DATA!$M:$M,DATA!$C:$C,$B388,DATA!$N:$N,"&gt;="&amp;DATE(I$5,1,1),DATA!$N:$N,"&lt;="&amp;DATE(I$5,12,31))</f>
        <v/>
      </c>
      <c r="J388" s="332">
        <f>SUM(C388:I388)</f>
        <v/>
      </c>
      <c r="K388" s="333">
        <f>J388/$J$506</f>
        <v/>
      </c>
    </row>
    <row r="389" hidden="1" outlineLevel="1" ht="32.25" customHeight="1">
      <c r="A389" s="48" t="n">
        <v>384</v>
      </c>
      <c r="B389" s="107" t="n"/>
      <c r="C389" s="331">
        <f>SUMIFS(DATA!$M:$M,DATA!$C:$C,$B389,DATA!$N:$N,"&gt;="&amp;DATE(C$5,1,1),DATA!$N:$N,"&lt;="&amp;DATE(C$5,12,31))</f>
        <v/>
      </c>
      <c r="D389" s="331">
        <f>SUMIFS(DATA!$M:$M,DATA!$C:$C,$B389,DATA!$N:$N,"&gt;="&amp;DATE(D$5,1,1),DATA!$N:$N,"&lt;="&amp;DATE(D$5,12,31))</f>
        <v/>
      </c>
      <c r="E389" s="331">
        <f>SUMIFS(DATA!$M:$M,DATA!$C:$C,$B389,DATA!$N:$N,"&gt;="&amp;DATE(E$5,1,1),DATA!$N:$N,"&lt;="&amp;DATE(E$5,12,31))</f>
        <v/>
      </c>
      <c r="F389" s="331">
        <f>SUMIFS(DATA!$M:$M,DATA!$C:$C,$B389,DATA!$N:$N,"&gt;="&amp;DATE(F$5,1,1),DATA!$N:$N,"&lt;="&amp;DATE(F$5,12,31))</f>
        <v/>
      </c>
      <c r="G389" s="331">
        <f>SUMIFS(DATA!$M:$M,DATA!$C:$C,$B389,DATA!$N:$N,"&gt;="&amp;DATE(G$5,1,1),DATA!$N:$N,"&lt;="&amp;DATE(G$5,12,31))</f>
        <v/>
      </c>
      <c r="H389" s="331">
        <f>SUMIFS(DATA!$M:$M,DATA!$C:$C,$B389,DATA!$N:$N,"&gt;="&amp;DATE(H$5,1,1),DATA!$N:$N,"&lt;="&amp;DATE(H$5,12,31))</f>
        <v/>
      </c>
      <c r="I389" s="331">
        <f>SUMIFS(DATA!$M:$M,DATA!$C:$C,$B389,DATA!$N:$N,"&gt;="&amp;DATE(I$5,1,1),DATA!$N:$N,"&lt;="&amp;DATE(I$5,12,31))</f>
        <v/>
      </c>
      <c r="J389" s="332">
        <f>SUM(C389:I389)</f>
        <v/>
      </c>
      <c r="K389" s="333">
        <f>J389/$J$506</f>
        <v/>
      </c>
    </row>
    <row r="390" hidden="1" outlineLevel="1" ht="32.25" customHeight="1">
      <c r="A390" s="48" t="n">
        <v>385</v>
      </c>
      <c r="B390" s="107" t="n"/>
      <c r="C390" s="331">
        <f>SUMIFS(DATA!$M:$M,DATA!$C:$C,$B390,DATA!$N:$N,"&gt;="&amp;DATE(C$5,1,1),DATA!$N:$N,"&lt;="&amp;DATE(C$5,12,31))</f>
        <v/>
      </c>
      <c r="D390" s="331">
        <f>SUMIFS(DATA!$M:$M,DATA!$C:$C,$B390,DATA!$N:$N,"&gt;="&amp;DATE(D$5,1,1),DATA!$N:$N,"&lt;="&amp;DATE(D$5,12,31))</f>
        <v/>
      </c>
      <c r="E390" s="331">
        <f>SUMIFS(DATA!$M:$M,DATA!$C:$C,$B390,DATA!$N:$N,"&gt;="&amp;DATE(E$5,1,1),DATA!$N:$N,"&lt;="&amp;DATE(E$5,12,31))</f>
        <v/>
      </c>
      <c r="F390" s="331">
        <f>SUMIFS(DATA!$M:$M,DATA!$C:$C,$B390,DATA!$N:$N,"&gt;="&amp;DATE(F$5,1,1),DATA!$N:$N,"&lt;="&amp;DATE(F$5,12,31))</f>
        <v/>
      </c>
      <c r="G390" s="331">
        <f>SUMIFS(DATA!$M:$M,DATA!$C:$C,$B390,DATA!$N:$N,"&gt;="&amp;DATE(G$5,1,1),DATA!$N:$N,"&lt;="&amp;DATE(G$5,12,31))</f>
        <v/>
      </c>
      <c r="H390" s="331">
        <f>SUMIFS(DATA!$M:$M,DATA!$C:$C,$B390,DATA!$N:$N,"&gt;="&amp;DATE(H$5,1,1),DATA!$N:$N,"&lt;="&amp;DATE(H$5,12,31))</f>
        <v/>
      </c>
      <c r="I390" s="331">
        <f>SUMIFS(DATA!$M:$M,DATA!$C:$C,$B390,DATA!$N:$N,"&gt;="&amp;DATE(I$5,1,1),DATA!$N:$N,"&lt;="&amp;DATE(I$5,12,31))</f>
        <v/>
      </c>
      <c r="J390" s="332">
        <f>SUM(C390:I390)</f>
        <v/>
      </c>
      <c r="K390" s="333">
        <f>J390/$J$506</f>
        <v/>
      </c>
    </row>
    <row r="391" hidden="1" outlineLevel="1" ht="32.25" customHeight="1">
      <c r="A391" s="48" t="n">
        <v>386</v>
      </c>
      <c r="B391" s="107" t="n"/>
      <c r="C391" s="331">
        <f>SUMIFS(DATA!$M:$M,DATA!$C:$C,$B391,DATA!$N:$N,"&gt;="&amp;DATE(C$5,1,1),DATA!$N:$N,"&lt;="&amp;DATE(C$5,12,31))</f>
        <v/>
      </c>
      <c r="D391" s="331">
        <f>SUMIFS(DATA!$M:$M,DATA!$C:$C,$B391,DATA!$N:$N,"&gt;="&amp;DATE(D$5,1,1),DATA!$N:$N,"&lt;="&amp;DATE(D$5,12,31))</f>
        <v/>
      </c>
      <c r="E391" s="331">
        <f>SUMIFS(DATA!$M:$M,DATA!$C:$C,$B391,DATA!$N:$N,"&gt;="&amp;DATE(E$5,1,1),DATA!$N:$N,"&lt;="&amp;DATE(E$5,12,31))</f>
        <v/>
      </c>
      <c r="F391" s="331">
        <f>SUMIFS(DATA!$M:$M,DATA!$C:$C,$B391,DATA!$N:$N,"&gt;="&amp;DATE(F$5,1,1),DATA!$N:$N,"&lt;="&amp;DATE(F$5,12,31))</f>
        <v/>
      </c>
      <c r="G391" s="331">
        <f>SUMIFS(DATA!$M:$M,DATA!$C:$C,$B391,DATA!$N:$N,"&gt;="&amp;DATE(G$5,1,1),DATA!$N:$N,"&lt;="&amp;DATE(G$5,12,31))</f>
        <v/>
      </c>
      <c r="H391" s="331">
        <f>SUMIFS(DATA!$M:$M,DATA!$C:$C,$B391,DATA!$N:$N,"&gt;="&amp;DATE(H$5,1,1),DATA!$N:$N,"&lt;="&amp;DATE(H$5,12,31))</f>
        <v/>
      </c>
      <c r="I391" s="331">
        <f>SUMIFS(DATA!$M:$M,DATA!$C:$C,$B391,DATA!$N:$N,"&gt;="&amp;DATE(I$5,1,1),DATA!$N:$N,"&lt;="&amp;DATE(I$5,12,31))</f>
        <v/>
      </c>
      <c r="J391" s="332">
        <f>SUM(C391:I391)</f>
        <v/>
      </c>
      <c r="K391" s="333">
        <f>J391/$J$506</f>
        <v/>
      </c>
    </row>
    <row r="392" hidden="1" outlineLevel="1" ht="32.25" customHeight="1">
      <c r="A392" s="48" t="n">
        <v>387</v>
      </c>
      <c r="B392" s="107" t="n"/>
      <c r="C392" s="331">
        <f>SUMIFS(DATA!$M:$M,DATA!$C:$C,$B392,DATA!$N:$N,"&gt;="&amp;DATE(C$5,1,1),DATA!$N:$N,"&lt;="&amp;DATE(C$5,12,31))</f>
        <v/>
      </c>
      <c r="D392" s="331">
        <f>SUMIFS(DATA!$M:$M,DATA!$C:$C,$B392,DATA!$N:$N,"&gt;="&amp;DATE(D$5,1,1),DATA!$N:$N,"&lt;="&amp;DATE(D$5,12,31))</f>
        <v/>
      </c>
      <c r="E392" s="331">
        <f>SUMIFS(DATA!$M:$M,DATA!$C:$C,$B392,DATA!$N:$N,"&gt;="&amp;DATE(E$5,1,1),DATA!$N:$N,"&lt;="&amp;DATE(E$5,12,31))</f>
        <v/>
      </c>
      <c r="F392" s="331">
        <f>SUMIFS(DATA!$M:$M,DATA!$C:$C,$B392,DATA!$N:$N,"&gt;="&amp;DATE(F$5,1,1),DATA!$N:$N,"&lt;="&amp;DATE(F$5,12,31))</f>
        <v/>
      </c>
      <c r="G392" s="331">
        <f>SUMIFS(DATA!$M:$M,DATA!$C:$C,$B392,DATA!$N:$N,"&gt;="&amp;DATE(G$5,1,1),DATA!$N:$N,"&lt;="&amp;DATE(G$5,12,31))</f>
        <v/>
      </c>
      <c r="H392" s="331">
        <f>SUMIFS(DATA!$M:$M,DATA!$C:$C,$B392,DATA!$N:$N,"&gt;="&amp;DATE(H$5,1,1),DATA!$N:$N,"&lt;="&amp;DATE(H$5,12,31))</f>
        <v/>
      </c>
      <c r="I392" s="331">
        <f>SUMIFS(DATA!$M:$M,DATA!$C:$C,$B392,DATA!$N:$N,"&gt;="&amp;DATE(I$5,1,1),DATA!$N:$N,"&lt;="&amp;DATE(I$5,12,31))</f>
        <v/>
      </c>
      <c r="J392" s="332">
        <f>SUM(C392:I392)</f>
        <v/>
      </c>
      <c r="K392" s="333">
        <f>J392/$J$506</f>
        <v/>
      </c>
    </row>
    <row r="393" hidden="1" outlineLevel="1" ht="32.25" customHeight="1">
      <c r="A393" s="48" t="n">
        <v>388</v>
      </c>
      <c r="B393" s="107" t="n"/>
      <c r="C393" s="331">
        <f>SUMIFS(DATA!$M:$M,DATA!$C:$C,$B393,DATA!$N:$N,"&gt;="&amp;DATE(C$5,1,1),DATA!$N:$N,"&lt;="&amp;DATE(C$5,12,31))</f>
        <v/>
      </c>
      <c r="D393" s="331">
        <f>SUMIFS(DATA!$M:$M,DATA!$C:$C,$B393,DATA!$N:$N,"&gt;="&amp;DATE(D$5,1,1),DATA!$N:$N,"&lt;="&amp;DATE(D$5,12,31))</f>
        <v/>
      </c>
      <c r="E393" s="331">
        <f>SUMIFS(DATA!$M:$M,DATA!$C:$C,$B393,DATA!$N:$N,"&gt;="&amp;DATE(E$5,1,1),DATA!$N:$N,"&lt;="&amp;DATE(E$5,12,31))</f>
        <v/>
      </c>
      <c r="F393" s="331">
        <f>SUMIFS(DATA!$M:$M,DATA!$C:$C,$B393,DATA!$N:$N,"&gt;="&amp;DATE(F$5,1,1),DATA!$N:$N,"&lt;="&amp;DATE(F$5,12,31))</f>
        <v/>
      </c>
      <c r="G393" s="331">
        <f>SUMIFS(DATA!$M:$M,DATA!$C:$C,$B393,DATA!$N:$N,"&gt;="&amp;DATE(G$5,1,1),DATA!$N:$N,"&lt;="&amp;DATE(G$5,12,31))</f>
        <v/>
      </c>
      <c r="H393" s="331">
        <f>SUMIFS(DATA!$M:$M,DATA!$C:$C,$B393,DATA!$N:$N,"&gt;="&amp;DATE(H$5,1,1),DATA!$N:$N,"&lt;="&amp;DATE(H$5,12,31))</f>
        <v/>
      </c>
      <c r="I393" s="331">
        <f>SUMIFS(DATA!$M:$M,DATA!$C:$C,$B393,DATA!$N:$N,"&gt;="&amp;DATE(I$5,1,1),DATA!$N:$N,"&lt;="&amp;DATE(I$5,12,31))</f>
        <v/>
      </c>
      <c r="J393" s="332">
        <f>SUM(C393:I393)</f>
        <v/>
      </c>
      <c r="K393" s="333">
        <f>J393/$J$506</f>
        <v/>
      </c>
    </row>
    <row r="394" hidden="1" outlineLevel="1" ht="32.25" customHeight="1">
      <c r="A394" s="48" t="n">
        <v>389</v>
      </c>
      <c r="B394" s="107" t="n"/>
      <c r="C394" s="331">
        <f>SUMIFS(DATA!$M:$M,DATA!$C:$C,$B394,DATA!$N:$N,"&gt;="&amp;DATE(C$5,1,1),DATA!$N:$N,"&lt;="&amp;DATE(C$5,12,31))</f>
        <v/>
      </c>
      <c r="D394" s="331">
        <f>SUMIFS(DATA!$M:$M,DATA!$C:$C,$B394,DATA!$N:$N,"&gt;="&amp;DATE(D$5,1,1),DATA!$N:$N,"&lt;="&amp;DATE(D$5,12,31))</f>
        <v/>
      </c>
      <c r="E394" s="331">
        <f>SUMIFS(DATA!$M:$M,DATA!$C:$C,$B394,DATA!$N:$N,"&gt;="&amp;DATE(E$5,1,1),DATA!$N:$N,"&lt;="&amp;DATE(E$5,12,31))</f>
        <v/>
      </c>
      <c r="F394" s="331">
        <f>SUMIFS(DATA!$M:$M,DATA!$C:$C,$B394,DATA!$N:$N,"&gt;="&amp;DATE(F$5,1,1),DATA!$N:$N,"&lt;="&amp;DATE(F$5,12,31))</f>
        <v/>
      </c>
      <c r="G394" s="331">
        <f>SUMIFS(DATA!$M:$M,DATA!$C:$C,$B394,DATA!$N:$N,"&gt;="&amp;DATE(G$5,1,1),DATA!$N:$N,"&lt;="&amp;DATE(G$5,12,31))</f>
        <v/>
      </c>
      <c r="H394" s="331">
        <f>SUMIFS(DATA!$M:$M,DATA!$C:$C,$B394,DATA!$N:$N,"&gt;="&amp;DATE(H$5,1,1),DATA!$N:$N,"&lt;="&amp;DATE(H$5,12,31))</f>
        <v/>
      </c>
      <c r="I394" s="331">
        <f>SUMIFS(DATA!$M:$M,DATA!$C:$C,$B394,DATA!$N:$N,"&gt;="&amp;DATE(I$5,1,1),DATA!$N:$N,"&lt;="&amp;DATE(I$5,12,31))</f>
        <v/>
      </c>
      <c r="J394" s="332">
        <f>SUM(C394:I394)</f>
        <v/>
      </c>
      <c r="K394" s="333">
        <f>J394/$J$506</f>
        <v/>
      </c>
    </row>
    <row r="395" hidden="1" outlineLevel="1" ht="32.25" customHeight="1">
      <c r="A395" s="48" t="n">
        <v>390</v>
      </c>
      <c r="B395" s="107" t="n"/>
      <c r="C395" s="331">
        <f>SUMIFS(DATA!$M:$M,DATA!$C:$C,$B395,DATA!$N:$N,"&gt;="&amp;DATE(C$5,1,1),DATA!$N:$N,"&lt;="&amp;DATE(C$5,12,31))</f>
        <v/>
      </c>
      <c r="D395" s="331">
        <f>SUMIFS(DATA!$M:$M,DATA!$C:$C,$B395,DATA!$N:$N,"&gt;="&amp;DATE(D$5,1,1),DATA!$N:$N,"&lt;="&amp;DATE(D$5,12,31))</f>
        <v/>
      </c>
      <c r="E395" s="331">
        <f>SUMIFS(DATA!$M:$M,DATA!$C:$C,$B395,DATA!$N:$N,"&gt;="&amp;DATE(E$5,1,1),DATA!$N:$N,"&lt;="&amp;DATE(E$5,12,31))</f>
        <v/>
      </c>
      <c r="F395" s="331">
        <f>SUMIFS(DATA!$M:$M,DATA!$C:$C,$B395,DATA!$N:$N,"&gt;="&amp;DATE(F$5,1,1),DATA!$N:$N,"&lt;="&amp;DATE(F$5,12,31))</f>
        <v/>
      </c>
      <c r="G395" s="331">
        <f>SUMIFS(DATA!$M:$M,DATA!$C:$C,$B395,DATA!$N:$N,"&gt;="&amp;DATE(G$5,1,1),DATA!$N:$N,"&lt;="&amp;DATE(G$5,12,31))</f>
        <v/>
      </c>
      <c r="H395" s="331">
        <f>SUMIFS(DATA!$M:$M,DATA!$C:$C,$B395,DATA!$N:$N,"&gt;="&amp;DATE(H$5,1,1),DATA!$N:$N,"&lt;="&amp;DATE(H$5,12,31))</f>
        <v/>
      </c>
      <c r="I395" s="331">
        <f>SUMIFS(DATA!$M:$M,DATA!$C:$C,$B395,DATA!$N:$N,"&gt;="&amp;DATE(I$5,1,1),DATA!$N:$N,"&lt;="&amp;DATE(I$5,12,31))</f>
        <v/>
      </c>
      <c r="J395" s="332">
        <f>SUM(C395:I395)</f>
        <v/>
      </c>
      <c r="K395" s="333">
        <f>J395/$J$506</f>
        <v/>
      </c>
    </row>
    <row r="396" hidden="1" outlineLevel="1" ht="32.25" customHeight="1">
      <c r="A396" s="48" t="n">
        <v>391</v>
      </c>
      <c r="B396" s="107" t="n"/>
      <c r="C396" s="331">
        <f>SUMIFS(DATA!$M:$M,DATA!$C:$C,$B396,DATA!$N:$N,"&gt;="&amp;DATE(C$5,1,1),DATA!$N:$N,"&lt;="&amp;DATE(C$5,12,31))</f>
        <v/>
      </c>
      <c r="D396" s="331">
        <f>SUMIFS(DATA!$M:$M,DATA!$C:$C,$B396,DATA!$N:$N,"&gt;="&amp;DATE(D$5,1,1),DATA!$N:$N,"&lt;="&amp;DATE(D$5,12,31))</f>
        <v/>
      </c>
      <c r="E396" s="331">
        <f>SUMIFS(DATA!$M:$M,DATA!$C:$C,$B396,DATA!$N:$N,"&gt;="&amp;DATE(E$5,1,1),DATA!$N:$N,"&lt;="&amp;DATE(E$5,12,31))</f>
        <v/>
      </c>
      <c r="F396" s="331">
        <f>SUMIFS(DATA!$M:$M,DATA!$C:$C,$B396,DATA!$N:$N,"&gt;="&amp;DATE(F$5,1,1),DATA!$N:$N,"&lt;="&amp;DATE(F$5,12,31))</f>
        <v/>
      </c>
      <c r="G396" s="331">
        <f>SUMIFS(DATA!$M:$M,DATA!$C:$C,$B396,DATA!$N:$N,"&gt;="&amp;DATE(G$5,1,1),DATA!$N:$N,"&lt;="&amp;DATE(G$5,12,31))</f>
        <v/>
      </c>
      <c r="H396" s="331">
        <f>SUMIFS(DATA!$M:$M,DATA!$C:$C,$B396,DATA!$N:$N,"&gt;="&amp;DATE(H$5,1,1),DATA!$N:$N,"&lt;="&amp;DATE(H$5,12,31))</f>
        <v/>
      </c>
      <c r="I396" s="331">
        <f>SUMIFS(DATA!$M:$M,DATA!$C:$C,$B396,DATA!$N:$N,"&gt;="&amp;DATE(I$5,1,1),DATA!$N:$N,"&lt;="&amp;DATE(I$5,12,31))</f>
        <v/>
      </c>
      <c r="J396" s="332">
        <f>SUM(C396:I396)</f>
        <v/>
      </c>
      <c r="K396" s="333">
        <f>J396/$J$506</f>
        <v/>
      </c>
    </row>
    <row r="397" hidden="1" outlineLevel="1" ht="32.25" customHeight="1">
      <c r="A397" s="48" t="n">
        <v>392</v>
      </c>
      <c r="B397" s="107" t="n"/>
      <c r="C397" s="331">
        <f>SUMIFS(DATA!$M:$M,DATA!$C:$C,$B397,DATA!$N:$N,"&gt;="&amp;DATE(C$5,1,1),DATA!$N:$N,"&lt;="&amp;DATE(C$5,12,31))</f>
        <v/>
      </c>
      <c r="D397" s="331">
        <f>SUMIFS(DATA!$M:$M,DATA!$C:$C,$B397,DATA!$N:$N,"&gt;="&amp;DATE(D$5,1,1),DATA!$N:$N,"&lt;="&amp;DATE(D$5,12,31))</f>
        <v/>
      </c>
      <c r="E397" s="331">
        <f>SUMIFS(DATA!$M:$M,DATA!$C:$C,$B397,DATA!$N:$N,"&gt;="&amp;DATE(E$5,1,1),DATA!$N:$N,"&lt;="&amp;DATE(E$5,12,31))</f>
        <v/>
      </c>
      <c r="F397" s="331">
        <f>SUMIFS(DATA!$M:$M,DATA!$C:$C,$B397,DATA!$N:$N,"&gt;="&amp;DATE(F$5,1,1),DATA!$N:$N,"&lt;="&amp;DATE(F$5,12,31))</f>
        <v/>
      </c>
      <c r="G397" s="331">
        <f>SUMIFS(DATA!$M:$M,DATA!$C:$C,$B397,DATA!$N:$N,"&gt;="&amp;DATE(G$5,1,1),DATA!$N:$N,"&lt;="&amp;DATE(G$5,12,31))</f>
        <v/>
      </c>
      <c r="H397" s="331">
        <f>SUMIFS(DATA!$M:$M,DATA!$C:$C,$B397,DATA!$N:$N,"&gt;="&amp;DATE(H$5,1,1),DATA!$N:$N,"&lt;="&amp;DATE(H$5,12,31))</f>
        <v/>
      </c>
      <c r="I397" s="331">
        <f>SUMIFS(DATA!$M:$M,DATA!$C:$C,$B397,DATA!$N:$N,"&gt;="&amp;DATE(I$5,1,1),DATA!$N:$N,"&lt;="&amp;DATE(I$5,12,31))</f>
        <v/>
      </c>
      <c r="J397" s="332">
        <f>SUM(C397:I397)</f>
        <v/>
      </c>
      <c r="K397" s="333">
        <f>J397/$J$506</f>
        <v/>
      </c>
    </row>
    <row r="398" hidden="1" outlineLevel="1" ht="32.25" customHeight="1">
      <c r="A398" s="48" t="n">
        <v>393</v>
      </c>
      <c r="B398" s="107" t="n"/>
      <c r="C398" s="331">
        <f>SUMIFS(DATA!$M:$M,DATA!$C:$C,$B398,DATA!$N:$N,"&gt;="&amp;DATE(C$5,1,1),DATA!$N:$N,"&lt;="&amp;DATE(C$5,12,31))</f>
        <v/>
      </c>
      <c r="D398" s="331">
        <f>SUMIFS(DATA!$M:$M,DATA!$C:$C,$B398,DATA!$N:$N,"&gt;="&amp;DATE(D$5,1,1),DATA!$N:$N,"&lt;="&amp;DATE(D$5,12,31))</f>
        <v/>
      </c>
      <c r="E398" s="331">
        <f>SUMIFS(DATA!$M:$M,DATA!$C:$C,$B398,DATA!$N:$N,"&gt;="&amp;DATE(E$5,1,1),DATA!$N:$N,"&lt;="&amp;DATE(E$5,12,31))</f>
        <v/>
      </c>
      <c r="F398" s="331">
        <f>SUMIFS(DATA!$M:$M,DATA!$C:$C,$B398,DATA!$N:$N,"&gt;="&amp;DATE(F$5,1,1),DATA!$N:$N,"&lt;="&amp;DATE(F$5,12,31))</f>
        <v/>
      </c>
      <c r="G398" s="331">
        <f>SUMIFS(DATA!$M:$M,DATA!$C:$C,$B398,DATA!$N:$N,"&gt;="&amp;DATE(G$5,1,1),DATA!$N:$N,"&lt;="&amp;DATE(G$5,12,31))</f>
        <v/>
      </c>
      <c r="H398" s="331">
        <f>SUMIFS(DATA!$M:$M,DATA!$C:$C,$B398,DATA!$N:$N,"&gt;="&amp;DATE(H$5,1,1),DATA!$N:$N,"&lt;="&amp;DATE(H$5,12,31))</f>
        <v/>
      </c>
      <c r="I398" s="331">
        <f>SUMIFS(DATA!$M:$M,DATA!$C:$C,$B398,DATA!$N:$N,"&gt;="&amp;DATE(I$5,1,1),DATA!$N:$N,"&lt;="&amp;DATE(I$5,12,31))</f>
        <v/>
      </c>
      <c r="J398" s="332">
        <f>SUM(C398:I398)</f>
        <v/>
      </c>
      <c r="K398" s="333">
        <f>J398/$J$506</f>
        <v/>
      </c>
    </row>
    <row r="399" hidden="1" outlineLevel="1" ht="32.25" customHeight="1">
      <c r="A399" s="48" t="n">
        <v>394</v>
      </c>
      <c r="B399" s="107" t="n"/>
      <c r="C399" s="331">
        <f>SUMIFS(DATA!$M:$M,DATA!$C:$C,$B399,DATA!$N:$N,"&gt;="&amp;DATE(C$5,1,1),DATA!$N:$N,"&lt;="&amp;DATE(C$5,12,31))</f>
        <v/>
      </c>
      <c r="D399" s="331">
        <f>SUMIFS(DATA!$M:$M,DATA!$C:$C,$B399,DATA!$N:$N,"&gt;="&amp;DATE(D$5,1,1),DATA!$N:$N,"&lt;="&amp;DATE(D$5,12,31))</f>
        <v/>
      </c>
      <c r="E399" s="331">
        <f>SUMIFS(DATA!$M:$M,DATA!$C:$C,$B399,DATA!$N:$N,"&gt;="&amp;DATE(E$5,1,1),DATA!$N:$N,"&lt;="&amp;DATE(E$5,12,31))</f>
        <v/>
      </c>
      <c r="F399" s="331">
        <f>SUMIFS(DATA!$M:$M,DATA!$C:$C,$B399,DATA!$N:$N,"&gt;="&amp;DATE(F$5,1,1),DATA!$N:$N,"&lt;="&amp;DATE(F$5,12,31))</f>
        <v/>
      </c>
      <c r="G399" s="331">
        <f>SUMIFS(DATA!$M:$M,DATA!$C:$C,$B399,DATA!$N:$N,"&gt;="&amp;DATE(G$5,1,1),DATA!$N:$N,"&lt;="&amp;DATE(G$5,12,31))</f>
        <v/>
      </c>
      <c r="H399" s="331">
        <f>SUMIFS(DATA!$M:$M,DATA!$C:$C,$B399,DATA!$N:$N,"&gt;="&amp;DATE(H$5,1,1),DATA!$N:$N,"&lt;="&amp;DATE(H$5,12,31))</f>
        <v/>
      </c>
      <c r="I399" s="331">
        <f>SUMIFS(DATA!$M:$M,DATA!$C:$C,$B399,DATA!$N:$N,"&gt;="&amp;DATE(I$5,1,1),DATA!$N:$N,"&lt;="&amp;DATE(I$5,12,31))</f>
        <v/>
      </c>
      <c r="J399" s="332">
        <f>SUM(C399:I399)</f>
        <v/>
      </c>
      <c r="K399" s="333">
        <f>J399/$J$506</f>
        <v/>
      </c>
    </row>
    <row r="400" hidden="1" outlineLevel="1" ht="32.25" customHeight="1">
      <c r="A400" s="48" t="n">
        <v>395</v>
      </c>
      <c r="B400" s="107" t="n"/>
      <c r="C400" s="331">
        <f>SUMIFS(DATA!$M:$M,DATA!$C:$C,$B400,DATA!$N:$N,"&gt;="&amp;DATE(C$5,1,1),DATA!$N:$N,"&lt;="&amp;DATE(C$5,12,31))</f>
        <v/>
      </c>
      <c r="D400" s="331">
        <f>SUMIFS(DATA!$M:$M,DATA!$C:$C,$B400,DATA!$N:$N,"&gt;="&amp;DATE(D$5,1,1),DATA!$N:$N,"&lt;="&amp;DATE(D$5,12,31))</f>
        <v/>
      </c>
      <c r="E400" s="331">
        <f>SUMIFS(DATA!$M:$M,DATA!$C:$C,$B400,DATA!$N:$N,"&gt;="&amp;DATE(E$5,1,1),DATA!$N:$N,"&lt;="&amp;DATE(E$5,12,31))</f>
        <v/>
      </c>
      <c r="F400" s="331">
        <f>SUMIFS(DATA!$M:$M,DATA!$C:$C,$B400,DATA!$N:$N,"&gt;="&amp;DATE(F$5,1,1),DATA!$N:$N,"&lt;="&amp;DATE(F$5,12,31))</f>
        <v/>
      </c>
      <c r="G400" s="331">
        <f>SUMIFS(DATA!$M:$M,DATA!$C:$C,$B400,DATA!$N:$N,"&gt;="&amp;DATE(G$5,1,1),DATA!$N:$N,"&lt;="&amp;DATE(G$5,12,31))</f>
        <v/>
      </c>
      <c r="H400" s="331">
        <f>SUMIFS(DATA!$M:$M,DATA!$C:$C,$B400,DATA!$N:$N,"&gt;="&amp;DATE(H$5,1,1),DATA!$N:$N,"&lt;="&amp;DATE(H$5,12,31))</f>
        <v/>
      </c>
      <c r="I400" s="331">
        <f>SUMIFS(DATA!$M:$M,DATA!$C:$C,$B400,DATA!$N:$N,"&gt;="&amp;DATE(I$5,1,1),DATA!$N:$N,"&lt;="&amp;DATE(I$5,12,31))</f>
        <v/>
      </c>
      <c r="J400" s="332">
        <f>SUM(C400:I400)</f>
        <v/>
      </c>
      <c r="K400" s="333">
        <f>J400/$J$506</f>
        <v/>
      </c>
    </row>
    <row r="401" hidden="1" outlineLevel="1" ht="32.25" customHeight="1">
      <c r="A401" s="48" t="n">
        <v>396</v>
      </c>
      <c r="B401" s="107" t="n"/>
      <c r="C401" s="331">
        <f>SUMIFS(DATA!$M:$M,DATA!$C:$C,$B401,DATA!$N:$N,"&gt;="&amp;DATE(C$5,1,1),DATA!$N:$N,"&lt;="&amp;DATE(C$5,12,31))</f>
        <v/>
      </c>
      <c r="D401" s="331">
        <f>SUMIFS(DATA!$M:$M,DATA!$C:$C,$B401,DATA!$N:$N,"&gt;="&amp;DATE(D$5,1,1),DATA!$N:$N,"&lt;="&amp;DATE(D$5,12,31))</f>
        <v/>
      </c>
      <c r="E401" s="331">
        <f>SUMIFS(DATA!$M:$M,DATA!$C:$C,$B401,DATA!$N:$N,"&gt;="&amp;DATE(E$5,1,1),DATA!$N:$N,"&lt;="&amp;DATE(E$5,12,31))</f>
        <v/>
      </c>
      <c r="F401" s="331">
        <f>SUMIFS(DATA!$M:$M,DATA!$C:$C,$B401,DATA!$N:$N,"&gt;="&amp;DATE(F$5,1,1),DATA!$N:$N,"&lt;="&amp;DATE(F$5,12,31))</f>
        <v/>
      </c>
      <c r="G401" s="331">
        <f>SUMIFS(DATA!$M:$M,DATA!$C:$C,$B401,DATA!$N:$N,"&gt;="&amp;DATE(G$5,1,1),DATA!$N:$N,"&lt;="&amp;DATE(G$5,12,31))</f>
        <v/>
      </c>
      <c r="H401" s="331">
        <f>SUMIFS(DATA!$M:$M,DATA!$C:$C,$B401,DATA!$N:$N,"&gt;="&amp;DATE(H$5,1,1),DATA!$N:$N,"&lt;="&amp;DATE(H$5,12,31))</f>
        <v/>
      </c>
      <c r="I401" s="331">
        <f>SUMIFS(DATA!$M:$M,DATA!$C:$C,$B401,DATA!$N:$N,"&gt;="&amp;DATE(I$5,1,1),DATA!$N:$N,"&lt;="&amp;DATE(I$5,12,31))</f>
        <v/>
      </c>
      <c r="J401" s="332">
        <f>SUM(C401:I401)</f>
        <v/>
      </c>
      <c r="K401" s="333">
        <f>J401/$J$506</f>
        <v/>
      </c>
    </row>
    <row r="402" hidden="1" outlineLevel="1" ht="32.25" customHeight="1">
      <c r="A402" s="48" t="n">
        <v>397</v>
      </c>
      <c r="B402" s="107" t="n"/>
      <c r="C402" s="331">
        <f>SUMIFS(DATA!$M:$M,DATA!$C:$C,$B402,DATA!$N:$N,"&gt;="&amp;DATE(C$5,1,1),DATA!$N:$N,"&lt;="&amp;DATE(C$5,12,31))</f>
        <v/>
      </c>
      <c r="D402" s="331">
        <f>SUMIFS(DATA!$M:$M,DATA!$C:$C,$B402,DATA!$N:$N,"&gt;="&amp;DATE(D$5,1,1),DATA!$N:$N,"&lt;="&amp;DATE(D$5,12,31))</f>
        <v/>
      </c>
      <c r="E402" s="331">
        <f>SUMIFS(DATA!$M:$M,DATA!$C:$C,$B402,DATA!$N:$N,"&gt;="&amp;DATE(E$5,1,1),DATA!$N:$N,"&lt;="&amp;DATE(E$5,12,31))</f>
        <v/>
      </c>
      <c r="F402" s="331">
        <f>SUMIFS(DATA!$M:$M,DATA!$C:$C,$B402,DATA!$N:$N,"&gt;="&amp;DATE(F$5,1,1),DATA!$N:$N,"&lt;="&amp;DATE(F$5,12,31))</f>
        <v/>
      </c>
      <c r="G402" s="331">
        <f>SUMIFS(DATA!$M:$M,DATA!$C:$C,$B402,DATA!$N:$N,"&gt;="&amp;DATE(G$5,1,1),DATA!$N:$N,"&lt;="&amp;DATE(G$5,12,31))</f>
        <v/>
      </c>
      <c r="H402" s="331">
        <f>SUMIFS(DATA!$M:$M,DATA!$C:$C,$B402,DATA!$N:$N,"&gt;="&amp;DATE(H$5,1,1),DATA!$N:$N,"&lt;="&amp;DATE(H$5,12,31))</f>
        <v/>
      </c>
      <c r="I402" s="331">
        <f>SUMIFS(DATA!$M:$M,DATA!$C:$C,$B402,DATA!$N:$N,"&gt;="&amp;DATE(I$5,1,1),DATA!$N:$N,"&lt;="&amp;DATE(I$5,12,31))</f>
        <v/>
      </c>
      <c r="J402" s="332">
        <f>SUM(C402:I402)</f>
        <v/>
      </c>
      <c r="K402" s="333">
        <f>J402/$J$506</f>
        <v/>
      </c>
    </row>
    <row r="403" hidden="1" outlineLevel="1" ht="32.25" customHeight="1">
      <c r="A403" s="48" t="n">
        <v>398</v>
      </c>
      <c r="B403" s="107" t="n"/>
      <c r="C403" s="331">
        <f>SUMIFS(DATA!$M:$M,DATA!$C:$C,$B403,DATA!$N:$N,"&gt;="&amp;DATE(C$5,1,1),DATA!$N:$N,"&lt;="&amp;DATE(C$5,12,31))</f>
        <v/>
      </c>
      <c r="D403" s="331">
        <f>SUMIFS(DATA!$M:$M,DATA!$C:$C,$B403,DATA!$N:$N,"&gt;="&amp;DATE(D$5,1,1),DATA!$N:$N,"&lt;="&amp;DATE(D$5,12,31))</f>
        <v/>
      </c>
      <c r="E403" s="331">
        <f>SUMIFS(DATA!$M:$M,DATA!$C:$C,$B403,DATA!$N:$N,"&gt;="&amp;DATE(E$5,1,1),DATA!$N:$N,"&lt;="&amp;DATE(E$5,12,31))</f>
        <v/>
      </c>
      <c r="F403" s="331">
        <f>SUMIFS(DATA!$M:$M,DATA!$C:$C,$B403,DATA!$N:$N,"&gt;="&amp;DATE(F$5,1,1),DATA!$N:$N,"&lt;="&amp;DATE(F$5,12,31))</f>
        <v/>
      </c>
      <c r="G403" s="331">
        <f>SUMIFS(DATA!$M:$M,DATA!$C:$C,$B403,DATA!$N:$N,"&gt;="&amp;DATE(G$5,1,1),DATA!$N:$N,"&lt;="&amp;DATE(G$5,12,31))</f>
        <v/>
      </c>
      <c r="H403" s="331">
        <f>SUMIFS(DATA!$M:$M,DATA!$C:$C,$B403,DATA!$N:$N,"&gt;="&amp;DATE(H$5,1,1),DATA!$N:$N,"&lt;="&amp;DATE(H$5,12,31))</f>
        <v/>
      </c>
      <c r="I403" s="331">
        <f>SUMIFS(DATA!$M:$M,DATA!$C:$C,$B403,DATA!$N:$N,"&gt;="&amp;DATE(I$5,1,1),DATA!$N:$N,"&lt;="&amp;DATE(I$5,12,31))</f>
        <v/>
      </c>
      <c r="J403" s="332">
        <f>SUM(C403:I403)</f>
        <v/>
      </c>
      <c r="K403" s="333">
        <f>J403/$J$506</f>
        <v/>
      </c>
    </row>
    <row r="404" hidden="1" outlineLevel="1" ht="32.25" customHeight="1">
      <c r="A404" s="48" t="n">
        <v>399</v>
      </c>
      <c r="B404" s="107" t="n"/>
      <c r="C404" s="331">
        <f>SUMIFS(DATA!$M:$M,DATA!$C:$C,$B404,DATA!$N:$N,"&gt;="&amp;DATE(C$5,1,1),DATA!$N:$N,"&lt;="&amp;DATE(C$5,12,31))</f>
        <v/>
      </c>
      <c r="D404" s="331">
        <f>SUMIFS(DATA!$M:$M,DATA!$C:$C,$B404,DATA!$N:$N,"&gt;="&amp;DATE(D$5,1,1),DATA!$N:$N,"&lt;="&amp;DATE(D$5,12,31))</f>
        <v/>
      </c>
      <c r="E404" s="331">
        <f>SUMIFS(DATA!$M:$M,DATA!$C:$C,$B404,DATA!$N:$N,"&gt;="&amp;DATE(E$5,1,1),DATA!$N:$N,"&lt;="&amp;DATE(E$5,12,31))</f>
        <v/>
      </c>
      <c r="F404" s="331">
        <f>SUMIFS(DATA!$M:$M,DATA!$C:$C,$B404,DATA!$N:$N,"&gt;="&amp;DATE(F$5,1,1),DATA!$N:$N,"&lt;="&amp;DATE(F$5,12,31))</f>
        <v/>
      </c>
      <c r="G404" s="331">
        <f>SUMIFS(DATA!$M:$M,DATA!$C:$C,$B404,DATA!$N:$N,"&gt;="&amp;DATE(G$5,1,1),DATA!$N:$N,"&lt;="&amp;DATE(G$5,12,31))</f>
        <v/>
      </c>
      <c r="H404" s="331">
        <f>SUMIFS(DATA!$M:$M,DATA!$C:$C,$B404,DATA!$N:$N,"&gt;="&amp;DATE(H$5,1,1),DATA!$N:$N,"&lt;="&amp;DATE(H$5,12,31))</f>
        <v/>
      </c>
      <c r="I404" s="331">
        <f>SUMIFS(DATA!$M:$M,DATA!$C:$C,$B404,DATA!$N:$N,"&gt;="&amp;DATE(I$5,1,1),DATA!$N:$N,"&lt;="&amp;DATE(I$5,12,31))</f>
        <v/>
      </c>
      <c r="J404" s="332">
        <f>SUM(C404:I404)</f>
        <v/>
      </c>
      <c r="K404" s="333">
        <f>J404/$J$506</f>
        <v/>
      </c>
    </row>
    <row r="405" hidden="1" outlineLevel="1" ht="32.25" customHeight="1">
      <c r="A405" s="48" t="n">
        <v>400</v>
      </c>
      <c r="B405" s="107" t="n"/>
      <c r="C405" s="331">
        <f>SUMIFS(DATA!$M:$M,DATA!$C:$C,$B405,DATA!$N:$N,"&gt;="&amp;DATE(C$5,1,1),DATA!$N:$N,"&lt;="&amp;DATE(C$5,12,31))</f>
        <v/>
      </c>
      <c r="D405" s="331">
        <f>SUMIFS(DATA!$M:$M,DATA!$C:$C,$B405,DATA!$N:$N,"&gt;="&amp;DATE(D$5,1,1),DATA!$N:$N,"&lt;="&amp;DATE(D$5,12,31))</f>
        <v/>
      </c>
      <c r="E405" s="331">
        <f>SUMIFS(DATA!$M:$M,DATA!$C:$C,$B405,DATA!$N:$N,"&gt;="&amp;DATE(E$5,1,1),DATA!$N:$N,"&lt;="&amp;DATE(E$5,12,31))</f>
        <v/>
      </c>
      <c r="F405" s="331">
        <f>SUMIFS(DATA!$M:$M,DATA!$C:$C,$B405,DATA!$N:$N,"&gt;="&amp;DATE(F$5,1,1),DATA!$N:$N,"&lt;="&amp;DATE(F$5,12,31))</f>
        <v/>
      </c>
      <c r="G405" s="331">
        <f>SUMIFS(DATA!$M:$M,DATA!$C:$C,$B405,DATA!$N:$N,"&gt;="&amp;DATE(G$5,1,1),DATA!$N:$N,"&lt;="&amp;DATE(G$5,12,31))</f>
        <v/>
      </c>
      <c r="H405" s="331">
        <f>SUMIFS(DATA!$M:$M,DATA!$C:$C,$B405,DATA!$N:$N,"&gt;="&amp;DATE(H$5,1,1),DATA!$N:$N,"&lt;="&amp;DATE(H$5,12,31))</f>
        <v/>
      </c>
      <c r="I405" s="331">
        <f>SUMIFS(DATA!$M:$M,DATA!$C:$C,$B405,DATA!$N:$N,"&gt;="&amp;DATE(I$5,1,1),DATA!$N:$N,"&lt;="&amp;DATE(I$5,12,31))</f>
        <v/>
      </c>
      <c r="J405" s="332">
        <f>SUM(C405:I405)</f>
        <v/>
      </c>
      <c r="K405" s="333">
        <f>J405/$J$506</f>
        <v/>
      </c>
    </row>
    <row r="406" hidden="1" outlineLevel="1" ht="32.25" customHeight="1">
      <c r="A406" s="48" t="n">
        <v>401</v>
      </c>
      <c r="B406" s="107" t="n"/>
      <c r="C406" s="331">
        <f>SUMIFS(DATA!$M:$M,DATA!$C:$C,$B406,DATA!$N:$N,"&gt;="&amp;DATE(C$5,1,1),DATA!$N:$N,"&lt;="&amp;DATE(C$5,12,31))</f>
        <v/>
      </c>
      <c r="D406" s="331">
        <f>SUMIFS(DATA!$M:$M,DATA!$C:$C,$B406,DATA!$N:$N,"&gt;="&amp;DATE(D$5,1,1),DATA!$N:$N,"&lt;="&amp;DATE(D$5,12,31))</f>
        <v/>
      </c>
      <c r="E406" s="331">
        <f>SUMIFS(DATA!$M:$M,DATA!$C:$C,$B406,DATA!$N:$N,"&gt;="&amp;DATE(E$5,1,1),DATA!$N:$N,"&lt;="&amp;DATE(E$5,12,31))</f>
        <v/>
      </c>
      <c r="F406" s="331">
        <f>SUMIFS(DATA!$M:$M,DATA!$C:$C,$B406,DATA!$N:$N,"&gt;="&amp;DATE(F$5,1,1),DATA!$N:$N,"&lt;="&amp;DATE(F$5,12,31))</f>
        <v/>
      </c>
      <c r="G406" s="331">
        <f>SUMIFS(DATA!$M:$M,DATA!$C:$C,$B406,DATA!$N:$N,"&gt;="&amp;DATE(G$5,1,1),DATA!$N:$N,"&lt;="&amp;DATE(G$5,12,31))</f>
        <v/>
      </c>
      <c r="H406" s="331">
        <f>SUMIFS(DATA!$M:$M,DATA!$C:$C,$B406,DATA!$N:$N,"&gt;="&amp;DATE(H$5,1,1),DATA!$N:$N,"&lt;="&amp;DATE(H$5,12,31))</f>
        <v/>
      </c>
      <c r="I406" s="331">
        <f>SUMIFS(DATA!$M:$M,DATA!$C:$C,$B406,DATA!$N:$N,"&gt;="&amp;DATE(I$5,1,1),DATA!$N:$N,"&lt;="&amp;DATE(I$5,12,31))</f>
        <v/>
      </c>
      <c r="J406" s="332">
        <f>SUM(C406:I406)</f>
        <v/>
      </c>
      <c r="K406" s="333">
        <f>J406/$J$506</f>
        <v/>
      </c>
    </row>
    <row r="407" hidden="1" outlineLevel="1" ht="32.25" customHeight="1">
      <c r="A407" s="48" t="n">
        <v>402</v>
      </c>
      <c r="B407" s="107" t="n"/>
      <c r="C407" s="331">
        <f>SUMIFS(DATA!$M:$M,DATA!$C:$C,$B407,DATA!$N:$N,"&gt;="&amp;DATE(C$5,1,1),DATA!$N:$N,"&lt;="&amp;DATE(C$5,12,31))</f>
        <v/>
      </c>
      <c r="D407" s="331">
        <f>SUMIFS(DATA!$M:$M,DATA!$C:$C,$B407,DATA!$N:$N,"&gt;="&amp;DATE(D$5,1,1),DATA!$N:$N,"&lt;="&amp;DATE(D$5,12,31))</f>
        <v/>
      </c>
      <c r="E407" s="331">
        <f>SUMIFS(DATA!$M:$M,DATA!$C:$C,$B407,DATA!$N:$N,"&gt;="&amp;DATE(E$5,1,1),DATA!$N:$N,"&lt;="&amp;DATE(E$5,12,31))</f>
        <v/>
      </c>
      <c r="F407" s="331">
        <f>SUMIFS(DATA!$M:$M,DATA!$C:$C,$B407,DATA!$N:$N,"&gt;="&amp;DATE(F$5,1,1),DATA!$N:$N,"&lt;="&amp;DATE(F$5,12,31))</f>
        <v/>
      </c>
      <c r="G407" s="331">
        <f>SUMIFS(DATA!$M:$M,DATA!$C:$C,$B407,DATA!$N:$N,"&gt;="&amp;DATE(G$5,1,1),DATA!$N:$N,"&lt;="&amp;DATE(G$5,12,31))</f>
        <v/>
      </c>
      <c r="H407" s="331">
        <f>SUMIFS(DATA!$M:$M,DATA!$C:$C,$B407,DATA!$N:$N,"&gt;="&amp;DATE(H$5,1,1),DATA!$N:$N,"&lt;="&amp;DATE(H$5,12,31))</f>
        <v/>
      </c>
      <c r="I407" s="331">
        <f>SUMIFS(DATA!$M:$M,DATA!$C:$C,$B407,DATA!$N:$N,"&gt;="&amp;DATE(I$5,1,1),DATA!$N:$N,"&lt;="&amp;DATE(I$5,12,31))</f>
        <v/>
      </c>
      <c r="J407" s="332">
        <f>SUM(C407:I407)</f>
        <v/>
      </c>
      <c r="K407" s="333">
        <f>J407/$J$506</f>
        <v/>
      </c>
    </row>
    <row r="408" hidden="1" outlineLevel="1" ht="32.25" customHeight="1">
      <c r="A408" s="48" t="n">
        <v>403</v>
      </c>
      <c r="B408" s="107" t="n"/>
      <c r="C408" s="331">
        <f>SUMIFS(DATA!$M:$M,DATA!$C:$C,$B408,DATA!$N:$N,"&gt;="&amp;DATE(C$5,1,1),DATA!$N:$N,"&lt;="&amp;DATE(C$5,12,31))</f>
        <v/>
      </c>
      <c r="D408" s="331">
        <f>SUMIFS(DATA!$M:$M,DATA!$C:$C,$B408,DATA!$N:$N,"&gt;="&amp;DATE(D$5,1,1),DATA!$N:$N,"&lt;="&amp;DATE(D$5,12,31))</f>
        <v/>
      </c>
      <c r="E408" s="331">
        <f>SUMIFS(DATA!$M:$M,DATA!$C:$C,$B408,DATA!$N:$N,"&gt;="&amp;DATE(E$5,1,1),DATA!$N:$N,"&lt;="&amp;DATE(E$5,12,31))</f>
        <v/>
      </c>
      <c r="F408" s="331">
        <f>SUMIFS(DATA!$M:$M,DATA!$C:$C,$B408,DATA!$N:$N,"&gt;="&amp;DATE(F$5,1,1),DATA!$N:$N,"&lt;="&amp;DATE(F$5,12,31))</f>
        <v/>
      </c>
      <c r="G408" s="331">
        <f>SUMIFS(DATA!$M:$M,DATA!$C:$C,$B408,DATA!$N:$N,"&gt;="&amp;DATE(G$5,1,1),DATA!$N:$N,"&lt;="&amp;DATE(G$5,12,31))</f>
        <v/>
      </c>
      <c r="H408" s="331">
        <f>SUMIFS(DATA!$M:$M,DATA!$C:$C,$B408,DATA!$N:$N,"&gt;="&amp;DATE(H$5,1,1),DATA!$N:$N,"&lt;="&amp;DATE(H$5,12,31))</f>
        <v/>
      </c>
      <c r="I408" s="331">
        <f>SUMIFS(DATA!$M:$M,DATA!$C:$C,$B408,DATA!$N:$N,"&gt;="&amp;DATE(I$5,1,1),DATA!$N:$N,"&lt;="&amp;DATE(I$5,12,31))</f>
        <v/>
      </c>
      <c r="J408" s="332">
        <f>SUM(C408:I408)</f>
        <v/>
      </c>
      <c r="K408" s="333">
        <f>J408/$J$506</f>
        <v/>
      </c>
    </row>
    <row r="409" hidden="1" outlineLevel="1" ht="32.25" customHeight="1">
      <c r="A409" s="48" t="n">
        <v>404</v>
      </c>
      <c r="B409" s="107" t="n"/>
      <c r="C409" s="331">
        <f>SUMIFS(DATA!$M:$M,DATA!$C:$C,$B409,DATA!$N:$N,"&gt;="&amp;DATE(C$5,1,1),DATA!$N:$N,"&lt;="&amp;DATE(C$5,12,31))</f>
        <v/>
      </c>
      <c r="D409" s="331">
        <f>SUMIFS(DATA!$M:$M,DATA!$C:$C,$B409,DATA!$N:$N,"&gt;="&amp;DATE(D$5,1,1),DATA!$N:$N,"&lt;="&amp;DATE(D$5,12,31))</f>
        <v/>
      </c>
      <c r="E409" s="331">
        <f>SUMIFS(DATA!$M:$M,DATA!$C:$C,$B409,DATA!$N:$N,"&gt;="&amp;DATE(E$5,1,1),DATA!$N:$N,"&lt;="&amp;DATE(E$5,12,31))</f>
        <v/>
      </c>
      <c r="F409" s="331">
        <f>SUMIFS(DATA!$M:$M,DATA!$C:$C,$B409,DATA!$N:$N,"&gt;="&amp;DATE(F$5,1,1),DATA!$N:$N,"&lt;="&amp;DATE(F$5,12,31))</f>
        <v/>
      </c>
      <c r="G409" s="331">
        <f>SUMIFS(DATA!$M:$M,DATA!$C:$C,$B409,DATA!$N:$N,"&gt;="&amp;DATE(G$5,1,1),DATA!$N:$N,"&lt;="&amp;DATE(G$5,12,31))</f>
        <v/>
      </c>
      <c r="H409" s="331">
        <f>SUMIFS(DATA!$M:$M,DATA!$C:$C,$B409,DATA!$N:$N,"&gt;="&amp;DATE(H$5,1,1),DATA!$N:$N,"&lt;="&amp;DATE(H$5,12,31))</f>
        <v/>
      </c>
      <c r="I409" s="331">
        <f>SUMIFS(DATA!$M:$M,DATA!$C:$C,$B409,DATA!$N:$N,"&gt;="&amp;DATE(I$5,1,1),DATA!$N:$N,"&lt;="&amp;DATE(I$5,12,31))</f>
        <v/>
      </c>
      <c r="J409" s="332">
        <f>SUM(C409:I409)</f>
        <v/>
      </c>
      <c r="K409" s="333">
        <f>J409/$J$506</f>
        <v/>
      </c>
    </row>
    <row r="410" hidden="1" outlineLevel="1" ht="32.25" customHeight="1">
      <c r="A410" s="48" t="n">
        <v>405</v>
      </c>
      <c r="B410" s="107" t="n"/>
      <c r="C410" s="331">
        <f>SUMIFS(DATA!$M:$M,DATA!$C:$C,$B410,DATA!$N:$N,"&gt;="&amp;DATE(C$5,1,1),DATA!$N:$N,"&lt;="&amp;DATE(C$5,12,31))</f>
        <v/>
      </c>
      <c r="D410" s="331">
        <f>SUMIFS(DATA!$M:$M,DATA!$C:$C,$B410,DATA!$N:$N,"&gt;="&amp;DATE(D$5,1,1),DATA!$N:$N,"&lt;="&amp;DATE(D$5,12,31))</f>
        <v/>
      </c>
      <c r="E410" s="331">
        <f>SUMIFS(DATA!$M:$M,DATA!$C:$C,$B410,DATA!$N:$N,"&gt;="&amp;DATE(E$5,1,1),DATA!$N:$N,"&lt;="&amp;DATE(E$5,12,31))</f>
        <v/>
      </c>
      <c r="F410" s="331">
        <f>SUMIFS(DATA!$M:$M,DATA!$C:$C,$B410,DATA!$N:$N,"&gt;="&amp;DATE(F$5,1,1),DATA!$N:$N,"&lt;="&amp;DATE(F$5,12,31))</f>
        <v/>
      </c>
      <c r="G410" s="331">
        <f>SUMIFS(DATA!$M:$M,DATA!$C:$C,$B410,DATA!$N:$N,"&gt;="&amp;DATE(G$5,1,1),DATA!$N:$N,"&lt;="&amp;DATE(G$5,12,31))</f>
        <v/>
      </c>
      <c r="H410" s="331">
        <f>SUMIFS(DATA!$M:$M,DATA!$C:$C,$B410,DATA!$N:$N,"&gt;="&amp;DATE(H$5,1,1),DATA!$N:$N,"&lt;="&amp;DATE(H$5,12,31))</f>
        <v/>
      </c>
      <c r="I410" s="331">
        <f>SUMIFS(DATA!$M:$M,DATA!$C:$C,$B410,DATA!$N:$N,"&gt;="&amp;DATE(I$5,1,1),DATA!$N:$N,"&lt;="&amp;DATE(I$5,12,31))</f>
        <v/>
      </c>
      <c r="J410" s="332">
        <f>SUM(C410:I410)</f>
        <v/>
      </c>
      <c r="K410" s="333">
        <f>J410/$J$506</f>
        <v/>
      </c>
    </row>
    <row r="411" hidden="1" outlineLevel="1" ht="32.25" customHeight="1">
      <c r="A411" s="48" t="n">
        <v>406</v>
      </c>
      <c r="B411" s="107" t="n"/>
      <c r="C411" s="331">
        <f>SUMIFS(DATA!$M:$M,DATA!$C:$C,$B411,DATA!$N:$N,"&gt;="&amp;DATE(C$5,1,1),DATA!$N:$N,"&lt;="&amp;DATE(C$5,12,31))</f>
        <v/>
      </c>
      <c r="D411" s="331">
        <f>SUMIFS(DATA!$M:$M,DATA!$C:$C,$B411,DATA!$N:$N,"&gt;="&amp;DATE(D$5,1,1),DATA!$N:$N,"&lt;="&amp;DATE(D$5,12,31))</f>
        <v/>
      </c>
      <c r="E411" s="331">
        <f>SUMIFS(DATA!$M:$M,DATA!$C:$C,$B411,DATA!$N:$N,"&gt;="&amp;DATE(E$5,1,1),DATA!$N:$N,"&lt;="&amp;DATE(E$5,12,31))</f>
        <v/>
      </c>
      <c r="F411" s="331">
        <f>SUMIFS(DATA!$M:$M,DATA!$C:$C,$B411,DATA!$N:$N,"&gt;="&amp;DATE(F$5,1,1),DATA!$N:$N,"&lt;="&amp;DATE(F$5,12,31))</f>
        <v/>
      </c>
      <c r="G411" s="331">
        <f>SUMIFS(DATA!$M:$M,DATA!$C:$C,$B411,DATA!$N:$N,"&gt;="&amp;DATE(G$5,1,1),DATA!$N:$N,"&lt;="&amp;DATE(G$5,12,31))</f>
        <v/>
      </c>
      <c r="H411" s="331">
        <f>SUMIFS(DATA!$M:$M,DATA!$C:$C,$B411,DATA!$N:$N,"&gt;="&amp;DATE(H$5,1,1),DATA!$N:$N,"&lt;="&amp;DATE(H$5,12,31))</f>
        <v/>
      </c>
      <c r="I411" s="331">
        <f>SUMIFS(DATA!$M:$M,DATA!$C:$C,$B411,DATA!$N:$N,"&gt;="&amp;DATE(I$5,1,1),DATA!$N:$N,"&lt;="&amp;DATE(I$5,12,31))</f>
        <v/>
      </c>
      <c r="J411" s="332">
        <f>SUM(C411:I411)</f>
        <v/>
      </c>
      <c r="K411" s="333">
        <f>J411/$J$506</f>
        <v/>
      </c>
    </row>
    <row r="412" hidden="1" outlineLevel="1" ht="32.25" customHeight="1">
      <c r="A412" s="48" t="n">
        <v>407</v>
      </c>
      <c r="B412" s="107" t="n"/>
      <c r="C412" s="331">
        <f>SUMIFS(DATA!$M:$M,DATA!$C:$C,$B412,DATA!$N:$N,"&gt;="&amp;DATE(C$5,1,1),DATA!$N:$N,"&lt;="&amp;DATE(C$5,12,31))</f>
        <v/>
      </c>
      <c r="D412" s="331">
        <f>SUMIFS(DATA!$M:$M,DATA!$C:$C,$B412,DATA!$N:$N,"&gt;="&amp;DATE(D$5,1,1),DATA!$N:$N,"&lt;="&amp;DATE(D$5,12,31))</f>
        <v/>
      </c>
      <c r="E412" s="331">
        <f>SUMIFS(DATA!$M:$M,DATA!$C:$C,$B412,DATA!$N:$N,"&gt;="&amp;DATE(E$5,1,1),DATA!$N:$N,"&lt;="&amp;DATE(E$5,12,31))</f>
        <v/>
      </c>
      <c r="F412" s="331">
        <f>SUMIFS(DATA!$M:$M,DATA!$C:$C,$B412,DATA!$N:$N,"&gt;="&amp;DATE(F$5,1,1),DATA!$N:$N,"&lt;="&amp;DATE(F$5,12,31))</f>
        <v/>
      </c>
      <c r="G412" s="331">
        <f>SUMIFS(DATA!$M:$M,DATA!$C:$C,$B412,DATA!$N:$N,"&gt;="&amp;DATE(G$5,1,1),DATA!$N:$N,"&lt;="&amp;DATE(G$5,12,31))</f>
        <v/>
      </c>
      <c r="H412" s="331">
        <f>SUMIFS(DATA!$M:$M,DATA!$C:$C,$B412,DATA!$N:$N,"&gt;="&amp;DATE(H$5,1,1),DATA!$N:$N,"&lt;="&amp;DATE(H$5,12,31))</f>
        <v/>
      </c>
      <c r="I412" s="331">
        <f>SUMIFS(DATA!$M:$M,DATA!$C:$C,$B412,DATA!$N:$N,"&gt;="&amp;DATE(I$5,1,1),DATA!$N:$N,"&lt;="&amp;DATE(I$5,12,31))</f>
        <v/>
      </c>
      <c r="J412" s="332">
        <f>SUM(C412:I412)</f>
        <v/>
      </c>
      <c r="K412" s="333">
        <f>J412/$J$506</f>
        <v/>
      </c>
    </row>
    <row r="413" hidden="1" outlineLevel="1" ht="32.25" customHeight="1">
      <c r="A413" s="48" t="n">
        <v>408</v>
      </c>
      <c r="B413" s="107" t="n"/>
      <c r="C413" s="331">
        <f>SUMIFS(DATA!$M:$M,DATA!$C:$C,$B413,DATA!$N:$N,"&gt;="&amp;DATE(C$5,1,1),DATA!$N:$N,"&lt;="&amp;DATE(C$5,12,31))</f>
        <v/>
      </c>
      <c r="D413" s="331">
        <f>SUMIFS(DATA!$M:$M,DATA!$C:$C,$B413,DATA!$N:$N,"&gt;="&amp;DATE(D$5,1,1),DATA!$N:$N,"&lt;="&amp;DATE(D$5,12,31))</f>
        <v/>
      </c>
      <c r="E413" s="331">
        <f>SUMIFS(DATA!$M:$M,DATA!$C:$C,$B413,DATA!$N:$N,"&gt;="&amp;DATE(E$5,1,1),DATA!$N:$N,"&lt;="&amp;DATE(E$5,12,31))</f>
        <v/>
      </c>
      <c r="F413" s="331">
        <f>SUMIFS(DATA!$M:$M,DATA!$C:$C,$B413,DATA!$N:$N,"&gt;="&amp;DATE(F$5,1,1),DATA!$N:$N,"&lt;="&amp;DATE(F$5,12,31))</f>
        <v/>
      </c>
      <c r="G413" s="331">
        <f>SUMIFS(DATA!$M:$M,DATA!$C:$C,$B413,DATA!$N:$N,"&gt;="&amp;DATE(G$5,1,1),DATA!$N:$N,"&lt;="&amp;DATE(G$5,12,31))</f>
        <v/>
      </c>
      <c r="H413" s="331">
        <f>SUMIFS(DATA!$M:$M,DATA!$C:$C,$B413,DATA!$N:$N,"&gt;="&amp;DATE(H$5,1,1),DATA!$N:$N,"&lt;="&amp;DATE(H$5,12,31))</f>
        <v/>
      </c>
      <c r="I413" s="331">
        <f>SUMIFS(DATA!$M:$M,DATA!$C:$C,$B413,DATA!$N:$N,"&gt;="&amp;DATE(I$5,1,1),DATA!$N:$N,"&lt;="&amp;DATE(I$5,12,31))</f>
        <v/>
      </c>
      <c r="J413" s="332">
        <f>SUM(C413:I413)</f>
        <v/>
      </c>
      <c r="K413" s="333">
        <f>J413/$J$506</f>
        <v/>
      </c>
    </row>
    <row r="414" hidden="1" outlineLevel="1" ht="32.25" customHeight="1">
      <c r="A414" s="48" t="n">
        <v>409</v>
      </c>
      <c r="B414" s="107" t="n"/>
      <c r="C414" s="331">
        <f>SUMIFS(DATA!$M:$M,DATA!$C:$C,$B414,DATA!$N:$N,"&gt;="&amp;DATE(C$5,1,1),DATA!$N:$N,"&lt;="&amp;DATE(C$5,12,31))</f>
        <v/>
      </c>
      <c r="D414" s="331">
        <f>SUMIFS(DATA!$M:$M,DATA!$C:$C,$B414,DATA!$N:$N,"&gt;="&amp;DATE(D$5,1,1),DATA!$N:$N,"&lt;="&amp;DATE(D$5,12,31))</f>
        <v/>
      </c>
      <c r="E414" s="331">
        <f>SUMIFS(DATA!$M:$M,DATA!$C:$C,$B414,DATA!$N:$N,"&gt;="&amp;DATE(E$5,1,1),DATA!$N:$N,"&lt;="&amp;DATE(E$5,12,31))</f>
        <v/>
      </c>
      <c r="F414" s="331">
        <f>SUMIFS(DATA!$M:$M,DATA!$C:$C,$B414,DATA!$N:$N,"&gt;="&amp;DATE(F$5,1,1),DATA!$N:$N,"&lt;="&amp;DATE(F$5,12,31))</f>
        <v/>
      </c>
      <c r="G414" s="331">
        <f>SUMIFS(DATA!$M:$M,DATA!$C:$C,$B414,DATA!$N:$N,"&gt;="&amp;DATE(G$5,1,1),DATA!$N:$N,"&lt;="&amp;DATE(G$5,12,31))</f>
        <v/>
      </c>
      <c r="H414" s="331">
        <f>SUMIFS(DATA!$M:$M,DATA!$C:$C,$B414,DATA!$N:$N,"&gt;="&amp;DATE(H$5,1,1),DATA!$N:$N,"&lt;="&amp;DATE(H$5,12,31))</f>
        <v/>
      </c>
      <c r="I414" s="331">
        <f>SUMIFS(DATA!$M:$M,DATA!$C:$C,$B414,DATA!$N:$N,"&gt;="&amp;DATE(I$5,1,1),DATA!$N:$N,"&lt;="&amp;DATE(I$5,12,31))</f>
        <v/>
      </c>
      <c r="J414" s="332">
        <f>SUM(C414:I414)</f>
        <v/>
      </c>
      <c r="K414" s="333">
        <f>J414/$J$506</f>
        <v/>
      </c>
    </row>
    <row r="415" hidden="1" outlineLevel="1" ht="32.25" customHeight="1">
      <c r="A415" s="48" t="n">
        <v>410</v>
      </c>
      <c r="B415" s="107" t="n"/>
      <c r="C415" s="331">
        <f>SUMIFS(DATA!$M:$M,DATA!$C:$C,$B415,DATA!$N:$N,"&gt;="&amp;DATE(C$5,1,1),DATA!$N:$N,"&lt;="&amp;DATE(C$5,12,31))</f>
        <v/>
      </c>
      <c r="D415" s="331">
        <f>SUMIFS(DATA!$M:$M,DATA!$C:$C,$B415,DATA!$N:$N,"&gt;="&amp;DATE(D$5,1,1),DATA!$N:$N,"&lt;="&amp;DATE(D$5,12,31))</f>
        <v/>
      </c>
      <c r="E415" s="331">
        <f>SUMIFS(DATA!$M:$M,DATA!$C:$C,$B415,DATA!$N:$N,"&gt;="&amp;DATE(E$5,1,1),DATA!$N:$N,"&lt;="&amp;DATE(E$5,12,31))</f>
        <v/>
      </c>
      <c r="F415" s="331">
        <f>SUMIFS(DATA!$M:$M,DATA!$C:$C,$B415,DATA!$N:$N,"&gt;="&amp;DATE(F$5,1,1),DATA!$N:$N,"&lt;="&amp;DATE(F$5,12,31))</f>
        <v/>
      </c>
      <c r="G415" s="331">
        <f>SUMIFS(DATA!$M:$M,DATA!$C:$C,$B415,DATA!$N:$N,"&gt;="&amp;DATE(G$5,1,1),DATA!$N:$N,"&lt;="&amp;DATE(G$5,12,31))</f>
        <v/>
      </c>
      <c r="H415" s="331">
        <f>SUMIFS(DATA!$M:$M,DATA!$C:$C,$B415,DATA!$N:$N,"&gt;="&amp;DATE(H$5,1,1),DATA!$N:$N,"&lt;="&amp;DATE(H$5,12,31))</f>
        <v/>
      </c>
      <c r="I415" s="331">
        <f>SUMIFS(DATA!$M:$M,DATA!$C:$C,$B415,DATA!$N:$N,"&gt;="&amp;DATE(I$5,1,1),DATA!$N:$N,"&lt;="&amp;DATE(I$5,12,31))</f>
        <v/>
      </c>
      <c r="J415" s="332">
        <f>SUM(C415:I415)</f>
        <v/>
      </c>
      <c r="K415" s="333">
        <f>J415/$J$506</f>
        <v/>
      </c>
    </row>
    <row r="416" hidden="1" outlineLevel="1" ht="32.25" customHeight="1">
      <c r="A416" s="48" t="n">
        <v>411</v>
      </c>
      <c r="B416" s="107" t="n"/>
      <c r="C416" s="331">
        <f>SUMIFS(DATA!$M:$M,DATA!$C:$C,$B416,DATA!$N:$N,"&gt;="&amp;DATE(C$5,1,1),DATA!$N:$N,"&lt;="&amp;DATE(C$5,12,31))</f>
        <v/>
      </c>
      <c r="D416" s="331">
        <f>SUMIFS(DATA!$M:$M,DATA!$C:$C,$B416,DATA!$N:$N,"&gt;="&amp;DATE(D$5,1,1),DATA!$N:$N,"&lt;="&amp;DATE(D$5,12,31))</f>
        <v/>
      </c>
      <c r="E416" s="331">
        <f>SUMIFS(DATA!$M:$M,DATA!$C:$C,$B416,DATA!$N:$N,"&gt;="&amp;DATE(E$5,1,1),DATA!$N:$N,"&lt;="&amp;DATE(E$5,12,31))</f>
        <v/>
      </c>
      <c r="F416" s="331">
        <f>SUMIFS(DATA!$M:$M,DATA!$C:$C,$B416,DATA!$N:$N,"&gt;="&amp;DATE(F$5,1,1),DATA!$N:$N,"&lt;="&amp;DATE(F$5,12,31))</f>
        <v/>
      </c>
      <c r="G416" s="331">
        <f>SUMIFS(DATA!$M:$M,DATA!$C:$C,$B416,DATA!$N:$N,"&gt;="&amp;DATE(G$5,1,1),DATA!$N:$N,"&lt;="&amp;DATE(G$5,12,31))</f>
        <v/>
      </c>
      <c r="H416" s="331">
        <f>SUMIFS(DATA!$M:$M,DATA!$C:$C,$B416,DATA!$N:$N,"&gt;="&amp;DATE(H$5,1,1),DATA!$N:$N,"&lt;="&amp;DATE(H$5,12,31))</f>
        <v/>
      </c>
      <c r="I416" s="331">
        <f>SUMIFS(DATA!$M:$M,DATA!$C:$C,$B416,DATA!$N:$N,"&gt;="&amp;DATE(I$5,1,1),DATA!$N:$N,"&lt;="&amp;DATE(I$5,12,31))</f>
        <v/>
      </c>
      <c r="J416" s="332">
        <f>SUM(C416:I416)</f>
        <v/>
      </c>
      <c r="K416" s="333">
        <f>J416/$J$506</f>
        <v/>
      </c>
    </row>
    <row r="417" hidden="1" outlineLevel="1" ht="32.25" customHeight="1">
      <c r="A417" s="48" t="n">
        <v>412</v>
      </c>
      <c r="B417" s="107" t="n"/>
      <c r="C417" s="331">
        <f>SUMIFS(DATA!$M:$M,DATA!$C:$C,$B417,DATA!$N:$N,"&gt;="&amp;DATE(C$5,1,1),DATA!$N:$N,"&lt;="&amp;DATE(C$5,12,31))</f>
        <v/>
      </c>
      <c r="D417" s="331">
        <f>SUMIFS(DATA!$M:$M,DATA!$C:$C,$B417,DATA!$N:$N,"&gt;="&amp;DATE(D$5,1,1),DATA!$N:$N,"&lt;="&amp;DATE(D$5,12,31))</f>
        <v/>
      </c>
      <c r="E417" s="331">
        <f>SUMIFS(DATA!$M:$M,DATA!$C:$C,$B417,DATA!$N:$N,"&gt;="&amp;DATE(E$5,1,1),DATA!$N:$N,"&lt;="&amp;DATE(E$5,12,31))</f>
        <v/>
      </c>
      <c r="F417" s="331">
        <f>SUMIFS(DATA!$M:$M,DATA!$C:$C,$B417,DATA!$N:$N,"&gt;="&amp;DATE(F$5,1,1),DATA!$N:$N,"&lt;="&amp;DATE(F$5,12,31))</f>
        <v/>
      </c>
      <c r="G417" s="331">
        <f>SUMIFS(DATA!$M:$M,DATA!$C:$C,$B417,DATA!$N:$N,"&gt;="&amp;DATE(G$5,1,1),DATA!$N:$N,"&lt;="&amp;DATE(G$5,12,31))</f>
        <v/>
      </c>
      <c r="H417" s="331">
        <f>SUMIFS(DATA!$M:$M,DATA!$C:$C,$B417,DATA!$N:$N,"&gt;="&amp;DATE(H$5,1,1),DATA!$N:$N,"&lt;="&amp;DATE(H$5,12,31))</f>
        <v/>
      </c>
      <c r="I417" s="331">
        <f>SUMIFS(DATA!$M:$M,DATA!$C:$C,$B417,DATA!$N:$N,"&gt;="&amp;DATE(I$5,1,1),DATA!$N:$N,"&lt;="&amp;DATE(I$5,12,31))</f>
        <v/>
      </c>
      <c r="J417" s="332">
        <f>SUM(C417:I417)</f>
        <v/>
      </c>
      <c r="K417" s="333">
        <f>J417/$J$506</f>
        <v/>
      </c>
    </row>
    <row r="418" hidden="1" outlineLevel="1" ht="32.25" customHeight="1">
      <c r="A418" s="48" t="n">
        <v>413</v>
      </c>
      <c r="B418" s="107" t="n"/>
      <c r="C418" s="331">
        <f>SUMIFS(DATA!$M:$M,DATA!$C:$C,$B418,DATA!$N:$N,"&gt;="&amp;DATE(C$5,1,1),DATA!$N:$N,"&lt;="&amp;DATE(C$5,12,31))</f>
        <v/>
      </c>
      <c r="D418" s="331">
        <f>SUMIFS(DATA!$M:$M,DATA!$C:$C,$B418,DATA!$N:$N,"&gt;="&amp;DATE(D$5,1,1),DATA!$N:$N,"&lt;="&amp;DATE(D$5,12,31))</f>
        <v/>
      </c>
      <c r="E418" s="331">
        <f>SUMIFS(DATA!$M:$M,DATA!$C:$C,$B418,DATA!$N:$N,"&gt;="&amp;DATE(E$5,1,1),DATA!$N:$N,"&lt;="&amp;DATE(E$5,12,31))</f>
        <v/>
      </c>
      <c r="F418" s="331">
        <f>SUMIFS(DATA!$M:$M,DATA!$C:$C,$B418,DATA!$N:$N,"&gt;="&amp;DATE(F$5,1,1),DATA!$N:$N,"&lt;="&amp;DATE(F$5,12,31))</f>
        <v/>
      </c>
      <c r="G418" s="331">
        <f>SUMIFS(DATA!$M:$M,DATA!$C:$C,$B418,DATA!$N:$N,"&gt;="&amp;DATE(G$5,1,1),DATA!$N:$N,"&lt;="&amp;DATE(G$5,12,31))</f>
        <v/>
      </c>
      <c r="H418" s="331">
        <f>SUMIFS(DATA!$M:$M,DATA!$C:$C,$B418,DATA!$N:$N,"&gt;="&amp;DATE(H$5,1,1),DATA!$N:$N,"&lt;="&amp;DATE(H$5,12,31))</f>
        <v/>
      </c>
      <c r="I418" s="331">
        <f>SUMIFS(DATA!$M:$M,DATA!$C:$C,$B418,DATA!$N:$N,"&gt;="&amp;DATE(I$5,1,1),DATA!$N:$N,"&lt;="&amp;DATE(I$5,12,31))</f>
        <v/>
      </c>
      <c r="J418" s="332">
        <f>SUM(C418:I418)</f>
        <v/>
      </c>
      <c r="K418" s="333">
        <f>J418/$J$506</f>
        <v/>
      </c>
    </row>
    <row r="419" hidden="1" outlineLevel="1" ht="32.25" customHeight="1">
      <c r="A419" s="48" t="n">
        <v>414</v>
      </c>
      <c r="B419" s="107" t="n"/>
      <c r="C419" s="331">
        <f>SUMIFS(DATA!$M:$M,DATA!$C:$C,$B419,DATA!$N:$N,"&gt;="&amp;DATE(C$5,1,1),DATA!$N:$N,"&lt;="&amp;DATE(C$5,12,31))</f>
        <v/>
      </c>
      <c r="D419" s="331">
        <f>SUMIFS(DATA!$M:$M,DATA!$C:$C,$B419,DATA!$N:$N,"&gt;="&amp;DATE(D$5,1,1),DATA!$N:$N,"&lt;="&amp;DATE(D$5,12,31))</f>
        <v/>
      </c>
      <c r="E419" s="331">
        <f>SUMIFS(DATA!$M:$M,DATA!$C:$C,$B419,DATA!$N:$N,"&gt;="&amp;DATE(E$5,1,1),DATA!$N:$N,"&lt;="&amp;DATE(E$5,12,31))</f>
        <v/>
      </c>
      <c r="F419" s="331">
        <f>SUMIFS(DATA!$M:$M,DATA!$C:$C,$B419,DATA!$N:$N,"&gt;="&amp;DATE(F$5,1,1),DATA!$N:$N,"&lt;="&amp;DATE(F$5,12,31))</f>
        <v/>
      </c>
      <c r="G419" s="331">
        <f>SUMIFS(DATA!$M:$M,DATA!$C:$C,$B419,DATA!$N:$N,"&gt;="&amp;DATE(G$5,1,1),DATA!$N:$N,"&lt;="&amp;DATE(G$5,12,31))</f>
        <v/>
      </c>
      <c r="H419" s="331">
        <f>SUMIFS(DATA!$M:$M,DATA!$C:$C,$B419,DATA!$N:$N,"&gt;="&amp;DATE(H$5,1,1),DATA!$N:$N,"&lt;="&amp;DATE(H$5,12,31))</f>
        <v/>
      </c>
      <c r="I419" s="331">
        <f>SUMIFS(DATA!$M:$M,DATA!$C:$C,$B419,DATA!$N:$N,"&gt;="&amp;DATE(I$5,1,1),DATA!$N:$N,"&lt;="&amp;DATE(I$5,12,31))</f>
        <v/>
      </c>
      <c r="J419" s="332">
        <f>SUM(C419:I419)</f>
        <v/>
      </c>
      <c r="K419" s="333">
        <f>J419/$J$506</f>
        <v/>
      </c>
    </row>
    <row r="420" hidden="1" outlineLevel="1" ht="32.25" customHeight="1">
      <c r="A420" s="48" t="n">
        <v>415</v>
      </c>
      <c r="B420" s="107" t="n"/>
      <c r="C420" s="331">
        <f>SUMIFS(DATA!$M:$M,DATA!$C:$C,$B420,DATA!$N:$N,"&gt;="&amp;DATE(C$5,1,1),DATA!$N:$N,"&lt;="&amp;DATE(C$5,12,31))</f>
        <v/>
      </c>
      <c r="D420" s="331">
        <f>SUMIFS(DATA!$M:$M,DATA!$C:$C,$B420,DATA!$N:$N,"&gt;="&amp;DATE(D$5,1,1),DATA!$N:$N,"&lt;="&amp;DATE(D$5,12,31))</f>
        <v/>
      </c>
      <c r="E420" s="331">
        <f>SUMIFS(DATA!$M:$M,DATA!$C:$C,$B420,DATA!$N:$N,"&gt;="&amp;DATE(E$5,1,1),DATA!$N:$N,"&lt;="&amp;DATE(E$5,12,31))</f>
        <v/>
      </c>
      <c r="F420" s="331">
        <f>SUMIFS(DATA!$M:$M,DATA!$C:$C,$B420,DATA!$N:$N,"&gt;="&amp;DATE(F$5,1,1),DATA!$N:$N,"&lt;="&amp;DATE(F$5,12,31))</f>
        <v/>
      </c>
      <c r="G420" s="331">
        <f>SUMIFS(DATA!$M:$M,DATA!$C:$C,$B420,DATA!$N:$N,"&gt;="&amp;DATE(G$5,1,1),DATA!$N:$N,"&lt;="&amp;DATE(G$5,12,31))</f>
        <v/>
      </c>
      <c r="H420" s="331">
        <f>SUMIFS(DATA!$M:$M,DATA!$C:$C,$B420,DATA!$N:$N,"&gt;="&amp;DATE(H$5,1,1),DATA!$N:$N,"&lt;="&amp;DATE(H$5,12,31))</f>
        <v/>
      </c>
      <c r="I420" s="331">
        <f>SUMIFS(DATA!$M:$M,DATA!$C:$C,$B420,DATA!$N:$N,"&gt;="&amp;DATE(I$5,1,1),DATA!$N:$N,"&lt;="&amp;DATE(I$5,12,31))</f>
        <v/>
      </c>
      <c r="J420" s="332">
        <f>SUM(C420:I420)</f>
        <v/>
      </c>
      <c r="K420" s="333">
        <f>J420/$J$506</f>
        <v/>
      </c>
    </row>
    <row r="421" hidden="1" outlineLevel="1" ht="32.25" customHeight="1">
      <c r="A421" s="48" t="n">
        <v>416</v>
      </c>
      <c r="B421" s="107" t="n"/>
      <c r="C421" s="331">
        <f>SUMIFS(DATA!$M:$M,DATA!$C:$C,$B421,DATA!$N:$N,"&gt;="&amp;DATE(C$5,1,1),DATA!$N:$N,"&lt;="&amp;DATE(C$5,12,31))</f>
        <v/>
      </c>
      <c r="D421" s="331">
        <f>SUMIFS(DATA!$M:$M,DATA!$C:$C,$B421,DATA!$N:$N,"&gt;="&amp;DATE(D$5,1,1),DATA!$N:$N,"&lt;="&amp;DATE(D$5,12,31))</f>
        <v/>
      </c>
      <c r="E421" s="331">
        <f>SUMIFS(DATA!$M:$M,DATA!$C:$C,$B421,DATA!$N:$N,"&gt;="&amp;DATE(E$5,1,1),DATA!$N:$N,"&lt;="&amp;DATE(E$5,12,31))</f>
        <v/>
      </c>
      <c r="F421" s="331">
        <f>SUMIFS(DATA!$M:$M,DATA!$C:$C,$B421,DATA!$N:$N,"&gt;="&amp;DATE(F$5,1,1),DATA!$N:$N,"&lt;="&amp;DATE(F$5,12,31))</f>
        <v/>
      </c>
      <c r="G421" s="331">
        <f>SUMIFS(DATA!$M:$M,DATA!$C:$C,$B421,DATA!$N:$N,"&gt;="&amp;DATE(G$5,1,1),DATA!$N:$N,"&lt;="&amp;DATE(G$5,12,31))</f>
        <v/>
      </c>
      <c r="H421" s="331">
        <f>SUMIFS(DATA!$M:$M,DATA!$C:$C,$B421,DATA!$N:$N,"&gt;="&amp;DATE(H$5,1,1),DATA!$N:$N,"&lt;="&amp;DATE(H$5,12,31))</f>
        <v/>
      </c>
      <c r="I421" s="331">
        <f>SUMIFS(DATA!$M:$M,DATA!$C:$C,$B421,DATA!$N:$N,"&gt;="&amp;DATE(I$5,1,1),DATA!$N:$N,"&lt;="&amp;DATE(I$5,12,31))</f>
        <v/>
      </c>
      <c r="J421" s="332">
        <f>SUM(C421:I421)</f>
        <v/>
      </c>
      <c r="K421" s="333">
        <f>J421/$J$506</f>
        <v/>
      </c>
    </row>
    <row r="422" hidden="1" outlineLevel="1" ht="32.25" customHeight="1">
      <c r="A422" s="48" t="n">
        <v>417</v>
      </c>
      <c r="B422" s="107" t="n"/>
      <c r="C422" s="331">
        <f>SUMIFS(DATA!$M:$M,DATA!$C:$C,$B422,DATA!$N:$N,"&gt;="&amp;DATE(C$5,1,1),DATA!$N:$N,"&lt;="&amp;DATE(C$5,12,31))</f>
        <v/>
      </c>
      <c r="D422" s="331">
        <f>SUMIFS(DATA!$M:$M,DATA!$C:$C,$B422,DATA!$N:$N,"&gt;="&amp;DATE(D$5,1,1),DATA!$N:$N,"&lt;="&amp;DATE(D$5,12,31))</f>
        <v/>
      </c>
      <c r="E422" s="331">
        <f>SUMIFS(DATA!$M:$M,DATA!$C:$C,$B422,DATA!$N:$N,"&gt;="&amp;DATE(E$5,1,1),DATA!$N:$N,"&lt;="&amp;DATE(E$5,12,31))</f>
        <v/>
      </c>
      <c r="F422" s="331">
        <f>SUMIFS(DATA!$M:$M,DATA!$C:$C,$B422,DATA!$N:$N,"&gt;="&amp;DATE(F$5,1,1),DATA!$N:$N,"&lt;="&amp;DATE(F$5,12,31))</f>
        <v/>
      </c>
      <c r="G422" s="331">
        <f>SUMIFS(DATA!$M:$M,DATA!$C:$C,$B422,DATA!$N:$N,"&gt;="&amp;DATE(G$5,1,1),DATA!$N:$N,"&lt;="&amp;DATE(G$5,12,31))</f>
        <v/>
      </c>
      <c r="H422" s="331">
        <f>SUMIFS(DATA!$M:$M,DATA!$C:$C,$B422,DATA!$N:$N,"&gt;="&amp;DATE(H$5,1,1),DATA!$N:$N,"&lt;="&amp;DATE(H$5,12,31))</f>
        <v/>
      </c>
      <c r="I422" s="331">
        <f>SUMIFS(DATA!$M:$M,DATA!$C:$C,$B422,DATA!$N:$N,"&gt;="&amp;DATE(I$5,1,1),DATA!$N:$N,"&lt;="&amp;DATE(I$5,12,31))</f>
        <v/>
      </c>
      <c r="J422" s="332">
        <f>SUM(C422:I422)</f>
        <v/>
      </c>
      <c r="K422" s="333">
        <f>J422/$J$506</f>
        <v/>
      </c>
    </row>
    <row r="423" hidden="1" outlineLevel="1" ht="32.25" customHeight="1">
      <c r="A423" s="48" t="n">
        <v>418</v>
      </c>
      <c r="B423" s="107" t="n"/>
      <c r="C423" s="331">
        <f>SUMIFS(DATA!$M:$M,DATA!$C:$C,$B423,DATA!$N:$N,"&gt;="&amp;DATE(C$5,1,1),DATA!$N:$N,"&lt;="&amp;DATE(C$5,12,31))</f>
        <v/>
      </c>
      <c r="D423" s="331">
        <f>SUMIFS(DATA!$M:$M,DATA!$C:$C,$B423,DATA!$N:$N,"&gt;="&amp;DATE(D$5,1,1),DATA!$N:$N,"&lt;="&amp;DATE(D$5,12,31))</f>
        <v/>
      </c>
      <c r="E423" s="331">
        <f>SUMIFS(DATA!$M:$M,DATA!$C:$C,$B423,DATA!$N:$N,"&gt;="&amp;DATE(E$5,1,1),DATA!$N:$N,"&lt;="&amp;DATE(E$5,12,31))</f>
        <v/>
      </c>
      <c r="F423" s="331">
        <f>SUMIFS(DATA!$M:$M,DATA!$C:$C,$B423,DATA!$N:$N,"&gt;="&amp;DATE(F$5,1,1),DATA!$N:$N,"&lt;="&amp;DATE(F$5,12,31))</f>
        <v/>
      </c>
      <c r="G423" s="331">
        <f>SUMIFS(DATA!$M:$M,DATA!$C:$C,$B423,DATA!$N:$N,"&gt;="&amp;DATE(G$5,1,1),DATA!$N:$N,"&lt;="&amp;DATE(G$5,12,31))</f>
        <v/>
      </c>
      <c r="H423" s="331">
        <f>SUMIFS(DATA!$M:$M,DATA!$C:$C,$B423,DATA!$N:$N,"&gt;="&amp;DATE(H$5,1,1),DATA!$N:$N,"&lt;="&amp;DATE(H$5,12,31))</f>
        <v/>
      </c>
      <c r="I423" s="331">
        <f>SUMIFS(DATA!$M:$M,DATA!$C:$C,$B423,DATA!$N:$N,"&gt;="&amp;DATE(I$5,1,1),DATA!$N:$N,"&lt;="&amp;DATE(I$5,12,31))</f>
        <v/>
      </c>
      <c r="J423" s="332">
        <f>SUM(C423:I423)</f>
        <v/>
      </c>
      <c r="K423" s="333">
        <f>J423/$J$506</f>
        <v/>
      </c>
    </row>
    <row r="424" hidden="1" outlineLevel="1" ht="32.25" customHeight="1">
      <c r="A424" s="48" t="n">
        <v>419</v>
      </c>
      <c r="B424" s="107" t="n"/>
      <c r="C424" s="331">
        <f>SUMIFS(DATA!$M:$M,DATA!$C:$C,$B424,DATA!$N:$N,"&gt;="&amp;DATE(C$5,1,1),DATA!$N:$N,"&lt;="&amp;DATE(C$5,12,31))</f>
        <v/>
      </c>
      <c r="D424" s="331">
        <f>SUMIFS(DATA!$M:$M,DATA!$C:$C,$B424,DATA!$N:$N,"&gt;="&amp;DATE(D$5,1,1),DATA!$N:$N,"&lt;="&amp;DATE(D$5,12,31))</f>
        <v/>
      </c>
      <c r="E424" s="331">
        <f>SUMIFS(DATA!$M:$M,DATA!$C:$C,$B424,DATA!$N:$N,"&gt;="&amp;DATE(E$5,1,1),DATA!$N:$N,"&lt;="&amp;DATE(E$5,12,31))</f>
        <v/>
      </c>
      <c r="F424" s="331">
        <f>SUMIFS(DATA!$M:$M,DATA!$C:$C,$B424,DATA!$N:$N,"&gt;="&amp;DATE(F$5,1,1),DATA!$N:$N,"&lt;="&amp;DATE(F$5,12,31))</f>
        <v/>
      </c>
      <c r="G424" s="331">
        <f>SUMIFS(DATA!$M:$M,DATA!$C:$C,$B424,DATA!$N:$N,"&gt;="&amp;DATE(G$5,1,1),DATA!$N:$N,"&lt;="&amp;DATE(G$5,12,31))</f>
        <v/>
      </c>
      <c r="H424" s="331">
        <f>SUMIFS(DATA!$M:$M,DATA!$C:$C,$B424,DATA!$N:$N,"&gt;="&amp;DATE(H$5,1,1),DATA!$N:$N,"&lt;="&amp;DATE(H$5,12,31))</f>
        <v/>
      </c>
      <c r="I424" s="331">
        <f>SUMIFS(DATA!$M:$M,DATA!$C:$C,$B424,DATA!$N:$N,"&gt;="&amp;DATE(I$5,1,1),DATA!$N:$N,"&lt;="&amp;DATE(I$5,12,31))</f>
        <v/>
      </c>
      <c r="J424" s="332">
        <f>SUM(C424:I424)</f>
        <v/>
      </c>
      <c r="K424" s="333">
        <f>J424/$J$506</f>
        <v/>
      </c>
    </row>
    <row r="425" hidden="1" outlineLevel="1" ht="32.25" customHeight="1">
      <c r="A425" s="48" t="n">
        <v>420</v>
      </c>
      <c r="B425" s="107" t="n"/>
      <c r="C425" s="331">
        <f>SUMIFS(DATA!$M:$M,DATA!$C:$C,$B425,DATA!$N:$N,"&gt;="&amp;DATE(C$5,1,1),DATA!$N:$N,"&lt;="&amp;DATE(C$5,12,31))</f>
        <v/>
      </c>
      <c r="D425" s="331">
        <f>SUMIFS(DATA!$M:$M,DATA!$C:$C,$B425,DATA!$N:$N,"&gt;="&amp;DATE(D$5,1,1),DATA!$N:$N,"&lt;="&amp;DATE(D$5,12,31))</f>
        <v/>
      </c>
      <c r="E425" s="331">
        <f>SUMIFS(DATA!$M:$M,DATA!$C:$C,$B425,DATA!$N:$N,"&gt;="&amp;DATE(E$5,1,1),DATA!$N:$N,"&lt;="&amp;DATE(E$5,12,31))</f>
        <v/>
      </c>
      <c r="F425" s="331">
        <f>SUMIFS(DATA!$M:$M,DATA!$C:$C,$B425,DATA!$N:$N,"&gt;="&amp;DATE(F$5,1,1),DATA!$N:$N,"&lt;="&amp;DATE(F$5,12,31))</f>
        <v/>
      </c>
      <c r="G425" s="331">
        <f>SUMIFS(DATA!$M:$M,DATA!$C:$C,$B425,DATA!$N:$N,"&gt;="&amp;DATE(G$5,1,1),DATA!$N:$N,"&lt;="&amp;DATE(G$5,12,31))</f>
        <v/>
      </c>
      <c r="H425" s="331">
        <f>SUMIFS(DATA!$M:$M,DATA!$C:$C,$B425,DATA!$N:$N,"&gt;="&amp;DATE(H$5,1,1),DATA!$N:$N,"&lt;="&amp;DATE(H$5,12,31))</f>
        <v/>
      </c>
      <c r="I425" s="331">
        <f>SUMIFS(DATA!$M:$M,DATA!$C:$C,$B425,DATA!$N:$N,"&gt;="&amp;DATE(I$5,1,1),DATA!$N:$N,"&lt;="&amp;DATE(I$5,12,31))</f>
        <v/>
      </c>
      <c r="J425" s="332">
        <f>SUM(C425:I425)</f>
        <v/>
      </c>
      <c r="K425" s="333">
        <f>J425/$J$506</f>
        <v/>
      </c>
    </row>
    <row r="426" hidden="1" outlineLevel="1" ht="32.25" customHeight="1">
      <c r="A426" s="48" t="n">
        <v>421</v>
      </c>
      <c r="B426" s="107" t="n"/>
      <c r="C426" s="331">
        <f>SUMIFS(DATA!$M:$M,DATA!$C:$C,$B426,DATA!$N:$N,"&gt;="&amp;DATE(C$5,1,1),DATA!$N:$N,"&lt;="&amp;DATE(C$5,12,31))</f>
        <v/>
      </c>
      <c r="D426" s="331">
        <f>SUMIFS(DATA!$M:$M,DATA!$C:$C,$B426,DATA!$N:$N,"&gt;="&amp;DATE(D$5,1,1),DATA!$N:$N,"&lt;="&amp;DATE(D$5,12,31))</f>
        <v/>
      </c>
      <c r="E426" s="331">
        <f>SUMIFS(DATA!$M:$M,DATA!$C:$C,$B426,DATA!$N:$N,"&gt;="&amp;DATE(E$5,1,1),DATA!$N:$N,"&lt;="&amp;DATE(E$5,12,31))</f>
        <v/>
      </c>
      <c r="F426" s="331">
        <f>SUMIFS(DATA!$M:$M,DATA!$C:$C,$B426,DATA!$N:$N,"&gt;="&amp;DATE(F$5,1,1),DATA!$N:$N,"&lt;="&amp;DATE(F$5,12,31))</f>
        <v/>
      </c>
      <c r="G426" s="331">
        <f>SUMIFS(DATA!$M:$M,DATA!$C:$C,$B426,DATA!$N:$N,"&gt;="&amp;DATE(G$5,1,1),DATA!$N:$N,"&lt;="&amp;DATE(G$5,12,31))</f>
        <v/>
      </c>
      <c r="H426" s="331">
        <f>SUMIFS(DATA!$M:$M,DATA!$C:$C,$B426,DATA!$N:$N,"&gt;="&amp;DATE(H$5,1,1),DATA!$N:$N,"&lt;="&amp;DATE(H$5,12,31))</f>
        <v/>
      </c>
      <c r="I426" s="331">
        <f>SUMIFS(DATA!$M:$M,DATA!$C:$C,$B426,DATA!$N:$N,"&gt;="&amp;DATE(I$5,1,1),DATA!$N:$N,"&lt;="&amp;DATE(I$5,12,31))</f>
        <v/>
      </c>
      <c r="J426" s="332">
        <f>SUM(C426:I426)</f>
        <v/>
      </c>
      <c r="K426" s="333">
        <f>J426/$J$506</f>
        <v/>
      </c>
    </row>
    <row r="427" hidden="1" outlineLevel="1" ht="32.25" customHeight="1">
      <c r="A427" s="48" t="n">
        <v>422</v>
      </c>
      <c r="B427" s="107" t="n"/>
      <c r="C427" s="331">
        <f>SUMIFS(DATA!$M:$M,DATA!$C:$C,$B427,DATA!$N:$N,"&gt;="&amp;DATE(C$5,1,1),DATA!$N:$N,"&lt;="&amp;DATE(C$5,12,31))</f>
        <v/>
      </c>
      <c r="D427" s="331">
        <f>SUMIFS(DATA!$M:$M,DATA!$C:$C,$B427,DATA!$N:$N,"&gt;="&amp;DATE(D$5,1,1),DATA!$N:$N,"&lt;="&amp;DATE(D$5,12,31))</f>
        <v/>
      </c>
      <c r="E427" s="331">
        <f>SUMIFS(DATA!$M:$M,DATA!$C:$C,$B427,DATA!$N:$N,"&gt;="&amp;DATE(E$5,1,1),DATA!$N:$N,"&lt;="&amp;DATE(E$5,12,31))</f>
        <v/>
      </c>
      <c r="F427" s="331">
        <f>SUMIFS(DATA!$M:$M,DATA!$C:$C,$B427,DATA!$N:$N,"&gt;="&amp;DATE(F$5,1,1),DATA!$N:$N,"&lt;="&amp;DATE(F$5,12,31))</f>
        <v/>
      </c>
      <c r="G427" s="331">
        <f>SUMIFS(DATA!$M:$M,DATA!$C:$C,$B427,DATA!$N:$N,"&gt;="&amp;DATE(G$5,1,1),DATA!$N:$N,"&lt;="&amp;DATE(G$5,12,31))</f>
        <v/>
      </c>
      <c r="H427" s="331">
        <f>SUMIFS(DATA!$M:$M,DATA!$C:$C,$B427,DATA!$N:$N,"&gt;="&amp;DATE(H$5,1,1),DATA!$N:$N,"&lt;="&amp;DATE(H$5,12,31))</f>
        <v/>
      </c>
      <c r="I427" s="331">
        <f>SUMIFS(DATA!$M:$M,DATA!$C:$C,$B427,DATA!$N:$N,"&gt;="&amp;DATE(I$5,1,1),DATA!$N:$N,"&lt;="&amp;DATE(I$5,12,31))</f>
        <v/>
      </c>
      <c r="J427" s="332">
        <f>SUM(C427:I427)</f>
        <v/>
      </c>
      <c r="K427" s="333">
        <f>J427/$J$506</f>
        <v/>
      </c>
    </row>
    <row r="428" hidden="1" outlineLevel="1" ht="32.25" customHeight="1">
      <c r="A428" s="48" t="n">
        <v>423</v>
      </c>
      <c r="B428" s="107" t="n"/>
      <c r="C428" s="331">
        <f>SUMIFS(DATA!$M:$M,DATA!$C:$C,$B428,DATA!$N:$N,"&gt;="&amp;DATE(C$5,1,1),DATA!$N:$N,"&lt;="&amp;DATE(C$5,12,31))</f>
        <v/>
      </c>
      <c r="D428" s="331">
        <f>SUMIFS(DATA!$M:$M,DATA!$C:$C,$B428,DATA!$N:$N,"&gt;="&amp;DATE(D$5,1,1),DATA!$N:$N,"&lt;="&amp;DATE(D$5,12,31))</f>
        <v/>
      </c>
      <c r="E428" s="331">
        <f>SUMIFS(DATA!$M:$M,DATA!$C:$C,$B428,DATA!$N:$N,"&gt;="&amp;DATE(E$5,1,1),DATA!$N:$N,"&lt;="&amp;DATE(E$5,12,31))</f>
        <v/>
      </c>
      <c r="F428" s="331">
        <f>SUMIFS(DATA!$M:$M,DATA!$C:$C,$B428,DATA!$N:$N,"&gt;="&amp;DATE(F$5,1,1),DATA!$N:$N,"&lt;="&amp;DATE(F$5,12,31))</f>
        <v/>
      </c>
      <c r="G428" s="331">
        <f>SUMIFS(DATA!$M:$M,DATA!$C:$C,$B428,DATA!$N:$N,"&gt;="&amp;DATE(G$5,1,1),DATA!$N:$N,"&lt;="&amp;DATE(G$5,12,31))</f>
        <v/>
      </c>
      <c r="H428" s="331">
        <f>SUMIFS(DATA!$M:$M,DATA!$C:$C,$B428,DATA!$N:$N,"&gt;="&amp;DATE(H$5,1,1),DATA!$N:$N,"&lt;="&amp;DATE(H$5,12,31))</f>
        <v/>
      </c>
      <c r="I428" s="331">
        <f>SUMIFS(DATA!$M:$M,DATA!$C:$C,$B428,DATA!$N:$N,"&gt;="&amp;DATE(I$5,1,1),DATA!$N:$N,"&lt;="&amp;DATE(I$5,12,31))</f>
        <v/>
      </c>
      <c r="J428" s="332">
        <f>SUM(C428:I428)</f>
        <v/>
      </c>
      <c r="K428" s="333">
        <f>J428/$J$506</f>
        <v/>
      </c>
    </row>
    <row r="429" hidden="1" outlineLevel="1" ht="32.25" customHeight="1">
      <c r="A429" s="48" t="n">
        <v>424</v>
      </c>
      <c r="B429" s="107" t="n"/>
      <c r="C429" s="331">
        <f>SUMIFS(DATA!$M:$M,DATA!$C:$C,$B429,DATA!$N:$N,"&gt;="&amp;DATE(C$5,1,1),DATA!$N:$N,"&lt;="&amp;DATE(C$5,12,31))</f>
        <v/>
      </c>
      <c r="D429" s="331">
        <f>SUMIFS(DATA!$M:$M,DATA!$C:$C,$B429,DATA!$N:$N,"&gt;="&amp;DATE(D$5,1,1),DATA!$N:$N,"&lt;="&amp;DATE(D$5,12,31))</f>
        <v/>
      </c>
      <c r="E429" s="331">
        <f>SUMIFS(DATA!$M:$M,DATA!$C:$C,$B429,DATA!$N:$N,"&gt;="&amp;DATE(E$5,1,1),DATA!$N:$N,"&lt;="&amp;DATE(E$5,12,31))</f>
        <v/>
      </c>
      <c r="F429" s="331">
        <f>SUMIFS(DATA!$M:$M,DATA!$C:$C,$B429,DATA!$N:$N,"&gt;="&amp;DATE(F$5,1,1),DATA!$N:$N,"&lt;="&amp;DATE(F$5,12,31))</f>
        <v/>
      </c>
      <c r="G429" s="331">
        <f>SUMIFS(DATA!$M:$M,DATA!$C:$C,$B429,DATA!$N:$N,"&gt;="&amp;DATE(G$5,1,1),DATA!$N:$N,"&lt;="&amp;DATE(G$5,12,31))</f>
        <v/>
      </c>
      <c r="H429" s="331">
        <f>SUMIFS(DATA!$M:$M,DATA!$C:$C,$B429,DATA!$N:$N,"&gt;="&amp;DATE(H$5,1,1),DATA!$N:$N,"&lt;="&amp;DATE(H$5,12,31))</f>
        <v/>
      </c>
      <c r="I429" s="331">
        <f>SUMIFS(DATA!$M:$M,DATA!$C:$C,$B429,DATA!$N:$N,"&gt;="&amp;DATE(I$5,1,1),DATA!$N:$N,"&lt;="&amp;DATE(I$5,12,31))</f>
        <v/>
      </c>
      <c r="J429" s="332">
        <f>SUM(C429:I429)</f>
        <v/>
      </c>
      <c r="K429" s="333">
        <f>J429/$J$506</f>
        <v/>
      </c>
    </row>
    <row r="430" hidden="1" outlineLevel="1" ht="32.25" customHeight="1">
      <c r="A430" s="48" t="n">
        <v>425</v>
      </c>
      <c r="B430" s="107" t="n"/>
      <c r="C430" s="331">
        <f>SUMIFS(DATA!$M:$M,DATA!$C:$C,$B430,DATA!$N:$N,"&gt;="&amp;DATE(C$5,1,1),DATA!$N:$N,"&lt;="&amp;DATE(C$5,12,31))</f>
        <v/>
      </c>
      <c r="D430" s="331">
        <f>SUMIFS(DATA!$M:$M,DATA!$C:$C,$B430,DATA!$N:$N,"&gt;="&amp;DATE(D$5,1,1),DATA!$N:$N,"&lt;="&amp;DATE(D$5,12,31))</f>
        <v/>
      </c>
      <c r="E430" s="331">
        <f>SUMIFS(DATA!$M:$M,DATA!$C:$C,$B430,DATA!$N:$N,"&gt;="&amp;DATE(E$5,1,1),DATA!$N:$N,"&lt;="&amp;DATE(E$5,12,31))</f>
        <v/>
      </c>
      <c r="F430" s="331">
        <f>SUMIFS(DATA!$M:$M,DATA!$C:$C,$B430,DATA!$N:$N,"&gt;="&amp;DATE(F$5,1,1),DATA!$N:$N,"&lt;="&amp;DATE(F$5,12,31))</f>
        <v/>
      </c>
      <c r="G430" s="331">
        <f>SUMIFS(DATA!$M:$M,DATA!$C:$C,$B430,DATA!$N:$N,"&gt;="&amp;DATE(G$5,1,1),DATA!$N:$N,"&lt;="&amp;DATE(G$5,12,31))</f>
        <v/>
      </c>
      <c r="H430" s="331">
        <f>SUMIFS(DATA!$M:$M,DATA!$C:$C,$B430,DATA!$N:$N,"&gt;="&amp;DATE(H$5,1,1),DATA!$N:$N,"&lt;="&amp;DATE(H$5,12,31))</f>
        <v/>
      </c>
      <c r="I430" s="331">
        <f>SUMIFS(DATA!$M:$M,DATA!$C:$C,$B430,DATA!$N:$N,"&gt;="&amp;DATE(I$5,1,1),DATA!$N:$N,"&lt;="&amp;DATE(I$5,12,31))</f>
        <v/>
      </c>
      <c r="J430" s="332">
        <f>SUM(C430:I430)</f>
        <v/>
      </c>
      <c r="K430" s="333">
        <f>J430/$J$506</f>
        <v/>
      </c>
    </row>
    <row r="431" hidden="1" outlineLevel="1" ht="32.25" customHeight="1">
      <c r="A431" s="48" t="n">
        <v>426</v>
      </c>
      <c r="B431" s="107" t="n"/>
      <c r="C431" s="331">
        <f>SUMIFS(DATA!$M:$M,DATA!$C:$C,$B431,DATA!$N:$N,"&gt;="&amp;DATE(C$5,1,1),DATA!$N:$N,"&lt;="&amp;DATE(C$5,12,31))</f>
        <v/>
      </c>
      <c r="D431" s="331">
        <f>SUMIFS(DATA!$M:$M,DATA!$C:$C,$B431,DATA!$N:$N,"&gt;="&amp;DATE(D$5,1,1),DATA!$N:$N,"&lt;="&amp;DATE(D$5,12,31))</f>
        <v/>
      </c>
      <c r="E431" s="331">
        <f>SUMIFS(DATA!$M:$M,DATA!$C:$C,$B431,DATA!$N:$N,"&gt;="&amp;DATE(E$5,1,1),DATA!$N:$N,"&lt;="&amp;DATE(E$5,12,31))</f>
        <v/>
      </c>
      <c r="F431" s="331">
        <f>SUMIFS(DATA!$M:$M,DATA!$C:$C,$B431,DATA!$N:$N,"&gt;="&amp;DATE(F$5,1,1),DATA!$N:$N,"&lt;="&amp;DATE(F$5,12,31))</f>
        <v/>
      </c>
      <c r="G431" s="331">
        <f>SUMIFS(DATA!$M:$M,DATA!$C:$C,$B431,DATA!$N:$N,"&gt;="&amp;DATE(G$5,1,1),DATA!$N:$N,"&lt;="&amp;DATE(G$5,12,31))</f>
        <v/>
      </c>
      <c r="H431" s="331">
        <f>SUMIFS(DATA!$M:$M,DATA!$C:$C,$B431,DATA!$N:$N,"&gt;="&amp;DATE(H$5,1,1),DATA!$N:$N,"&lt;="&amp;DATE(H$5,12,31))</f>
        <v/>
      </c>
      <c r="I431" s="331">
        <f>SUMIFS(DATA!$M:$M,DATA!$C:$C,$B431,DATA!$N:$N,"&gt;="&amp;DATE(I$5,1,1),DATA!$N:$N,"&lt;="&amp;DATE(I$5,12,31))</f>
        <v/>
      </c>
      <c r="J431" s="332">
        <f>SUM(C431:I431)</f>
        <v/>
      </c>
      <c r="K431" s="333">
        <f>J431/$J$506</f>
        <v/>
      </c>
    </row>
    <row r="432" hidden="1" outlineLevel="1" ht="32.25" customHeight="1">
      <c r="A432" s="48" t="n">
        <v>427</v>
      </c>
      <c r="B432" s="107" t="n"/>
      <c r="C432" s="331">
        <f>SUMIFS(DATA!$M:$M,DATA!$C:$C,$B432,DATA!$N:$N,"&gt;="&amp;DATE(C$5,1,1),DATA!$N:$N,"&lt;="&amp;DATE(C$5,12,31))</f>
        <v/>
      </c>
      <c r="D432" s="331">
        <f>SUMIFS(DATA!$M:$M,DATA!$C:$C,$B432,DATA!$N:$N,"&gt;="&amp;DATE(D$5,1,1),DATA!$N:$N,"&lt;="&amp;DATE(D$5,12,31))</f>
        <v/>
      </c>
      <c r="E432" s="331">
        <f>SUMIFS(DATA!$M:$M,DATA!$C:$C,$B432,DATA!$N:$N,"&gt;="&amp;DATE(E$5,1,1),DATA!$N:$N,"&lt;="&amp;DATE(E$5,12,31))</f>
        <v/>
      </c>
      <c r="F432" s="331">
        <f>SUMIFS(DATA!$M:$M,DATA!$C:$C,$B432,DATA!$N:$N,"&gt;="&amp;DATE(F$5,1,1),DATA!$N:$N,"&lt;="&amp;DATE(F$5,12,31))</f>
        <v/>
      </c>
      <c r="G432" s="331">
        <f>SUMIFS(DATA!$M:$M,DATA!$C:$C,$B432,DATA!$N:$N,"&gt;="&amp;DATE(G$5,1,1),DATA!$N:$N,"&lt;="&amp;DATE(G$5,12,31))</f>
        <v/>
      </c>
      <c r="H432" s="331">
        <f>SUMIFS(DATA!$M:$M,DATA!$C:$C,$B432,DATA!$N:$N,"&gt;="&amp;DATE(H$5,1,1),DATA!$N:$N,"&lt;="&amp;DATE(H$5,12,31))</f>
        <v/>
      </c>
      <c r="I432" s="331">
        <f>SUMIFS(DATA!$M:$M,DATA!$C:$C,$B432,DATA!$N:$N,"&gt;="&amp;DATE(I$5,1,1),DATA!$N:$N,"&lt;="&amp;DATE(I$5,12,31))</f>
        <v/>
      </c>
      <c r="J432" s="332">
        <f>SUM(C432:I432)</f>
        <v/>
      </c>
      <c r="K432" s="333">
        <f>J432/$J$506</f>
        <v/>
      </c>
    </row>
    <row r="433" hidden="1" outlineLevel="1" ht="32.25" customHeight="1">
      <c r="A433" s="48" t="n">
        <v>428</v>
      </c>
      <c r="B433" s="107" t="n"/>
      <c r="C433" s="331">
        <f>SUMIFS(DATA!$M:$M,DATA!$C:$C,$B433,DATA!$N:$N,"&gt;="&amp;DATE(C$5,1,1),DATA!$N:$N,"&lt;="&amp;DATE(C$5,12,31))</f>
        <v/>
      </c>
      <c r="D433" s="331">
        <f>SUMIFS(DATA!$M:$M,DATA!$C:$C,$B433,DATA!$N:$N,"&gt;="&amp;DATE(D$5,1,1),DATA!$N:$N,"&lt;="&amp;DATE(D$5,12,31))</f>
        <v/>
      </c>
      <c r="E433" s="331">
        <f>SUMIFS(DATA!$M:$M,DATA!$C:$C,$B433,DATA!$N:$N,"&gt;="&amp;DATE(E$5,1,1),DATA!$N:$N,"&lt;="&amp;DATE(E$5,12,31))</f>
        <v/>
      </c>
      <c r="F433" s="331">
        <f>SUMIFS(DATA!$M:$M,DATA!$C:$C,$B433,DATA!$N:$N,"&gt;="&amp;DATE(F$5,1,1),DATA!$N:$N,"&lt;="&amp;DATE(F$5,12,31))</f>
        <v/>
      </c>
      <c r="G433" s="331">
        <f>SUMIFS(DATA!$M:$M,DATA!$C:$C,$B433,DATA!$N:$N,"&gt;="&amp;DATE(G$5,1,1),DATA!$N:$N,"&lt;="&amp;DATE(G$5,12,31))</f>
        <v/>
      </c>
      <c r="H433" s="331">
        <f>SUMIFS(DATA!$M:$M,DATA!$C:$C,$B433,DATA!$N:$N,"&gt;="&amp;DATE(H$5,1,1),DATA!$N:$N,"&lt;="&amp;DATE(H$5,12,31))</f>
        <v/>
      </c>
      <c r="I433" s="331">
        <f>SUMIFS(DATA!$M:$M,DATA!$C:$C,$B433,DATA!$N:$N,"&gt;="&amp;DATE(I$5,1,1),DATA!$N:$N,"&lt;="&amp;DATE(I$5,12,31))</f>
        <v/>
      </c>
      <c r="J433" s="332">
        <f>SUM(C433:I433)</f>
        <v/>
      </c>
      <c r="K433" s="333">
        <f>J433/$J$506</f>
        <v/>
      </c>
    </row>
    <row r="434" hidden="1" outlineLevel="1" ht="32.25" customHeight="1">
      <c r="A434" s="48" t="n">
        <v>429</v>
      </c>
      <c r="B434" s="107" t="n"/>
      <c r="C434" s="331">
        <f>SUMIFS(DATA!$M:$M,DATA!$C:$C,$B434,DATA!$N:$N,"&gt;="&amp;DATE(C$5,1,1),DATA!$N:$N,"&lt;="&amp;DATE(C$5,12,31))</f>
        <v/>
      </c>
      <c r="D434" s="331">
        <f>SUMIFS(DATA!$M:$M,DATA!$C:$C,$B434,DATA!$N:$N,"&gt;="&amp;DATE(D$5,1,1),DATA!$N:$N,"&lt;="&amp;DATE(D$5,12,31))</f>
        <v/>
      </c>
      <c r="E434" s="331">
        <f>SUMIFS(DATA!$M:$M,DATA!$C:$C,$B434,DATA!$N:$N,"&gt;="&amp;DATE(E$5,1,1),DATA!$N:$N,"&lt;="&amp;DATE(E$5,12,31))</f>
        <v/>
      </c>
      <c r="F434" s="331">
        <f>SUMIFS(DATA!$M:$M,DATA!$C:$C,$B434,DATA!$N:$N,"&gt;="&amp;DATE(F$5,1,1),DATA!$N:$N,"&lt;="&amp;DATE(F$5,12,31))</f>
        <v/>
      </c>
      <c r="G434" s="331">
        <f>SUMIFS(DATA!$M:$M,DATA!$C:$C,$B434,DATA!$N:$N,"&gt;="&amp;DATE(G$5,1,1),DATA!$N:$N,"&lt;="&amp;DATE(G$5,12,31))</f>
        <v/>
      </c>
      <c r="H434" s="331">
        <f>SUMIFS(DATA!$M:$M,DATA!$C:$C,$B434,DATA!$N:$N,"&gt;="&amp;DATE(H$5,1,1),DATA!$N:$N,"&lt;="&amp;DATE(H$5,12,31))</f>
        <v/>
      </c>
      <c r="I434" s="331">
        <f>SUMIFS(DATA!$M:$M,DATA!$C:$C,$B434,DATA!$N:$N,"&gt;="&amp;DATE(I$5,1,1),DATA!$N:$N,"&lt;="&amp;DATE(I$5,12,31))</f>
        <v/>
      </c>
      <c r="J434" s="332">
        <f>SUM(C434:I434)</f>
        <v/>
      </c>
      <c r="K434" s="333">
        <f>J434/$J$506</f>
        <v/>
      </c>
    </row>
    <row r="435" hidden="1" outlineLevel="1" ht="32.25" customHeight="1">
      <c r="A435" s="48" t="n">
        <v>430</v>
      </c>
      <c r="B435" s="107" t="n"/>
      <c r="C435" s="331">
        <f>SUMIFS(DATA!$M:$M,DATA!$C:$C,$B435,DATA!$N:$N,"&gt;="&amp;DATE(C$5,1,1),DATA!$N:$N,"&lt;="&amp;DATE(C$5,12,31))</f>
        <v/>
      </c>
      <c r="D435" s="331">
        <f>SUMIFS(DATA!$M:$M,DATA!$C:$C,$B435,DATA!$N:$N,"&gt;="&amp;DATE(D$5,1,1),DATA!$N:$N,"&lt;="&amp;DATE(D$5,12,31))</f>
        <v/>
      </c>
      <c r="E435" s="331">
        <f>SUMIFS(DATA!$M:$M,DATA!$C:$C,$B435,DATA!$N:$N,"&gt;="&amp;DATE(E$5,1,1),DATA!$N:$N,"&lt;="&amp;DATE(E$5,12,31))</f>
        <v/>
      </c>
      <c r="F435" s="331">
        <f>SUMIFS(DATA!$M:$M,DATA!$C:$C,$B435,DATA!$N:$N,"&gt;="&amp;DATE(F$5,1,1),DATA!$N:$N,"&lt;="&amp;DATE(F$5,12,31))</f>
        <v/>
      </c>
      <c r="G435" s="331">
        <f>SUMIFS(DATA!$M:$M,DATA!$C:$C,$B435,DATA!$N:$N,"&gt;="&amp;DATE(G$5,1,1),DATA!$N:$N,"&lt;="&amp;DATE(G$5,12,31))</f>
        <v/>
      </c>
      <c r="H435" s="331">
        <f>SUMIFS(DATA!$M:$M,DATA!$C:$C,$B435,DATA!$N:$N,"&gt;="&amp;DATE(H$5,1,1),DATA!$N:$N,"&lt;="&amp;DATE(H$5,12,31))</f>
        <v/>
      </c>
      <c r="I435" s="331">
        <f>SUMIFS(DATA!$M:$M,DATA!$C:$C,$B435,DATA!$N:$N,"&gt;="&amp;DATE(I$5,1,1),DATA!$N:$N,"&lt;="&amp;DATE(I$5,12,31))</f>
        <v/>
      </c>
      <c r="J435" s="332">
        <f>SUM(C435:I435)</f>
        <v/>
      </c>
      <c r="K435" s="333">
        <f>J435/$J$506</f>
        <v/>
      </c>
    </row>
    <row r="436" hidden="1" outlineLevel="1" ht="32.25" customHeight="1">
      <c r="A436" s="48" t="n">
        <v>431</v>
      </c>
      <c r="B436" s="107" t="n"/>
      <c r="C436" s="331">
        <f>SUMIFS(DATA!$M:$M,DATA!$C:$C,$B436,DATA!$N:$N,"&gt;="&amp;DATE(C$5,1,1),DATA!$N:$N,"&lt;="&amp;DATE(C$5,12,31))</f>
        <v/>
      </c>
      <c r="D436" s="331">
        <f>SUMIFS(DATA!$M:$M,DATA!$C:$C,$B436,DATA!$N:$N,"&gt;="&amp;DATE(D$5,1,1),DATA!$N:$N,"&lt;="&amp;DATE(D$5,12,31))</f>
        <v/>
      </c>
      <c r="E436" s="331">
        <f>SUMIFS(DATA!$M:$M,DATA!$C:$C,$B436,DATA!$N:$N,"&gt;="&amp;DATE(E$5,1,1),DATA!$N:$N,"&lt;="&amp;DATE(E$5,12,31))</f>
        <v/>
      </c>
      <c r="F436" s="331">
        <f>SUMIFS(DATA!$M:$M,DATA!$C:$C,$B436,DATA!$N:$N,"&gt;="&amp;DATE(F$5,1,1),DATA!$N:$N,"&lt;="&amp;DATE(F$5,12,31))</f>
        <v/>
      </c>
      <c r="G436" s="331">
        <f>SUMIFS(DATA!$M:$M,DATA!$C:$C,$B436,DATA!$N:$N,"&gt;="&amp;DATE(G$5,1,1),DATA!$N:$N,"&lt;="&amp;DATE(G$5,12,31))</f>
        <v/>
      </c>
      <c r="H436" s="331">
        <f>SUMIFS(DATA!$M:$M,DATA!$C:$C,$B436,DATA!$N:$N,"&gt;="&amp;DATE(H$5,1,1),DATA!$N:$N,"&lt;="&amp;DATE(H$5,12,31))</f>
        <v/>
      </c>
      <c r="I436" s="331">
        <f>SUMIFS(DATA!$M:$M,DATA!$C:$C,$B436,DATA!$N:$N,"&gt;="&amp;DATE(I$5,1,1),DATA!$N:$N,"&lt;="&amp;DATE(I$5,12,31))</f>
        <v/>
      </c>
      <c r="J436" s="332">
        <f>SUM(C436:I436)</f>
        <v/>
      </c>
      <c r="K436" s="333">
        <f>J436/$J$506</f>
        <v/>
      </c>
    </row>
    <row r="437" hidden="1" outlineLevel="1" ht="32.25" customHeight="1">
      <c r="A437" s="48" t="n">
        <v>432</v>
      </c>
      <c r="B437" s="107" t="n"/>
      <c r="C437" s="331">
        <f>SUMIFS(DATA!$M:$M,DATA!$C:$C,$B437,DATA!$N:$N,"&gt;="&amp;DATE(C$5,1,1),DATA!$N:$N,"&lt;="&amp;DATE(C$5,12,31))</f>
        <v/>
      </c>
      <c r="D437" s="331">
        <f>SUMIFS(DATA!$M:$M,DATA!$C:$C,$B437,DATA!$N:$N,"&gt;="&amp;DATE(D$5,1,1),DATA!$N:$N,"&lt;="&amp;DATE(D$5,12,31))</f>
        <v/>
      </c>
      <c r="E437" s="331">
        <f>SUMIFS(DATA!$M:$M,DATA!$C:$C,$B437,DATA!$N:$N,"&gt;="&amp;DATE(E$5,1,1),DATA!$N:$N,"&lt;="&amp;DATE(E$5,12,31))</f>
        <v/>
      </c>
      <c r="F437" s="331">
        <f>SUMIFS(DATA!$M:$M,DATA!$C:$C,$B437,DATA!$N:$N,"&gt;="&amp;DATE(F$5,1,1),DATA!$N:$N,"&lt;="&amp;DATE(F$5,12,31))</f>
        <v/>
      </c>
      <c r="G437" s="331">
        <f>SUMIFS(DATA!$M:$M,DATA!$C:$C,$B437,DATA!$N:$N,"&gt;="&amp;DATE(G$5,1,1),DATA!$N:$N,"&lt;="&amp;DATE(G$5,12,31))</f>
        <v/>
      </c>
      <c r="H437" s="331">
        <f>SUMIFS(DATA!$M:$M,DATA!$C:$C,$B437,DATA!$N:$N,"&gt;="&amp;DATE(H$5,1,1),DATA!$N:$N,"&lt;="&amp;DATE(H$5,12,31))</f>
        <v/>
      </c>
      <c r="I437" s="331">
        <f>SUMIFS(DATA!$M:$M,DATA!$C:$C,$B437,DATA!$N:$N,"&gt;="&amp;DATE(I$5,1,1),DATA!$N:$N,"&lt;="&amp;DATE(I$5,12,31))</f>
        <v/>
      </c>
      <c r="J437" s="332">
        <f>SUM(C437:I437)</f>
        <v/>
      </c>
      <c r="K437" s="333">
        <f>J437/$J$506</f>
        <v/>
      </c>
    </row>
    <row r="438" hidden="1" outlineLevel="1" ht="32.25" customHeight="1">
      <c r="A438" s="48" t="n">
        <v>433</v>
      </c>
      <c r="B438" s="107" t="n"/>
      <c r="C438" s="331">
        <f>SUMIFS(DATA!$M:$M,DATA!$C:$C,$B438,DATA!$N:$N,"&gt;="&amp;DATE(C$5,1,1),DATA!$N:$N,"&lt;="&amp;DATE(C$5,12,31))</f>
        <v/>
      </c>
      <c r="D438" s="331">
        <f>SUMIFS(DATA!$M:$M,DATA!$C:$C,$B438,DATA!$N:$N,"&gt;="&amp;DATE(D$5,1,1),DATA!$N:$N,"&lt;="&amp;DATE(D$5,12,31))</f>
        <v/>
      </c>
      <c r="E438" s="331">
        <f>SUMIFS(DATA!$M:$M,DATA!$C:$C,$B438,DATA!$N:$N,"&gt;="&amp;DATE(E$5,1,1),DATA!$N:$N,"&lt;="&amp;DATE(E$5,12,31))</f>
        <v/>
      </c>
      <c r="F438" s="331">
        <f>SUMIFS(DATA!$M:$M,DATA!$C:$C,$B438,DATA!$N:$N,"&gt;="&amp;DATE(F$5,1,1),DATA!$N:$N,"&lt;="&amp;DATE(F$5,12,31))</f>
        <v/>
      </c>
      <c r="G438" s="331">
        <f>SUMIFS(DATA!$M:$M,DATA!$C:$C,$B438,DATA!$N:$N,"&gt;="&amp;DATE(G$5,1,1),DATA!$N:$N,"&lt;="&amp;DATE(G$5,12,31))</f>
        <v/>
      </c>
      <c r="H438" s="331">
        <f>SUMIFS(DATA!$M:$M,DATA!$C:$C,$B438,DATA!$N:$N,"&gt;="&amp;DATE(H$5,1,1),DATA!$N:$N,"&lt;="&amp;DATE(H$5,12,31))</f>
        <v/>
      </c>
      <c r="I438" s="331">
        <f>SUMIFS(DATA!$M:$M,DATA!$C:$C,$B438,DATA!$N:$N,"&gt;="&amp;DATE(I$5,1,1),DATA!$N:$N,"&lt;="&amp;DATE(I$5,12,31))</f>
        <v/>
      </c>
      <c r="J438" s="332">
        <f>SUM(C438:I438)</f>
        <v/>
      </c>
      <c r="K438" s="333">
        <f>J438/$J$506</f>
        <v/>
      </c>
    </row>
    <row r="439" hidden="1" outlineLevel="1" ht="32.25" customHeight="1">
      <c r="A439" s="48" t="n">
        <v>434</v>
      </c>
      <c r="B439" s="107" t="n"/>
      <c r="C439" s="331">
        <f>SUMIFS(DATA!$M:$M,DATA!$C:$C,$B439,DATA!$N:$N,"&gt;="&amp;DATE(C$5,1,1),DATA!$N:$N,"&lt;="&amp;DATE(C$5,12,31))</f>
        <v/>
      </c>
      <c r="D439" s="331">
        <f>SUMIFS(DATA!$M:$M,DATA!$C:$C,$B439,DATA!$N:$N,"&gt;="&amp;DATE(D$5,1,1),DATA!$N:$N,"&lt;="&amp;DATE(D$5,12,31))</f>
        <v/>
      </c>
      <c r="E439" s="331">
        <f>SUMIFS(DATA!$M:$M,DATA!$C:$C,$B439,DATA!$N:$N,"&gt;="&amp;DATE(E$5,1,1),DATA!$N:$N,"&lt;="&amp;DATE(E$5,12,31))</f>
        <v/>
      </c>
      <c r="F439" s="331">
        <f>SUMIFS(DATA!$M:$M,DATA!$C:$C,$B439,DATA!$N:$N,"&gt;="&amp;DATE(F$5,1,1),DATA!$N:$N,"&lt;="&amp;DATE(F$5,12,31))</f>
        <v/>
      </c>
      <c r="G439" s="331">
        <f>SUMIFS(DATA!$M:$M,DATA!$C:$C,$B439,DATA!$N:$N,"&gt;="&amp;DATE(G$5,1,1),DATA!$N:$N,"&lt;="&amp;DATE(G$5,12,31))</f>
        <v/>
      </c>
      <c r="H439" s="331">
        <f>SUMIFS(DATA!$M:$M,DATA!$C:$C,$B439,DATA!$N:$N,"&gt;="&amp;DATE(H$5,1,1),DATA!$N:$N,"&lt;="&amp;DATE(H$5,12,31))</f>
        <v/>
      </c>
      <c r="I439" s="331">
        <f>SUMIFS(DATA!$M:$M,DATA!$C:$C,$B439,DATA!$N:$N,"&gt;="&amp;DATE(I$5,1,1),DATA!$N:$N,"&lt;="&amp;DATE(I$5,12,31))</f>
        <v/>
      </c>
      <c r="J439" s="332">
        <f>SUM(C439:I439)</f>
        <v/>
      </c>
      <c r="K439" s="333">
        <f>J439/$J$506</f>
        <v/>
      </c>
    </row>
    <row r="440" hidden="1" outlineLevel="1" ht="32.25" customHeight="1">
      <c r="A440" s="48" t="n">
        <v>435</v>
      </c>
      <c r="B440" s="107" t="n"/>
      <c r="C440" s="331">
        <f>SUMIFS(DATA!$M:$M,DATA!$C:$C,$B440,DATA!$N:$N,"&gt;="&amp;DATE(C$5,1,1),DATA!$N:$N,"&lt;="&amp;DATE(C$5,12,31))</f>
        <v/>
      </c>
      <c r="D440" s="331">
        <f>SUMIFS(DATA!$M:$M,DATA!$C:$C,$B440,DATA!$N:$N,"&gt;="&amp;DATE(D$5,1,1),DATA!$N:$N,"&lt;="&amp;DATE(D$5,12,31))</f>
        <v/>
      </c>
      <c r="E440" s="331">
        <f>SUMIFS(DATA!$M:$M,DATA!$C:$C,$B440,DATA!$N:$N,"&gt;="&amp;DATE(E$5,1,1),DATA!$N:$N,"&lt;="&amp;DATE(E$5,12,31))</f>
        <v/>
      </c>
      <c r="F440" s="331">
        <f>SUMIFS(DATA!$M:$M,DATA!$C:$C,$B440,DATA!$N:$N,"&gt;="&amp;DATE(F$5,1,1),DATA!$N:$N,"&lt;="&amp;DATE(F$5,12,31))</f>
        <v/>
      </c>
      <c r="G440" s="331">
        <f>SUMIFS(DATA!$M:$M,DATA!$C:$C,$B440,DATA!$N:$N,"&gt;="&amp;DATE(G$5,1,1),DATA!$N:$N,"&lt;="&amp;DATE(G$5,12,31))</f>
        <v/>
      </c>
      <c r="H440" s="331">
        <f>SUMIFS(DATA!$M:$M,DATA!$C:$C,$B440,DATA!$N:$N,"&gt;="&amp;DATE(H$5,1,1),DATA!$N:$N,"&lt;="&amp;DATE(H$5,12,31))</f>
        <v/>
      </c>
      <c r="I440" s="331">
        <f>SUMIFS(DATA!$M:$M,DATA!$C:$C,$B440,DATA!$N:$N,"&gt;="&amp;DATE(I$5,1,1),DATA!$N:$N,"&lt;="&amp;DATE(I$5,12,31))</f>
        <v/>
      </c>
      <c r="J440" s="332">
        <f>SUM(C440:I440)</f>
        <v/>
      </c>
      <c r="K440" s="333">
        <f>J440/$J$506</f>
        <v/>
      </c>
    </row>
    <row r="441" hidden="1" outlineLevel="1" ht="32.25" customHeight="1">
      <c r="A441" s="48" t="n">
        <v>436</v>
      </c>
      <c r="B441" s="107" t="n"/>
      <c r="C441" s="331">
        <f>SUMIFS(DATA!$M:$M,DATA!$C:$C,$B441,DATA!$N:$N,"&gt;="&amp;DATE(C$5,1,1),DATA!$N:$N,"&lt;="&amp;DATE(C$5,12,31))</f>
        <v/>
      </c>
      <c r="D441" s="331">
        <f>SUMIFS(DATA!$M:$M,DATA!$C:$C,$B441,DATA!$N:$N,"&gt;="&amp;DATE(D$5,1,1),DATA!$N:$N,"&lt;="&amp;DATE(D$5,12,31))</f>
        <v/>
      </c>
      <c r="E441" s="331">
        <f>SUMIFS(DATA!$M:$M,DATA!$C:$C,$B441,DATA!$N:$N,"&gt;="&amp;DATE(E$5,1,1),DATA!$N:$N,"&lt;="&amp;DATE(E$5,12,31))</f>
        <v/>
      </c>
      <c r="F441" s="331">
        <f>SUMIFS(DATA!$M:$M,DATA!$C:$C,$B441,DATA!$N:$N,"&gt;="&amp;DATE(F$5,1,1),DATA!$N:$N,"&lt;="&amp;DATE(F$5,12,31))</f>
        <v/>
      </c>
      <c r="G441" s="331">
        <f>SUMIFS(DATA!$M:$M,DATA!$C:$C,$B441,DATA!$N:$N,"&gt;="&amp;DATE(G$5,1,1),DATA!$N:$N,"&lt;="&amp;DATE(G$5,12,31))</f>
        <v/>
      </c>
      <c r="H441" s="331">
        <f>SUMIFS(DATA!$M:$M,DATA!$C:$C,$B441,DATA!$N:$N,"&gt;="&amp;DATE(H$5,1,1),DATA!$N:$N,"&lt;="&amp;DATE(H$5,12,31))</f>
        <v/>
      </c>
      <c r="I441" s="331">
        <f>SUMIFS(DATA!$M:$M,DATA!$C:$C,$B441,DATA!$N:$N,"&gt;="&amp;DATE(I$5,1,1),DATA!$N:$N,"&lt;="&amp;DATE(I$5,12,31))</f>
        <v/>
      </c>
      <c r="J441" s="332">
        <f>SUM(C441:I441)</f>
        <v/>
      </c>
      <c r="K441" s="333">
        <f>J441/$J$506</f>
        <v/>
      </c>
    </row>
    <row r="442" hidden="1" outlineLevel="1" ht="32.25" customHeight="1">
      <c r="A442" s="48" t="n">
        <v>437</v>
      </c>
      <c r="B442" s="107" t="n"/>
      <c r="C442" s="331">
        <f>SUMIFS(DATA!$M:$M,DATA!$C:$C,$B442,DATA!$N:$N,"&gt;="&amp;DATE(C$5,1,1),DATA!$N:$N,"&lt;="&amp;DATE(C$5,12,31))</f>
        <v/>
      </c>
      <c r="D442" s="331">
        <f>SUMIFS(DATA!$M:$M,DATA!$C:$C,$B442,DATA!$N:$N,"&gt;="&amp;DATE(D$5,1,1),DATA!$N:$N,"&lt;="&amp;DATE(D$5,12,31))</f>
        <v/>
      </c>
      <c r="E442" s="331">
        <f>SUMIFS(DATA!$M:$M,DATA!$C:$C,$B442,DATA!$N:$N,"&gt;="&amp;DATE(E$5,1,1),DATA!$N:$N,"&lt;="&amp;DATE(E$5,12,31))</f>
        <v/>
      </c>
      <c r="F442" s="331">
        <f>SUMIFS(DATA!$M:$M,DATA!$C:$C,$B442,DATA!$N:$N,"&gt;="&amp;DATE(F$5,1,1),DATA!$N:$N,"&lt;="&amp;DATE(F$5,12,31))</f>
        <v/>
      </c>
      <c r="G442" s="331">
        <f>SUMIFS(DATA!$M:$M,DATA!$C:$C,$B442,DATA!$N:$N,"&gt;="&amp;DATE(G$5,1,1),DATA!$N:$N,"&lt;="&amp;DATE(G$5,12,31))</f>
        <v/>
      </c>
      <c r="H442" s="331">
        <f>SUMIFS(DATA!$M:$M,DATA!$C:$C,$B442,DATA!$N:$N,"&gt;="&amp;DATE(H$5,1,1),DATA!$N:$N,"&lt;="&amp;DATE(H$5,12,31))</f>
        <v/>
      </c>
      <c r="I442" s="331">
        <f>SUMIFS(DATA!$M:$M,DATA!$C:$C,$B442,DATA!$N:$N,"&gt;="&amp;DATE(I$5,1,1),DATA!$N:$N,"&lt;="&amp;DATE(I$5,12,31))</f>
        <v/>
      </c>
      <c r="J442" s="332">
        <f>SUM(C442:I442)</f>
        <v/>
      </c>
      <c r="K442" s="333">
        <f>J442/$J$506</f>
        <v/>
      </c>
    </row>
    <row r="443" hidden="1" outlineLevel="1" ht="32.25" customHeight="1">
      <c r="A443" s="48" t="n">
        <v>438</v>
      </c>
      <c r="B443" s="107" t="n"/>
      <c r="C443" s="331">
        <f>SUMIFS(DATA!$M:$M,DATA!$C:$C,$B443,DATA!$N:$N,"&gt;="&amp;DATE(C$5,1,1),DATA!$N:$N,"&lt;="&amp;DATE(C$5,12,31))</f>
        <v/>
      </c>
      <c r="D443" s="331">
        <f>SUMIFS(DATA!$M:$M,DATA!$C:$C,$B443,DATA!$N:$N,"&gt;="&amp;DATE(D$5,1,1),DATA!$N:$N,"&lt;="&amp;DATE(D$5,12,31))</f>
        <v/>
      </c>
      <c r="E443" s="331">
        <f>SUMIFS(DATA!$M:$M,DATA!$C:$C,$B443,DATA!$N:$N,"&gt;="&amp;DATE(E$5,1,1),DATA!$N:$N,"&lt;="&amp;DATE(E$5,12,31))</f>
        <v/>
      </c>
      <c r="F443" s="331">
        <f>SUMIFS(DATA!$M:$M,DATA!$C:$C,$B443,DATA!$N:$N,"&gt;="&amp;DATE(F$5,1,1),DATA!$N:$N,"&lt;="&amp;DATE(F$5,12,31))</f>
        <v/>
      </c>
      <c r="G443" s="331">
        <f>SUMIFS(DATA!$M:$M,DATA!$C:$C,$B443,DATA!$N:$N,"&gt;="&amp;DATE(G$5,1,1),DATA!$N:$N,"&lt;="&amp;DATE(G$5,12,31))</f>
        <v/>
      </c>
      <c r="H443" s="331">
        <f>SUMIFS(DATA!$M:$M,DATA!$C:$C,$B443,DATA!$N:$N,"&gt;="&amp;DATE(H$5,1,1),DATA!$N:$N,"&lt;="&amp;DATE(H$5,12,31))</f>
        <v/>
      </c>
      <c r="I443" s="331">
        <f>SUMIFS(DATA!$M:$M,DATA!$C:$C,$B443,DATA!$N:$N,"&gt;="&amp;DATE(I$5,1,1),DATA!$N:$N,"&lt;="&amp;DATE(I$5,12,31))</f>
        <v/>
      </c>
      <c r="J443" s="332">
        <f>SUM(C443:I443)</f>
        <v/>
      </c>
      <c r="K443" s="333">
        <f>J443/$J$506</f>
        <v/>
      </c>
    </row>
    <row r="444" hidden="1" outlineLevel="1" ht="32.25" customHeight="1">
      <c r="A444" s="48" t="n">
        <v>439</v>
      </c>
      <c r="B444" s="107" t="n"/>
      <c r="C444" s="331">
        <f>SUMIFS(DATA!$M:$M,DATA!$C:$C,$B444,DATA!$N:$N,"&gt;="&amp;DATE(C$5,1,1),DATA!$N:$N,"&lt;="&amp;DATE(C$5,12,31))</f>
        <v/>
      </c>
      <c r="D444" s="331">
        <f>SUMIFS(DATA!$M:$M,DATA!$C:$C,$B444,DATA!$N:$N,"&gt;="&amp;DATE(D$5,1,1),DATA!$N:$N,"&lt;="&amp;DATE(D$5,12,31))</f>
        <v/>
      </c>
      <c r="E444" s="331">
        <f>SUMIFS(DATA!$M:$M,DATA!$C:$C,$B444,DATA!$N:$N,"&gt;="&amp;DATE(E$5,1,1),DATA!$N:$N,"&lt;="&amp;DATE(E$5,12,31))</f>
        <v/>
      </c>
      <c r="F444" s="331">
        <f>SUMIFS(DATA!$M:$M,DATA!$C:$C,$B444,DATA!$N:$N,"&gt;="&amp;DATE(F$5,1,1),DATA!$N:$N,"&lt;="&amp;DATE(F$5,12,31))</f>
        <v/>
      </c>
      <c r="G444" s="331">
        <f>SUMIFS(DATA!$M:$M,DATA!$C:$C,$B444,DATA!$N:$N,"&gt;="&amp;DATE(G$5,1,1),DATA!$N:$N,"&lt;="&amp;DATE(G$5,12,31))</f>
        <v/>
      </c>
      <c r="H444" s="331">
        <f>SUMIFS(DATA!$M:$M,DATA!$C:$C,$B444,DATA!$N:$N,"&gt;="&amp;DATE(H$5,1,1),DATA!$N:$N,"&lt;="&amp;DATE(H$5,12,31))</f>
        <v/>
      </c>
      <c r="I444" s="331">
        <f>SUMIFS(DATA!$M:$M,DATA!$C:$C,$B444,DATA!$N:$N,"&gt;="&amp;DATE(I$5,1,1),DATA!$N:$N,"&lt;="&amp;DATE(I$5,12,31))</f>
        <v/>
      </c>
      <c r="J444" s="332">
        <f>SUM(C444:I444)</f>
        <v/>
      </c>
      <c r="K444" s="333">
        <f>J444/$J$506</f>
        <v/>
      </c>
    </row>
    <row r="445" hidden="1" outlineLevel="1" ht="32.25" customHeight="1">
      <c r="A445" s="48" t="n">
        <v>440</v>
      </c>
      <c r="B445" s="107" t="n"/>
      <c r="C445" s="331">
        <f>SUMIFS(DATA!$M:$M,DATA!$C:$C,$B445,DATA!$N:$N,"&gt;="&amp;DATE(C$5,1,1),DATA!$N:$N,"&lt;="&amp;DATE(C$5,12,31))</f>
        <v/>
      </c>
      <c r="D445" s="331">
        <f>SUMIFS(DATA!$M:$M,DATA!$C:$C,$B445,DATA!$N:$N,"&gt;="&amp;DATE(D$5,1,1),DATA!$N:$N,"&lt;="&amp;DATE(D$5,12,31))</f>
        <v/>
      </c>
      <c r="E445" s="331">
        <f>SUMIFS(DATA!$M:$M,DATA!$C:$C,$B445,DATA!$N:$N,"&gt;="&amp;DATE(E$5,1,1),DATA!$N:$N,"&lt;="&amp;DATE(E$5,12,31))</f>
        <v/>
      </c>
      <c r="F445" s="331">
        <f>SUMIFS(DATA!$M:$M,DATA!$C:$C,$B445,DATA!$N:$N,"&gt;="&amp;DATE(F$5,1,1),DATA!$N:$N,"&lt;="&amp;DATE(F$5,12,31))</f>
        <v/>
      </c>
      <c r="G445" s="331">
        <f>SUMIFS(DATA!$M:$M,DATA!$C:$C,$B445,DATA!$N:$N,"&gt;="&amp;DATE(G$5,1,1),DATA!$N:$N,"&lt;="&amp;DATE(G$5,12,31))</f>
        <v/>
      </c>
      <c r="H445" s="331">
        <f>SUMIFS(DATA!$M:$M,DATA!$C:$C,$B445,DATA!$N:$N,"&gt;="&amp;DATE(H$5,1,1),DATA!$N:$N,"&lt;="&amp;DATE(H$5,12,31))</f>
        <v/>
      </c>
      <c r="I445" s="331">
        <f>SUMIFS(DATA!$M:$M,DATA!$C:$C,$B445,DATA!$N:$N,"&gt;="&amp;DATE(I$5,1,1),DATA!$N:$N,"&lt;="&amp;DATE(I$5,12,31))</f>
        <v/>
      </c>
      <c r="J445" s="332">
        <f>SUM(C445:I445)</f>
        <v/>
      </c>
      <c r="K445" s="333">
        <f>J445/$J$506</f>
        <v/>
      </c>
    </row>
    <row r="446" hidden="1" outlineLevel="1" ht="32.25" customHeight="1">
      <c r="A446" s="48" t="n">
        <v>441</v>
      </c>
      <c r="B446" s="107" t="n"/>
      <c r="C446" s="331">
        <f>SUMIFS(DATA!$M:$M,DATA!$C:$C,$B446,DATA!$N:$N,"&gt;="&amp;DATE(C$5,1,1),DATA!$N:$N,"&lt;="&amp;DATE(C$5,12,31))</f>
        <v/>
      </c>
      <c r="D446" s="331">
        <f>SUMIFS(DATA!$M:$M,DATA!$C:$C,$B446,DATA!$N:$N,"&gt;="&amp;DATE(D$5,1,1),DATA!$N:$N,"&lt;="&amp;DATE(D$5,12,31))</f>
        <v/>
      </c>
      <c r="E446" s="331">
        <f>SUMIFS(DATA!$M:$M,DATA!$C:$C,$B446,DATA!$N:$N,"&gt;="&amp;DATE(E$5,1,1),DATA!$N:$N,"&lt;="&amp;DATE(E$5,12,31))</f>
        <v/>
      </c>
      <c r="F446" s="331">
        <f>SUMIFS(DATA!$M:$M,DATA!$C:$C,$B446,DATA!$N:$N,"&gt;="&amp;DATE(F$5,1,1),DATA!$N:$N,"&lt;="&amp;DATE(F$5,12,31))</f>
        <v/>
      </c>
      <c r="G446" s="331">
        <f>SUMIFS(DATA!$M:$M,DATA!$C:$C,$B446,DATA!$N:$N,"&gt;="&amp;DATE(G$5,1,1),DATA!$N:$N,"&lt;="&amp;DATE(G$5,12,31))</f>
        <v/>
      </c>
      <c r="H446" s="331">
        <f>SUMIFS(DATA!$M:$M,DATA!$C:$C,$B446,DATA!$N:$N,"&gt;="&amp;DATE(H$5,1,1),DATA!$N:$N,"&lt;="&amp;DATE(H$5,12,31))</f>
        <v/>
      </c>
      <c r="I446" s="331">
        <f>SUMIFS(DATA!$M:$M,DATA!$C:$C,$B446,DATA!$N:$N,"&gt;="&amp;DATE(I$5,1,1),DATA!$N:$N,"&lt;="&amp;DATE(I$5,12,31))</f>
        <v/>
      </c>
      <c r="J446" s="332">
        <f>SUM(C446:I446)</f>
        <v/>
      </c>
      <c r="K446" s="333">
        <f>J446/$J$506</f>
        <v/>
      </c>
    </row>
    <row r="447" hidden="1" outlineLevel="1" ht="32.25" customHeight="1">
      <c r="A447" s="48" t="n">
        <v>442</v>
      </c>
      <c r="B447" s="107" t="n"/>
      <c r="C447" s="331">
        <f>SUMIFS(DATA!$M:$M,DATA!$C:$C,$B447,DATA!$N:$N,"&gt;="&amp;DATE(C$5,1,1),DATA!$N:$N,"&lt;="&amp;DATE(C$5,12,31))</f>
        <v/>
      </c>
      <c r="D447" s="331">
        <f>SUMIFS(DATA!$M:$M,DATA!$C:$C,$B447,DATA!$N:$N,"&gt;="&amp;DATE(D$5,1,1),DATA!$N:$N,"&lt;="&amp;DATE(D$5,12,31))</f>
        <v/>
      </c>
      <c r="E447" s="331">
        <f>SUMIFS(DATA!$M:$M,DATA!$C:$C,$B447,DATA!$N:$N,"&gt;="&amp;DATE(E$5,1,1),DATA!$N:$N,"&lt;="&amp;DATE(E$5,12,31))</f>
        <v/>
      </c>
      <c r="F447" s="331">
        <f>SUMIFS(DATA!$M:$M,DATA!$C:$C,$B447,DATA!$N:$N,"&gt;="&amp;DATE(F$5,1,1),DATA!$N:$N,"&lt;="&amp;DATE(F$5,12,31))</f>
        <v/>
      </c>
      <c r="G447" s="331">
        <f>SUMIFS(DATA!$M:$M,DATA!$C:$C,$B447,DATA!$N:$N,"&gt;="&amp;DATE(G$5,1,1),DATA!$N:$N,"&lt;="&amp;DATE(G$5,12,31))</f>
        <v/>
      </c>
      <c r="H447" s="331">
        <f>SUMIFS(DATA!$M:$M,DATA!$C:$C,$B447,DATA!$N:$N,"&gt;="&amp;DATE(H$5,1,1),DATA!$N:$N,"&lt;="&amp;DATE(H$5,12,31))</f>
        <v/>
      </c>
      <c r="I447" s="331">
        <f>SUMIFS(DATA!$M:$M,DATA!$C:$C,$B447,DATA!$N:$N,"&gt;="&amp;DATE(I$5,1,1),DATA!$N:$N,"&lt;="&amp;DATE(I$5,12,31))</f>
        <v/>
      </c>
      <c r="J447" s="332">
        <f>SUM(C447:I447)</f>
        <v/>
      </c>
      <c r="K447" s="333">
        <f>J447/$J$506</f>
        <v/>
      </c>
    </row>
    <row r="448" hidden="1" outlineLevel="1" ht="32.25" customHeight="1">
      <c r="A448" s="48" t="n">
        <v>443</v>
      </c>
      <c r="B448" s="107" t="n"/>
      <c r="C448" s="331">
        <f>SUMIFS(DATA!$M:$M,DATA!$C:$C,$B448,DATA!$N:$N,"&gt;="&amp;DATE(C$5,1,1),DATA!$N:$N,"&lt;="&amp;DATE(C$5,12,31))</f>
        <v/>
      </c>
      <c r="D448" s="331">
        <f>SUMIFS(DATA!$M:$M,DATA!$C:$C,$B448,DATA!$N:$N,"&gt;="&amp;DATE(D$5,1,1),DATA!$N:$N,"&lt;="&amp;DATE(D$5,12,31))</f>
        <v/>
      </c>
      <c r="E448" s="331">
        <f>SUMIFS(DATA!$M:$M,DATA!$C:$C,$B448,DATA!$N:$N,"&gt;="&amp;DATE(E$5,1,1),DATA!$N:$N,"&lt;="&amp;DATE(E$5,12,31))</f>
        <v/>
      </c>
      <c r="F448" s="331">
        <f>SUMIFS(DATA!$M:$M,DATA!$C:$C,$B448,DATA!$N:$N,"&gt;="&amp;DATE(F$5,1,1),DATA!$N:$N,"&lt;="&amp;DATE(F$5,12,31))</f>
        <v/>
      </c>
      <c r="G448" s="331">
        <f>SUMIFS(DATA!$M:$M,DATA!$C:$C,$B448,DATA!$N:$N,"&gt;="&amp;DATE(G$5,1,1),DATA!$N:$N,"&lt;="&amp;DATE(G$5,12,31))</f>
        <v/>
      </c>
      <c r="H448" s="331">
        <f>SUMIFS(DATA!$M:$M,DATA!$C:$C,$B448,DATA!$N:$N,"&gt;="&amp;DATE(H$5,1,1),DATA!$N:$N,"&lt;="&amp;DATE(H$5,12,31))</f>
        <v/>
      </c>
      <c r="I448" s="331">
        <f>SUMIFS(DATA!$M:$M,DATA!$C:$C,$B448,DATA!$N:$N,"&gt;="&amp;DATE(I$5,1,1),DATA!$N:$N,"&lt;="&amp;DATE(I$5,12,31))</f>
        <v/>
      </c>
      <c r="J448" s="332">
        <f>SUM(C448:I448)</f>
        <v/>
      </c>
      <c r="K448" s="333">
        <f>J448/$J$506</f>
        <v/>
      </c>
    </row>
    <row r="449" hidden="1" outlineLevel="1" ht="32.25" customHeight="1">
      <c r="A449" s="48" t="n">
        <v>444</v>
      </c>
      <c r="B449" s="107" t="n"/>
      <c r="C449" s="331">
        <f>SUMIFS(DATA!$M:$M,DATA!$C:$C,$B449,DATA!$N:$N,"&gt;="&amp;DATE(C$5,1,1),DATA!$N:$N,"&lt;="&amp;DATE(C$5,12,31))</f>
        <v/>
      </c>
      <c r="D449" s="331">
        <f>SUMIFS(DATA!$M:$M,DATA!$C:$C,$B449,DATA!$N:$N,"&gt;="&amp;DATE(D$5,1,1),DATA!$N:$N,"&lt;="&amp;DATE(D$5,12,31))</f>
        <v/>
      </c>
      <c r="E449" s="331">
        <f>SUMIFS(DATA!$M:$M,DATA!$C:$C,$B449,DATA!$N:$N,"&gt;="&amp;DATE(E$5,1,1),DATA!$N:$N,"&lt;="&amp;DATE(E$5,12,31))</f>
        <v/>
      </c>
      <c r="F449" s="331">
        <f>SUMIFS(DATA!$M:$M,DATA!$C:$C,$B449,DATA!$N:$N,"&gt;="&amp;DATE(F$5,1,1),DATA!$N:$N,"&lt;="&amp;DATE(F$5,12,31))</f>
        <v/>
      </c>
      <c r="G449" s="331">
        <f>SUMIFS(DATA!$M:$M,DATA!$C:$C,$B449,DATA!$N:$N,"&gt;="&amp;DATE(G$5,1,1),DATA!$N:$N,"&lt;="&amp;DATE(G$5,12,31))</f>
        <v/>
      </c>
      <c r="H449" s="331">
        <f>SUMIFS(DATA!$M:$M,DATA!$C:$C,$B449,DATA!$N:$N,"&gt;="&amp;DATE(H$5,1,1),DATA!$N:$N,"&lt;="&amp;DATE(H$5,12,31))</f>
        <v/>
      </c>
      <c r="I449" s="331">
        <f>SUMIFS(DATA!$M:$M,DATA!$C:$C,$B449,DATA!$N:$N,"&gt;="&amp;DATE(I$5,1,1),DATA!$N:$N,"&lt;="&amp;DATE(I$5,12,31))</f>
        <v/>
      </c>
      <c r="J449" s="332">
        <f>SUM(C449:I449)</f>
        <v/>
      </c>
      <c r="K449" s="333">
        <f>J449/$J$506</f>
        <v/>
      </c>
    </row>
    <row r="450" hidden="1" outlineLevel="1" ht="32.25" customHeight="1">
      <c r="A450" s="48" t="n">
        <v>445</v>
      </c>
      <c r="B450" s="107" t="n"/>
      <c r="C450" s="331">
        <f>SUMIFS(DATA!$M:$M,DATA!$C:$C,$B450,DATA!$N:$N,"&gt;="&amp;DATE(C$5,1,1),DATA!$N:$N,"&lt;="&amp;DATE(C$5,12,31))</f>
        <v/>
      </c>
      <c r="D450" s="331">
        <f>SUMIFS(DATA!$M:$M,DATA!$C:$C,$B450,DATA!$N:$N,"&gt;="&amp;DATE(D$5,1,1),DATA!$N:$N,"&lt;="&amp;DATE(D$5,12,31))</f>
        <v/>
      </c>
      <c r="E450" s="331">
        <f>SUMIFS(DATA!$M:$M,DATA!$C:$C,$B450,DATA!$N:$N,"&gt;="&amp;DATE(E$5,1,1),DATA!$N:$N,"&lt;="&amp;DATE(E$5,12,31))</f>
        <v/>
      </c>
      <c r="F450" s="331">
        <f>SUMIFS(DATA!$M:$M,DATA!$C:$C,$B450,DATA!$N:$N,"&gt;="&amp;DATE(F$5,1,1),DATA!$N:$N,"&lt;="&amp;DATE(F$5,12,31))</f>
        <v/>
      </c>
      <c r="G450" s="331">
        <f>SUMIFS(DATA!$M:$M,DATA!$C:$C,$B450,DATA!$N:$N,"&gt;="&amp;DATE(G$5,1,1),DATA!$N:$N,"&lt;="&amp;DATE(G$5,12,31))</f>
        <v/>
      </c>
      <c r="H450" s="331">
        <f>SUMIFS(DATA!$M:$M,DATA!$C:$C,$B450,DATA!$N:$N,"&gt;="&amp;DATE(H$5,1,1),DATA!$N:$N,"&lt;="&amp;DATE(H$5,12,31))</f>
        <v/>
      </c>
      <c r="I450" s="331">
        <f>SUMIFS(DATA!$M:$M,DATA!$C:$C,$B450,DATA!$N:$N,"&gt;="&amp;DATE(I$5,1,1),DATA!$N:$N,"&lt;="&amp;DATE(I$5,12,31))</f>
        <v/>
      </c>
      <c r="J450" s="332">
        <f>SUM(C450:I450)</f>
        <v/>
      </c>
      <c r="K450" s="333">
        <f>J450/$J$506</f>
        <v/>
      </c>
    </row>
    <row r="451" hidden="1" outlineLevel="1" ht="32.25" customHeight="1">
      <c r="A451" s="48" t="n">
        <v>446</v>
      </c>
      <c r="B451" s="107" t="n"/>
      <c r="C451" s="331">
        <f>SUMIFS(DATA!$M:$M,DATA!$C:$C,$B451,DATA!$N:$N,"&gt;="&amp;DATE(C$5,1,1),DATA!$N:$N,"&lt;="&amp;DATE(C$5,12,31))</f>
        <v/>
      </c>
      <c r="D451" s="331">
        <f>SUMIFS(DATA!$M:$M,DATA!$C:$C,$B451,DATA!$N:$N,"&gt;="&amp;DATE(D$5,1,1),DATA!$N:$N,"&lt;="&amp;DATE(D$5,12,31))</f>
        <v/>
      </c>
      <c r="E451" s="331">
        <f>SUMIFS(DATA!$M:$M,DATA!$C:$C,$B451,DATA!$N:$N,"&gt;="&amp;DATE(E$5,1,1),DATA!$N:$N,"&lt;="&amp;DATE(E$5,12,31))</f>
        <v/>
      </c>
      <c r="F451" s="331">
        <f>SUMIFS(DATA!$M:$M,DATA!$C:$C,$B451,DATA!$N:$N,"&gt;="&amp;DATE(F$5,1,1),DATA!$N:$N,"&lt;="&amp;DATE(F$5,12,31))</f>
        <v/>
      </c>
      <c r="G451" s="331">
        <f>SUMIFS(DATA!$M:$M,DATA!$C:$C,$B451,DATA!$N:$N,"&gt;="&amp;DATE(G$5,1,1),DATA!$N:$N,"&lt;="&amp;DATE(G$5,12,31))</f>
        <v/>
      </c>
      <c r="H451" s="331">
        <f>SUMIFS(DATA!$M:$M,DATA!$C:$C,$B451,DATA!$N:$N,"&gt;="&amp;DATE(H$5,1,1),DATA!$N:$N,"&lt;="&amp;DATE(H$5,12,31))</f>
        <v/>
      </c>
      <c r="I451" s="331">
        <f>SUMIFS(DATA!$M:$M,DATA!$C:$C,$B451,DATA!$N:$N,"&gt;="&amp;DATE(I$5,1,1),DATA!$N:$N,"&lt;="&amp;DATE(I$5,12,31))</f>
        <v/>
      </c>
      <c r="J451" s="332">
        <f>SUM(C451:I451)</f>
        <v/>
      </c>
      <c r="K451" s="333">
        <f>J451/$J$506</f>
        <v/>
      </c>
    </row>
    <row r="452" hidden="1" outlineLevel="1" ht="32.25" customHeight="1">
      <c r="A452" s="48" t="n">
        <v>447</v>
      </c>
      <c r="B452" s="107" t="n"/>
      <c r="C452" s="331">
        <f>SUMIFS(DATA!$M:$M,DATA!$C:$C,$B452,DATA!$N:$N,"&gt;="&amp;DATE(C$5,1,1),DATA!$N:$N,"&lt;="&amp;DATE(C$5,12,31))</f>
        <v/>
      </c>
      <c r="D452" s="331">
        <f>SUMIFS(DATA!$M:$M,DATA!$C:$C,$B452,DATA!$N:$N,"&gt;="&amp;DATE(D$5,1,1),DATA!$N:$N,"&lt;="&amp;DATE(D$5,12,31))</f>
        <v/>
      </c>
      <c r="E452" s="331">
        <f>SUMIFS(DATA!$M:$M,DATA!$C:$C,$B452,DATA!$N:$N,"&gt;="&amp;DATE(E$5,1,1),DATA!$N:$N,"&lt;="&amp;DATE(E$5,12,31))</f>
        <v/>
      </c>
      <c r="F452" s="331">
        <f>SUMIFS(DATA!$M:$M,DATA!$C:$C,$B452,DATA!$N:$N,"&gt;="&amp;DATE(F$5,1,1),DATA!$N:$N,"&lt;="&amp;DATE(F$5,12,31))</f>
        <v/>
      </c>
      <c r="G452" s="331">
        <f>SUMIFS(DATA!$M:$M,DATA!$C:$C,$B452,DATA!$N:$N,"&gt;="&amp;DATE(G$5,1,1),DATA!$N:$N,"&lt;="&amp;DATE(G$5,12,31))</f>
        <v/>
      </c>
      <c r="H452" s="331">
        <f>SUMIFS(DATA!$M:$M,DATA!$C:$C,$B452,DATA!$N:$N,"&gt;="&amp;DATE(H$5,1,1),DATA!$N:$N,"&lt;="&amp;DATE(H$5,12,31))</f>
        <v/>
      </c>
      <c r="I452" s="331">
        <f>SUMIFS(DATA!$M:$M,DATA!$C:$C,$B452,DATA!$N:$N,"&gt;="&amp;DATE(I$5,1,1),DATA!$N:$N,"&lt;="&amp;DATE(I$5,12,31))</f>
        <v/>
      </c>
      <c r="J452" s="332">
        <f>SUM(C452:I452)</f>
        <v/>
      </c>
      <c r="K452" s="333">
        <f>J452/$J$506</f>
        <v/>
      </c>
    </row>
    <row r="453" hidden="1" outlineLevel="1" ht="32.25" customHeight="1">
      <c r="A453" s="48" t="n">
        <v>448</v>
      </c>
      <c r="B453" s="107" t="n"/>
      <c r="C453" s="331">
        <f>SUMIFS(DATA!$M:$M,DATA!$C:$C,$B453,DATA!$N:$N,"&gt;="&amp;DATE(C$5,1,1),DATA!$N:$N,"&lt;="&amp;DATE(C$5,12,31))</f>
        <v/>
      </c>
      <c r="D453" s="331">
        <f>SUMIFS(DATA!$M:$M,DATA!$C:$C,$B453,DATA!$N:$N,"&gt;="&amp;DATE(D$5,1,1),DATA!$N:$N,"&lt;="&amp;DATE(D$5,12,31))</f>
        <v/>
      </c>
      <c r="E453" s="331">
        <f>SUMIFS(DATA!$M:$M,DATA!$C:$C,$B453,DATA!$N:$N,"&gt;="&amp;DATE(E$5,1,1),DATA!$N:$N,"&lt;="&amp;DATE(E$5,12,31))</f>
        <v/>
      </c>
      <c r="F453" s="331">
        <f>SUMIFS(DATA!$M:$M,DATA!$C:$C,$B453,DATA!$N:$N,"&gt;="&amp;DATE(F$5,1,1),DATA!$N:$N,"&lt;="&amp;DATE(F$5,12,31))</f>
        <v/>
      </c>
      <c r="G453" s="331">
        <f>SUMIFS(DATA!$M:$M,DATA!$C:$C,$B453,DATA!$N:$N,"&gt;="&amp;DATE(G$5,1,1),DATA!$N:$N,"&lt;="&amp;DATE(G$5,12,31))</f>
        <v/>
      </c>
      <c r="H453" s="331">
        <f>SUMIFS(DATA!$M:$M,DATA!$C:$C,$B453,DATA!$N:$N,"&gt;="&amp;DATE(H$5,1,1),DATA!$N:$N,"&lt;="&amp;DATE(H$5,12,31))</f>
        <v/>
      </c>
      <c r="I453" s="331">
        <f>SUMIFS(DATA!$M:$M,DATA!$C:$C,$B453,DATA!$N:$N,"&gt;="&amp;DATE(I$5,1,1),DATA!$N:$N,"&lt;="&amp;DATE(I$5,12,31))</f>
        <v/>
      </c>
      <c r="J453" s="332">
        <f>SUM(C453:I453)</f>
        <v/>
      </c>
      <c r="K453" s="333">
        <f>J453/$J$506</f>
        <v/>
      </c>
    </row>
    <row r="454" hidden="1" outlineLevel="1" ht="32.25" customHeight="1">
      <c r="A454" s="48" t="n">
        <v>449</v>
      </c>
      <c r="B454" s="107" t="n"/>
      <c r="C454" s="331">
        <f>SUMIFS(DATA!$M:$M,DATA!$C:$C,$B454,DATA!$N:$N,"&gt;="&amp;DATE(C$5,1,1),DATA!$N:$N,"&lt;="&amp;DATE(C$5,12,31))</f>
        <v/>
      </c>
      <c r="D454" s="331">
        <f>SUMIFS(DATA!$M:$M,DATA!$C:$C,$B454,DATA!$N:$N,"&gt;="&amp;DATE(D$5,1,1),DATA!$N:$N,"&lt;="&amp;DATE(D$5,12,31))</f>
        <v/>
      </c>
      <c r="E454" s="331">
        <f>SUMIFS(DATA!$M:$M,DATA!$C:$C,$B454,DATA!$N:$N,"&gt;="&amp;DATE(E$5,1,1),DATA!$N:$N,"&lt;="&amp;DATE(E$5,12,31))</f>
        <v/>
      </c>
      <c r="F454" s="331">
        <f>SUMIFS(DATA!$M:$M,DATA!$C:$C,$B454,DATA!$N:$N,"&gt;="&amp;DATE(F$5,1,1),DATA!$N:$N,"&lt;="&amp;DATE(F$5,12,31))</f>
        <v/>
      </c>
      <c r="G454" s="331">
        <f>SUMIFS(DATA!$M:$M,DATA!$C:$C,$B454,DATA!$N:$N,"&gt;="&amp;DATE(G$5,1,1),DATA!$N:$N,"&lt;="&amp;DATE(G$5,12,31))</f>
        <v/>
      </c>
      <c r="H454" s="331">
        <f>SUMIFS(DATA!$M:$M,DATA!$C:$C,$B454,DATA!$N:$N,"&gt;="&amp;DATE(H$5,1,1),DATA!$N:$N,"&lt;="&amp;DATE(H$5,12,31))</f>
        <v/>
      </c>
      <c r="I454" s="331">
        <f>SUMIFS(DATA!$M:$M,DATA!$C:$C,$B454,DATA!$N:$N,"&gt;="&amp;DATE(I$5,1,1),DATA!$N:$N,"&lt;="&amp;DATE(I$5,12,31))</f>
        <v/>
      </c>
      <c r="J454" s="332">
        <f>SUM(C454:I454)</f>
        <v/>
      </c>
      <c r="K454" s="333">
        <f>J454/$J$506</f>
        <v/>
      </c>
    </row>
    <row r="455" hidden="1" outlineLevel="1" ht="32.25" customHeight="1">
      <c r="A455" s="48" t="n">
        <v>450</v>
      </c>
      <c r="B455" s="107" t="n"/>
      <c r="C455" s="331">
        <f>SUMIFS(DATA!$M:$M,DATA!$C:$C,$B455,DATA!$N:$N,"&gt;="&amp;DATE(C$5,1,1),DATA!$N:$N,"&lt;="&amp;DATE(C$5,12,31))</f>
        <v/>
      </c>
      <c r="D455" s="331">
        <f>SUMIFS(DATA!$M:$M,DATA!$C:$C,$B455,DATA!$N:$N,"&gt;="&amp;DATE(D$5,1,1),DATA!$N:$N,"&lt;="&amp;DATE(D$5,12,31))</f>
        <v/>
      </c>
      <c r="E455" s="331">
        <f>SUMIFS(DATA!$M:$M,DATA!$C:$C,$B455,DATA!$N:$N,"&gt;="&amp;DATE(E$5,1,1),DATA!$N:$N,"&lt;="&amp;DATE(E$5,12,31))</f>
        <v/>
      </c>
      <c r="F455" s="331">
        <f>SUMIFS(DATA!$M:$M,DATA!$C:$C,$B455,DATA!$N:$N,"&gt;="&amp;DATE(F$5,1,1),DATA!$N:$N,"&lt;="&amp;DATE(F$5,12,31))</f>
        <v/>
      </c>
      <c r="G455" s="331">
        <f>SUMIFS(DATA!$M:$M,DATA!$C:$C,$B455,DATA!$N:$N,"&gt;="&amp;DATE(G$5,1,1),DATA!$N:$N,"&lt;="&amp;DATE(G$5,12,31))</f>
        <v/>
      </c>
      <c r="H455" s="331">
        <f>SUMIFS(DATA!$M:$M,DATA!$C:$C,$B455,DATA!$N:$N,"&gt;="&amp;DATE(H$5,1,1),DATA!$N:$N,"&lt;="&amp;DATE(H$5,12,31))</f>
        <v/>
      </c>
      <c r="I455" s="331">
        <f>SUMIFS(DATA!$M:$M,DATA!$C:$C,$B455,DATA!$N:$N,"&gt;="&amp;DATE(I$5,1,1),DATA!$N:$N,"&lt;="&amp;DATE(I$5,12,31))</f>
        <v/>
      </c>
      <c r="J455" s="332">
        <f>SUM(C455:I455)</f>
        <v/>
      </c>
      <c r="K455" s="333">
        <f>J455/$J$506</f>
        <v/>
      </c>
    </row>
    <row r="456" hidden="1" outlineLevel="1" ht="32.25" customHeight="1">
      <c r="A456" s="48" t="n">
        <v>451</v>
      </c>
      <c r="B456" s="107" t="n"/>
      <c r="C456" s="331">
        <f>SUMIFS(DATA!$M:$M,DATA!$C:$C,$B456,DATA!$N:$N,"&gt;="&amp;DATE(C$5,1,1),DATA!$N:$N,"&lt;="&amp;DATE(C$5,12,31))</f>
        <v/>
      </c>
      <c r="D456" s="331">
        <f>SUMIFS(DATA!$M:$M,DATA!$C:$C,$B456,DATA!$N:$N,"&gt;="&amp;DATE(D$5,1,1),DATA!$N:$N,"&lt;="&amp;DATE(D$5,12,31))</f>
        <v/>
      </c>
      <c r="E456" s="331">
        <f>SUMIFS(DATA!$M:$M,DATA!$C:$C,$B456,DATA!$N:$N,"&gt;="&amp;DATE(E$5,1,1),DATA!$N:$N,"&lt;="&amp;DATE(E$5,12,31))</f>
        <v/>
      </c>
      <c r="F456" s="331">
        <f>SUMIFS(DATA!$M:$M,DATA!$C:$C,$B456,DATA!$N:$N,"&gt;="&amp;DATE(F$5,1,1),DATA!$N:$N,"&lt;="&amp;DATE(F$5,12,31))</f>
        <v/>
      </c>
      <c r="G456" s="331">
        <f>SUMIFS(DATA!$M:$M,DATA!$C:$C,$B456,DATA!$N:$N,"&gt;="&amp;DATE(G$5,1,1),DATA!$N:$N,"&lt;="&amp;DATE(G$5,12,31))</f>
        <v/>
      </c>
      <c r="H456" s="331">
        <f>SUMIFS(DATA!$M:$M,DATA!$C:$C,$B456,DATA!$N:$N,"&gt;="&amp;DATE(H$5,1,1),DATA!$N:$N,"&lt;="&amp;DATE(H$5,12,31))</f>
        <v/>
      </c>
      <c r="I456" s="331">
        <f>SUMIFS(DATA!$M:$M,DATA!$C:$C,$B456,DATA!$N:$N,"&gt;="&amp;DATE(I$5,1,1),DATA!$N:$N,"&lt;="&amp;DATE(I$5,12,31))</f>
        <v/>
      </c>
      <c r="J456" s="332">
        <f>SUM(C456:I456)</f>
        <v/>
      </c>
      <c r="K456" s="333">
        <f>J456/$J$506</f>
        <v/>
      </c>
    </row>
    <row r="457" hidden="1" outlineLevel="1" ht="32.25" customHeight="1">
      <c r="A457" s="48" t="n">
        <v>452</v>
      </c>
      <c r="B457" s="107" t="n"/>
      <c r="C457" s="331">
        <f>SUMIFS(DATA!$M:$M,DATA!$C:$C,$B457,DATA!$N:$N,"&gt;="&amp;DATE(C$5,1,1),DATA!$N:$N,"&lt;="&amp;DATE(C$5,12,31))</f>
        <v/>
      </c>
      <c r="D457" s="331">
        <f>SUMIFS(DATA!$M:$M,DATA!$C:$C,$B457,DATA!$N:$N,"&gt;="&amp;DATE(D$5,1,1),DATA!$N:$N,"&lt;="&amp;DATE(D$5,12,31))</f>
        <v/>
      </c>
      <c r="E457" s="331">
        <f>SUMIFS(DATA!$M:$M,DATA!$C:$C,$B457,DATA!$N:$N,"&gt;="&amp;DATE(E$5,1,1),DATA!$N:$N,"&lt;="&amp;DATE(E$5,12,31))</f>
        <v/>
      </c>
      <c r="F457" s="331">
        <f>SUMIFS(DATA!$M:$M,DATA!$C:$C,$B457,DATA!$N:$N,"&gt;="&amp;DATE(F$5,1,1),DATA!$N:$N,"&lt;="&amp;DATE(F$5,12,31))</f>
        <v/>
      </c>
      <c r="G457" s="331">
        <f>SUMIFS(DATA!$M:$M,DATA!$C:$C,$B457,DATA!$N:$N,"&gt;="&amp;DATE(G$5,1,1),DATA!$N:$N,"&lt;="&amp;DATE(G$5,12,31))</f>
        <v/>
      </c>
      <c r="H457" s="331">
        <f>SUMIFS(DATA!$M:$M,DATA!$C:$C,$B457,DATA!$N:$N,"&gt;="&amp;DATE(H$5,1,1),DATA!$N:$N,"&lt;="&amp;DATE(H$5,12,31))</f>
        <v/>
      </c>
      <c r="I457" s="331">
        <f>SUMIFS(DATA!$M:$M,DATA!$C:$C,$B457,DATA!$N:$N,"&gt;="&amp;DATE(I$5,1,1),DATA!$N:$N,"&lt;="&amp;DATE(I$5,12,31))</f>
        <v/>
      </c>
      <c r="J457" s="332">
        <f>SUM(C457:I457)</f>
        <v/>
      </c>
      <c r="K457" s="333">
        <f>J457/$J$506</f>
        <v/>
      </c>
    </row>
    <row r="458" hidden="1" outlineLevel="1" ht="32.25" customHeight="1">
      <c r="A458" s="48" t="n">
        <v>453</v>
      </c>
      <c r="B458" s="107" t="n"/>
      <c r="C458" s="331">
        <f>SUMIFS(DATA!$M:$M,DATA!$C:$C,$B458,DATA!$N:$N,"&gt;="&amp;DATE(C$5,1,1),DATA!$N:$N,"&lt;="&amp;DATE(C$5,12,31))</f>
        <v/>
      </c>
      <c r="D458" s="331">
        <f>SUMIFS(DATA!$M:$M,DATA!$C:$C,$B458,DATA!$N:$N,"&gt;="&amp;DATE(D$5,1,1),DATA!$N:$N,"&lt;="&amp;DATE(D$5,12,31))</f>
        <v/>
      </c>
      <c r="E458" s="331">
        <f>SUMIFS(DATA!$M:$M,DATA!$C:$C,$B458,DATA!$N:$N,"&gt;="&amp;DATE(E$5,1,1),DATA!$N:$N,"&lt;="&amp;DATE(E$5,12,31))</f>
        <v/>
      </c>
      <c r="F458" s="331">
        <f>SUMIFS(DATA!$M:$M,DATA!$C:$C,$B458,DATA!$N:$N,"&gt;="&amp;DATE(F$5,1,1),DATA!$N:$N,"&lt;="&amp;DATE(F$5,12,31))</f>
        <v/>
      </c>
      <c r="G458" s="331">
        <f>SUMIFS(DATA!$M:$M,DATA!$C:$C,$B458,DATA!$N:$N,"&gt;="&amp;DATE(G$5,1,1),DATA!$N:$N,"&lt;="&amp;DATE(G$5,12,31))</f>
        <v/>
      </c>
      <c r="H458" s="331">
        <f>SUMIFS(DATA!$M:$M,DATA!$C:$C,$B458,DATA!$N:$N,"&gt;="&amp;DATE(H$5,1,1),DATA!$N:$N,"&lt;="&amp;DATE(H$5,12,31))</f>
        <v/>
      </c>
      <c r="I458" s="331">
        <f>SUMIFS(DATA!$M:$M,DATA!$C:$C,$B458,DATA!$N:$N,"&gt;="&amp;DATE(I$5,1,1),DATA!$N:$N,"&lt;="&amp;DATE(I$5,12,31))</f>
        <v/>
      </c>
      <c r="J458" s="332">
        <f>SUM(C458:I458)</f>
        <v/>
      </c>
      <c r="K458" s="333">
        <f>J458/$J$506</f>
        <v/>
      </c>
    </row>
    <row r="459" hidden="1" outlineLevel="1" ht="32.25" customHeight="1">
      <c r="A459" s="48" t="n">
        <v>454</v>
      </c>
      <c r="B459" s="107" t="n"/>
      <c r="C459" s="331">
        <f>SUMIFS(DATA!$M:$M,DATA!$C:$C,$B459,DATA!$N:$N,"&gt;="&amp;DATE(C$5,1,1),DATA!$N:$N,"&lt;="&amp;DATE(C$5,12,31))</f>
        <v/>
      </c>
      <c r="D459" s="331">
        <f>SUMIFS(DATA!$M:$M,DATA!$C:$C,$B459,DATA!$N:$N,"&gt;="&amp;DATE(D$5,1,1),DATA!$N:$N,"&lt;="&amp;DATE(D$5,12,31))</f>
        <v/>
      </c>
      <c r="E459" s="331">
        <f>SUMIFS(DATA!$M:$M,DATA!$C:$C,$B459,DATA!$N:$N,"&gt;="&amp;DATE(E$5,1,1),DATA!$N:$N,"&lt;="&amp;DATE(E$5,12,31))</f>
        <v/>
      </c>
      <c r="F459" s="331">
        <f>SUMIFS(DATA!$M:$M,DATA!$C:$C,$B459,DATA!$N:$N,"&gt;="&amp;DATE(F$5,1,1),DATA!$N:$N,"&lt;="&amp;DATE(F$5,12,31))</f>
        <v/>
      </c>
      <c r="G459" s="331">
        <f>SUMIFS(DATA!$M:$M,DATA!$C:$C,$B459,DATA!$N:$N,"&gt;="&amp;DATE(G$5,1,1),DATA!$N:$N,"&lt;="&amp;DATE(G$5,12,31))</f>
        <v/>
      </c>
      <c r="H459" s="331">
        <f>SUMIFS(DATA!$M:$M,DATA!$C:$C,$B459,DATA!$N:$N,"&gt;="&amp;DATE(H$5,1,1),DATA!$N:$N,"&lt;="&amp;DATE(H$5,12,31))</f>
        <v/>
      </c>
      <c r="I459" s="331">
        <f>SUMIFS(DATA!$M:$M,DATA!$C:$C,$B459,DATA!$N:$N,"&gt;="&amp;DATE(I$5,1,1),DATA!$N:$N,"&lt;="&amp;DATE(I$5,12,31))</f>
        <v/>
      </c>
      <c r="J459" s="332">
        <f>SUM(C459:I459)</f>
        <v/>
      </c>
      <c r="K459" s="333">
        <f>J459/$J$506</f>
        <v/>
      </c>
    </row>
    <row r="460" hidden="1" outlineLevel="1" ht="32.25" customHeight="1">
      <c r="A460" s="48" t="n">
        <v>455</v>
      </c>
      <c r="B460" s="107" t="n"/>
      <c r="C460" s="331">
        <f>SUMIFS(DATA!$M:$M,DATA!$C:$C,$B460,DATA!$N:$N,"&gt;="&amp;DATE(C$5,1,1),DATA!$N:$N,"&lt;="&amp;DATE(C$5,12,31))</f>
        <v/>
      </c>
      <c r="D460" s="331">
        <f>SUMIFS(DATA!$M:$M,DATA!$C:$C,$B460,DATA!$N:$N,"&gt;="&amp;DATE(D$5,1,1),DATA!$N:$N,"&lt;="&amp;DATE(D$5,12,31))</f>
        <v/>
      </c>
      <c r="E460" s="331">
        <f>SUMIFS(DATA!$M:$M,DATA!$C:$C,$B460,DATA!$N:$N,"&gt;="&amp;DATE(E$5,1,1),DATA!$N:$N,"&lt;="&amp;DATE(E$5,12,31))</f>
        <v/>
      </c>
      <c r="F460" s="331">
        <f>SUMIFS(DATA!$M:$M,DATA!$C:$C,$B460,DATA!$N:$N,"&gt;="&amp;DATE(F$5,1,1),DATA!$N:$N,"&lt;="&amp;DATE(F$5,12,31))</f>
        <v/>
      </c>
      <c r="G460" s="331">
        <f>SUMIFS(DATA!$M:$M,DATA!$C:$C,$B460,DATA!$N:$N,"&gt;="&amp;DATE(G$5,1,1),DATA!$N:$N,"&lt;="&amp;DATE(G$5,12,31))</f>
        <v/>
      </c>
      <c r="H460" s="331">
        <f>SUMIFS(DATA!$M:$M,DATA!$C:$C,$B460,DATA!$N:$N,"&gt;="&amp;DATE(H$5,1,1),DATA!$N:$N,"&lt;="&amp;DATE(H$5,12,31))</f>
        <v/>
      </c>
      <c r="I460" s="331">
        <f>SUMIFS(DATA!$M:$M,DATA!$C:$C,$B460,DATA!$N:$N,"&gt;="&amp;DATE(I$5,1,1),DATA!$N:$N,"&lt;="&amp;DATE(I$5,12,31))</f>
        <v/>
      </c>
      <c r="J460" s="332">
        <f>SUM(C460:I460)</f>
        <v/>
      </c>
      <c r="K460" s="333">
        <f>J460/$J$506</f>
        <v/>
      </c>
    </row>
    <row r="461" hidden="1" outlineLevel="1" ht="32.25" customHeight="1">
      <c r="A461" s="48" t="n">
        <v>456</v>
      </c>
      <c r="B461" s="107" t="n"/>
      <c r="C461" s="331">
        <f>SUMIFS(DATA!$M:$M,DATA!$C:$C,$B461,DATA!$N:$N,"&gt;="&amp;DATE(C$5,1,1),DATA!$N:$N,"&lt;="&amp;DATE(C$5,12,31))</f>
        <v/>
      </c>
      <c r="D461" s="331">
        <f>SUMIFS(DATA!$M:$M,DATA!$C:$C,$B461,DATA!$N:$N,"&gt;="&amp;DATE(D$5,1,1),DATA!$N:$N,"&lt;="&amp;DATE(D$5,12,31))</f>
        <v/>
      </c>
      <c r="E461" s="331">
        <f>SUMIFS(DATA!$M:$M,DATA!$C:$C,$B461,DATA!$N:$N,"&gt;="&amp;DATE(E$5,1,1),DATA!$N:$N,"&lt;="&amp;DATE(E$5,12,31))</f>
        <v/>
      </c>
      <c r="F461" s="331">
        <f>SUMIFS(DATA!$M:$M,DATA!$C:$C,$B461,DATA!$N:$N,"&gt;="&amp;DATE(F$5,1,1),DATA!$N:$N,"&lt;="&amp;DATE(F$5,12,31))</f>
        <v/>
      </c>
      <c r="G461" s="331">
        <f>SUMIFS(DATA!$M:$M,DATA!$C:$C,$B461,DATA!$N:$N,"&gt;="&amp;DATE(G$5,1,1),DATA!$N:$N,"&lt;="&amp;DATE(G$5,12,31))</f>
        <v/>
      </c>
      <c r="H461" s="331">
        <f>SUMIFS(DATA!$M:$M,DATA!$C:$C,$B461,DATA!$N:$N,"&gt;="&amp;DATE(H$5,1,1),DATA!$N:$N,"&lt;="&amp;DATE(H$5,12,31))</f>
        <v/>
      </c>
      <c r="I461" s="331">
        <f>SUMIFS(DATA!$M:$M,DATA!$C:$C,$B461,DATA!$N:$N,"&gt;="&amp;DATE(I$5,1,1),DATA!$N:$N,"&lt;="&amp;DATE(I$5,12,31))</f>
        <v/>
      </c>
      <c r="J461" s="332">
        <f>SUM(C461:I461)</f>
        <v/>
      </c>
      <c r="K461" s="333">
        <f>J461/$J$506</f>
        <v/>
      </c>
    </row>
    <row r="462" hidden="1" outlineLevel="1" ht="32.25" customHeight="1">
      <c r="A462" s="48" t="n">
        <v>457</v>
      </c>
      <c r="B462" s="107" t="n"/>
      <c r="C462" s="331">
        <f>SUMIFS(DATA!$M:$M,DATA!$C:$C,$B462,DATA!$N:$N,"&gt;="&amp;DATE(C$5,1,1),DATA!$N:$N,"&lt;="&amp;DATE(C$5,12,31))</f>
        <v/>
      </c>
      <c r="D462" s="331">
        <f>SUMIFS(DATA!$M:$M,DATA!$C:$C,$B462,DATA!$N:$N,"&gt;="&amp;DATE(D$5,1,1),DATA!$N:$N,"&lt;="&amp;DATE(D$5,12,31))</f>
        <v/>
      </c>
      <c r="E462" s="331">
        <f>SUMIFS(DATA!$M:$M,DATA!$C:$C,$B462,DATA!$N:$N,"&gt;="&amp;DATE(E$5,1,1),DATA!$N:$N,"&lt;="&amp;DATE(E$5,12,31))</f>
        <v/>
      </c>
      <c r="F462" s="331">
        <f>SUMIFS(DATA!$M:$M,DATA!$C:$C,$B462,DATA!$N:$N,"&gt;="&amp;DATE(F$5,1,1),DATA!$N:$N,"&lt;="&amp;DATE(F$5,12,31))</f>
        <v/>
      </c>
      <c r="G462" s="331">
        <f>SUMIFS(DATA!$M:$M,DATA!$C:$C,$B462,DATA!$N:$N,"&gt;="&amp;DATE(G$5,1,1),DATA!$N:$N,"&lt;="&amp;DATE(G$5,12,31))</f>
        <v/>
      </c>
      <c r="H462" s="331">
        <f>SUMIFS(DATA!$M:$M,DATA!$C:$C,$B462,DATA!$N:$N,"&gt;="&amp;DATE(H$5,1,1),DATA!$N:$N,"&lt;="&amp;DATE(H$5,12,31))</f>
        <v/>
      </c>
      <c r="I462" s="331">
        <f>SUMIFS(DATA!$M:$M,DATA!$C:$C,$B462,DATA!$N:$N,"&gt;="&amp;DATE(I$5,1,1),DATA!$N:$N,"&lt;="&amp;DATE(I$5,12,31))</f>
        <v/>
      </c>
      <c r="J462" s="332">
        <f>SUM(C462:I462)</f>
        <v/>
      </c>
      <c r="K462" s="333">
        <f>J462/$J$506</f>
        <v/>
      </c>
    </row>
    <row r="463" hidden="1" outlineLevel="1" ht="32.25" customHeight="1">
      <c r="A463" s="48" t="n">
        <v>458</v>
      </c>
      <c r="B463" s="107" t="n"/>
      <c r="C463" s="331">
        <f>SUMIFS(DATA!$M:$M,DATA!$C:$C,$B463,DATA!$N:$N,"&gt;="&amp;DATE(C$5,1,1),DATA!$N:$N,"&lt;="&amp;DATE(C$5,12,31))</f>
        <v/>
      </c>
      <c r="D463" s="331">
        <f>SUMIFS(DATA!$M:$M,DATA!$C:$C,$B463,DATA!$N:$N,"&gt;="&amp;DATE(D$5,1,1),DATA!$N:$N,"&lt;="&amp;DATE(D$5,12,31))</f>
        <v/>
      </c>
      <c r="E463" s="331">
        <f>SUMIFS(DATA!$M:$M,DATA!$C:$C,$B463,DATA!$N:$N,"&gt;="&amp;DATE(E$5,1,1),DATA!$N:$N,"&lt;="&amp;DATE(E$5,12,31))</f>
        <v/>
      </c>
      <c r="F463" s="331">
        <f>SUMIFS(DATA!$M:$M,DATA!$C:$C,$B463,DATA!$N:$N,"&gt;="&amp;DATE(F$5,1,1),DATA!$N:$N,"&lt;="&amp;DATE(F$5,12,31))</f>
        <v/>
      </c>
      <c r="G463" s="331">
        <f>SUMIFS(DATA!$M:$M,DATA!$C:$C,$B463,DATA!$N:$N,"&gt;="&amp;DATE(G$5,1,1),DATA!$N:$N,"&lt;="&amp;DATE(G$5,12,31))</f>
        <v/>
      </c>
      <c r="H463" s="331">
        <f>SUMIFS(DATA!$M:$M,DATA!$C:$C,$B463,DATA!$N:$N,"&gt;="&amp;DATE(H$5,1,1),DATA!$N:$N,"&lt;="&amp;DATE(H$5,12,31))</f>
        <v/>
      </c>
      <c r="I463" s="331">
        <f>SUMIFS(DATA!$M:$M,DATA!$C:$C,$B463,DATA!$N:$N,"&gt;="&amp;DATE(I$5,1,1),DATA!$N:$N,"&lt;="&amp;DATE(I$5,12,31))</f>
        <v/>
      </c>
      <c r="J463" s="332">
        <f>SUM(C463:I463)</f>
        <v/>
      </c>
      <c r="K463" s="333">
        <f>J463/$J$506</f>
        <v/>
      </c>
    </row>
    <row r="464" hidden="1" outlineLevel="1" ht="32.25" customHeight="1">
      <c r="A464" s="48" t="n">
        <v>459</v>
      </c>
      <c r="B464" s="107" t="n"/>
      <c r="C464" s="331">
        <f>SUMIFS(DATA!$M:$M,DATA!$C:$C,$B464,DATA!$N:$N,"&gt;="&amp;DATE(C$5,1,1),DATA!$N:$N,"&lt;="&amp;DATE(C$5,12,31))</f>
        <v/>
      </c>
      <c r="D464" s="331">
        <f>SUMIFS(DATA!$M:$M,DATA!$C:$C,$B464,DATA!$N:$N,"&gt;="&amp;DATE(D$5,1,1),DATA!$N:$N,"&lt;="&amp;DATE(D$5,12,31))</f>
        <v/>
      </c>
      <c r="E464" s="331">
        <f>SUMIFS(DATA!$M:$M,DATA!$C:$C,$B464,DATA!$N:$N,"&gt;="&amp;DATE(E$5,1,1),DATA!$N:$N,"&lt;="&amp;DATE(E$5,12,31))</f>
        <v/>
      </c>
      <c r="F464" s="331">
        <f>SUMIFS(DATA!$M:$M,DATA!$C:$C,$B464,DATA!$N:$N,"&gt;="&amp;DATE(F$5,1,1),DATA!$N:$N,"&lt;="&amp;DATE(F$5,12,31))</f>
        <v/>
      </c>
      <c r="G464" s="331">
        <f>SUMIFS(DATA!$M:$M,DATA!$C:$C,$B464,DATA!$N:$N,"&gt;="&amp;DATE(G$5,1,1),DATA!$N:$N,"&lt;="&amp;DATE(G$5,12,31))</f>
        <v/>
      </c>
      <c r="H464" s="331">
        <f>SUMIFS(DATA!$M:$M,DATA!$C:$C,$B464,DATA!$N:$N,"&gt;="&amp;DATE(H$5,1,1),DATA!$N:$N,"&lt;="&amp;DATE(H$5,12,31))</f>
        <v/>
      </c>
      <c r="I464" s="331">
        <f>SUMIFS(DATA!$M:$M,DATA!$C:$C,$B464,DATA!$N:$N,"&gt;="&amp;DATE(I$5,1,1),DATA!$N:$N,"&lt;="&amp;DATE(I$5,12,31))</f>
        <v/>
      </c>
      <c r="J464" s="332">
        <f>SUM(C464:I464)</f>
        <v/>
      </c>
      <c r="K464" s="333">
        <f>J464/$J$506</f>
        <v/>
      </c>
    </row>
    <row r="465" hidden="1" outlineLevel="1" ht="32.25" customHeight="1">
      <c r="A465" s="48" t="n">
        <v>460</v>
      </c>
      <c r="B465" s="107" t="n"/>
      <c r="C465" s="331">
        <f>SUMIFS(DATA!$M:$M,DATA!$C:$C,$B465,DATA!$N:$N,"&gt;="&amp;DATE(C$5,1,1),DATA!$N:$N,"&lt;="&amp;DATE(C$5,12,31))</f>
        <v/>
      </c>
      <c r="D465" s="331">
        <f>SUMIFS(DATA!$M:$M,DATA!$C:$C,$B465,DATA!$N:$N,"&gt;="&amp;DATE(D$5,1,1),DATA!$N:$N,"&lt;="&amp;DATE(D$5,12,31))</f>
        <v/>
      </c>
      <c r="E465" s="331">
        <f>SUMIFS(DATA!$M:$M,DATA!$C:$C,$B465,DATA!$N:$N,"&gt;="&amp;DATE(E$5,1,1),DATA!$N:$N,"&lt;="&amp;DATE(E$5,12,31))</f>
        <v/>
      </c>
      <c r="F465" s="331">
        <f>SUMIFS(DATA!$M:$M,DATA!$C:$C,$B465,DATA!$N:$N,"&gt;="&amp;DATE(F$5,1,1),DATA!$N:$N,"&lt;="&amp;DATE(F$5,12,31))</f>
        <v/>
      </c>
      <c r="G465" s="331">
        <f>SUMIFS(DATA!$M:$M,DATA!$C:$C,$B465,DATA!$N:$N,"&gt;="&amp;DATE(G$5,1,1),DATA!$N:$N,"&lt;="&amp;DATE(G$5,12,31))</f>
        <v/>
      </c>
      <c r="H465" s="331">
        <f>SUMIFS(DATA!$M:$M,DATA!$C:$C,$B465,DATA!$N:$N,"&gt;="&amp;DATE(H$5,1,1),DATA!$N:$N,"&lt;="&amp;DATE(H$5,12,31))</f>
        <v/>
      </c>
      <c r="I465" s="331">
        <f>SUMIFS(DATA!$M:$M,DATA!$C:$C,$B465,DATA!$N:$N,"&gt;="&amp;DATE(I$5,1,1),DATA!$N:$N,"&lt;="&amp;DATE(I$5,12,31))</f>
        <v/>
      </c>
      <c r="J465" s="332">
        <f>SUM(C465:I465)</f>
        <v/>
      </c>
      <c r="K465" s="333">
        <f>J465/$J$506</f>
        <v/>
      </c>
    </row>
    <row r="466" hidden="1" outlineLevel="1" ht="32.25" customHeight="1">
      <c r="A466" s="48" t="n">
        <v>461</v>
      </c>
      <c r="B466" s="107" t="n"/>
      <c r="C466" s="331">
        <f>SUMIFS(DATA!$M:$M,DATA!$C:$C,$B466,DATA!$N:$N,"&gt;="&amp;DATE(C$5,1,1),DATA!$N:$N,"&lt;="&amp;DATE(C$5,12,31))</f>
        <v/>
      </c>
      <c r="D466" s="331">
        <f>SUMIFS(DATA!$M:$M,DATA!$C:$C,$B466,DATA!$N:$N,"&gt;="&amp;DATE(D$5,1,1),DATA!$N:$N,"&lt;="&amp;DATE(D$5,12,31))</f>
        <v/>
      </c>
      <c r="E466" s="331">
        <f>SUMIFS(DATA!$M:$M,DATA!$C:$C,$B466,DATA!$N:$N,"&gt;="&amp;DATE(E$5,1,1),DATA!$N:$N,"&lt;="&amp;DATE(E$5,12,31))</f>
        <v/>
      </c>
      <c r="F466" s="331">
        <f>SUMIFS(DATA!$M:$M,DATA!$C:$C,$B466,DATA!$N:$N,"&gt;="&amp;DATE(F$5,1,1),DATA!$N:$N,"&lt;="&amp;DATE(F$5,12,31))</f>
        <v/>
      </c>
      <c r="G466" s="331">
        <f>SUMIFS(DATA!$M:$M,DATA!$C:$C,$B466,DATA!$N:$N,"&gt;="&amp;DATE(G$5,1,1),DATA!$N:$N,"&lt;="&amp;DATE(G$5,12,31))</f>
        <v/>
      </c>
      <c r="H466" s="331">
        <f>SUMIFS(DATA!$M:$M,DATA!$C:$C,$B466,DATA!$N:$N,"&gt;="&amp;DATE(H$5,1,1),DATA!$N:$N,"&lt;="&amp;DATE(H$5,12,31))</f>
        <v/>
      </c>
      <c r="I466" s="331">
        <f>SUMIFS(DATA!$M:$M,DATA!$C:$C,$B466,DATA!$N:$N,"&gt;="&amp;DATE(I$5,1,1),DATA!$N:$N,"&lt;="&amp;DATE(I$5,12,31))</f>
        <v/>
      </c>
      <c r="J466" s="332">
        <f>SUM(C466:I466)</f>
        <v/>
      </c>
      <c r="K466" s="333">
        <f>J466/$J$506</f>
        <v/>
      </c>
    </row>
    <row r="467" hidden="1" outlineLevel="1" ht="32.25" customHeight="1">
      <c r="A467" s="48" t="n">
        <v>462</v>
      </c>
      <c r="B467" s="107" t="n"/>
      <c r="C467" s="331">
        <f>SUMIFS(DATA!$M:$M,DATA!$C:$C,$B467,DATA!$N:$N,"&gt;="&amp;DATE(C$5,1,1),DATA!$N:$N,"&lt;="&amp;DATE(C$5,12,31))</f>
        <v/>
      </c>
      <c r="D467" s="331">
        <f>SUMIFS(DATA!$M:$M,DATA!$C:$C,$B467,DATA!$N:$N,"&gt;="&amp;DATE(D$5,1,1),DATA!$N:$N,"&lt;="&amp;DATE(D$5,12,31))</f>
        <v/>
      </c>
      <c r="E467" s="331">
        <f>SUMIFS(DATA!$M:$M,DATA!$C:$C,$B467,DATA!$N:$N,"&gt;="&amp;DATE(E$5,1,1),DATA!$N:$N,"&lt;="&amp;DATE(E$5,12,31))</f>
        <v/>
      </c>
      <c r="F467" s="331">
        <f>SUMIFS(DATA!$M:$M,DATA!$C:$C,$B467,DATA!$N:$N,"&gt;="&amp;DATE(F$5,1,1),DATA!$N:$N,"&lt;="&amp;DATE(F$5,12,31))</f>
        <v/>
      </c>
      <c r="G467" s="331">
        <f>SUMIFS(DATA!$M:$M,DATA!$C:$C,$B467,DATA!$N:$N,"&gt;="&amp;DATE(G$5,1,1),DATA!$N:$N,"&lt;="&amp;DATE(G$5,12,31))</f>
        <v/>
      </c>
      <c r="H467" s="331">
        <f>SUMIFS(DATA!$M:$M,DATA!$C:$C,$B467,DATA!$N:$N,"&gt;="&amp;DATE(H$5,1,1),DATA!$N:$N,"&lt;="&amp;DATE(H$5,12,31))</f>
        <v/>
      </c>
      <c r="I467" s="331">
        <f>SUMIFS(DATA!$M:$M,DATA!$C:$C,$B467,DATA!$N:$N,"&gt;="&amp;DATE(I$5,1,1),DATA!$N:$N,"&lt;="&amp;DATE(I$5,12,31))</f>
        <v/>
      </c>
      <c r="J467" s="332">
        <f>SUM(C467:I467)</f>
        <v/>
      </c>
      <c r="K467" s="333">
        <f>J467/$J$506</f>
        <v/>
      </c>
    </row>
    <row r="468" hidden="1" outlineLevel="1" ht="32.25" customHeight="1">
      <c r="A468" s="48" t="n">
        <v>463</v>
      </c>
      <c r="B468" s="107" t="n"/>
      <c r="C468" s="331">
        <f>SUMIFS(DATA!$M:$M,DATA!$C:$C,$B468,DATA!$N:$N,"&gt;="&amp;DATE(C$5,1,1),DATA!$N:$N,"&lt;="&amp;DATE(C$5,12,31))</f>
        <v/>
      </c>
      <c r="D468" s="331">
        <f>SUMIFS(DATA!$M:$M,DATA!$C:$C,$B468,DATA!$N:$N,"&gt;="&amp;DATE(D$5,1,1),DATA!$N:$N,"&lt;="&amp;DATE(D$5,12,31))</f>
        <v/>
      </c>
      <c r="E468" s="331">
        <f>SUMIFS(DATA!$M:$M,DATA!$C:$C,$B468,DATA!$N:$N,"&gt;="&amp;DATE(E$5,1,1),DATA!$N:$N,"&lt;="&amp;DATE(E$5,12,31))</f>
        <v/>
      </c>
      <c r="F468" s="331">
        <f>SUMIFS(DATA!$M:$M,DATA!$C:$C,$B468,DATA!$N:$N,"&gt;="&amp;DATE(F$5,1,1),DATA!$N:$N,"&lt;="&amp;DATE(F$5,12,31))</f>
        <v/>
      </c>
      <c r="G468" s="331">
        <f>SUMIFS(DATA!$M:$M,DATA!$C:$C,$B468,DATA!$N:$N,"&gt;="&amp;DATE(G$5,1,1),DATA!$N:$N,"&lt;="&amp;DATE(G$5,12,31))</f>
        <v/>
      </c>
      <c r="H468" s="331">
        <f>SUMIFS(DATA!$M:$M,DATA!$C:$C,$B468,DATA!$N:$N,"&gt;="&amp;DATE(H$5,1,1),DATA!$N:$N,"&lt;="&amp;DATE(H$5,12,31))</f>
        <v/>
      </c>
      <c r="I468" s="331">
        <f>SUMIFS(DATA!$M:$M,DATA!$C:$C,$B468,DATA!$N:$N,"&gt;="&amp;DATE(I$5,1,1),DATA!$N:$N,"&lt;="&amp;DATE(I$5,12,31))</f>
        <v/>
      </c>
      <c r="J468" s="332">
        <f>SUM(C468:I468)</f>
        <v/>
      </c>
      <c r="K468" s="333">
        <f>J468/$J$506</f>
        <v/>
      </c>
    </row>
    <row r="469" hidden="1" outlineLevel="1" ht="32.25" customHeight="1">
      <c r="A469" s="48" t="n">
        <v>464</v>
      </c>
      <c r="B469" s="107" t="n"/>
      <c r="C469" s="331">
        <f>SUMIFS(DATA!$M:$M,DATA!$C:$C,$B469,DATA!$N:$N,"&gt;="&amp;DATE(C$5,1,1),DATA!$N:$N,"&lt;="&amp;DATE(C$5,12,31))</f>
        <v/>
      </c>
      <c r="D469" s="331">
        <f>SUMIFS(DATA!$M:$M,DATA!$C:$C,$B469,DATA!$N:$N,"&gt;="&amp;DATE(D$5,1,1),DATA!$N:$N,"&lt;="&amp;DATE(D$5,12,31))</f>
        <v/>
      </c>
      <c r="E469" s="331">
        <f>SUMIFS(DATA!$M:$M,DATA!$C:$C,$B469,DATA!$N:$N,"&gt;="&amp;DATE(E$5,1,1),DATA!$N:$N,"&lt;="&amp;DATE(E$5,12,31))</f>
        <v/>
      </c>
      <c r="F469" s="331">
        <f>SUMIFS(DATA!$M:$M,DATA!$C:$C,$B469,DATA!$N:$N,"&gt;="&amp;DATE(F$5,1,1),DATA!$N:$N,"&lt;="&amp;DATE(F$5,12,31))</f>
        <v/>
      </c>
      <c r="G469" s="331">
        <f>SUMIFS(DATA!$M:$M,DATA!$C:$C,$B469,DATA!$N:$N,"&gt;="&amp;DATE(G$5,1,1),DATA!$N:$N,"&lt;="&amp;DATE(G$5,12,31))</f>
        <v/>
      </c>
      <c r="H469" s="331">
        <f>SUMIFS(DATA!$M:$M,DATA!$C:$C,$B469,DATA!$N:$N,"&gt;="&amp;DATE(H$5,1,1),DATA!$N:$N,"&lt;="&amp;DATE(H$5,12,31))</f>
        <v/>
      </c>
      <c r="I469" s="331">
        <f>SUMIFS(DATA!$M:$M,DATA!$C:$C,$B469,DATA!$N:$N,"&gt;="&amp;DATE(I$5,1,1),DATA!$N:$N,"&lt;="&amp;DATE(I$5,12,31))</f>
        <v/>
      </c>
      <c r="J469" s="332">
        <f>SUM(C469:I469)</f>
        <v/>
      </c>
      <c r="K469" s="333">
        <f>J469/$J$506</f>
        <v/>
      </c>
    </row>
    <row r="470" hidden="1" outlineLevel="1" ht="32.25" customHeight="1">
      <c r="A470" s="48" t="n">
        <v>465</v>
      </c>
      <c r="B470" s="107" t="n"/>
      <c r="C470" s="331">
        <f>SUMIFS(DATA!$M:$M,DATA!$C:$C,$B470,DATA!$N:$N,"&gt;="&amp;DATE(C$5,1,1),DATA!$N:$N,"&lt;="&amp;DATE(C$5,12,31))</f>
        <v/>
      </c>
      <c r="D470" s="331">
        <f>SUMIFS(DATA!$M:$M,DATA!$C:$C,$B470,DATA!$N:$N,"&gt;="&amp;DATE(D$5,1,1),DATA!$N:$N,"&lt;="&amp;DATE(D$5,12,31))</f>
        <v/>
      </c>
      <c r="E470" s="331">
        <f>SUMIFS(DATA!$M:$M,DATA!$C:$C,$B470,DATA!$N:$N,"&gt;="&amp;DATE(E$5,1,1),DATA!$N:$N,"&lt;="&amp;DATE(E$5,12,31))</f>
        <v/>
      </c>
      <c r="F470" s="331">
        <f>SUMIFS(DATA!$M:$M,DATA!$C:$C,$B470,DATA!$N:$N,"&gt;="&amp;DATE(F$5,1,1),DATA!$N:$N,"&lt;="&amp;DATE(F$5,12,31))</f>
        <v/>
      </c>
      <c r="G470" s="331">
        <f>SUMIFS(DATA!$M:$M,DATA!$C:$C,$B470,DATA!$N:$N,"&gt;="&amp;DATE(G$5,1,1),DATA!$N:$N,"&lt;="&amp;DATE(G$5,12,31))</f>
        <v/>
      </c>
      <c r="H470" s="331">
        <f>SUMIFS(DATA!$M:$M,DATA!$C:$C,$B470,DATA!$N:$N,"&gt;="&amp;DATE(H$5,1,1),DATA!$N:$N,"&lt;="&amp;DATE(H$5,12,31))</f>
        <v/>
      </c>
      <c r="I470" s="331">
        <f>SUMIFS(DATA!$M:$M,DATA!$C:$C,$B470,DATA!$N:$N,"&gt;="&amp;DATE(I$5,1,1),DATA!$N:$N,"&lt;="&amp;DATE(I$5,12,31))</f>
        <v/>
      </c>
      <c r="J470" s="332">
        <f>SUM(C470:I470)</f>
        <v/>
      </c>
      <c r="K470" s="333">
        <f>J470/$J$506</f>
        <v/>
      </c>
    </row>
    <row r="471" hidden="1" outlineLevel="1" ht="32.25" customHeight="1">
      <c r="A471" s="48" t="n">
        <v>466</v>
      </c>
      <c r="B471" s="107" t="n"/>
      <c r="C471" s="331">
        <f>SUMIFS(DATA!$M:$M,DATA!$C:$C,$B471,DATA!$N:$N,"&gt;="&amp;DATE(C$5,1,1),DATA!$N:$N,"&lt;="&amp;DATE(C$5,12,31))</f>
        <v/>
      </c>
      <c r="D471" s="331">
        <f>SUMIFS(DATA!$M:$M,DATA!$C:$C,$B471,DATA!$N:$N,"&gt;="&amp;DATE(D$5,1,1),DATA!$N:$N,"&lt;="&amp;DATE(D$5,12,31))</f>
        <v/>
      </c>
      <c r="E471" s="331">
        <f>SUMIFS(DATA!$M:$M,DATA!$C:$C,$B471,DATA!$N:$N,"&gt;="&amp;DATE(E$5,1,1),DATA!$N:$N,"&lt;="&amp;DATE(E$5,12,31))</f>
        <v/>
      </c>
      <c r="F471" s="331">
        <f>SUMIFS(DATA!$M:$M,DATA!$C:$C,$B471,DATA!$N:$N,"&gt;="&amp;DATE(F$5,1,1),DATA!$N:$N,"&lt;="&amp;DATE(F$5,12,31))</f>
        <v/>
      </c>
      <c r="G471" s="331">
        <f>SUMIFS(DATA!$M:$M,DATA!$C:$C,$B471,DATA!$N:$N,"&gt;="&amp;DATE(G$5,1,1),DATA!$N:$N,"&lt;="&amp;DATE(G$5,12,31))</f>
        <v/>
      </c>
      <c r="H471" s="331">
        <f>SUMIFS(DATA!$M:$M,DATA!$C:$C,$B471,DATA!$N:$N,"&gt;="&amp;DATE(H$5,1,1),DATA!$N:$N,"&lt;="&amp;DATE(H$5,12,31))</f>
        <v/>
      </c>
      <c r="I471" s="331">
        <f>SUMIFS(DATA!$M:$M,DATA!$C:$C,$B471,DATA!$N:$N,"&gt;="&amp;DATE(I$5,1,1),DATA!$N:$N,"&lt;="&amp;DATE(I$5,12,31))</f>
        <v/>
      </c>
      <c r="J471" s="332">
        <f>SUM(C471:I471)</f>
        <v/>
      </c>
      <c r="K471" s="333">
        <f>J471/$J$506</f>
        <v/>
      </c>
    </row>
    <row r="472" hidden="1" outlineLevel="1" ht="32.25" customHeight="1">
      <c r="A472" s="48" t="n">
        <v>467</v>
      </c>
      <c r="B472" s="107" t="n"/>
      <c r="C472" s="331">
        <f>SUMIFS(DATA!$M:$M,DATA!$C:$C,$B472,DATA!$N:$N,"&gt;="&amp;DATE(C$5,1,1),DATA!$N:$N,"&lt;="&amp;DATE(C$5,12,31))</f>
        <v/>
      </c>
      <c r="D472" s="331">
        <f>SUMIFS(DATA!$M:$M,DATA!$C:$C,$B472,DATA!$N:$N,"&gt;="&amp;DATE(D$5,1,1),DATA!$N:$N,"&lt;="&amp;DATE(D$5,12,31))</f>
        <v/>
      </c>
      <c r="E472" s="331">
        <f>SUMIFS(DATA!$M:$M,DATA!$C:$C,$B472,DATA!$N:$N,"&gt;="&amp;DATE(E$5,1,1),DATA!$N:$N,"&lt;="&amp;DATE(E$5,12,31))</f>
        <v/>
      </c>
      <c r="F472" s="331">
        <f>SUMIFS(DATA!$M:$M,DATA!$C:$C,$B472,DATA!$N:$N,"&gt;="&amp;DATE(F$5,1,1),DATA!$N:$N,"&lt;="&amp;DATE(F$5,12,31))</f>
        <v/>
      </c>
      <c r="G472" s="331">
        <f>SUMIFS(DATA!$M:$M,DATA!$C:$C,$B472,DATA!$N:$N,"&gt;="&amp;DATE(G$5,1,1),DATA!$N:$N,"&lt;="&amp;DATE(G$5,12,31))</f>
        <v/>
      </c>
      <c r="H472" s="331">
        <f>SUMIFS(DATA!$M:$M,DATA!$C:$C,$B472,DATA!$N:$N,"&gt;="&amp;DATE(H$5,1,1),DATA!$N:$N,"&lt;="&amp;DATE(H$5,12,31))</f>
        <v/>
      </c>
      <c r="I472" s="331">
        <f>SUMIFS(DATA!$M:$M,DATA!$C:$C,$B472,DATA!$N:$N,"&gt;="&amp;DATE(I$5,1,1),DATA!$N:$N,"&lt;="&amp;DATE(I$5,12,31))</f>
        <v/>
      </c>
      <c r="J472" s="332">
        <f>SUM(C472:I472)</f>
        <v/>
      </c>
      <c r="K472" s="333">
        <f>J472/$J$506</f>
        <v/>
      </c>
    </row>
    <row r="473" hidden="1" outlineLevel="1" ht="32.25" customHeight="1">
      <c r="A473" s="48" t="n">
        <v>468</v>
      </c>
      <c r="B473" s="107" t="n"/>
      <c r="C473" s="331">
        <f>SUMIFS(DATA!$M:$M,DATA!$C:$C,$B473,DATA!$N:$N,"&gt;="&amp;DATE(C$5,1,1),DATA!$N:$N,"&lt;="&amp;DATE(C$5,12,31))</f>
        <v/>
      </c>
      <c r="D473" s="331">
        <f>SUMIFS(DATA!$M:$M,DATA!$C:$C,$B473,DATA!$N:$N,"&gt;="&amp;DATE(D$5,1,1),DATA!$N:$N,"&lt;="&amp;DATE(D$5,12,31))</f>
        <v/>
      </c>
      <c r="E473" s="331">
        <f>SUMIFS(DATA!$M:$M,DATA!$C:$C,$B473,DATA!$N:$N,"&gt;="&amp;DATE(E$5,1,1),DATA!$N:$N,"&lt;="&amp;DATE(E$5,12,31))</f>
        <v/>
      </c>
      <c r="F473" s="331">
        <f>SUMIFS(DATA!$M:$M,DATA!$C:$C,$B473,DATA!$N:$N,"&gt;="&amp;DATE(F$5,1,1),DATA!$N:$N,"&lt;="&amp;DATE(F$5,12,31))</f>
        <v/>
      </c>
      <c r="G473" s="331">
        <f>SUMIFS(DATA!$M:$M,DATA!$C:$C,$B473,DATA!$N:$N,"&gt;="&amp;DATE(G$5,1,1),DATA!$N:$N,"&lt;="&amp;DATE(G$5,12,31))</f>
        <v/>
      </c>
      <c r="H473" s="331">
        <f>SUMIFS(DATA!$M:$M,DATA!$C:$C,$B473,DATA!$N:$N,"&gt;="&amp;DATE(H$5,1,1),DATA!$N:$N,"&lt;="&amp;DATE(H$5,12,31))</f>
        <v/>
      </c>
      <c r="I473" s="331">
        <f>SUMIFS(DATA!$M:$M,DATA!$C:$C,$B473,DATA!$N:$N,"&gt;="&amp;DATE(I$5,1,1),DATA!$N:$N,"&lt;="&amp;DATE(I$5,12,31))</f>
        <v/>
      </c>
      <c r="J473" s="332">
        <f>SUM(C473:I473)</f>
        <v/>
      </c>
      <c r="K473" s="333">
        <f>J473/$J$506</f>
        <v/>
      </c>
    </row>
    <row r="474" hidden="1" outlineLevel="1" ht="32.25" customHeight="1">
      <c r="A474" s="48" t="n">
        <v>469</v>
      </c>
      <c r="B474" s="107" t="n"/>
      <c r="C474" s="331">
        <f>SUMIFS(DATA!$M:$M,DATA!$C:$C,$B474,DATA!$N:$N,"&gt;="&amp;DATE(C$5,1,1),DATA!$N:$N,"&lt;="&amp;DATE(C$5,12,31))</f>
        <v/>
      </c>
      <c r="D474" s="331">
        <f>SUMIFS(DATA!$M:$M,DATA!$C:$C,$B474,DATA!$N:$N,"&gt;="&amp;DATE(D$5,1,1),DATA!$N:$N,"&lt;="&amp;DATE(D$5,12,31))</f>
        <v/>
      </c>
      <c r="E474" s="331">
        <f>SUMIFS(DATA!$M:$M,DATA!$C:$C,$B474,DATA!$N:$N,"&gt;="&amp;DATE(E$5,1,1),DATA!$N:$N,"&lt;="&amp;DATE(E$5,12,31))</f>
        <v/>
      </c>
      <c r="F474" s="331">
        <f>SUMIFS(DATA!$M:$M,DATA!$C:$C,$B474,DATA!$N:$N,"&gt;="&amp;DATE(F$5,1,1),DATA!$N:$N,"&lt;="&amp;DATE(F$5,12,31))</f>
        <v/>
      </c>
      <c r="G474" s="331">
        <f>SUMIFS(DATA!$M:$M,DATA!$C:$C,$B474,DATA!$N:$N,"&gt;="&amp;DATE(G$5,1,1),DATA!$N:$N,"&lt;="&amp;DATE(G$5,12,31))</f>
        <v/>
      </c>
      <c r="H474" s="331">
        <f>SUMIFS(DATA!$M:$M,DATA!$C:$C,$B474,DATA!$N:$N,"&gt;="&amp;DATE(H$5,1,1),DATA!$N:$N,"&lt;="&amp;DATE(H$5,12,31))</f>
        <v/>
      </c>
      <c r="I474" s="331">
        <f>SUMIFS(DATA!$M:$M,DATA!$C:$C,$B474,DATA!$N:$N,"&gt;="&amp;DATE(I$5,1,1),DATA!$N:$N,"&lt;="&amp;DATE(I$5,12,31))</f>
        <v/>
      </c>
      <c r="J474" s="332">
        <f>SUM(C474:I474)</f>
        <v/>
      </c>
      <c r="K474" s="333">
        <f>J474/$J$506</f>
        <v/>
      </c>
    </row>
    <row r="475" hidden="1" outlineLevel="1" ht="32.25" customHeight="1">
      <c r="A475" s="48" t="n">
        <v>470</v>
      </c>
      <c r="B475" s="107" t="n"/>
      <c r="C475" s="331">
        <f>SUMIFS(DATA!$M:$M,DATA!$C:$C,$B475,DATA!$N:$N,"&gt;="&amp;DATE(C$5,1,1),DATA!$N:$N,"&lt;="&amp;DATE(C$5,12,31))</f>
        <v/>
      </c>
      <c r="D475" s="331">
        <f>SUMIFS(DATA!$M:$M,DATA!$C:$C,$B475,DATA!$N:$N,"&gt;="&amp;DATE(D$5,1,1),DATA!$N:$N,"&lt;="&amp;DATE(D$5,12,31))</f>
        <v/>
      </c>
      <c r="E475" s="331">
        <f>SUMIFS(DATA!$M:$M,DATA!$C:$C,$B475,DATA!$N:$N,"&gt;="&amp;DATE(E$5,1,1),DATA!$N:$N,"&lt;="&amp;DATE(E$5,12,31))</f>
        <v/>
      </c>
      <c r="F475" s="331">
        <f>SUMIFS(DATA!$M:$M,DATA!$C:$C,$B475,DATA!$N:$N,"&gt;="&amp;DATE(F$5,1,1),DATA!$N:$N,"&lt;="&amp;DATE(F$5,12,31))</f>
        <v/>
      </c>
      <c r="G475" s="331">
        <f>SUMIFS(DATA!$M:$M,DATA!$C:$C,$B475,DATA!$N:$N,"&gt;="&amp;DATE(G$5,1,1),DATA!$N:$N,"&lt;="&amp;DATE(G$5,12,31))</f>
        <v/>
      </c>
      <c r="H475" s="331">
        <f>SUMIFS(DATA!$M:$M,DATA!$C:$C,$B475,DATA!$N:$N,"&gt;="&amp;DATE(H$5,1,1),DATA!$N:$N,"&lt;="&amp;DATE(H$5,12,31))</f>
        <v/>
      </c>
      <c r="I475" s="331">
        <f>SUMIFS(DATA!$M:$M,DATA!$C:$C,$B475,DATA!$N:$N,"&gt;="&amp;DATE(I$5,1,1),DATA!$N:$N,"&lt;="&amp;DATE(I$5,12,31))</f>
        <v/>
      </c>
      <c r="J475" s="332">
        <f>SUM(C475:I475)</f>
        <v/>
      </c>
      <c r="K475" s="333">
        <f>J475/$J$506</f>
        <v/>
      </c>
    </row>
    <row r="476" hidden="1" outlineLevel="1" ht="32.25" customHeight="1">
      <c r="A476" s="48" t="n">
        <v>471</v>
      </c>
      <c r="B476" s="107" t="n"/>
      <c r="C476" s="331">
        <f>SUMIFS(DATA!$M:$M,DATA!$C:$C,$B476,DATA!$N:$N,"&gt;="&amp;DATE(C$5,1,1),DATA!$N:$N,"&lt;="&amp;DATE(C$5,12,31))</f>
        <v/>
      </c>
      <c r="D476" s="331">
        <f>SUMIFS(DATA!$M:$M,DATA!$C:$C,$B476,DATA!$N:$N,"&gt;="&amp;DATE(D$5,1,1),DATA!$N:$N,"&lt;="&amp;DATE(D$5,12,31))</f>
        <v/>
      </c>
      <c r="E476" s="331">
        <f>SUMIFS(DATA!$M:$M,DATA!$C:$C,$B476,DATA!$N:$N,"&gt;="&amp;DATE(E$5,1,1),DATA!$N:$N,"&lt;="&amp;DATE(E$5,12,31))</f>
        <v/>
      </c>
      <c r="F476" s="331">
        <f>SUMIFS(DATA!$M:$M,DATA!$C:$C,$B476,DATA!$N:$N,"&gt;="&amp;DATE(F$5,1,1),DATA!$N:$N,"&lt;="&amp;DATE(F$5,12,31))</f>
        <v/>
      </c>
      <c r="G476" s="331">
        <f>SUMIFS(DATA!$M:$M,DATA!$C:$C,$B476,DATA!$N:$N,"&gt;="&amp;DATE(G$5,1,1),DATA!$N:$N,"&lt;="&amp;DATE(G$5,12,31))</f>
        <v/>
      </c>
      <c r="H476" s="331">
        <f>SUMIFS(DATA!$M:$M,DATA!$C:$C,$B476,DATA!$N:$N,"&gt;="&amp;DATE(H$5,1,1),DATA!$N:$N,"&lt;="&amp;DATE(H$5,12,31))</f>
        <v/>
      </c>
      <c r="I476" s="331">
        <f>SUMIFS(DATA!$M:$M,DATA!$C:$C,$B476,DATA!$N:$N,"&gt;="&amp;DATE(I$5,1,1),DATA!$N:$N,"&lt;="&amp;DATE(I$5,12,31))</f>
        <v/>
      </c>
      <c r="J476" s="332">
        <f>SUM(C476:I476)</f>
        <v/>
      </c>
      <c r="K476" s="333">
        <f>J476/$J$506</f>
        <v/>
      </c>
    </row>
    <row r="477" hidden="1" outlineLevel="1" ht="32.25" customHeight="1">
      <c r="A477" s="48" t="n">
        <v>472</v>
      </c>
      <c r="B477" s="107" t="n"/>
      <c r="C477" s="331">
        <f>SUMIFS(DATA!$M:$M,DATA!$C:$C,$B477,DATA!$N:$N,"&gt;="&amp;DATE(C$5,1,1),DATA!$N:$N,"&lt;="&amp;DATE(C$5,12,31))</f>
        <v/>
      </c>
      <c r="D477" s="331">
        <f>SUMIFS(DATA!$M:$M,DATA!$C:$C,$B477,DATA!$N:$N,"&gt;="&amp;DATE(D$5,1,1),DATA!$N:$N,"&lt;="&amp;DATE(D$5,12,31))</f>
        <v/>
      </c>
      <c r="E477" s="331">
        <f>SUMIFS(DATA!$M:$M,DATA!$C:$C,$B477,DATA!$N:$N,"&gt;="&amp;DATE(E$5,1,1),DATA!$N:$N,"&lt;="&amp;DATE(E$5,12,31))</f>
        <v/>
      </c>
      <c r="F477" s="331">
        <f>SUMIFS(DATA!$M:$M,DATA!$C:$C,$B477,DATA!$N:$N,"&gt;="&amp;DATE(F$5,1,1),DATA!$N:$N,"&lt;="&amp;DATE(F$5,12,31))</f>
        <v/>
      </c>
      <c r="G477" s="331">
        <f>SUMIFS(DATA!$M:$M,DATA!$C:$C,$B477,DATA!$N:$N,"&gt;="&amp;DATE(G$5,1,1),DATA!$N:$N,"&lt;="&amp;DATE(G$5,12,31))</f>
        <v/>
      </c>
      <c r="H477" s="331">
        <f>SUMIFS(DATA!$M:$M,DATA!$C:$C,$B477,DATA!$N:$N,"&gt;="&amp;DATE(H$5,1,1),DATA!$N:$N,"&lt;="&amp;DATE(H$5,12,31))</f>
        <v/>
      </c>
      <c r="I477" s="331">
        <f>SUMIFS(DATA!$M:$M,DATA!$C:$C,$B477,DATA!$N:$N,"&gt;="&amp;DATE(I$5,1,1),DATA!$N:$N,"&lt;="&amp;DATE(I$5,12,31))</f>
        <v/>
      </c>
      <c r="J477" s="332">
        <f>SUM(C477:I477)</f>
        <v/>
      </c>
      <c r="K477" s="333">
        <f>J477/$J$506</f>
        <v/>
      </c>
    </row>
    <row r="478" hidden="1" outlineLevel="1" ht="32.25" customHeight="1">
      <c r="A478" s="48" t="n">
        <v>473</v>
      </c>
      <c r="B478" s="107" t="n"/>
      <c r="C478" s="331">
        <f>SUMIFS(DATA!$M:$M,DATA!$C:$C,$B478,DATA!$N:$N,"&gt;="&amp;DATE(C$5,1,1),DATA!$N:$N,"&lt;="&amp;DATE(C$5,12,31))</f>
        <v/>
      </c>
      <c r="D478" s="331">
        <f>SUMIFS(DATA!$M:$M,DATA!$C:$C,$B478,DATA!$N:$N,"&gt;="&amp;DATE(D$5,1,1),DATA!$N:$N,"&lt;="&amp;DATE(D$5,12,31))</f>
        <v/>
      </c>
      <c r="E478" s="331">
        <f>SUMIFS(DATA!$M:$M,DATA!$C:$C,$B478,DATA!$N:$N,"&gt;="&amp;DATE(E$5,1,1),DATA!$N:$N,"&lt;="&amp;DATE(E$5,12,31))</f>
        <v/>
      </c>
      <c r="F478" s="331">
        <f>SUMIFS(DATA!$M:$M,DATA!$C:$C,$B478,DATA!$N:$N,"&gt;="&amp;DATE(F$5,1,1),DATA!$N:$N,"&lt;="&amp;DATE(F$5,12,31))</f>
        <v/>
      </c>
      <c r="G478" s="331">
        <f>SUMIFS(DATA!$M:$M,DATA!$C:$C,$B478,DATA!$N:$N,"&gt;="&amp;DATE(G$5,1,1),DATA!$N:$N,"&lt;="&amp;DATE(G$5,12,31))</f>
        <v/>
      </c>
      <c r="H478" s="331">
        <f>SUMIFS(DATA!$M:$M,DATA!$C:$C,$B478,DATA!$N:$N,"&gt;="&amp;DATE(H$5,1,1),DATA!$N:$N,"&lt;="&amp;DATE(H$5,12,31))</f>
        <v/>
      </c>
      <c r="I478" s="331">
        <f>SUMIFS(DATA!$M:$M,DATA!$C:$C,$B478,DATA!$N:$N,"&gt;="&amp;DATE(I$5,1,1),DATA!$N:$N,"&lt;="&amp;DATE(I$5,12,31))</f>
        <v/>
      </c>
      <c r="J478" s="332">
        <f>SUM(C478:I478)</f>
        <v/>
      </c>
      <c r="K478" s="333">
        <f>J478/$J$506</f>
        <v/>
      </c>
    </row>
    <row r="479" hidden="1" outlineLevel="1" ht="32.25" customHeight="1">
      <c r="A479" s="48" t="n">
        <v>474</v>
      </c>
      <c r="B479" s="107" t="n"/>
      <c r="C479" s="331">
        <f>SUMIFS(DATA!$M:$M,DATA!$C:$C,$B479,DATA!$N:$N,"&gt;="&amp;DATE(C$5,1,1),DATA!$N:$N,"&lt;="&amp;DATE(C$5,12,31))</f>
        <v/>
      </c>
      <c r="D479" s="331">
        <f>SUMIFS(DATA!$M:$M,DATA!$C:$C,$B479,DATA!$N:$N,"&gt;="&amp;DATE(D$5,1,1),DATA!$N:$N,"&lt;="&amp;DATE(D$5,12,31))</f>
        <v/>
      </c>
      <c r="E479" s="331">
        <f>SUMIFS(DATA!$M:$M,DATA!$C:$C,$B479,DATA!$N:$N,"&gt;="&amp;DATE(E$5,1,1),DATA!$N:$N,"&lt;="&amp;DATE(E$5,12,31))</f>
        <v/>
      </c>
      <c r="F479" s="331">
        <f>SUMIFS(DATA!$M:$M,DATA!$C:$C,$B479,DATA!$N:$N,"&gt;="&amp;DATE(F$5,1,1),DATA!$N:$N,"&lt;="&amp;DATE(F$5,12,31))</f>
        <v/>
      </c>
      <c r="G479" s="331">
        <f>SUMIFS(DATA!$M:$M,DATA!$C:$C,$B479,DATA!$N:$N,"&gt;="&amp;DATE(G$5,1,1),DATA!$N:$N,"&lt;="&amp;DATE(G$5,12,31))</f>
        <v/>
      </c>
      <c r="H479" s="331">
        <f>SUMIFS(DATA!$M:$M,DATA!$C:$C,$B479,DATA!$N:$N,"&gt;="&amp;DATE(H$5,1,1),DATA!$N:$N,"&lt;="&amp;DATE(H$5,12,31))</f>
        <v/>
      </c>
      <c r="I479" s="331">
        <f>SUMIFS(DATA!$M:$M,DATA!$C:$C,$B479,DATA!$N:$N,"&gt;="&amp;DATE(I$5,1,1),DATA!$N:$N,"&lt;="&amp;DATE(I$5,12,31))</f>
        <v/>
      </c>
      <c r="J479" s="332">
        <f>SUM(C479:I479)</f>
        <v/>
      </c>
      <c r="K479" s="333">
        <f>J479/$J$506</f>
        <v/>
      </c>
    </row>
    <row r="480" hidden="1" outlineLevel="1" ht="32.25" customHeight="1">
      <c r="A480" s="48" t="n">
        <v>475</v>
      </c>
      <c r="B480" s="107" t="n"/>
      <c r="C480" s="331">
        <f>SUMIFS(DATA!$M:$M,DATA!$C:$C,$B480,DATA!$N:$N,"&gt;="&amp;DATE(C$5,1,1),DATA!$N:$N,"&lt;="&amp;DATE(C$5,12,31))</f>
        <v/>
      </c>
      <c r="D480" s="331">
        <f>SUMIFS(DATA!$M:$M,DATA!$C:$C,$B480,DATA!$N:$N,"&gt;="&amp;DATE(D$5,1,1),DATA!$N:$N,"&lt;="&amp;DATE(D$5,12,31))</f>
        <v/>
      </c>
      <c r="E480" s="331">
        <f>SUMIFS(DATA!$M:$M,DATA!$C:$C,$B480,DATA!$N:$N,"&gt;="&amp;DATE(E$5,1,1),DATA!$N:$N,"&lt;="&amp;DATE(E$5,12,31))</f>
        <v/>
      </c>
      <c r="F480" s="331">
        <f>SUMIFS(DATA!$M:$M,DATA!$C:$C,$B480,DATA!$N:$N,"&gt;="&amp;DATE(F$5,1,1),DATA!$N:$N,"&lt;="&amp;DATE(F$5,12,31))</f>
        <v/>
      </c>
      <c r="G480" s="331">
        <f>SUMIFS(DATA!$M:$M,DATA!$C:$C,$B480,DATA!$N:$N,"&gt;="&amp;DATE(G$5,1,1),DATA!$N:$N,"&lt;="&amp;DATE(G$5,12,31))</f>
        <v/>
      </c>
      <c r="H480" s="331">
        <f>SUMIFS(DATA!$M:$M,DATA!$C:$C,$B480,DATA!$N:$N,"&gt;="&amp;DATE(H$5,1,1),DATA!$N:$N,"&lt;="&amp;DATE(H$5,12,31))</f>
        <v/>
      </c>
      <c r="I480" s="331">
        <f>SUMIFS(DATA!$M:$M,DATA!$C:$C,$B480,DATA!$N:$N,"&gt;="&amp;DATE(I$5,1,1),DATA!$N:$N,"&lt;="&amp;DATE(I$5,12,31))</f>
        <v/>
      </c>
      <c r="J480" s="332">
        <f>SUM(C480:I480)</f>
        <v/>
      </c>
      <c r="K480" s="333">
        <f>J480/$J$506</f>
        <v/>
      </c>
    </row>
    <row r="481" hidden="1" outlineLevel="1" ht="32.25" customHeight="1">
      <c r="A481" s="48" t="n">
        <v>476</v>
      </c>
      <c r="B481" s="107" t="n"/>
      <c r="C481" s="331">
        <f>SUMIFS(DATA!$M:$M,DATA!$C:$C,$B481,DATA!$N:$N,"&gt;="&amp;DATE(C$5,1,1),DATA!$N:$N,"&lt;="&amp;DATE(C$5,12,31))</f>
        <v/>
      </c>
      <c r="D481" s="331">
        <f>SUMIFS(DATA!$M:$M,DATA!$C:$C,$B481,DATA!$N:$N,"&gt;="&amp;DATE(D$5,1,1),DATA!$N:$N,"&lt;="&amp;DATE(D$5,12,31))</f>
        <v/>
      </c>
      <c r="E481" s="331">
        <f>SUMIFS(DATA!$M:$M,DATA!$C:$C,$B481,DATA!$N:$N,"&gt;="&amp;DATE(E$5,1,1),DATA!$N:$N,"&lt;="&amp;DATE(E$5,12,31))</f>
        <v/>
      </c>
      <c r="F481" s="331">
        <f>SUMIFS(DATA!$M:$M,DATA!$C:$C,$B481,DATA!$N:$N,"&gt;="&amp;DATE(F$5,1,1),DATA!$N:$N,"&lt;="&amp;DATE(F$5,12,31))</f>
        <v/>
      </c>
      <c r="G481" s="331">
        <f>SUMIFS(DATA!$M:$M,DATA!$C:$C,$B481,DATA!$N:$N,"&gt;="&amp;DATE(G$5,1,1),DATA!$N:$N,"&lt;="&amp;DATE(G$5,12,31))</f>
        <v/>
      </c>
      <c r="H481" s="331">
        <f>SUMIFS(DATA!$M:$M,DATA!$C:$C,$B481,DATA!$N:$N,"&gt;="&amp;DATE(H$5,1,1),DATA!$N:$N,"&lt;="&amp;DATE(H$5,12,31))</f>
        <v/>
      </c>
      <c r="I481" s="331">
        <f>SUMIFS(DATA!$M:$M,DATA!$C:$C,$B481,DATA!$N:$N,"&gt;="&amp;DATE(I$5,1,1),DATA!$N:$N,"&lt;="&amp;DATE(I$5,12,31))</f>
        <v/>
      </c>
      <c r="J481" s="332">
        <f>SUM(C481:I481)</f>
        <v/>
      </c>
      <c r="K481" s="333">
        <f>J481/$J$506</f>
        <v/>
      </c>
    </row>
    <row r="482" hidden="1" outlineLevel="1" ht="32.25" customHeight="1">
      <c r="A482" s="48" t="n">
        <v>477</v>
      </c>
      <c r="B482" s="107" t="n"/>
      <c r="C482" s="331">
        <f>SUMIFS(DATA!$M:$M,DATA!$C:$C,$B482,DATA!$N:$N,"&gt;="&amp;DATE(C$5,1,1),DATA!$N:$N,"&lt;="&amp;DATE(C$5,12,31))</f>
        <v/>
      </c>
      <c r="D482" s="331">
        <f>SUMIFS(DATA!$M:$M,DATA!$C:$C,$B482,DATA!$N:$N,"&gt;="&amp;DATE(D$5,1,1),DATA!$N:$N,"&lt;="&amp;DATE(D$5,12,31))</f>
        <v/>
      </c>
      <c r="E482" s="331">
        <f>SUMIFS(DATA!$M:$M,DATA!$C:$C,$B482,DATA!$N:$N,"&gt;="&amp;DATE(E$5,1,1),DATA!$N:$N,"&lt;="&amp;DATE(E$5,12,31))</f>
        <v/>
      </c>
      <c r="F482" s="331">
        <f>SUMIFS(DATA!$M:$M,DATA!$C:$C,$B482,DATA!$N:$N,"&gt;="&amp;DATE(F$5,1,1),DATA!$N:$N,"&lt;="&amp;DATE(F$5,12,31))</f>
        <v/>
      </c>
      <c r="G482" s="331">
        <f>SUMIFS(DATA!$M:$M,DATA!$C:$C,$B482,DATA!$N:$N,"&gt;="&amp;DATE(G$5,1,1),DATA!$N:$N,"&lt;="&amp;DATE(G$5,12,31))</f>
        <v/>
      </c>
      <c r="H482" s="331">
        <f>SUMIFS(DATA!$M:$M,DATA!$C:$C,$B482,DATA!$N:$N,"&gt;="&amp;DATE(H$5,1,1),DATA!$N:$N,"&lt;="&amp;DATE(H$5,12,31))</f>
        <v/>
      </c>
      <c r="I482" s="331">
        <f>SUMIFS(DATA!$M:$M,DATA!$C:$C,$B482,DATA!$N:$N,"&gt;="&amp;DATE(I$5,1,1),DATA!$N:$N,"&lt;="&amp;DATE(I$5,12,31))</f>
        <v/>
      </c>
      <c r="J482" s="332">
        <f>SUM(C482:I482)</f>
        <v/>
      </c>
      <c r="K482" s="333">
        <f>J482/$J$506</f>
        <v/>
      </c>
    </row>
    <row r="483" hidden="1" outlineLevel="1" ht="32.25" customHeight="1">
      <c r="A483" s="48" t="n">
        <v>478</v>
      </c>
      <c r="B483" s="107" t="n"/>
      <c r="C483" s="331">
        <f>SUMIFS(DATA!$M:$M,DATA!$C:$C,$B483,DATA!$N:$N,"&gt;="&amp;DATE(C$5,1,1),DATA!$N:$N,"&lt;="&amp;DATE(C$5,12,31))</f>
        <v/>
      </c>
      <c r="D483" s="331">
        <f>SUMIFS(DATA!$M:$M,DATA!$C:$C,$B483,DATA!$N:$N,"&gt;="&amp;DATE(D$5,1,1),DATA!$N:$N,"&lt;="&amp;DATE(D$5,12,31))</f>
        <v/>
      </c>
      <c r="E483" s="331">
        <f>SUMIFS(DATA!$M:$M,DATA!$C:$C,$B483,DATA!$N:$N,"&gt;="&amp;DATE(E$5,1,1),DATA!$N:$N,"&lt;="&amp;DATE(E$5,12,31))</f>
        <v/>
      </c>
      <c r="F483" s="331">
        <f>SUMIFS(DATA!$M:$M,DATA!$C:$C,$B483,DATA!$N:$N,"&gt;="&amp;DATE(F$5,1,1),DATA!$N:$N,"&lt;="&amp;DATE(F$5,12,31))</f>
        <v/>
      </c>
      <c r="G483" s="331">
        <f>SUMIFS(DATA!$M:$M,DATA!$C:$C,$B483,DATA!$N:$N,"&gt;="&amp;DATE(G$5,1,1),DATA!$N:$N,"&lt;="&amp;DATE(G$5,12,31))</f>
        <v/>
      </c>
      <c r="H483" s="331">
        <f>SUMIFS(DATA!$M:$M,DATA!$C:$C,$B483,DATA!$N:$N,"&gt;="&amp;DATE(H$5,1,1),DATA!$N:$N,"&lt;="&amp;DATE(H$5,12,31))</f>
        <v/>
      </c>
      <c r="I483" s="331">
        <f>SUMIFS(DATA!$M:$M,DATA!$C:$C,$B483,DATA!$N:$N,"&gt;="&amp;DATE(I$5,1,1),DATA!$N:$N,"&lt;="&amp;DATE(I$5,12,31))</f>
        <v/>
      </c>
      <c r="J483" s="332">
        <f>SUM(C483:I483)</f>
        <v/>
      </c>
      <c r="K483" s="333">
        <f>J483/$J$506</f>
        <v/>
      </c>
    </row>
    <row r="484" hidden="1" outlineLevel="1" ht="32.25" customHeight="1">
      <c r="A484" s="48" t="n">
        <v>479</v>
      </c>
      <c r="B484" s="107" t="n"/>
      <c r="C484" s="331">
        <f>SUMIFS(DATA!$M:$M,DATA!$C:$C,$B484,DATA!$N:$N,"&gt;="&amp;DATE(C$5,1,1),DATA!$N:$N,"&lt;="&amp;DATE(C$5,12,31))</f>
        <v/>
      </c>
      <c r="D484" s="331">
        <f>SUMIFS(DATA!$M:$M,DATA!$C:$C,$B484,DATA!$N:$N,"&gt;="&amp;DATE(D$5,1,1),DATA!$N:$N,"&lt;="&amp;DATE(D$5,12,31))</f>
        <v/>
      </c>
      <c r="E484" s="331">
        <f>SUMIFS(DATA!$M:$M,DATA!$C:$C,$B484,DATA!$N:$N,"&gt;="&amp;DATE(E$5,1,1),DATA!$N:$N,"&lt;="&amp;DATE(E$5,12,31))</f>
        <v/>
      </c>
      <c r="F484" s="331">
        <f>SUMIFS(DATA!$M:$M,DATA!$C:$C,$B484,DATA!$N:$N,"&gt;="&amp;DATE(F$5,1,1),DATA!$N:$N,"&lt;="&amp;DATE(F$5,12,31))</f>
        <v/>
      </c>
      <c r="G484" s="331">
        <f>SUMIFS(DATA!$M:$M,DATA!$C:$C,$B484,DATA!$N:$N,"&gt;="&amp;DATE(G$5,1,1),DATA!$N:$N,"&lt;="&amp;DATE(G$5,12,31))</f>
        <v/>
      </c>
      <c r="H484" s="331">
        <f>SUMIFS(DATA!$M:$M,DATA!$C:$C,$B484,DATA!$N:$N,"&gt;="&amp;DATE(H$5,1,1),DATA!$N:$N,"&lt;="&amp;DATE(H$5,12,31))</f>
        <v/>
      </c>
      <c r="I484" s="331">
        <f>SUMIFS(DATA!$M:$M,DATA!$C:$C,$B484,DATA!$N:$N,"&gt;="&amp;DATE(I$5,1,1),DATA!$N:$N,"&lt;="&amp;DATE(I$5,12,31))</f>
        <v/>
      </c>
      <c r="J484" s="332">
        <f>SUM(C484:I484)</f>
        <v/>
      </c>
      <c r="K484" s="333">
        <f>J484/$J$506</f>
        <v/>
      </c>
    </row>
    <row r="485" hidden="1" outlineLevel="1" ht="32.25" customHeight="1">
      <c r="A485" s="48" t="n">
        <v>480</v>
      </c>
      <c r="B485" s="107" t="n"/>
      <c r="C485" s="331">
        <f>SUMIFS(DATA!$M:$M,DATA!$C:$C,$B485,DATA!$N:$N,"&gt;="&amp;DATE(C$5,1,1),DATA!$N:$N,"&lt;="&amp;DATE(C$5,12,31))</f>
        <v/>
      </c>
      <c r="D485" s="331">
        <f>SUMIFS(DATA!$M:$M,DATA!$C:$C,$B485,DATA!$N:$N,"&gt;="&amp;DATE(D$5,1,1),DATA!$N:$N,"&lt;="&amp;DATE(D$5,12,31))</f>
        <v/>
      </c>
      <c r="E485" s="331">
        <f>SUMIFS(DATA!$M:$M,DATA!$C:$C,$B485,DATA!$N:$N,"&gt;="&amp;DATE(E$5,1,1),DATA!$N:$N,"&lt;="&amp;DATE(E$5,12,31))</f>
        <v/>
      </c>
      <c r="F485" s="331">
        <f>SUMIFS(DATA!$M:$M,DATA!$C:$C,$B485,DATA!$N:$N,"&gt;="&amp;DATE(F$5,1,1),DATA!$N:$N,"&lt;="&amp;DATE(F$5,12,31))</f>
        <v/>
      </c>
      <c r="G485" s="331">
        <f>SUMIFS(DATA!$M:$M,DATA!$C:$C,$B485,DATA!$N:$N,"&gt;="&amp;DATE(G$5,1,1),DATA!$N:$N,"&lt;="&amp;DATE(G$5,12,31))</f>
        <v/>
      </c>
      <c r="H485" s="331">
        <f>SUMIFS(DATA!$M:$M,DATA!$C:$C,$B485,DATA!$N:$N,"&gt;="&amp;DATE(H$5,1,1),DATA!$N:$N,"&lt;="&amp;DATE(H$5,12,31))</f>
        <v/>
      </c>
      <c r="I485" s="331">
        <f>SUMIFS(DATA!$M:$M,DATA!$C:$C,$B485,DATA!$N:$N,"&gt;="&amp;DATE(I$5,1,1),DATA!$N:$N,"&lt;="&amp;DATE(I$5,12,31))</f>
        <v/>
      </c>
      <c r="J485" s="332">
        <f>SUM(C485:I485)</f>
        <v/>
      </c>
      <c r="K485" s="333">
        <f>J485/$J$506</f>
        <v/>
      </c>
    </row>
    <row r="486" hidden="1" outlineLevel="1" ht="32.25" customHeight="1">
      <c r="A486" s="48" t="n">
        <v>481</v>
      </c>
      <c r="B486" s="107" t="n"/>
      <c r="C486" s="331">
        <f>SUMIFS(DATA!$M:$M,DATA!$C:$C,$B486,DATA!$N:$N,"&gt;="&amp;DATE(C$5,1,1),DATA!$N:$N,"&lt;="&amp;DATE(C$5,12,31))</f>
        <v/>
      </c>
      <c r="D486" s="331">
        <f>SUMIFS(DATA!$M:$M,DATA!$C:$C,$B486,DATA!$N:$N,"&gt;="&amp;DATE(D$5,1,1),DATA!$N:$N,"&lt;="&amp;DATE(D$5,12,31))</f>
        <v/>
      </c>
      <c r="E486" s="331">
        <f>SUMIFS(DATA!$M:$M,DATA!$C:$C,$B486,DATA!$N:$N,"&gt;="&amp;DATE(E$5,1,1),DATA!$N:$N,"&lt;="&amp;DATE(E$5,12,31))</f>
        <v/>
      </c>
      <c r="F486" s="331">
        <f>SUMIFS(DATA!$M:$M,DATA!$C:$C,$B486,DATA!$N:$N,"&gt;="&amp;DATE(F$5,1,1),DATA!$N:$N,"&lt;="&amp;DATE(F$5,12,31))</f>
        <v/>
      </c>
      <c r="G486" s="331">
        <f>SUMIFS(DATA!$M:$M,DATA!$C:$C,$B486,DATA!$N:$N,"&gt;="&amp;DATE(G$5,1,1),DATA!$N:$N,"&lt;="&amp;DATE(G$5,12,31))</f>
        <v/>
      </c>
      <c r="H486" s="331">
        <f>SUMIFS(DATA!$M:$M,DATA!$C:$C,$B486,DATA!$N:$N,"&gt;="&amp;DATE(H$5,1,1),DATA!$N:$N,"&lt;="&amp;DATE(H$5,12,31))</f>
        <v/>
      </c>
      <c r="I486" s="331">
        <f>SUMIFS(DATA!$M:$M,DATA!$C:$C,$B486,DATA!$N:$N,"&gt;="&amp;DATE(I$5,1,1),DATA!$N:$N,"&lt;="&amp;DATE(I$5,12,31))</f>
        <v/>
      </c>
      <c r="J486" s="332">
        <f>SUM(C486:I486)</f>
        <v/>
      </c>
      <c r="K486" s="333">
        <f>J486/$J$506</f>
        <v/>
      </c>
    </row>
    <row r="487" hidden="1" outlineLevel="1" ht="32.25" customHeight="1">
      <c r="A487" s="48" t="n">
        <v>482</v>
      </c>
      <c r="B487" s="107" t="n"/>
      <c r="C487" s="331">
        <f>SUMIFS(DATA!$M:$M,DATA!$C:$C,$B487,DATA!$N:$N,"&gt;="&amp;DATE(C$5,1,1),DATA!$N:$N,"&lt;="&amp;DATE(C$5,12,31))</f>
        <v/>
      </c>
      <c r="D487" s="331">
        <f>SUMIFS(DATA!$M:$M,DATA!$C:$C,$B487,DATA!$N:$N,"&gt;="&amp;DATE(D$5,1,1),DATA!$N:$N,"&lt;="&amp;DATE(D$5,12,31))</f>
        <v/>
      </c>
      <c r="E487" s="331">
        <f>SUMIFS(DATA!$M:$M,DATA!$C:$C,$B487,DATA!$N:$N,"&gt;="&amp;DATE(E$5,1,1),DATA!$N:$N,"&lt;="&amp;DATE(E$5,12,31))</f>
        <v/>
      </c>
      <c r="F487" s="331">
        <f>SUMIFS(DATA!$M:$M,DATA!$C:$C,$B487,DATA!$N:$N,"&gt;="&amp;DATE(F$5,1,1),DATA!$N:$N,"&lt;="&amp;DATE(F$5,12,31))</f>
        <v/>
      </c>
      <c r="G487" s="331">
        <f>SUMIFS(DATA!$M:$M,DATA!$C:$C,$B487,DATA!$N:$N,"&gt;="&amp;DATE(G$5,1,1),DATA!$N:$N,"&lt;="&amp;DATE(G$5,12,31))</f>
        <v/>
      </c>
      <c r="H487" s="331">
        <f>SUMIFS(DATA!$M:$M,DATA!$C:$C,$B487,DATA!$N:$N,"&gt;="&amp;DATE(H$5,1,1),DATA!$N:$N,"&lt;="&amp;DATE(H$5,12,31))</f>
        <v/>
      </c>
      <c r="I487" s="331">
        <f>SUMIFS(DATA!$M:$M,DATA!$C:$C,$B487,DATA!$N:$N,"&gt;="&amp;DATE(I$5,1,1),DATA!$N:$N,"&lt;="&amp;DATE(I$5,12,31))</f>
        <v/>
      </c>
      <c r="J487" s="332">
        <f>SUM(C487:I487)</f>
        <v/>
      </c>
      <c r="K487" s="333">
        <f>J487/$J$506</f>
        <v/>
      </c>
    </row>
    <row r="488" hidden="1" outlineLevel="1" ht="32.25" customHeight="1">
      <c r="A488" s="48" t="n">
        <v>483</v>
      </c>
      <c r="B488" s="107" t="n"/>
      <c r="C488" s="331">
        <f>SUMIFS(DATA!$M:$M,DATA!$C:$C,$B488,DATA!$N:$N,"&gt;="&amp;DATE(C$5,1,1),DATA!$N:$N,"&lt;="&amp;DATE(C$5,12,31))</f>
        <v/>
      </c>
      <c r="D488" s="331">
        <f>SUMIFS(DATA!$M:$M,DATA!$C:$C,$B488,DATA!$N:$N,"&gt;="&amp;DATE(D$5,1,1),DATA!$N:$N,"&lt;="&amp;DATE(D$5,12,31))</f>
        <v/>
      </c>
      <c r="E488" s="331">
        <f>SUMIFS(DATA!$M:$M,DATA!$C:$C,$B488,DATA!$N:$N,"&gt;="&amp;DATE(E$5,1,1),DATA!$N:$N,"&lt;="&amp;DATE(E$5,12,31))</f>
        <v/>
      </c>
      <c r="F488" s="331">
        <f>SUMIFS(DATA!$M:$M,DATA!$C:$C,$B488,DATA!$N:$N,"&gt;="&amp;DATE(F$5,1,1),DATA!$N:$N,"&lt;="&amp;DATE(F$5,12,31))</f>
        <v/>
      </c>
      <c r="G488" s="331">
        <f>SUMIFS(DATA!$M:$M,DATA!$C:$C,$B488,DATA!$N:$N,"&gt;="&amp;DATE(G$5,1,1),DATA!$N:$N,"&lt;="&amp;DATE(G$5,12,31))</f>
        <v/>
      </c>
      <c r="H488" s="331">
        <f>SUMIFS(DATA!$M:$M,DATA!$C:$C,$B488,DATA!$N:$N,"&gt;="&amp;DATE(H$5,1,1),DATA!$N:$N,"&lt;="&amp;DATE(H$5,12,31))</f>
        <v/>
      </c>
      <c r="I488" s="331">
        <f>SUMIFS(DATA!$M:$M,DATA!$C:$C,$B488,DATA!$N:$N,"&gt;="&amp;DATE(I$5,1,1),DATA!$N:$N,"&lt;="&amp;DATE(I$5,12,31))</f>
        <v/>
      </c>
      <c r="J488" s="332">
        <f>SUM(C488:I488)</f>
        <v/>
      </c>
      <c r="K488" s="333">
        <f>J488/$J$506</f>
        <v/>
      </c>
    </row>
    <row r="489" hidden="1" outlineLevel="1" ht="32.25" customHeight="1">
      <c r="A489" s="48" t="n">
        <v>484</v>
      </c>
      <c r="B489" s="107" t="n"/>
      <c r="C489" s="331">
        <f>SUMIFS(DATA!$M:$M,DATA!$C:$C,$B489,DATA!$N:$N,"&gt;="&amp;DATE(C$5,1,1),DATA!$N:$N,"&lt;="&amp;DATE(C$5,12,31))</f>
        <v/>
      </c>
      <c r="D489" s="331">
        <f>SUMIFS(DATA!$M:$M,DATA!$C:$C,$B489,DATA!$N:$N,"&gt;="&amp;DATE(D$5,1,1),DATA!$N:$N,"&lt;="&amp;DATE(D$5,12,31))</f>
        <v/>
      </c>
      <c r="E489" s="331">
        <f>SUMIFS(DATA!$M:$M,DATA!$C:$C,$B489,DATA!$N:$N,"&gt;="&amp;DATE(E$5,1,1),DATA!$N:$N,"&lt;="&amp;DATE(E$5,12,31))</f>
        <v/>
      </c>
      <c r="F489" s="331">
        <f>SUMIFS(DATA!$M:$M,DATA!$C:$C,$B489,DATA!$N:$N,"&gt;="&amp;DATE(F$5,1,1),DATA!$N:$N,"&lt;="&amp;DATE(F$5,12,31))</f>
        <v/>
      </c>
      <c r="G489" s="331">
        <f>SUMIFS(DATA!$M:$M,DATA!$C:$C,$B489,DATA!$N:$N,"&gt;="&amp;DATE(G$5,1,1),DATA!$N:$N,"&lt;="&amp;DATE(G$5,12,31))</f>
        <v/>
      </c>
      <c r="H489" s="331">
        <f>SUMIFS(DATA!$M:$M,DATA!$C:$C,$B489,DATA!$N:$N,"&gt;="&amp;DATE(H$5,1,1),DATA!$N:$N,"&lt;="&amp;DATE(H$5,12,31))</f>
        <v/>
      </c>
      <c r="I489" s="331">
        <f>SUMIFS(DATA!$M:$M,DATA!$C:$C,$B489,DATA!$N:$N,"&gt;="&amp;DATE(I$5,1,1),DATA!$N:$N,"&lt;="&amp;DATE(I$5,12,31))</f>
        <v/>
      </c>
      <c r="J489" s="332">
        <f>SUM(C489:I489)</f>
        <v/>
      </c>
      <c r="K489" s="333">
        <f>J489/$J$506</f>
        <v/>
      </c>
    </row>
    <row r="490" hidden="1" outlineLevel="1" ht="32.25" customHeight="1">
      <c r="A490" s="48" t="n">
        <v>485</v>
      </c>
      <c r="B490" s="107" t="n"/>
      <c r="C490" s="331">
        <f>SUMIFS(DATA!$M:$M,DATA!$C:$C,$B490,DATA!$N:$N,"&gt;="&amp;DATE(C$5,1,1),DATA!$N:$N,"&lt;="&amp;DATE(C$5,12,31))</f>
        <v/>
      </c>
      <c r="D490" s="331">
        <f>SUMIFS(DATA!$M:$M,DATA!$C:$C,$B490,DATA!$N:$N,"&gt;="&amp;DATE(D$5,1,1),DATA!$N:$N,"&lt;="&amp;DATE(D$5,12,31))</f>
        <v/>
      </c>
      <c r="E490" s="331">
        <f>SUMIFS(DATA!$M:$M,DATA!$C:$C,$B490,DATA!$N:$N,"&gt;="&amp;DATE(E$5,1,1),DATA!$N:$N,"&lt;="&amp;DATE(E$5,12,31))</f>
        <v/>
      </c>
      <c r="F490" s="331">
        <f>SUMIFS(DATA!$M:$M,DATA!$C:$C,$B490,DATA!$N:$N,"&gt;="&amp;DATE(F$5,1,1),DATA!$N:$N,"&lt;="&amp;DATE(F$5,12,31))</f>
        <v/>
      </c>
      <c r="G490" s="331">
        <f>SUMIFS(DATA!$M:$M,DATA!$C:$C,$B490,DATA!$N:$N,"&gt;="&amp;DATE(G$5,1,1),DATA!$N:$N,"&lt;="&amp;DATE(G$5,12,31))</f>
        <v/>
      </c>
      <c r="H490" s="331">
        <f>SUMIFS(DATA!$M:$M,DATA!$C:$C,$B490,DATA!$N:$N,"&gt;="&amp;DATE(H$5,1,1),DATA!$N:$N,"&lt;="&amp;DATE(H$5,12,31))</f>
        <v/>
      </c>
      <c r="I490" s="331">
        <f>SUMIFS(DATA!$M:$M,DATA!$C:$C,$B490,DATA!$N:$N,"&gt;="&amp;DATE(I$5,1,1),DATA!$N:$N,"&lt;="&amp;DATE(I$5,12,31))</f>
        <v/>
      </c>
      <c r="J490" s="332">
        <f>SUM(C490:I490)</f>
        <v/>
      </c>
      <c r="K490" s="333">
        <f>J490/$J$506</f>
        <v/>
      </c>
    </row>
    <row r="491" hidden="1" outlineLevel="1" ht="32.25" customHeight="1">
      <c r="A491" s="48" t="n">
        <v>486</v>
      </c>
      <c r="B491" s="107" t="n"/>
      <c r="C491" s="331">
        <f>SUMIFS(DATA!$M:$M,DATA!$C:$C,$B491,DATA!$N:$N,"&gt;="&amp;DATE(C$5,1,1),DATA!$N:$N,"&lt;="&amp;DATE(C$5,12,31))</f>
        <v/>
      </c>
      <c r="D491" s="331">
        <f>SUMIFS(DATA!$M:$M,DATA!$C:$C,$B491,DATA!$N:$N,"&gt;="&amp;DATE(D$5,1,1),DATA!$N:$N,"&lt;="&amp;DATE(D$5,12,31))</f>
        <v/>
      </c>
      <c r="E491" s="331">
        <f>SUMIFS(DATA!$M:$M,DATA!$C:$C,$B491,DATA!$N:$N,"&gt;="&amp;DATE(E$5,1,1),DATA!$N:$N,"&lt;="&amp;DATE(E$5,12,31))</f>
        <v/>
      </c>
      <c r="F491" s="331">
        <f>SUMIFS(DATA!$M:$M,DATA!$C:$C,$B491,DATA!$N:$N,"&gt;="&amp;DATE(F$5,1,1),DATA!$N:$N,"&lt;="&amp;DATE(F$5,12,31))</f>
        <v/>
      </c>
      <c r="G491" s="331">
        <f>SUMIFS(DATA!$M:$M,DATA!$C:$C,$B491,DATA!$N:$N,"&gt;="&amp;DATE(G$5,1,1),DATA!$N:$N,"&lt;="&amp;DATE(G$5,12,31))</f>
        <v/>
      </c>
      <c r="H491" s="331">
        <f>SUMIFS(DATA!$M:$M,DATA!$C:$C,$B491,DATA!$N:$N,"&gt;="&amp;DATE(H$5,1,1),DATA!$N:$N,"&lt;="&amp;DATE(H$5,12,31))</f>
        <v/>
      </c>
      <c r="I491" s="331">
        <f>SUMIFS(DATA!$M:$M,DATA!$C:$C,$B491,DATA!$N:$N,"&gt;="&amp;DATE(I$5,1,1),DATA!$N:$N,"&lt;="&amp;DATE(I$5,12,31))</f>
        <v/>
      </c>
      <c r="J491" s="332">
        <f>SUM(C491:I491)</f>
        <v/>
      </c>
      <c r="K491" s="333">
        <f>J491/$J$506</f>
        <v/>
      </c>
    </row>
    <row r="492" hidden="1" outlineLevel="1" ht="32.25" customHeight="1">
      <c r="A492" s="48" t="n">
        <v>487</v>
      </c>
      <c r="B492" s="107" t="n"/>
      <c r="C492" s="331">
        <f>SUMIFS(DATA!$M:$M,DATA!$C:$C,$B492,DATA!$N:$N,"&gt;="&amp;DATE(C$5,1,1),DATA!$N:$N,"&lt;="&amp;DATE(C$5,12,31))</f>
        <v/>
      </c>
      <c r="D492" s="331">
        <f>SUMIFS(DATA!$M:$M,DATA!$C:$C,$B492,DATA!$N:$N,"&gt;="&amp;DATE(D$5,1,1),DATA!$N:$N,"&lt;="&amp;DATE(D$5,12,31))</f>
        <v/>
      </c>
      <c r="E492" s="331">
        <f>SUMIFS(DATA!$M:$M,DATA!$C:$C,$B492,DATA!$N:$N,"&gt;="&amp;DATE(E$5,1,1),DATA!$N:$N,"&lt;="&amp;DATE(E$5,12,31))</f>
        <v/>
      </c>
      <c r="F492" s="331">
        <f>SUMIFS(DATA!$M:$M,DATA!$C:$C,$B492,DATA!$N:$N,"&gt;="&amp;DATE(F$5,1,1),DATA!$N:$N,"&lt;="&amp;DATE(F$5,12,31))</f>
        <v/>
      </c>
      <c r="G492" s="331">
        <f>SUMIFS(DATA!$M:$M,DATA!$C:$C,$B492,DATA!$N:$N,"&gt;="&amp;DATE(G$5,1,1),DATA!$N:$N,"&lt;="&amp;DATE(G$5,12,31))</f>
        <v/>
      </c>
      <c r="H492" s="331">
        <f>SUMIFS(DATA!$M:$M,DATA!$C:$C,$B492,DATA!$N:$N,"&gt;="&amp;DATE(H$5,1,1),DATA!$N:$N,"&lt;="&amp;DATE(H$5,12,31))</f>
        <v/>
      </c>
      <c r="I492" s="331">
        <f>SUMIFS(DATA!$M:$M,DATA!$C:$C,$B492,DATA!$N:$N,"&gt;="&amp;DATE(I$5,1,1),DATA!$N:$N,"&lt;="&amp;DATE(I$5,12,31))</f>
        <v/>
      </c>
      <c r="J492" s="332">
        <f>SUM(C492:I492)</f>
        <v/>
      </c>
      <c r="K492" s="333">
        <f>J492/$J$506</f>
        <v/>
      </c>
    </row>
    <row r="493" hidden="1" outlineLevel="1" ht="32.25" customHeight="1">
      <c r="A493" s="48" t="n">
        <v>488</v>
      </c>
      <c r="B493" s="107" t="n"/>
      <c r="C493" s="331">
        <f>SUMIFS(DATA!$M:$M,DATA!$C:$C,$B493,DATA!$N:$N,"&gt;="&amp;DATE(C$5,1,1),DATA!$N:$N,"&lt;="&amp;DATE(C$5,12,31))</f>
        <v/>
      </c>
      <c r="D493" s="331">
        <f>SUMIFS(DATA!$M:$M,DATA!$C:$C,$B493,DATA!$N:$N,"&gt;="&amp;DATE(D$5,1,1),DATA!$N:$N,"&lt;="&amp;DATE(D$5,12,31))</f>
        <v/>
      </c>
      <c r="E493" s="331">
        <f>SUMIFS(DATA!$M:$M,DATA!$C:$C,$B493,DATA!$N:$N,"&gt;="&amp;DATE(E$5,1,1),DATA!$N:$N,"&lt;="&amp;DATE(E$5,12,31))</f>
        <v/>
      </c>
      <c r="F493" s="331">
        <f>SUMIFS(DATA!$M:$M,DATA!$C:$C,$B493,DATA!$N:$N,"&gt;="&amp;DATE(F$5,1,1),DATA!$N:$N,"&lt;="&amp;DATE(F$5,12,31))</f>
        <v/>
      </c>
      <c r="G493" s="331">
        <f>SUMIFS(DATA!$M:$M,DATA!$C:$C,$B493,DATA!$N:$N,"&gt;="&amp;DATE(G$5,1,1),DATA!$N:$N,"&lt;="&amp;DATE(G$5,12,31))</f>
        <v/>
      </c>
      <c r="H493" s="331">
        <f>SUMIFS(DATA!$M:$M,DATA!$C:$C,$B493,DATA!$N:$N,"&gt;="&amp;DATE(H$5,1,1),DATA!$N:$N,"&lt;="&amp;DATE(H$5,12,31))</f>
        <v/>
      </c>
      <c r="I493" s="331">
        <f>SUMIFS(DATA!$M:$M,DATA!$C:$C,$B493,DATA!$N:$N,"&gt;="&amp;DATE(I$5,1,1),DATA!$N:$N,"&lt;="&amp;DATE(I$5,12,31))</f>
        <v/>
      </c>
      <c r="J493" s="332">
        <f>SUM(C493:I493)</f>
        <v/>
      </c>
      <c r="K493" s="333">
        <f>J493/$J$506</f>
        <v/>
      </c>
    </row>
    <row r="494" hidden="1" outlineLevel="1" ht="32.25" customHeight="1">
      <c r="A494" s="48" t="n">
        <v>489</v>
      </c>
      <c r="B494" s="107" t="n"/>
      <c r="C494" s="331">
        <f>SUMIFS(DATA!$M:$M,DATA!$C:$C,$B494,DATA!$N:$N,"&gt;="&amp;DATE(C$5,1,1),DATA!$N:$N,"&lt;="&amp;DATE(C$5,12,31))</f>
        <v/>
      </c>
      <c r="D494" s="331">
        <f>SUMIFS(DATA!$M:$M,DATA!$C:$C,$B494,DATA!$N:$N,"&gt;="&amp;DATE(D$5,1,1),DATA!$N:$N,"&lt;="&amp;DATE(D$5,12,31))</f>
        <v/>
      </c>
      <c r="E494" s="331">
        <f>SUMIFS(DATA!$M:$M,DATA!$C:$C,$B494,DATA!$N:$N,"&gt;="&amp;DATE(E$5,1,1),DATA!$N:$N,"&lt;="&amp;DATE(E$5,12,31))</f>
        <v/>
      </c>
      <c r="F494" s="331">
        <f>SUMIFS(DATA!$M:$M,DATA!$C:$C,$B494,DATA!$N:$N,"&gt;="&amp;DATE(F$5,1,1),DATA!$N:$N,"&lt;="&amp;DATE(F$5,12,31))</f>
        <v/>
      </c>
      <c r="G494" s="331">
        <f>SUMIFS(DATA!$M:$M,DATA!$C:$C,$B494,DATA!$N:$N,"&gt;="&amp;DATE(G$5,1,1),DATA!$N:$N,"&lt;="&amp;DATE(G$5,12,31))</f>
        <v/>
      </c>
      <c r="H494" s="331">
        <f>SUMIFS(DATA!$M:$M,DATA!$C:$C,$B494,DATA!$N:$N,"&gt;="&amp;DATE(H$5,1,1),DATA!$N:$N,"&lt;="&amp;DATE(H$5,12,31))</f>
        <v/>
      </c>
      <c r="I494" s="331">
        <f>SUMIFS(DATA!$M:$M,DATA!$C:$C,$B494,DATA!$N:$N,"&gt;="&amp;DATE(I$5,1,1),DATA!$N:$N,"&lt;="&amp;DATE(I$5,12,31))</f>
        <v/>
      </c>
      <c r="J494" s="332">
        <f>SUM(C494:I494)</f>
        <v/>
      </c>
      <c r="K494" s="333">
        <f>J494/$J$506</f>
        <v/>
      </c>
    </row>
    <row r="495" hidden="1" outlineLevel="1" ht="32.25" customHeight="1">
      <c r="A495" s="48" t="n">
        <v>490</v>
      </c>
      <c r="B495" s="107" t="n"/>
      <c r="C495" s="331">
        <f>SUMIFS(DATA!$M:$M,DATA!$C:$C,$B495,DATA!$N:$N,"&gt;="&amp;DATE(C$5,1,1),DATA!$N:$N,"&lt;="&amp;DATE(C$5,12,31))</f>
        <v/>
      </c>
      <c r="D495" s="331">
        <f>SUMIFS(DATA!$M:$M,DATA!$C:$C,$B495,DATA!$N:$N,"&gt;="&amp;DATE(D$5,1,1),DATA!$N:$N,"&lt;="&amp;DATE(D$5,12,31))</f>
        <v/>
      </c>
      <c r="E495" s="331">
        <f>SUMIFS(DATA!$M:$M,DATA!$C:$C,$B495,DATA!$N:$N,"&gt;="&amp;DATE(E$5,1,1),DATA!$N:$N,"&lt;="&amp;DATE(E$5,12,31))</f>
        <v/>
      </c>
      <c r="F495" s="331">
        <f>SUMIFS(DATA!$M:$M,DATA!$C:$C,$B495,DATA!$N:$N,"&gt;="&amp;DATE(F$5,1,1),DATA!$N:$N,"&lt;="&amp;DATE(F$5,12,31))</f>
        <v/>
      </c>
      <c r="G495" s="331">
        <f>SUMIFS(DATA!$M:$M,DATA!$C:$C,$B495,DATA!$N:$N,"&gt;="&amp;DATE(G$5,1,1),DATA!$N:$N,"&lt;="&amp;DATE(G$5,12,31))</f>
        <v/>
      </c>
      <c r="H495" s="331">
        <f>SUMIFS(DATA!$M:$M,DATA!$C:$C,$B495,DATA!$N:$N,"&gt;="&amp;DATE(H$5,1,1),DATA!$N:$N,"&lt;="&amp;DATE(H$5,12,31))</f>
        <v/>
      </c>
      <c r="I495" s="331">
        <f>SUMIFS(DATA!$M:$M,DATA!$C:$C,$B495,DATA!$N:$N,"&gt;="&amp;DATE(I$5,1,1),DATA!$N:$N,"&lt;="&amp;DATE(I$5,12,31))</f>
        <v/>
      </c>
      <c r="J495" s="332">
        <f>SUM(C495:I495)</f>
        <v/>
      </c>
      <c r="K495" s="333">
        <f>J495/$J$506</f>
        <v/>
      </c>
    </row>
    <row r="496" hidden="1" outlineLevel="1" ht="32.25" customHeight="1">
      <c r="A496" s="48" t="n">
        <v>491</v>
      </c>
      <c r="B496" s="107" t="n"/>
      <c r="C496" s="331">
        <f>SUMIFS(DATA!$M:$M,DATA!$C:$C,$B496,DATA!$N:$N,"&gt;="&amp;DATE(C$5,1,1),DATA!$N:$N,"&lt;="&amp;DATE(C$5,12,31))</f>
        <v/>
      </c>
      <c r="D496" s="331">
        <f>SUMIFS(DATA!$M:$M,DATA!$C:$C,$B496,DATA!$N:$N,"&gt;="&amp;DATE(D$5,1,1),DATA!$N:$N,"&lt;="&amp;DATE(D$5,12,31))</f>
        <v/>
      </c>
      <c r="E496" s="331">
        <f>SUMIFS(DATA!$M:$M,DATA!$C:$C,$B496,DATA!$N:$N,"&gt;="&amp;DATE(E$5,1,1),DATA!$N:$N,"&lt;="&amp;DATE(E$5,12,31))</f>
        <v/>
      </c>
      <c r="F496" s="331">
        <f>SUMIFS(DATA!$M:$M,DATA!$C:$C,$B496,DATA!$N:$N,"&gt;="&amp;DATE(F$5,1,1),DATA!$N:$N,"&lt;="&amp;DATE(F$5,12,31))</f>
        <v/>
      </c>
      <c r="G496" s="331">
        <f>SUMIFS(DATA!$M:$M,DATA!$C:$C,$B496,DATA!$N:$N,"&gt;="&amp;DATE(G$5,1,1),DATA!$N:$N,"&lt;="&amp;DATE(G$5,12,31))</f>
        <v/>
      </c>
      <c r="H496" s="331">
        <f>SUMIFS(DATA!$M:$M,DATA!$C:$C,$B496,DATA!$N:$N,"&gt;="&amp;DATE(H$5,1,1),DATA!$N:$N,"&lt;="&amp;DATE(H$5,12,31))</f>
        <v/>
      </c>
      <c r="I496" s="331">
        <f>SUMIFS(DATA!$M:$M,DATA!$C:$C,$B496,DATA!$N:$N,"&gt;="&amp;DATE(I$5,1,1),DATA!$N:$N,"&lt;="&amp;DATE(I$5,12,31))</f>
        <v/>
      </c>
      <c r="J496" s="332">
        <f>SUM(C496:I496)</f>
        <v/>
      </c>
      <c r="K496" s="333">
        <f>J496/$J$506</f>
        <v/>
      </c>
    </row>
    <row r="497" hidden="1" outlineLevel="1" ht="32.25" customHeight="1">
      <c r="A497" s="48" t="n">
        <v>492</v>
      </c>
      <c r="B497" s="107" t="n"/>
      <c r="C497" s="331">
        <f>SUMIFS(DATA!$M:$M,DATA!$C:$C,$B497,DATA!$N:$N,"&gt;="&amp;DATE(C$5,1,1),DATA!$N:$N,"&lt;="&amp;DATE(C$5,12,31))</f>
        <v/>
      </c>
      <c r="D497" s="331">
        <f>SUMIFS(DATA!$M:$M,DATA!$C:$C,$B497,DATA!$N:$N,"&gt;="&amp;DATE(D$5,1,1),DATA!$N:$N,"&lt;="&amp;DATE(D$5,12,31))</f>
        <v/>
      </c>
      <c r="E497" s="331">
        <f>SUMIFS(DATA!$M:$M,DATA!$C:$C,$B497,DATA!$N:$N,"&gt;="&amp;DATE(E$5,1,1),DATA!$N:$N,"&lt;="&amp;DATE(E$5,12,31))</f>
        <v/>
      </c>
      <c r="F497" s="331">
        <f>SUMIFS(DATA!$M:$M,DATA!$C:$C,$B497,DATA!$N:$N,"&gt;="&amp;DATE(F$5,1,1),DATA!$N:$N,"&lt;="&amp;DATE(F$5,12,31))</f>
        <v/>
      </c>
      <c r="G497" s="331">
        <f>SUMIFS(DATA!$M:$M,DATA!$C:$C,$B497,DATA!$N:$N,"&gt;="&amp;DATE(G$5,1,1),DATA!$N:$N,"&lt;="&amp;DATE(G$5,12,31))</f>
        <v/>
      </c>
      <c r="H497" s="331">
        <f>SUMIFS(DATA!$M:$M,DATA!$C:$C,$B497,DATA!$N:$N,"&gt;="&amp;DATE(H$5,1,1),DATA!$N:$N,"&lt;="&amp;DATE(H$5,12,31))</f>
        <v/>
      </c>
      <c r="I497" s="331">
        <f>SUMIFS(DATA!$M:$M,DATA!$C:$C,$B497,DATA!$N:$N,"&gt;="&amp;DATE(I$5,1,1),DATA!$N:$N,"&lt;="&amp;DATE(I$5,12,31))</f>
        <v/>
      </c>
      <c r="J497" s="332">
        <f>SUM(C497:I497)</f>
        <v/>
      </c>
      <c r="K497" s="333">
        <f>J497/$J$506</f>
        <v/>
      </c>
    </row>
    <row r="498" hidden="1" outlineLevel="1" ht="32.25" customHeight="1">
      <c r="A498" s="48" t="n">
        <v>493</v>
      </c>
      <c r="B498" s="107" t="n"/>
      <c r="C498" s="331">
        <f>SUMIFS(DATA!$M:$M,DATA!$C:$C,$B498,DATA!$N:$N,"&gt;="&amp;DATE(C$5,1,1),DATA!$N:$N,"&lt;="&amp;DATE(C$5,12,31))</f>
        <v/>
      </c>
      <c r="D498" s="331">
        <f>SUMIFS(DATA!$M:$M,DATA!$C:$C,$B498,DATA!$N:$N,"&gt;="&amp;DATE(D$5,1,1),DATA!$N:$N,"&lt;="&amp;DATE(D$5,12,31))</f>
        <v/>
      </c>
      <c r="E498" s="331">
        <f>SUMIFS(DATA!$M:$M,DATA!$C:$C,$B498,DATA!$N:$N,"&gt;="&amp;DATE(E$5,1,1),DATA!$N:$N,"&lt;="&amp;DATE(E$5,12,31))</f>
        <v/>
      </c>
      <c r="F498" s="331">
        <f>SUMIFS(DATA!$M:$M,DATA!$C:$C,$B498,DATA!$N:$N,"&gt;="&amp;DATE(F$5,1,1),DATA!$N:$N,"&lt;="&amp;DATE(F$5,12,31))</f>
        <v/>
      </c>
      <c r="G498" s="331">
        <f>SUMIFS(DATA!$M:$M,DATA!$C:$C,$B498,DATA!$N:$N,"&gt;="&amp;DATE(G$5,1,1),DATA!$N:$N,"&lt;="&amp;DATE(G$5,12,31))</f>
        <v/>
      </c>
      <c r="H498" s="331">
        <f>SUMIFS(DATA!$M:$M,DATA!$C:$C,$B498,DATA!$N:$N,"&gt;="&amp;DATE(H$5,1,1),DATA!$N:$N,"&lt;="&amp;DATE(H$5,12,31))</f>
        <v/>
      </c>
      <c r="I498" s="331">
        <f>SUMIFS(DATA!$M:$M,DATA!$C:$C,$B498,DATA!$N:$N,"&gt;="&amp;DATE(I$5,1,1),DATA!$N:$N,"&lt;="&amp;DATE(I$5,12,31))</f>
        <v/>
      </c>
      <c r="J498" s="332">
        <f>SUM(C498:I498)</f>
        <v/>
      </c>
      <c r="K498" s="333">
        <f>J498/$J$506</f>
        <v/>
      </c>
    </row>
    <row r="499" hidden="1" outlineLevel="1" ht="32.25" customHeight="1">
      <c r="A499" s="48" t="n">
        <v>494</v>
      </c>
      <c r="B499" s="107" t="n"/>
      <c r="C499" s="331">
        <f>SUMIFS(DATA!$M:$M,DATA!$C:$C,$B499,DATA!$N:$N,"&gt;="&amp;DATE(C$5,1,1),DATA!$N:$N,"&lt;="&amp;DATE(C$5,12,31))</f>
        <v/>
      </c>
      <c r="D499" s="331">
        <f>SUMIFS(DATA!$M:$M,DATA!$C:$C,$B499,DATA!$N:$N,"&gt;="&amp;DATE(D$5,1,1),DATA!$N:$N,"&lt;="&amp;DATE(D$5,12,31))</f>
        <v/>
      </c>
      <c r="E499" s="331">
        <f>SUMIFS(DATA!$M:$M,DATA!$C:$C,$B499,DATA!$N:$N,"&gt;="&amp;DATE(E$5,1,1),DATA!$N:$N,"&lt;="&amp;DATE(E$5,12,31))</f>
        <v/>
      </c>
      <c r="F499" s="331">
        <f>SUMIFS(DATA!$M:$M,DATA!$C:$C,$B499,DATA!$N:$N,"&gt;="&amp;DATE(F$5,1,1),DATA!$N:$N,"&lt;="&amp;DATE(F$5,12,31))</f>
        <v/>
      </c>
      <c r="G499" s="331">
        <f>SUMIFS(DATA!$M:$M,DATA!$C:$C,$B499,DATA!$N:$N,"&gt;="&amp;DATE(G$5,1,1),DATA!$N:$N,"&lt;="&amp;DATE(G$5,12,31))</f>
        <v/>
      </c>
      <c r="H499" s="331">
        <f>SUMIFS(DATA!$M:$M,DATA!$C:$C,$B499,DATA!$N:$N,"&gt;="&amp;DATE(H$5,1,1),DATA!$N:$N,"&lt;="&amp;DATE(H$5,12,31))</f>
        <v/>
      </c>
      <c r="I499" s="331">
        <f>SUMIFS(DATA!$M:$M,DATA!$C:$C,$B499,DATA!$N:$N,"&gt;="&amp;DATE(I$5,1,1),DATA!$N:$N,"&lt;="&amp;DATE(I$5,12,31))</f>
        <v/>
      </c>
      <c r="J499" s="332">
        <f>SUM(C499:I499)</f>
        <v/>
      </c>
      <c r="K499" s="333">
        <f>J499/$J$506</f>
        <v/>
      </c>
    </row>
    <row r="500" hidden="1" outlineLevel="1" ht="32.25" customHeight="1">
      <c r="A500" s="48" t="n">
        <v>495</v>
      </c>
      <c r="B500" s="107" t="n"/>
      <c r="C500" s="331">
        <f>SUMIFS(DATA!$M:$M,DATA!$C:$C,$B500,DATA!$N:$N,"&gt;="&amp;DATE(C$5,1,1),DATA!$N:$N,"&lt;="&amp;DATE(C$5,12,31))</f>
        <v/>
      </c>
      <c r="D500" s="331">
        <f>SUMIFS(DATA!$M:$M,DATA!$C:$C,$B500,DATA!$N:$N,"&gt;="&amp;DATE(D$5,1,1),DATA!$N:$N,"&lt;="&amp;DATE(D$5,12,31))</f>
        <v/>
      </c>
      <c r="E500" s="331">
        <f>SUMIFS(DATA!$M:$M,DATA!$C:$C,$B500,DATA!$N:$N,"&gt;="&amp;DATE(E$5,1,1),DATA!$N:$N,"&lt;="&amp;DATE(E$5,12,31))</f>
        <v/>
      </c>
      <c r="F500" s="331">
        <f>SUMIFS(DATA!$M:$M,DATA!$C:$C,$B500,DATA!$N:$N,"&gt;="&amp;DATE(F$5,1,1),DATA!$N:$N,"&lt;="&amp;DATE(F$5,12,31))</f>
        <v/>
      </c>
      <c r="G500" s="331">
        <f>SUMIFS(DATA!$M:$M,DATA!$C:$C,$B500,DATA!$N:$N,"&gt;="&amp;DATE(G$5,1,1),DATA!$N:$N,"&lt;="&amp;DATE(G$5,12,31))</f>
        <v/>
      </c>
      <c r="H500" s="331">
        <f>SUMIFS(DATA!$M:$M,DATA!$C:$C,$B500,DATA!$N:$N,"&gt;="&amp;DATE(H$5,1,1),DATA!$N:$N,"&lt;="&amp;DATE(H$5,12,31))</f>
        <v/>
      </c>
      <c r="I500" s="331">
        <f>SUMIFS(DATA!$M:$M,DATA!$C:$C,$B500,DATA!$N:$N,"&gt;="&amp;DATE(I$5,1,1),DATA!$N:$N,"&lt;="&amp;DATE(I$5,12,31))</f>
        <v/>
      </c>
      <c r="J500" s="332">
        <f>SUM(C500:I500)</f>
        <v/>
      </c>
      <c r="K500" s="333">
        <f>J500/$J$506</f>
        <v/>
      </c>
    </row>
    <row r="501" hidden="1" outlineLevel="1" ht="32.25" customHeight="1">
      <c r="A501" s="48" t="n">
        <v>496</v>
      </c>
      <c r="B501" s="107" t="n"/>
      <c r="C501" s="331">
        <f>SUMIFS(DATA!$M:$M,DATA!$C:$C,$B501,DATA!$N:$N,"&gt;="&amp;DATE(C$5,1,1),DATA!$N:$N,"&lt;="&amp;DATE(C$5,12,31))</f>
        <v/>
      </c>
      <c r="D501" s="331">
        <f>SUMIFS(DATA!$M:$M,DATA!$C:$C,$B501,DATA!$N:$N,"&gt;="&amp;DATE(D$5,1,1),DATA!$N:$N,"&lt;="&amp;DATE(D$5,12,31))</f>
        <v/>
      </c>
      <c r="E501" s="331">
        <f>SUMIFS(DATA!$M:$M,DATA!$C:$C,$B501,DATA!$N:$N,"&gt;="&amp;DATE(E$5,1,1),DATA!$N:$N,"&lt;="&amp;DATE(E$5,12,31))</f>
        <v/>
      </c>
      <c r="F501" s="331">
        <f>SUMIFS(DATA!$M:$M,DATA!$C:$C,$B501,DATA!$N:$N,"&gt;="&amp;DATE(F$5,1,1),DATA!$N:$N,"&lt;="&amp;DATE(F$5,12,31))</f>
        <v/>
      </c>
      <c r="G501" s="331">
        <f>SUMIFS(DATA!$M:$M,DATA!$C:$C,$B501,DATA!$N:$N,"&gt;="&amp;DATE(G$5,1,1),DATA!$N:$N,"&lt;="&amp;DATE(G$5,12,31))</f>
        <v/>
      </c>
      <c r="H501" s="331">
        <f>SUMIFS(DATA!$M:$M,DATA!$C:$C,$B501,DATA!$N:$N,"&gt;="&amp;DATE(H$5,1,1),DATA!$N:$N,"&lt;="&amp;DATE(H$5,12,31))</f>
        <v/>
      </c>
      <c r="I501" s="331">
        <f>SUMIFS(DATA!$M:$M,DATA!$C:$C,$B501,DATA!$N:$N,"&gt;="&amp;DATE(I$5,1,1),DATA!$N:$N,"&lt;="&amp;DATE(I$5,12,31))</f>
        <v/>
      </c>
      <c r="J501" s="332">
        <f>SUM(C501:I501)</f>
        <v/>
      </c>
      <c r="K501" s="333">
        <f>J501/$J$506</f>
        <v/>
      </c>
    </row>
    <row r="502" hidden="1" outlineLevel="1" ht="32.25" customHeight="1">
      <c r="A502" s="48" t="n">
        <v>497</v>
      </c>
      <c r="B502" s="107" t="n"/>
      <c r="C502" s="331">
        <f>SUMIFS(DATA!$M:$M,DATA!$C:$C,$B502,DATA!$N:$N,"&gt;="&amp;DATE(C$5,1,1),DATA!$N:$N,"&lt;="&amp;DATE(C$5,12,31))</f>
        <v/>
      </c>
      <c r="D502" s="331">
        <f>SUMIFS(DATA!$M:$M,DATA!$C:$C,$B502,DATA!$N:$N,"&gt;="&amp;DATE(D$5,1,1),DATA!$N:$N,"&lt;="&amp;DATE(D$5,12,31))</f>
        <v/>
      </c>
      <c r="E502" s="331">
        <f>SUMIFS(DATA!$M:$M,DATA!$C:$C,$B502,DATA!$N:$N,"&gt;="&amp;DATE(E$5,1,1),DATA!$N:$N,"&lt;="&amp;DATE(E$5,12,31))</f>
        <v/>
      </c>
      <c r="F502" s="331">
        <f>SUMIFS(DATA!$M:$M,DATA!$C:$C,$B502,DATA!$N:$N,"&gt;="&amp;DATE(F$5,1,1),DATA!$N:$N,"&lt;="&amp;DATE(F$5,12,31))</f>
        <v/>
      </c>
      <c r="G502" s="331">
        <f>SUMIFS(DATA!$M:$M,DATA!$C:$C,$B502,DATA!$N:$N,"&gt;="&amp;DATE(G$5,1,1),DATA!$N:$N,"&lt;="&amp;DATE(G$5,12,31))</f>
        <v/>
      </c>
      <c r="H502" s="331">
        <f>SUMIFS(DATA!$M:$M,DATA!$C:$C,$B502,DATA!$N:$N,"&gt;="&amp;DATE(H$5,1,1),DATA!$N:$N,"&lt;="&amp;DATE(H$5,12,31))</f>
        <v/>
      </c>
      <c r="I502" s="331">
        <f>SUMIFS(DATA!$M:$M,DATA!$C:$C,$B502,DATA!$N:$N,"&gt;="&amp;DATE(I$5,1,1),DATA!$N:$N,"&lt;="&amp;DATE(I$5,12,31))</f>
        <v/>
      </c>
      <c r="J502" s="332">
        <f>SUM(C502:I502)</f>
        <v/>
      </c>
      <c r="K502" s="333">
        <f>J502/$J$506</f>
        <v/>
      </c>
    </row>
    <row r="503" hidden="1" outlineLevel="1" ht="32.25" customHeight="1">
      <c r="A503" s="48" t="n">
        <v>498</v>
      </c>
      <c r="B503" s="107" t="n"/>
      <c r="C503" s="331">
        <f>SUMIFS(DATA!$M:$M,DATA!$C:$C,$B503,DATA!$N:$N,"&gt;="&amp;DATE(C$5,1,1),DATA!$N:$N,"&lt;="&amp;DATE(C$5,12,31))</f>
        <v/>
      </c>
      <c r="D503" s="331">
        <f>SUMIFS(DATA!$M:$M,DATA!$C:$C,$B503,DATA!$N:$N,"&gt;="&amp;DATE(D$5,1,1),DATA!$N:$N,"&lt;="&amp;DATE(D$5,12,31))</f>
        <v/>
      </c>
      <c r="E503" s="331">
        <f>SUMIFS(DATA!$M:$M,DATA!$C:$C,$B503,DATA!$N:$N,"&gt;="&amp;DATE(E$5,1,1),DATA!$N:$N,"&lt;="&amp;DATE(E$5,12,31))</f>
        <v/>
      </c>
      <c r="F503" s="331">
        <f>SUMIFS(DATA!$M:$M,DATA!$C:$C,$B503,DATA!$N:$N,"&gt;="&amp;DATE(F$5,1,1),DATA!$N:$N,"&lt;="&amp;DATE(F$5,12,31))</f>
        <v/>
      </c>
      <c r="G503" s="331">
        <f>SUMIFS(DATA!$M:$M,DATA!$C:$C,$B503,DATA!$N:$N,"&gt;="&amp;DATE(G$5,1,1),DATA!$N:$N,"&lt;="&amp;DATE(G$5,12,31))</f>
        <v/>
      </c>
      <c r="H503" s="331">
        <f>SUMIFS(DATA!$M:$M,DATA!$C:$C,$B503,DATA!$N:$N,"&gt;="&amp;DATE(H$5,1,1),DATA!$N:$N,"&lt;="&amp;DATE(H$5,12,31))</f>
        <v/>
      </c>
      <c r="I503" s="331">
        <f>SUMIFS(DATA!$M:$M,DATA!$C:$C,$B503,DATA!$N:$N,"&gt;="&amp;DATE(I$5,1,1),DATA!$N:$N,"&lt;="&amp;DATE(I$5,12,31))</f>
        <v/>
      </c>
      <c r="J503" s="332">
        <f>SUM(C503:I503)</f>
        <v/>
      </c>
      <c r="K503" s="333">
        <f>J503/$J$506</f>
        <v/>
      </c>
    </row>
    <row r="504" hidden="1" outlineLevel="1" ht="32.25" customHeight="1">
      <c r="A504" s="48" t="n">
        <v>499</v>
      </c>
      <c r="B504" s="107" t="n"/>
      <c r="C504" s="331">
        <f>SUMIFS(DATA!$M:$M,DATA!$C:$C,$B504,DATA!$N:$N,"&gt;="&amp;DATE(C$5,1,1),DATA!$N:$N,"&lt;="&amp;DATE(C$5,12,31))</f>
        <v/>
      </c>
      <c r="D504" s="331">
        <f>SUMIFS(DATA!$M:$M,DATA!$C:$C,$B504,DATA!$N:$N,"&gt;="&amp;DATE(D$5,1,1),DATA!$N:$N,"&lt;="&amp;DATE(D$5,12,31))</f>
        <v/>
      </c>
      <c r="E504" s="331">
        <f>SUMIFS(DATA!$M:$M,DATA!$C:$C,$B504,DATA!$N:$N,"&gt;="&amp;DATE(E$5,1,1),DATA!$N:$N,"&lt;="&amp;DATE(E$5,12,31))</f>
        <v/>
      </c>
      <c r="F504" s="331">
        <f>SUMIFS(DATA!$M:$M,DATA!$C:$C,$B504,DATA!$N:$N,"&gt;="&amp;DATE(F$5,1,1),DATA!$N:$N,"&lt;="&amp;DATE(F$5,12,31))</f>
        <v/>
      </c>
      <c r="G504" s="331">
        <f>SUMIFS(DATA!$M:$M,DATA!$C:$C,$B504,DATA!$N:$N,"&gt;="&amp;DATE(G$5,1,1),DATA!$N:$N,"&lt;="&amp;DATE(G$5,12,31))</f>
        <v/>
      </c>
      <c r="H504" s="331">
        <f>SUMIFS(DATA!$M:$M,DATA!$C:$C,$B504,DATA!$N:$N,"&gt;="&amp;DATE(H$5,1,1),DATA!$N:$N,"&lt;="&amp;DATE(H$5,12,31))</f>
        <v/>
      </c>
      <c r="I504" s="331">
        <f>SUMIFS(DATA!$M:$M,DATA!$C:$C,$B504,DATA!$N:$N,"&gt;="&amp;DATE(I$5,1,1),DATA!$N:$N,"&lt;="&amp;DATE(I$5,12,31))</f>
        <v/>
      </c>
      <c r="J504" s="332">
        <f>SUM(C504:I504)</f>
        <v/>
      </c>
      <c r="K504" s="333">
        <f>J504/$J$506</f>
        <v/>
      </c>
    </row>
    <row r="505" hidden="1" outlineLevel="1" ht="32.25" customHeight="1">
      <c r="A505" s="48" t="n">
        <v>500</v>
      </c>
      <c r="B505" s="107" t="n"/>
      <c r="C505" s="331">
        <f>SUMIFS(DATA!$M:$M,DATA!$C:$C,$B505,DATA!$N:$N,"&gt;="&amp;DATE(C$5,1,1),DATA!$N:$N,"&lt;="&amp;DATE(C$5,12,31))</f>
        <v/>
      </c>
      <c r="D505" s="331">
        <f>SUMIFS(DATA!$M:$M,DATA!$C:$C,$B505,DATA!$N:$N,"&gt;="&amp;DATE(D$5,1,1),DATA!$N:$N,"&lt;="&amp;DATE(D$5,12,31))</f>
        <v/>
      </c>
      <c r="E505" s="331">
        <f>SUMIFS(DATA!$M:$M,DATA!$C:$C,$B505,DATA!$N:$N,"&gt;="&amp;DATE(E$5,1,1),DATA!$N:$N,"&lt;="&amp;DATE(E$5,12,31))</f>
        <v/>
      </c>
      <c r="F505" s="331">
        <f>SUMIFS(DATA!$M:$M,DATA!$C:$C,$B505,DATA!$N:$N,"&gt;="&amp;DATE(F$5,1,1),DATA!$N:$N,"&lt;="&amp;DATE(F$5,12,31))</f>
        <v/>
      </c>
      <c r="G505" s="331">
        <f>SUMIFS(DATA!$M:$M,DATA!$C:$C,$B505,DATA!$N:$N,"&gt;="&amp;DATE(G$5,1,1),DATA!$N:$N,"&lt;="&amp;DATE(G$5,12,31))</f>
        <v/>
      </c>
      <c r="H505" s="331">
        <f>SUMIFS(DATA!$M:$M,DATA!$C:$C,$B505,DATA!$N:$N,"&gt;="&amp;DATE(H$5,1,1),DATA!$N:$N,"&lt;="&amp;DATE(H$5,12,31))</f>
        <v/>
      </c>
      <c r="I505" s="331">
        <f>SUMIFS(DATA!$M:$M,DATA!$C:$C,$B505,DATA!$N:$N,"&gt;="&amp;DATE(I$5,1,1),DATA!$N:$N,"&lt;="&amp;DATE(I$5,12,31))</f>
        <v/>
      </c>
      <c r="J505" s="332">
        <f>SUM(C505:I505)</f>
        <v/>
      </c>
      <c r="K505" s="333">
        <f>J505/$J$506</f>
        <v/>
      </c>
    </row>
    <row r="506" collapsed="1" ht="30" customFormat="1" customHeight="1" s="83">
      <c r="A506" s="78" t="n"/>
      <c r="B506" s="84" t="inlineStr">
        <is>
          <t>Tổng cộng
Grand total:</t>
        </is>
      </c>
      <c r="C506" s="335">
        <f>SUM(C6:C505)</f>
        <v/>
      </c>
      <c r="D506" s="335">
        <f>SUM(D6:D505)</f>
        <v/>
      </c>
      <c r="E506" s="335">
        <f>SUM(E6:E505)</f>
        <v/>
      </c>
      <c r="F506" s="335">
        <f>SUM(F6:F505)</f>
        <v/>
      </c>
      <c r="G506" s="335">
        <f>SUM(G6:G505)</f>
        <v/>
      </c>
      <c r="H506" s="336">
        <f>SUM(H6:H505)</f>
        <v/>
      </c>
      <c r="I506" s="336">
        <f>SUM(I6:I505)</f>
        <v/>
      </c>
      <c r="J506" s="336">
        <f>SUM(J6:J505)</f>
        <v/>
      </c>
      <c r="K506" s="82" t="n"/>
    </row>
    <row r="507" ht="30" customFormat="1" customHeight="1" s="83">
      <c r="A507" s="78" t="n"/>
      <c r="B507" s="79" t="inlineStr">
        <is>
          <t>Number of clients</t>
        </is>
      </c>
      <c r="C507" s="80">
        <f>COUNTIF(C5:C505,"&gt;"&amp;0)</f>
        <v/>
      </c>
      <c r="D507" s="80">
        <f>COUNTIF(D5:D505,"&gt;"&amp;0)</f>
        <v/>
      </c>
      <c r="E507" s="80">
        <f>COUNTIF(E5:E505,"&gt;"&amp;0)</f>
        <v/>
      </c>
      <c r="F507" s="80">
        <f>COUNTIF(F5:F505,"&gt;"&amp;0)</f>
        <v/>
      </c>
      <c r="G507" s="80">
        <f>COUNTIF(G5:G505,"&gt;"&amp;0)</f>
        <v/>
      </c>
      <c r="H507" s="80">
        <f>COUNTIF(H5:H505,"&gt;"&amp;0)</f>
        <v/>
      </c>
      <c r="I507" s="80">
        <f>COUNTIF(I5:I505,"&gt;"&amp;0)</f>
        <v/>
      </c>
      <c r="J507" s="80">
        <f>COUNTIF(J5:J505,"&gt;"&amp;0)</f>
        <v/>
      </c>
      <c r="K507" s="82" t="n"/>
    </row>
    <row r="508" ht="30" customFormat="1" customHeight="1" s="83">
      <c r="A508" s="78" t="n"/>
      <c r="B508" s="79" t="inlineStr">
        <is>
          <t>Increase (%)</t>
        </is>
      </c>
      <c r="C508" s="80" t="n"/>
      <c r="D508" s="81">
        <f>(D506-C506)/C506</f>
        <v/>
      </c>
      <c r="E508" s="81">
        <f>(E506-D506)/D506</f>
        <v/>
      </c>
      <c r="F508" s="81">
        <f>(F506-E506)/E506</f>
        <v/>
      </c>
      <c r="G508" s="81">
        <f>(G506-F506)/F506</f>
        <v/>
      </c>
      <c r="H508" s="81">
        <f>(H506-G506)/G506</f>
        <v/>
      </c>
      <c r="I508" s="81">
        <f>(I506-H506)/H506</f>
        <v/>
      </c>
      <c r="J508" s="80" t="n"/>
      <c r="K508" s="82" t="n"/>
    </row>
    <row r="509">
      <c r="C509" s="337" t="n"/>
      <c r="D509" s="337" t="n"/>
      <c r="E509" s="337" t="n"/>
      <c r="F509" s="337" t="n"/>
      <c r="G509" s="337" t="n"/>
      <c r="H509" s="337" t="n"/>
      <c r="I509" s="337" t="n"/>
      <c r="J509" s="337" t="n"/>
    </row>
    <row r="510">
      <c r="C510" s="334" t="n"/>
      <c r="D510" s="334" t="n"/>
      <c r="E510" s="334" t="n"/>
      <c r="F510" s="334" t="n"/>
      <c r="G510" s="334" t="n"/>
      <c r="H510" s="334" t="n"/>
      <c r="I510" s="334" t="n"/>
      <c r="J510" s="334" t="n"/>
    </row>
    <row r="511">
      <c r="C511" s="334" t="n"/>
      <c r="D511" s="334" t="n"/>
      <c r="E511" s="334" t="n"/>
      <c r="F511" s="334" t="n"/>
      <c r="G511" s="334" t="n"/>
      <c r="H511" s="334" t="n"/>
      <c r="I511" s="334" t="n"/>
    </row>
    <row r="513">
      <c r="H513" s="334" t="n"/>
      <c r="I513" s="334" t="n"/>
    </row>
    <row r="515">
      <c r="E515" s="314" t="n"/>
    </row>
    <row r="516">
      <c r="E516" s="314" t="n"/>
    </row>
    <row r="517">
      <c r="E517" s="314" t="n"/>
    </row>
    <row r="518">
      <c r="E518" s="314" t="n"/>
    </row>
    <row r="519">
      <c r="E519" s="314" t="n"/>
    </row>
    <row r="520">
      <c r="E520" s="314" t="n"/>
    </row>
    <row r="521">
      <c r="E521" s="314" t="n"/>
    </row>
    <row r="522">
      <c r="E522" s="314" t="n"/>
    </row>
    <row r="523">
      <c r="E523" s="314" t="n"/>
    </row>
    <row r="524">
      <c r="E524" s="314" t="n"/>
    </row>
    <row r="525">
      <c r="E525" s="314" t="n"/>
    </row>
    <row r="526">
      <c r="E526" s="314" t="n"/>
    </row>
    <row r="527">
      <c r="E527" s="314" t="n"/>
    </row>
    <row r="528">
      <c r="E528" s="314" t="n"/>
    </row>
    <row r="529">
      <c r="E529" s="314" t="n"/>
    </row>
    <row r="530">
      <c r="E530" s="314" t="n"/>
    </row>
    <row r="531" ht="20.25" customHeight="1">
      <c r="C531" s="180" t="inlineStr">
        <is>
          <t>Số liệu năm 2020, 2021 &amp; 2022 chưa được cập nhật/ chưa cập nhật đầy đủ</t>
        </is>
      </c>
      <c r="E531" s="314" t="n"/>
    </row>
    <row r="532" ht="20.25" customHeight="1">
      <c r="C532" s="180" t="inlineStr">
        <is>
          <t>Số liệu của các năm trên xem chi tiết tại file báo cáo Turn over report (cũ) lưu trữ tại server SPS.</t>
        </is>
      </c>
    </row>
    <row r="533" ht="20.25" customHeight="1">
      <c r="C533" s="180" t="n"/>
      <c r="D533" s="180" t="n"/>
      <c r="E533" s="180" t="n"/>
      <c r="F533" s="180" t="n"/>
      <c r="G533" s="180" t="n"/>
      <c r="H533" s="180" t="n"/>
      <c r="I533" s="180" t="n"/>
      <c r="J533" s="180" t="n"/>
      <c r="K533" s="180" t="n"/>
      <c r="L533" s="180" t="n"/>
      <c r="M533" s="77" t="n"/>
      <c r="N533" s="77" t="n"/>
    </row>
    <row r="534" ht="20.25" customHeight="1">
      <c r="C534" s="180" t="n"/>
      <c r="D534" s="180" t="n"/>
      <c r="E534" s="180" t="n"/>
      <c r="F534" s="180" t="n"/>
      <c r="G534" s="180" t="n"/>
      <c r="H534" s="180" t="n"/>
      <c r="I534" s="180" t="n"/>
      <c r="J534" s="180" t="n"/>
      <c r="K534" s="180" t="n"/>
      <c r="L534" s="180" t="n"/>
      <c r="M534" s="77" t="n"/>
      <c r="N534" s="77" t="n"/>
    </row>
    <row r="544" ht="21" customFormat="1" customHeight="1" s="77">
      <c r="A544" s="75" t="n"/>
      <c r="B544" s="76" t="n"/>
    </row>
  </sheetData>
  <autoFilter ref="A5:K510">
    <sortState ref="A6:K150">
      <sortCondition ref="A5:A150"/>
    </sortState>
  </autoFilter>
  <printOptions horizontalCentered="1"/>
  <pageMargins left="0.2" right="0.2" top="0.25" bottom="0.25" header="0.3" footer="0.3"/>
  <pageSetup orientation="landscape" paperSize="9" scale="53" fitToHeight="0"/>
  <drawing xmlns:r="http://schemas.openxmlformats.org/officeDocument/2006/relationships" r:id="rId1"/>
</worksheet>
</file>

<file path=xl/worksheets/sheet5.xml><?xml version="1.0" encoding="utf-8"?>
<worksheet xmlns="http://schemas.openxmlformats.org/spreadsheetml/2006/main">
  <sheetPr>
    <tabColor theme="9"/>
    <outlinePr summaryBelow="1" summaryRight="1"/>
    <pageSetUpPr/>
  </sheetPr>
  <dimension ref="A1:R13"/>
  <sheetViews>
    <sheetView zoomScaleNormal="100" workbookViewId="0">
      <selection activeCell="P11" sqref="P11"/>
    </sheetView>
  </sheetViews>
  <sheetFormatPr baseColWidth="8" defaultRowHeight="15"/>
  <cols>
    <col width="5.5703125" customWidth="1" min="1" max="1"/>
    <col width="28.28515625" customWidth="1" min="2" max="2"/>
    <col width="18.5703125" customWidth="1" min="3" max="3"/>
    <col width="14.7109375" customWidth="1" min="4" max="7"/>
    <col width="19.7109375" customWidth="1" min="8" max="8"/>
    <col width="18.140625" customWidth="1" min="9" max="9"/>
    <col width="14.7109375" customWidth="1" min="10" max="14"/>
    <col width="18.7109375" customWidth="1" min="15" max="17"/>
    <col width="20.5703125" customWidth="1" min="18" max="18"/>
  </cols>
  <sheetData>
    <row r="1" ht="30.75" customFormat="1" customHeight="1" s="175">
      <c r="D1" s="276" t="inlineStr">
        <is>
          <t>BẢNG THEO DÕI NỢ PHẢI THU &amp; NỢ QUÁ HẠN TRONG NĂM
RECEIVABLE &amp; OUSTANDING DEBT IN YEAR</t>
        </is>
      </c>
      <c r="N1" s="20" t="n"/>
      <c r="O1" s="20" t="n"/>
      <c r="P1" s="21" t="n"/>
      <c r="Q1" s="88" t="n"/>
    </row>
    <row r="2" ht="22.5" customFormat="1" customHeight="1" s="177">
      <c r="A2" s="176" t="n"/>
      <c r="G2" s="178" t="inlineStr">
        <is>
          <t>YEAR:</t>
        </is>
      </c>
      <c r="H2" s="179" t="n">
        <v>2025</v>
      </c>
      <c r="J2" s="180" t="n"/>
    </row>
    <row r="3" ht="16.5" customFormat="1" customHeight="1" s="175">
      <c r="A3" s="181" t="n"/>
    </row>
    <row r="4" ht="58.5" customFormat="1" customHeight="1" s="188">
      <c r="A4" s="182" t="inlineStr">
        <is>
          <t>No.</t>
        </is>
      </c>
      <c r="B4" s="183" t="inlineStr">
        <is>
          <t xml:space="preserve">                          Month
Item</t>
        </is>
      </c>
      <c r="C4" s="184" t="inlineStr">
        <is>
          <t>Nợ cũ các năm trước
Old debt</t>
        </is>
      </c>
      <c r="D4" s="185" t="n">
        <v>1</v>
      </c>
      <c r="E4" s="185" t="n">
        <v>2</v>
      </c>
      <c r="F4" s="185" t="n">
        <v>3</v>
      </c>
      <c r="G4" s="185" t="n">
        <v>4</v>
      </c>
      <c r="H4" s="185" t="n">
        <v>5</v>
      </c>
      <c r="I4" s="185" t="n">
        <v>6</v>
      </c>
      <c r="J4" s="185" t="n">
        <v>7</v>
      </c>
      <c r="K4" s="185" t="n">
        <v>8</v>
      </c>
      <c r="L4" s="185" t="n">
        <v>9</v>
      </c>
      <c r="M4" s="185" t="n">
        <v>10</v>
      </c>
      <c r="N4" s="185" t="n">
        <v>11</v>
      </c>
      <c r="O4" s="185" t="n">
        <v>12</v>
      </c>
      <c r="P4" s="186" t="inlineStr">
        <is>
          <t>Total
 in year</t>
        </is>
      </c>
      <c r="Q4" s="187" t="inlineStr">
        <is>
          <t>Total 
(Cũ + hiện tại)</t>
        </is>
      </c>
    </row>
    <row r="5" hidden="1" ht="16.5" customFormat="1" customHeight="1" s="175">
      <c r="A5" s="181" t="n"/>
      <c r="B5" s="189" t="inlineStr">
        <is>
          <t>Trung gian tính ngày cuối của tháng</t>
        </is>
      </c>
      <c r="C5" s="190" t="n"/>
      <c r="D5" s="117" t="n">
        <v>31</v>
      </c>
      <c r="E5" s="117">
        <f>DAY(EOMONTH(DATE(H2,E4,1),0))</f>
        <v/>
      </c>
      <c r="F5" s="117" t="n">
        <v>31</v>
      </c>
      <c r="G5" s="117" t="n">
        <v>30</v>
      </c>
      <c r="H5" s="117" t="n">
        <v>31</v>
      </c>
      <c r="I5" s="117" t="n">
        <v>30</v>
      </c>
      <c r="J5" s="117" t="n">
        <v>31</v>
      </c>
      <c r="K5" s="117" t="n">
        <v>31</v>
      </c>
      <c r="L5" s="117" t="n">
        <v>30</v>
      </c>
      <c r="M5" s="117" t="n">
        <v>31</v>
      </c>
      <c r="N5" s="117" t="n">
        <v>30</v>
      </c>
      <c r="O5" s="117" t="n">
        <v>31</v>
      </c>
      <c r="P5" s="191" t="n"/>
      <c r="Q5" s="192" t="n"/>
    </row>
    <row r="6" ht="52.5" customFormat="1" customHeight="1" s="188">
      <c r="B6" s="193" t="inlineStr">
        <is>
          <t>Nợ phải thu/ 
Receivable</t>
        </is>
      </c>
      <c r="C6" s="194">
        <f>SUM(C8:C11)</f>
        <v/>
      </c>
      <c r="D6" s="195">
        <f>SUM(D8:D11)</f>
        <v/>
      </c>
      <c r="E6" s="195">
        <f>SUM(E8:E11)</f>
        <v/>
      </c>
      <c r="F6" s="195">
        <f>SUM(F8:F11)</f>
        <v/>
      </c>
      <c r="G6" s="196">
        <f>SUM(G8:G11)</f>
        <v/>
      </c>
      <c r="H6" s="196">
        <f>SUM(H8:H11)</f>
        <v/>
      </c>
      <c r="I6" s="196">
        <f>SUM(I8:I11)</f>
        <v/>
      </c>
      <c r="J6" s="196">
        <f>SUM(J8:J11)</f>
        <v/>
      </c>
      <c r="K6" s="196">
        <f>SUM(K8:K11)</f>
        <v/>
      </c>
      <c r="L6" s="196">
        <f>SUM(L8:L11)</f>
        <v/>
      </c>
      <c r="M6" s="196">
        <f>SUM(M8:M11)</f>
        <v/>
      </c>
      <c r="N6" s="196">
        <f>SUM(N8:N11)</f>
        <v/>
      </c>
      <c r="O6" s="196">
        <f>SUM(O8:O11)</f>
        <v/>
      </c>
      <c r="P6" s="195">
        <f>SUM(D6:O6)</f>
        <v/>
      </c>
      <c r="Q6" s="197">
        <f>SUM(Q8:Q10)</f>
        <v/>
      </c>
    </row>
    <row r="7" ht="65.25" customFormat="1" customHeight="1" s="188">
      <c r="A7" s="198" t="inlineStr">
        <is>
          <t>A</t>
        </is>
      </c>
      <c r="B7" s="199" t="inlineStr">
        <is>
          <t>Nợ phải thu - Giá trị đã xuất hóa đơn/ 
Receivable</t>
        </is>
      </c>
      <c r="C7" s="200">
        <f>SUM(C8:C10)</f>
        <v/>
      </c>
      <c r="D7" s="201">
        <f>SUM(D8:D10)</f>
        <v/>
      </c>
      <c r="E7" s="201">
        <f>SUM(E8:E10)</f>
        <v/>
      </c>
      <c r="F7" s="201">
        <f>SUM(F8:F10)</f>
        <v/>
      </c>
      <c r="G7" s="202">
        <f>SUM(G8:G10)</f>
        <v/>
      </c>
      <c r="H7" s="202">
        <f>SUM(H8:H10)</f>
        <v/>
      </c>
      <c r="I7" s="202">
        <f>SUM(I8:I10)</f>
        <v/>
      </c>
      <c r="J7" s="202">
        <f>SUM(J8:J10)</f>
        <v/>
      </c>
      <c r="K7" s="202">
        <f>SUM(K8:K10)</f>
        <v/>
      </c>
      <c r="L7" s="202">
        <f>SUM(L8:L10)</f>
        <v/>
      </c>
      <c r="M7" s="202">
        <f>SUM(M8:M10)</f>
        <v/>
      </c>
      <c r="N7" s="202">
        <f>SUM(N8:N10)</f>
        <v/>
      </c>
      <c r="O7" s="202">
        <f>SUM(O8:O10)</f>
        <v/>
      </c>
      <c r="P7" s="202">
        <f>SUM(P8:P10)</f>
        <v/>
      </c>
      <c r="Q7" s="203">
        <f>C7+P7</f>
        <v/>
      </c>
    </row>
    <row r="8" ht="50.25" customFormat="1" customHeight="1" s="188">
      <c r="A8" s="204" t="n">
        <v>1</v>
      </c>
      <c r="B8" s="205" t="inlineStr">
        <is>
          <t>Waiting for payment in time</t>
        </is>
      </c>
      <c r="C8" s="206">
        <f>SUMIFS(DATA!$O:$O,DATA!$P:$P,'Debt report'!$B$8,DATA!$Q:$Q,"&lt;="&amp;DATE($H$2-1,12,31))</f>
        <v/>
      </c>
      <c r="D8" s="207">
        <f>SUMIFS(DATA!$O:$O,DATA!$P:$P,'Debt report'!$B$8,DATA!$Q:$Q,"&gt;="&amp;DATE($H$2,D$4,1),DATA!$Q:$Q,"&lt;="&amp;DATE($H$2,D$4,D$5))</f>
        <v/>
      </c>
      <c r="E8" s="207">
        <f>SUMIFS(DATA!$O:$O,DATA!$P:$P,'Debt report'!$B$8,DATA!$Q:$Q,"&gt;="&amp;DATE($H$2,E$4,1),DATA!$Q:$Q,"&lt;="&amp;DATE($H$2,E$4,E$5))</f>
        <v/>
      </c>
      <c r="F8" s="207">
        <f>SUMIFS(DATA!$O:$O,DATA!$P:$P,'Debt report'!$B$8,DATA!$Q:$Q,"&gt;="&amp;DATE($H$2,F$4,1),DATA!$Q:$Q,"&lt;="&amp;DATE($H$2,F$4,F$5))</f>
        <v/>
      </c>
      <c r="G8" s="208">
        <f>SUMIFS(DATA!$O:$O,DATA!$P:$P,'Debt report'!$B$8,DATA!$Q:$Q,"&gt;="&amp;DATE($H$2,G$4,1),DATA!$Q:$Q,"&lt;="&amp;DATE($H$2,G$4,G$5))</f>
        <v/>
      </c>
      <c r="H8" s="208">
        <f>SUMIFS(DATA!$O:$O,DATA!$P:$P,'Debt report'!$B$8,DATA!$Q:$Q,"&gt;="&amp;DATE($H$2,H$4,1),DATA!$Q:$Q,"&lt;="&amp;DATE($H$2,H$4,H$5))</f>
        <v/>
      </c>
      <c r="I8" s="208">
        <f>SUMIFS(DATA!$O:$O,DATA!$P:$P,'Debt report'!$B$8,DATA!$Q:$Q,"&gt;="&amp;DATE($H$2,I$4,1),DATA!$Q:$Q,"&lt;="&amp;DATE($H$2,I$4,I$5))</f>
        <v/>
      </c>
      <c r="J8" s="208">
        <f>SUMIFS(DATA!$O:$O,DATA!$P:$P,'Debt report'!$B$8,DATA!$Q:$Q,"&gt;="&amp;DATE($H$2,J$4,1),DATA!$Q:$Q,"&lt;="&amp;DATE($H$2,J$4,J$5))</f>
        <v/>
      </c>
      <c r="K8" s="208">
        <f>SUMIFS(DATA!$O:$O,DATA!$P:$P,'Debt report'!$B$8,DATA!$Q:$Q,"&gt;="&amp;DATE($H$2,K$4,1),DATA!$Q:$Q,"&lt;="&amp;DATE($H$2,K$4,K$5))</f>
        <v/>
      </c>
      <c r="L8" s="208">
        <f>SUMIFS(DATA!$O:$O,DATA!$P:$P,'Debt report'!$B$8,DATA!$Q:$Q,"&gt;="&amp;DATE($H$2,L$4,1),DATA!$Q:$Q,"&lt;="&amp;DATE($H$2,L$4,L$5))</f>
        <v/>
      </c>
      <c r="M8" s="208">
        <f>SUMIFS(DATA!$O:$O,DATA!$P:$P,'Debt report'!$B$8,DATA!$Q:$Q,"&gt;="&amp;DATE($H$2,M$4,1),DATA!$Q:$Q,"&lt;="&amp;DATE($H$2,M$4,M$5))</f>
        <v/>
      </c>
      <c r="N8" s="208">
        <f>SUMIFS(DATA!$O:$O,DATA!$P:$P,'Debt report'!$B$8,DATA!$Q:$Q,"&gt;="&amp;DATE($H$2,N$4,1),DATA!$Q:$Q,"&lt;="&amp;DATE($H$2,N$4,N$5))</f>
        <v/>
      </c>
      <c r="O8" s="208">
        <f>SUMIFS(DATA!$O:$O,DATA!$P:$P,'Debt report'!$B$8,DATA!$Q:$Q,"&gt;="&amp;DATE($H$2,O$4,1),DATA!$Q:$Q,"&lt;="&amp;DATE($H$2,O$4,O$5))</f>
        <v/>
      </c>
      <c r="P8" s="209">
        <f>SUM(D8:O8)</f>
        <v/>
      </c>
      <c r="Q8" s="210">
        <f>C8+P8</f>
        <v/>
      </c>
      <c r="R8" s="338" t="n"/>
    </row>
    <row r="9" ht="36" customFormat="1" customHeight="1" s="188">
      <c r="A9" s="204" t="n">
        <v>2</v>
      </c>
      <c r="B9" s="205" t="inlineStr">
        <is>
          <t>Remaining</t>
        </is>
      </c>
      <c r="C9" s="206">
        <f>SUMIFS(DATA!$O:$O,DATA!$P:$P,'Debt report'!$B$9,DATA!$Q:$Q,"&lt;="&amp;DATE($H$2-1,12,31))</f>
        <v/>
      </c>
      <c r="D9" s="207">
        <f>SUMIFS(DATA!$O:$O,DATA!$P:$P,'Debt report'!$B$9,DATA!$Q:$Q,"&gt;="&amp;DATE($H$2,D$4,1),DATA!$Q:$Q,"&lt;="&amp;DATE($H$2,D$4,D$5))</f>
        <v/>
      </c>
      <c r="E9" s="207">
        <f>SUMIFS(DATA!$O:$O,DATA!$P:$P,'Debt report'!$B$9,DATA!$Q:$Q,"&gt;="&amp;DATE($H$2,E$4,1),DATA!$Q:$Q,"&lt;="&amp;DATE($H$2,E$4,E$5))</f>
        <v/>
      </c>
      <c r="F9" s="207">
        <f>SUMIFS(DATA!$O:$O,DATA!$P:$P,'Debt report'!$B$9,DATA!$Q:$Q,"&gt;="&amp;DATE($H$2,F$4,1),DATA!$Q:$Q,"&lt;="&amp;DATE($H$2,F$4,F$5))</f>
        <v/>
      </c>
      <c r="G9" s="208">
        <f>SUMIFS(DATA!$O:$O,DATA!$P:$P,'Debt report'!$B$9,DATA!$Q:$Q,"&gt;="&amp;DATE($H$2,G$4,1),DATA!$Q:$Q,"&lt;="&amp;DATE($H$2,G$4,G$5))</f>
        <v/>
      </c>
      <c r="H9" s="208">
        <f>SUMIFS(DATA!$O:$O,DATA!$P:$P,'Debt report'!$B$9,DATA!$Q:$Q,"&gt;="&amp;DATE($H$2,H$4,1),DATA!$Q:$Q,"&lt;="&amp;DATE($H$2,H$4,H$5))</f>
        <v/>
      </c>
      <c r="I9" s="208">
        <f>SUMIFS(DATA!$O:$O,DATA!$P:$P,'Debt report'!$B$9,DATA!$Q:$Q,"&gt;="&amp;DATE($H$2,I$4,1),DATA!$Q:$Q,"&lt;="&amp;DATE($H$2,I$4,I$5))</f>
        <v/>
      </c>
      <c r="J9" s="208">
        <f>SUMIFS(DATA!$O:$O,DATA!$P:$P,'Debt report'!$B$9,DATA!$Q:$Q,"&gt;="&amp;DATE($H$2,J$4,1),DATA!$Q:$Q,"&lt;="&amp;DATE($H$2,J$4,J$5))</f>
        <v/>
      </c>
      <c r="K9" s="208">
        <f>SUMIFS(DATA!$O:$O,DATA!$P:$P,'Debt report'!$B$9,DATA!$Q:$Q,"&gt;="&amp;DATE($H$2,K$4,1),DATA!$Q:$Q,"&lt;="&amp;DATE($H$2,K$4,K$5))</f>
        <v/>
      </c>
      <c r="L9" s="208">
        <f>SUMIFS(DATA!$O:$O,DATA!$P:$P,'Debt report'!$B$9,DATA!$Q:$Q,"&gt;="&amp;DATE($H$2,L$4,1),DATA!$Q:$Q,"&lt;="&amp;DATE($H$2,L$4,L$5))</f>
        <v/>
      </c>
      <c r="M9" s="208">
        <f>SUMIFS(DATA!$O:$O,DATA!$P:$P,'Debt report'!$B$9,DATA!$Q:$Q,"&gt;="&amp;DATE($H$2,M$4,1),DATA!$Q:$Q,"&lt;="&amp;DATE($H$2,M$4,M$5))</f>
        <v/>
      </c>
      <c r="N9" s="208">
        <f>SUMIFS(DATA!$O:$O,DATA!$P:$P,'Debt report'!$B$9,DATA!$Q:$Q,"&gt;="&amp;DATE($H$2,N$4,1),DATA!$Q:$Q,"&lt;="&amp;DATE($H$2,N$4,N$5))</f>
        <v/>
      </c>
      <c r="O9" s="208">
        <f>SUMIFS(DATA!$O:$O,DATA!$P:$P,'Debt report'!$B$9,DATA!$Q:$Q,"&gt;="&amp;DATE($H$2,O$4,1),DATA!$Q:$Q,"&lt;="&amp;DATE($H$2,O$4,O$5))</f>
        <v/>
      </c>
      <c r="P9" s="212">
        <f>SUM(D9:O9)</f>
        <v/>
      </c>
      <c r="Q9" s="210">
        <f>C9+P9</f>
        <v/>
      </c>
    </row>
    <row r="10" ht="43.5" customFormat="1" customHeight="1" s="218">
      <c r="A10" s="213" t="n">
        <v>3</v>
      </c>
      <c r="B10" s="214" t="inlineStr">
        <is>
          <t>Waiting for payment out time</t>
        </is>
      </c>
      <c r="C10" s="194">
        <f>SUMIFS(DATA!$O:$O,DATA!$P:$P,'Debt report'!$B$10,DATA!$Q:$Q,"&lt;="&amp;DATE($H$2-1,12,31))</f>
        <v/>
      </c>
      <c r="D10" s="215">
        <f>SUMIFS(DATA!$O:$O,DATA!$P:$P,'Debt report'!$B$10,DATA!$Q:$Q,"&gt;="&amp;DATE($H$2,D$4,1),DATA!$Q:$Q,"&lt;="&amp;DATE($H$2,D$4,D$5))</f>
        <v/>
      </c>
      <c r="E10" s="215">
        <f>SUMIFS(DATA!$O:$O,DATA!$P:$P,'Debt report'!$B$10,DATA!$Q:$Q,"&gt;="&amp;DATE($H$2,E$4,1),DATA!$Q:$Q,"&lt;="&amp;DATE($H$2,E$4,E$5))</f>
        <v/>
      </c>
      <c r="F10" s="215">
        <f>SUMIFS(DATA!$O:$O,DATA!$P:$P,'Debt report'!$B$10,DATA!$Q:$Q,"&gt;="&amp;DATE($H$2,F$4,1),DATA!$Q:$Q,"&lt;="&amp;DATE($H$2,F$4,F$5))</f>
        <v/>
      </c>
      <c r="G10" s="216">
        <f>SUMIFS(DATA!$O:$O,DATA!$P:$P,'Debt report'!$B$10,DATA!$Q:$Q,"&gt;="&amp;DATE($H$2,G$4,1),DATA!$Q:$Q,"&lt;="&amp;DATE($H$2,G$4,G$5))</f>
        <v/>
      </c>
      <c r="H10" s="216">
        <f>SUMIFS(DATA!$O:$O,DATA!$P:$P,'Debt report'!$B$10,DATA!$Q:$Q,"&gt;="&amp;DATE($H$2,H$4,1),DATA!$Q:$Q,"&lt;="&amp;DATE($H$2,H$4,H$5))</f>
        <v/>
      </c>
      <c r="I10" s="215">
        <f>SUMIFS(DATA!$O:$O,DATA!$P:$P,'Debt report'!$B$10,DATA!$Q:$Q,"&gt;="&amp;DATE($H$2,I$4,1),DATA!$Q:$Q,"&lt;="&amp;DATE($H$2,I$4,I$5))</f>
        <v/>
      </c>
      <c r="J10" s="216">
        <f>SUMIFS(DATA!$O:$O,DATA!$P:$P,'Debt report'!$B$10,DATA!$Q:$Q,"&gt;="&amp;DATE($H$2,J$4,1),DATA!$Q:$Q,"&lt;="&amp;DATE($H$2,J$4,J$5))</f>
        <v/>
      </c>
      <c r="K10" s="216">
        <f>SUMIFS(DATA!$O:$O,DATA!$P:$P,'Debt report'!$B$10,DATA!$Q:$Q,"&gt;="&amp;DATE($H$2,K$4,1),DATA!$Q:$Q,"&lt;="&amp;DATE($H$2,K$4,K$5))</f>
        <v/>
      </c>
      <c r="L10" s="216">
        <f>SUMIFS(DATA!$O:$O,DATA!$P:$P,'Debt report'!$B$10,DATA!$Q:$Q,"&gt;="&amp;DATE($H$2,L$4,1),DATA!$Q:$Q,"&lt;="&amp;DATE($H$2,L$4,L$5))</f>
        <v/>
      </c>
      <c r="M10" s="216">
        <f>SUMIFS(DATA!$O:$O,DATA!$P:$P,'Debt report'!$B$10,DATA!$Q:$Q,"&gt;="&amp;DATE($H$2,M$4,1),DATA!$Q:$Q,"&lt;="&amp;DATE($H$2,M$4,M$5))</f>
        <v/>
      </c>
      <c r="N10" s="216">
        <f>SUMIFS(DATA!$O:$O,DATA!$P:$P,'Debt report'!$B$10,DATA!$Q:$Q,"&gt;="&amp;DATE($H$2,N$4,1),DATA!$Q:$Q,"&lt;="&amp;DATE($H$2,N$4,N$5))</f>
        <v/>
      </c>
      <c r="O10" s="216">
        <f>SUMIFS(DATA!$O:$O,DATA!$P:$P,'Debt report'!$B$10,DATA!$Q:$Q,"&gt;="&amp;DATE($H$2,O$4,1),DATA!$Q:$Q,"&lt;="&amp;DATE($H$2,O$4,O$5))</f>
        <v/>
      </c>
      <c r="P10" s="216">
        <f>SUM(D10:O10)</f>
        <v/>
      </c>
      <c r="Q10" s="217">
        <f>C10+P10</f>
        <v/>
      </c>
    </row>
    <row r="11" ht="43.5" customFormat="1" customHeight="1" s="218">
      <c r="A11" s="219" t="inlineStr">
        <is>
          <t>B</t>
        </is>
      </c>
      <c r="B11" s="220" t="inlineStr">
        <is>
          <t>Pending payment</t>
        </is>
      </c>
      <c r="C11" s="221">
        <f>SUMIFS(DATA!$I:$I,DATA!$P:$P,'Debt report'!$B$11,DATA!$U:$U,"&gt;="&amp;DATE($H$2,C$4,1),DATA!$U:$U,"&lt;="&amp;DATE($H$2,C$4,C$5))</f>
        <v/>
      </c>
      <c r="D11" s="222">
        <f>SUMIFS(DATA!$I:$I,DATA!$P:$P,'Debt report'!$B$11,DATA!$U:$U,"&gt;="&amp;DATE($H$2,D$4,1),DATA!$U:$U,"&lt;="&amp;DATE($H$2,D$4,D$5))</f>
        <v/>
      </c>
      <c r="E11" s="222">
        <f>SUMIFS(DATA!$I:$I,DATA!$P:$P,'Debt report'!$B$11,DATA!$U:$U,"&gt;="&amp;DATE($H$2,E$4,1),DATA!$U:$U,"&lt;="&amp;DATE($H$2,E$4,E$5))</f>
        <v/>
      </c>
      <c r="F11" s="222">
        <f>SUMIFS(DATA!$I:$I,DATA!$P:$P,'Debt report'!$B$11,DATA!$U:$U,"&gt;="&amp;DATE($H$2,F$4,1),DATA!$U:$U,"&lt;="&amp;DATE($H$2,F$4,F$5))</f>
        <v/>
      </c>
      <c r="G11" s="223">
        <f>SUMIFS(DATA!$I:$I,DATA!$P:$P,'Debt report'!$B$11,DATA!$U:$U,"&gt;="&amp;DATE($H$2,G$4,1),DATA!$U:$U,"&lt;="&amp;DATE($H$2,G$4,G$5))</f>
        <v/>
      </c>
      <c r="H11" s="223">
        <f>SUMIFS(DATA!$I:$I,DATA!$P:$P,'Debt report'!$B$11,DATA!$U:$U,"&gt;="&amp;DATE($H$2,H$4,1),DATA!$U:$U,"&lt;="&amp;DATE($H$2,H$4,H$5))</f>
        <v/>
      </c>
      <c r="I11" s="223">
        <f>SUMIFS(DATA!$I:$I,DATA!$P:$P,'Debt report'!$B$11,DATA!$U:$U,"&gt;="&amp;DATE($H$2,I$4,1),DATA!$U:$U,"&lt;="&amp;DATE($H$2,I$4,I$5))</f>
        <v/>
      </c>
      <c r="J11" s="223">
        <f>SUMIFS(DATA!$I:$I,DATA!$P:$P,'Debt report'!$B$11,DATA!$U:$U,"&gt;="&amp;DATE($H$2,J$4,1),DATA!$U:$U,"&lt;="&amp;DATE($H$2,J$4,J$5))</f>
        <v/>
      </c>
      <c r="K11" s="223">
        <f>SUMIFS(DATA!$I:$I,DATA!$P:$P,'Debt report'!$B$11,DATA!$U:$U,"&gt;="&amp;DATE($H$2,K$4,1),DATA!$U:$U,"&lt;="&amp;DATE($H$2,K$4,K$5))</f>
        <v/>
      </c>
      <c r="L11" s="223">
        <f>SUMIFS(DATA!$I:$I,DATA!$P:$P,'Debt report'!$B$11,DATA!$U:$U,"&gt;="&amp;DATE($H$2,L$4,1),DATA!$U:$U,"&lt;="&amp;DATE($H$2,L$4,L$5))</f>
        <v/>
      </c>
      <c r="M11" s="223">
        <f>SUMIFS(DATA!$I:$I,DATA!$P:$P,'Debt report'!$B$11,DATA!$U:$U,"&gt;="&amp;DATE($H$2,M$4,1),DATA!$U:$U,"&lt;="&amp;DATE($H$2,M$4,M$5))</f>
        <v/>
      </c>
      <c r="N11" s="223">
        <f>SUMIFS(DATA!$I:$I,DATA!$P:$P,'Debt report'!$B$11,DATA!$U:$U,"&gt;="&amp;DATE($H$2,N$4,1),DATA!$U:$U,"&lt;="&amp;DATE($H$2,N$4,N$5))</f>
        <v/>
      </c>
      <c r="O11" s="223">
        <f>SUMIFS(DATA!$O:$O,DATA!$P:$P,'Debt report'!$B$11,DATA!$Q:$Q,"&gt;="&amp;DATE($H$2,O$4,1),DATA!$Q:$Q,"&lt;="&amp;DATE($H$2,O$4,O$5))</f>
        <v/>
      </c>
      <c r="P11" s="223">
        <f>SUM(D11:O11)</f>
        <v/>
      </c>
      <c r="Q11" s="224">
        <f>C11+P11</f>
        <v/>
      </c>
    </row>
    <row r="13">
      <c r="C13" s="225" t="n"/>
    </row>
  </sheetData>
  <mergeCells count="1">
    <mergeCell ref="D1:M1"/>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codeName="Sheet5">
    <outlinePr summaryBelow="1" summaryRight="1"/>
    <pageSetUpPr/>
  </sheetPr>
  <dimension ref="A1:H22"/>
  <sheetViews>
    <sheetView showGridLines="0" view="pageBreakPreview" topLeftCell="A13" zoomScale="90" zoomScaleNormal="100" zoomScaleSheetLayoutView="90" workbookViewId="0">
      <selection activeCell="H19" sqref="H19"/>
    </sheetView>
  </sheetViews>
  <sheetFormatPr baseColWidth="8" defaultColWidth="9.140625" defaultRowHeight="15"/>
  <cols>
    <col width="6.85546875" customWidth="1" style="279" min="1" max="1"/>
    <col width="24.85546875" customWidth="1" style="279" min="2" max="2"/>
    <col width="18.5703125" customWidth="1" style="279" min="3" max="3"/>
    <col width="44.7109375" customWidth="1" style="279" min="4" max="4"/>
    <col width="15.140625" customWidth="1" style="279" min="5" max="5"/>
    <col width="12.7109375" customWidth="1" style="279" min="6" max="6"/>
    <col width="14.5703125" customWidth="1" style="279" min="7" max="7"/>
    <col width="41.42578125" customWidth="1" style="279" min="8" max="8"/>
    <col width="9.140625" customWidth="1" style="279" min="9" max="9"/>
    <col width="9.140625" customWidth="1" style="279" min="10" max="16384"/>
  </cols>
  <sheetData>
    <row r="1" ht="24.95" customHeight="1">
      <c r="A1" s="280" t="inlineStr">
        <is>
          <t>CÁC KHÁCH HÀNG YÊU CẦU NGÀY HÓA ĐƠN GTGT TRÙNG VỚI NGÀY KÝ NGHIỆM THU</t>
        </is>
      </c>
      <c r="F1" s="278" t="inlineStr">
        <is>
          <t>Lưu ý: Hợp đồng bảo hiểm của gói Cải tạo bể bơi ĐSQ ÚC hết hạn vào ngày 30/09/2022 =&gt; Ms Bích EOA JLL nhắc gửi bản Chứng nhận bảo hiểm mới vào ngày hết hạn của bản cũ</t>
        </is>
      </c>
    </row>
    <row r="2" ht="7.5" customHeight="1"/>
    <row r="3" ht="21" customHeight="1">
      <c r="A3" s="283" t="inlineStr">
        <is>
          <t>STT</t>
        </is>
      </c>
      <c r="B3" s="283" t="inlineStr">
        <is>
          <t>TÊN KH</t>
        </is>
      </c>
      <c r="C3" s="283" t="inlineStr">
        <is>
          <t>GHI CHÚ</t>
        </is>
      </c>
      <c r="D3" s="284" t="n"/>
    </row>
    <row r="4" ht="31.5" customHeight="1">
      <c r="A4" s="68" t="n">
        <v>1</v>
      </c>
      <c r="B4" s="232" t="inlineStr">
        <is>
          <t>TOYOTA BOSHOKU HÀ NỘI</t>
        </is>
      </c>
      <c r="C4" s="285" t="inlineStr">
        <is>
          <t>Hóa đơn GTGT, Báo cáo nghiệm thu trùng ngày nhau</t>
        </is>
      </c>
      <c r="D4" s="284" t="n"/>
    </row>
    <row r="5" ht="31.5" customHeight="1">
      <c r="A5" s="68" t="n">
        <v>2</v>
      </c>
      <c r="B5" s="232" t="inlineStr">
        <is>
          <t>YAMAHA MOTOR VN</t>
        </is>
      </c>
      <c r="C5" s="285" t="inlineStr">
        <is>
          <t>Hóa đơn GTGT, Báo cáo nghiệm thu, Đề nghị thanh toán, Báo cáo DV,... trùng ngày nhau</t>
        </is>
      </c>
      <c r="D5" s="284" t="n"/>
      <c r="F5" s="278" t="inlineStr">
        <is>
          <t>Lưu ý: Cách tra cứu thông tin hóa đơn =&gt; in gửi cùng HSTT cho Big C Mê Linh
http://tracuuhoadon.gdt.gov.vn/ =&gt; Thông tin hóa đơn, biên lai =&gt; Hóa đơn =&gt; Tra cứu 1 hóa đơn =&gt; Kết quả tra cứu =&gt; gõ các thông tin (Mã số thuế cty SPS, mẫu số hóa đơn, ký hiệu hóa đơn,..)</t>
        </is>
      </c>
    </row>
    <row r="6" ht="31.5" customHeight="1">
      <c r="A6" s="68" t="n">
        <v>3</v>
      </c>
      <c r="B6" s="232" t="inlineStr">
        <is>
          <t>MASCOT VIỆT NAM</t>
        </is>
      </c>
      <c r="C6" s="285" t="inlineStr">
        <is>
          <t>Hóa đơn GTGT, Báo cáo nghiệm thu trùng ngày nhau</t>
        </is>
      </c>
      <c r="D6" s="284" t="n"/>
    </row>
    <row r="7" ht="31.5" customHeight="1">
      <c r="A7" s="68" t="n">
        <v>4</v>
      </c>
      <c r="B7" s="232" t="inlineStr">
        <is>
          <t>LAURELTON DIAMONDS VIỆT NAM</t>
        </is>
      </c>
      <c r="C7" s="285" t="inlineStr">
        <is>
          <t>Hóa đơn GTGT, Báo cáo nghiệm thu trùng ngày nhau</t>
        </is>
      </c>
      <c r="D7" s="284" t="n"/>
      <c r="F7" s="89" t="n"/>
      <c r="G7" s="89" t="n"/>
      <c r="H7" s="89" t="n"/>
    </row>
    <row r="8" ht="24" customHeight="1">
      <c r="A8" s="68" t="n">
        <v>5</v>
      </c>
      <c r="B8" s="232" t="inlineStr">
        <is>
          <t>MHI AEROSPACE VIỆT NAM</t>
        </is>
      </c>
      <c r="C8" s="285" t="inlineStr">
        <is>
          <t>Hóa đơn GTGT, Báo cáo nghiệm thu trùng ngày nhau</t>
        </is>
      </c>
      <c r="D8" s="284" t="n"/>
      <c r="F8" s="89" t="n"/>
      <c r="G8" s="89" t="n"/>
      <c r="H8" s="89" t="n"/>
    </row>
    <row r="9" ht="24" customHeight="1">
      <c r="A9" s="68" t="n">
        <v>6</v>
      </c>
      <c r="B9" s="232" t="inlineStr">
        <is>
          <t>BBP VIỆT NAM</t>
        </is>
      </c>
      <c r="C9" s="285" t="inlineStr">
        <is>
          <t>Hóa đơn GTGT, Báo cáo nghiệm thu trùng ngày nhau</t>
        </is>
      </c>
      <c r="D9" s="284" t="n"/>
      <c r="F9" s="89" t="n"/>
      <c r="G9" s="89" t="n"/>
      <c r="H9" s="89" t="n"/>
    </row>
    <row r="10" ht="24" customHeight="1">
      <c r="A10" s="68" t="n">
        <v>7</v>
      </c>
      <c r="B10" s="232" t="inlineStr">
        <is>
          <t>JEMMTEC</t>
        </is>
      </c>
      <c r="C10" s="285" t="inlineStr">
        <is>
          <t>Hóa đơn GTGT, Báo cáo nghiệm thu trùng ngày nhau</t>
        </is>
      </c>
      <c r="D10" s="284" t="n"/>
      <c r="F10" s="89" t="n"/>
      <c r="G10" s="89" t="n"/>
      <c r="H10" s="89" t="n"/>
    </row>
    <row r="11" ht="21" customHeight="1">
      <c r="A11" s="68" t="n">
        <v>8</v>
      </c>
      <c r="B11" s="69" t="inlineStr">
        <is>
          <t>GDS</t>
        </is>
      </c>
      <c r="C11" s="285" t="inlineStr">
        <is>
          <t>Hóa đơn GTGT, Báo cáo nghiệm thu trùng ngày nhau</t>
        </is>
      </c>
      <c r="D11" s="284" t="n"/>
    </row>
    <row r="12" ht="24.95" customFormat="1" customHeight="1" s="72">
      <c r="A12" s="281" t="inlineStr">
        <is>
          <t>THEO DÕI TÌNH TRẠNG TÀI LIỆU ĐÃ GỬI KHÁCH HÀNG</t>
        </is>
      </c>
      <c r="B12" s="282" t="n"/>
      <c r="C12" s="282" t="n"/>
      <c r="D12" s="282" t="n"/>
    </row>
    <row r="13" ht="31.5" customFormat="1" customHeight="1" s="71">
      <c r="A13" s="283" t="inlineStr">
        <is>
          <t>STT</t>
        </is>
      </c>
      <c r="B13" s="283" t="inlineStr">
        <is>
          <t>TÊN KH</t>
        </is>
      </c>
      <c r="C13" s="283" t="inlineStr">
        <is>
          <t>MÃ SỐ DỰ ÁN</t>
        </is>
      </c>
      <c r="D13" s="283" t="inlineStr">
        <is>
          <t>HẠNG MỤC</t>
        </is>
      </c>
      <c r="E13" s="283" t="inlineStr">
        <is>
          <t>TÀI LIỆU</t>
        </is>
      </c>
      <c r="F13" s="283" t="inlineStr">
        <is>
          <t>PHÂN LOẠI</t>
        </is>
      </c>
      <c r="G13" s="283" t="inlineStr">
        <is>
          <t>NGÀY GỬI KH</t>
        </is>
      </c>
      <c r="H13" s="283" t="inlineStr">
        <is>
          <t>GHI CHÚ</t>
        </is>
      </c>
    </row>
    <row r="14" ht="28.9" customHeight="1">
      <c r="A14" s="68" t="n">
        <v>1</v>
      </c>
      <c r="B14" s="232" t="inlineStr">
        <is>
          <t>VNPT IDC - NAM THANG LONG</t>
        </is>
      </c>
      <c r="C14" s="68" t="inlineStr">
        <is>
          <t>IDC-200611</t>
        </is>
      </c>
      <c r="D14" s="232" t="inlineStr">
        <is>
          <t>SỬA CHỮA HỆ THỐNG UPS</t>
        </is>
      </c>
      <c r="E14" s="68" t="inlineStr">
        <is>
          <t>Hợp đồng</t>
        </is>
      </c>
      <c r="F14" s="68" t="inlineStr">
        <is>
          <t>N/A</t>
        </is>
      </c>
      <c r="G14" s="339" t="inlineStr">
        <is>
          <t>N/A</t>
        </is>
      </c>
      <c r="H14" s="69" t="inlineStr">
        <is>
          <t>Chưa soạn hợp đồng</t>
        </is>
      </c>
    </row>
    <row r="15" ht="28.9" customHeight="1">
      <c r="A15" s="68" t="n">
        <v>2</v>
      </c>
      <c r="B15" s="232" t="inlineStr">
        <is>
          <t>DOLPHIN PLAZA</t>
        </is>
      </c>
      <c r="C15" s="68" t="inlineStr">
        <is>
          <t>DPP-200901</t>
        </is>
      </c>
      <c r="D15" s="232" t="inlineStr">
        <is>
          <t>THAY THẾ BỘ ĐIỀU KHIỂN CHO MÁY PHÁT ĐIỆN SỐ 2</t>
        </is>
      </c>
      <c r="E15" s="68" t="inlineStr">
        <is>
          <t>Hợp đồng</t>
        </is>
      </c>
      <c r="F15" s="68" t="inlineStr">
        <is>
          <t>Bản cứng</t>
        </is>
      </c>
      <c r="G15" s="339" t="n">
        <v>44078</v>
      </c>
      <c r="H15" s="232" t="inlineStr">
        <is>
          <t xml:space="preserve">Gửi CPN hợp đồng bản cứng SPS ký đóng dấu trước cho Mr Giang GĐ BQL Tòa nhà </t>
        </is>
      </c>
    </row>
    <row r="16" ht="28.9" customHeight="1">
      <c r="A16" s="68" t="n">
        <v>3</v>
      </c>
      <c r="B16" s="232" t="inlineStr">
        <is>
          <t>EMBASSY OF AUSTRALIA/ JLL</t>
        </is>
      </c>
      <c r="C16" s="68" t="inlineStr">
        <is>
          <t>EOA-210128</t>
        </is>
      </c>
      <c r="D16" s="232" t="inlineStr">
        <is>
          <t>CẢI TẠO QUẦY BAR</t>
        </is>
      </c>
      <c r="E16" s="68" t="inlineStr">
        <is>
          <t>Hợp đồng</t>
        </is>
      </c>
      <c r="F16" s="68" t="inlineStr">
        <is>
          <t>N/A</t>
        </is>
      </c>
      <c r="G16" s="339" t="inlineStr">
        <is>
          <t>N/A</t>
        </is>
      </c>
      <c r="H16" s="232" t="inlineStr">
        <is>
          <t>HĐ theo mẫu KH =&gt; KH chưa gửi file mềm hợp đồng để check</t>
        </is>
      </c>
    </row>
    <row r="17" ht="30" customHeight="1">
      <c r="A17" s="68" t="n">
        <v>4</v>
      </c>
      <c r="B17" s="232" t="inlineStr">
        <is>
          <t xml:space="preserve">MHI AEROSPACE VIETNAM </t>
        </is>
      </c>
      <c r="C17" s="68" t="inlineStr">
        <is>
          <t>N/A</t>
        </is>
      </c>
      <c r="D17" s="232" t="inlineStr">
        <is>
          <t>HỢP ĐỒNG NGUYÊN TẮC 2021</t>
        </is>
      </c>
      <c r="E17" s="68" t="inlineStr">
        <is>
          <t>Hợp đồng</t>
        </is>
      </c>
      <c r="F17" s="68" t="inlineStr">
        <is>
          <t>Bản cứng</t>
        </is>
      </c>
      <c r="G17" s="339" t="n">
        <v>44473</v>
      </c>
      <c r="H17" s="73" t="inlineStr">
        <is>
          <t xml:space="preserve">=&gt; Ngày 4/10/2021 đã gửi bản cứng hợp đồng SPS ký đóng dấu trước cho Ms.Ngọc MHI </t>
        </is>
      </c>
    </row>
    <row r="18" ht="43.15" customHeight="1">
      <c r="A18" s="68" t="n">
        <v>5</v>
      </c>
      <c r="B18" s="232" t="inlineStr">
        <is>
          <t>BBP VIỆT NAM</t>
        </is>
      </c>
      <c r="C18" s="68" t="inlineStr">
        <is>
          <t>BBP_210929_R3</t>
        </is>
      </c>
      <c r="D18" s="232" t="inlineStr">
        <is>
          <t>LẮP ĐẶT SENSOR VÀ THIẾT BỊ PHỤC VỤ ĐO KIỂM</t>
        </is>
      </c>
      <c r="E18" s="68" t="inlineStr">
        <is>
          <t>Hợp đồng</t>
        </is>
      </c>
      <c r="F18" s="68" t="inlineStr">
        <is>
          <t>Bản mềm</t>
        </is>
      </c>
      <c r="G18" s="339" t="n">
        <v>44489</v>
      </c>
      <c r="H18" s="73" t="inlineStr">
        <is>
          <t>Ngày 20/10/2021 Nghĩa đã gửi file mềm hợp đồngnguyên tắc - Rev lần cuối qua mail cho Ms Ngọc BBP check</t>
        </is>
      </c>
    </row>
    <row r="19" ht="45" customHeight="1">
      <c r="A19" s="68" t="n">
        <v>6</v>
      </c>
      <c r="B19" s="232" t="inlineStr">
        <is>
          <t>PHC Complex</t>
        </is>
      </c>
      <c r="C19" s="68" t="inlineStr">
        <is>
          <t>N/A</t>
        </is>
      </c>
      <c r="D19" s="232" t="inlineStr">
        <is>
          <t>BẢO TRÌ BƠM NƯỚC SẠCH</t>
        </is>
      </c>
      <c r="E19" s="233" t="inlineStr">
        <is>
          <t xml:space="preserve">Hợp đồng </t>
        </is>
      </c>
      <c r="F19" s="68" t="inlineStr">
        <is>
          <t>Bản cứng</t>
        </is>
      </c>
      <c r="G19" s="339" t="n">
        <v>44886</v>
      </c>
      <c r="H19" s="73" t="inlineStr">
        <is>
          <t>=&gt; Ngày 21/11/2022 đã gửi 3 bản cứng hợp đồng SPS ký đóng dấu trước cho Mr.Âu Xuân Dũng</t>
        </is>
      </c>
    </row>
    <row r="20" ht="45" customHeight="1">
      <c r="A20" s="68" t="n">
        <v>7</v>
      </c>
      <c r="B20" s="232" t="inlineStr">
        <is>
          <t>Golden Palace</t>
        </is>
      </c>
      <c r="C20" s="68" t="inlineStr">
        <is>
          <t>N/A</t>
        </is>
      </c>
      <c r="D20" s="232" t="inlineStr">
        <is>
          <t>CUNG CẤP &amp; THAY THẾ CÔNG TƠ ĐIỆN</t>
        </is>
      </c>
      <c r="E20" s="233" t="inlineStr">
        <is>
          <t xml:space="preserve">Hợp đồng </t>
        </is>
      </c>
      <c r="F20" s="68" t="inlineStr">
        <is>
          <t>Bản cứng</t>
        </is>
      </c>
      <c r="G20" s="339" t="n">
        <v>44886</v>
      </c>
      <c r="H20" s="73" t="inlineStr">
        <is>
          <t>=&gt; Ngày 21/11/2022 đã gửi Phúc cầm 3 bản cứng hợp đồng + Đề nghị tạm ứng 50% giá trị HĐ (SPS ký đóng dấu trước) cho Hoàng Anh</t>
        </is>
      </c>
    </row>
    <row r="21" ht="45" customHeight="1">
      <c r="A21" s="68" t="n">
        <v>8</v>
      </c>
      <c r="B21" s="232" t="inlineStr">
        <is>
          <t>CT36A Định Công</t>
        </is>
      </c>
      <c r="C21" s="68" t="inlineStr">
        <is>
          <t>N/A</t>
        </is>
      </c>
      <c r="D21" s="232" t="inlineStr">
        <is>
          <t>BẢO TRÌ MÁY PHÁT ĐIỆN</t>
        </is>
      </c>
      <c r="E21" s="233" t="inlineStr">
        <is>
          <t xml:space="preserve">Hợp đồng </t>
        </is>
      </c>
      <c r="F21" s="68" t="inlineStr">
        <is>
          <t>Bản cứng</t>
        </is>
      </c>
      <c r="G21" s="339" t="n">
        <v>44890</v>
      </c>
      <c r="H21" s="73" t="inlineStr">
        <is>
          <t>=&gt; Ngày 25/11/2022 đã gửi CPN 3 bản cứng hợp đồng + Đề nghị tạm ứng 50% giá trị HĐ (SPS ký đóng dấu trước) cho Mr Tiến Trưởng BQL</t>
        </is>
      </c>
    </row>
    <row r="22" ht="45" customHeight="1">
      <c r="A22" s="68" t="n">
        <v>9</v>
      </c>
      <c r="B22" s="232" t="inlineStr">
        <is>
          <t>YEVN</t>
        </is>
      </c>
      <c r="C22" s="68" t="inlineStr">
        <is>
          <t>N/A</t>
        </is>
      </c>
      <c r="D22" s="232" t="inlineStr">
        <is>
          <t>LẮP ĐẶT BỔ SUNG THIẾT BỊ PCCC</t>
        </is>
      </c>
      <c r="E22" s="233" t="inlineStr">
        <is>
          <t xml:space="preserve">Hợp đồng </t>
        </is>
      </c>
      <c r="F22" s="68" t="inlineStr">
        <is>
          <t>Bản cứng</t>
        </is>
      </c>
      <c r="G22" s="339" t="n">
        <v>44902</v>
      </c>
      <c r="H22" s="73" t="inlineStr">
        <is>
          <t>=&gt; Ngày 7/12/2022 đã gửi CPN 3 bản cứng hợp đồng ((SPS ký đóng dấu trước) cho Ms Hải Dương - P. Mua hàng</t>
        </is>
      </c>
    </row>
  </sheetData>
  <autoFilter ref="A13:H18"/>
  <mergeCells count="13">
    <mergeCell ref="F1:H4"/>
    <mergeCell ref="A1:D1"/>
    <mergeCell ref="A12:D12"/>
    <mergeCell ref="C3:D3"/>
    <mergeCell ref="C4:D4"/>
    <mergeCell ref="C5:D5"/>
    <mergeCell ref="C6:D6"/>
    <mergeCell ref="C7:D7"/>
    <mergeCell ref="C8:D8"/>
    <mergeCell ref="F5:H6"/>
    <mergeCell ref="C9:D9"/>
    <mergeCell ref="C10:D10"/>
    <mergeCell ref="C11:D11"/>
  </mergeCells>
  <pageMargins left="0.7" right="0.7" top="0.75" bottom="0.75" header="0.3" footer="0.3"/>
  <pageSetup orientation="portrait" paperSize="9" scale="48"/>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Nghia.nt</dc:creator>
  <dcterms:created xmlns:dcterms="http://purl.org/dc/terms/" xmlns:xsi="http://www.w3.org/2001/XMLSchema-instance" xsi:type="dcterms:W3CDTF">2017-05-12T04:15:28Z</dcterms:created>
  <dcterms:modified xmlns:dcterms="http://purl.org/dc/terms/" xmlns:xsi="http://www.w3.org/2001/XMLSchema-instance" xsi:type="dcterms:W3CDTF">2026-02-04T07:37:00Z</dcterms:modified>
  <cp:lastModifiedBy>Cường Nguyễn</cp:lastModifiedBy>
  <cp:lastPrinted>2022-12-02T06:17:21Z</cp:lastPrinted>
</cp:coreProperties>
</file>