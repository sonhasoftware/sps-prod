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uong/Code/Project/Odoo/sps/sps/sps_addons/xstock/templates/"/>
    </mc:Choice>
  </mc:AlternateContent>
  <xr:revisionPtr revIDLastSave="0" documentId="13_ncr:1_{A3B9C039-15F5-3B4F-9039-1714A4AE0B4C}" xr6:coauthVersionLast="47" xr6:coauthVersionMax="47" xr10:uidLastSave="{00000000-0000-0000-0000-000000000000}"/>
  <bookViews>
    <workbookView xWindow="0" yWindow="600" windowWidth="51200" windowHeight="2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inmbMrqi/Txa8xxSh4e1+tDj9G3EGBHnIkoZeFeJoM="/>
    </ext>
  </extLst>
</workbook>
</file>

<file path=xl/calcChain.xml><?xml version="1.0" encoding="utf-8"?>
<calcChain xmlns="http://schemas.openxmlformats.org/spreadsheetml/2006/main">
  <c r="AT383" i="1" l="1"/>
  <c r="AS383" i="1"/>
  <c r="AU383" i="1" s="1"/>
  <c r="AT382" i="1"/>
  <c r="AS382" i="1"/>
  <c r="AU382" i="1" s="1"/>
  <c r="AU381" i="1"/>
  <c r="AT381" i="1"/>
  <c r="AS381" i="1"/>
  <c r="AU380" i="1"/>
  <c r="AT380" i="1"/>
  <c r="AS380" i="1"/>
  <c r="AT379" i="1"/>
  <c r="AS379" i="1"/>
  <c r="AU379" i="1" s="1"/>
  <c r="AT378" i="1"/>
  <c r="AS378" i="1"/>
  <c r="AU378" i="1" s="1"/>
  <c r="AU377" i="1"/>
  <c r="AT377" i="1"/>
  <c r="AS377" i="1"/>
  <c r="AT376" i="1"/>
  <c r="AS376" i="1"/>
  <c r="AU376" i="1" s="1"/>
  <c r="AT375" i="1"/>
  <c r="AS375" i="1"/>
  <c r="AU375" i="1" s="1"/>
  <c r="AU374" i="1"/>
  <c r="AT374" i="1"/>
  <c r="AS374" i="1"/>
  <c r="AT373" i="1"/>
  <c r="AS373" i="1"/>
  <c r="AU373" i="1" s="1"/>
  <c r="AT372" i="1"/>
  <c r="AS372" i="1"/>
  <c r="AU372" i="1" s="1"/>
  <c r="AU371" i="1"/>
  <c r="AT371" i="1"/>
  <c r="AS371" i="1"/>
  <c r="AU370" i="1"/>
  <c r="AT370" i="1"/>
  <c r="AS370" i="1"/>
  <c r="AT369" i="1"/>
  <c r="AS369" i="1"/>
  <c r="AU369" i="1" s="1"/>
  <c r="AT368" i="1"/>
  <c r="AS368" i="1"/>
  <c r="AU368" i="1" s="1"/>
  <c r="AU367" i="1"/>
  <c r="AT367" i="1"/>
  <c r="AS367" i="1"/>
  <c r="AT366" i="1"/>
  <c r="AS366" i="1"/>
  <c r="AU366" i="1" s="1"/>
  <c r="AT365" i="1"/>
  <c r="AS365" i="1"/>
  <c r="AU365" i="1" s="1"/>
  <c r="AU364" i="1"/>
  <c r="AT364" i="1"/>
  <c r="AS364" i="1"/>
  <c r="AT363" i="1"/>
  <c r="AS363" i="1"/>
  <c r="AU363" i="1" s="1"/>
  <c r="AT362" i="1"/>
  <c r="AS362" i="1"/>
  <c r="AU362" i="1" s="1"/>
  <c r="AU361" i="1"/>
  <c r="AT361" i="1"/>
  <c r="AS361" i="1"/>
  <c r="AU360" i="1"/>
  <c r="AT360" i="1"/>
  <c r="AS360" i="1"/>
  <c r="AT359" i="1"/>
  <c r="AS359" i="1"/>
  <c r="AU359" i="1" s="1"/>
  <c r="AT358" i="1"/>
  <c r="AS358" i="1"/>
  <c r="AU358" i="1" s="1"/>
  <c r="AU357" i="1"/>
  <c r="AT357" i="1"/>
  <c r="AS357" i="1"/>
  <c r="AT356" i="1"/>
  <c r="AS356" i="1"/>
  <c r="AU356" i="1" s="1"/>
  <c r="AT355" i="1"/>
  <c r="AS355" i="1"/>
  <c r="AU355" i="1" s="1"/>
  <c r="AU354" i="1"/>
  <c r="AT354" i="1"/>
  <c r="AS354" i="1"/>
  <c r="AT353" i="1"/>
  <c r="AS353" i="1"/>
  <c r="AU353" i="1" s="1"/>
  <c r="AT352" i="1"/>
  <c r="AS352" i="1"/>
  <c r="AU352" i="1" s="1"/>
  <c r="AU351" i="1"/>
  <c r="AT351" i="1"/>
  <c r="AS351" i="1"/>
  <c r="AU350" i="1"/>
  <c r="AT350" i="1"/>
  <c r="AS350" i="1"/>
  <c r="AT349" i="1"/>
  <c r="AS349" i="1"/>
  <c r="AU349" i="1" s="1"/>
  <c r="AT348" i="1"/>
  <c r="AS348" i="1"/>
  <c r="AU348" i="1" s="1"/>
  <c r="AU347" i="1"/>
  <c r="AT347" i="1"/>
  <c r="AS347" i="1"/>
  <c r="AT346" i="1"/>
  <c r="AS346" i="1"/>
  <c r="AU346" i="1" s="1"/>
  <c r="AT345" i="1"/>
  <c r="AS345" i="1"/>
  <c r="AU345" i="1" s="1"/>
  <c r="AU344" i="1"/>
  <c r="AT344" i="1"/>
  <c r="AS344" i="1"/>
  <c r="AT343" i="1"/>
  <c r="AS343" i="1"/>
  <c r="AU343" i="1" s="1"/>
  <c r="AT342" i="1"/>
  <c r="AS342" i="1"/>
  <c r="AU342" i="1" s="1"/>
  <c r="AU341" i="1"/>
  <c r="AT341" i="1"/>
  <c r="AS341" i="1"/>
  <c r="AU340" i="1"/>
  <c r="AT340" i="1"/>
  <c r="AS340" i="1"/>
  <c r="AT339" i="1"/>
  <c r="AS339" i="1"/>
  <c r="AU339" i="1" s="1"/>
  <c r="AT338" i="1"/>
  <c r="AS338" i="1"/>
  <c r="AU338" i="1" s="1"/>
  <c r="AU337" i="1"/>
  <c r="AT337" i="1"/>
  <c r="AS337" i="1"/>
  <c r="AT336" i="1"/>
  <c r="AS336" i="1"/>
  <c r="AU336" i="1" s="1"/>
  <c r="AT335" i="1"/>
  <c r="AS335" i="1"/>
  <c r="AU335" i="1" s="1"/>
  <c r="AU334" i="1"/>
  <c r="AT334" i="1"/>
  <c r="AS334" i="1"/>
  <c r="AT333" i="1"/>
  <c r="AS333" i="1"/>
  <c r="AU333" i="1" s="1"/>
  <c r="AT332" i="1"/>
  <c r="AS332" i="1"/>
  <c r="AU332" i="1" s="1"/>
  <c r="AU331" i="1"/>
  <c r="AT331" i="1"/>
  <c r="AS331" i="1"/>
  <c r="AU330" i="1"/>
  <c r="AT330" i="1"/>
  <c r="AS330" i="1"/>
  <c r="AT329" i="1"/>
  <c r="AS329" i="1"/>
  <c r="AU329" i="1" s="1"/>
  <c r="AT328" i="1"/>
  <c r="AS328" i="1"/>
  <c r="AU328" i="1" s="1"/>
  <c r="AU327" i="1"/>
  <c r="AT327" i="1"/>
  <c r="AS327" i="1"/>
  <c r="AT326" i="1"/>
  <c r="AS326" i="1"/>
  <c r="AU326" i="1" s="1"/>
  <c r="AT325" i="1"/>
  <c r="AS325" i="1"/>
  <c r="AU325" i="1" s="1"/>
  <c r="AU324" i="1"/>
  <c r="AT324" i="1"/>
  <c r="AS324" i="1"/>
  <c r="AT323" i="1"/>
  <c r="AS323" i="1"/>
  <c r="AU323" i="1" s="1"/>
  <c r="AT322" i="1"/>
  <c r="AS322" i="1"/>
  <c r="AU322" i="1" s="1"/>
  <c r="AU321" i="1"/>
  <c r="AT321" i="1"/>
  <c r="AS321" i="1"/>
  <c r="AU320" i="1"/>
  <c r="AT320" i="1"/>
  <c r="AS320" i="1"/>
  <c r="AT319" i="1"/>
  <c r="AS319" i="1"/>
  <c r="AU319" i="1" s="1"/>
  <c r="AT318" i="1"/>
  <c r="AS318" i="1"/>
  <c r="AU318" i="1" s="1"/>
  <c r="AU317" i="1"/>
  <c r="AT317" i="1"/>
  <c r="AS317" i="1"/>
  <c r="AT316" i="1"/>
  <c r="AS316" i="1"/>
  <c r="AU316" i="1" s="1"/>
  <c r="AT315" i="1"/>
  <c r="AS315" i="1"/>
  <c r="AU315" i="1" s="1"/>
  <c r="AU314" i="1"/>
  <c r="AT314" i="1"/>
  <c r="AS314" i="1"/>
  <c r="AT313" i="1"/>
  <c r="AS313" i="1"/>
  <c r="AU313" i="1" s="1"/>
  <c r="AT312" i="1"/>
  <c r="AS312" i="1"/>
  <c r="AU312" i="1" s="1"/>
  <c r="AU311" i="1"/>
  <c r="AT311" i="1"/>
  <c r="AS311" i="1"/>
  <c r="AU310" i="1"/>
  <c r="AT310" i="1"/>
  <c r="AS310" i="1"/>
  <c r="AT309" i="1"/>
  <c r="AS309" i="1"/>
  <c r="AU309" i="1" s="1"/>
  <c r="AT308" i="1"/>
  <c r="AS308" i="1"/>
  <c r="AU308" i="1" s="1"/>
  <c r="AU307" i="1"/>
  <c r="AT307" i="1"/>
  <c r="AS307" i="1"/>
  <c r="AT306" i="1"/>
  <c r="AS306" i="1"/>
  <c r="AU306" i="1" s="1"/>
  <c r="AT305" i="1"/>
  <c r="AS305" i="1"/>
  <c r="AU305" i="1" s="1"/>
  <c r="AU304" i="1"/>
  <c r="AT304" i="1"/>
  <c r="AS304" i="1"/>
  <c r="AT303" i="1"/>
  <c r="AS303" i="1"/>
  <c r="AU303" i="1" s="1"/>
  <c r="AT302" i="1"/>
  <c r="AS302" i="1"/>
  <c r="AU302" i="1" s="1"/>
  <c r="AU301" i="1"/>
  <c r="AT301" i="1"/>
  <c r="AS301" i="1"/>
  <c r="AU300" i="1"/>
  <c r="AT300" i="1"/>
  <c r="AS300" i="1"/>
  <c r="AT299" i="1"/>
  <c r="AS299" i="1"/>
  <c r="AU299" i="1" s="1"/>
  <c r="AT298" i="1"/>
  <c r="AS298" i="1"/>
  <c r="AU298" i="1" s="1"/>
  <c r="AU297" i="1"/>
  <c r="AT297" i="1"/>
  <c r="AS297" i="1"/>
  <c r="AT296" i="1"/>
  <c r="AS296" i="1"/>
  <c r="AU296" i="1" s="1"/>
  <c r="AT295" i="1"/>
  <c r="AS295" i="1"/>
  <c r="AU295" i="1" s="1"/>
  <c r="AU294" i="1"/>
  <c r="AT294" i="1"/>
  <c r="AS294" i="1"/>
  <c r="AT293" i="1"/>
  <c r="AS293" i="1"/>
  <c r="AU293" i="1" s="1"/>
  <c r="AT292" i="1"/>
  <c r="AS292" i="1"/>
  <c r="AU292" i="1" s="1"/>
  <c r="AU291" i="1"/>
  <c r="AT291" i="1"/>
  <c r="AS291" i="1"/>
  <c r="AU290" i="1"/>
  <c r="AT290" i="1"/>
  <c r="AS290" i="1"/>
  <c r="AT289" i="1"/>
  <c r="AS289" i="1"/>
  <c r="AU289" i="1" s="1"/>
  <c r="AT288" i="1"/>
  <c r="AS288" i="1"/>
  <c r="AU288" i="1" s="1"/>
  <c r="AU287" i="1"/>
  <c r="AT287" i="1"/>
  <c r="AS287" i="1"/>
  <c r="AT286" i="1"/>
  <c r="AS286" i="1"/>
  <c r="AU286" i="1" s="1"/>
  <c r="AT285" i="1"/>
  <c r="AS285" i="1"/>
  <c r="AU285" i="1" s="1"/>
  <c r="AU284" i="1"/>
  <c r="AT284" i="1"/>
  <c r="AS284" i="1"/>
  <c r="AT283" i="1"/>
  <c r="AS283" i="1"/>
  <c r="AU283" i="1" s="1"/>
  <c r="AT282" i="1"/>
  <c r="AS282" i="1"/>
  <c r="AU282" i="1" s="1"/>
  <c r="AU281" i="1"/>
  <c r="AT281" i="1"/>
  <c r="AS281" i="1"/>
  <c r="AU280" i="1"/>
  <c r="AT280" i="1"/>
  <c r="AS280" i="1"/>
  <c r="AT279" i="1"/>
  <c r="AS279" i="1"/>
  <c r="AU279" i="1" s="1"/>
  <c r="AT278" i="1"/>
  <c r="AS278" i="1"/>
  <c r="AU278" i="1" s="1"/>
  <c r="AU277" i="1"/>
  <c r="AT277" i="1"/>
  <c r="AS277" i="1"/>
  <c r="AT276" i="1"/>
  <c r="AS276" i="1"/>
  <c r="AU276" i="1" s="1"/>
  <c r="AT275" i="1"/>
  <c r="AS275" i="1"/>
  <c r="AU275" i="1" s="1"/>
  <c r="AU274" i="1"/>
  <c r="AT274" i="1"/>
  <c r="AS274" i="1"/>
  <c r="AT273" i="1"/>
  <c r="AS273" i="1"/>
  <c r="AU273" i="1" s="1"/>
  <c r="AT272" i="1"/>
  <c r="AS272" i="1"/>
  <c r="AU272" i="1" s="1"/>
  <c r="AU271" i="1"/>
  <c r="AT271" i="1"/>
  <c r="AS271" i="1"/>
  <c r="AU270" i="1"/>
  <c r="AT270" i="1"/>
  <c r="AS270" i="1"/>
  <c r="AT269" i="1"/>
  <c r="AS269" i="1"/>
  <c r="AU269" i="1" s="1"/>
  <c r="AT268" i="1"/>
  <c r="AS268" i="1"/>
  <c r="AU268" i="1" s="1"/>
  <c r="AU267" i="1"/>
  <c r="AT267" i="1"/>
  <c r="AS267" i="1"/>
  <c r="AT266" i="1"/>
  <c r="AS266" i="1"/>
  <c r="AU266" i="1" s="1"/>
  <c r="AT265" i="1"/>
  <c r="AS265" i="1"/>
  <c r="AU265" i="1" s="1"/>
  <c r="AU264" i="1"/>
  <c r="AT264" i="1"/>
  <c r="AS264" i="1"/>
  <c r="AT263" i="1"/>
  <c r="AS263" i="1"/>
  <c r="AU263" i="1" s="1"/>
</calcChain>
</file>

<file path=xl/sharedStrings.xml><?xml version="1.0" encoding="utf-8"?>
<sst xmlns="http://schemas.openxmlformats.org/spreadsheetml/2006/main" count="116" uniqueCount="104">
  <si>
    <t>BÁO CÁO TỒN KHO / STOCK LIST REPORT</t>
  </si>
  <si>
    <t>(Áp dụng cho vật tư phụ &amp; vật tư dự phòng / Apply for consummabels &amp; spare part)</t>
  </si>
  <si>
    <t>TT</t>
  </si>
  <si>
    <t>Mã hàng</t>
  </si>
  <si>
    <t>Tên hàng hóa, vật tư</t>
  </si>
  <si>
    <t>Phân loại</t>
  </si>
  <si>
    <t>Hãng SX</t>
  </si>
  <si>
    <t>Model/Serial</t>
  </si>
  <si>
    <t>Đơn 
vị</t>
  </si>
  <si>
    <t>Đơn giá
(VNĐ)</t>
  </si>
  <si>
    <t>Tồn đầu kỳ</t>
  </si>
  <si>
    <t>Nhập trong kỳ</t>
  </si>
  <si>
    <t>Xuất trong kỳ</t>
  </si>
  <si>
    <t>Nhập trả lại</t>
  </si>
  <si>
    <t>Kiểm kê kho</t>
  </si>
  <si>
    <t>Tồn kho cuối kỳ</t>
  </si>
  <si>
    <t>Tồn kho tối thiểu</t>
  </si>
  <si>
    <t>Tồn kho tối đa</t>
  </si>
  <si>
    <t>Tần suất kiểm kê</t>
  </si>
  <si>
    <t>S.lượng
đặt hàng</t>
  </si>
  <si>
    <t>SL Thực tế đặt</t>
  </si>
  <si>
    <t>SỐ LƯỢNG SỬ DỤNG TRONG NĂM</t>
  </si>
  <si>
    <t>GIÁ TRỊ SỬ DỤNG TRONG NĂM (VNĐ)</t>
  </si>
  <si>
    <t>Giá trị sử dụng các năm trước</t>
  </si>
  <si>
    <t xml:space="preserve">Giá trị sử dụng trong năm </t>
  </si>
  <si>
    <t>Giá trị tồn kho</t>
  </si>
  <si>
    <t>Total</t>
  </si>
  <si>
    <t>No</t>
  </si>
  <si>
    <t>Material Code</t>
  </si>
  <si>
    <t>Name of material</t>
  </si>
  <si>
    <t>Classification</t>
  </si>
  <si>
    <t>Manufacturer</t>
  </si>
  <si>
    <t>Unit</t>
  </si>
  <si>
    <t>Unit Price</t>
  </si>
  <si>
    <t>Opening stock</t>
  </si>
  <si>
    <t>Received quantity</t>
  </si>
  <si>
    <t>Delivered quantity</t>
  </si>
  <si>
    <t>Returned quantity</t>
  </si>
  <si>
    <t>Warehouse inventory</t>
  </si>
  <si>
    <t>Closing stock</t>
  </si>
  <si>
    <t>Min stock</t>
  </si>
  <si>
    <t>Max stock</t>
  </si>
  <si>
    <t>Qty to be order</t>
  </si>
  <si>
    <t>Actual to be order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</si>
  <si>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</si>
  <si>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</si>
  <si>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</si>
  <si>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</si>
  <si>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</si>
  <si>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</si>
  <si>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</si>
  <si>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</si>
  <si>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</si>
  <si>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</si>
  <si>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</si>
  <si>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</si>
  <si>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</si>
  <si>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</si>
  <si>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</si>
  <si>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</si>
  <si>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</si>
  <si>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</si>
  <si>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</si>
  <si>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</si>
  <si>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</si>
  <si>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</si>
  <si>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</si>
  <si>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</si>
  <si>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</si>
  <si>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</si>
  <si>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</si>
  <si>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</si>
  <si>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</si>
  <si>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</si>
  <si>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</si>
  <si>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</si>
  <si>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</si>
  <si>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</si>
  <si>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</si>
  <si>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</si>
  <si>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</si>
  <si>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</si>
  <si>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</si>
  <si>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</si>
  <si>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</si>
  <si>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</si>
  <si>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</si>
  <si>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</si>
  <si>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</si>
  <si>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</si>
  <si>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</si>
  <si>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</si>
  <si>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</si>
  <si>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</si>
  <si>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</si>
  <si>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</si>
  <si>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</si>
  <si>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</si>
  <si>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</si>
  <si>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</si>
  <si>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</si>
  <si>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</si>
  <si>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</si>
  <si>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TỔNG CỘNG /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</si>
</sst>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1010409]d\ mmm\ yy"/>
    <numFmt numFmtId="165" formatCode="[$-14809]d/m/yyyy"/>
    <numFmt numFmtId="166" formatCode="_(* #,##0_);_(* \(#,##0\);_(* &quot;-&quot;??_);_(@_)"/>
    <numFmt numFmtId="167" formatCode="[$-409]d\-mmm\-yy"/>
    <numFmt numFmtId="168" formatCode="\-"/>
    <numFmt numFmtId="169" formatCode="#,##0.0_);\(#,##0.0\)"/>
  </numFmts>
  <fonts count="20" x14ac:knownFonts="1">
    <font>
      <sz val="11"/>
      <color theme="1"/>
      <name val="Calibri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2"/>
      <color theme="1"/>
      <name val="Arial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rgb="FF000000"/>
      <name val="Verdana"/>
      <family val="2"/>
    </font>
    <font>
      <i/>
      <sz val="10"/>
      <color theme="1"/>
      <name val="Verdana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1"/>
      <name val="Calibri"/>
      <family val="2"/>
    </font>
    <font>
      <b/>
      <sz val="12"/>
      <color rgb="FF000000"/>
      <name val="Verdana"/>
      <family val="2"/>
    </font>
    <font>
      <i/>
      <sz val="12"/>
      <color theme="1"/>
      <name val="Verdana"/>
      <family val="2"/>
    </font>
    <font>
      <b/>
      <i/>
      <sz val="12"/>
      <color theme="1"/>
      <name val="Verdana"/>
      <family val="2"/>
    </font>
    <font>
      <b/>
      <sz val="11"/>
      <color rgb="FFFF0000"/>
      <name val="Verdana"/>
      <family val="2"/>
    </font>
    <font>
      <sz val="11"/>
      <color theme="1"/>
      <name val="Calibri"/>
      <family val="2"/>
    </font>
    <font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vertical="center"/>
    </xf>
    <xf numFmtId="43" fontId="4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49" fontId="7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165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66" fontId="9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top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167" fontId="4" fillId="0" borderId="0" xfId="0" applyNumberFormat="1" applyFont="1" applyAlignment="1">
      <alignment horizontal="left" vertical="center"/>
    </xf>
    <xf numFmtId="0" fontId="6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vertical="center" wrapText="1"/>
    </xf>
    <xf numFmtId="1" fontId="6" fillId="3" borderId="2" xfId="0" applyNumberFormat="1" applyFont="1" applyFill="1" applyBorder="1" applyAlignment="1">
      <alignment horizontal="center" wrapText="1"/>
    </xf>
    <xf numFmtId="43" fontId="6" fillId="3" borderId="2" xfId="0" applyNumberFormat="1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shrinkToFit="1"/>
    </xf>
    <xf numFmtId="0" fontId="6" fillId="3" borderId="3" xfId="0" applyFont="1" applyFill="1" applyBorder="1" applyAlignment="1">
      <alignment horizontal="center" wrapText="1"/>
    </xf>
    <xf numFmtId="0" fontId="15" fillId="3" borderId="9" xfId="0" applyFont="1" applyFill="1" applyBorder="1" applyAlignment="1">
      <alignment vertical="top" wrapText="1"/>
    </xf>
    <xf numFmtId="0" fontId="16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top" shrinkToFit="1"/>
    </xf>
    <xf numFmtId="0" fontId="6" fillId="3" borderId="9" xfId="0" applyFont="1" applyFill="1" applyBorder="1" applyAlignment="1">
      <alignment vertical="center" wrapText="1"/>
    </xf>
    <xf numFmtId="1" fontId="15" fillId="3" borderId="9" xfId="0" applyNumberFormat="1" applyFont="1" applyFill="1" applyBorder="1" applyAlignment="1">
      <alignment horizontal="center" vertical="top" wrapText="1"/>
    </xf>
    <xf numFmtId="43" fontId="15" fillId="3" borderId="9" xfId="0" applyNumberFormat="1" applyFont="1" applyFill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center" wrapText="1"/>
    </xf>
    <xf numFmtId="17" fontId="6" fillId="4" borderId="10" xfId="0" applyNumberFormat="1" applyFont="1" applyFill="1" applyBorder="1" applyAlignment="1">
      <alignment horizontal="center" vertical="top" shrinkToFit="1"/>
    </xf>
    <xf numFmtId="17" fontId="6" fillId="3" borderId="10" xfId="0" applyNumberFormat="1" applyFont="1" applyFill="1" applyBorder="1" applyAlignment="1">
      <alignment horizontal="center" vertical="top" shrinkToFit="1"/>
    </xf>
    <xf numFmtId="49" fontId="17" fillId="3" borderId="9" xfId="0" applyNumberFormat="1" applyFont="1" applyFill="1" applyBorder="1" applyAlignment="1">
      <alignment horizontal="center" vertical="top" wrapText="1"/>
    </xf>
    <xf numFmtId="49" fontId="17" fillId="3" borderId="9" xfId="0" applyNumberFormat="1" applyFont="1" applyFill="1" applyBorder="1" applyAlignment="1">
      <alignment horizontal="center" vertical="top" shrinkToFit="1"/>
    </xf>
    <xf numFmtId="0" fontId="6" fillId="0" borderId="11" xfId="0" applyFont="1" applyBorder="1"/>
    <xf numFmtId="0" fontId="18" fillId="0" borderId="11" xfId="0" applyFont="1" applyBorder="1"/>
    <xf numFmtId="0" fontId="18" fillId="0" borderId="11" xfId="0" applyFont="1" applyBorder="1" applyAlignment="1">
      <alignment vertical="top"/>
    </xf>
    <xf numFmtId="168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6" fontId="19" fillId="0" borderId="11" xfId="0" applyNumberFormat="1" applyFont="1" applyBorder="1" applyAlignment="1">
      <alignment vertical="center" wrapText="1"/>
    </xf>
    <xf numFmtId="169" fontId="4" fillId="0" borderId="11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3" fontId="18" fillId="0" borderId="12" xfId="0" applyNumberFormat="1" applyFont="1" applyBorder="1"/>
    <xf numFmtId="0" fontId="4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168" fontId="4" fillId="0" borderId="13" xfId="0" applyNumberFormat="1" applyFont="1" applyBorder="1" applyAlignment="1">
      <alignment horizontal="center" vertical="center" wrapText="1"/>
    </xf>
    <xf numFmtId="166" fontId="19" fillId="0" borderId="13" xfId="0" applyNumberFormat="1" applyFont="1" applyBorder="1" applyAlignment="1">
      <alignment vertical="center" wrapText="1"/>
    </xf>
    <xf numFmtId="169" fontId="4" fillId="0" borderId="13" xfId="0" applyNumberFormat="1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3" fontId="18" fillId="0" borderId="14" xfId="0" applyNumberFormat="1" applyFont="1" applyBorder="1"/>
    <xf numFmtId="0" fontId="4" fillId="2" borderId="13" xfId="0" applyFont="1" applyFill="1" applyBorder="1" applyAlignment="1">
      <alignment horizontal="left" vertical="center" wrapText="1"/>
    </xf>
    <xf numFmtId="168" fontId="4" fillId="2" borderId="13" xfId="0" applyNumberFormat="1" applyFont="1" applyFill="1" applyBorder="1" applyAlignment="1">
      <alignment horizontal="center" vertical="center" wrapText="1"/>
    </xf>
    <xf numFmtId="166" fontId="4" fillId="2" borderId="13" xfId="0" applyNumberFormat="1" applyFont="1" applyFill="1" applyBorder="1" applyAlignment="1">
      <alignment vertical="center" wrapText="1"/>
    </xf>
    <xf numFmtId="166" fontId="4" fillId="0" borderId="13" xfId="0" applyNumberFormat="1" applyFont="1" applyBorder="1" applyAlignment="1">
      <alignment vertical="center" wrapText="1"/>
    </xf>
    <xf numFmtId="1" fontId="4" fillId="2" borderId="13" xfId="0" applyNumberFormat="1" applyFont="1" applyFill="1" applyBorder="1" applyAlignment="1">
      <alignment horizontal="center" vertical="center" wrapText="1"/>
    </xf>
    <xf numFmtId="43" fontId="4" fillId="2" borderId="13" xfId="0" applyNumberFormat="1" applyFont="1" applyFill="1" applyBorder="1" applyAlignment="1">
      <alignment horizontal="center" vertical="center" wrapText="1"/>
    </xf>
    <xf numFmtId="43" fontId="3" fillId="0" borderId="0" xfId="0" applyNumberFormat="1" applyFont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3" fontId="4" fillId="2" borderId="13" xfId="0" applyNumberFormat="1" applyFont="1" applyFill="1" applyBorder="1" applyAlignment="1">
      <alignment horizontal="center" vertical="center" shrinkToFit="1"/>
    </xf>
    <xf numFmtId="3" fontId="4" fillId="0" borderId="13" xfId="0" applyNumberFormat="1" applyFont="1" applyBorder="1" applyAlignment="1">
      <alignment horizontal="right" vertical="center" shrinkToFit="1"/>
    </xf>
    <xf numFmtId="166" fontId="3" fillId="0" borderId="13" xfId="0" applyNumberFormat="1" applyFont="1" applyBorder="1" applyAlignment="1">
      <alignment vertical="center" wrapText="1"/>
    </xf>
    <xf numFmtId="169" fontId="4" fillId="0" borderId="0" xfId="0" applyNumberFormat="1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3" fillId="0" borderId="5" xfId="0" applyFont="1" applyBorder="1"/>
    <xf numFmtId="0" fontId="13" fillId="0" borderId="6" xfId="0" applyFont="1" applyBorder="1"/>
    <xf numFmtId="0" fontId="6" fillId="3" borderId="7" xfId="0" applyFont="1" applyFill="1" applyBorder="1" applyAlignment="1">
      <alignment horizontal="center" wrapText="1"/>
    </xf>
    <xf numFmtId="0" fontId="14" fillId="3" borderId="8" xfId="0" applyFont="1" applyFill="1" applyBorder="1" applyAlignment="1">
      <alignment horizontal="center" vertical="center" wrapText="1"/>
    </xf>
    <xf numFmtId="0" fontId="13" fillId="0" borderId="11" xfId="0" applyFont="1" applyBorder="1"/>
    <xf numFmtId="0" fontId="11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66675</xdr:rowOff>
    </xdr:from>
    <xdr:ext cx="1066800" cy="5429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0"/>
  <sheetViews>
    <sheetView tabSelected="1" workbookViewId="0">
      <selection activeCell="X27" sqref="X27"/>
    </sheetView>
  </sheetViews>
  <sheetFormatPr baseColWidth="10" defaultColWidth="14.5" defaultRowHeight="15" customHeight="1" x14ac:dyDescent="0.2"/>
  <cols>
    <col min="1" max="5" width="8.6640625" customWidth="1"/>
    <col min="6" max="6" width="10.33203125" customWidth="1"/>
    <col min="7" max="17" width="8.6640625" customWidth="1"/>
    <col min="18" max="18" width="10.6640625" customWidth="1"/>
    <col min="19" max="43" width="8.6640625" customWidth="1"/>
    <col min="44" max="47" width="19.1640625" customWidth="1"/>
  </cols>
  <sheetData>
    <row r="1" spans="1:47" ht="21" customHeight="1" x14ac:dyDescent="0.2">
      <c r="A1" s="1"/>
      <c r="B1" s="2"/>
      <c r="C1" s="3"/>
      <c r="D1" s="3"/>
      <c r="E1" s="4"/>
      <c r="F1" s="4"/>
      <c r="G1" s="5" t="s">
        <v>0</v>
      </c>
      <c r="H1" s="6"/>
      <c r="I1" s="7"/>
      <c r="J1" s="8"/>
      <c r="K1" s="8"/>
      <c r="L1" s="9"/>
      <c r="M1" s="9"/>
      <c r="N1" s="10"/>
      <c r="O1" s="11"/>
      <c r="P1" s="8"/>
      <c r="Q1" s="8"/>
      <c r="R1" s="12"/>
      <c r="S1" s="12"/>
      <c r="T1" s="13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5"/>
      <c r="AT1" s="16"/>
      <c r="AU1" s="17"/>
    </row>
    <row r="2" spans="1:47" ht="15.75" customHeight="1" x14ac:dyDescent="0.2">
      <c r="A2" s="1"/>
      <c r="B2" s="2"/>
      <c r="C2" s="3"/>
      <c r="D2" s="3"/>
      <c r="E2" s="4"/>
      <c r="F2" s="4"/>
      <c r="G2" s="18" t="s">
        <v>1</v>
      </c>
      <c r="H2" s="6"/>
      <c r="I2" s="7"/>
      <c r="J2" s="8"/>
      <c r="K2" s="8"/>
      <c r="L2" s="8"/>
      <c r="M2" s="8"/>
      <c r="N2" s="19"/>
      <c r="O2" s="8"/>
      <c r="P2" s="8"/>
      <c r="Q2" s="8"/>
      <c r="R2" s="12"/>
      <c r="S2" s="12"/>
      <c r="T2" s="13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21"/>
      <c r="AU2" s="22"/>
    </row>
    <row r="3" spans="1:47" ht="64.5" customHeight="1" x14ac:dyDescent="0.2">
      <c r="A3" s="23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4" t="s">
        <v>7</v>
      </c>
      <c r="G3" s="23" t="s">
        <v>8</v>
      </c>
      <c r="H3" s="25" t="s">
        <v>9</v>
      </c>
      <c r="I3" s="26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3" t="s">
        <v>15</v>
      </c>
      <c r="O3" s="27" t="s">
        <v>16</v>
      </c>
      <c r="P3" s="27" t="s">
        <v>17</v>
      </c>
      <c r="Q3" s="27" t="s">
        <v>18</v>
      </c>
      <c r="R3" s="23" t="s">
        <v>19</v>
      </c>
      <c r="S3" s="28" t="s">
        <v>20</v>
      </c>
      <c r="T3" s="70" t="s">
        <v>21</v>
      </c>
      <c r="U3" s="71"/>
      <c r="V3" s="71"/>
      <c r="W3" s="71"/>
      <c r="X3" s="71"/>
      <c r="Y3" s="71"/>
      <c r="Z3" s="71"/>
      <c r="AA3" s="71"/>
      <c r="AB3" s="71"/>
      <c r="AC3" s="71"/>
      <c r="AD3" s="71"/>
      <c r="AE3" s="72"/>
      <c r="AF3" s="73" t="s">
        <v>22</v>
      </c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2"/>
      <c r="AR3" s="74" t="s">
        <v>23</v>
      </c>
      <c r="AS3" s="74" t="s">
        <v>24</v>
      </c>
      <c r="AT3" s="76" t="s">
        <v>25</v>
      </c>
      <c r="AU3" s="76" t="s">
        <v>26</v>
      </c>
    </row>
    <row r="4" spans="1:47" ht="64.5" customHeight="1" x14ac:dyDescent="0.2">
      <c r="A4" s="29" t="s">
        <v>27</v>
      </c>
      <c r="B4" s="30" t="s">
        <v>28</v>
      </c>
      <c r="C4" s="31" t="s">
        <v>29</v>
      </c>
      <c r="D4" s="32" t="s">
        <v>30</v>
      </c>
      <c r="E4" s="32" t="s">
        <v>31</v>
      </c>
      <c r="F4" s="33"/>
      <c r="G4" s="31" t="s">
        <v>32</v>
      </c>
      <c r="H4" s="34" t="s">
        <v>33</v>
      </c>
      <c r="I4" s="35" t="s">
        <v>34</v>
      </c>
      <c r="J4" s="36" t="s">
        <v>35</v>
      </c>
      <c r="K4" s="36" t="s">
        <v>36</v>
      </c>
      <c r="L4" s="36" t="s">
        <v>37</v>
      </c>
      <c r="M4" s="36" t="s">
        <v>38</v>
      </c>
      <c r="N4" s="30" t="s">
        <v>39</v>
      </c>
      <c r="O4" s="32" t="s">
        <v>40</v>
      </c>
      <c r="P4" s="32" t="s">
        <v>41</v>
      </c>
      <c r="Q4" s="32"/>
      <c r="R4" s="36" t="s">
        <v>42</v>
      </c>
      <c r="S4" s="36" t="s">
        <v>43</v>
      </c>
      <c r="T4" s="37" t="s">
        <v>44</v>
      </c>
      <c r="U4" s="37" t="s">
        <v>45</v>
      </c>
      <c r="V4" s="37" t="s">
        <v>46</v>
      </c>
      <c r="W4" s="37" t="s">
        <v>47</v>
      </c>
      <c r="X4" s="37" t="s">
        <v>48</v>
      </c>
      <c r="Y4" s="37" t="s">
        <v>49</v>
      </c>
      <c r="Z4" s="37" t="s">
        <v>50</v>
      </c>
      <c r="AA4" s="37" t="s">
        <v>51</v>
      </c>
      <c r="AB4" s="37" t="s">
        <v>52</v>
      </c>
      <c r="AC4" s="37" t="s">
        <v>53</v>
      </c>
      <c r="AD4" s="37" t="s">
        <v>54</v>
      </c>
      <c r="AE4" s="37" t="s">
        <v>55</v>
      </c>
      <c r="AF4" s="38" t="s">
        <v>44</v>
      </c>
      <c r="AG4" s="38" t="s">
        <v>45</v>
      </c>
      <c r="AH4" s="38" t="s">
        <v>46</v>
      </c>
      <c r="AI4" s="38" t="s">
        <v>47</v>
      </c>
      <c r="AJ4" s="38" t="s">
        <v>48</v>
      </c>
      <c r="AK4" s="38" t="s">
        <v>49</v>
      </c>
      <c r="AL4" s="38" t="s">
        <v>50</v>
      </c>
      <c r="AM4" s="38" t="s">
        <v>51</v>
      </c>
      <c r="AN4" s="38" t="s">
        <v>52</v>
      </c>
      <c r="AO4" s="38" t="s">
        <v>53</v>
      </c>
      <c r="AP4" s="38" t="s">
        <v>54</v>
      </c>
      <c r="AQ4" s="38" t="s">
        <v>55</v>
      </c>
      <c r="AR4" s="75"/>
      <c r="AS4" s="75"/>
      <c r="AT4" s="75"/>
      <c r="AU4" s="75"/>
    </row>
    <row r="5" spans="1:47" ht="14.25" customHeight="1" x14ac:dyDescent="0.2">
      <c r="A5" s="39" t="s">
        <v>56</v>
      </c>
      <c r="B5" s="39" t="s">
        <v>57</v>
      </c>
      <c r="C5" s="39" t="s">
        <v>58</v>
      </c>
      <c r="D5" s="40" t="s">
        <v>59</v>
      </c>
      <c r="E5" s="40" t="s">
        <v>60</v>
      </c>
      <c r="F5" s="39" t="s">
        <v>61</v>
      </c>
      <c r="G5" s="39" t="s">
        <v>62</v>
      </c>
      <c r="H5" s="39" t="s">
        <v>63</v>
      </c>
      <c r="I5" s="39" t="s">
        <v>64</v>
      </c>
      <c r="J5" s="39" t="s">
        <v>65</v>
      </c>
      <c r="K5" s="39" t="s">
        <v>66</v>
      </c>
      <c r="L5" s="39" t="s">
        <v>67</v>
      </c>
      <c r="M5" s="39" t="s">
        <v>68</v>
      </c>
      <c r="N5" s="39" t="s">
        <v>69</v>
      </c>
      <c r="O5" s="40" t="s">
        <v>70</v>
      </c>
      <c r="P5" s="40" t="s">
        <v>71</v>
      </c>
      <c r="Q5" s="39" t="s">
        <v>72</v>
      </c>
      <c r="R5" s="39" t="s">
        <v>73</v>
      </c>
      <c r="S5" s="40" t="s">
        <v>74</v>
      </c>
      <c r="T5" s="40" t="s">
        <v>75</v>
      </c>
      <c r="U5" s="40" t="s">
        <v>76</v>
      </c>
      <c r="V5" s="40" t="s">
        <v>77</v>
      </c>
      <c r="W5" s="40" t="s">
        <v>78</v>
      </c>
      <c r="X5" s="40" t="s">
        <v>79</v>
      </c>
      <c r="Y5" s="40" t="s">
        <v>80</v>
      </c>
      <c r="Z5" s="40" t="s">
        <v>81</v>
      </c>
      <c r="AA5" s="40" t="s">
        <v>82</v>
      </c>
      <c r="AB5" s="40" t="s">
        <v>83</v>
      </c>
      <c r="AC5" s="40" t="s">
        <v>84</v>
      </c>
      <c r="AD5" s="40" t="s">
        <v>85</v>
      </c>
      <c r="AE5" s="40" t="s">
        <v>86</v>
      </c>
      <c r="AF5" s="40" t="s">
        <v>87</v>
      </c>
      <c r="AG5" s="40" t="s">
        <v>88</v>
      </c>
      <c r="AH5" s="40" t="s">
        <v>89</v>
      </c>
      <c r="AI5" s="40" t="s">
        <v>90</v>
      </c>
      <c r="AJ5" s="40" t="s">
        <v>91</v>
      </c>
      <c r="AK5" s="40" t="s">
        <v>92</v>
      </c>
      <c r="AL5" s="40" t="s">
        <v>93</v>
      </c>
      <c r="AM5" s="40" t="s">
        <v>94</v>
      </c>
      <c r="AN5" s="40" t="s">
        <v>95</v>
      </c>
      <c r="AO5" s="40" t="s">
        <v>96</v>
      </c>
      <c r="AP5" s="40" t="s">
        <v>97</v>
      </c>
      <c r="AQ5" s="40" t="s">
        <v>98</v>
      </c>
      <c r="AR5" s="40" t="s">
        <v>99</v>
      </c>
      <c r="AS5" s="40" t="s">
        <v>100</v>
      </c>
      <c r="AT5" s="40" t="s">
        <v>101</v>
      </c>
      <c r="AU5" s="40" t="s">
        <v>102</v>
      </c>
    </row>
    <row r="6" spans="1:47" ht="15.75" customHeight="1" x14ac:dyDescent="0.2">
      <c r="A6" s="41" t="s">
        <v>103</v>
      </c>
      <c r="B6" s="42"/>
      <c r="C6" s="43"/>
      <c r="D6" s="43"/>
      <c r="E6" s="44"/>
      <c r="F6" s="44"/>
      <c r="G6" s="45"/>
      <c r="H6" s="46"/>
      <c r="I6" s="46"/>
      <c r="J6" s="45"/>
      <c r="K6" s="45"/>
      <c r="L6" s="45"/>
      <c r="M6" s="45"/>
      <c r="N6" s="47"/>
      <c r="O6" s="48"/>
      <c r="P6" s="48"/>
      <c r="Q6" s="48"/>
      <c r="R6" s="45"/>
      <c r="S6" s="45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</row>
    <row r="7" spans="1:47" ht="15.75" customHeight="1" x14ac:dyDescent="0.2">
      <c r="A7" s="50"/>
      <c r="B7" s="51"/>
      <c r="C7" s="52"/>
      <c r="D7" s="50"/>
      <c r="E7" s="53"/>
      <c r="F7" s="53"/>
      <c r="G7" s="50"/>
      <c r="H7" s="54"/>
      <c r="I7" s="54"/>
      <c r="J7" s="50"/>
      <c r="K7" s="50"/>
      <c r="L7" s="50"/>
      <c r="M7" s="50"/>
      <c r="N7" s="55"/>
      <c r="O7" s="56"/>
      <c r="P7" s="56"/>
      <c r="Q7" s="56"/>
      <c r="R7" s="50"/>
      <c r="S7" s="50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</row>
    <row r="8" spans="1:47" ht="15.75" customHeight="1" x14ac:dyDescent="0.2">
      <c r="A8" s="50"/>
      <c r="B8" s="51"/>
      <c r="C8" s="52"/>
      <c r="D8" s="50"/>
      <c r="E8" s="53"/>
      <c r="F8" s="53"/>
      <c r="G8" s="50"/>
      <c r="H8" s="54"/>
      <c r="I8" s="54"/>
      <c r="J8" s="50"/>
      <c r="K8" s="50"/>
      <c r="L8" s="50"/>
      <c r="M8" s="50"/>
      <c r="N8" s="55"/>
      <c r="O8" s="56"/>
      <c r="P8" s="56"/>
      <c r="Q8" s="56"/>
      <c r="R8" s="50"/>
      <c r="S8" s="50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</row>
    <row r="9" spans="1:47" ht="15.75" customHeight="1" x14ac:dyDescent="0.2">
      <c r="A9" s="50"/>
      <c r="B9" s="51"/>
      <c r="C9" s="52"/>
      <c r="D9" s="50"/>
      <c r="E9" s="53"/>
      <c r="F9" s="53"/>
      <c r="G9" s="50"/>
      <c r="H9" s="54"/>
      <c r="I9" s="54"/>
      <c r="J9" s="50"/>
      <c r="K9" s="50"/>
      <c r="L9" s="50"/>
      <c r="M9" s="50"/>
      <c r="N9" s="55"/>
      <c r="O9" s="56"/>
      <c r="P9" s="56"/>
      <c r="Q9" s="56"/>
      <c r="R9" s="50"/>
      <c r="S9" s="50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</row>
    <row r="10" spans="1:47" ht="15.75" customHeight="1" x14ac:dyDescent="0.2">
      <c r="A10" s="50"/>
      <c r="B10" s="51"/>
      <c r="C10" s="52"/>
      <c r="D10" s="50"/>
      <c r="E10" s="53"/>
      <c r="F10" s="53"/>
      <c r="G10" s="50"/>
      <c r="H10" s="54"/>
      <c r="I10" s="54"/>
      <c r="J10" s="50"/>
      <c r="K10" s="50"/>
      <c r="L10" s="50"/>
      <c r="M10" s="50"/>
      <c r="N10" s="55"/>
      <c r="O10" s="56"/>
      <c r="P10" s="56"/>
      <c r="Q10" s="56"/>
      <c r="R10" s="50"/>
      <c r="S10" s="50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</row>
    <row r="11" spans="1:47" ht="15.75" customHeight="1" x14ac:dyDescent="0.2">
      <c r="A11" s="50"/>
      <c r="B11" s="51"/>
      <c r="C11" s="58"/>
      <c r="D11" s="50"/>
      <c r="E11" s="53"/>
      <c r="F11" s="53"/>
      <c r="G11" s="50"/>
      <c r="H11" s="54"/>
      <c r="I11" s="54"/>
      <c r="J11" s="50"/>
      <c r="K11" s="50"/>
      <c r="L11" s="50"/>
      <c r="M11" s="50"/>
      <c r="N11" s="55"/>
      <c r="O11" s="56"/>
      <c r="P11" s="56"/>
      <c r="Q11" s="56"/>
      <c r="R11" s="50"/>
      <c r="S11" s="50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</row>
    <row r="12" spans="1:47" ht="15.75" customHeight="1" x14ac:dyDescent="0.2">
      <c r="A12" s="50"/>
      <c r="B12" s="51"/>
      <c r="C12" s="52"/>
      <c r="D12" s="50"/>
      <c r="E12" s="53"/>
      <c r="F12" s="53"/>
      <c r="G12" s="50"/>
      <c r="H12" s="54"/>
      <c r="I12" s="54"/>
      <c r="J12" s="50"/>
      <c r="K12" s="50"/>
      <c r="L12" s="50"/>
      <c r="M12" s="50"/>
      <c r="N12" s="55"/>
      <c r="O12" s="56"/>
      <c r="P12" s="56"/>
      <c r="Q12" s="56"/>
      <c r="R12" s="50"/>
      <c r="S12" s="50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</row>
    <row r="13" spans="1:47" ht="15.75" customHeight="1" x14ac:dyDescent="0.2">
      <c r="A13" s="50"/>
      <c r="B13" s="51"/>
      <c r="C13" s="52"/>
      <c r="D13" s="50"/>
      <c r="E13" s="53"/>
      <c r="F13" s="53"/>
      <c r="G13" s="50"/>
      <c r="H13" s="54"/>
      <c r="I13" s="54"/>
      <c r="J13" s="50"/>
      <c r="K13" s="50"/>
      <c r="L13" s="50"/>
      <c r="M13" s="50"/>
      <c r="N13" s="55"/>
      <c r="O13" s="56"/>
      <c r="P13" s="56"/>
      <c r="Q13" s="56"/>
      <c r="R13" s="50"/>
      <c r="S13" s="50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</row>
    <row r="14" spans="1:47" ht="15.75" customHeight="1" x14ac:dyDescent="0.2">
      <c r="A14" s="50"/>
      <c r="B14" s="51"/>
      <c r="C14" s="52"/>
      <c r="D14" s="50"/>
      <c r="E14" s="53"/>
      <c r="F14" s="53"/>
      <c r="G14" s="50"/>
      <c r="H14" s="54"/>
      <c r="I14" s="54"/>
      <c r="J14" s="50"/>
      <c r="K14" s="50"/>
      <c r="L14" s="50"/>
      <c r="M14" s="50"/>
      <c r="N14" s="55"/>
      <c r="O14" s="56"/>
      <c r="P14" s="56"/>
      <c r="Q14" s="56"/>
      <c r="R14" s="50"/>
      <c r="S14" s="50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</row>
    <row r="15" spans="1:47" ht="15.75" customHeight="1" x14ac:dyDescent="0.2">
      <c r="A15" s="50"/>
      <c r="B15" s="51"/>
      <c r="C15" s="52"/>
      <c r="D15" s="50"/>
      <c r="E15" s="53"/>
      <c r="F15" s="53"/>
      <c r="G15" s="50"/>
      <c r="H15" s="54"/>
      <c r="I15" s="54"/>
      <c r="J15" s="50"/>
      <c r="K15" s="50"/>
      <c r="L15" s="50"/>
      <c r="M15" s="50"/>
      <c r="N15" s="55"/>
      <c r="O15" s="56"/>
      <c r="P15" s="56"/>
      <c r="Q15" s="56"/>
      <c r="R15" s="50"/>
      <c r="S15" s="50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</row>
    <row r="16" spans="1:47" ht="15.75" customHeight="1" x14ac:dyDescent="0.2">
      <c r="A16" s="50"/>
      <c r="B16" s="51"/>
      <c r="C16" s="52"/>
      <c r="D16" s="50"/>
      <c r="E16" s="53"/>
      <c r="F16" s="53"/>
      <c r="G16" s="50"/>
      <c r="H16" s="54"/>
      <c r="I16" s="54"/>
      <c r="J16" s="50"/>
      <c r="K16" s="50"/>
      <c r="L16" s="50"/>
      <c r="M16" s="50"/>
      <c r="N16" s="55"/>
      <c r="O16" s="56"/>
      <c r="P16" s="56"/>
      <c r="Q16" s="56"/>
      <c r="R16" s="50"/>
      <c r="S16" s="50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</row>
    <row r="17" spans="1:47" ht="15.75" customHeight="1" x14ac:dyDescent="0.2">
      <c r="A17" s="50"/>
      <c r="B17" s="51"/>
      <c r="C17" s="58"/>
      <c r="D17" s="50"/>
      <c r="E17" s="53"/>
      <c r="F17" s="53"/>
      <c r="G17" s="50"/>
      <c r="H17" s="54"/>
      <c r="I17" s="54"/>
      <c r="J17" s="50"/>
      <c r="K17" s="50"/>
      <c r="L17" s="50"/>
      <c r="M17" s="50"/>
      <c r="N17" s="55"/>
      <c r="O17" s="56"/>
      <c r="P17" s="56"/>
      <c r="Q17" s="56"/>
      <c r="R17" s="50"/>
      <c r="S17" s="50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</row>
    <row r="18" spans="1:47" ht="15.75" customHeight="1" x14ac:dyDescent="0.2">
      <c r="A18" s="50"/>
      <c r="B18" s="51"/>
      <c r="C18" s="52"/>
      <c r="D18" s="50"/>
      <c r="E18" s="53"/>
      <c r="F18" s="53"/>
      <c r="G18" s="50"/>
      <c r="H18" s="54"/>
      <c r="I18" s="54"/>
      <c r="J18" s="50"/>
      <c r="K18" s="50"/>
      <c r="L18" s="50"/>
      <c r="M18" s="50"/>
      <c r="N18" s="55"/>
      <c r="O18" s="56"/>
      <c r="P18" s="56"/>
      <c r="Q18" s="56"/>
      <c r="R18" s="50"/>
      <c r="S18" s="50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</row>
    <row r="19" spans="1:47" ht="15.75" customHeight="1" x14ac:dyDescent="0.2">
      <c r="A19" s="50"/>
      <c r="B19" s="51"/>
      <c r="C19" s="52"/>
      <c r="D19" s="50"/>
      <c r="E19" s="53"/>
      <c r="F19" s="53"/>
      <c r="G19" s="50"/>
      <c r="H19" s="54"/>
      <c r="I19" s="54"/>
      <c r="J19" s="50"/>
      <c r="K19" s="50"/>
      <c r="L19" s="50"/>
      <c r="M19" s="50"/>
      <c r="N19" s="55"/>
      <c r="O19" s="56"/>
      <c r="P19" s="56"/>
      <c r="Q19" s="56"/>
      <c r="R19" s="50"/>
      <c r="S19" s="50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</row>
    <row r="20" spans="1:47" ht="15.75" customHeight="1" x14ac:dyDescent="0.2">
      <c r="A20" s="50"/>
      <c r="B20" s="51"/>
      <c r="C20" s="52"/>
      <c r="D20" s="50"/>
      <c r="E20" s="53"/>
      <c r="F20" s="53"/>
      <c r="G20" s="50"/>
      <c r="H20" s="54"/>
      <c r="I20" s="54"/>
      <c r="J20" s="50"/>
      <c r="K20" s="50"/>
      <c r="L20" s="50"/>
      <c r="M20" s="50"/>
      <c r="N20" s="55"/>
      <c r="O20" s="56"/>
      <c r="P20" s="56"/>
      <c r="Q20" s="56"/>
      <c r="R20" s="50"/>
      <c r="S20" s="50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</row>
    <row r="21" spans="1:47" ht="15.75" customHeight="1" x14ac:dyDescent="0.2">
      <c r="A21" s="50"/>
      <c r="B21" s="51"/>
      <c r="C21" s="52"/>
      <c r="D21" s="50"/>
      <c r="E21" s="53"/>
      <c r="F21" s="53"/>
      <c r="G21" s="50"/>
      <c r="H21" s="54"/>
      <c r="I21" s="54"/>
      <c r="J21" s="50"/>
      <c r="K21" s="50"/>
      <c r="L21" s="50"/>
      <c r="M21" s="50"/>
      <c r="N21" s="55"/>
      <c r="O21" s="56"/>
      <c r="P21" s="56"/>
      <c r="Q21" s="56"/>
      <c r="R21" s="50"/>
      <c r="S21" s="50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</row>
    <row r="22" spans="1:47" ht="15.75" customHeight="1" x14ac:dyDescent="0.2">
      <c r="A22" s="50"/>
      <c r="B22" s="51"/>
      <c r="C22" s="52"/>
      <c r="D22" s="50"/>
      <c r="E22" s="53"/>
      <c r="F22" s="53"/>
      <c r="G22" s="50"/>
      <c r="H22" s="54"/>
      <c r="I22" s="54"/>
      <c r="J22" s="50"/>
      <c r="K22" s="50"/>
      <c r="L22" s="50"/>
      <c r="M22" s="50"/>
      <c r="N22" s="55"/>
      <c r="O22" s="56"/>
      <c r="P22" s="56"/>
      <c r="Q22" s="56"/>
      <c r="R22" s="50"/>
      <c r="S22" s="50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</row>
    <row r="23" spans="1:47" ht="15.75" customHeight="1" x14ac:dyDescent="0.2">
      <c r="A23" s="50"/>
      <c r="B23" s="51"/>
      <c r="C23" s="52"/>
      <c r="D23" s="50"/>
      <c r="E23" s="53"/>
      <c r="F23" s="53"/>
      <c r="G23" s="50"/>
      <c r="H23" s="54"/>
      <c r="I23" s="54"/>
      <c r="J23" s="50"/>
      <c r="K23" s="50"/>
      <c r="L23" s="50"/>
      <c r="M23" s="50"/>
      <c r="N23" s="55"/>
      <c r="O23" s="56"/>
      <c r="P23" s="56"/>
      <c r="Q23" s="56"/>
      <c r="R23" s="50"/>
      <c r="S23" s="50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</row>
    <row r="24" spans="1:47" ht="15.75" customHeight="1" x14ac:dyDescent="0.2">
      <c r="A24" s="50"/>
      <c r="B24" s="51"/>
      <c r="C24" s="52"/>
      <c r="D24" s="50"/>
      <c r="E24" s="53"/>
      <c r="F24" s="53"/>
      <c r="G24" s="50"/>
      <c r="H24" s="54"/>
      <c r="I24" s="54"/>
      <c r="J24" s="50"/>
      <c r="K24" s="50"/>
      <c r="L24" s="50"/>
      <c r="M24" s="50"/>
      <c r="N24" s="55"/>
      <c r="O24" s="56"/>
      <c r="P24" s="56"/>
      <c r="Q24" s="56"/>
      <c r="R24" s="50"/>
      <c r="S24" s="50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</row>
    <row r="25" spans="1:47" ht="15.75" customHeight="1" x14ac:dyDescent="0.2">
      <c r="A25" s="50"/>
      <c r="B25" s="51"/>
      <c r="C25" s="52"/>
      <c r="D25" s="50"/>
      <c r="E25" s="53"/>
      <c r="F25" s="53"/>
      <c r="G25" s="50"/>
      <c r="H25" s="54"/>
      <c r="I25" s="54"/>
      <c r="J25" s="50"/>
      <c r="K25" s="50"/>
      <c r="L25" s="50"/>
      <c r="M25" s="50"/>
      <c r="N25" s="55"/>
      <c r="O25" s="56"/>
      <c r="P25" s="56"/>
      <c r="Q25" s="56"/>
      <c r="R25" s="50"/>
      <c r="S25" s="50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</row>
    <row r="26" spans="1:47" ht="15.75" customHeight="1" x14ac:dyDescent="0.2">
      <c r="A26" s="50"/>
      <c r="B26" s="51"/>
      <c r="C26" s="58"/>
      <c r="D26" s="50"/>
      <c r="E26" s="53"/>
      <c r="F26" s="53"/>
      <c r="G26" s="50"/>
      <c r="H26" s="54"/>
      <c r="I26" s="54"/>
      <c r="J26" s="50"/>
      <c r="K26" s="50"/>
      <c r="L26" s="50"/>
      <c r="M26" s="50"/>
      <c r="N26" s="55"/>
      <c r="O26" s="56"/>
      <c r="P26" s="56"/>
      <c r="Q26" s="56"/>
      <c r="R26" s="50"/>
      <c r="S26" s="50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</row>
    <row r="27" spans="1:47" ht="15.75" customHeight="1" x14ac:dyDescent="0.2">
      <c r="A27" s="50"/>
      <c r="B27" s="51"/>
      <c r="C27" s="58"/>
      <c r="D27" s="50"/>
      <c r="E27" s="53"/>
      <c r="F27" s="53"/>
      <c r="G27" s="50"/>
      <c r="H27" s="54"/>
      <c r="I27" s="54"/>
      <c r="J27" s="50"/>
      <c r="K27" s="50"/>
      <c r="L27" s="50"/>
      <c r="M27" s="50"/>
      <c r="N27" s="55"/>
      <c r="O27" s="56"/>
      <c r="P27" s="56"/>
      <c r="Q27" s="56"/>
      <c r="R27" s="50"/>
      <c r="S27" s="50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</row>
    <row r="28" spans="1:47" ht="15.75" customHeight="1" x14ac:dyDescent="0.2">
      <c r="A28" s="50"/>
      <c r="B28" s="51"/>
      <c r="C28" s="58"/>
      <c r="D28" s="50"/>
      <c r="E28" s="53"/>
      <c r="F28" s="53"/>
      <c r="G28" s="50"/>
      <c r="H28" s="54"/>
      <c r="I28" s="54"/>
      <c r="J28" s="50"/>
      <c r="K28" s="50"/>
      <c r="L28" s="50"/>
      <c r="M28" s="50"/>
      <c r="N28" s="55"/>
      <c r="O28" s="56"/>
      <c r="P28" s="56"/>
      <c r="Q28" s="56"/>
      <c r="R28" s="50"/>
      <c r="S28" s="50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</row>
    <row r="29" spans="1:47" ht="15.75" customHeight="1" x14ac:dyDescent="0.2">
      <c r="A29" s="50"/>
      <c r="B29" s="51"/>
      <c r="C29" s="58"/>
      <c r="D29" s="50"/>
      <c r="E29" s="53"/>
      <c r="F29" s="53"/>
      <c r="G29" s="50"/>
      <c r="H29" s="54"/>
      <c r="I29" s="54"/>
      <c r="J29" s="50"/>
      <c r="K29" s="50"/>
      <c r="L29" s="50"/>
      <c r="M29" s="50"/>
      <c r="N29" s="55"/>
      <c r="O29" s="56"/>
      <c r="P29" s="56"/>
      <c r="Q29" s="56"/>
      <c r="R29" s="50"/>
      <c r="S29" s="50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</row>
    <row r="30" spans="1:47" ht="15.75" customHeight="1" x14ac:dyDescent="0.2">
      <c r="A30" s="50"/>
      <c r="B30" s="51"/>
      <c r="C30" s="52"/>
      <c r="D30" s="50"/>
      <c r="E30" s="53"/>
      <c r="F30" s="53"/>
      <c r="G30" s="50"/>
      <c r="H30" s="54"/>
      <c r="I30" s="54"/>
      <c r="J30" s="50"/>
      <c r="K30" s="50"/>
      <c r="L30" s="50"/>
      <c r="M30" s="50"/>
      <c r="N30" s="55"/>
      <c r="O30" s="56"/>
      <c r="P30" s="56"/>
      <c r="Q30" s="56"/>
      <c r="R30" s="50"/>
      <c r="S30" s="50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</row>
    <row r="31" spans="1:47" ht="15.75" customHeight="1" x14ac:dyDescent="0.2">
      <c r="A31" s="50"/>
      <c r="B31" s="51"/>
      <c r="C31" s="52"/>
      <c r="D31" s="50"/>
      <c r="E31" s="53"/>
      <c r="F31" s="53"/>
      <c r="G31" s="50"/>
      <c r="H31" s="54"/>
      <c r="I31" s="54"/>
      <c r="J31" s="50"/>
      <c r="K31" s="50"/>
      <c r="L31" s="50"/>
      <c r="M31" s="50"/>
      <c r="N31" s="55"/>
      <c r="O31" s="56"/>
      <c r="P31" s="56"/>
      <c r="Q31" s="56"/>
      <c r="R31" s="50"/>
      <c r="S31" s="50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</row>
    <row r="32" spans="1:47" ht="15.75" customHeight="1" x14ac:dyDescent="0.2">
      <c r="A32" s="50"/>
      <c r="B32" s="51"/>
      <c r="C32" s="52"/>
      <c r="D32" s="50"/>
      <c r="E32" s="53"/>
      <c r="F32" s="53"/>
      <c r="G32" s="50"/>
      <c r="H32" s="54"/>
      <c r="I32" s="54"/>
      <c r="J32" s="50"/>
      <c r="K32" s="50"/>
      <c r="L32" s="50"/>
      <c r="M32" s="50"/>
      <c r="N32" s="55"/>
      <c r="O32" s="56"/>
      <c r="P32" s="56"/>
      <c r="Q32" s="56"/>
      <c r="R32" s="50"/>
      <c r="S32" s="50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</row>
    <row r="33" spans="1:47" ht="15.75" customHeight="1" x14ac:dyDescent="0.2">
      <c r="A33" s="50"/>
      <c r="B33" s="51"/>
      <c r="C33" s="58"/>
      <c r="D33" s="50"/>
      <c r="E33" s="53"/>
      <c r="F33" s="53"/>
      <c r="G33" s="50"/>
      <c r="H33" s="54"/>
      <c r="I33" s="54"/>
      <c r="J33" s="50"/>
      <c r="K33" s="50"/>
      <c r="L33" s="50"/>
      <c r="M33" s="50"/>
      <c r="N33" s="55"/>
      <c r="O33" s="56"/>
      <c r="P33" s="56"/>
      <c r="Q33" s="56"/>
      <c r="R33" s="50"/>
      <c r="S33" s="50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</row>
    <row r="34" spans="1:47" ht="15.75" customHeight="1" x14ac:dyDescent="0.2">
      <c r="A34" s="50"/>
      <c r="B34" s="51"/>
      <c r="C34" s="58"/>
      <c r="D34" s="50"/>
      <c r="E34" s="53"/>
      <c r="F34" s="53"/>
      <c r="G34" s="50"/>
      <c r="H34" s="54"/>
      <c r="I34" s="54"/>
      <c r="J34" s="50"/>
      <c r="K34" s="50"/>
      <c r="L34" s="50"/>
      <c r="M34" s="50"/>
      <c r="N34" s="55"/>
      <c r="O34" s="56"/>
      <c r="P34" s="56"/>
      <c r="Q34" s="56"/>
      <c r="R34" s="50"/>
      <c r="S34" s="50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</row>
    <row r="35" spans="1:47" ht="15.75" customHeight="1" x14ac:dyDescent="0.2">
      <c r="A35" s="50"/>
      <c r="B35" s="51"/>
      <c r="C35" s="52"/>
      <c r="D35" s="50"/>
      <c r="E35" s="53"/>
      <c r="F35" s="53"/>
      <c r="G35" s="50"/>
      <c r="H35" s="54"/>
      <c r="I35" s="54"/>
      <c r="J35" s="50"/>
      <c r="K35" s="50"/>
      <c r="L35" s="50"/>
      <c r="M35" s="50"/>
      <c r="N35" s="55"/>
      <c r="O35" s="56"/>
      <c r="P35" s="56"/>
      <c r="Q35" s="56"/>
      <c r="R35" s="50"/>
      <c r="S35" s="50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</row>
    <row r="36" spans="1:47" ht="15.75" customHeight="1" x14ac:dyDescent="0.2">
      <c r="A36" s="50"/>
      <c r="B36" s="51"/>
      <c r="C36" s="52"/>
      <c r="D36" s="50"/>
      <c r="E36" s="53"/>
      <c r="F36" s="53"/>
      <c r="G36" s="50"/>
      <c r="H36" s="54"/>
      <c r="I36" s="54"/>
      <c r="J36" s="50"/>
      <c r="K36" s="50"/>
      <c r="L36" s="50"/>
      <c r="M36" s="50"/>
      <c r="N36" s="55"/>
      <c r="O36" s="56"/>
      <c r="P36" s="56"/>
      <c r="Q36" s="56"/>
      <c r="R36" s="50"/>
      <c r="S36" s="50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</row>
    <row r="37" spans="1:47" ht="15.75" customHeight="1" x14ac:dyDescent="0.2">
      <c r="A37" s="50"/>
      <c r="B37" s="51"/>
      <c r="C37" s="52"/>
      <c r="D37" s="50"/>
      <c r="E37" s="53"/>
      <c r="F37" s="53"/>
      <c r="G37" s="50"/>
      <c r="H37" s="54"/>
      <c r="I37" s="54"/>
      <c r="J37" s="50"/>
      <c r="K37" s="50"/>
      <c r="L37" s="50"/>
      <c r="M37" s="50"/>
      <c r="N37" s="55"/>
      <c r="O37" s="56"/>
      <c r="P37" s="56"/>
      <c r="Q37" s="56"/>
      <c r="R37" s="50"/>
      <c r="S37" s="50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</row>
    <row r="38" spans="1:47" ht="15.75" customHeight="1" x14ac:dyDescent="0.2">
      <c r="A38" s="50"/>
      <c r="B38" s="51"/>
      <c r="C38" s="52"/>
      <c r="D38" s="50"/>
      <c r="E38" s="53"/>
      <c r="F38" s="53"/>
      <c r="G38" s="50"/>
      <c r="H38" s="54"/>
      <c r="I38" s="54"/>
      <c r="J38" s="50"/>
      <c r="K38" s="50"/>
      <c r="L38" s="50"/>
      <c r="M38" s="50"/>
      <c r="N38" s="55"/>
      <c r="O38" s="56"/>
      <c r="P38" s="56"/>
      <c r="Q38" s="56"/>
      <c r="R38" s="50"/>
      <c r="S38" s="50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</row>
    <row r="39" spans="1:47" ht="15.75" customHeight="1" x14ac:dyDescent="0.2">
      <c r="A39" s="50"/>
      <c r="B39" s="51"/>
      <c r="C39" s="52"/>
      <c r="D39" s="50"/>
      <c r="E39" s="53"/>
      <c r="F39" s="53"/>
      <c r="G39" s="50"/>
      <c r="H39" s="54"/>
      <c r="I39" s="54"/>
      <c r="J39" s="50"/>
      <c r="K39" s="50"/>
      <c r="L39" s="50"/>
      <c r="M39" s="50"/>
      <c r="N39" s="55"/>
      <c r="O39" s="56"/>
      <c r="P39" s="56"/>
      <c r="Q39" s="56"/>
      <c r="R39" s="50"/>
      <c r="S39" s="50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</row>
    <row r="40" spans="1:47" ht="15.75" customHeight="1" x14ac:dyDescent="0.2">
      <c r="A40" s="50"/>
      <c r="B40" s="51"/>
      <c r="C40" s="52"/>
      <c r="D40" s="50"/>
      <c r="E40" s="53"/>
      <c r="F40" s="53"/>
      <c r="G40" s="50"/>
      <c r="H40" s="54"/>
      <c r="I40" s="54"/>
      <c r="J40" s="50"/>
      <c r="K40" s="50"/>
      <c r="L40" s="50"/>
      <c r="M40" s="50"/>
      <c r="N40" s="55"/>
      <c r="O40" s="56"/>
      <c r="P40" s="56"/>
      <c r="Q40" s="56"/>
      <c r="R40" s="50"/>
      <c r="S40" s="50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</row>
    <row r="41" spans="1:47" ht="15.75" customHeight="1" x14ac:dyDescent="0.2">
      <c r="A41" s="50"/>
      <c r="B41" s="51"/>
      <c r="C41" s="52"/>
      <c r="D41" s="50"/>
      <c r="E41" s="53"/>
      <c r="F41" s="53"/>
      <c r="G41" s="50"/>
      <c r="H41" s="54"/>
      <c r="I41" s="54"/>
      <c r="J41" s="50"/>
      <c r="K41" s="50"/>
      <c r="L41" s="50"/>
      <c r="M41" s="50"/>
      <c r="N41" s="55"/>
      <c r="O41" s="56"/>
      <c r="P41" s="56"/>
      <c r="Q41" s="56"/>
      <c r="R41" s="50"/>
      <c r="S41" s="50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</row>
    <row r="42" spans="1:47" ht="15.75" customHeight="1" x14ac:dyDescent="0.2">
      <c r="A42" s="50"/>
      <c r="B42" s="51"/>
      <c r="C42" s="52"/>
      <c r="D42" s="50"/>
      <c r="E42" s="53"/>
      <c r="F42" s="53"/>
      <c r="G42" s="50"/>
      <c r="H42" s="54"/>
      <c r="I42" s="54"/>
      <c r="J42" s="50"/>
      <c r="K42" s="50"/>
      <c r="L42" s="50"/>
      <c r="M42" s="50"/>
      <c r="N42" s="55"/>
      <c r="O42" s="56"/>
      <c r="P42" s="56"/>
      <c r="Q42" s="56"/>
      <c r="R42" s="50"/>
      <c r="S42" s="50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</row>
    <row r="43" spans="1:47" ht="15.75" customHeight="1" x14ac:dyDescent="0.2">
      <c r="A43" s="50"/>
      <c r="B43" s="51"/>
      <c r="C43" s="52"/>
      <c r="D43" s="50"/>
      <c r="E43" s="53"/>
      <c r="F43" s="53"/>
      <c r="G43" s="50"/>
      <c r="H43" s="54"/>
      <c r="I43" s="54"/>
      <c r="J43" s="50"/>
      <c r="K43" s="50"/>
      <c r="L43" s="50"/>
      <c r="M43" s="50"/>
      <c r="N43" s="55"/>
      <c r="O43" s="56"/>
      <c r="P43" s="56"/>
      <c r="Q43" s="56"/>
      <c r="R43" s="50"/>
      <c r="S43" s="50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</row>
    <row r="44" spans="1:47" ht="15.75" customHeight="1" x14ac:dyDescent="0.2">
      <c r="A44" s="50"/>
      <c r="B44" s="51"/>
      <c r="C44" s="52"/>
      <c r="D44" s="50"/>
      <c r="E44" s="53"/>
      <c r="F44" s="53"/>
      <c r="G44" s="50"/>
      <c r="H44" s="54"/>
      <c r="I44" s="54"/>
      <c r="J44" s="50"/>
      <c r="K44" s="50"/>
      <c r="L44" s="50"/>
      <c r="M44" s="50"/>
      <c r="N44" s="55"/>
      <c r="O44" s="56"/>
      <c r="P44" s="56"/>
      <c r="Q44" s="56"/>
      <c r="R44" s="50"/>
      <c r="S44" s="50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</row>
    <row r="45" spans="1:47" ht="15.75" customHeight="1" x14ac:dyDescent="0.2">
      <c r="A45" s="50"/>
      <c r="B45" s="51"/>
      <c r="C45" s="52"/>
      <c r="D45" s="50"/>
      <c r="E45" s="53"/>
      <c r="F45" s="53"/>
      <c r="G45" s="50"/>
      <c r="H45" s="54"/>
      <c r="I45" s="54"/>
      <c r="J45" s="50"/>
      <c r="K45" s="50"/>
      <c r="L45" s="50"/>
      <c r="M45" s="50"/>
      <c r="N45" s="55"/>
      <c r="O45" s="56"/>
      <c r="P45" s="56"/>
      <c r="Q45" s="56"/>
      <c r="R45" s="50"/>
      <c r="S45" s="50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</row>
    <row r="46" spans="1:47" ht="15.75" customHeight="1" x14ac:dyDescent="0.2">
      <c r="A46" s="50"/>
      <c r="B46" s="51"/>
      <c r="C46" s="52"/>
      <c r="D46" s="50"/>
      <c r="E46" s="53"/>
      <c r="F46" s="53"/>
      <c r="G46" s="50"/>
      <c r="H46" s="54"/>
      <c r="I46" s="54"/>
      <c r="J46" s="50"/>
      <c r="K46" s="50"/>
      <c r="L46" s="50"/>
      <c r="M46" s="50"/>
      <c r="N46" s="55"/>
      <c r="O46" s="56"/>
      <c r="P46" s="56"/>
      <c r="Q46" s="56"/>
      <c r="R46" s="50"/>
      <c r="S46" s="50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</row>
    <row r="47" spans="1:47" ht="15.75" customHeight="1" x14ac:dyDescent="0.2">
      <c r="A47" s="50"/>
      <c r="B47" s="51"/>
      <c r="C47" s="52"/>
      <c r="D47" s="50"/>
      <c r="E47" s="53"/>
      <c r="F47" s="53"/>
      <c r="G47" s="50"/>
      <c r="H47" s="54"/>
      <c r="I47" s="54"/>
      <c r="J47" s="50"/>
      <c r="K47" s="50"/>
      <c r="L47" s="50"/>
      <c r="M47" s="50"/>
      <c r="N47" s="55"/>
      <c r="O47" s="56"/>
      <c r="P47" s="56"/>
      <c r="Q47" s="56"/>
      <c r="R47" s="50"/>
      <c r="S47" s="50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</row>
    <row r="48" spans="1:47" ht="15.75" customHeight="1" x14ac:dyDescent="0.2">
      <c r="A48" s="50"/>
      <c r="B48" s="51"/>
      <c r="C48" s="52"/>
      <c r="D48" s="50"/>
      <c r="E48" s="53"/>
      <c r="F48" s="53"/>
      <c r="G48" s="50"/>
      <c r="H48" s="54"/>
      <c r="I48" s="54"/>
      <c r="J48" s="50"/>
      <c r="K48" s="50"/>
      <c r="L48" s="50"/>
      <c r="M48" s="50"/>
      <c r="N48" s="55"/>
      <c r="O48" s="56"/>
      <c r="P48" s="56"/>
      <c r="Q48" s="56"/>
      <c r="R48" s="50"/>
      <c r="S48" s="50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</row>
    <row r="49" spans="1:47" ht="15.75" customHeight="1" x14ac:dyDescent="0.2">
      <c r="A49" s="50"/>
      <c r="B49" s="51"/>
      <c r="C49" s="52"/>
      <c r="D49" s="50"/>
      <c r="E49" s="53"/>
      <c r="F49" s="53"/>
      <c r="G49" s="50"/>
      <c r="H49" s="54"/>
      <c r="I49" s="54"/>
      <c r="J49" s="50"/>
      <c r="K49" s="50"/>
      <c r="L49" s="50"/>
      <c r="M49" s="50"/>
      <c r="N49" s="55"/>
      <c r="O49" s="56"/>
      <c r="P49" s="56"/>
      <c r="Q49" s="56"/>
      <c r="R49" s="50"/>
      <c r="S49" s="50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</row>
    <row r="50" spans="1:47" ht="15.75" customHeight="1" x14ac:dyDescent="0.2">
      <c r="A50" s="50"/>
      <c r="B50" s="51"/>
      <c r="C50" s="52"/>
      <c r="D50" s="50"/>
      <c r="E50" s="53"/>
      <c r="F50" s="53"/>
      <c r="G50" s="50"/>
      <c r="H50" s="54"/>
      <c r="I50" s="54"/>
      <c r="J50" s="50"/>
      <c r="K50" s="50"/>
      <c r="L50" s="50"/>
      <c r="M50" s="50"/>
      <c r="N50" s="55"/>
      <c r="O50" s="56"/>
      <c r="P50" s="56"/>
      <c r="Q50" s="56"/>
      <c r="R50" s="50"/>
      <c r="S50" s="50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</row>
    <row r="51" spans="1:47" ht="15.75" customHeight="1" x14ac:dyDescent="0.2">
      <c r="A51" s="50"/>
      <c r="B51" s="51"/>
      <c r="C51" s="52"/>
      <c r="D51" s="50"/>
      <c r="E51" s="53"/>
      <c r="F51" s="53"/>
      <c r="G51" s="50"/>
      <c r="H51" s="54"/>
      <c r="I51" s="54"/>
      <c r="J51" s="50"/>
      <c r="K51" s="50"/>
      <c r="L51" s="50"/>
      <c r="M51" s="50"/>
      <c r="N51" s="55"/>
      <c r="O51" s="56"/>
      <c r="P51" s="56"/>
      <c r="Q51" s="56"/>
      <c r="R51" s="50"/>
      <c r="S51" s="50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</row>
    <row r="52" spans="1:47" ht="15.75" customHeight="1" x14ac:dyDescent="0.2">
      <c r="A52" s="50"/>
      <c r="B52" s="51"/>
      <c r="C52" s="52"/>
      <c r="D52" s="50"/>
      <c r="E52" s="53"/>
      <c r="F52" s="53"/>
      <c r="G52" s="50"/>
      <c r="H52" s="54"/>
      <c r="I52" s="54"/>
      <c r="J52" s="50"/>
      <c r="K52" s="50"/>
      <c r="L52" s="50"/>
      <c r="M52" s="50"/>
      <c r="N52" s="55"/>
      <c r="O52" s="56"/>
      <c r="P52" s="56"/>
      <c r="Q52" s="56"/>
      <c r="R52" s="50"/>
      <c r="S52" s="50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</row>
    <row r="53" spans="1:47" ht="15.75" customHeight="1" x14ac:dyDescent="0.2">
      <c r="A53" s="50"/>
      <c r="B53" s="51"/>
      <c r="C53" s="52"/>
      <c r="D53" s="50"/>
      <c r="E53" s="53"/>
      <c r="F53" s="53"/>
      <c r="G53" s="50"/>
      <c r="H53" s="54"/>
      <c r="I53" s="54"/>
      <c r="J53" s="50"/>
      <c r="K53" s="50"/>
      <c r="L53" s="50"/>
      <c r="M53" s="50"/>
      <c r="N53" s="55"/>
      <c r="O53" s="56"/>
      <c r="P53" s="56"/>
      <c r="Q53" s="56"/>
      <c r="R53" s="50"/>
      <c r="S53" s="50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</row>
    <row r="54" spans="1:47" ht="15.75" customHeight="1" x14ac:dyDescent="0.2">
      <c r="A54" s="50"/>
      <c r="B54" s="51"/>
      <c r="C54" s="52"/>
      <c r="D54" s="50"/>
      <c r="E54" s="53"/>
      <c r="F54" s="53"/>
      <c r="G54" s="50"/>
      <c r="H54" s="54"/>
      <c r="I54" s="54"/>
      <c r="J54" s="50"/>
      <c r="K54" s="50"/>
      <c r="L54" s="50"/>
      <c r="M54" s="50"/>
      <c r="N54" s="55"/>
      <c r="O54" s="56"/>
      <c r="P54" s="56"/>
      <c r="Q54" s="56"/>
      <c r="R54" s="50"/>
      <c r="S54" s="50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</row>
    <row r="55" spans="1:47" ht="15.75" customHeight="1" x14ac:dyDescent="0.2">
      <c r="A55" s="50"/>
      <c r="B55" s="51"/>
      <c r="C55" s="52"/>
      <c r="D55" s="50"/>
      <c r="E55" s="53"/>
      <c r="F55" s="53"/>
      <c r="G55" s="50"/>
      <c r="H55" s="54"/>
      <c r="I55" s="54"/>
      <c r="J55" s="50"/>
      <c r="K55" s="50"/>
      <c r="L55" s="50"/>
      <c r="M55" s="50"/>
      <c r="N55" s="55"/>
      <c r="O55" s="56"/>
      <c r="P55" s="56"/>
      <c r="Q55" s="56"/>
      <c r="R55" s="50"/>
      <c r="S55" s="50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</row>
    <row r="56" spans="1:47" ht="15.75" customHeight="1" x14ac:dyDescent="0.2">
      <c r="A56" s="50"/>
      <c r="B56" s="51"/>
      <c r="C56" s="52"/>
      <c r="D56" s="50"/>
      <c r="E56" s="53"/>
      <c r="F56" s="53"/>
      <c r="G56" s="50"/>
      <c r="H56" s="54"/>
      <c r="I56" s="54"/>
      <c r="J56" s="50"/>
      <c r="K56" s="50"/>
      <c r="L56" s="50"/>
      <c r="M56" s="50"/>
      <c r="N56" s="55"/>
      <c r="O56" s="56"/>
      <c r="P56" s="56"/>
      <c r="Q56" s="56"/>
      <c r="R56" s="50"/>
      <c r="S56" s="50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</row>
    <row r="57" spans="1:47" ht="15.75" customHeight="1" x14ac:dyDescent="0.2">
      <c r="A57" s="50"/>
      <c r="B57" s="51"/>
      <c r="C57" s="52"/>
      <c r="D57" s="50"/>
      <c r="E57" s="53"/>
      <c r="F57" s="53"/>
      <c r="G57" s="50"/>
      <c r="H57" s="54"/>
      <c r="I57" s="54"/>
      <c r="J57" s="50"/>
      <c r="K57" s="50"/>
      <c r="L57" s="50"/>
      <c r="M57" s="50"/>
      <c r="N57" s="55"/>
      <c r="O57" s="56"/>
      <c r="P57" s="56"/>
      <c r="Q57" s="56"/>
      <c r="R57" s="50"/>
      <c r="S57" s="50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</row>
    <row r="58" spans="1:47" ht="15.75" customHeight="1" x14ac:dyDescent="0.2">
      <c r="A58" s="50"/>
      <c r="B58" s="51"/>
      <c r="C58" s="52"/>
      <c r="D58" s="50"/>
      <c r="E58" s="53"/>
      <c r="F58" s="53"/>
      <c r="G58" s="50"/>
      <c r="H58" s="54"/>
      <c r="I58" s="54"/>
      <c r="J58" s="50"/>
      <c r="K58" s="50"/>
      <c r="L58" s="50"/>
      <c r="M58" s="50"/>
      <c r="N58" s="55"/>
      <c r="O58" s="56"/>
      <c r="P58" s="56"/>
      <c r="Q58" s="56"/>
      <c r="R58" s="50"/>
      <c r="S58" s="50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</row>
    <row r="59" spans="1:47" ht="15.75" customHeight="1" x14ac:dyDescent="0.2">
      <c r="A59" s="50"/>
      <c r="B59" s="51"/>
      <c r="C59" s="52"/>
      <c r="D59" s="50"/>
      <c r="E59" s="53"/>
      <c r="F59" s="53"/>
      <c r="G59" s="50"/>
      <c r="H59" s="54"/>
      <c r="I59" s="54"/>
      <c r="J59" s="50"/>
      <c r="K59" s="50"/>
      <c r="L59" s="50"/>
      <c r="M59" s="50"/>
      <c r="N59" s="55"/>
      <c r="O59" s="56"/>
      <c r="P59" s="56"/>
      <c r="Q59" s="56"/>
      <c r="R59" s="50"/>
      <c r="S59" s="50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</row>
    <row r="60" spans="1:47" ht="15.75" customHeight="1" x14ac:dyDescent="0.2">
      <c r="A60" s="50"/>
      <c r="B60" s="51"/>
      <c r="C60" s="52"/>
      <c r="D60" s="50"/>
      <c r="E60" s="53"/>
      <c r="F60" s="53"/>
      <c r="G60" s="50"/>
      <c r="H60" s="54"/>
      <c r="I60" s="54"/>
      <c r="J60" s="50"/>
      <c r="K60" s="50"/>
      <c r="L60" s="50"/>
      <c r="M60" s="50"/>
      <c r="N60" s="55"/>
      <c r="O60" s="56"/>
      <c r="P60" s="56"/>
      <c r="Q60" s="56"/>
      <c r="R60" s="50"/>
      <c r="S60" s="50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</row>
    <row r="61" spans="1:47" ht="15.75" customHeight="1" x14ac:dyDescent="0.2">
      <c r="A61" s="50"/>
      <c r="B61" s="51"/>
      <c r="C61" s="52"/>
      <c r="D61" s="50"/>
      <c r="E61" s="53"/>
      <c r="F61" s="53"/>
      <c r="G61" s="50"/>
      <c r="H61" s="54"/>
      <c r="I61" s="54"/>
      <c r="J61" s="50"/>
      <c r="K61" s="50"/>
      <c r="L61" s="50"/>
      <c r="M61" s="50"/>
      <c r="N61" s="55"/>
      <c r="O61" s="56"/>
      <c r="P61" s="56"/>
      <c r="Q61" s="56"/>
      <c r="R61" s="50"/>
      <c r="S61" s="50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</row>
    <row r="62" spans="1:47" ht="15.75" customHeight="1" x14ac:dyDescent="0.2">
      <c r="A62" s="50"/>
      <c r="B62" s="51"/>
      <c r="C62" s="52"/>
      <c r="D62" s="50"/>
      <c r="E62" s="53"/>
      <c r="F62" s="53"/>
      <c r="G62" s="50"/>
      <c r="H62" s="54"/>
      <c r="I62" s="54"/>
      <c r="J62" s="50"/>
      <c r="K62" s="50"/>
      <c r="L62" s="50"/>
      <c r="M62" s="50"/>
      <c r="N62" s="55"/>
      <c r="O62" s="56"/>
      <c r="P62" s="56"/>
      <c r="Q62" s="56"/>
      <c r="R62" s="50"/>
      <c r="S62" s="50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</row>
    <row r="63" spans="1:47" ht="15.75" customHeight="1" x14ac:dyDescent="0.2">
      <c r="A63" s="50"/>
      <c r="B63" s="51"/>
      <c r="C63" s="52"/>
      <c r="D63" s="50"/>
      <c r="E63" s="53"/>
      <c r="F63" s="53"/>
      <c r="G63" s="50"/>
      <c r="H63" s="54"/>
      <c r="I63" s="54"/>
      <c r="J63" s="50"/>
      <c r="K63" s="50"/>
      <c r="L63" s="50"/>
      <c r="M63" s="50"/>
      <c r="N63" s="55"/>
      <c r="O63" s="56"/>
      <c r="P63" s="56"/>
      <c r="Q63" s="56"/>
      <c r="R63" s="50"/>
      <c r="S63" s="50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</row>
    <row r="64" spans="1:47" ht="15.75" customHeight="1" x14ac:dyDescent="0.2">
      <c r="A64" s="50"/>
      <c r="B64" s="51"/>
      <c r="C64" s="52"/>
      <c r="D64" s="50"/>
      <c r="E64" s="53"/>
      <c r="F64" s="53"/>
      <c r="G64" s="50"/>
      <c r="H64" s="54"/>
      <c r="I64" s="54"/>
      <c r="J64" s="50"/>
      <c r="K64" s="50"/>
      <c r="L64" s="50"/>
      <c r="M64" s="50"/>
      <c r="N64" s="55"/>
      <c r="O64" s="56"/>
      <c r="P64" s="56"/>
      <c r="Q64" s="56"/>
      <c r="R64" s="50"/>
      <c r="S64" s="50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</row>
    <row r="65" spans="1:47" ht="15.75" customHeight="1" x14ac:dyDescent="0.2">
      <c r="A65" s="50"/>
      <c r="B65" s="51"/>
      <c r="C65" s="52"/>
      <c r="D65" s="50"/>
      <c r="E65" s="53"/>
      <c r="F65" s="53"/>
      <c r="G65" s="50"/>
      <c r="H65" s="54"/>
      <c r="I65" s="54"/>
      <c r="J65" s="50"/>
      <c r="K65" s="50"/>
      <c r="L65" s="50"/>
      <c r="M65" s="50"/>
      <c r="N65" s="55"/>
      <c r="O65" s="56"/>
      <c r="P65" s="56"/>
      <c r="Q65" s="56"/>
      <c r="R65" s="50"/>
      <c r="S65" s="50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</row>
    <row r="66" spans="1:47" ht="15.75" customHeight="1" x14ac:dyDescent="0.2">
      <c r="A66" s="50"/>
      <c r="B66" s="51"/>
      <c r="C66" s="52"/>
      <c r="D66" s="50"/>
      <c r="E66" s="53"/>
      <c r="F66" s="53"/>
      <c r="G66" s="50"/>
      <c r="H66" s="54"/>
      <c r="I66" s="54"/>
      <c r="J66" s="50"/>
      <c r="K66" s="50"/>
      <c r="L66" s="50"/>
      <c r="M66" s="50"/>
      <c r="N66" s="55"/>
      <c r="O66" s="56"/>
      <c r="P66" s="56"/>
      <c r="Q66" s="56"/>
      <c r="R66" s="50"/>
      <c r="S66" s="50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</row>
    <row r="67" spans="1:47" ht="15.75" customHeight="1" x14ac:dyDescent="0.2">
      <c r="A67" s="50"/>
      <c r="B67" s="51"/>
      <c r="C67" s="52"/>
      <c r="D67" s="50"/>
      <c r="E67" s="53"/>
      <c r="F67" s="53"/>
      <c r="G67" s="50"/>
      <c r="H67" s="54"/>
      <c r="I67" s="54"/>
      <c r="J67" s="50"/>
      <c r="K67" s="50"/>
      <c r="L67" s="50"/>
      <c r="M67" s="50"/>
      <c r="N67" s="55"/>
      <c r="O67" s="56"/>
      <c r="P67" s="56"/>
      <c r="Q67" s="56"/>
      <c r="R67" s="50"/>
      <c r="S67" s="50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</row>
    <row r="68" spans="1:47" ht="15.75" customHeight="1" x14ac:dyDescent="0.2">
      <c r="A68" s="50"/>
      <c r="B68" s="51"/>
      <c r="C68" s="52"/>
      <c r="D68" s="50"/>
      <c r="E68" s="53"/>
      <c r="F68" s="53"/>
      <c r="G68" s="50"/>
      <c r="H68" s="54"/>
      <c r="I68" s="54"/>
      <c r="J68" s="50"/>
      <c r="K68" s="50"/>
      <c r="L68" s="50"/>
      <c r="M68" s="50"/>
      <c r="N68" s="55"/>
      <c r="O68" s="56"/>
      <c r="P68" s="56"/>
      <c r="Q68" s="56"/>
      <c r="R68" s="50"/>
      <c r="S68" s="50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</row>
    <row r="69" spans="1:47" ht="15.75" customHeight="1" x14ac:dyDescent="0.2">
      <c r="A69" s="50"/>
      <c r="B69" s="51"/>
      <c r="C69" s="52"/>
      <c r="D69" s="50"/>
      <c r="E69" s="53"/>
      <c r="F69" s="53"/>
      <c r="G69" s="50"/>
      <c r="H69" s="54"/>
      <c r="I69" s="54"/>
      <c r="J69" s="50"/>
      <c r="K69" s="50"/>
      <c r="L69" s="50"/>
      <c r="M69" s="50"/>
      <c r="N69" s="55"/>
      <c r="O69" s="56"/>
      <c r="P69" s="56"/>
      <c r="Q69" s="56"/>
      <c r="R69" s="50"/>
      <c r="S69" s="50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</row>
    <row r="70" spans="1:47" ht="15.75" customHeight="1" x14ac:dyDescent="0.2">
      <c r="A70" s="50"/>
      <c r="B70" s="51"/>
      <c r="C70" s="52"/>
      <c r="D70" s="50"/>
      <c r="E70" s="53"/>
      <c r="F70" s="53"/>
      <c r="G70" s="50"/>
      <c r="H70" s="54"/>
      <c r="I70" s="54"/>
      <c r="J70" s="50"/>
      <c r="K70" s="50"/>
      <c r="L70" s="50"/>
      <c r="M70" s="50"/>
      <c r="N70" s="55"/>
      <c r="O70" s="56"/>
      <c r="P70" s="56"/>
      <c r="Q70" s="56"/>
      <c r="R70" s="50"/>
      <c r="S70" s="50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</row>
    <row r="71" spans="1:47" ht="15.75" customHeight="1" x14ac:dyDescent="0.2">
      <c r="A71" s="50"/>
      <c r="B71" s="51"/>
      <c r="C71" s="52"/>
      <c r="D71" s="50"/>
      <c r="E71" s="53"/>
      <c r="F71" s="53"/>
      <c r="G71" s="50"/>
      <c r="H71" s="54"/>
      <c r="I71" s="54"/>
      <c r="J71" s="50"/>
      <c r="K71" s="50"/>
      <c r="L71" s="50"/>
      <c r="M71" s="50"/>
      <c r="N71" s="55"/>
      <c r="O71" s="56"/>
      <c r="P71" s="56"/>
      <c r="Q71" s="56"/>
      <c r="R71" s="50"/>
      <c r="S71" s="50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</row>
    <row r="72" spans="1:47" ht="15.75" customHeight="1" x14ac:dyDescent="0.2">
      <c r="A72" s="50"/>
      <c r="B72" s="51"/>
      <c r="C72" s="52"/>
      <c r="D72" s="50"/>
      <c r="E72" s="53"/>
      <c r="F72" s="53"/>
      <c r="G72" s="50"/>
      <c r="H72" s="54"/>
      <c r="I72" s="54"/>
      <c r="J72" s="50"/>
      <c r="K72" s="50"/>
      <c r="L72" s="50"/>
      <c r="M72" s="50"/>
      <c r="N72" s="55"/>
      <c r="O72" s="56"/>
      <c r="P72" s="56"/>
      <c r="Q72" s="56"/>
      <c r="R72" s="50"/>
      <c r="S72" s="50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</row>
    <row r="73" spans="1:47" ht="15.75" customHeight="1" x14ac:dyDescent="0.2">
      <c r="A73" s="50"/>
      <c r="B73" s="51"/>
      <c r="C73" s="52"/>
      <c r="D73" s="50"/>
      <c r="E73" s="53"/>
      <c r="F73" s="53"/>
      <c r="G73" s="50"/>
      <c r="H73" s="54"/>
      <c r="I73" s="54"/>
      <c r="J73" s="50"/>
      <c r="K73" s="50"/>
      <c r="L73" s="50"/>
      <c r="M73" s="50"/>
      <c r="N73" s="55"/>
      <c r="O73" s="56"/>
      <c r="P73" s="56"/>
      <c r="Q73" s="56"/>
      <c r="R73" s="50"/>
      <c r="S73" s="50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</row>
    <row r="74" spans="1:47" ht="15.75" customHeight="1" x14ac:dyDescent="0.2">
      <c r="A74" s="50"/>
      <c r="B74" s="51"/>
      <c r="C74" s="52"/>
      <c r="D74" s="50"/>
      <c r="E74" s="53"/>
      <c r="F74" s="53"/>
      <c r="G74" s="50"/>
      <c r="H74" s="54"/>
      <c r="I74" s="54"/>
      <c r="J74" s="50"/>
      <c r="K74" s="50"/>
      <c r="L74" s="50"/>
      <c r="M74" s="50"/>
      <c r="N74" s="55"/>
      <c r="O74" s="56"/>
      <c r="P74" s="56"/>
      <c r="Q74" s="56"/>
      <c r="R74" s="50"/>
      <c r="S74" s="50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</row>
    <row r="75" spans="1:47" ht="15.75" customHeight="1" x14ac:dyDescent="0.2">
      <c r="A75" s="50"/>
      <c r="B75" s="51"/>
      <c r="C75" s="52"/>
      <c r="D75" s="50"/>
      <c r="E75" s="53"/>
      <c r="F75" s="53"/>
      <c r="G75" s="50"/>
      <c r="H75" s="54"/>
      <c r="I75" s="54"/>
      <c r="J75" s="50"/>
      <c r="K75" s="50"/>
      <c r="L75" s="50"/>
      <c r="M75" s="50"/>
      <c r="N75" s="55"/>
      <c r="O75" s="56"/>
      <c r="P75" s="56"/>
      <c r="Q75" s="56"/>
      <c r="R75" s="50"/>
      <c r="S75" s="50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</row>
    <row r="76" spans="1:47" ht="15.75" customHeight="1" x14ac:dyDescent="0.2">
      <c r="A76" s="50"/>
      <c r="B76" s="51"/>
      <c r="C76" s="52"/>
      <c r="D76" s="50"/>
      <c r="E76" s="53"/>
      <c r="F76" s="53"/>
      <c r="G76" s="50"/>
      <c r="H76" s="54"/>
      <c r="I76" s="54"/>
      <c r="J76" s="50"/>
      <c r="K76" s="50"/>
      <c r="L76" s="50"/>
      <c r="M76" s="50"/>
      <c r="N76" s="55"/>
      <c r="O76" s="56"/>
      <c r="P76" s="56"/>
      <c r="Q76" s="56"/>
      <c r="R76" s="50"/>
      <c r="S76" s="50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</row>
    <row r="77" spans="1:47" ht="15.75" customHeight="1" x14ac:dyDescent="0.2">
      <c r="A77" s="50"/>
      <c r="B77" s="51"/>
      <c r="C77" s="52"/>
      <c r="D77" s="50"/>
      <c r="E77" s="53"/>
      <c r="F77" s="53"/>
      <c r="G77" s="50"/>
      <c r="H77" s="54"/>
      <c r="I77" s="54"/>
      <c r="J77" s="50"/>
      <c r="K77" s="50"/>
      <c r="L77" s="50"/>
      <c r="M77" s="50"/>
      <c r="N77" s="55"/>
      <c r="O77" s="56"/>
      <c r="P77" s="56"/>
      <c r="Q77" s="56"/>
      <c r="R77" s="50"/>
      <c r="S77" s="50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</row>
    <row r="78" spans="1:47" ht="15.75" customHeight="1" x14ac:dyDescent="0.2">
      <c r="A78" s="50"/>
      <c r="B78" s="51"/>
      <c r="C78" s="52"/>
      <c r="D78" s="50"/>
      <c r="E78" s="53"/>
      <c r="F78" s="53"/>
      <c r="G78" s="50"/>
      <c r="H78" s="54"/>
      <c r="I78" s="54"/>
      <c r="J78" s="50"/>
      <c r="K78" s="50"/>
      <c r="L78" s="50"/>
      <c r="M78" s="50"/>
      <c r="N78" s="55"/>
      <c r="O78" s="56"/>
      <c r="P78" s="56"/>
      <c r="Q78" s="56"/>
      <c r="R78" s="50"/>
      <c r="S78" s="50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</row>
    <row r="79" spans="1:47" ht="15.75" customHeight="1" x14ac:dyDescent="0.2">
      <c r="A79" s="50"/>
      <c r="B79" s="51"/>
      <c r="C79" s="52"/>
      <c r="D79" s="50"/>
      <c r="E79" s="53"/>
      <c r="F79" s="53"/>
      <c r="G79" s="50"/>
      <c r="H79" s="54"/>
      <c r="I79" s="54"/>
      <c r="J79" s="50"/>
      <c r="K79" s="50"/>
      <c r="L79" s="50"/>
      <c r="M79" s="50"/>
      <c r="N79" s="55"/>
      <c r="O79" s="56"/>
      <c r="P79" s="56"/>
      <c r="Q79" s="56"/>
      <c r="R79" s="50"/>
      <c r="S79" s="50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</row>
    <row r="80" spans="1:47" ht="15.75" customHeight="1" x14ac:dyDescent="0.2">
      <c r="A80" s="50"/>
      <c r="B80" s="51"/>
      <c r="C80" s="52"/>
      <c r="D80" s="50"/>
      <c r="E80" s="53"/>
      <c r="F80" s="53"/>
      <c r="G80" s="50"/>
      <c r="H80" s="54"/>
      <c r="I80" s="54"/>
      <c r="J80" s="50"/>
      <c r="K80" s="50"/>
      <c r="L80" s="50"/>
      <c r="M80" s="50"/>
      <c r="N80" s="55"/>
      <c r="O80" s="56"/>
      <c r="P80" s="56"/>
      <c r="Q80" s="56"/>
      <c r="R80" s="50"/>
      <c r="S80" s="50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</row>
    <row r="81" spans="1:47" ht="15.75" customHeight="1" x14ac:dyDescent="0.2">
      <c r="A81" s="50"/>
      <c r="B81" s="51"/>
      <c r="C81" s="52"/>
      <c r="D81" s="50"/>
      <c r="E81" s="53"/>
      <c r="F81" s="53"/>
      <c r="G81" s="50"/>
      <c r="H81" s="54"/>
      <c r="I81" s="54"/>
      <c r="J81" s="50"/>
      <c r="K81" s="50"/>
      <c r="L81" s="50"/>
      <c r="M81" s="50"/>
      <c r="N81" s="55"/>
      <c r="O81" s="56"/>
      <c r="P81" s="56"/>
      <c r="Q81" s="56"/>
      <c r="R81" s="50"/>
      <c r="S81" s="50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</row>
    <row r="82" spans="1:47" ht="15.75" customHeight="1" x14ac:dyDescent="0.2">
      <c r="A82" s="50"/>
      <c r="B82" s="51"/>
      <c r="C82" s="52"/>
      <c r="D82" s="50"/>
      <c r="E82" s="53"/>
      <c r="F82" s="53"/>
      <c r="G82" s="50"/>
      <c r="H82" s="54"/>
      <c r="I82" s="54"/>
      <c r="J82" s="50"/>
      <c r="K82" s="50"/>
      <c r="L82" s="50"/>
      <c r="M82" s="50"/>
      <c r="N82" s="55"/>
      <c r="O82" s="56"/>
      <c r="P82" s="56"/>
      <c r="Q82" s="56"/>
      <c r="R82" s="50"/>
      <c r="S82" s="50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</row>
    <row r="83" spans="1:47" ht="15.75" customHeight="1" x14ac:dyDescent="0.2">
      <c r="A83" s="50"/>
      <c r="B83" s="51"/>
      <c r="C83" s="52"/>
      <c r="D83" s="50"/>
      <c r="E83" s="53"/>
      <c r="F83" s="53"/>
      <c r="G83" s="50"/>
      <c r="H83" s="54"/>
      <c r="I83" s="54"/>
      <c r="J83" s="50"/>
      <c r="K83" s="50"/>
      <c r="L83" s="50"/>
      <c r="M83" s="50"/>
      <c r="N83" s="55"/>
      <c r="O83" s="56"/>
      <c r="P83" s="56"/>
      <c r="Q83" s="56"/>
      <c r="R83" s="50"/>
      <c r="S83" s="50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</row>
    <row r="84" spans="1:47" ht="15.75" customHeight="1" x14ac:dyDescent="0.2">
      <c r="A84" s="50"/>
      <c r="B84" s="51"/>
      <c r="C84" s="52"/>
      <c r="D84" s="50"/>
      <c r="E84" s="53"/>
      <c r="F84" s="53"/>
      <c r="G84" s="50"/>
      <c r="H84" s="54"/>
      <c r="I84" s="54"/>
      <c r="J84" s="50"/>
      <c r="K84" s="50"/>
      <c r="L84" s="50"/>
      <c r="M84" s="50"/>
      <c r="N84" s="55"/>
      <c r="O84" s="56"/>
      <c r="P84" s="56"/>
      <c r="Q84" s="56"/>
      <c r="R84" s="50"/>
      <c r="S84" s="50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</row>
    <row r="85" spans="1:47" ht="15.75" customHeight="1" x14ac:dyDescent="0.2">
      <c r="A85" s="50"/>
      <c r="B85" s="51"/>
      <c r="C85" s="58"/>
      <c r="D85" s="50"/>
      <c r="E85" s="53"/>
      <c r="F85" s="53"/>
      <c r="G85" s="50"/>
      <c r="H85" s="54"/>
      <c r="I85" s="54"/>
      <c r="J85" s="50"/>
      <c r="K85" s="50"/>
      <c r="L85" s="50"/>
      <c r="M85" s="50"/>
      <c r="N85" s="55"/>
      <c r="O85" s="56"/>
      <c r="P85" s="56"/>
      <c r="Q85" s="56"/>
      <c r="R85" s="50"/>
      <c r="S85" s="50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</row>
    <row r="86" spans="1:47" ht="15.75" customHeight="1" x14ac:dyDescent="0.2">
      <c r="A86" s="50"/>
      <c r="B86" s="51"/>
      <c r="C86" s="52"/>
      <c r="D86" s="50"/>
      <c r="E86" s="53"/>
      <c r="F86" s="53"/>
      <c r="G86" s="50"/>
      <c r="H86" s="54"/>
      <c r="I86" s="54"/>
      <c r="J86" s="50"/>
      <c r="K86" s="50"/>
      <c r="L86" s="50"/>
      <c r="M86" s="50"/>
      <c r="N86" s="55"/>
      <c r="O86" s="56"/>
      <c r="P86" s="56"/>
      <c r="Q86" s="56"/>
      <c r="R86" s="50"/>
      <c r="S86" s="50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</row>
    <row r="87" spans="1:47" ht="15.75" customHeight="1" x14ac:dyDescent="0.2">
      <c r="A87" s="50"/>
      <c r="B87" s="51"/>
      <c r="C87" s="52"/>
      <c r="D87" s="50"/>
      <c r="E87" s="53"/>
      <c r="F87" s="53"/>
      <c r="G87" s="50"/>
      <c r="H87" s="54"/>
      <c r="I87" s="54"/>
      <c r="J87" s="50"/>
      <c r="K87" s="50"/>
      <c r="L87" s="50"/>
      <c r="M87" s="50"/>
      <c r="N87" s="55"/>
      <c r="O87" s="56"/>
      <c r="P87" s="56"/>
      <c r="Q87" s="56"/>
      <c r="R87" s="50"/>
      <c r="S87" s="50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</row>
    <row r="88" spans="1:47" ht="15.75" customHeight="1" x14ac:dyDescent="0.2">
      <c r="A88" s="50"/>
      <c r="B88" s="51"/>
      <c r="C88" s="52"/>
      <c r="D88" s="50"/>
      <c r="E88" s="53"/>
      <c r="F88" s="53"/>
      <c r="G88" s="50"/>
      <c r="H88" s="54"/>
      <c r="I88" s="54"/>
      <c r="J88" s="50"/>
      <c r="K88" s="50"/>
      <c r="L88" s="50"/>
      <c r="M88" s="50"/>
      <c r="N88" s="55"/>
      <c r="O88" s="56"/>
      <c r="P88" s="56"/>
      <c r="Q88" s="56"/>
      <c r="R88" s="50"/>
      <c r="S88" s="50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</row>
    <row r="89" spans="1:47" ht="15.75" customHeight="1" x14ac:dyDescent="0.2">
      <c r="A89" s="50"/>
      <c r="B89" s="51"/>
      <c r="C89" s="52"/>
      <c r="D89" s="50"/>
      <c r="E89" s="53"/>
      <c r="F89" s="53"/>
      <c r="G89" s="50"/>
      <c r="H89" s="54"/>
      <c r="I89" s="54"/>
      <c r="J89" s="50"/>
      <c r="K89" s="50"/>
      <c r="L89" s="50"/>
      <c r="M89" s="50"/>
      <c r="N89" s="55"/>
      <c r="O89" s="56"/>
      <c r="P89" s="56"/>
      <c r="Q89" s="56"/>
      <c r="R89" s="50"/>
      <c r="S89" s="50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</row>
    <row r="90" spans="1:47" ht="15.75" customHeight="1" x14ac:dyDescent="0.2">
      <c r="A90" s="50"/>
      <c r="B90" s="51"/>
      <c r="C90" s="52"/>
      <c r="D90" s="50"/>
      <c r="E90" s="53"/>
      <c r="F90" s="53"/>
      <c r="G90" s="50"/>
      <c r="H90" s="54"/>
      <c r="I90" s="54"/>
      <c r="J90" s="50"/>
      <c r="K90" s="50"/>
      <c r="L90" s="50"/>
      <c r="M90" s="50"/>
      <c r="N90" s="55"/>
      <c r="O90" s="56"/>
      <c r="P90" s="56"/>
      <c r="Q90" s="56"/>
      <c r="R90" s="50"/>
      <c r="S90" s="50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</row>
    <row r="91" spans="1:47" ht="15.75" customHeight="1" x14ac:dyDescent="0.2">
      <c r="A91" s="50"/>
      <c r="B91" s="51"/>
      <c r="C91" s="52"/>
      <c r="D91" s="50"/>
      <c r="E91" s="53"/>
      <c r="F91" s="53"/>
      <c r="G91" s="50"/>
      <c r="H91" s="54"/>
      <c r="I91" s="54"/>
      <c r="J91" s="50"/>
      <c r="K91" s="50"/>
      <c r="L91" s="50"/>
      <c r="M91" s="50"/>
      <c r="N91" s="55"/>
      <c r="O91" s="56"/>
      <c r="P91" s="56"/>
      <c r="Q91" s="56"/>
      <c r="R91" s="50"/>
      <c r="S91" s="50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</row>
    <row r="92" spans="1:47" ht="15.75" customHeight="1" x14ac:dyDescent="0.2">
      <c r="A92" s="50"/>
      <c r="B92" s="51"/>
      <c r="C92" s="52"/>
      <c r="D92" s="50"/>
      <c r="E92" s="53"/>
      <c r="F92" s="53"/>
      <c r="G92" s="50"/>
      <c r="H92" s="54"/>
      <c r="I92" s="54"/>
      <c r="J92" s="50"/>
      <c r="K92" s="50"/>
      <c r="L92" s="50"/>
      <c r="M92" s="50"/>
      <c r="N92" s="55"/>
      <c r="O92" s="56"/>
      <c r="P92" s="56"/>
      <c r="Q92" s="56"/>
      <c r="R92" s="50"/>
      <c r="S92" s="50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</row>
    <row r="93" spans="1:47" ht="15.75" customHeight="1" x14ac:dyDescent="0.2">
      <c r="A93" s="50"/>
      <c r="B93" s="51"/>
      <c r="C93" s="52"/>
      <c r="D93" s="50"/>
      <c r="E93" s="53"/>
      <c r="F93" s="53"/>
      <c r="G93" s="50"/>
      <c r="H93" s="54"/>
      <c r="I93" s="54"/>
      <c r="J93" s="50"/>
      <c r="K93" s="50"/>
      <c r="L93" s="50"/>
      <c r="M93" s="50"/>
      <c r="N93" s="55"/>
      <c r="O93" s="56"/>
      <c r="P93" s="56"/>
      <c r="Q93" s="56"/>
      <c r="R93" s="50"/>
      <c r="S93" s="50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</row>
    <row r="94" spans="1:47" ht="15.75" customHeight="1" x14ac:dyDescent="0.2">
      <c r="A94" s="50"/>
      <c r="B94" s="51"/>
      <c r="C94" s="52"/>
      <c r="D94" s="50"/>
      <c r="E94" s="53"/>
      <c r="F94" s="53"/>
      <c r="G94" s="50"/>
      <c r="H94" s="54"/>
      <c r="I94" s="54"/>
      <c r="J94" s="50"/>
      <c r="K94" s="50"/>
      <c r="L94" s="50"/>
      <c r="M94" s="50"/>
      <c r="N94" s="55"/>
      <c r="O94" s="56"/>
      <c r="P94" s="56"/>
      <c r="Q94" s="56"/>
      <c r="R94" s="50"/>
      <c r="S94" s="50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</row>
    <row r="95" spans="1:47" ht="15.75" customHeight="1" x14ac:dyDescent="0.2">
      <c r="A95" s="50"/>
      <c r="B95" s="51"/>
      <c r="C95" s="52"/>
      <c r="D95" s="50"/>
      <c r="E95" s="53"/>
      <c r="F95" s="53"/>
      <c r="G95" s="50"/>
      <c r="H95" s="54"/>
      <c r="I95" s="54"/>
      <c r="J95" s="50"/>
      <c r="K95" s="50"/>
      <c r="L95" s="50"/>
      <c r="M95" s="50"/>
      <c r="N95" s="55"/>
      <c r="O95" s="56"/>
      <c r="P95" s="56"/>
      <c r="Q95" s="56"/>
      <c r="R95" s="50"/>
      <c r="S95" s="50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</row>
    <row r="96" spans="1:47" ht="15.75" customHeight="1" x14ac:dyDescent="0.2">
      <c r="A96" s="50"/>
      <c r="B96" s="51"/>
      <c r="C96" s="52"/>
      <c r="D96" s="50"/>
      <c r="E96" s="53"/>
      <c r="F96" s="53"/>
      <c r="G96" s="50"/>
      <c r="H96" s="54"/>
      <c r="I96" s="54"/>
      <c r="J96" s="50"/>
      <c r="K96" s="50"/>
      <c r="L96" s="50"/>
      <c r="M96" s="50"/>
      <c r="N96" s="55"/>
      <c r="O96" s="56"/>
      <c r="P96" s="56"/>
      <c r="Q96" s="56"/>
      <c r="R96" s="50"/>
      <c r="S96" s="50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</row>
    <row r="97" spans="1:47" ht="15.75" customHeight="1" x14ac:dyDescent="0.2">
      <c r="A97" s="50"/>
      <c r="B97" s="51"/>
      <c r="C97" s="52"/>
      <c r="D97" s="50"/>
      <c r="E97" s="53"/>
      <c r="F97" s="53"/>
      <c r="G97" s="50"/>
      <c r="H97" s="54"/>
      <c r="I97" s="54"/>
      <c r="J97" s="50"/>
      <c r="K97" s="50"/>
      <c r="L97" s="50"/>
      <c r="M97" s="50"/>
      <c r="N97" s="55"/>
      <c r="O97" s="56"/>
      <c r="P97" s="56"/>
      <c r="Q97" s="56"/>
      <c r="R97" s="50"/>
      <c r="S97" s="50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</row>
    <row r="98" spans="1:47" ht="15.75" customHeight="1" x14ac:dyDescent="0.2">
      <c r="A98" s="50"/>
      <c r="B98" s="51"/>
      <c r="C98" s="52"/>
      <c r="D98" s="50"/>
      <c r="E98" s="53"/>
      <c r="F98" s="53"/>
      <c r="G98" s="50"/>
      <c r="H98" s="54"/>
      <c r="I98" s="54"/>
      <c r="J98" s="50"/>
      <c r="K98" s="50"/>
      <c r="L98" s="50"/>
      <c r="M98" s="50"/>
      <c r="N98" s="55"/>
      <c r="O98" s="56"/>
      <c r="P98" s="56"/>
      <c r="Q98" s="56"/>
      <c r="R98" s="50"/>
      <c r="S98" s="50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</row>
    <row r="99" spans="1:47" ht="15.75" customHeight="1" x14ac:dyDescent="0.2">
      <c r="A99" s="50"/>
      <c r="B99" s="51"/>
      <c r="C99" s="52"/>
      <c r="D99" s="50"/>
      <c r="E99" s="53"/>
      <c r="F99" s="53"/>
      <c r="G99" s="50"/>
      <c r="H99" s="54"/>
      <c r="I99" s="54"/>
      <c r="J99" s="50"/>
      <c r="K99" s="50"/>
      <c r="L99" s="50"/>
      <c r="M99" s="50"/>
      <c r="N99" s="55"/>
      <c r="O99" s="56"/>
      <c r="P99" s="56"/>
      <c r="Q99" s="56"/>
      <c r="R99" s="50"/>
      <c r="S99" s="50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</row>
    <row r="100" spans="1:47" ht="15.75" customHeight="1" x14ac:dyDescent="0.2">
      <c r="A100" s="50"/>
      <c r="B100" s="51"/>
      <c r="C100" s="52"/>
      <c r="D100" s="50"/>
      <c r="E100" s="53"/>
      <c r="F100" s="53"/>
      <c r="G100" s="50"/>
      <c r="H100" s="54"/>
      <c r="I100" s="54"/>
      <c r="J100" s="50"/>
      <c r="K100" s="50"/>
      <c r="L100" s="50"/>
      <c r="M100" s="50"/>
      <c r="N100" s="55"/>
      <c r="O100" s="56"/>
      <c r="P100" s="56"/>
      <c r="Q100" s="56"/>
      <c r="R100" s="50"/>
      <c r="S100" s="50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</row>
    <row r="101" spans="1:47" ht="15.75" customHeight="1" x14ac:dyDescent="0.2">
      <c r="A101" s="50"/>
      <c r="B101" s="51"/>
      <c r="C101" s="52"/>
      <c r="D101" s="50"/>
      <c r="E101" s="53"/>
      <c r="F101" s="53"/>
      <c r="G101" s="50"/>
      <c r="H101" s="54"/>
      <c r="I101" s="54"/>
      <c r="J101" s="50"/>
      <c r="K101" s="50"/>
      <c r="L101" s="50"/>
      <c r="M101" s="50"/>
      <c r="N101" s="55"/>
      <c r="O101" s="56"/>
      <c r="P101" s="56"/>
      <c r="Q101" s="56"/>
      <c r="R101" s="50"/>
      <c r="S101" s="50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</row>
    <row r="102" spans="1:47" ht="15.75" customHeight="1" x14ac:dyDescent="0.2">
      <c r="A102" s="50"/>
      <c r="B102" s="51"/>
      <c r="C102" s="52"/>
      <c r="D102" s="50"/>
      <c r="E102" s="53"/>
      <c r="F102" s="53"/>
      <c r="G102" s="50"/>
      <c r="H102" s="54"/>
      <c r="I102" s="54"/>
      <c r="J102" s="50"/>
      <c r="K102" s="50"/>
      <c r="L102" s="50"/>
      <c r="M102" s="50"/>
      <c r="N102" s="55"/>
      <c r="O102" s="56"/>
      <c r="P102" s="56"/>
      <c r="Q102" s="56"/>
      <c r="R102" s="50"/>
      <c r="S102" s="50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</row>
    <row r="103" spans="1:47" ht="15.75" customHeight="1" x14ac:dyDescent="0.2">
      <c r="A103" s="50"/>
      <c r="B103" s="51"/>
      <c r="C103" s="52"/>
      <c r="D103" s="50"/>
      <c r="E103" s="53"/>
      <c r="F103" s="53"/>
      <c r="G103" s="50"/>
      <c r="H103" s="54"/>
      <c r="I103" s="54"/>
      <c r="J103" s="50"/>
      <c r="K103" s="50"/>
      <c r="L103" s="50"/>
      <c r="M103" s="50"/>
      <c r="N103" s="55"/>
      <c r="O103" s="56"/>
      <c r="P103" s="56"/>
      <c r="Q103" s="56"/>
      <c r="R103" s="50"/>
      <c r="S103" s="50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</row>
    <row r="104" spans="1:47" ht="15.75" customHeight="1" x14ac:dyDescent="0.2">
      <c r="A104" s="50"/>
      <c r="B104" s="51"/>
      <c r="C104" s="52"/>
      <c r="D104" s="50"/>
      <c r="E104" s="53"/>
      <c r="F104" s="53"/>
      <c r="G104" s="50"/>
      <c r="H104" s="54"/>
      <c r="I104" s="54"/>
      <c r="J104" s="50"/>
      <c r="K104" s="50"/>
      <c r="L104" s="50"/>
      <c r="M104" s="50"/>
      <c r="N104" s="55"/>
      <c r="O104" s="56"/>
      <c r="P104" s="56"/>
      <c r="Q104" s="56"/>
      <c r="R104" s="50"/>
      <c r="S104" s="50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</row>
    <row r="105" spans="1:47" ht="15.75" customHeight="1" x14ac:dyDescent="0.2">
      <c r="A105" s="50"/>
      <c r="B105" s="51"/>
      <c r="C105" s="52"/>
      <c r="D105" s="50"/>
      <c r="E105" s="53"/>
      <c r="F105" s="53"/>
      <c r="G105" s="50"/>
      <c r="H105" s="54"/>
      <c r="I105" s="54"/>
      <c r="J105" s="50"/>
      <c r="K105" s="50"/>
      <c r="L105" s="50"/>
      <c r="M105" s="50"/>
      <c r="N105" s="55"/>
      <c r="O105" s="56"/>
      <c r="P105" s="56"/>
      <c r="Q105" s="56"/>
      <c r="R105" s="50"/>
      <c r="S105" s="50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</row>
    <row r="106" spans="1:47" ht="15.75" customHeight="1" x14ac:dyDescent="0.2">
      <c r="A106" s="50"/>
      <c r="B106" s="51"/>
      <c r="C106" s="52"/>
      <c r="D106" s="50"/>
      <c r="E106" s="53"/>
      <c r="F106" s="53"/>
      <c r="G106" s="50"/>
      <c r="H106" s="54"/>
      <c r="I106" s="54"/>
      <c r="J106" s="50"/>
      <c r="K106" s="50"/>
      <c r="L106" s="50"/>
      <c r="M106" s="50"/>
      <c r="N106" s="55"/>
      <c r="O106" s="56"/>
      <c r="P106" s="56"/>
      <c r="Q106" s="56"/>
      <c r="R106" s="50"/>
      <c r="S106" s="50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</row>
    <row r="107" spans="1:47" ht="15.75" customHeight="1" x14ac:dyDescent="0.2">
      <c r="A107" s="50"/>
      <c r="B107" s="51"/>
      <c r="C107" s="52"/>
      <c r="D107" s="50"/>
      <c r="E107" s="53"/>
      <c r="F107" s="53"/>
      <c r="G107" s="50"/>
      <c r="H107" s="54"/>
      <c r="I107" s="54"/>
      <c r="J107" s="50"/>
      <c r="K107" s="50"/>
      <c r="L107" s="50"/>
      <c r="M107" s="50"/>
      <c r="N107" s="55"/>
      <c r="O107" s="56"/>
      <c r="P107" s="56"/>
      <c r="Q107" s="56"/>
      <c r="R107" s="50"/>
      <c r="S107" s="50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</row>
    <row r="108" spans="1:47" ht="15.75" customHeight="1" x14ac:dyDescent="0.2">
      <c r="A108" s="50"/>
      <c r="B108" s="51"/>
      <c r="C108" s="52"/>
      <c r="D108" s="50"/>
      <c r="E108" s="53"/>
      <c r="F108" s="53"/>
      <c r="G108" s="50"/>
      <c r="H108" s="54"/>
      <c r="I108" s="54"/>
      <c r="J108" s="50"/>
      <c r="K108" s="50"/>
      <c r="L108" s="50"/>
      <c r="M108" s="50"/>
      <c r="N108" s="55"/>
      <c r="O108" s="56"/>
      <c r="P108" s="56"/>
      <c r="Q108" s="56"/>
      <c r="R108" s="50"/>
      <c r="S108" s="50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</row>
    <row r="109" spans="1:47" ht="15.75" customHeight="1" x14ac:dyDescent="0.2">
      <c r="A109" s="50"/>
      <c r="B109" s="51"/>
      <c r="C109" s="52"/>
      <c r="D109" s="50"/>
      <c r="E109" s="53"/>
      <c r="F109" s="53"/>
      <c r="G109" s="50"/>
      <c r="H109" s="54"/>
      <c r="I109" s="54"/>
      <c r="J109" s="50"/>
      <c r="K109" s="50"/>
      <c r="L109" s="50"/>
      <c r="M109" s="50"/>
      <c r="N109" s="55"/>
      <c r="O109" s="56"/>
      <c r="P109" s="56"/>
      <c r="Q109" s="56"/>
      <c r="R109" s="50"/>
      <c r="S109" s="50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</row>
    <row r="110" spans="1:47" ht="15.75" customHeight="1" x14ac:dyDescent="0.2">
      <c r="A110" s="50"/>
      <c r="B110" s="51"/>
      <c r="C110" s="52"/>
      <c r="D110" s="50"/>
      <c r="E110" s="53"/>
      <c r="F110" s="53"/>
      <c r="G110" s="50"/>
      <c r="H110" s="54"/>
      <c r="I110" s="54"/>
      <c r="J110" s="50"/>
      <c r="K110" s="50"/>
      <c r="L110" s="50"/>
      <c r="M110" s="50"/>
      <c r="N110" s="55"/>
      <c r="O110" s="56"/>
      <c r="P110" s="56"/>
      <c r="Q110" s="56"/>
      <c r="R110" s="50"/>
      <c r="S110" s="50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</row>
    <row r="111" spans="1:47" ht="15.75" customHeight="1" x14ac:dyDescent="0.2">
      <c r="A111" s="50"/>
      <c r="B111" s="51"/>
      <c r="C111" s="52"/>
      <c r="D111" s="50"/>
      <c r="E111" s="53"/>
      <c r="F111" s="53"/>
      <c r="G111" s="50"/>
      <c r="H111" s="54"/>
      <c r="I111" s="54"/>
      <c r="J111" s="50"/>
      <c r="K111" s="50"/>
      <c r="L111" s="50"/>
      <c r="M111" s="50"/>
      <c r="N111" s="55"/>
      <c r="O111" s="56"/>
      <c r="P111" s="56"/>
      <c r="Q111" s="56"/>
      <c r="R111" s="50"/>
      <c r="S111" s="50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</row>
    <row r="112" spans="1:47" ht="15.75" customHeight="1" x14ac:dyDescent="0.2">
      <c r="A112" s="50"/>
      <c r="B112" s="51"/>
      <c r="C112" s="52"/>
      <c r="D112" s="50"/>
      <c r="E112" s="53"/>
      <c r="F112" s="53"/>
      <c r="G112" s="50"/>
      <c r="H112" s="54"/>
      <c r="I112" s="54"/>
      <c r="J112" s="50"/>
      <c r="K112" s="50"/>
      <c r="L112" s="50"/>
      <c r="M112" s="50"/>
      <c r="N112" s="55"/>
      <c r="O112" s="56"/>
      <c r="P112" s="56"/>
      <c r="Q112" s="56"/>
      <c r="R112" s="50"/>
      <c r="S112" s="50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</row>
    <row r="113" spans="1:47" ht="15.75" customHeight="1" x14ac:dyDescent="0.2">
      <c r="A113" s="50"/>
      <c r="B113" s="51"/>
      <c r="C113" s="52"/>
      <c r="D113" s="50"/>
      <c r="E113" s="53"/>
      <c r="F113" s="53"/>
      <c r="G113" s="50"/>
      <c r="H113" s="54"/>
      <c r="I113" s="54"/>
      <c r="J113" s="50"/>
      <c r="K113" s="50"/>
      <c r="L113" s="50"/>
      <c r="M113" s="50"/>
      <c r="N113" s="55"/>
      <c r="O113" s="56"/>
      <c r="P113" s="56"/>
      <c r="Q113" s="56"/>
      <c r="R113" s="50"/>
      <c r="S113" s="50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</row>
    <row r="114" spans="1:47" ht="15.75" customHeight="1" x14ac:dyDescent="0.2">
      <c r="A114" s="50"/>
      <c r="B114" s="51"/>
      <c r="C114" s="52"/>
      <c r="D114" s="50"/>
      <c r="E114" s="53"/>
      <c r="F114" s="53"/>
      <c r="G114" s="50"/>
      <c r="H114" s="54"/>
      <c r="I114" s="54"/>
      <c r="J114" s="50"/>
      <c r="K114" s="50"/>
      <c r="L114" s="50"/>
      <c r="M114" s="50"/>
      <c r="N114" s="55"/>
      <c r="O114" s="56"/>
      <c r="P114" s="56"/>
      <c r="Q114" s="56"/>
      <c r="R114" s="50"/>
      <c r="S114" s="50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</row>
    <row r="115" spans="1:47" ht="15.75" customHeight="1" x14ac:dyDescent="0.2">
      <c r="A115" s="50"/>
      <c r="B115" s="51"/>
      <c r="C115" s="52"/>
      <c r="D115" s="50"/>
      <c r="E115" s="53"/>
      <c r="F115" s="53"/>
      <c r="G115" s="50"/>
      <c r="H115" s="54"/>
      <c r="I115" s="54"/>
      <c r="J115" s="50"/>
      <c r="K115" s="50"/>
      <c r="L115" s="50"/>
      <c r="M115" s="50"/>
      <c r="N115" s="55"/>
      <c r="O115" s="56"/>
      <c r="P115" s="56"/>
      <c r="Q115" s="56"/>
      <c r="R115" s="50"/>
      <c r="S115" s="50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</row>
    <row r="116" spans="1:47" ht="15.75" customHeight="1" x14ac:dyDescent="0.2">
      <c r="A116" s="50"/>
      <c r="B116" s="51"/>
      <c r="C116" s="52"/>
      <c r="D116" s="50"/>
      <c r="E116" s="53"/>
      <c r="F116" s="53"/>
      <c r="G116" s="50"/>
      <c r="H116" s="54"/>
      <c r="I116" s="54"/>
      <c r="J116" s="50"/>
      <c r="K116" s="50"/>
      <c r="L116" s="50"/>
      <c r="M116" s="50"/>
      <c r="N116" s="55"/>
      <c r="O116" s="56"/>
      <c r="P116" s="56"/>
      <c r="Q116" s="56"/>
      <c r="R116" s="50"/>
      <c r="S116" s="50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</row>
    <row r="117" spans="1:47" ht="15.75" customHeight="1" x14ac:dyDescent="0.2">
      <c r="A117" s="50"/>
      <c r="B117" s="51"/>
      <c r="C117" s="52"/>
      <c r="D117" s="50"/>
      <c r="E117" s="53"/>
      <c r="F117" s="53"/>
      <c r="G117" s="50"/>
      <c r="H117" s="54"/>
      <c r="I117" s="54"/>
      <c r="J117" s="50"/>
      <c r="K117" s="50"/>
      <c r="L117" s="50"/>
      <c r="M117" s="50"/>
      <c r="N117" s="55"/>
      <c r="O117" s="56"/>
      <c r="P117" s="56"/>
      <c r="Q117" s="56"/>
      <c r="R117" s="50"/>
      <c r="S117" s="50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</row>
    <row r="118" spans="1:47" ht="15.75" customHeight="1" x14ac:dyDescent="0.2">
      <c r="A118" s="50"/>
      <c r="B118" s="51"/>
      <c r="C118" s="52"/>
      <c r="D118" s="50"/>
      <c r="E118" s="53"/>
      <c r="F118" s="53"/>
      <c r="G118" s="50"/>
      <c r="H118" s="54"/>
      <c r="I118" s="54"/>
      <c r="J118" s="50"/>
      <c r="K118" s="50"/>
      <c r="L118" s="50"/>
      <c r="M118" s="50"/>
      <c r="N118" s="55"/>
      <c r="O118" s="56"/>
      <c r="P118" s="56"/>
      <c r="Q118" s="56"/>
      <c r="R118" s="50"/>
      <c r="S118" s="50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</row>
    <row r="119" spans="1:47" ht="15.75" customHeight="1" x14ac:dyDescent="0.2">
      <c r="A119" s="50"/>
      <c r="B119" s="51"/>
      <c r="C119" s="52"/>
      <c r="D119" s="50"/>
      <c r="E119" s="53"/>
      <c r="F119" s="53"/>
      <c r="G119" s="50"/>
      <c r="H119" s="54"/>
      <c r="I119" s="54"/>
      <c r="J119" s="50"/>
      <c r="K119" s="50"/>
      <c r="L119" s="50"/>
      <c r="M119" s="50"/>
      <c r="N119" s="55"/>
      <c r="O119" s="56"/>
      <c r="P119" s="56"/>
      <c r="Q119" s="56"/>
      <c r="R119" s="50"/>
      <c r="S119" s="50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</row>
    <row r="120" spans="1:47" ht="15.75" customHeight="1" x14ac:dyDescent="0.2">
      <c r="A120" s="50"/>
      <c r="B120" s="51"/>
      <c r="C120" s="52"/>
      <c r="D120" s="50"/>
      <c r="E120" s="53"/>
      <c r="F120" s="53"/>
      <c r="G120" s="50"/>
      <c r="H120" s="54"/>
      <c r="I120" s="54"/>
      <c r="J120" s="50"/>
      <c r="K120" s="50"/>
      <c r="L120" s="50"/>
      <c r="M120" s="50"/>
      <c r="N120" s="55"/>
      <c r="O120" s="56"/>
      <c r="P120" s="56"/>
      <c r="Q120" s="56"/>
      <c r="R120" s="50"/>
      <c r="S120" s="50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</row>
    <row r="121" spans="1:47" ht="15.75" customHeight="1" x14ac:dyDescent="0.2">
      <c r="A121" s="50"/>
      <c r="B121" s="51"/>
      <c r="C121" s="52"/>
      <c r="D121" s="50"/>
      <c r="E121" s="53"/>
      <c r="F121" s="53"/>
      <c r="G121" s="50"/>
      <c r="H121" s="54"/>
      <c r="I121" s="54"/>
      <c r="J121" s="50"/>
      <c r="K121" s="50"/>
      <c r="L121" s="50"/>
      <c r="M121" s="50"/>
      <c r="N121" s="55"/>
      <c r="O121" s="56"/>
      <c r="P121" s="56"/>
      <c r="Q121" s="56"/>
      <c r="R121" s="50"/>
      <c r="S121" s="50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</row>
    <row r="122" spans="1:47" ht="15.75" customHeight="1" x14ac:dyDescent="0.2">
      <c r="A122" s="50"/>
      <c r="B122" s="51"/>
      <c r="C122" s="52"/>
      <c r="D122" s="50"/>
      <c r="E122" s="53"/>
      <c r="F122" s="53"/>
      <c r="G122" s="50"/>
      <c r="H122" s="54"/>
      <c r="I122" s="54"/>
      <c r="J122" s="50"/>
      <c r="K122" s="50"/>
      <c r="L122" s="50"/>
      <c r="M122" s="50"/>
      <c r="N122" s="55"/>
      <c r="O122" s="56"/>
      <c r="P122" s="56"/>
      <c r="Q122" s="56"/>
      <c r="R122" s="50"/>
      <c r="S122" s="50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</row>
    <row r="123" spans="1:47" ht="15.75" customHeight="1" x14ac:dyDescent="0.2">
      <c r="A123" s="50"/>
      <c r="B123" s="51"/>
      <c r="C123" s="52"/>
      <c r="D123" s="50"/>
      <c r="E123" s="53"/>
      <c r="F123" s="53"/>
      <c r="G123" s="50"/>
      <c r="H123" s="54"/>
      <c r="I123" s="54"/>
      <c r="J123" s="50"/>
      <c r="K123" s="50"/>
      <c r="L123" s="50"/>
      <c r="M123" s="50"/>
      <c r="N123" s="55"/>
      <c r="O123" s="56"/>
      <c r="P123" s="56"/>
      <c r="Q123" s="56"/>
      <c r="R123" s="50"/>
      <c r="S123" s="50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</row>
    <row r="124" spans="1:47" ht="15.75" customHeight="1" x14ac:dyDescent="0.2">
      <c r="A124" s="50"/>
      <c r="B124" s="51"/>
      <c r="C124" s="52"/>
      <c r="D124" s="50"/>
      <c r="E124" s="53"/>
      <c r="F124" s="53"/>
      <c r="G124" s="50"/>
      <c r="H124" s="54"/>
      <c r="I124" s="54"/>
      <c r="J124" s="50"/>
      <c r="K124" s="50"/>
      <c r="L124" s="50"/>
      <c r="M124" s="50"/>
      <c r="N124" s="55"/>
      <c r="O124" s="56"/>
      <c r="P124" s="56"/>
      <c r="Q124" s="56"/>
      <c r="R124" s="50"/>
      <c r="S124" s="50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</row>
    <row r="125" spans="1:47" ht="15.75" customHeight="1" x14ac:dyDescent="0.2">
      <c r="A125" s="50"/>
      <c r="B125" s="51"/>
      <c r="C125" s="52"/>
      <c r="D125" s="50"/>
      <c r="E125" s="53"/>
      <c r="F125" s="53"/>
      <c r="G125" s="50"/>
      <c r="H125" s="54"/>
      <c r="I125" s="54"/>
      <c r="J125" s="50"/>
      <c r="K125" s="50"/>
      <c r="L125" s="50"/>
      <c r="M125" s="50"/>
      <c r="N125" s="55"/>
      <c r="O125" s="56"/>
      <c r="P125" s="56"/>
      <c r="Q125" s="56"/>
      <c r="R125" s="50"/>
      <c r="S125" s="50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</row>
    <row r="126" spans="1:47" ht="15.75" customHeight="1" x14ac:dyDescent="0.2">
      <c r="A126" s="50"/>
      <c r="B126" s="51"/>
      <c r="C126" s="52"/>
      <c r="D126" s="50"/>
      <c r="E126" s="53"/>
      <c r="F126" s="53"/>
      <c r="G126" s="50"/>
      <c r="H126" s="54"/>
      <c r="I126" s="54"/>
      <c r="J126" s="50"/>
      <c r="K126" s="50"/>
      <c r="L126" s="50"/>
      <c r="M126" s="50"/>
      <c r="N126" s="55"/>
      <c r="O126" s="56"/>
      <c r="P126" s="56"/>
      <c r="Q126" s="56"/>
      <c r="R126" s="50"/>
      <c r="S126" s="50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</row>
    <row r="127" spans="1:47" ht="15.75" customHeight="1" x14ac:dyDescent="0.2">
      <c r="A127" s="50"/>
      <c r="B127" s="51"/>
      <c r="C127" s="52"/>
      <c r="D127" s="50"/>
      <c r="E127" s="53"/>
      <c r="F127" s="53"/>
      <c r="G127" s="50"/>
      <c r="H127" s="54"/>
      <c r="I127" s="54"/>
      <c r="J127" s="50"/>
      <c r="K127" s="50"/>
      <c r="L127" s="50"/>
      <c r="M127" s="50"/>
      <c r="N127" s="55"/>
      <c r="O127" s="56"/>
      <c r="P127" s="56"/>
      <c r="Q127" s="56"/>
      <c r="R127" s="50"/>
      <c r="S127" s="50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</row>
    <row r="128" spans="1:47" ht="15.75" customHeight="1" x14ac:dyDescent="0.2">
      <c r="A128" s="50"/>
      <c r="B128" s="51"/>
      <c r="C128" s="52"/>
      <c r="D128" s="50"/>
      <c r="E128" s="53"/>
      <c r="F128" s="53"/>
      <c r="G128" s="50"/>
      <c r="H128" s="54"/>
      <c r="I128" s="54"/>
      <c r="J128" s="50"/>
      <c r="K128" s="50"/>
      <c r="L128" s="50"/>
      <c r="M128" s="50"/>
      <c r="N128" s="55"/>
      <c r="O128" s="56"/>
      <c r="P128" s="56"/>
      <c r="Q128" s="56"/>
      <c r="R128" s="50"/>
      <c r="S128" s="50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</row>
    <row r="129" spans="1:47" ht="15.75" customHeight="1" x14ac:dyDescent="0.2">
      <c r="A129" s="50"/>
      <c r="B129" s="51"/>
      <c r="C129" s="52"/>
      <c r="D129" s="50"/>
      <c r="E129" s="53"/>
      <c r="F129" s="53"/>
      <c r="G129" s="50"/>
      <c r="H129" s="54"/>
      <c r="I129" s="54"/>
      <c r="J129" s="50"/>
      <c r="K129" s="50"/>
      <c r="L129" s="50"/>
      <c r="M129" s="50"/>
      <c r="N129" s="55"/>
      <c r="O129" s="56"/>
      <c r="P129" s="56"/>
      <c r="Q129" s="56"/>
      <c r="R129" s="50"/>
      <c r="S129" s="50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</row>
    <row r="130" spans="1:47" ht="15.75" customHeight="1" x14ac:dyDescent="0.2">
      <c r="A130" s="50"/>
      <c r="B130" s="51"/>
      <c r="C130" s="52"/>
      <c r="D130" s="50"/>
      <c r="E130" s="53"/>
      <c r="F130" s="53"/>
      <c r="G130" s="50"/>
      <c r="H130" s="54"/>
      <c r="I130" s="54"/>
      <c r="J130" s="50"/>
      <c r="K130" s="50"/>
      <c r="L130" s="50"/>
      <c r="M130" s="50"/>
      <c r="N130" s="55"/>
      <c r="O130" s="56"/>
      <c r="P130" s="56"/>
      <c r="Q130" s="56"/>
      <c r="R130" s="50"/>
      <c r="S130" s="50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</row>
    <row r="131" spans="1:47" ht="15.75" customHeight="1" x14ac:dyDescent="0.2">
      <c r="A131" s="50"/>
      <c r="B131" s="51"/>
      <c r="C131" s="52"/>
      <c r="D131" s="50"/>
      <c r="E131" s="53"/>
      <c r="F131" s="53"/>
      <c r="G131" s="50"/>
      <c r="H131" s="54"/>
      <c r="I131" s="54"/>
      <c r="J131" s="50"/>
      <c r="K131" s="50"/>
      <c r="L131" s="50"/>
      <c r="M131" s="50"/>
      <c r="N131" s="55"/>
      <c r="O131" s="56"/>
      <c r="P131" s="56"/>
      <c r="Q131" s="56"/>
      <c r="R131" s="50"/>
      <c r="S131" s="50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</row>
    <row r="132" spans="1:47" ht="15.75" customHeight="1" x14ac:dyDescent="0.2">
      <c r="A132" s="50"/>
      <c r="B132" s="51"/>
      <c r="C132" s="52"/>
      <c r="D132" s="50"/>
      <c r="E132" s="53"/>
      <c r="F132" s="53"/>
      <c r="G132" s="50"/>
      <c r="H132" s="54"/>
      <c r="I132" s="54"/>
      <c r="J132" s="50"/>
      <c r="K132" s="50"/>
      <c r="L132" s="50"/>
      <c r="M132" s="50"/>
      <c r="N132" s="55"/>
      <c r="O132" s="56"/>
      <c r="P132" s="56"/>
      <c r="Q132" s="56"/>
      <c r="R132" s="50"/>
      <c r="S132" s="50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</row>
    <row r="133" spans="1:47" ht="15.75" customHeight="1" x14ac:dyDescent="0.2">
      <c r="A133" s="50"/>
      <c r="B133" s="51"/>
      <c r="C133" s="52"/>
      <c r="D133" s="50"/>
      <c r="E133" s="53"/>
      <c r="F133" s="53"/>
      <c r="G133" s="50"/>
      <c r="H133" s="54"/>
      <c r="I133" s="54"/>
      <c r="J133" s="50"/>
      <c r="K133" s="50"/>
      <c r="L133" s="50"/>
      <c r="M133" s="50"/>
      <c r="N133" s="55"/>
      <c r="O133" s="56"/>
      <c r="P133" s="56"/>
      <c r="Q133" s="56"/>
      <c r="R133" s="50"/>
      <c r="S133" s="50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</row>
    <row r="134" spans="1:47" ht="15.75" customHeight="1" x14ac:dyDescent="0.2">
      <c r="A134" s="50"/>
      <c r="B134" s="51"/>
      <c r="C134" s="52"/>
      <c r="D134" s="50"/>
      <c r="E134" s="53"/>
      <c r="F134" s="53"/>
      <c r="G134" s="50"/>
      <c r="H134" s="54"/>
      <c r="I134" s="54"/>
      <c r="J134" s="50"/>
      <c r="K134" s="50"/>
      <c r="L134" s="50"/>
      <c r="M134" s="50"/>
      <c r="N134" s="55"/>
      <c r="O134" s="56"/>
      <c r="P134" s="56"/>
      <c r="Q134" s="56"/>
      <c r="R134" s="50"/>
      <c r="S134" s="50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</row>
    <row r="135" spans="1:47" ht="15.75" customHeight="1" x14ac:dyDescent="0.2">
      <c r="A135" s="50"/>
      <c r="B135" s="51"/>
      <c r="C135" s="52"/>
      <c r="D135" s="50"/>
      <c r="E135" s="53"/>
      <c r="F135" s="53"/>
      <c r="G135" s="50"/>
      <c r="H135" s="54"/>
      <c r="I135" s="54"/>
      <c r="J135" s="50"/>
      <c r="K135" s="50"/>
      <c r="L135" s="50"/>
      <c r="M135" s="50"/>
      <c r="N135" s="55"/>
      <c r="O135" s="56"/>
      <c r="P135" s="56"/>
      <c r="Q135" s="56"/>
      <c r="R135" s="50"/>
      <c r="S135" s="50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</row>
    <row r="136" spans="1:47" ht="15.75" customHeight="1" x14ac:dyDescent="0.2">
      <c r="A136" s="50"/>
      <c r="B136" s="51"/>
      <c r="C136" s="52"/>
      <c r="D136" s="50"/>
      <c r="E136" s="53"/>
      <c r="F136" s="53"/>
      <c r="G136" s="50"/>
      <c r="H136" s="54"/>
      <c r="I136" s="54"/>
      <c r="J136" s="50"/>
      <c r="K136" s="50"/>
      <c r="L136" s="50"/>
      <c r="M136" s="50"/>
      <c r="N136" s="55"/>
      <c r="O136" s="56"/>
      <c r="P136" s="56"/>
      <c r="Q136" s="56"/>
      <c r="R136" s="50"/>
      <c r="S136" s="50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</row>
    <row r="137" spans="1:47" ht="15.75" customHeight="1" x14ac:dyDescent="0.2">
      <c r="A137" s="50"/>
      <c r="B137" s="51"/>
      <c r="C137" s="52"/>
      <c r="D137" s="50"/>
      <c r="E137" s="53"/>
      <c r="F137" s="53"/>
      <c r="G137" s="50"/>
      <c r="H137" s="54"/>
      <c r="I137" s="54"/>
      <c r="J137" s="50"/>
      <c r="K137" s="50"/>
      <c r="L137" s="50"/>
      <c r="M137" s="50"/>
      <c r="N137" s="55"/>
      <c r="O137" s="56"/>
      <c r="P137" s="56"/>
      <c r="Q137" s="56"/>
      <c r="R137" s="50"/>
      <c r="S137" s="50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</row>
    <row r="138" spans="1:47" ht="15.75" customHeight="1" x14ac:dyDescent="0.2">
      <c r="A138" s="50"/>
      <c r="B138" s="51"/>
      <c r="C138" s="52"/>
      <c r="D138" s="50"/>
      <c r="E138" s="53"/>
      <c r="F138" s="53"/>
      <c r="G138" s="50"/>
      <c r="H138" s="54"/>
      <c r="I138" s="54"/>
      <c r="J138" s="50"/>
      <c r="K138" s="50"/>
      <c r="L138" s="50"/>
      <c r="M138" s="50"/>
      <c r="N138" s="55"/>
      <c r="O138" s="56"/>
      <c r="P138" s="56"/>
      <c r="Q138" s="56"/>
      <c r="R138" s="50"/>
      <c r="S138" s="50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</row>
    <row r="139" spans="1:47" ht="15.75" customHeight="1" x14ac:dyDescent="0.2">
      <c r="A139" s="50"/>
      <c r="B139" s="51"/>
      <c r="C139" s="52"/>
      <c r="D139" s="50"/>
      <c r="E139" s="53"/>
      <c r="F139" s="53"/>
      <c r="G139" s="50"/>
      <c r="H139" s="54"/>
      <c r="I139" s="54"/>
      <c r="J139" s="50"/>
      <c r="K139" s="50"/>
      <c r="L139" s="50"/>
      <c r="M139" s="50"/>
      <c r="N139" s="55"/>
      <c r="O139" s="56"/>
      <c r="P139" s="56"/>
      <c r="Q139" s="56"/>
      <c r="R139" s="50"/>
      <c r="S139" s="50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</row>
    <row r="140" spans="1:47" ht="15.75" customHeight="1" x14ac:dyDescent="0.2">
      <c r="A140" s="50"/>
      <c r="B140" s="51"/>
      <c r="C140" s="52"/>
      <c r="D140" s="50"/>
      <c r="E140" s="53"/>
      <c r="F140" s="53"/>
      <c r="G140" s="50"/>
      <c r="H140" s="54"/>
      <c r="I140" s="54"/>
      <c r="J140" s="50"/>
      <c r="K140" s="50"/>
      <c r="L140" s="50"/>
      <c r="M140" s="50"/>
      <c r="N140" s="55"/>
      <c r="O140" s="56"/>
      <c r="P140" s="56"/>
      <c r="Q140" s="56"/>
      <c r="R140" s="50"/>
      <c r="S140" s="50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</row>
    <row r="141" spans="1:47" ht="15.75" customHeight="1" x14ac:dyDescent="0.2">
      <c r="A141" s="50"/>
      <c r="B141" s="51"/>
      <c r="C141" s="52"/>
      <c r="D141" s="50"/>
      <c r="E141" s="53"/>
      <c r="F141" s="53"/>
      <c r="G141" s="50"/>
      <c r="H141" s="54"/>
      <c r="I141" s="54"/>
      <c r="J141" s="50"/>
      <c r="K141" s="50"/>
      <c r="L141" s="50"/>
      <c r="M141" s="50"/>
      <c r="N141" s="55"/>
      <c r="O141" s="56"/>
      <c r="P141" s="56"/>
      <c r="Q141" s="56"/>
      <c r="R141" s="50"/>
      <c r="S141" s="50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</row>
    <row r="142" spans="1:47" ht="15.75" customHeight="1" x14ac:dyDescent="0.2">
      <c r="A142" s="50"/>
      <c r="B142" s="51"/>
      <c r="C142" s="52"/>
      <c r="D142" s="50"/>
      <c r="E142" s="53"/>
      <c r="F142" s="53"/>
      <c r="G142" s="50"/>
      <c r="H142" s="54"/>
      <c r="I142" s="54"/>
      <c r="J142" s="50"/>
      <c r="K142" s="50"/>
      <c r="L142" s="50"/>
      <c r="M142" s="50"/>
      <c r="N142" s="55"/>
      <c r="O142" s="56"/>
      <c r="P142" s="56"/>
      <c r="Q142" s="56"/>
      <c r="R142" s="50"/>
      <c r="S142" s="50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</row>
    <row r="143" spans="1:47" ht="15.75" customHeight="1" x14ac:dyDescent="0.2">
      <c r="A143" s="50"/>
      <c r="B143" s="51"/>
      <c r="C143" s="52"/>
      <c r="D143" s="50"/>
      <c r="E143" s="53"/>
      <c r="F143" s="53"/>
      <c r="G143" s="50"/>
      <c r="H143" s="54"/>
      <c r="I143" s="54"/>
      <c r="J143" s="50"/>
      <c r="K143" s="50"/>
      <c r="L143" s="50"/>
      <c r="M143" s="50"/>
      <c r="N143" s="55"/>
      <c r="O143" s="56"/>
      <c r="P143" s="56"/>
      <c r="Q143" s="56"/>
      <c r="R143" s="50"/>
      <c r="S143" s="50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</row>
    <row r="144" spans="1:47" ht="15.75" customHeight="1" x14ac:dyDescent="0.2">
      <c r="A144" s="50"/>
      <c r="B144" s="51"/>
      <c r="C144" s="52"/>
      <c r="D144" s="50"/>
      <c r="E144" s="53"/>
      <c r="F144" s="53"/>
      <c r="G144" s="50"/>
      <c r="H144" s="54"/>
      <c r="I144" s="54"/>
      <c r="J144" s="50"/>
      <c r="K144" s="50"/>
      <c r="L144" s="50"/>
      <c r="M144" s="50"/>
      <c r="N144" s="55"/>
      <c r="O144" s="56"/>
      <c r="P144" s="56"/>
      <c r="Q144" s="56"/>
      <c r="R144" s="50"/>
      <c r="S144" s="50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</row>
    <row r="145" spans="1:47" ht="15.75" customHeight="1" x14ac:dyDescent="0.2">
      <c r="A145" s="50"/>
      <c r="B145" s="51"/>
      <c r="C145" s="52"/>
      <c r="D145" s="50"/>
      <c r="E145" s="53"/>
      <c r="F145" s="53"/>
      <c r="G145" s="50"/>
      <c r="H145" s="54"/>
      <c r="I145" s="54"/>
      <c r="J145" s="50"/>
      <c r="K145" s="50"/>
      <c r="L145" s="50"/>
      <c r="M145" s="50"/>
      <c r="N145" s="55"/>
      <c r="O145" s="56"/>
      <c r="P145" s="56"/>
      <c r="Q145" s="56"/>
      <c r="R145" s="50"/>
      <c r="S145" s="50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</row>
    <row r="146" spans="1:47" ht="15.75" customHeight="1" x14ac:dyDescent="0.2">
      <c r="A146" s="50"/>
      <c r="B146" s="51"/>
      <c r="C146" s="52"/>
      <c r="D146" s="50"/>
      <c r="E146" s="53"/>
      <c r="F146" s="53"/>
      <c r="G146" s="50"/>
      <c r="H146" s="54"/>
      <c r="I146" s="54"/>
      <c r="J146" s="50"/>
      <c r="K146" s="50"/>
      <c r="L146" s="50"/>
      <c r="M146" s="50"/>
      <c r="N146" s="55"/>
      <c r="O146" s="56"/>
      <c r="P146" s="56"/>
      <c r="Q146" s="56"/>
      <c r="R146" s="50"/>
      <c r="S146" s="50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</row>
    <row r="147" spans="1:47" ht="15.75" customHeight="1" x14ac:dyDescent="0.2">
      <c r="A147" s="50"/>
      <c r="B147" s="51"/>
      <c r="C147" s="52"/>
      <c r="D147" s="50"/>
      <c r="E147" s="53"/>
      <c r="F147" s="53"/>
      <c r="G147" s="50"/>
      <c r="H147" s="54"/>
      <c r="I147" s="54"/>
      <c r="J147" s="50"/>
      <c r="K147" s="50"/>
      <c r="L147" s="50"/>
      <c r="M147" s="50"/>
      <c r="N147" s="55"/>
      <c r="O147" s="56"/>
      <c r="P147" s="56"/>
      <c r="Q147" s="56"/>
      <c r="R147" s="50"/>
      <c r="S147" s="50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</row>
    <row r="148" spans="1:47" ht="15.75" customHeight="1" x14ac:dyDescent="0.2">
      <c r="A148" s="50"/>
      <c r="B148" s="51"/>
      <c r="C148" s="52"/>
      <c r="D148" s="50"/>
      <c r="E148" s="53"/>
      <c r="F148" s="53"/>
      <c r="G148" s="50"/>
      <c r="H148" s="54"/>
      <c r="I148" s="54"/>
      <c r="J148" s="50"/>
      <c r="K148" s="50"/>
      <c r="L148" s="50"/>
      <c r="M148" s="50"/>
      <c r="N148" s="55"/>
      <c r="O148" s="56"/>
      <c r="P148" s="56"/>
      <c r="Q148" s="56"/>
      <c r="R148" s="50"/>
      <c r="S148" s="50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</row>
    <row r="149" spans="1:47" ht="15.75" customHeight="1" x14ac:dyDescent="0.2">
      <c r="A149" s="50"/>
      <c r="B149" s="51"/>
      <c r="C149" s="52"/>
      <c r="D149" s="50"/>
      <c r="E149" s="53"/>
      <c r="F149" s="53"/>
      <c r="G149" s="50"/>
      <c r="H149" s="54"/>
      <c r="I149" s="54"/>
      <c r="J149" s="50"/>
      <c r="K149" s="50"/>
      <c r="L149" s="50"/>
      <c r="M149" s="50"/>
      <c r="N149" s="55"/>
      <c r="O149" s="56"/>
      <c r="P149" s="56"/>
      <c r="Q149" s="56"/>
      <c r="R149" s="50"/>
      <c r="S149" s="50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</row>
    <row r="150" spans="1:47" ht="15.75" customHeight="1" x14ac:dyDescent="0.2">
      <c r="A150" s="50"/>
      <c r="B150" s="51"/>
      <c r="C150" s="52"/>
      <c r="D150" s="50"/>
      <c r="E150" s="53"/>
      <c r="F150" s="53"/>
      <c r="G150" s="50"/>
      <c r="H150" s="54"/>
      <c r="I150" s="54"/>
      <c r="J150" s="50"/>
      <c r="K150" s="50"/>
      <c r="L150" s="50"/>
      <c r="M150" s="50"/>
      <c r="N150" s="55"/>
      <c r="O150" s="56"/>
      <c r="P150" s="56"/>
      <c r="Q150" s="56"/>
      <c r="R150" s="50"/>
      <c r="S150" s="50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</row>
    <row r="151" spans="1:47" ht="15.75" customHeight="1" x14ac:dyDescent="0.2">
      <c r="A151" s="50"/>
      <c r="B151" s="51"/>
      <c r="C151" s="52"/>
      <c r="D151" s="50"/>
      <c r="E151" s="53"/>
      <c r="F151" s="53"/>
      <c r="G151" s="50"/>
      <c r="H151" s="54"/>
      <c r="I151" s="54"/>
      <c r="J151" s="50"/>
      <c r="K151" s="50"/>
      <c r="L151" s="50"/>
      <c r="M151" s="50"/>
      <c r="N151" s="55"/>
      <c r="O151" s="56"/>
      <c r="P151" s="56"/>
      <c r="Q151" s="56"/>
      <c r="R151" s="50"/>
      <c r="S151" s="50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</row>
    <row r="152" spans="1:47" ht="15.75" customHeight="1" x14ac:dyDescent="0.2">
      <c r="A152" s="50"/>
      <c r="B152" s="51"/>
      <c r="C152" s="52"/>
      <c r="D152" s="50"/>
      <c r="E152" s="53"/>
      <c r="F152" s="53"/>
      <c r="G152" s="50"/>
      <c r="H152" s="54"/>
      <c r="I152" s="54"/>
      <c r="J152" s="50"/>
      <c r="K152" s="50"/>
      <c r="L152" s="50"/>
      <c r="M152" s="50"/>
      <c r="N152" s="55"/>
      <c r="O152" s="56"/>
      <c r="P152" s="56"/>
      <c r="Q152" s="56"/>
      <c r="R152" s="50"/>
      <c r="S152" s="50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</row>
    <row r="153" spans="1:47" ht="15.75" customHeight="1" x14ac:dyDescent="0.2">
      <c r="A153" s="50"/>
      <c r="B153" s="51"/>
      <c r="C153" s="52"/>
      <c r="D153" s="50"/>
      <c r="E153" s="53"/>
      <c r="F153" s="53"/>
      <c r="G153" s="50"/>
      <c r="H153" s="54"/>
      <c r="I153" s="54"/>
      <c r="J153" s="50"/>
      <c r="K153" s="50"/>
      <c r="L153" s="50"/>
      <c r="M153" s="50"/>
      <c r="N153" s="55"/>
      <c r="O153" s="56"/>
      <c r="P153" s="56"/>
      <c r="Q153" s="56"/>
      <c r="R153" s="50"/>
      <c r="S153" s="50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</row>
    <row r="154" spans="1:47" ht="15.75" customHeight="1" x14ac:dyDescent="0.2">
      <c r="A154" s="50"/>
      <c r="B154" s="51"/>
      <c r="C154" s="52"/>
      <c r="D154" s="50"/>
      <c r="E154" s="53"/>
      <c r="F154" s="53"/>
      <c r="G154" s="50"/>
      <c r="H154" s="54"/>
      <c r="I154" s="54"/>
      <c r="J154" s="50"/>
      <c r="K154" s="50"/>
      <c r="L154" s="50"/>
      <c r="M154" s="50"/>
      <c r="N154" s="55"/>
      <c r="O154" s="56"/>
      <c r="P154" s="56"/>
      <c r="Q154" s="56"/>
      <c r="R154" s="50"/>
      <c r="S154" s="50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</row>
    <row r="155" spans="1:47" ht="15.75" customHeight="1" x14ac:dyDescent="0.2">
      <c r="A155" s="50"/>
      <c r="B155" s="51"/>
      <c r="C155" s="52"/>
      <c r="D155" s="50"/>
      <c r="E155" s="53"/>
      <c r="F155" s="53"/>
      <c r="G155" s="50"/>
      <c r="H155" s="54"/>
      <c r="I155" s="54"/>
      <c r="J155" s="50"/>
      <c r="K155" s="50"/>
      <c r="L155" s="50"/>
      <c r="M155" s="50"/>
      <c r="N155" s="55"/>
      <c r="O155" s="56"/>
      <c r="P155" s="56"/>
      <c r="Q155" s="56"/>
      <c r="R155" s="50"/>
      <c r="S155" s="50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</row>
    <row r="156" spans="1:47" ht="15.75" customHeight="1" x14ac:dyDescent="0.2">
      <c r="A156" s="50"/>
      <c r="B156" s="51"/>
      <c r="C156" s="52"/>
      <c r="D156" s="50"/>
      <c r="E156" s="53"/>
      <c r="F156" s="53"/>
      <c r="G156" s="50"/>
      <c r="H156" s="54"/>
      <c r="I156" s="54"/>
      <c r="J156" s="50"/>
      <c r="K156" s="50"/>
      <c r="L156" s="50"/>
      <c r="M156" s="50"/>
      <c r="N156" s="55"/>
      <c r="O156" s="56"/>
      <c r="P156" s="56"/>
      <c r="Q156" s="56"/>
      <c r="R156" s="50"/>
      <c r="S156" s="50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</row>
    <row r="157" spans="1:47" ht="15.75" customHeight="1" x14ac:dyDescent="0.2">
      <c r="A157" s="50"/>
      <c r="B157" s="51"/>
      <c r="C157" s="52"/>
      <c r="D157" s="50"/>
      <c r="E157" s="53"/>
      <c r="F157" s="53"/>
      <c r="G157" s="50"/>
      <c r="H157" s="54"/>
      <c r="I157" s="54"/>
      <c r="J157" s="50"/>
      <c r="K157" s="50"/>
      <c r="L157" s="50"/>
      <c r="M157" s="50"/>
      <c r="N157" s="55"/>
      <c r="O157" s="56"/>
      <c r="P157" s="56"/>
      <c r="Q157" s="56"/>
      <c r="R157" s="50"/>
      <c r="S157" s="50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</row>
    <row r="158" spans="1:47" ht="15.75" customHeight="1" x14ac:dyDescent="0.2">
      <c r="A158" s="50"/>
      <c r="B158" s="51"/>
      <c r="C158" s="52"/>
      <c r="D158" s="50"/>
      <c r="E158" s="53"/>
      <c r="F158" s="53"/>
      <c r="G158" s="50"/>
      <c r="H158" s="54"/>
      <c r="I158" s="54"/>
      <c r="J158" s="50"/>
      <c r="K158" s="50"/>
      <c r="L158" s="50"/>
      <c r="M158" s="50"/>
      <c r="N158" s="55"/>
      <c r="O158" s="56"/>
      <c r="P158" s="56"/>
      <c r="Q158" s="56"/>
      <c r="R158" s="50"/>
      <c r="S158" s="50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</row>
    <row r="159" spans="1:47" ht="15.75" customHeight="1" x14ac:dyDescent="0.2">
      <c r="A159" s="50"/>
      <c r="B159" s="51"/>
      <c r="C159" s="52"/>
      <c r="D159" s="50"/>
      <c r="E159" s="53"/>
      <c r="F159" s="53"/>
      <c r="G159" s="50"/>
      <c r="H159" s="54"/>
      <c r="I159" s="54"/>
      <c r="J159" s="50"/>
      <c r="K159" s="50"/>
      <c r="L159" s="50"/>
      <c r="M159" s="50"/>
      <c r="N159" s="55"/>
      <c r="O159" s="56"/>
      <c r="P159" s="56"/>
      <c r="Q159" s="56"/>
      <c r="R159" s="50"/>
      <c r="S159" s="50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</row>
    <row r="160" spans="1:47" ht="15.75" customHeight="1" x14ac:dyDescent="0.2">
      <c r="A160" s="50"/>
      <c r="B160" s="51"/>
      <c r="C160" s="52"/>
      <c r="D160" s="50"/>
      <c r="E160" s="53"/>
      <c r="F160" s="53"/>
      <c r="G160" s="50"/>
      <c r="H160" s="54"/>
      <c r="I160" s="54"/>
      <c r="J160" s="50"/>
      <c r="K160" s="50"/>
      <c r="L160" s="50"/>
      <c r="M160" s="50"/>
      <c r="N160" s="55"/>
      <c r="O160" s="56"/>
      <c r="P160" s="56"/>
      <c r="Q160" s="56"/>
      <c r="R160" s="50"/>
      <c r="S160" s="50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</row>
    <row r="161" spans="1:47" ht="15.75" customHeight="1" x14ac:dyDescent="0.2">
      <c r="A161" s="50"/>
      <c r="B161" s="51"/>
      <c r="C161" s="52"/>
      <c r="D161" s="50"/>
      <c r="E161" s="53"/>
      <c r="F161" s="53"/>
      <c r="G161" s="50"/>
      <c r="H161" s="54"/>
      <c r="I161" s="54"/>
      <c r="J161" s="50"/>
      <c r="K161" s="50"/>
      <c r="L161" s="50"/>
      <c r="M161" s="50"/>
      <c r="N161" s="55"/>
      <c r="O161" s="56"/>
      <c r="P161" s="56"/>
      <c r="Q161" s="56"/>
      <c r="R161" s="50"/>
      <c r="S161" s="50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</row>
    <row r="162" spans="1:47" ht="15.75" customHeight="1" x14ac:dyDescent="0.2">
      <c r="A162" s="50"/>
      <c r="B162" s="51"/>
      <c r="C162" s="52"/>
      <c r="D162" s="50"/>
      <c r="E162" s="53"/>
      <c r="F162" s="53"/>
      <c r="G162" s="50"/>
      <c r="H162" s="54"/>
      <c r="I162" s="54"/>
      <c r="J162" s="50"/>
      <c r="K162" s="50"/>
      <c r="L162" s="50"/>
      <c r="M162" s="50"/>
      <c r="N162" s="55"/>
      <c r="O162" s="56"/>
      <c r="P162" s="56"/>
      <c r="Q162" s="56"/>
      <c r="R162" s="50"/>
      <c r="S162" s="50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</row>
    <row r="163" spans="1:47" ht="15.75" customHeight="1" x14ac:dyDescent="0.2">
      <c r="A163" s="50"/>
      <c r="B163" s="51"/>
      <c r="C163" s="52"/>
      <c r="D163" s="50"/>
      <c r="E163" s="53"/>
      <c r="F163" s="53"/>
      <c r="G163" s="50"/>
      <c r="H163" s="54"/>
      <c r="I163" s="54"/>
      <c r="J163" s="50"/>
      <c r="K163" s="50"/>
      <c r="L163" s="50"/>
      <c r="M163" s="50"/>
      <c r="N163" s="55"/>
      <c r="O163" s="56"/>
      <c r="P163" s="56"/>
      <c r="Q163" s="56"/>
      <c r="R163" s="50"/>
      <c r="S163" s="50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</row>
    <row r="164" spans="1:47" ht="15.75" customHeight="1" x14ac:dyDescent="0.2">
      <c r="A164" s="50"/>
      <c r="B164" s="51"/>
      <c r="C164" s="52"/>
      <c r="D164" s="50"/>
      <c r="E164" s="53"/>
      <c r="F164" s="53"/>
      <c r="G164" s="50"/>
      <c r="H164" s="54"/>
      <c r="I164" s="54"/>
      <c r="J164" s="50"/>
      <c r="K164" s="50"/>
      <c r="L164" s="50"/>
      <c r="M164" s="50"/>
      <c r="N164" s="55"/>
      <c r="O164" s="56"/>
      <c r="P164" s="56"/>
      <c r="Q164" s="56"/>
      <c r="R164" s="50"/>
      <c r="S164" s="50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</row>
    <row r="165" spans="1:47" ht="15.75" customHeight="1" x14ac:dyDescent="0.2">
      <c r="A165" s="50"/>
      <c r="B165" s="51"/>
      <c r="C165" s="52"/>
      <c r="D165" s="50"/>
      <c r="E165" s="53"/>
      <c r="F165" s="53"/>
      <c r="G165" s="50"/>
      <c r="H165" s="54"/>
      <c r="I165" s="54"/>
      <c r="J165" s="50"/>
      <c r="K165" s="50"/>
      <c r="L165" s="50"/>
      <c r="M165" s="50"/>
      <c r="N165" s="55"/>
      <c r="O165" s="56"/>
      <c r="P165" s="56"/>
      <c r="Q165" s="56"/>
      <c r="R165" s="50"/>
      <c r="S165" s="50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</row>
    <row r="166" spans="1:47" ht="15.75" customHeight="1" x14ac:dyDescent="0.2">
      <c r="A166" s="50"/>
      <c r="B166" s="51"/>
      <c r="C166" s="52"/>
      <c r="D166" s="50"/>
      <c r="E166" s="53"/>
      <c r="F166" s="53"/>
      <c r="G166" s="50"/>
      <c r="H166" s="54"/>
      <c r="I166" s="54"/>
      <c r="J166" s="50"/>
      <c r="K166" s="50"/>
      <c r="L166" s="50"/>
      <c r="M166" s="50"/>
      <c r="N166" s="55"/>
      <c r="O166" s="56"/>
      <c r="P166" s="56"/>
      <c r="Q166" s="56"/>
      <c r="R166" s="50"/>
      <c r="S166" s="50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</row>
    <row r="167" spans="1:47" ht="15.75" customHeight="1" x14ac:dyDescent="0.2">
      <c r="A167" s="50"/>
      <c r="B167" s="51"/>
      <c r="C167" s="52"/>
      <c r="D167" s="50"/>
      <c r="E167" s="53"/>
      <c r="F167" s="53"/>
      <c r="G167" s="50"/>
      <c r="H167" s="54"/>
      <c r="I167" s="54"/>
      <c r="J167" s="50"/>
      <c r="K167" s="50"/>
      <c r="L167" s="50"/>
      <c r="M167" s="50"/>
      <c r="N167" s="55"/>
      <c r="O167" s="56"/>
      <c r="P167" s="56"/>
      <c r="Q167" s="56"/>
      <c r="R167" s="50"/>
      <c r="S167" s="50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</row>
    <row r="168" spans="1:47" ht="15.75" customHeight="1" x14ac:dyDescent="0.2">
      <c r="A168" s="50"/>
      <c r="B168" s="51"/>
      <c r="C168" s="52"/>
      <c r="D168" s="50"/>
      <c r="E168" s="53"/>
      <c r="F168" s="53"/>
      <c r="G168" s="50"/>
      <c r="H168" s="54"/>
      <c r="I168" s="54"/>
      <c r="J168" s="50"/>
      <c r="K168" s="50"/>
      <c r="L168" s="50"/>
      <c r="M168" s="50"/>
      <c r="N168" s="55"/>
      <c r="O168" s="56"/>
      <c r="P168" s="56"/>
      <c r="Q168" s="56"/>
      <c r="R168" s="50"/>
      <c r="S168" s="50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</row>
    <row r="169" spans="1:47" ht="15.75" customHeight="1" x14ac:dyDescent="0.2">
      <c r="A169" s="50"/>
      <c r="B169" s="51"/>
      <c r="C169" s="52"/>
      <c r="D169" s="50"/>
      <c r="E169" s="53"/>
      <c r="F169" s="53"/>
      <c r="G169" s="50"/>
      <c r="H169" s="54"/>
      <c r="I169" s="54"/>
      <c r="J169" s="50"/>
      <c r="K169" s="50"/>
      <c r="L169" s="50"/>
      <c r="M169" s="50"/>
      <c r="N169" s="55"/>
      <c r="O169" s="56"/>
      <c r="P169" s="56"/>
      <c r="Q169" s="56"/>
      <c r="R169" s="50"/>
      <c r="S169" s="50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</row>
    <row r="170" spans="1:47" ht="15.75" customHeight="1" x14ac:dyDescent="0.2">
      <c r="A170" s="50"/>
      <c r="B170" s="51"/>
      <c r="C170" s="52"/>
      <c r="D170" s="50"/>
      <c r="E170" s="53"/>
      <c r="F170" s="53"/>
      <c r="G170" s="50"/>
      <c r="H170" s="54"/>
      <c r="I170" s="54"/>
      <c r="J170" s="50"/>
      <c r="K170" s="50"/>
      <c r="L170" s="50"/>
      <c r="M170" s="50"/>
      <c r="N170" s="55"/>
      <c r="O170" s="56"/>
      <c r="P170" s="56"/>
      <c r="Q170" s="56"/>
      <c r="R170" s="50"/>
      <c r="S170" s="50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</row>
    <row r="171" spans="1:47" ht="15.75" customHeight="1" x14ac:dyDescent="0.2">
      <c r="A171" s="50"/>
      <c r="B171" s="51"/>
      <c r="C171" s="52"/>
      <c r="D171" s="50"/>
      <c r="E171" s="53"/>
      <c r="F171" s="53"/>
      <c r="G171" s="50"/>
      <c r="H171" s="54"/>
      <c r="I171" s="54"/>
      <c r="J171" s="50"/>
      <c r="K171" s="50"/>
      <c r="L171" s="50"/>
      <c r="M171" s="50"/>
      <c r="N171" s="55"/>
      <c r="O171" s="56"/>
      <c r="P171" s="56"/>
      <c r="Q171" s="56"/>
      <c r="R171" s="50"/>
      <c r="S171" s="50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</row>
    <row r="172" spans="1:47" ht="15.75" customHeight="1" x14ac:dyDescent="0.2">
      <c r="A172" s="50"/>
      <c r="B172" s="51"/>
      <c r="C172" s="52"/>
      <c r="D172" s="50"/>
      <c r="E172" s="53"/>
      <c r="F172" s="53"/>
      <c r="G172" s="50"/>
      <c r="H172" s="54"/>
      <c r="I172" s="54"/>
      <c r="J172" s="50"/>
      <c r="K172" s="50"/>
      <c r="L172" s="50"/>
      <c r="M172" s="50"/>
      <c r="N172" s="55"/>
      <c r="O172" s="56"/>
      <c r="P172" s="56"/>
      <c r="Q172" s="56"/>
      <c r="R172" s="50"/>
      <c r="S172" s="50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</row>
    <row r="173" spans="1:47" ht="15.75" customHeight="1" x14ac:dyDescent="0.2">
      <c r="A173" s="50"/>
      <c r="B173" s="51"/>
      <c r="C173" s="52"/>
      <c r="D173" s="50"/>
      <c r="E173" s="53"/>
      <c r="F173" s="53"/>
      <c r="G173" s="50"/>
      <c r="H173" s="54"/>
      <c r="I173" s="54"/>
      <c r="J173" s="50"/>
      <c r="K173" s="50"/>
      <c r="L173" s="50"/>
      <c r="M173" s="50"/>
      <c r="N173" s="55"/>
      <c r="O173" s="56"/>
      <c r="P173" s="56"/>
      <c r="Q173" s="56"/>
      <c r="R173" s="50"/>
      <c r="S173" s="50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</row>
    <row r="174" spans="1:47" ht="15.75" customHeight="1" x14ac:dyDescent="0.2">
      <c r="A174" s="50"/>
      <c r="B174" s="51"/>
      <c r="C174" s="52"/>
      <c r="D174" s="50"/>
      <c r="E174" s="53"/>
      <c r="F174" s="53"/>
      <c r="G174" s="50"/>
      <c r="H174" s="54"/>
      <c r="I174" s="54"/>
      <c r="J174" s="50"/>
      <c r="K174" s="50"/>
      <c r="L174" s="50"/>
      <c r="M174" s="50"/>
      <c r="N174" s="55"/>
      <c r="O174" s="56"/>
      <c r="P174" s="56"/>
      <c r="Q174" s="56"/>
      <c r="R174" s="50"/>
      <c r="S174" s="50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</row>
    <row r="175" spans="1:47" ht="15.75" customHeight="1" x14ac:dyDescent="0.2">
      <c r="A175" s="50"/>
      <c r="B175" s="51"/>
      <c r="C175" s="52"/>
      <c r="D175" s="50"/>
      <c r="E175" s="53"/>
      <c r="F175" s="53"/>
      <c r="G175" s="50"/>
      <c r="H175" s="54"/>
      <c r="I175" s="54"/>
      <c r="J175" s="50"/>
      <c r="K175" s="50"/>
      <c r="L175" s="50"/>
      <c r="M175" s="50"/>
      <c r="N175" s="55"/>
      <c r="O175" s="56"/>
      <c r="P175" s="56"/>
      <c r="Q175" s="56"/>
      <c r="R175" s="50"/>
      <c r="S175" s="50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</row>
    <row r="176" spans="1:47" ht="15.75" customHeight="1" x14ac:dyDescent="0.2">
      <c r="A176" s="50"/>
      <c r="B176" s="51"/>
      <c r="C176" s="52"/>
      <c r="D176" s="50"/>
      <c r="E176" s="53"/>
      <c r="F176" s="53"/>
      <c r="G176" s="50"/>
      <c r="H176" s="54"/>
      <c r="I176" s="54"/>
      <c r="J176" s="50"/>
      <c r="K176" s="50"/>
      <c r="L176" s="50"/>
      <c r="M176" s="50"/>
      <c r="N176" s="55"/>
      <c r="O176" s="56"/>
      <c r="P176" s="56"/>
      <c r="Q176" s="56"/>
      <c r="R176" s="50"/>
      <c r="S176" s="50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</row>
    <row r="177" spans="1:47" ht="15.75" customHeight="1" x14ac:dyDescent="0.2">
      <c r="A177" s="50"/>
      <c r="B177" s="51"/>
      <c r="C177" s="52"/>
      <c r="D177" s="50"/>
      <c r="E177" s="53"/>
      <c r="F177" s="53"/>
      <c r="G177" s="50"/>
      <c r="H177" s="54"/>
      <c r="I177" s="54"/>
      <c r="J177" s="50"/>
      <c r="K177" s="50"/>
      <c r="L177" s="50"/>
      <c r="M177" s="50"/>
      <c r="N177" s="55"/>
      <c r="O177" s="56"/>
      <c r="P177" s="56"/>
      <c r="Q177" s="56"/>
      <c r="R177" s="50"/>
      <c r="S177" s="50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</row>
    <row r="178" spans="1:47" ht="15.75" customHeight="1" x14ac:dyDescent="0.2">
      <c r="A178" s="50"/>
      <c r="B178" s="51"/>
      <c r="C178" s="52"/>
      <c r="D178" s="50"/>
      <c r="E178" s="53"/>
      <c r="F178" s="53"/>
      <c r="G178" s="50"/>
      <c r="H178" s="54"/>
      <c r="I178" s="54"/>
      <c r="J178" s="50"/>
      <c r="K178" s="50"/>
      <c r="L178" s="50"/>
      <c r="M178" s="50"/>
      <c r="N178" s="55"/>
      <c r="O178" s="56"/>
      <c r="P178" s="56"/>
      <c r="Q178" s="56"/>
      <c r="R178" s="50"/>
      <c r="S178" s="50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</row>
    <row r="179" spans="1:47" ht="15.75" customHeight="1" x14ac:dyDescent="0.2">
      <c r="A179" s="50"/>
      <c r="B179" s="51"/>
      <c r="C179" s="52"/>
      <c r="D179" s="50"/>
      <c r="E179" s="53"/>
      <c r="F179" s="53"/>
      <c r="G179" s="50"/>
      <c r="H179" s="54"/>
      <c r="I179" s="54"/>
      <c r="J179" s="50"/>
      <c r="K179" s="50"/>
      <c r="L179" s="50"/>
      <c r="M179" s="50"/>
      <c r="N179" s="55"/>
      <c r="O179" s="56"/>
      <c r="P179" s="56"/>
      <c r="Q179" s="56"/>
      <c r="R179" s="50"/>
      <c r="S179" s="50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</row>
    <row r="180" spans="1:47" ht="15.75" customHeight="1" x14ac:dyDescent="0.2">
      <c r="A180" s="50"/>
      <c r="B180" s="51"/>
      <c r="C180" s="52"/>
      <c r="D180" s="50"/>
      <c r="E180" s="53"/>
      <c r="F180" s="53"/>
      <c r="G180" s="50"/>
      <c r="H180" s="54"/>
      <c r="I180" s="54"/>
      <c r="J180" s="50"/>
      <c r="K180" s="50"/>
      <c r="L180" s="50"/>
      <c r="M180" s="50"/>
      <c r="N180" s="55"/>
      <c r="O180" s="56"/>
      <c r="P180" s="56"/>
      <c r="Q180" s="56"/>
      <c r="R180" s="50"/>
      <c r="S180" s="50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</row>
    <row r="181" spans="1:47" ht="15.75" customHeight="1" x14ac:dyDescent="0.2">
      <c r="A181" s="50"/>
      <c r="B181" s="51"/>
      <c r="C181" s="58"/>
      <c r="D181" s="50"/>
      <c r="E181" s="53"/>
      <c r="F181" s="53"/>
      <c r="G181" s="50"/>
      <c r="H181" s="54"/>
      <c r="I181" s="54"/>
      <c r="J181" s="50"/>
      <c r="K181" s="50"/>
      <c r="L181" s="50"/>
      <c r="M181" s="50"/>
      <c r="N181" s="55"/>
      <c r="O181" s="56"/>
      <c r="P181" s="56"/>
      <c r="Q181" s="56"/>
      <c r="R181" s="50"/>
      <c r="S181" s="50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</row>
    <row r="182" spans="1:47" ht="15.75" customHeight="1" x14ac:dyDescent="0.2">
      <c r="A182" s="50"/>
      <c r="B182" s="51"/>
      <c r="C182" s="52"/>
      <c r="D182" s="50"/>
      <c r="E182" s="53"/>
      <c r="F182" s="53"/>
      <c r="G182" s="50"/>
      <c r="H182" s="54"/>
      <c r="I182" s="54"/>
      <c r="J182" s="50"/>
      <c r="K182" s="50"/>
      <c r="L182" s="50"/>
      <c r="M182" s="50"/>
      <c r="N182" s="55"/>
      <c r="O182" s="56"/>
      <c r="P182" s="56"/>
      <c r="Q182" s="56"/>
      <c r="R182" s="50"/>
      <c r="S182" s="50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</row>
    <row r="183" spans="1:47" ht="15.75" customHeight="1" x14ac:dyDescent="0.2">
      <c r="A183" s="50"/>
      <c r="B183" s="51"/>
      <c r="C183" s="52"/>
      <c r="D183" s="50"/>
      <c r="E183" s="53"/>
      <c r="F183" s="53"/>
      <c r="G183" s="50"/>
      <c r="H183" s="54"/>
      <c r="I183" s="54"/>
      <c r="J183" s="50"/>
      <c r="K183" s="50"/>
      <c r="L183" s="50"/>
      <c r="M183" s="50"/>
      <c r="N183" s="55"/>
      <c r="O183" s="56"/>
      <c r="P183" s="56"/>
      <c r="Q183" s="56"/>
      <c r="R183" s="50"/>
      <c r="S183" s="50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</row>
    <row r="184" spans="1:47" ht="15.75" customHeight="1" x14ac:dyDescent="0.2">
      <c r="A184" s="50"/>
      <c r="B184" s="51"/>
      <c r="C184" s="52"/>
      <c r="D184" s="50"/>
      <c r="E184" s="53"/>
      <c r="F184" s="53"/>
      <c r="G184" s="50"/>
      <c r="H184" s="54"/>
      <c r="I184" s="54"/>
      <c r="J184" s="50"/>
      <c r="K184" s="50"/>
      <c r="L184" s="50"/>
      <c r="M184" s="50"/>
      <c r="N184" s="55"/>
      <c r="O184" s="56"/>
      <c r="P184" s="56"/>
      <c r="Q184" s="56"/>
      <c r="R184" s="50"/>
      <c r="S184" s="50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</row>
    <row r="185" spans="1:47" ht="15.75" customHeight="1" x14ac:dyDescent="0.2">
      <c r="A185" s="50"/>
      <c r="B185" s="51"/>
      <c r="C185" s="52"/>
      <c r="D185" s="50"/>
      <c r="E185" s="53"/>
      <c r="F185" s="53"/>
      <c r="G185" s="50"/>
      <c r="H185" s="54"/>
      <c r="I185" s="54"/>
      <c r="J185" s="50"/>
      <c r="K185" s="50"/>
      <c r="L185" s="50"/>
      <c r="M185" s="50"/>
      <c r="N185" s="55"/>
      <c r="O185" s="56"/>
      <c r="P185" s="56"/>
      <c r="Q185" s="56"/>
      <c r="R185" s="50"/>
      <c r="S185" s="50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</row>
    <row r="186" spans="1:47" ht="15.75" customHeight="1" x14ac:dyDescent="0.2">
      <c r="A186" s="50"/>
      <c r="B186" s="51"/>
      <c r="C186" s="52"/>
      <c r="D186" s="50"/>
      <c r="E186" s="53"/>
      <c r="F186" s="53"/>
      <c r="G186" s="50"/>
      <c r="H186" s="54"/>
      <c r="I186" s="54"/>
      <c r="J186" s="50"/>
      <c r="K186" s="50"/>
      <c r="L186" s="50"/>
      <c r="M186" s="50"/>
      <c r="N186" s="55"/>
      <c r="O186" s="56"/>
      <c r="P186" s="56"/>
      <c r="Q186" s="56"/>
      <c r="R186" s="50"/>
      <c r="S186" s="50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</row>
    <row r="187" spans="1:47" ht="15.75" customHeight="1" x14ac:dyDescent="0.2">
      <c r="A187" s="50"/>
      <c r="B187" s="51"/>
      <c r="C187" s="52"/>
      <c r="D187" s="50"/>
      <c r="E187" s="53"/>
      <c r="F187" s="53"/>
      <c r="G187" s="50"/>
      <c r="H187" s="54"/>
      <c r="I187" s="54"/>
      <c r="J187" s="50"/>
      <c r="K187" s="50"/>
      <c r="L187" s="50"/>
      <c r="M187" s="50"/>
      <c r="N187" s="55"/>
      <c r="O187" s="56"/>
      <c r="P187" s="56"/>
      <c r="Q187" s="56"/>
      <c r="R187" s="50"/>
      <c r="S187" s="50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</row>
    <row r="188" spans="1:47" ht="15.75" customHeight="1" x14ac:dyDescent="0.2">
      <c r="A188" s="50"/>
      <c r="B188" s="51"/>
      <c r="C188" s="52"/>
      <c r="D188" s="50"/>
      <c r="E188" s="53"/>
      <c r="F188" s="53"/>
      <c r="G188" s="50"/>
      <c r="H188" s="54"/>
      <c r="I188" s="54"/>
      <c r="J188" s="50"/>
      <c r="K188" s="50"/>
      <c r="L188" s="50"/>
      <c r="M188" s="50"/>
      <c r="N188" s="55"/>
      <c r="O188" s="56"/>
      <c r="P188" s="56"/>
      <c r="Q188" s="56"/>
      <c r="R188" s="50"/>
      <c r="S188" s="50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</row>
    <row r="189" spans="1:47" ht="15.75" customHeight="1" x14ac:dyDescent="0.2">
      <c r="A189" s="50"/>
      <c r="B189" s="51"/>
      <c r="C189" s="52"/>
      <c r="D189" s="50"/>
      <c r="E189" s="53"/>
      <c r="F189" s="53"/>
      <c r="G189" s="50"/>
      <c r="H189" s="54"/>
      <c r="I189" s="54"/>
      <c r="J189" s="50"/>
      <c r="K189" s="50"/>
      <c r="L189" s="50"/>
      <c r="M189" s="50"/>
      <c r="N189" s="55"/>
      <c r="O189" s="56"/>
      <c r="P189" s="56"/>
      <c r="Q189" s="56"/>
      <c r="R189" s="50"/>
      <c r="S189" s="50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</row>
    <row r="190" spans="1:47" ht="15.75" customHeight="1" x14ac:dyDescent="0.2">
      <c r="A190" s="50"/>
      <c r="B190" s="51"/>
      <c r="C190" s="52"/>
      <c r="D190" s="50"/>
      <c r="E190" s="53"/>
      <c r="F190" s="53"/>
      <c r="G190" s="50"/>
      <c r="H190" s="54"/>
      <c r="I190" s="54"/>
      <c r="J190" s="50"/>
      <c r="K190" s="50"/>
      <c r="L190" s="50"/>
      <c r="M190" s="50"/>
      <c r="N190" s="55"/>
      <c r="O190" s="56"/>
      <c r="P190" s="56"/>
      <c r="Q190" s="56"/>
      <c r="R190" s="50"/>
      <c r="S190" s="50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</row>
    <row r="191" spans="1:47" ht="15.75" customHeight="1" x14ac:dyDescent="0.2">
      <c r="A191" s="50"/>
      <c r="B191" s="51"/>
      <c r="C191" s="52"/>
      <c r="D191" s="50"/>
      <c r="E191" s="53"/>
      <c r="F191" s="53"/>
      <c r="G191" s="50"/>
      <c r="H191" s="54"/>
      <c r="I191" s="54"/>
      <c r="J191" s="50"/>
      <c r="K191" s="50"/>
      <c r="L191" s="50"/>
      <c r="M191" s="50"/>
      <c r="N191" s="55"/>
      <c r="O191" s="56"/>
      <c r="P191" s="56"/>
      <c r="Q191" s="56"/>
      <c r="R191" s="50"/>
      <c r="S191" s="50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</row>
    <row r="192" spans="1:47" ht="15.75" customHeight="1" x14ac:dyDescent="0.2">
      <c r="A192" s="50"/>
      <c r="B192" s="51"/>
      <c r="C192" s="52"/>
      <c r="D192" s="50"/>
      <c r="E192" s="53"/>
      <c r="F192" s="53"/>
      <c r="G192" s="50"/>
      <c r="H192" s="54"/>
      <c r="I192" s="54"/>
      <c r="J192" s="50"/>
      <c r="K192" s="50"/>
      <c r="L192" s="50"/>
      <c r="M192" s="50"/>
      <c r="N192" s="55"/>
      <c r="O192" s="56"/>
      <c r="P192" s="56"/>
      <c r="Q192" s="56"/>
      <c r="R192" s="50"/>
      <c r="S192" s="50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</row>
    <row r="193" spans="1:47" ht="15.75" customHeight="1" x14ac:dyDescent="0.2">
      <c r="A193" s="50"/>
      <c r="B193" s="51"/>
      <c r="C193" s="52"/>
      <c r="D193" s="50"/>
      <c r="E193" s="53"/>
      <c r="F193" s="53"/>
      <c r="G193" s="50"/>
      <c r="H193" s="54"/>
      <c r="I193" s="54"/>
      <c r="J193" s="50"/>
      <c r="K193" s="50"/>
      <c r="L193" s="50"/>
      <c r="M193" s="50"/>
      <c r="N193" s="55"/>
      <c r="O193" s="56"/>
      <c r="P193" s="56"/>
      <c r="Q193" s="56"/>
      <c r="R193" s="50"/>
      <c r="S193" s="50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</row>
    <row r="194" spans="1:47" ht="15.75" customHeight="1" x14ac:dyDescent="0.2">
      <c r="A194" s="50"/>
      <c r="B194" s="51"/>
      <c r="C194" s="52"/>
      <c r="D194" s="50"/>
      <c r="E194" s="53"/>
      <c r="F194" s="53"/>
      <c r="G194" s="50"/>
      <c r="H194" s="54"/>
      <c r="I194" s="54"/>
      <c r="J194" s="50"/>
      <c r="K194" s="50"/>
      <c r="L194" s="50"/>
      <c r="M194" s="50"/>
      <c r="N194" s="55"/>
      <c r="O194" s="56"/>
      <c r="P194" s="56"/>
      <c r="Q194" s="56"/>
      <c r="R194" s="50"/>
      <c r="S194" s="50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</row>
    <row r="195" spans="1:47" ht="15.75" customHeight="1" x14ac:dyDescent="0.2">
      <c r="A195" s="50"/>
      <c r="B195" s="51"/>
      <c r="C195" s="52"/>
      <c r="D195" s="50"/>
      <c r="E195" s="53"/>
      <c r="F195" s="53"/>
      <c r="G195" s="50"/>
      <c r="H195" s="54"/>
      <c r="I195" s="54"/>
      <c r="J195" s="50"/>
      <c r="K195" s="50"/>
      <c r="L195" s="50"/>
      <c r="M195" s="50"/>
      <c r="N195" s="55"/>
      <c r="O195" s="56"/>
      <c r="P195" s="56"/>
      <c r="Q195" s="56"/>
      <c r="R195" s="50"/>
      <c r="S195" s="50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</row>
    <row r="196" spans="1:47" ht="15.75" customHeight="1" x14ac:dyDescent="0.2">
      <c r="A196" s="50"/>
      <c r="B196" s="51"/>
      <c r="C196" s="52"/>
      <c r="D196" s="50"/>
      <c r="E196" s="53"/>
      <c r="F196" s="53"/>
      <c r="G196" s="50"/>
      <c r="H196" s="54"/>
      <c r="I196" s="54"/>
      <c r="J196" s="50"/>
      <c r="K196" s="50"/>
      <c r="L196" s="50"/>
      <c r="M196" s="50"/>
      <c r="N196" s="55"/>
      <c r="O196" s="56"/>
      <c r="P196" s="56"/>
      <c r="Q196" s="56"/>
      <c r="R196" s="50"/>
      <c r="S196" s="50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</row>
    <row r="197" spans="1:47" ht="15.75" customHeight="1" x14ac:dyDescent="0.2">
      <c r="A197" s="50"/>
      <c r="B197" s="51"/>
      <c r="C197" s="52"/>
      <c r="D197" s="50"/>
      <c r="E197" s="53"/>
      <c r="F197" s="53"/>
      <c r="G197" s="50"/>
      <c r="H197" s="54"/>
      <c r="I197" s="54"/>
      <c r="J197" s="50"/>
      <c r="K197" s="50"/>
      <c r="L197" s="50"/>
      <c r="M197" s="50"/>
      <c r="N197" s="55"/>
      <c r="O197" s="56"/>
      <c r="P197" s="56"/>
      <c r="Q197" s="56"/>
      <c r="R197" s="50"/>
      <c r="S197" s="50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</row>
    <row r="198" spans="1:47" ht="15.75" customHeight="1" x14ac:dyDescent="0.2">
      <c r="A198" s="50"/>
      <c r="B198" s="51"/>
      <c r="C198" s="52"/>
      <c r="D198" s="50"/>
      <c r="E198" s="53"/>
      <c r="F198" s="53"/>
      <c r="G198" s="50"/>
      <c r="H198" s="54"/>
      <c r="I198" s="54"/>
      <c r="J198" s="50"/>
      <c r="K198" s="50"/>
      <c r="L198" s="50"/>
      <c r="M198" s="50"/>
      <c r="N198" s="55"/>
      <c r="O198" s="56"/>
      <c r="P198" s="56"/>
      <c r="Q198" s="56"/>
      <c r="R198" s="50"/>
      <c r="S198" s="50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</row>
    <row r="199" spans="1:47" ht="15.75" customHeight="1" x14ac:dyDescent="0.2">
      <c r="A199" s="50"/>
      <c r="B199" s="51"/>
      <c r="C199" s="52"/>
      <c r="D199" s="50"/>
      <c r="E199" s="53"/>
      <c r="F199" s="53"/>
      <c r="G199" s="50"/>
      <c r="H199" s="54"/>
      <c r="I199" s="54"/>
      <c r="J199" s="50"/>
      <c r="K199" s="50"/>
      <c r="L199" s="50"/>
      <c r="M199" s="50"/>
      <c r="N199" s="55"/>
      <c r="O199" s="56"/>
      <c r="P199" s="56"/>
      <c r="Q199" s="56"/>
      <c r="R199" s="50"/>
      <c r="S199" s="50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</row>
    <row r="200" spans="1:47" ht="15.75" customHeight="1" x14ac:dyDescent="0.2">
      <c r="A200" s="50"/>
      <c r="B200" s="51"/>
      <c r="C200" s="52"/>
      <c r="D200" s="50"/>
      <c r="E200" s="53"/>
      <c r="F200" s="53"/>
      <c r="G200" s="50"/>
      <c r="H200" s="54"/>
      <c r="I200" s="54"/>
      <c r="J200" s="50"/>
      <c r="K200" s="50"/>
      <c r="L200" s="50"/>
      <c r="M200" s="50"/>
      <c r="N200" s="55"/>
      <c r="O200" s="56"/>
      <c r="P200" s="56"/>
      <c r="Q200" s="56"/>
      <c r="R200" s="50"/>
      <c r="S200" s="50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</row>
    <row r="201" spans="1:47" ht="15.75" customHeight="1" x14ac:dyDescent="0.2">
      <c r="A201" s="50"/>
      <c r="B201" s="51"/>
      <c r="C201" s="52"/>
      <c r="D201" s="50"/>
      <c r="E201" s="53"/>
      <c r="F201" s="53"/>
      <c r="G201" s="50"/>
      <c r="H201" s="54"/>
      <c r="I201" s="54"/>
      <c r="J201" s="50"/>
      <c r="K201" s="50"/>
      <c r="L201" s="50"/>
      <c r="M201" s="50"/>
      <c r="N201" s="55"/>
      <c r="O201" s="56"/>
      <c r="P201" s="56"/>
      <c r="Q201" s="56"/>
      <c r="R201" s="50"/>
      <c r="S201" s="50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</row>
    <row r="202" spans="1:47" ht="15.75" customHeight="1" x14ac:dyDescent="0.2">
      <c r="A202" s="50"/>
      <c r="B202" s="51"/>
      <c r="C202" s="52"/>
      <c r="D202" s="50"/>
      <c r="E202" s="53"/>
      <c r="F202" s="53"/>
      <c r="G202" s="50"/>
      <c r="H202" s="54"/>
      <c r="I202" s="54"/>
      <c r="J202" s="50"/>
      <c r="K202" s="50"/>
      <c r="L202" s="50"/>
      <c r="M202" s="50"/>
      <c r="N202" s="55"/>
      <c r="O202" s="56"/>
      <c r="P202" s="56"/>
      <c r="Q202" s="56"/>
      <c r="R202" s="50"/>
      <c r="S202" s="50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</row>
    <row r="203" spans="1:47" ht="15.75" customHeight="1" x14ac:dyDescent="0.2">
      <c r="A203" s="50"/>
      <c r="B203" s="51"/>
      <c r="C203" s="52"/>
      <c r="D203" s="50"/>
      <c r="E203" s="53"/>
      <c r="F203" s="53"/>
      <c r="G203" s="50"/>
      <c r="H203" s="54"/>
      <c r="I203" s="54"/>
      <c r="J203" s="50"/>
      <c r="K203" s="50"/>
      <c r="L203" s="50"/>
      <c r="M203" s="50"/>
      <c r="N203" s="55"/>
      <c r="O203" s="56"/>
      <c r="P203" s="56"/>
      <c r="Q203" s="56"/>
      <c r="R203" s="50"/>
      <c r="S203" s="50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</row>
    <row r="204" spans="1:47" ht="15.75" customHeight="1" x14ac:dyDescent="0.2">
      <c r="A204" s="50"/>
      <c r="B204" s="51"/>
      <c r="C204" s="52"/>
      <c r="D204" s="50"/>
      <c r="E204" s="53"/>
      <c r="F204" s="53"/>
      <c r="G204" s="50"/>
      <c r="H204" s="54"/>
      <c r="I204" s="54"/>
      <c r="J204" s="50"/>
      <c r="K204" s="50"/>
      <c r="L204" s="50"/>
      <c r="M204" s="50"/>
      <c r="N204" s="55"/>
      <c r="O204" s="56"/>
      <c r="P204" s="56"/>
      <c r="Q204" s="56"/>
      <c r="R204" s="50"/>
      <c r="S204" s="50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</row>
    <row r="205" spans="1:47" ht="15.75" customHeight="1" x14ac:dyDescent="0.2">
      <c r="A205" s="50"/>
      <c r="B205" s="51"/>
      <c r="C205" s="52"/>
      <c r="D205" s="50"/>
      <c r="E205" s="53"/>
      <c r="F205" s="53"/>
      <c r="G205" s="50"/>
      <c r="H205" s="54"/>
      <c r="I205" s="54"/>
      <c r="J205" s="50"/>
      <c r="K205" s="50"/>
      <c r="L205" s="50"/>
      <c r="M205" s="50"/>
      <c r="N205" s="55"/>
      <c r="O205" s="56"/>
      <c r="P205" s="56"/>
      <c r="Q205" s="56"/>
      <c r="R205" s="50"/>
      <c r="S205" s="50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</row>
    <row r="206" spans="1:47" ht="15.75" customHeight="1" x14ac:dyDescent="0.2">
      <c r="A206" s="50"/>
      <c r="B206" s="51"/>
      <c r="C206" s="52"/>
      <c r="D206" s="50"/>
      <c r="E206" s="53"/>
      <c r="F206" s="53"/>
      <c r="G206" s="50"/>
      <c r="H206" s="54"/>
      <c r="I206" s="54"/>
      <c r="J206" s="50"/>
      <c r="K206" s="50"/>
      <c r="L206" s="50"/>
      <c r="M206" s="50"/>
      <c r="N206" s="55"/>
      <c r="O206" s="56"/>
      <c r="P206" s="56"/>
      <c r="Q206" s="56"/>
      <c r="R206" s="50"/>
      <c r="S206" s="50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</row>
    <row r="207" spans="1:47" ht="15.75" customHeight="1" x14ac:dyDescent="0.2">
      <c r="A207" s="50"/>
      <c r="B207" s="51"/>
      <c r="C207" s="52"/>
      <c r="D207" s="50"/>
      <c r="E207" s="53"/>
      <c r="F207" s="53"/>
      <c r="G207" s="50"/>
      <c r="H207" s="54"/>
      <c r="I207" s="54"/>
      <c r="J207" s="50"/>
      <c r="K207" s="50"/>
      <c r="L207" s="50"/>
      <c r="M207" s="50"/>
      <c r="N207" s="55"/>
      <c r="O207" s="56"/>
      <c r="P207" s="56"/>
      <c r="Q207" s="56"/>
      <c r="R207" s="50"/>
      <c r="S207" s="50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</row>
    <row r="208" spans="1:47" ht="15.75" customHeight="1" x14ac:dyDescent="0.2">
      <c r="A208" s="50"/>
      <c r="B208" s="51"/>
      <c r="C208" s="52"/>
      <c r="D208" s="50"/>
      <c r="E208" s="53"/>
      <c r="F208" s="53"/>
      <c r="G208" s="50"/>
      <c r="H208" s="54"/>
      <c r="I208" s="54"/>
      <c r="J208" s="50"/>
      <c r="K208" s="50"/>
      <c r="L208" s="50"/>
      <c r="M208" s="50"/>
      <c r="N208" s="55"/>
      <c r="O208" s="56"/>
      <c r="P208" s="56"/>
      <c r="Q208" s="56"/>
      <c r="R208" s="50"/>
      <c r="S208" s="50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</row>
    <row r="209" spans="1:47" ht="15.75" customHeight="1" x14ac:dyDescent="0.2">
      <c r="A209" s="50"/>
      <c r="B209" s="51"/>
      <c r="C209" s="52"/>
      <c r="D209" s="50"/>
      <c r="E209" s="53"/>
      <c r="F209" s="53"/>
      <c r="G209" s="50"/>
      <c r="H209" s="54"/>
      <c r="I209" s="54"/>
      <c r="J209" s="50"/>
      <c r="K209" s="50"/>
      <c r="L209" s="50"/>
      <c r="M209" s="50"/>
      <c r="N209" s="55"/>
      <c r="O209" s="56"/>
      <c r="P209" s="56"/>
      <c r="Q209" s="56"/>
      <c r="R209" s="50"/>
      <c r="S209" s="50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</row>
    <row r="210" spans="1:47" ht="15.75" customHeight="1" x14ac:dyDescent="0.2">
      <c r="A210" s="50"/>
      <c r="B210" s="51"/>
      <c r="C210" s="52"/>
      <c r="D210" s="50"/>
      <c r="E210" s="53"/>
      <c r="F210" s="53"/>
      <c r="G210" s="50"/>
      <c r="H210" s="54"/>
      <c r="I210" s="54"/>
      <c r="J210" s="50"/>
      <c r="K210" s="50"/>
      <c r="L210" s="50"/>
      <c r="M210" s="50"/>
      <c r="N210" s="55"/>
      <c r="O210" s="56"/>
      <c r="P210" s="56"/>
      <c r="Q210" s="56"/>
      <c r="R210" s="50"/>
      <c r="S210" s="50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</row>
    <row r="211" spans="1:47" ht="15.75" customHeight="1" x14ac:dyDescent="0.2">
      <c r="A211" s="50"/>
      <c r="B211" s="51"/>
      <c r="C211" s="52"/>
      <c r="D211" s="50"/>
      <c r="E211" s="53"/>
      <c r="F211" s="53"/>
      <c r="G211" s="50"/>
      <c r="H211" s="54"/>
      <c r="I211" s="54"/>
      <c r="J211" s="50"/>
      <c r="K211" s="50"/>
      <c r="L211" s="50"/>
      <c r="M211" s="50"/>
      <c r="N211" s="55"/>
      <c r="O211" s="56"/>
      <c r="P211" s="56"/>
      <c r="Q211" s="56"/>
      <c r="R211" s="50"/>
      <c r="S211" s="50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</row>
    <row r="212" spans="1:47" ht="15.75" customHeight="1" x14ac:dyDescent="0.2">
      <c r="A212" s="50"/>
      <c r="B212" s="51"/>
      <c r="C212" s="52"/>
      <c r="D212" s="50"/>
      <c r="E212" s="53"/>
      <c r="F212" s="53"/>
      <c r="G212" s="50"/>
      <c r="H212" s="54"/>
      <c r="I212" s="54"/>
      <c r="J212" s="50"/>
      <c r="K212" s="50"/>
      <c r="L212" s="50"/>
      <c r="M212" s="50"/>
      <c r="N212" s="55"/>
      <c r="O212" s="56"/>
      <c r="P212" s="56"/>
      <c r="Q212" s="56"/>
      <c r="R212" s="50"/>
      <c r="S212" s="50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</row>
    <row r="213" spans="1:47" ht="15.75" customHeight="1" x14ac:dyDescent="0.2">
      <c r="A213" s="50"/>
      <c r="B213" s="51"/>
      <c r="C213" s="52"/>
      <c r="D213" s="50"/>
      <c r="E213" s="53"/>
      <c r="F213" s="53"/>
      <c r="G213" s="50"/>
      <c r="H213" s="54"/>
      <c r="I213" s="54"/>
      <c r="J213" s="50"/>
      <c r="K213" s="50"/>
      <c r="L213" s="50"/>
      <c r="M213" s="50"/>
      <c r="N213" s="55"/>
      <c r="O213" s="56"/>
      <c r="P213" s="56"/>
      <c r="Q213" s="56"/>
      <c r="R213" s="50"/>
      <c r="S213" s="50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</row>
    <row r="214" spans="1:47" ht="15.75" customHeight="1" x14ac:dyDescent="0.2">
      <c r="A214" s="50"/>
      <c r="B214" s="51"/>
      <c r="C214" s="58"/>
      <c r="D214" s="56"/>
      <c r="E214" s="59"/>
      <c r="F214" s="59"/>
      <c r="G214" s="56"/>
      <c r="H214" s="60"/>
      <c r="I214" s="60"/>
      <c r="J214" s="56"/>
      <c r="K214" s="56"/>
      <c r="L214" s="56"/>
      <c r="M214" s="56"/>
      <c r="N214" s="55"/>
      <c r="O214" s="56"/>
      <c r="P214" s="56"/>
      <c r="Q214" s="56"/>
      <c r="R214" s="50"/>
      <c r="S214" s="56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</row>
    <row r="215" spans="1:47" ht="15.75" customHeight="1" x14ac:dyDescent="0.2">
      <c r="A215" s="50"/>
      <c r="B215" s="51"/>
      <c r="C215" s="58"/>
      <c r="D215" s="56"/>
      <c r="E215" s="59"/>
      <c r="F215" s="59"/>
      <c r="G215" s="56"/>
      <c r="H215" s="60"/>
      <c r="I215" s="60"/>
      <c r="J215" s="56"/>
      <c r="K215" s="56"/>
      <c r="L215" s="56"/>
      <c r="M215" s="56"/>
      <c r="N215" s="55"/>
      <c r="O215" s="56"/>
      <c r="P215" s="56"/>
      <c r="Q215" s="56"/>
      <c r="R215" s="50"/>
      <c r="S215" s="56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</row>
    <row r="216" spans="1:47" ht="15.75" customHeight="1" x14ac:dyDescent="0.2">
      <c r="A216" s="50"/>
      <c r="B216" s="51"/>
      <c r="C216" s="58"/>
      <c r="D216" s="56"/>
      <c r="E216" s="59"/>
      <c r="F216" s="59"/>
      <c r="G216" s="56"/>
      <c r="H216" s="60"/>
      <c r="I216" s="60"/>
      <c r="J216" s="56"/>
      <c r="K216" s="56"/>
      <c r="L216" s="56"/>
      <c r="M216" s="56"/>
      <c r="N216" s="55"/>
      <c r="O216" s="56"/>
      <c r="P216" s="56"/>
      <c r="Q216" s="56"/>
      <c r="R216" s="50"/>
      <c r="S216" s="56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</row>
    <row r="217" spans="1:47" ht="15.75" customHeight="1" x14ac:dyDescent="0.2">
      <c r="A217" s="50"/>
      <c r="B217" s="51"/>
      <c r="C217" s="52"/>
      <c r="D217" s="50"/>
      <c r="E217" s="53"/>
      <c r="F217" s="53"/>
      <c r="G217" s="50"/>
      <c r="H217" s="61"/>
      <c r="I217" s="61"/>
      <c r="J217" s="50"/>
      <c r="K217" s="50"/>
      <c r="L217" s="50"/>
      <c r="M217" s="50"/>
      <c r="N217" s="55"/>
      <c r="O217" s="56"/>
      <c r="P217" s="56"/>
      <c r="Q217" s="56"/>
      <c r="R217" s="50"/>
      <c r="S217" s="50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</row>
    <row r="218" spans="1:47" ht="15.75" customHeight="1" x14ac:dyDescent="0.2">
      <c r="A218" s="50"/>
      <c r="B218" s="51"/>
      <c r="C218" s="52"/>
      <c r="D218" s="50"/>
      <c r="E218" s="53"/>
      <c r="F218" s="53"/>
      <c r="G218" s="50"/>
      <c r="H218" s="61"/>
      <c r="I218" s="61"/>
      <c r="J218" s="50"/>
      <c r="K218" s="50"/>
      <c r="L218" s="50"/>
      <c r="M218" s="50"/>
      <c r="N218" s="55"/>
      <c r="O218" s="56"/>
      <c r="P218" s="56"/>
      <c r="Q218" s="56"/>
      <c r="R218" s="50"/>
      <c r="S218" s="50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</row>
    <row r="219" spans="1:47" ht="15.75" customHeight="1" x14ac:dyDescent="0.2">
      <c r="A219" s="50"/>
      <c r="B219" s="51"/>
      <c r="C219" s="52"/>
      <c r="D219" s="50"/>
      <c r="E219" s="53"/>
      <c r="F219" s="53"/>
      <c r="G219" s="50"/>
      <c r="H219" s="61"/>
      <c r="I219" s="61"/>
      <c r="J219" s="50"/>
      <c r="K219" s="50"/>
      <c r="L219" s="50"/>
      <c r="M219" s="50"/>
      <c r="N219" s="55"/>
      <c r="O219" s="56"/>
      <c r="P219" s="56"/>
      <c r="Q219" s="56"/>
      <c r="R219" s="50"/>
      <c r="S219" s="50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</row>
    <row r="220" spans="1:47" ht="15.75" customHeight="1" x14ac:dyDescent="0.2">
      <c r="A220" s="50"/>
      <c r="B220" s="51"/>
      <c r="C220" s="52"/>
      <c r="D220" s="50"/>
      <c r="E220" s="53"/>
      <c r="F220" s="53"/>
      <c r="G220" s="50"/>
      <c r="H220" s="61"/>
      <c r="I220" s="61"/>
      <c r="J220" s="50"/>
      <c r="K220" s="50"/>
      <c r="L220" s="50"/>
      <c r="M220" s="50"/>
      <c r="N220" s="55"/>
      <c r="O220" s="56"/>
      <c r="P220" s="56"/>
      <c r="Q220" s="56"/>
      <c r="R220" s="50"/>
      <c r="S220" s="50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</row>
    <row r="221" spans="1:47" ht="15.75" customHeight="1" x14ac:dyDescent="0.2">
      <c r="A221" s="50"/>
      <c r="B221" s="51"/>
      <c r="C221" s="52"/>
      <c r="D221" s="50"/>
      <c r="E221" s="53"/>
      <c r="F221" s="53"/>
      <c r="G221" s="50"/>
      <c r="H221" s="61"/>
      <c r="I221" s="61"/>
      <c r="J221" s="50"/>
      <c r="K221" s="50"/>
      <c r="L221" s="50"/>
      <c r="M221" s="50"/>
      <c r="N221" s="55"/>
      <c r="O221" s="56"/>
      <c r="P221" s="56"/>
      <c r="Q221" s="56"/>
      <c r="R221" s="50"/>
      <c r="S221" s="50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</row>
    <row r="222" spans="1:47" ht="15.75" customHeight="1" x14ac:dyDescent="0.2">
      <c r="A222" s="50"/>
      <c r="B222" s="51"/>
      <c r="C222" s="52"/>
      <c r="D222" s="50"/>
      <c r="E222" s="53"/>
      <c r="F222" s="53"/>
      <c r="G222" s="50"/>
      <c r="H222" s="61"/>
      <c r="I222" s="61"/>
      <c r="J222" s="50"/>
      <c r="K222" s="50"/>
      <c r="L222" s="50"/>
      <c r="M222" s="50"/>
      <c r="N222" s="55"/>
      <c r="O222" s="56"/>
      <c r="P222" s="56"/>
      <c r="Q222" s="56"/>
      <c r="R222" s="50"/>
      <c r="S222" s="50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</row>
    <row r="223" spans="1:47" ht="15.75" customHeight="1" x14ac:dyDescent="0.2">
      <c r="A223" s="50"/>
      <c r="B223" s="51"/>
      <c r="C223" s="52"/>
      <c r="D223" s="50"/>
      <c r="E223" s="53"/>
      <c r="F223" s="53"/>
      <c r="G223" s="50"/>
      <c r="H223" s="61"/>
      <c r="I223" s="61"/>
      <c r="J223" s="50"/>
      <c r="K223" s="50"/>
      <c r="L223" s="50"/>
      <c r="M223" s="50"/>
      <c r="N223" s="55"/>
      <c r="O223" s="56"/>
      <c r="P223" s="56"/>
      <c r="Q223" s="56"/>
      <c r="R223" s="50"/>
      <c r="S223" s="50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</row>
    <row r="224" spans="1:47" ht="15.75" customHeight="1" x14ac:dyDescent="0.2">
      <c r="A224" s="50"/>
      <c r="B224" s="51"/>
      <c r="C224" s="52"/>
      <c r="D224" s="50"/>
      <c r="E224" s="53"/>
      <c r="F224" s="53"/>
      <c r="G224" s="50"/>
      <c r="H224" s="61"/>
      <c r="I224" s="61"/>
      <c r="J224" s="50"/>
      <c r="K224" s="50"/>
      <c r="L224" s="50"/>
      <c r="M224" s="50"/>
      <c r="N224" s="55"/>
      <c r="O224" s="56"/>
      <c r="P224" s="56"/>
      <c r="Q224" s="56"/>
      <c r="R224" s="50"/>
      <c r="S224" s="50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</row>
    <row r="225" spans="1:47" ht="15.75" customHeight="1" x14ac:dyDescent="0.2">
      <c r="A225" s="50"/>
      <c r="B225" s="51"/>
      <c r="C225" s="52"/>
      <c r="D225" s="50"/>
      <c r="E225" s="53"/>
      <c r="F225" s="53"/>
      <c r="G225" s="50"/>
      <c r="H225" s="61"/>
      <c r="I225" s="61"/>
      <c r="J225" s="50"/>
      <c r="K225" s="50"/>
      <c r="L225" s="50"/>
      <c r="M225" s="50"/>
      <c r="N225" s="55"/>
      <c r="O225" s="56"/>
      <c r="P225" s="56"/>
      <c r="Q225" s="56"/>
      <c r="R225" s="50"/>
      <c r="S225" s="50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</row>
    <row r="226" spans="1:47" ht="15.75" customHeight="1" x14ac:dyDescent="0.2">
      <c r="A226" s="50"/>
      <c r="B226" s="51"/>
      <c r="C226" s="52"/>
      <c r="D226" s="50"/>
      <c r="E226" s="53"/>
      <c r="F226" s="53"/>
      <c r="G226" s="50"/>
      <c r="H226" s="54"/>
      <c r="I226" s="54"/>
      <c r="J226" s="50"/>
      <c r="K226" s="50"/>
      <c r="L226" s="50"/>
      <c r="M226" s="50"/>
      <c r="N226" s="55"/>
      <c r="O226" s="56"/>
      <c r="P226" s="56"/>
      <c r="Q226" s="56"/>
      <c r="R226" s="50"/>
      <c r="S226" s="50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</row>
    <row r="227" spans="1:47" ht="15.75" customHeight="1" x14ac:dyDescent="0.2">
      <c r="A227" s="50"/>
      <c r="B227" s="51"/>
      <c r="C227" s="52"/>
      <c r="D227" s="50"/>
      <c r="E227" s="53"/>
      <c r="F227" s="53"/>
      <c r="G227" s="50"/>
      <c r="H227" s="54"/>
      <c r="I227" s="54"/>
      <c r="J227" s="50"/>
      <c r="K227" s="50"/>
      <c r="L227" s="50"/>
      <c r="M227" s="50"/>
      <c r="N227" s="55"/>
      <c r="O227" s="56"/>
      <c r="P227" s="56"/>
      <c r="Q227" s="56"/>
      <c r="R227" s="50"/>
      <c r="S227" s="50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</row>
    <row r="228" spans="1:47" ht="15.75" customHeight="1" x14ac:dyDescent="0.2">
      <c r="A228" s="50"/>
      <c r="B228" s="51"/>
      <c r="C228" s="52"/>
      <c r="D228" s="50"/>
      <c r="E228" s="53"/>
      <c r="F228" s="53"/>
      <c r="G228" s="50"/>
      <c r="H228" s="54"/>
      <c r="I228" s="54"/>
      <c r="J228" s="50"/>
      <c r="K228" s="50"/>
      <c r="L228" s="50"/>
      <c r="M228" s="50"/>
      <c r="N228" s="55"/>
      <c r="O228" s="56"/>
      <c r="P228" s="56"/>
      <c r="Q228" s="56"/>
      <c r="R228" s="50"/>
      <c r="S228" s="50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</row>
    <row r="229" spans="1:47" ht="15.75" customHeight="1" x14ac:dyDescent="0.2">
      <c r="A229" s="50"/>
      <c r="B229" s="51"/>
      <c r="C229" s="52"/>
      <c r="D229" s="50"/>
      <c r="E229" s="53"/>
      <c r="F229" s="53"/>
      <c r="G229" s="50"/>
      <c r="H229" s="54"/>
      <c r="I229" s="54"/>
      <c r="J229" s="50"/>
      <c r="K229" s="50"/>
      <c r="L229" s="50"/>
      <c r="M229" s="50"/>
      <c r="N229" s="55"/>
      <c r="O229" s="56"/>
      <c r="P229" s="56"/>
      <c r="Q229" s="56"/>
      <c r="R229" s="50"/>
      <c r="S229" s="50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</row>
    <row r="230" spans="1:47" ht="15.75" customHeight="1" x14ac:dyDescent="0.2">
      <c r="A230" s="50"/>
      <c r="B230" s="51"/>
      <c r="C230" s="52"/>
      <c r="D230" s="50"/>
      <c r="E230" s="53"/>
      <c r="F230" s="53"/>
      <c r="G230" s="50"/>
      <c r="H230" s="54"/>
      <c r="I230" s="54"/>
      <c r="J230" s="50"/>
      <c r="K230" s="50"/>
      <c r="L230" s="50"/>
      <c r="M230" s="50"/>
      <c r="N230" s="55"/>
      <c r="O230" s="56"/>
      <c r="P230" s="56"/>
      <c r="Q230" s="56"/>
      <c r="R230" s="50"/>
      <c r="S230" s="50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</row>
    <row r="231" spans="1:47" ht="15.75" customHeight="1" x14ac:dyDescent="0.2">
      <c r="A231" s="50"/>
      <c r="B231" s="51"/>
      <c r="C231" s="52"/>
      <c r="D231" s="50"/>
      <c r="E231" s="53"/>
      <c r="F231" s="53"/>
      <c r="G231" s="50"/>
      <c r="H231" s="54"/>
      <c r="I231" s="54"/>
      <c r="J231" s="50"/>
      <c r="K231" s="50"/>
      <c r="L231" s="50"/>
      <c r="M231" s="50"/>
      <c r="N231" s="55"/>
      <c r="O231" s="56"/>
      <c r="P231" s="56"/>
      <c r="Q231" s="56"/>
      <c r="R231" s="50"/>
      <c r="S231" s="50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</row>
    <row r="232" spans="1:47" ht="15.75" customHeight="1" x14ac:dyDescent="0.2">
      <c r="A232" s="50"/>
      <c r="B232" s="51"/>
      <c r="C232" s="52"/>
      <c r="D232" s="50"/>
      <c r="E232" s="53"/>
      <c r="F232" s="53"/>
      <c r="G232" s="50"/>
      <c r="H232" s="54"/>
      <c r="I232" s="54"/>
      <c r="J232" s="50"/>
      <c r="K232" s="50"/>
      <c r="L232" s="50"/>
      <c r="M232" s="50"/>
      <c r="N232" s="55"/>
      <c r="O232" s="56"/>
      <c r="P232" s="56"/>
      <c r="Q232" s="56"/>
      <c r="R232" s="50"/>
      <c r="S232" s="50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</row>
    <row r="233" spans="1:47" ht="15.75" customHeight="1" x14ac:dyDescent="0.2">
      <c r="A233" s="50"/>
      <c r="B233" s="51"/>
      <c r="C233" s="52"/>
      <c r="D233" s="50"/>
      <c r="E233" s="53"/>
      <c r="F233" s="53"/>
      <c r="G233" s="50"/>
      <c r="H233" s="54"/>
      <c r="I233" s="54"/>
      <c r="J233" s="50"/>
      <c r="K233" s="50"/>
      <c r="L233" s="50"/>
      <c r="M233" s="50"/>
      <c r="N233" s="55"/>
      <c r="O233" s="56"/>
      <c r="P233" s="56"/>
      <c r="Q233" s="56"/>
      <c r="R233" s="50"/>
      <c r="S233" s="50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</row>
    <row r="234" spans="1:47" ht="15.75" customHeight="1" x14ac:dyDescent="0.2">
      <c r="A234" s="50"/>
      <c r="B234" s="51"/>
      <c r="C234" s="52"/>
      <c r="D234" s="50"/>
      <c r="E234" s="53"/>
      <c r="F234" s="53"/>
      <c r="G234" s="50"/>
      <c r="H234" s="61"/>
      <c r="I234" s="61"/>
      <c r="J234" s="50"/>
      <c r="K234" s="50"/>
      <c r="L234" s="50"/>
      <c r="M234" s="50"/>
      <c r="N234" s="55"/>
      <c r="O234" s="56"/>
      <c r="P234" s="56"/>
      <c r="Q234" s="56"/>
      <c r="R234" s="50"/>
      <c r="S234" s="50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</row>
    <row r="235" spans="1:47" ht="15.75" customHeight="1" x14ac:dyDescent="0.2">
      <c r="A235" s="50"/>
      <c r="B235" s="51"/>
      <c r="C235" s="52"/>
      <c r="D235" s="50"/>
      <c r="E235" s="53"/>
      <c r="F235" s="53"/>
      <c r="G235" s="50"/>
      <c r="H235" s="61"/>
      <c r="I235" s="61"/>
      <c r="J235" s="50"/>
      <c r="K235" s="50"/>
      <c r="L235" s="50"/>
      <c r="M235" s="50"/>
      <c r="N235" s="55"/>
      <c r="O235" s="56"/>
      <c r="P235" s="56"/>
      <c r="Q235" s="56"/>
      <c r="R235" s="50"/>
      <c r="S235" s="50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</row>
    <row r="236" spans="1:47" ht="15.75" customHeight="1" x14ac:dyDescent="0.2">
      <c r="A236" s="50"/>
      <c r="B236" s="51"/>
      <c r="C236" s="52"/>
      <c r="D236" s="50"/>
      <c r="E236" s="53"/>
      <c r="F236" s="53"/>
      <c r="G236" s="50"/>
      <c r="H236" s="61"/>
      <c r="I236" s="61"/>
      <c r="J236" s="50"/>
      <c r="K236" s="50"/>
      <c r="L236" s="50"/>
      <c r="M236" s="50"/>
      <c r="N236" s="55"/>
      <c r="O236" s="56"/>
      <c r="P236" s="56"/>
      <c r="Q236" s="56"/>
      <c r="R236" s="50"/>
      <c r="S236" s="50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</row>
    <row r="237" spans="1:47" ht="15.75" customHeight="1" x14ac:dyDescent="0.2">
      <c r="A237" s="50"/>
      <c r="B237" s="51"/>
      <c r="C237" s="52"/>
      <c r="D237" s="50"/>
      <c r="E237" s="53"/>
      <c r="F237" s="53"/>
      <c r="G237" s="50"/>
      <c r="H237" s="61"/>
      <c r="I237" s="61"/>
      <c r="J237" s="50"/>
      <c r="K237" s="50"/>
      <c r="L237" s="50"/>
      <c r="M237" s="50"/>
      <c r="N237" s="55"/>
      <c r="O237" s="56"/>
      <c r="P237" s="56"/>
      <c r="Q237" s="56"/>
      <c r="R237" s="50"/>
      <c r="S237" s="50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</row>
    <row r="238" spans="1:47" ht="15.75" customHeight="1" x14ac:dyDescent="0.2">
      <c r="A238" s="50"/>
      <c r="B238" s="51"/>
      <c r="C238" s="52"/>
      <c r="D238" s="50"/>
      <c r="E238" s="53"/>
      <c r="F238" s="53"/>
      <c r="G238" s="50"/>
      <c r="H238" s="61"/>
      <c r="I238" s="61"/>
      <c r="J238" s="50"/>
      <c r="K238" s="50"/>
      <c r="L238" s="50"/>
      <c r="M238" s="50"/>
      <c r="N238" s="55"/>
      <c r="O238" s="56"/>
      <c r="P238" s="56"/>
      <c r="Q238" s="56"/>
      <c r="R238" s="50"/>
      <c r="S238" s="50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</row>
    <row r="239" spans="1:47" ht="15.75" customHeight="1" x14ac:dyDescent="0.2">
      <c r="A239" s="50"/>
      <c r="B239" s="51"/>
      <c r="C239" s="52"/>
      <c r="D239" s="50"/>
      <c r="E239" s="53"/>
      <c r="F239" s="53"/>
      <c r="G239" s="50"/>
      <c r="H239" s="61"/>
      <c r="I239" s="61"/>
      <c r="J239" s="50"/>
      <c r="K239" s="50"/>
      <c r="L239" s="50"/>
      <c r="M239" s="50"/>
      <c r="N239" s="55"/>
      <c r="O239" s="56"/>
      <c r="P239" s="56"/>
      <c r="Q239" s="56"/>
      <c r="R239" s="50"/>
      <c r="S239" s="50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</row>
    <row r="240" spans="1:47" ht="15.75" customHeight="1" x14ac:dyDescent="0.2">
      <c r="A240" s="50"/>
      <c r="B240" s="51"/>
      <c r="C240" s="52"/>
      <c r="D240" s="50"/>
      <c r="E240" s="53"/>
      <c r="F240" s="53"/>
      <c r="G240" s="50"/>
      <c r="H240" s="61"/>
      <c r="I240" s="61"/>
      <c r="J240" s="50"/>
      <c r="K240" s="50"/>
      <c r="L240" s="50"/>
      <c r="M240" s="50"/>
      <c r="N240" s="55"/>
      <c r="O240" s="56"/>
      <c r="P240" s="56"/>
      <c r="Q240" s="56"/>
      <c r="R240" s="50"/>
      <c r="S240" s="50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</row>
    <row r="241" spans="1:47" ht="15.75" customHeight="1" x14ac:dyDescent="0.2">
      <c r="A241" s="50"/>
      <c r="B241" s="51"/>
      <c r="C241" s="52"/>
      <c r="D241" s="50"/>
      <c r="E241" s="53"/>
      <c r="F241" s="53"/>
      <c r="G241" s="50"/>
      <c r="H241" s="61"/>
      <c r="I241" s="61"/>
      <c r="J241" s="50"/>
      <c r="K241" s="50"/>
      <c r="L241" s="50"/>
      <c r="M241" s="50"/>
      <c r="N241" s="55"/>
      <c r="O241" s="56"/>
      <c r="P241" s="56"/>
      <c r="Q241" s="56"/>
      <c r="R241" s="50"/>
      <c r="S241" s="50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</row>
    <row r="242" spans="1:47" ht="15.75" customHeight="1" x14ac:dyDescent="0.2">
      <c r="A242" s="50"/>
      <c r="B242" s="51"/>
      <c r="C242" s="52"/>
      <c r="D242" s="50"/>
      <c r="E242" s="53"/>
      <c r="F242" s="53"/>
      <c r="G242" s="50"/>
      <c r="H242" s="61"/>
      <c r="I242" s="61"/>
      <c r="J242" s="50"/>
      <c r="K242" s="50"/>
      <c r="L242" s="50"/>
      <c r="M242" s="50"/>
      <c r="N242" s="55"/>
      <c r="O242" s="56"/>
      <c r="P242" s="56"/>
      <c r="Q242" s="56"/>
      <c r="R242" s="50"/>
      <c r="S242" s="50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</row>
    <row r="243" spans="1:47" ht="15.75" customHeight="1" x14ac:dyDescent="0.2">
      <c r="A243" s="50"/>
      <c r="B243" s="51"/>
      <c r="C243" s="52"/>
      <c r="D243" s="50"/>
      <c r="E243" s="53"/>
      <c r="F243" s="53"/>
      <c r="G243" s="50"/>
      <c r="H243" s="61"/>
      <c r="I243" s="61"/>
      <c r="J243" s="50"/>
      <c r="K243" s="50"/>
      <c r="L243" s="50"/>
      <c r="M243" s="50"/>
      <c r="N243" s="55"/>
      <c r="O243" s="56"/>
      <c r="P243" s="56"/>
      <c r="Q243" s="56"/>
      <c r="R243" s="50"/>
      <c r="S243" s="50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</row>
    <row r="244" spans="1:47" ht="15.75" customHeight="1" x14ac:dyDescent="0.2">
      <c r="A244" s="50"/>
      <c r="B244" s="51"/>
      <c r="C244" s="52"/>
      <c r="D244" s="50"/>
      <c r="E244" s="53"/>
      <c r="F244" s="53"/>
      <c r="G244" s="50"/>
      <c r="H244" s="54"/>
      <c r="I244" s="54"/>
      <c r="J244" s="50"/>
      <c r="K244" s="50"/>
      <c r="L244" s="50"/>
      <c r="M244" s="50"/>
      <c r="N244" s="55"/>
      <c r="O244" s="56"/>
      <c r="P244" s="56"/>
      <c r="Q244" s="56"/>
      <c r="R244" s="50"/>
      <c r="S244" s="50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</row>
    <row r="245" spans="1:47" ht="15.75" customHeight="1" x14ac:dyDescent="0.2">
      <c r="A245" s="50"/>
      <c r="B245" s="51"/>
      <c r="C245" s="52"/>
      <c r="D245" s="50"/>
      <c r="E245" s="53"/>
      <c r="F245" s="53"/>
      <c r="G245" s="50"/>
      <c r="H245" s="54"/>
      <c r="I245" s="54"/>
      <c r="J245" s="50"/>
      <c r="K245" s="50"/>
      <c r="L245" s="50"/>
      <c r="M245" s="50"/>
      <c r="N245" s="55"/>
      <c r="O245" s="56"/>
      <c r="P245" s="56"/>
      <c r="Q245" s="56"/>
      <c r="R245" s="50"/>
      <c r="S245" s="50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</row>
    <row r="246" spans="1:47" ht="15.75" customHeight="1" x14ac:dyDescent="0.2">
      <c r="A246" s="50"/>
      <c r="B246" s="51"/>
      <c r="C246" s="52"/>
      <c r="D246" s="50"/>
      <c r="E246" s="53"/>
      <c r="F246" s="53"/>
      <c r="G246" s="50"/>
      <c r="H246" s="54"/>
      <c r="I246" s="54"/>
      <c r="J246" s="50"/>
      <c r="K246" s="50"/>
      <c r="L246" s="50"/>
      <c r="M246" s="50"/>
      <c r="N246" s="55"/>
      <c r="O246" s="56"/>
      <c r="P246" s="56"/>
      <c r="Q246" s="56"/>
      <c r="R246" s="50"/>
      <c r="S246" s="50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</row>
    <row r="247" spans="1:47" ht="15.75" customHeight="1" x14ac:dyDescent="0.2">
      <c r="A247" s="50"/>
      <c r="B247" s="51"/>
      <c r="C247" s="52"/>
      <c r="D247" s="50"/>
      <c r="E247" s="53"/>
      <c r="F247" s="53"/>
      <c r="G247" s="50"/>
      <c r="H247" s="54"/>
      <c r="I247" s="54"/>
      <c r="J247" s="50"/>
      <c r="K247" s="50"/>
      <c r="L247" s="50"/>
      <c r="M247" s="50"/>
      <c r="N247" s="55"/>
      <c r="O247" s="56"/>
      <c r="P247" s="56"/>
      <c r="Q247" s="56"/>
      <c r="R247" s="50"/>
      <c r="S247" s="50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</row>
    <row r="248" spans="1:47" ht="15.75" customHeight="1" x14ac:dyDescent="0.2">
      <c r="A248" s="50"/>
      <c r="B248" s="51"/>
      <c r="C248" s="52"/>
      <c r="D248" s="50"/>
      <c r="E248" s="53"/>
      <c r="F248" s="53"/>
      <c r="G248" s="50"/>
      <c r="H248" s="54"/>
      <c r="I248" s="54"/>
      <c r="J248" s="50"/>
      <c r="K248" s="50"/>
      <c r="L248" s="50"/>
      <c r="M248" s="50"/>
      <c r="N248" s="55"/>
      <c r="O248" s="56"/>
      <c r="P248" s="56"/>
      <c r="Q248" s="56"/>
      <c r="R248" s="50"/>
      <c r="S248" s="50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</row>
    <row r="249" spans="1:47" ht="15.75" customHeight="1" x14ac:dyDescent="0.2">
      <c r="A249" s="50"/>
      <c r="B249" s="51"/>
      <c r="C249" s="52"/>
      <c r="D249" s="50"/>
      <c r="E249" s="53"/>
      <c r="F249" s="53"/>
      <c r="G249" s="50"/>
      <c r="H249" s="54"/>
      <c r="I249" s="54"/>
      <c r="J249" s="50"/>
      <c r="K249" s="50"/>
      <c r="L249" s="50"/>
      <c r="M249" s="50"/>
      <c r="N249" s="55"/>
      <c r="O249" s="56"/>
      <c r="P249" s="56"/>
      <c r="Q249" s="56"/>
      <c r="R249" s="50"/>
      <c r="S249" s="50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</row>
    <row r="250" spans="1:47" ht="15.75" customHeight="1" x14ac:dyDescent="0.2">
      <c r="A250" s="50"/>
      <c r="B250" s="51"/>
      <c r="C250" s="52"/>
      <c r="D250" s="50"/>
      <c r="E250" s="53"/>
      <c r="F250" s="53"/>
      <c r="G250" s="50"/>
      <c r="H250" s="54"/>
      <c r="I250" s="54"/>
      <c r="J250" s="50"/>
      <c r="K250" s="50"/>
      <c r="L250" s="50"/>
      <c r="M250" s="50"/>
      <c r="N250" s="55"/>
      <c r="O250" s="56"/>
      <c r="P250" s="56"/>
      <c r="Q250" s="56"/>
      <c r="R250" s="50"/>
      <c r="S250" s="50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</row>
    <row r="251" spans="1:47" ht="15.75" customHeight="1" x14ac:dyDescent="0.2">
      <c r="A251" s="50"/>
      <c r="B251" s="51"/>
      <c r="C251" s="52"/>
      <c r="D251" s="50"/>
      <c r="E251" s="53"/>
      <c r="F251" s="53"/>
      <c r="G251" s="50"/>
      <c r="H251" s="54"/>
      <c r="I251" s="54"/>
      <c r="J251" s="50"/>
      <c r="K251" s="50"/>
      <c r="L251" s="50"/>
      <c r="M251" s="50"/>
      <c r="N251" s="55"/>
      <c r="O251" s="56"/>
      <c r="P251" s="56"/>
      <c r="Q251" s="56"/>
      <c r="R251" s="50"/>
      <c r="S251" s="50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</row>
    <row r="252" spans="1:47" ht="15.75" customHeight="1" x14ac:dyDescent="0.2">
      <c r="A252" s="50"/>
      <c r="B252" s="51"/>
      <c r="C252" s="52"/>
      <c r="D252" s="50"/>
      <c r="E252" s="53"/>
      <c r="F252" s="53"/>
      <c r="G252" s="50"/>
      <c r="H252" s="54"/>
      <c r="I252" s="54"/>
      <c r="J252" s="50"/>
      <c r="K252" s="50"/>
      <c r="L252" s="50"/>
      <c r="M252" s="50"/>
      <c r="N252" s="55"/>
      <c r="O252" s="56"/>
      <c r="P252" s="56"/>
      <c r="Q252" s="56"/>
      <c r="R252" s="50"/>
      <c r="S252" s="50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</row>
    <row r="253" spans="1:47" ht="15.75" customHeight="1" x14ac:dyDescent="0.2">
      <c r="A253" s="50"/>
      <c r="B253" s="51"/>
      <c r="C253" s="52"/>
      <c r="D253" s="50"/>
      <c r="E253" s="53"/>
      <c r="F253" s="53"/>
      <c r="G253" s="50"/>
      <c r="H253" s="54"/>
      <c r="I253" s="54"/>
      <c r="J253" s="50"/>
      <c r="K253" s="50"/>
      <c r="L253" s="50"/>
      <c r="M253" s="50"/>
      <c r="N253" s="55"/>
      <c r="O253" s="56"/>
      <c r="P253" s="56"/>
      <c r="Q253" s="56"/>
      <c r="R253" s="50"/>
      <c r="S253" s="50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</row>
    <row r="254" spans="1:47" ht="15.75" customHeight="1" x14ac:dyDescent="0.2">
      <c r="A254" s="50"/>
      <c r="B254" s="51"/>
      <c r="C254" s="52"/>
      <c r="D254" s="50"/>
      <c r="E254" s="53"/>
      <c r="F254" s="53"/>
      <c r="G254" s="50"/>
      <c r="H254" s="54"/>
      <c r="I254" s="54"/>
      <c r="J254" s="50"/>
      <c r="K254" s="50"/>
      <c r="L254" s="50"/>
      <c r="M254" s="50"/>
      <c r="N254" s="55"/>
      <c r="O254" s="56"/>
      <c r="P254" s="56"/>
      <c r="Q254" s="56"/>
      <c r="R254" s="50"/>
      <c r="S254" s="50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</row>
    <row r="255" spans="1:47" ht="15.75" customHeight="1" x14ac:dyDescent="0.2">
      <c r="A255" s="50"/>
      <c r="B255" s="51"/>
      <c r="C255" s="52"/>
      <c r="D255" s="50"/>
      <c r="E255" s="53"/>
      <c r="F255" s="53"/>
      <c r="G255" s="50"/>
      <c r="H255" s="54"/>
      <c r="I255" s="54"/>
      <c r="J255" s="50"/>
      <c r="K255" s="50"/>
      <c r="L255" s="50"/>
      <c r="M255" s="50"/>
      <c r="N255" s="55"/>
      <c r="O255" s="56"/>
      <c r="P255" s="56"/>
      <c r="Q255" s="56"/>
      <c r="R255" s="50"/>
      <c r="S255" s="50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</row>
    <row r="256" spans="1:47" ht="15.75" customHeight="1" x14ac:dyDescent="0.2">
      <c r="A256" s="50"/>
      <c r="B256" s="51"/>
      <c r="C256" s="52"/>
      <c r="D256" s="50"/>
      <c r="E256" s="53"/>
      <c r="F256" s="53"/>
      <c r="G256" s="50"/>
      <c r="H256" s="54"/>
      <c r="I256" s="54"/>
      <c r="J256" s="50"/>
      <c r="K256" s="50"/>
      <c r="L256" s="50"/>
      <c r="M256" s="50"/>
      <c r="N256" s="55"/>
      <c r="O256" s="56"/>
      <c r="P256" s="56"/>
      <c r="Q256" s="56"/>
      <c r="R256" s="50"/>
      <c r="S256" s="50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</row>
    <row r="257" spans="1:47" ht="15.75" customHeight="1" x14ac:dyDescent="0.2">
      <c r="A257" s="50"/>
      <c r="B257" s="51"/>
      <c r="C257" s="52"/>
      <c r="D257" s="50"/>
      <c r="E257" s="53"/>
      <c r="F257" s="53"/>
      <c r="G257" s="50"/>
      <c r="H257" s="54"/>
      <c r="I257" s="54"/>
      <c r="J257" s="50"/>
      <c r="K257" s="50"/>
      <c r="L257" s="50"/>
      <c r="M257" s="50"/>
      <c r="N257" s="55"/>
      <c r="O257" s="56"/>
      <c r="P257" s="56"/>
      <c r="Q257" s="56"/>
      <c r="R257" s="50"/>
      <c r="S257" s="50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</row>
    <row r="258" spans="1:47" ht="15.75" customHeight="1" x14ac:dyDescent="0.2">
      <c r="A258" s="50"/>
      <c r="B258" s="51"/>
      <c r="C258" s="52"/>
      <c r="D258" s="50"/>
      <c r="E258" s="53"/>
      <c r="F258" s="53"/>
      <c r="G258" s="50"/>
      <c r="H258" s="54"/>
      <c r="I258" s="54"/>
      <c r="J258" s="50"/>
      <c r="K258" s="50"/>
      <c r="L258" s="50"/>
      <c r="M258" s="50"/>
      <c r="N258" s="55"/>
      <c r="O258" s="56"/>
      <c r="P258" s="56"/>
      <c r="Q258" s="56"/>
      <c r="R258" s="50"/>
      <c r="S258" s="50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</row>
    <row r="259" spans="1:47" ht="15.75" customHeight="1" x14ac:dyDescent="0.2">
      <c r="A259" s="50"/>
      <c r="B259" s="51"/>
      <c r="C259" s="52"/>
      <c r="D259" s="50"/>
      <c r="E259" s="53"/>
      <c r="F259" s="53"/>
      <c r="G259" s="50"/>
      <c r="H259" s="61"/>
      <c r="I259" s="61"/>
      <c r="J259" s="50"/>
      <c r="K259" s="50"/>
      <c r="L259" s="50"/>
      <c r="M259" s="50"/>
      <c r="N259" s="55"/>
      <c r="O259" s="56"/>
      <c r="P259" s="56"/>
      <c r="Q259" s="56"/>
      <c r="R259" s="50"/>
      <c r="S259" s="50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</row>
    <row r="260" spans="1:47" ht="15.75" customHeight="1" x14ac:dyDescent="0.2">
      <c r="A260" s="50"/>
      <c r="B260" s="51"/>
      <c r="C260" s="52"/>
      <c r="D260" s="50"/>
      <c r="E260" s="53"/>
      <c r="F260" s="53"/>
      <c r="G260" s="50"/>
      <c r="H260" s="61"/>
      <c r="I260" s="61"/>
      <c r="J260" s="50"/>
      <c r="K260" s="50"/>
      <c r="L260" s="50"/>
      <c r="M260" s="50"/>
      <c r="N260" s="55"/>
      <c r="O260" s="56"/>
      <c r="P260" s="56"/>
      <c r="Q260" s="56"/>
      <c r="R260" s="50"/>
      <c r="S260" s="50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</row>
    <row r="261" spans="1:47" ht="15.75" customHeight="1" x14ac:dyDescent="0.2">
      <c r="A261" s="50"/>
      <c r="B261" s="51"/>
      <c r="C261" s="52"/>
      <c r="D261" s="50"/>
      <c r="E261" s="53"/>
      <c r="F261" s="53"/>
      <c r="G261" s="50"/>
      <c r="H261" s="61"/>
      <c r="I261" s="61"/>
      <c r="J261" s="50"/>
      <c r="K261" s="50"/>
      <c r="L261" s="50"/>
      <c r="M261" s="50"/>
      <c r="N261" s="55"/>
      <c r="O261" s="56"/>
      <c r="P261" s="56"/>
      <c r="Q261" s="56"/>
      <c r="R261" s="50"/>
      <c r="S261" s="50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</row>
    <row r="262" spans="1:47" ht="15.75" customHeight="1" x14ac:dyDescent="0.2">
      <c r="A262" s="50"/>
      <c r="B262" s="51"/>
      <c r="C262" s="52"/>
      <c r="D262" s="50"/>
      <c r="E262" s="53"/>
      <c r="F262" s="53"/>
      <c r="G262" s="50"/>
      <c r="H262" s="61"/>
      <c r="I262" s="61"/>
      <c r="J262" s="50"/>
      <c r="K262" s="50"/>
      <c r="L262" s="50"/>
      <c r="M262" s="50"/>
      <c r="N262" s="55"/>
      <c r="O262" s="56"/>
      <c r="P262" s="56"/>
      <c r="Q262" s="56"/>
      <c r="R262" s="50"/>
      <c r="S262" s="50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</row>
    <row r="263" spans="1:47" ht="15.75" customHeight="1" x14ac:dyDescent="0.2">
      <c r="A263" s="50"/>
      <c r="B263" s="51"/>
      <c r="C263" s="52"/>
      <c r="D263" s="50"/>
      <c r="E263" s="53"/>
      <c r="F263" s="53"/>
      <c r="G263" s="50"/>
      <c r="H263" s="61"/>
      <c r="I263" s="61"/>
      <c r="J263" s="50"/>
      <c r="K263" s="50"/>
      <c r="L263" s="50"/>
      <c r="M263" s="50"/>
      <c r="N263" s="55"/>
      <c r="O263" s="56"/>
      <c r="P263" s="56"/>
      <c r="Q263" s="56"/>
      <c r="R263" s="50"/>
      <c r="S263" s="50"/>
      <c r="T263" s="57"/>
      <c r="U263" s="57">
        <v>0</v>
      </c>
      <c r="V263" s="57">
        <v>2</v>
      </c>
      <c r="W263" s="57">
        <v>3</v>
      </c>
      <c r="X263" s="57">
        <v>2</v>
      </c>
      <c r="Y263" s="57">
        <v>1</v>
      </c>
      <c r="Z263" s="57">
        <v>0</v>
      </c>
      <c r="AA263" s="57">
        <v>0</v>
      </c>
      <c r="AB263" s="57">
        <v>0</v>
      </c>
      <c r="AC263" s="57">
        <v>0</v>
      </c>
      <c r="AD263" s="57">
        <v>0</v>
      </c>
      <c r="AE263" s="57">
        <v>0</v>
      </c>
      <c r="AF263" s="57">
        <v>325000</v>
      </c>
      <c r="AG263" s="57">
        <v>0</v>
      </c>
      <c r="AH263" s="57">
        <v>325000</v>
      </c>
      <c r="AI263" s="57">
        <v>487500</v>
      </c>
      <c r="AJ263" s="57">
        <v>325000</v>
      </c>
      <c r="AK263" s="57">
        <v>162500</v>
      </c>
      <c r="AL263" s="57">
        <v>0</v>
      </c>
      <c r="AM263" s="57">
        <v>0</v>
      </c>
      <c r="AN263" s="57">
        <v>0</v>
      </c>
      <c r="AO263" s="57">
        <v>0</v>
      </c>
      <c r="AP263" s="57">
        <v>0</v>
      </c>
      <c r="AQ263" s="57">
        <v>0</v>
      </c>
      <c r="AR263" s="57">
        <v>4141029</v>
      </c>
      <c r="AS263" s="57">
        <f t="shared" ref="AS263:AS383" si="0">SUM(AF263:AQ263)</f>
        <v>1625000</v>
      </c>
      <c r="AT263" s="57">
        <f t="shared" ref="AT263:AT383" si="1">(H263*N263)</f>
        <v>0</v>
      </c>
      <c r="AU263" s="57">
        <f t="shared" ref="AU263:AU383" si="2">(AR263+AS263)</f>
        <v>5766029</v>
      </c>
    </row>
    <row r="264" spans="1:47" ht="15.75" customHeight="1" x14ac:dyDescent="0.2">
      <c r="A264" s="50"/>
      <c r="B264" s="51"/>
      <c r="C264" s="52"/>
      <c r="D264" s="50"/>
      <c r="E264" s="53"/>
      <c r="F264" s="53"/>
      <c r="G264" s="50"/>
      <c r="H264" s="54"/>
      <c r="I264" s="54"/>
      <c r="J264" s="50"/>
      <c r="K264" s="50"/>
      <c r="L264" s="50"/>
      <c r="M264" s="50"/>
      <c r="N264" s="55"/>
      <c r="O264" s="56"/>
      <c r="P264" s="56"/>
      <c r="Q264" s="56"/>
      <c r="R264" s="50"/>
      <c r="S264" s="50"/>
      <c r="T264" s="57"/>
      <c r="U264" s="57">
        <v>0</v>
      </c>
      <c r="V264" s="57">
        <v>0</v>
      </c>
      <c r="W264" s="57">
        <v>0</v>
      </c>
      <c r="X264" s="57">
        <v>0</v>
      </c>
      <c r="Y264" s="57">
        <v>0</v>
      </c>
      <c r="Z264" s="57">
        <v>0</v>
      </c>
      <c r="AA264" s="57">
        <v>0</v>
      </c>
      <c r="AB264" s="57">
        <v>0</v>
      </c>
      <c r="AC264" s="57">
        <v>0</v>
      </c>
      <c r="AD264" s="57">
        <v>0</v>
      </c>
      <c r="AE264" s="57">
        <v>0</v>
      </c>
      <c r="AF264" s="57">
        <v>0</v>
      </c>
      <c r="AG264" s="57">
        <v>0</v>
      </c>
      <c r="AH264" s="57">
        <v>0</v>
      </c>
      <c r="AI264" s="57">
        <v>0</v>
      </c>
      <c r="AJ264" s="57">
        <v>0</v>
      </c>
      <c r="AK264" s="57">
        <v>0</v>
      </c>
      <c r="AL264" s="57">
        <v>0</v>
      </c>
      <c r="AM264" s="57">
        <v>0</v>
      </c>
      <c r="AN264" s="57">
        <v>0</v>
      </c>
      <c r="AO264" s="57">
        <v>0</v>
      </c>
      <c r="AP264" s="57">
        <v>0</v>
      </c>
      <c r="AQ264" s="57">
        <v>0</v>
      </c>
      <c r="AR264" s="57">
        <v>421200</v>
      </c>
      <c r="AS264" s="57">
        <f t="shared" si="0"/>
        <v>0</v>
      </c>
      <c r="AT264" s="57">
        <f t="shared" si="1"/>
        <v>0</v>
      </c>
      <c r="AU264" s="57">
        <f t="shared" si="2"/>
        <v>421200</v>
      </c>
    </row>
    <row r="265" spans="1:47" ht="15.75" customHeight="1" x14ac:dyDescent="0.2">
      <c r="A265" s="50"/>
      <c r="B265" s="51"/>
      <c r="C265" s="52"/>
      <c r="D265" s="50"/>
      <c r="E265" s="53"/>
      <c r="F265" s="53"/>
      <c r="G265" s="50"/>
      <c r="H265" s="54"/>
      <c r="I265" s="54"/>
      <c r="J265" s="50"/>
      <c r="K265" s="50"/>
      <c r="L265" s="50"/>
      <c r="M265" s="50"/>
      <c r="N265" s="55"/>
      <c r="O265" s="56"/>
      <c r="P265" s="56"/>
      <c r="Q265" s="56"/>
      <c r="R265" s="50"/>
      <c r="S265" s="50"/>
      <c r="T265" s="57"/>
      <c r="U265" s="57">
        <v>0</v>
      </c>
      <c r="V265" s="57">
        <v>0</v>
      </c>
      <c r="W265" s="57">
        <v>0</v>
      </c>
      <c r="X265" s="57">
        <v>0</v>
      </c>
      <c r="Y265" s="57">
        <v>0</v>
      </c>
      <c r="Z265" s="57">
        <v>0</v>
      </c>
      <c r="AA265" s="57">
        <v>0</v>
      </c>
      <c r="AB265" s="57">
        <v>0</v>
      </c>
      <c r="AC265" s="57">
        <v>0</v>
      </c>
      <c r="AD265" s="57">
        <v>0</v>
      </c>
      <c r="AE265" s="57">
        <v>0</v>
      </c>
      <c r="AF265" s="57">
        <v>0</v>
      </c>
      <c r="AG265" s="57">
        <v>0</v>
      </c>
      <c r="AH265" s="57">
        <v>0</v>
      </c>
      <c r="AI265" s="57">
        <v>0</v>
      </c>
      <c r="AJ265" s="57">
        <v>0</v>
      </c>
      <c r="AK265" s="57">
        <v>0</v>
      </c>
      <c r="AL265" s="57">
        <v>0</v>
      </c>
      <c r="AM265" s="57">
        <v>0</v>
      </c>
      <c r="AN265" s="57">
        <v>0</v>
      </c>
      <c r="AO265" s="57">
        <v>0</v>
      </c>
      <c r="AP265" s="57">
        <v>0</v>
      </c>
      <c r="AQ265" s="57">
        <v>0</v>
      </c>
      <c r="AR265" s="57">
        <v>90000</v>
      </c>
      <c r="AS265" s="57">
        <f t="shared" si="0"/>
        <v>0</v>
      </c>
      <c r="AT265" s="57">
        <f t="shared" si="1"/>
        <v>0</v>
      </c>
      <c r="AU265" s="57">
        <f t="shared" si="2"/>
        <v>90000</v>
      </c>
    </row>
    <row r="266" spans="1:47" ht="15.75" customHeight="1" x14ac:dyDescent="0.2">
      <c r="A266" s="50"/>
      <c r="B266" s="51"/>
      <c r="C266" s="52"/>
      <c r="D266" s="50"/>
      <c r="E266" s="53"/>
      <c r="F266" s="53"/>
      <c r="G266" s="50"/>
      <c r="H266" s="54"/>
      <c r="I266" s="54"/>
      <c r="J266" s="50"/>
      <c r="K266" s="50"/>
      <c r="L266" s="50"/>
      <c r="M266" s="50"/>
      <c r="N266" s="55"/>
      <c r="O266" s="56"/>
      <c r="P266" s="56"/>
      <c r="Q266" s="56"/>
      <c r="R266" s="50"/>
      <c r="S266" s="50"/>
      <c r="T266" s="57"/>
      <c r="U266" s="57">
        <v>4</v>
      </c>
      <c r="V266" s="57">
        <v>1</v>
      </c>
      <c r="W266" s="57">
        <v>2</v>
      </c>
      <c r="X266" s="57">
        <v>0</v>
      </c>
      <c r="Y266" s="57">
        <v>0</v>
      </c>
      <c r="Z266" s="57">
        <v>0</v>
      </c>
      <c r="AA266" s="57">
        <v>0</v>
      </c>
      <c r="AB266" s="57">
        <v>0</v>
      </c>
      <c r="AC266" s="57">
        <v>0</v>
      </c>
      <c r="AD266" s="57">
        <v>0</v>
      </c>
      <c r="AE266" s="57">
        <v>0</v>
      </c>
      <c r="AF266" s="57">
        <v>0</v>
      </c>
      <c r="AG266" s="57">
        <v>120000</v>
      </c>
      <c r="AH266" s="57">
        <v>30000</v>
      </c>
      <c r="AI266" s="57">
        <v>60000</v>
      </c>
      <c r="AJ266" s="57">
        <v>0</v>
      </c>
      <c r="AK266" s="57">
        <v>0</v>
      </c>
      <c r="AL266" s="57">
        <v>0</v>
      </c>
      <c r="AM266" s="57">
        <v>0</v>
      </c>
      <c r="AN266" s="57">
        <v>0</v>
      </c>
      <c r="AO266" s="57">
        <v>0</v>
      </c>
      <c r="AP266" s="57">
        <v>0</v>
      </c>
      <c r="AQ266" s="57">
        <v>0</v>
      </c>
      <c r="AR266" s="57">
        <v>1790865</v>
      </c>
      <c r="AS266" s="57">
        <f t="shared" si="0"/>
        <v>210000</v>
      </c>
      <c r="AT266" s="57">
        <f t="shared" si="1"/>
        <v>0</v>
      </c>
      <c r="AU266" s="57">
        <f t="shared" si="2"/>
        <v>2000865</v>
      </c>
    </row>
    <row r="267" spans="1:47" ht="15.75" customHeight="1" x14ac:dyDescent="0.2">
      <c r="A267" s="50"/>
      <c r="B267" s="51"/>
      <c r="C267" s="52"/>
      <c r="D267" s="50"/>
      <c r="E267" s="53"/>
      <c r="F267" s="53"/>
      <c r="G267" s="50"/>
      <c r="H267" s="54"/>
      <c r="I267" s="54"/>
      <c r="J267" s="50"/>
      <c r="K267" s="50"/>
      <c r="L267" s="50"/>
      <c r="M267" s="50"/>
      <c r="N267" s="55"/>
      <c r="O267" s="56"/>
      <c r="P267" s="56"/>
      <c r="Q267" s="56"/>
      <c r="R267" s="50"/>
      <c r="S267" s="50"/>
      <c r="T267" s="57"/>
      <c r="U267" s="57">
        <v>0</v>
      </c>
      <c r="V267" s="57">
        <v>0</v>
      </c>
      <c r="W267" s="57">
        <v>0</v>
      </c>
      <c r="X267" s="57">
        <v>0</v>
      </c>
      <c r="Y267" s="57">
        <v>0</v>
      </c>
      <c r="Z267" s="57">
        <v>0</v>
      </c>
      <c r="AA267" s="57">
        <v>0</v>
      </c>
      <c r="AB267" s="57">
        <v>0</v>
      </c>
      <c r="AC267" s="57">
        <v>0</v>
      </c>
      <c r="AD267" s="57">
        <v>0</v>
      </c>
      <c r="AE267" s="57">
        <v>0</v>
      </c>
      <c r="AF267" s="57">
        <v>23375</v>
      </c>
      <c r="AG267" s="57">
        <v>0</v>
      </c>
      <c r="AH267" s="57">
        <v>0</v>
      </c>
      <c r="AI267" s="57">
        <v>0</v>
      </c>
      <c r="AJ267" s="57">
        <v>0</v>
      </c>
      <c r="AK267" s="57">
        <v>0</v>
      </c>
      <c r="AL267" s="57">
        <v>0</v>
      </c>
      <c r="AM267" s="57">
        <v>0</v>
      </c>
      <c r="AN267" s="57">
        <v>0</v>
      </c>
      <c r="AO267" s="57">
        <v>0</v>
      </c>
      <c r="AP267" s="57">
        <v>0</v>
      </c>
      <c r="AQ267" s="57">
        <v>0</v>
      </c>
      <c r="AR267" s="57">
        <v>249752</v>
      </c>
      <c r="AS267" s="57">
        <f t="shared" si="0"/>
        <v>23375</v>
      </c>
      <c r="AT267" s="57">
        <f t="shared" si="1"/>
        <v>0</v>
      </c>
      <c r="AU267" s="57">
        <f t="shared" si="2"/>
        <v>273127</v>
      </c>
    </row>
    <row r="268" spans="1:47" ht="15.75" customHeight="1" x14ac:dyDescent="0.2">
      <c r="A268" s="50"/>
      <c r="B268" s="51"/>
      <c r="C268" s="52"/>
      <c r="D268" s="50"/>
      <c r="E268" s="53"/>
      <c r="F268" s="53"/>
      <c r="G268" s="50"/>
      <c r="H268" s="54"/>
      <c r="I268" s="54"/>
      <c r="J268" s="50"/>
      <c r="K268" s="50"/>
      <c r="L268" s="50"/>
      <c r="M268" s="50"/>
      <c r="N268" s="55"/>
      <c r="O268" s="56"/>
      <c r="P268" s="56"/>
      <c r="Q268" s="56"/>
      <c r="R268" s="50"/>
      <c r="S268" s="50"/>
      <c r="T268" s="57"/>
      <c r="U268" s="57">
        <v>0</v>
      </c>
      <c r="V268" s="57">
        <v>0</v>
      </c>
      <c r="W268" s="57">
        <v>0</v>
      </c>
      <c r="X268" s="57">
        <v>0</v>
      </c>
      <c r="Y268" s="57">
        <v>0</v>
      </c>
      <c r="Z268" s="57">
        <v>0</v>
      </c>
      <c r="AA268" s="57">
        <v>0</v>
      </c>
      <c r="AB268" s="57">
        <v>0</v>
      </c>
      <c r="AC268" s="57">
        <v>0</v>
      </c>
      <c r="AD268" s="57">
        <v>0</v>
      </c>
      <c r="AE268" s="57">
        <v>0</v>
      </c>
      <c r="AF268" s="57">
        <v>0</v>
      </c>
      <c r="AG268" s="57">
        <v>0</v>
      </c>
      <c r="AH268" s="57">
        <v>0</v>
      </c>
      <c r="AI268" s="57">
        <v>0</v>
      </c>
      <c r="AJ268" s="57">
        <v>0</v>
      </c>
      <c r="AK268" s="57">
        <v>0</v>
      </c>
      <c r="AL268" s="57">
        <v>0</v>
      </c>
      <c r="AM268" s="57">
        <v>0</v>
      </c>
      <c r="AN268" s="57">
        <v>0</v>
      </c>
      <c r="AO268" s="57">
        <v>0</v>
      </c>
      <c r="AP268" s="57">
        <v>0</v>
      </c>
      <c r="AQ268" s="57">
        <v>0</v>
      </c>
      <c r="AR268" s="57">
        <v>0</v>
      </c>
      <c r="AS268" s="57">
        <f t="shared" si="0"/>
        <v>0</v>
      </c>
      <c r="AT268" s="57">
        <f t="shared" si="1"/>
        <v>0</v>
      </c>
      <c r="AU268" s="57">
        <f t="shared" si="2"/>
        <v>0</v>
      </c>
    </row>
    <row r="269" spans="1:47" ht="15.75" customHeight="1" x14ac:dyDescent="0.2">
      <c r="A269" s="50"/>
      <c r="B269" s="51"/>
      <c r="C269" s="52"/>
      <c r="D269" s="50"/>
      <c r="E269" s="53"/>
      <c r="F269" s="53"/>
      <c r="G269" s="50"/>
      <c r="H269" s="54"/>
      <c r="I269" s="54"/>
      <c r="J269" s="50"/>
      <c r="K269" s="50"/>
      <c r="L269" s="50"/>
      <c r="M269" s="50"/>
      <c r="N269" s="55"/>
      <c r="O269" s="56"/>
      <c r="P269" s="56"/>
      <c r="Q269" s="56"/>
      <c r="R269" s="50"/>
      <c r="S269" s="50"/>
      <c r="T269" s="57"/>
      <c r="U269" s="57">
        <v>0</v>
      </c>
      <c r="V269" s="57">
        <v>0</v>
      </c>
      <c r="W269" s="57">
        <v>0</v>
      </c>
      <c r="X269" s="57">
        <v>0</v>
      </c>
      <c r="Y269" s="57">
        <v>0</v>
      </c>
      <c r="Z269" s="57">
        <v>0</v>
      </c>
      <c r="AA269" s="57">
        <v>0</v>
      </c>
      <c r="AB269" s="57">
        <v>0</v>
      </c>
      <c r="AC269" s="57">
        <v>0</v>
      </c>
      <c r="AD269" s="57">
        <v>0</v>
      </c>
      <c r="AE269" s="57">
        <v>0</v>
      </c>
      <c r="AF269" s="57">
        <v>0</v>
      </c>
      <c r="AG269" s="57">
        <v>0</v>
      </c>
      <c r="AH269" s="57">
        <v>0</v>
      </c>
      <c r="AI269" s="57">
        <v>0</v>
      </c>
      <c r="AJ269" s="57">
        <v>0</v>
      </c>
      <c r="AK269" s="57">
        <v>0</v>
      </c>
      <c r="AL269" s="57">
        <v>0</v>
      </c>
      <c r="AM269" s="57">
        <v>0</v>
      </c>
      <c r="AN269" s="57">
        <v>0</v>
      </c>
      <c r="AO269" s="57">
        <v>0</v>
      </c>
      <c r="AP269" s="57">
        <v>0</v>
      </c>
      <c r="AQ269" s="57">
        <v>0</v>
      </c>
      <c r="AR269" s="57">
        <v>225000</v>
      </c>
      <c r="AS269" s="57">
        <f t="shared" si="0"/>
        <v>0</v>
      </c>
      <c r="AT269" s="57">
        <f t="shared" si="1"/>
        <v>0</v>
      </c>
      <c r="AU269" s="57">
        <f t="shared" si="2"/>
        <v>225000</v>
      </c>
    </row>
    <row r="270" spans="1:47" ht="15.75" customHeight="1" x14ac:dyDescent="0.2">
      <c r="A270" s="50"/>
      <c r="B270" s="51"/>
      <c r="C270" s="52"/>
      <c r="D270" s="50"/>
      <c r="E270" s="53"/>
      <c r="F270" s="53"/>
      <c r="G270" s="50"/>
      <c r="H270" s="54"/>
      <c r="I270" s="54"/>
      <c r="J270" s="50"/>
      <c r="K270" s="50"/>
      <c r="L270" s="50"/>
      <c r="M270" s="50"/>
      <c r="N270" s="55"/>
      <c r="O270" s="56"/>
      <c r="P270" s="56"/>
      <c r="Q270" s="56"/>
      <c r="R270" s="50"/>
      <c r="S270" s="50"/>
      <c r="T270" s="57"/>
      <c r="U270" s="57">
        <v>0</v>
      </c>
      <c r="V270" s="57">
        <v>0</v>
      </c>
      <c r="W270" s="57">
        <v>0</v>
      </c>
      <c r="X270" s="57">
        <v>0</v>
      </c>
      <c r="Y270" s="57">
        <v>0</v>
      </c>
      <c r="Z270" s="57">
        <v>0</v>
      </c>
      <c r="AA270" s="57">
        <v>0</v>
      </c>
      <c r="AB270" s="57">
        <v>0</v>
      </c>
      <c r="AC270" s="57">
        <v>0</v>
      </c>
      <c r="AD270" s="57">
        <v>0</v>
      </c>
      <c r="AE270" s="57">
        <v>0</v>
      </c>
      <c r="AF270" s="57">
        <v>0</v>
      </c>
      <c r="AG270" s="57">
        <v>0</v>
      </c>
      <c r="AH270" s="57">
        <v>0</v>
      </c>
      <c r="AI270" s="57">
        <v>0</v>
      </c>
      <c r="AJ270" s="57">
        <v>0</v>
      </c>
      <c r="AK270" s="57">
        <v>0</v>
      </c>
      <c r="AL270" s="57">
        <v>0</v>
      </c>
      <c r="AM270" s="57">
        <v>0</v>
      </c>
      <c r="AN270" s="57">
        <v>0</v>
      </c>
      <c r="AO270" s="57">
        <v>0</v>
      </c>
      <c r="AP270" s="57">
        <v>0</v>
      </c>
      <c r="AQ270" s="57">
        <v>0</v>
      </c>
      <c r="AR270" s="57">
        <v>727273</v>
      </c>
      <c r="AS270" s="57">
        <f t="shared" si="0"/>
        <v>0</v>
      </c>
      <c r="AT270" s="57">
        <f t="shared" si="1"/>
        <v>0</v>
      </c>
      <c r="AU270" s="57">
        <f t="shared" si="2"/>
        <v>727273</v>
      </c>
    </row>
    <row r="271" spans="1:47" ht="15.75" customHeight="1" x14ac:dyDescent="0.2">
      <c r="A271" s="50"/>
      <c r="B271" s="51"/>
      <c r="C271" s="52"/>
      <c r="D271" s="50"/>
      <c r="E271" s="53"/>
      <c r="F271" s="53"/>
      <c r="G271" s="50"/>
      <c r="H271" s="54"/>
      <c r="I271" s="54"/>
      <c r="J271" s="50"/>
      <c r="K271" s="50"/>
      <c r="L271" s="50"/>
      <c r="M271" s="50"/>
      <c r="N271" s="55"/>
      <c r="O271" s="56"/>
      <c r="P271" s="56"/>
      <c r="Q271" s="56"/>
      <c r="R271" s="50"/>
      <c r="S271" s="50"/>
      <c r="T271" s="57"/>
      <c r="U271" s="57">
        <v>0</v>
      </c>
      <c r="V271" s="57">
        <v>0</v>
      </c>
      <c r="W271" s="57">
        <v>0</v>
      </c>
      <c r="X271" s="57">
        <v>0</v>
      </c>
      <c r="Y271" s="57">
        <v>0</v>
      </c>
      <c r="Z271" s="57">
        <v>0</v>
      </c>
      <c r="AA271" s="57">
        <v>0</v>
      </c>
      <c r="AB271" s="57">
        <v>0</v>
      </c>
      <c r="AC271" s="57">
        <v>0</v>
      </c>
      <c r="AD271" s="57">
        <v>0</v>
      </c>
      <c r="AE271" s="57">
        <v>0</v>
      </c>
      <c r="AF271" s="57">
        <v>0</v>
      </c>
      <c r="AG271" s="57">
        <v>0</v>
      </c>
      <c r="AH271" s="57">
        <v>0</v>
      </c>
      <c r="AI271" s="57">
        <v>0</v>
      </c>
      <c r="AJ271" s="57">
        <v>0</v>
      </c>
      <c r="AK271" s="57">
        <v>0</v>
      </c>
      <c r="AL271" s="57">
        <v>0</v>
      </c>
      <c r="AM271" s="57">
        <v>0</v>
      </c>
      <c r="AN271" s="57">
        <v>0</v>
      </c>
      <c r="AO271" s="57">
        <v>0</v>
      </c>
      <c r="AP271" s="57">
        <v>0</v>
      </c>
      <c r="AQ271" s="57">
        <v>0</v>
      </c>
      <c r="AR271" s="57">
        <v>2676000</v>
      </c>
      <c r="AS271" s="57">
        <f t="shared" si="0"/>
        <v>0</v>
      </c>
      <c r="AT271" s="57">
        <f t="shared" si="1"/>
        <v>0</v>
      </c>
      <c r="AU271" s="57">
        <f t="shared" si="2"/>
        <v>2676000</v>
      </c>
    </row>
    <row r="272" spans="1:47" ht="15.75" customHeight="1" x14ac:dyDescent="0.2">
      <c r="A272" s="50"/>
      <c r="B272" s="51"/>
      <c r="C272" s="52"/>
      <c r="D272" s="50"/>
      <c r="E272" s="53"/>
      <c r="F272" s="53"/>
      <c r="G272" s="50"/>
      <c r="H272" s="54"/>
      <c r="I272" s="54"/>
      <c r="J272" s="50"/>
      <c r="K272" s="50"/>
      <c r="L272" s="50"/>
      <c r="M272" s="50"/>
      <c r="N272" s="55"/>
      <c r="O272" s="56"/>
      <c r="P272" s="56"/>
      <c r="Q272" s="56"/>
      <c r="R272" s="50"/>
      <c r="S272" s="50"/>
      <c r="T272" s="57"/>
      <c r="U272" s="57">
        <v>0</v>
      </c>
      <c r="V272" s="57">
        <v>0</v>
      </c>
      <c r="W272" s="57">
        <v>0</v>
      </c>
      <c r="X272" s="57">
        <v>0</v>
      </c>
      <c r="Y272" s="57">
        <v>0</v>
      </c>
      <c r="Z272" s="57">
        <v>0</v>
      </c>
      <c r="AA272" s="57">
        <v>0</v>
      </c>
      <c r="AB272" s="57">
        <v>0</v>
      </c>
      <c r="AC272" s="57">
        <v>0</v>
      </c>
      <c r="AD272" s="57">
        <v>0</v>
      </c>
      <c r="AE272" s="57">
        <v>0</v>
      </c>
      <c r="AF272" s="57">
        <v>0</v>
      </c>
      <c r="AG272" s="57">
        <v>0</v>
      </c>
      <c r="AH272" s="57">
        <v>0</v>
      </c>
      <c r="AI272" s="57">
        <v>0</v>
      </c>
      <c r="AJ272" s="57">
        <v>0</v>
      </c>
      <c r="AK272" s="57">
        <v>0</v>
      </c>
      <c r="AL272" s="57">
        <v>0</v>
      </c>
      <c r="AM272" s="57">
        <v>0</v>
      </c>
      <c r="AN272" s="57">
        <v>0</v>
      </c>
      <c r="AO272" s="57">
        <v>0</v>
      </c>
      <c r="AP272" s="57">
        <v>0</v>
      </c>
      <c r="AQ272" s="57">
        <v>0</v>
      </c>
      <c r="AR272" s="57">
        <v>2361426</v>
      </c>
      <c r="AS272" s="57">
        <f t="shared" si="0"/>
        <v>0</v>
      </c>
      <c r="AT272" s="57">
        <f t="shared" si="1"/>
        <v>0</v>
      </c>
      <c r="AU272" s="57">
        <f t="shared" si="2"/>
        <v>2361426</v>
      </c>
    </row>
    <row r="273" spans="1:47" ht="15.75" customHeight="1" x14ac:dyDescent="0.2">
      <c r="A273" s="50"/>
      <c r="B273" s="51"/>
      <c r="C273" s="52"/>
      <c r="D273" s="50"/>
      <c r="E273" s="53"/>
      <c r="F273" s="53"/>
      <c r="G273" s="50"/>
      <c r="H273" s="54"/>
      <c r="I273" s="54"/>
      <c r="J273" s="50"/>
      <c r="K273" s="50"/>
      <c r="L273" s="50"/>
      <c r="M273" s="50"/>
      <c r="N273" s="55"/>
      <c r="O273" s="56"/>
      <c r="P273" s="56"/>
      <c r="Q273" s="56"/>
      <c r="R273" s="50"/>
      <c r="S273" s="50"/>
      <c r="T273" s="57"/>
      <c r="U273" s="57">
        <v>0</v>
      </c>
      <c r="V273" s="57">
        <v>2</v>
      </c>
      <c r="W273" s="57">
        <v>0</v>
      </c>
      <c r="X273" s="57">
        <v>0</v>
      </c>
      <c r="Y273" s="57">
        <v>0</v>
      </c>
      <c r="Z273" s="57">
        <v>0</v>
      </c>
      <c r="AA273" s="57">
        <v>0</v>
      </c>
      <c r="AB273" s="57">
        <v>0</v>
      </c>
      <c r="AC273" s="57">
        <v>0</v>
      </c>
      <c r="AD273" s="57">
        <v>0</v>
      </c>
      <c r="AE273" s="57">
        <v>0</v>
      </c>
      <c r="AF273" s="57">
        <v>0</v>
      </c>
      <c r="AG273" s="57">
        <v>0</v>
      </c>
      <c r="AH273" s="57">
        <v>145454</v>
      </c>
      <c r="AI273" s="57">
        <v>0</v>
      </c>
      <c r="AJ273" s="57">
        <v>0</v>
      </c>
      <c r="AK273" s="57">
        <v>0</v>
      </c>
      <c r="AL273" s="57">
        <v>0</v>
      </c>
      <c r="AM273" s="57">
        <v>0</v>
      </c>
      <c r="AN273" s="57">
        <v>0</v>
      </c>
      <c r="AO273" s="57">
        <v>0</v>
      </c>
      <c r="AP273" s="57">
        <v>0</v>
      </c>
      <c r="AQ273" s="57">
        <v>0</v>
      </c>
      <c r="AR273" s="57">
        <v>1090905</v>
      </c>
      <c r="AS273" s="57">
        <f t="shared" si="0"/>
        <v>145454</v>
      </c>
      <c r="AT273" s="57">
        <f t="shared" si="1"/>
        <v>0</v>
      </c>
      <c r="AU273" s="57">
        <f t="shared" si="2"/>
        <v>1236359</v>
      </c>
    </row>
    <row r="274" spans="1:47" ht="15.75" customHeight="1" x14ac:dyDescent="0.2">
      <c r="A274" s="50"/>
      <c r="B274" s="51"/>
      <c r="C274" s="52"/>
      <c r="D274" s="50"/>
      <c r="E274" s="53"/>
      <c r="F274" s="53"/>
      <c r="G274" s="50"/>
      <c r="H274" s="54"/>
      <c r="I274" s="54"/>
      <c r="J274" s="50"/>
      <c r="K274" s="50"/>
      <c r="L274" s="50"/>
      <c r="M274" s="50"/>
      <c r="N274" s="55"/>
      <c r="O274" s="56"/>
      <c r="P274" s="56"/>
      <c r="Q274" s="56"/>
      <c r="R274" s="50"/>
      <c r="S274" s="50"/>
      <c r="T274" s="57"/>
      <c r="U274" s="57">
        <v>2</v>
      </c>
      <c r="V274" s="57">
        <v>0</v>
      </c>
      <c r="W274" s="57">
        <v>2</v>
      </c>
      <c r="X274" s="57">
        <v>0</v>
      </c>
      <c r="Y274" s="57">
        <v>0</v>
      </c>
      <c r="Z274" s="57">
        <v>0</v>
      </c>
      <c r="AA274" s="57">
        <v>0</v>
      </c>
      <c r="AB274" s="57">
        <v>0</v>
      </c>
      <c r="AC274" s="57">
        <v>0</v>
      </c>
      <c r="AD274" s="57">
        <v>0</v>
      </c>
      <c r="AE274" s="57">
        <v>0</v>
      </c>
      <c r="AF274" s="57">
        <v>0</v>
      </c>
      <c r="AG274" s="57">
        <v>325000</v>
      </c>
      <c r="AH274" s="57">
        <v>0</v>
      </c>
      <c r="AI274" s="57">
        <v>325000</v>
      </c>
      <c r="AJ274" s="57">
        <v>0</v>
      </c>
      <c r="AK274" s="57">
        <v>0</v>
      </c>
      <c r="AL274" s="57">
        <v>0</v>
      </c>
      <c r="AM274" s="57">
        <v>0</v>
      </c>
      <c r="AN274" s="57">
        <v>0</v>
      </c>
      <c r="AO274" s="57">
        <v>0</v>
      </c>
      <c r="AP274" s="57">
        <v>0</v>
      </c>
      <c r="AQ274" s="57">
        <v>0</v>
      </c>
      <c r="AR274" s="57">
        <v>2782003</v>
      </c>
      <c r="AS274" s="57">
        <f t="shared" si="0"/>
        <v>650000</v>
      </c>
      <c r="AT274" s="57">
        <f t="shared" si="1"/>
        <v>0</v>
      </c>
      <c r="AU274" s="57">
        <f t="shared" si="2"/>
        <v>3432003</v>
      </c>
    </row>
    <row r="275" spans="1:47" ht="15.75" customHeight="1" x14ac:dyDescent="0.2">
      <c r="A275" s="50"/>
      <c r="B275" s="51"/>
      <c r="C275" s="52"/>
      <c r="D275" s="50"/>
      <c r="E275" s="53"/>
      <c r="F275" s="53"/>
      <c r="G275" s="50"/>
      <c r="H275" s="54"/>
      <c r="I275" s="54"/>
      <c r="J275" s="50"/>
      <c r="K275" s="50"/>
      <c r="L275" s="50"/>
      <c r="M275" s="50"/>
      <c r="N275" s="55"/>
      <c r="O275" s="56"/>
      <c r="P275" s="56"/>
      <c r="Q275" s="56"/>
      <c r="R275" s="50"/>
      <c r="S275" s="50"/>
      <c r="T275" s="57"/>
      <c r="U275" s="57">
        <v>0</v>
      </c>
      <c r="V275" s="57">
        <v>0</v>
      </c>
      <c r="W275" s="57">
        <v>0</v>
      </c>
      <c r="X275" s="57">
        <v>0</v>
      </c>
      <c r="Y275" s="57">
        <v>1</v>
      </c>
      <c r="Z275" s="57">
        <v>0</v>
      </c>
      <c r="AA275" s="57">
        <v>0</v>
      </c>
      <c r="AB275" s="57">
        <v>0</v>
      </c>
      <c r="AC275" s="57">
        <v>0</v>
      </c>
      <c r="AD275" s="57">
        <v>0</v>
      </c>
      <c r="AE275" s="57">
        <v>0</v>
      </c>
      <c r="AF275" s="57">
        <v>0</v>
      </c>
      <c r="AG275" s="57">
        <v>0</v>
      </c>
      <c r="AH275" s="57">
        <v>0</v>
      </c>
      <c r="AI275" s="57">
        <v>0</v>
      </c>
      <c r="AJ275" s="57">
        <v>0</v>
      </c>
      <c r="AK275" s="57">
        <v>310000</v>
      </c>
      <c r="AL275" s="57">
        <v>0</v>
      </c>
      <c r="AM275" s="57">
        <v>0</v>
      </c>
      <c r="AN275" s="57">
        <v>0</v>
      </c>
      <c r="AO275" s="57">
        <v>0</v>
      </c>
      <c r="AP275" s="57">
        <v>0</v>
      </c>
      <c r="AQ275" s="57">
        <v>0</v>
      </c>
      <c r="AR275" s="57">
        <v>612000</v>
      </c>
      <c r="AS275" s="57">
        <f t="shared" si="0"/>
        <v>310000</v>
      </c>
      <c r="AT275" s="57">
        <f t="shared" si="1"/>
        <v>0</v>
      </c>
      <c r="AU275" s="57">
        <f t="shared" si="2"/>
        <v>922000</v>
      </c>
    </row>
    <row r="276" spans="1:47" ht="15.75" customHeight="1" x14ac:dyDescent="0.2">
      <c r="A276" s="50"/>
      <c r="B276" s="51"/>
      <c r="C276" s="52"/>
      <c r="D276" s="50"/>
      <c r="E276" s="53"/>
      <c r="F276" s="53"/>
      <c r="G276" s="50"/>
      <c r="H276" s="54"/>
      <c r="I276" s="54"/>
      <c r="J276" s="50"/>
      <c r="K276" s="50"/>
      <c r="L276" s="50"/>
      <c r="M276" s="50"/>
      <c r="N276" s="55"/>
      <c r="O276" s="56"/>
      <c r="P276" s="56"/>
      <c r="Q276" s="56"/>
      <c r="R276" s="50"/>
      <c r="S276" s="50"/>
      <c r="T276" s="57"/>
      <c r="U276" s="57">
        <v>2</v>
      </c>
      <c r="V276" s="57">
        <v>0</v>
      </c>
      <c r="W276" s="57">
        <v>0</v>
      </c>
      <c r="X276" s="57">
        <v>0</v>
      </c>
      <c r="Y276" s="57">
        <v>0</v>
      </c>
      <c r="Z276" s="57">
        <v>0</v>
      </c>
      <c r="AA276" s="57">
        <v>0</v>
      </c>
      <c r="AB276" s="57">
        <v>0</v>
      </c>
      <c r="AC276" s="57">
        <v>0</v>
      </c>
      <c r="AD276" s="57">
        <v>0</v>
      </c>
      <c r="AE276" s="57">
        <v>0</v>
      </c>
      <c r="AF276" s="57">
        <v>0</v>
      </c>
      <c r="AG276" s="57">
        <v>30000</v>
      </c>
      <c r="AH276" s="57">
        <v>0</v>
      </c>
      <c r="AI276" s="57">
        <v>0</v>
      </c>
      <c r="AJ276" s="57">
        <v>0</v>
      </c>
      <c r="AK276" s="57">
        <v>0</v>
      </c>
      <c r="AL276" s="57">
        <v>0</v>
      </c>
      <c r="AM276" s="57">
        <v>0</v>
      </c>
      <c r="AN276" s="57">
        <v>0</v>
      </c>
      <c r="AO276" s="57">
        <v>0</v>
      </c>
      <c r="AP276" s="57">
        <v>0</v>
      </c>
      <c r="AQ276" s="57">
        <v>0</v>
      </c>
      <c r="AR276" s="57">
        <v>467000</v>
      </c>
      <c r="AS276" s="57">
        <f t="shared" si="0"/>
        <v>30000</v>
      </c>
      <c r="AT276" s="57">
        <f t="shared" si="1"/>
        <v>0</v>
      </c>
      <c r="AU276" s="57">
        <f t="shared" si="2"/>
        <v>497000</v>
      </c>
    </row>
    <row r="277" spans="1:47" ht="15.75" customHeight="1" x14ac:dyDescent="0.2">
      <c r="A277" s="50"/>
      <c r="B277" s="51"/>
      <c r="C277" s="52"/>
      <c r="D277" s="50"/>
      <c r="E277" s="53"/>
      <c r="F277" s="53"/>
      <c r="G277" s="50"/>
      <c r="H277" s="54"/>
      <c r="I277" s="54"/>
      <c r="J277" s="50"/>
      <c r="K277" s="50"/>
      <c r="L277" s="50"/>
      <c r="M277" s="50"/>
      <c r="N277" s="55"/>
      <c r="O277" s="56"/>
      <c r="P277" s="56"/>
      <c r="Q277" s="56"/>
      <c r="R277" s="50"/>
      <c r="S277" s="50"/>
      <c r="T277" s="57"/>
      <c r="U277" s="57">
        <v>0</v>
      </c>
      <c r="V277" s="57">
        <v>0</v>
      </c>
      <c r="W277" s="57">
        <v>0</v>
      </c>
      <c r="X277" s="57">
        <v>0</v>
      </c>
      <c r="Y277" s="57">
        <v>0</v>
      </c>
      <c r="Z277" s="57">
        <v>0</v>
      </c>
      <c r="AA277" s="57">
        <v>0</v>
      </c>
      <c r="AB277" s="57">
        <v>0</v>
      </c>
      <c r="AC277" s="57">
        <v>0</v>
      </c>
      <c r="AD277" s="57">
        <v>0</v>
      </c>
      <c r="AE277" s="57">
        <v>0</v>
      </c>
      <c r="AF277" s="57">
        <v>0</v>
      </c>
      <c r="AG277" s="57">
        <v>0</v>
      </c>
      <c r="AH277" s="57">
        <v>0</v>
      </c>
      <c r="AI277" s="57">
        <v>0</v>
      </c>
      <c r="AJ277" s="57">
        <v>0</v>
      </c>
      <c r="AK277" s="57">
        <v>0</v>
      </c>
      <c r="AL277" s="57">
        <v>0</v>
      </c>
      <c r="AM277" s="57">
        <v>0</v>
      </c>
      <c r="AN277" s="57">
        <v>0</v>
      </c>
      <c r="AO277" s="57">
        <v>0</v>
      </c>
      <c r="AP277" s="57">
        <v>0</v>
      </c>
      <c r="AQ277" s="57">
        <v>0</v>
      </c>
      <c r="AR277" s="57">
        <v>2852000</v>
      </c>
      <c r="AS277" s="57">
        <f t="shared" si="0"/>
        <v>0</v>
      </c>
      <c r="AT277" s="57">
        <f t="shared" si="1"/>
        <v>0</v>
      </c>
      <c r="AU277" s="57">
        <f t="shared" si="2"/>
        <v>2852000</v>
      </c>
    </row>
    <row r="278" spans="1:47" ht="15.75" customHeight="1" x14ac:dyDescent="0.2">
      <c r="A278" s="50"/>
      <c r="B278" s="51"/>
      <c r="C278" s="52"/>
      <c r="D278" s="50"/>
      <c r="E278" s="53"/>
      <c r="F278" s="53"/>
      <c r="G278" s="50"/>
      <c r="H278" s="54"/>
      <c r="I278" s="54"/>
      <c r="J278" s="50"/>
      <c r="K278" s="50"/>
      <c r="L278" s="50"/>
      <c r="M278" s="50"/>
      <c r="N278" s="55"/>
      <c r="O278" s="56"/>
      <c r="P278" s="56"/>
      <c r="Q278" s="56"/>
      <c r="R278" s="50"/>
      <c r="S278" s="50"/>
      <c r="T278" s="57"/>
      <c r="U278" s="57">
        <v>0</v>
      </c>
      <c r="V278" s="57">
        <v>10</v>
      </c>
      <c r="W278" s="57">
        <v>0</v>
      </c>
      <c r="X278" s="57">
        <v>0</v>
      </c>
      <c r="Y278" s="57">
        <v>0</v>
      </c>
      <c r="Z278" s="57">
        <v>0</v>
      </c>
      <c r="AA278" s="57">
        <v>0</v>
      </c>
      <c r="AB278" s="57">
        <v>0</v>
      </c>
      <c r="AC278" s="57">
        <v>0</v>
      </c>
      <c r="AD278" s="57">
        <v>0</v>
      </c>
      <c r="AE278" s="57">
        <v>0</v>
      </c>
      <c r="AF278" s="57">
        <v>0</v>
      </c>
      <c r="AG278" s="57">
        <v>0</v>
      </c>
      <c r="AH278" s="57">
        <v>808330</v>
      </c>
      <c r="AI278" s="57">
        <v>0</v>
      </c>
      <c r="AJ278" s="57">
        <v>0</v>
      </c>
      <c r="AK278" s="57">
        <v>0</v>
      </c>
      <c r="AL278" s="57">
        <v>0</v>
      </c>
      <c r="AM278" s="57">
        <v>0</v>
      </c>
      <c r="AN278" s="57">
        <v>0</v>
      </c>
      <c r="AO278" s="57">
        <v>0</v>
      </c>
      <c r="AP278" s="57">
        <v>0</v>
      </c>
      <c r="AQ278" s="57">
        <v>0</v>
      </c>
      <c r="AR278" s="57">
        <v>4661666</v>
      </c>
      <c r="AS278" s="57">
        <f t="shared" si="0"/>
        <v>808330</v>
      </c>
      <c r="AT278" s="57">
        <f t="shared" si="1"/>
        <v>0</v>
      </c>
      <c r="AU278" s="57">
        <f t="shared" si="2"/>
        <v>5469996</v>
      </c>
    </row>
    <row r="279" spans="1:47" ht="15.75" customHeight="1" x14ac:dyDescent="0.2">
      <c r="A279" s="50"/>
      <c r="B279" s="51"/>
      <c r="C279" s="52"/>
      <c r="D279" s="50"/>
      <c r="E279" s="53"/>
      <c r="F279" s="53"/>
      <c r="G279" s="50"/>
      <c r="H279" s="54"/>
      <c r="I279" s="54"/>
      <c r="J279" s="50"/>
      <c r="K279" s="50"/>
      <c r="L279" s="50"/>
      <c r="M279" s="50"/>
      <c r="N279" s="55"/>
      <c r="O279" s="56"/>
      <c r="P279" s="56"/>
      <c r="Q279" s="56"/>
      <c r="R279" s="50"/>
      <c r="S279" s="50"/>
      <c r="T279" s="57"/>
      <c r="U279" s="57">
        <v>0</v>
      </c>
      <c r="V279" s="57">
        <v>0</v>
      </c>
      <c r="W279" s="57">
        <v>0</v>
      </c>
      <c r="X279" s="57">
        <v>0</v>
      </c>
      <c r="Y279" s="57">
        <v>0</v>
      </c>
      <c r="Z279" s="57">
        <v>0</v>
      </c>
      <c r="AA279" s="57">
        <v>0</v>
      </c>
      <c r="AB279" s="57">
        <v>0</v>
      </c>
      <c r="AC279" s="57">
        <v>0</v>
      </c>
      <c r="AD279" s="57">
        <v>0</v>
      </c>
      <c r="AE279" s="57">
        <v>0</v>
      </c>
      <c r="AF279" s="57">
        <v>0</v>
      </c>
      <c r="AG279" s="57">
        <v>0</v>
      </c>
      <c r="AH279" s="57">
        <v>0</v>
      </c>
      <c r="AI279" s="57">
        <v>0</v>
      </c>
      <c r="AJ279" s="57">
        <v>0</v>
      </c>
      <c r="AK279" s="57">
        <v>0</v>
      </c>
      <c r="AL279" s="57">
        <v>0</v>
      </c>
      <c r="AM279" s="57">
        <v>0</v>
      </c>
      <c r="AN279" s="57">
        <v>0</v>
      </c>
      <c r="AO279" s="57">
        <v>0</v>
      </c>
      <c r="AP279" s="57">
        <v>0</v>
      </c>
      <c r="AQ279" s="57">
        <v>0</v>
      </c>
      <c r="AR279" s="57">
        <v>9743930</v>
      </c>
      <c r="AS279" s="57">
        <f t="shared" si="0"/>
        <v>0</v>
      </c>
      <c r="AT279" s="57">
        <f t="shared" si="1"/>
        <v>0</v>
      </c>
      <c r="AU279" s="57">
        <f t="shared" si="2"/>
        <v>9743930</v>
      </c>
    </row>
    <row r="280" spans="1:47" ht="15.75" customHeight="1" x14ac:dyDescent="0.2">
      <c r="A280" s="50"/>
      <c r="B280" s="51"/>
      <c r="C280" s="52"/>
      <c r="D280" s="50"/>
      <c r="E280" s="53"/>
      <c r="F280" s="53"/>
      <c r="G280" s="50"/>
      <c r="H280" s="54"/>
      <c r="I280" s="54"/>
      <c r="J280" s="50"/>
      <c r="K280" s="50"/>
      <c r="L280" s="50"/>
      <c r="M280" s="50"/>
      <c r="N280" s="55"/>
      <c r="O280" s="56"/>
      <c r="P280" s="56"/>
      <c r="Q280" s="56"/>
      <c r="R280" s="50"/>
      <c r="S280" s="50"/>
      <c r="T280" s="57"/>
      <c r="U280" s="57">
        <v>0</v>
      </c>
      <c r="V280" s="57">
        <v>0</v>
      </c>
      <c r="W280" s="57">
        <v>0</v>
      </c>
      <c r="X280" s="57">
        <v>0</v>
      </c>
      <c r="Y280" s="57">
        <v>0</v>
      </c>
      <c r="Z280" s="57">
        <v>0</v>
      </c>
      <c r="AA280" s="57">
        <v>0</v>
      </c>
      <c r="AB280" s="57">
        <v>0</v>
      </c>
      <c r="AC280" s="57">
        <v>0</v>
      </c>
      <c r="AD280" s="57">
        <v>0</v>
      </c>
      <c r="AE280" s="57">
        <v>0</v>
      </c>
      <c r="AF280" s="57">
        <v>0</v>
      </c>
      <c r="AG280" s="57">
        <v>0</v>
      </c>
      <c r="AH280" s="57">
        <v>0</v>
      </c>
      <c r="AI280" s="57">
        <v>0</v>
      </c>
      <c r="AJ280" s="57">
        <v>0</v>
      </c>
      <c r="AK280" s="57">
        <v>0</v>
      </c>
      <c r="AL280" s="57">
        <v>0</v>
      </c>
      <c r="AM280" s="57">
        <v>0</v>
      </c>
      <c r="AN280" s="57">
        <v>0</v>
      </c>
      <c r="AO280" s="57">
        <v>0</v>
      </c>
      <c r="AP280" s="57">
        <v>0</v>
      </c>
      <c r="AQ280" s="57">
        <v>0</v>
      </c>
      <c r="AR280" s="57">
        <v>36000</v>
      </c>
      <c r="AS280" s="57">
        <f t="shared" si="0"/>
        <v>0</v>
      </c>
      <c r="AT280" s="57">
        <f t="shared" si="1"/>
        <v>0</v>
      </c>
      <c r="AU280" s="57">
        <f t="shared" si="2"/>
        <v>36000</v>
      </c>
    </row>
    <row r="281" spans="1:47" ht="15.75" customHeight="1" x14ac:dyDescent="0.2">
      <c r="A281" s="50"/>
      <c r="B281" s="51"/>
      <c r="C281" s="52"/>
      <c r="D281" s="50"/>
      <c r="E281" s="53"/>
      <c r="F281" s="53"/>
      <c r="G281" s="50"/>
      <c r="H281" s="54"/>
      <c r="I281" s="54"/>
      <c r="J281" s="50"/>
      <c r="K281" s="50"/>
      <c r="L281" s="50"/>
      <c r="M281" s="50"/>
      <c r="N281" s="55"/>
      <c r="O281" s="56"/>
      <c r="P281" s="56"/>
      <c r="Q281" s="56"/>
      <c r="R281" s="50"/>
      <c r="S281" s="50"/>
      <c r="T281" s="57"/>
      <c r="U281" s="57">
        <v>0</v>
      </c>
      <c r="V281" s="57">
        <v>0</v>
      </c>
      <c r="W281" s="57">
        <v>0</v>
      </c>
      <c r="X281" s="57">
        <v>0</v>
      </c>
      <c r="Y281" s="57">
        <v>8</v>
      </c>
      <c r="Z281" s="57">
        <v>0</v>
      </c>
      <c r="AA281" s="57">
        <v>0</v>
      </c>
      <c r="AB281" s="57">
        <v>0</v>
      </c>
      <c r="AC281" s="57">
        <v>0</v>
      </c>
      <c r="AD281" s="57">
        <v>0</v>
      </c>
      <c r="AE281" s="57">
        <v>0</v>
      </c>
      <c r="AF281" s="57">
        <v>0</v>
      </c>
      <c r="AG281" s="57">
        <v>0</v>
      </c>
      <c r="AH281" s="57">
        <v>0</v>
      </c>
      <c r="AI281" s="57">
        <v>0</v>
      </c>
      <c r="AJ281" s="57">
        <v>0</v>
      </c>
      <c r="AK281" s="57">
        <v>92680</v>
      </c>
      <c r="AL281" s="57">
        <v>0</v>
      </c>
      <c r="AM281" s="57">
        <v>0</v>
      </c>
      <c r="AN281" s="57">
        <v>0</v>
      </c>
      <c r="AO281" s="57">
        <v>0</v>
      </c>
      <c r="AP281" s="57">
        <v>0</v>
      </c>
      <c r="AQ281" s="57">
        <v>0</v>
      </c>
      <c r="AR281" s="57">
        <v>689964</v>
      </c>
      <c r="AS281" s="57">
        <f t="shared" si="0"/>
        <v>92680</v>
      </c>
      <c r="AT281" s="57">
        <f t="shared" si="1"/>
        <v>0</v>
      </c>
      <c r="AU281" s="57">
        <f t="shared" si="2"/>
        <v>782644</v>
      </c>
    </row>
    <row r="282" spans="1:47" ht="15.75" customHeight="1" x14ac:dyDescent="0.2">
      <c r="A282" s="50"/>
      <c r="B282" s="51"/>
      <c r="C282" s="52"/>
      <c r="D282" s="50"/>
      <c r="E282" s="53"/>
      <c r="F282" s="53"/>
      <c r="G282" s="50"/>
      <c r="H282" s="54"/>
      <c r="I282" s="54"/>
      <c r="J282" s="50"/>
      <c r="K282" s="50"/>
      <c r="L282" s="50"/>
      <c r="M282" s="50"/>
      <c r="N282" s="55"/>
      <c r="O282" s="56"/>
      <c r="P282" s="56"/>
      <c r="Q282" s="56"/>
      <c r="R282" s="50"/>
      <c r="S282" s="50"/>
      <c r="T282" s="57"/>
      <c r="U282" s="57">
        <v>1</v>
      </c>
      <c r="V282" s="57">
        <v>0</v>
      </c>
      <c r="W282" s="57">
        <v>0</v>
      </c>
      <c r="X282" s="57">
        <v>0</v>
      </c>
      <c r="Y282" s="57">
        <v>0</v>
      </c>
      <c r="Z282" s="57">
        <v>0</v>
      </c>
      <c r="AA282" s="57">
        <v>0</v>
      </c>
      <c r="AB282" s="57">
        <v>0</v>
      </c>
      <c r="AC282" s="57">
        <v>0</v>
      </c>
      <c r="AD282" s="57">
        <v>0</v>
      </c>
      <c r="AE282" s="57">
        <v>0</v>
      </c>
      <c r="AF282" s="57">
        <v>0</v>
      </c>
      <c r="AG282" s="57">
        <v>65000</v>
      </c>
      <c r="AH282" s="57">
        <v>0</v>
      </c>
      <c r="AI282" s="57">
        <v>0</v>
      </c>
      <c r="AJ282" s="57">
        <v>0</v>
      </c>
      <c r="AK282" s="57">
        <v>0</v>
      </c>
      <c r="AL282" s="57">
        <v>0</v>
      </c>
      <c r="AM282" s="57">
        <v>0</v>
      </c>
      <c r="AN282" s="57">
        <v>0</v>
      </c>
      <c r="AO282" s="57">
        <v>0</v>
      </c>
      <c r="AP282" s="57">
        <v>0</v>
      </c>
      <c r="AQ282" s="57">
        <v>0</v>
      </c>
      <c r="AR282" s="57">
        <v>1070000</v>
      </c>
      <c r="AS282" s="57">
        <f t="shared" si="0"/>
        <v>65000</v>
      </c>
      <c r="AT282" s="57">
        <f t="shared" si="1"/>
        <v>0</v>
      </c>
      <c r="AU282" s="57">
        <f t="shared" si="2"/>
        <v>1135000</v>
      </c>
    </row>
    <row r="283" spans="1:47" ht="15.75" customHeight="1" x14ac:dyDescent="0.2">
      <c r="A283" s="50"/>
      <c r="B283" s="51"/>
      <c r="C283" s="52"/>
      <c r="D283" s="50"/>
      <c r="E283" s="53"/>
      <c r="F283" s="53"/>
      <c r="G283" s="50"/>
      <c r="H283" s="54"/>
      <c r="I283" s="54"/>
      <c r="J283" s="50"/>
      <c r="K283" s="50"/>
      <c r="L283" s="50"/>
      <c r="M283" s="50"/>
      <c r="N283" s="55"/>
      <c r="O283" s="56"/>
      <c r="P283" s="56"/>
      <c r="Q283" s="56"/>
      <c r="R283" s="50"/>
      <c r="S283" s="50"/>
      <c r="T283" s="57"/>
      <c r="U283" s="57">
        <v>0</v>
      </c>
      <c r="V283" s="57">
        <v>0</v>
      </c>
      <c r="W283" s="57">
        <v>0</v>
      </c>
      <c r="X283" s="57">
        <v>0</v>
      </c>
      <c r="Y283" s="57">
        <v>0</v>
      </c>
      <c r="Z283" s="57">
        <v>0</v>
      </c>
      <c r="AA283" s="57">
        <v>0</v>
      </c>
      <c r="AB283" s="57">
        <v>0</v>
      </c>
      <c r="AC283" s="57">
        <v>0</v>
      </c>
      <c r="AD283" s="57">
        <v>0</v>
      </c>
      <c r="AE283" s="57">
        <v>0</v>
      </c>
      <c r="AF283" s="57">
        <v>0</v>
      </c>
      <c r="AG283" s="57">
        <v>0</v>
      </c>
      <c r="AH283" s="57">
        <v>0</v>
      </c>
      <c r="AI283" s="57">
        <v>0</v>
      </c>
      <c r="AJ283" s="57">
        <v>0</v>
      </c>
      <c r="AK283" s="57">
        <v>0</v>
      </c>
      <c r="AL283" s="57">
        <v>0</v>
      </c>
      <c r="AM283" s="57">
        <v>0</v>
      </c>
      <c r="AN283" s="57">
        <v>0</v>
      </c>
      <c r="AO283" s="57">
        <v>0</v>
      </c>
      <c r="AP283" s="57">
        <v>0</v>
      </c>
      <c r="AQ283" s="57">
        <v>0</v>
      </c>
      <c r="AR283" s="57">
        <v>12000</v>
      </c>
      <c r="AS283" s="57">
        <f t="shared" si="0"/>
        <v>0</v>
      </c>
      <c r="AT283" s="57">
        <f t="shared" si="1"/>
        <v>0</v>
      </c>
      <c r="AU283" s="57">
        <f t="shared" si="2"/>
        <v>12000</v>
      </c>
    </row>
    <row r="284" spans="1:47" ht="15.75" customHeight="1" x14ac:dyDescent="0.2">
      <c r="A284" s="50"/>
      <c r="B284" s="51"/>
      <c r="C284" s="52"/>
      <c r="D284" s="50"/>
      <c r="E284" s="53"/>
      <c r="F284" s="53"/>
      <c r="G284" s="50"/>
      <c r="H284" s="54"/>
      <c r="I284" s="54"/>
      <c r="J284" s="50"/>
      <c r="K284" s="50"/>
      <c r="L284" s="50"/>
      <c r="M284" s="50"/>
      <c r="N284" s="55"/>
      <c r="O284" s="56"/>
      <c r="P284" s="56"/>
      <c r="Q284" s="56"/>
      <c r="R284" s="50"/>
      <c r="S284" s="50"/>
      <c r="T284" s="57"/>
      <c r="U284" s="57">
        <v>0</v>
      </c>
      <c r="V284" s="57">
        <v>0</v>
      </c>
      <c r="W284" s="57">
        <v>0</v>
      </c>
      <c r="X284" s="57">
        <v>0</v>
      </c>
      <c r="Y284" s="57">
        <v>0</v>
      </c>
      <c r="Z284" s="57">
        <v>0</v>
      </c>
      <c r="AA284" s="57">
        <v>0</v>
      </c>
      <c r="AB284" s="57">
        <v>0</v>
      </c>
      <c r="AC284" s="57">
        <v>0</v>
      </c>
      <c r="AD284" s="57">
        <v>0</v>
      </c>
      <c r="AE284" s="57">
        <v>0</v>
      </c>
      <c r="AF284" s="57">
        <v>0</v>
      </c>
      <c r="AG284" s="57">
        <v>0</v>
      </c>
      <c r="AH284" s="57">
        <v>0</v>
      </c>
      <c r="AI284" s="57">
        <v>0</v>
      </c>
      <c r="AJ284" s="57">
        <v>0</v>
      </c>
      <c r="AK284" s="57">
        <v>0</v>
      </c>
      <c r="AL284" s="57">
        <v>0</v>
      </c>
      <c r="AM284" s="57">
        <v>0</v>
      </c>
      <c r="AN284" s="57">
        <v>0</v>
      </c>
      <c r="AO284" s="57">
        <v>0</v>
      </c>
      <c r="AP284" s="57">
        <v>0</v>
      </c>
      <c r="AQ284" s="57">
        <v>0</v>
      </c>
      <c r="AR284" s="57">
        <v>31040</v>
      </c>
      <c r="AS284" s="57">
        <f t="shared" si="0"/>
        <v>0</v>
      </c>
      <c r="AT284" s="57">
        <f t="shared" si="1"/>
        <v>0</v>
      </c>
      <c r="AU284" s="57">
        <f t="shared" si="2"/>
        <v>31040</v>
      </c>
    </row>
    <row r="285" spans="1:47" ht="15.75" customHeight="1" x14ac:dyDescent="0.2">
      <c r="A285" s="50"/>
      <c r="B285" s="51"/>
      <c r="C285" s="52"/>
      <c r="D285" s="50"/>
      <c r="E285" s="53"/>
      <c r="F285" s="53"/>
      <c r="G285" s="50"/>
      <c r="H285" s="54"/>
      <c r="I285" s="54"/>
      <c r="J285" s="50"/>
      <c r="K285" s="50"/>
      <c r="L285" s="50"/>
      <c r="M285" s="50"/>
      <c r="N285" s="55"/>
      <c r="O285" s="56"/>
      <c r="P285" s="56"/>
      <c r="Q285" s="56"/>
      <c r="R285" s="50"/>
      <c r="S285" s="50"/>
      <c r="T285" s="57"/>
      <c r="U285" s="57">
        <v>0</v>
      </c>
      <c r="V285" s="57">
        <v>0</v>
      </c>
      <c r="W285" s="57">
        <v>0</v>
      </c>
      <c r="X285" s="57">
        <v>0</v>
      </c>
      <c r="Y285" s="57">
        <v>0</v>
      </c>
      <c r="Z285" s="57">
        <v>0</v>
      </c>
      <c r="AA285" s="57">
        <v>0</v>
      </c>
      <c r="AB285" s="57">
        <v>0</v>
      </c>
      <c r="AC285" s="57">
        <v>0</v>
      </c>
      <c r="AD285" s="57">
        <v>0</v>
      </c>
      <c r="AE285" s="57">
        <v>0</v>
      </c>
      <c r="AF285" s="57">
        <v>0</v>
      </c>
      <c r="AG285" s="57">
        <v>0</v>
      </c>
      <c r="AH285" s="57">
        <v>0</v>
      </c>
      <c r="AI285" s="57">
        <v>0</v>
      </c>
      <c r="AJ285" s="57">
        <v>0</v>
      </c>
      <c r="AK285" s="57">
        <v>0</v>
      </c>
      <c r="AL285" s="57">
        <v>0</v>
      </c>
      <c r="AM285" s="57">
        <v>0</v>
      </c>
      <c r="AN285" s="57">
        <v>0</v>
      </c>
      <c r="AO285" s="57">
        <v>0</v>
      </c>
      <c r="AP285" s="57">
        <v>0</v>
      </c>
      <c r="AQ285" s="57">
        <v>0</v>
      </c>
      <c r="AR285" s="57">
        <v>0</v>
      </c>
      <c r="AS285" s="57">
        <f t="shared" si="0"/>
        <v>0</v>
      </c>
      <c r="AT285" s="57">
        <f t="shared" si="1"/>
        <v>0</v>
      </c>
      <c r="AU285" s="57">
        <f t="shared" si="2"/>
        <v>0</v>
      </c>
    </row>
    <row r="286" spans="1:47" ht="15.75" customHeight="1" x14ac:dyDescent="0.2">
      <c r="A286" s="50"/>
      <c r="B286" s="51"/>
      <c r="C286" s="52"/>
      <c r="D286" s="50"/>
      <c r="E286" s="53"/>
      <c r="F286" s="53"/>
      <c r="G286" s="50"/>
      <c r="H286" s="54"/>
      <c r="I286" s="54"/>
      <c r="J286" s="50"/>
      <c r="K286" s="50"/>
      <c r="L286" s="50"/>
      <c r="M286" s="50"/>
      <c r="N286" s="55"/>
      <c r="O286" s="56"/>
      <c r="P286" s="56"/>
      <c r="Q286" s="56"/>
      <c r="R286" s="50"/>
      <c r="S286" s="50"/>
      <c r="T286" s="57"/>
      <c r="U286" s="57">
        <v>0</v>
      </c>
      <c r="V286" s="57">
        <v>0</v>
      </c>
      <c r="W286" s="57">
        <v>0</v>
      </c>
      <c r="X286" s="57">
        <v>0</v>
      </c>
      <c r="Y286" s="57">
        <v>0</v>
      </c>
      <c r="Z286" s="57">
        <v>0</v>
      </c>
      <c r="AA286" s="57">
        <v>0</v>
      </c>
      <c r="AB286" s="57">
        <v>0</v>
      </c>
      <c r="AC286" s="57">
        <v>0</v>
      </c>
      <c r="AD286" s="57">
        <v>0</v>
      </c>
      <c r="AE286" s="57">
        <v>0</v>
      </c>
      <c r="AF286" s="57">
        <v>0</v>
      </c>
      <c r="AG286" s="57">
        <v>0</v>
      </c>
      <c r="AH286" s="57">
        <v>0</v>
      </c>
      <c r="AI286" s="57">
        <v>0</v>
      </c>
      <c r="AJ286" s="57">
        <v>0</v>
      </c>
      <c r="AK286" s="57">
        <v>0</v>
      </c>
      <c r="AL286" s="57">
        <v>0</v>
      </c>
      <c r="AM286" s="57">
        <v>0</v>
      </c>
      <c r="AN286" s="57">
        <v>0</v>
      </c>
      <c r="AO286" s="57">
        <v>0</v>
      </c>
      <c r="AP286" s="57">
        <v>0</v>
      </c>
      <c r="AQ286" s="57">
        <v>0</v>
      </c>
      <c r="AR286" s="57">
        <v>117500</v>
      </c>
      <c r="AS286" s="57">
        <f t="shared" si="0"/>
        <v>0</v>
      </c>
      <c r="AT286" s="57">
        <f t="shared" si="1"/>
        <v>0</v>
      </c>
      <c r="AU286" s="57">
        <f t="shared" si="2"/>
        <v>117500</v>
      </c>
    </row>
    <row r="287" spans="1:47" ht="15.75" customHeight="1" x14ac:dyDescent="0.2">
      <c r="A287" s="50"/>
      <c r="B287" s="51"/>
      <c r="C287" s="52"/>
      <c r="D287" s="50"/>
      <c r="E287" s="53"/>
      <c r="F287" s="53"/>
      <c r="G287" s="50"/>
      <c r="H287" s="54"/>
      <c r="I287" s="54"/>
      <c r="J287" s="50"/>
      <c r="K287" s="50"/>
      <c r="L287" s="50"/>
      <c r="M287" s="50"/>
      <c r="N287" s="55"/>
      <c r="O287" s="56"/>
      <c r="P287" s="56"/>
      <c r="Q287" s="56"/>
      <c r="R287" s="50"/>
      <c r="S287" s="50"/>
      <c r="T287" s="57"/>
      <c r="U287" s="57">
        <v>0</v>
      </c>
      <c r="V287" s="57">
        <v>0</v>
      </c>
      <c r="W287" s="57">
        <v>0</v>
      </c>
      <c r="X287" s="57">
        <v>0</v>
      </c>
      <c r="Y287" s="57">
        <v>0</v>
      </c>
      <c r="Z287" s="57">
        <v>0</v>
      </c>
      <c r="AA287" s="57">
        <v>0</v>
      </c>
      <c r="AB287" s="57">
        <v>0</v>
      </c>
      <c r="AC287" s="57">
        <v>0</v>
      </c>
      <c r="AD287" s="57">
        <v>0</v>
      </c>
      <c r="AE287" s="57">
        <v>0</v>
      </c>
      <c r="AF287" s="57">
        <v>0</v>
      </c>
      <c r="AG287" s="57">
        <v>0</v>
      </c>
      <c r="AH287" s="57">
        <v>0</v>
      </c>
      <c r="AI287" s="57">
        <v>0</v>
      </c>
      <c r="AJ287" s="57">
        <v>0</v>
      </c>
      <c r="AK287" s="57">
        <v>0</v>
      </c>
      <c r="AL287" s="57">
        <v>0</v>
      </c>
      <c r="AM287" s="57">
        <v>0</v>
      </c>
      <c r="AN287" s="57">
        <v>0</v>
      </c>
      <c r="AO287" s="57">
        <v>0</v>
      </c>
      <c r="AP287" s="57">
        <v>0</v>
      </c>
      <c r="AQ287" s="57">
        <v>0</v>
      </c>
      <c r="AR287" s="57">
        <v>1918680</v>
      </c>
      <c r="AS287" s="57">
        <f t="shared" si="0"/>
        <v>0</v>
      </c>
      <c r="AT287" s="57">
        <f t="shared" si="1"/>
        <v>0</v>
      </c>
      <c r="AU287" s="57">
        <f t="shared" si="2"/>
        <v>1918680</v>
      </c>
    </row>
    <row r="288" spans="1:47" ht="15.75" customHeight="1" x14ac:dyDescent="0.2">
      <c r="A288" s="50"/>
      <c r="B288" s="51"/>
      <c r="C288" s="52"/>
      <c r="D288" s="50"/>
      <c r="E288" s="53"/>
      <c r="F288" s="53"/>
      <c r="G288" s="50"/>
      <c r="H288" s="54"/>
      <c r="I288" s="54"/>
      <c r="J288" s="50"/>
      <c r="K288" s="50"/>
      <c r="L288" s="50"/>
      <c r="M288" s="50"/>
      <c r="N288" s="55"/>
      <c r="O288" s="56"/>
      <c r="P288" s="56"/>
      <c r="Q288" s="56"/>
      <c r="R288" s="50"/>
      <c r="S288" s="50"/>
      <c r="T288" s="57"/>
      <c r="U288" s="57">
        <v>0</v>
      </c>
      <c r="V288" s="57">
        <v>0</v>
      </c>
      <c r="W288" s="57">
        <v>0</v>
      </c>
      <c r="X288" s="57">
        <v>0</v>
      </c>
      <c r="Y288" s="57">
        <v>0</v>
      </c>
      <c r="Z288" s="57">
        <v>0</v>
      </c>
      <c r="AA288" s="57">
        <v>0</v>
      </c>
      <c r="AB288" s="57">
        <v>0</v>
      </c>
      <c r="AC288" s="57">
        <v>0</v>
      </c>
      <c r="AD288" s="57">
        <v>0</v>
      </c>
      <c r="AE288" s="57">
        <v>0</v>
      </c>
      <c r="AF288" s="57">
        <v>0</v>
      </c>
      <c r="AG288" s="57">
        <v>0</v>
      </c>
      <c r="AH288" s="57">
        <v>0</v>
      </c>
      <c r="AI288" s="57">
        <v>0</v>
      </c>
      <c r="AJ288" s="57">
        <v>0</v>
      </c>
      <c r="AK288" s="57">
        <v>0</v>
      </c>
      <c r="AL288" s="57">
        <v>0</v>
      </c>
      <c r="AM288" s="57">
        <v>0</v>
      </c>
      <c r="AN288" s="57">
        <v>0</v>
      </c>
      <c r="AO288" s="57">
        <v>0</v>
      </c>
      <c r="AP288" s="57">
        <v>0</v>
      </c>
      <c r="AQ288" s="57">
        <v>0</v>
      </c>
      <c r="AR288" s="57">
        <v>101500</v>
      </c>
      <c r="AS288" s="57">
        <f t="shared" si="0"/>
        <v>0</v>
      </c>
      <c r="AT288" s="57">
        <f t="shared" si="1"/>
        <v>0</v>
      </c>
      <c r="AU288" s="57">
        <f t="shared" si="2"/>
        <v>101500</v>
      </c>
    </row>
    <row r="289" spans="1:47" ht="15.75" customHeight="1" x14ac:dyDescent="0.2">
      <c r="A289" s="50"/>
      <c r="B289" s="51"/>
      <c r="C289" s="52"/>
      <c r="D289" s="50"/>
      <c r="E289" s="53"/>
      <c r="F289" s="53"/>
      <c r="G289" s="50"/>
      <c r="H289" s="54"/>
      <c r="I289" s="54"/>
      <c r="J289" s="50"/>
      <c r="K289" s="50"/>
      <c r="L289" s="50"/>
      <c r="M289" s="50"/>
      <c r="N289" s="55"/>
      <c r="O289" s="56"/>
      <c r="P289" s="56"/>
      <c r="Q289" s="56"/>
      <c r="R289" s="50"/>
      <c r="S289" s="50"/>
      <c r="T289" s="57"/>
      <c r="U289" s="57">
        <v>0</v>
      </c>
      <c r="V289" s="57">
        <v>0</v>
      </c>
      <c r="W289" s="57">
        <v>0</v>
      </c>
      <c r="X289" s="57">
        <v>0</v>
      </c>
      <c r="Y289" s="57">
        <v>0</v>
      </c>
      <c r="Z289" s="57">
        <v>0</v>
      </c>
      <c r="AA289" s="57">
        <v>0</v>
      </c>
      <c r="AB289" s="57">
        <v>0</v>
      </c>
      <c r="AC289" s="57">
        <v>0</v>
      </c>
      <c r="AD289" s="57">
        <v>0</v>
      </c>
      <c r="AE289" s="57">
        <v>0</v>
      </c>
      <c r="AF289" s="57">
        <v>0</v>
      </c>
      <c r="AG289" s="57">
        <v>0</v>
      </c>
      <c r="AH289" s="57">
        <v>0</v>
      </c>
      <c r="AI289" s="57">
        <v>0</v>
      </c>
      <c r="AJ289" s="57">
        <v>0</v>
      </c>
      <c r="AK289" s="57">
        <v>0</v>
      </c>
      <c r="AL289" s="57">
        <v>0</v>
      </c>
      <c r="AM289" s="57">
        <v>0</v>
      </c>
      <c r="AN289" s="57">
        <v>0</v>
      </c>
      <c r="AO289" s="57">
        <v>0</v>
      </c>
      <c r="AP289" s="57">
        <v>0</v>
      </c>
      <c r="AQ289" s="57">
        <v>0</v>
      </c>
      <c r="AR289" s="57">
        <v>369000</v>
      </c>
      <c r="AS289" s="57">
        <f t="shared" si="0"/>
        <v>0</v>
      </c>
      <c r="AT289" s="57">
        <f t="shared" si="1"/>
        <v>0</v>
      </c>
      <c r="AU289" s="57">
        <f t="shared" si="2"/>
        <v>369000</v>
      </c>
    </row>
    <row r="290" spans="1:47" ht="15.75" customHeight="1" x14ac:dyDescent="0.2">
      <c r="A290" s="50"/>
      <c r="B290" s="51"/>
      <c r="C290" s="52"/>
      <c r="D290" s="50"/>
      <c r="E290" s="53"/>
      <c r="F290" s="53"/>
      <c r="G290" s="50"/>
      <c r="H290" s="62"/>
      <c r="I290" s="63"/>
      <c r="J290" s="50"/>
      <c r="K290" s="50"/>
      <c r="L290" s="50"/>
      <c r="M290" s="50"/>
      <c r="N290" s="55"/>
      <c r="O290" s="56"/>
      <c r="P290" s="56"/>
      <c r="Q290" s="56"/>
      <c r="R290" s="50"/>
      <c r="S290" s="50"/>
      <c r="T290" s="57"/>
      <c r="U290" s="57">
        <v>0</v>
      </c>
      <c r="V290" s="57">
        <v>0</v>
      </c>
      <c r="W290" s="57">
        <v>0</v>
      </c>
      <c r="X290" s="57">
        <v>10</v>
      </c>
      <c r="Y290" s="57">
        <v>10</v>
      </c>
      <c r="Z290" s="57">
        <v>0</v>
      </c>
      <c r="AA290" s="57">
        <v>0</v>
      </c>
      <c r="AB290" s="57">
        <v>0</v>
      </c>
      <c r="AC290" s="57">
        <v>0</v>
      </c>
      <c r="AD290" s="57">
        <v>0</v>
      </c>
      <c r="AE290" s="57">
        <v>0</v>
      </c>
      <c r="AF290" s="57">
        <v>0</v>
      </c>
      <c r="AG290" s="57">
        <v>0</v>
      </c>
      <c r="AH290" s="57">
        <v>0</v>
      </c>
      <c r="AI290" s="57">
        <v>0</v>
      </c>
      <c r="AJ290" s="57">
        <v>8500</v>
      </c>
      <c r="AK290" s="57">
        <v>8500</v>
      </c>
      <c r="AL290" s="57">
        <v>0</v>
      </c>
      <c r="AM290" s="57">
        <v>0</v>
      </c>
      <c r="AN290" s="57">
        <v>0</v>
      </c>
      <c r="AO290" s="57">
        <v>0</v>
      </c>
      <c r="AP290" s="57">
        <v>0</v>
      </c>
      <c r="AQ290" s="57">
        <v>0</v>
      </c>
      <c r="AR290" s="57">
        <v>130850</v>
      </c>
      <c r="AS290" s="57">
        <f t="shared" si="0"/>
        <v>17000</v>
      </c>
      <c r="AT290" s="57">
        <f t="shared" si="1"/>
        <v>0</v>
      </c>
      <c r="AU290" s="57">
        <f t="shared" si="2"/>
        <v>147850</v>
      </c>
    </row>
    <row r="291" spans="1:47" ht="15.75" customHeight="1" x14ac:dyDescent="0.2">
      <c r="A291" s="50"/>
      <c r="B291" s="51"/>
      <c r="C291" s="52"/>
      <c r="D291" s="50"/>
      <c r="E291" s="53"/>
      <c r="F291" s="53"/>
      <c r="G291" s="50"/>
      <c r="H291" s="62"/>
      <c r="I291" s="63"/>
      <c r="J291" s="50"/>
      <c r="K291" s="50"/>
      <c r="L291" s="50"/>
      <c r="M291" s="50"/>
      <c r="N291" s="55"/>
      <c r="O291" s="56"/>
      <c r="P291" s="56"/>
      <c r="Q291" s="56"/>
      <c r="R291" s="50"/>
      <c r="S291" s="50"/>
      <c r="T291" s="57"/>
      <c r="U291" s="57">
        <v>0</v>
      </c>
      <c r="V291" s="57">
        <v>1</v>
      </c>
      <c r="W291" s="57">
        <v>0</v>
      </c>
      <c r="X291" s="57">
        <v>0</v>
      </c>
      <c r="Y291" s="57">
        <v>0</v>
      </c>
      <c r="Z291" s="57">
        <v>0</v>
      </c>
      <c r="AA291" s="57">
        <v>0</v>
      </c>
      <c r="AB291" s="57">
        <v>0</v>
      </c>
      <c r="AC291" s="57">
        <v>0</v>
      </c>
      <c r="AD291" s="57">
        <v>0</v>
      </c>
      <c r="AE291" s="57">
        <v>0</v>
      </c>
      <c r="AF291" s="57">
        <v>0</v>
      </c>
      <c r="AG291" s="57">
        <v>0</v>
      </c>
      <c r="AH291" s="57">
        <v>40000</v>
      </c>
      <c r="AI291" s="57">
        <v>0</v>
      </c>
      <c r="AJ291" s="57">
        <v>0</v>
      </c>
      <c r="AK291" s="57">
        <v>0</v>
      </c>
      <c r="AL291" s="57">
        <v>0</v>
      </c>
      <c r="AM291" s="57">
        <v>0</v>
      </c>
      <c r="AN291" s="57">
        <v>0</v>
      </c>
      <c r="AO291" s="57">
        <v>0</v>
      </c>
      <c r="AP291" s="57">
        <v>0</v>
      </c>
      <c r="AQ291" s="57">
        <v>0</v>
      </c>
      <c r="AR291" s="57">
        <v>80000</v>
      </c>
      <c r="AS291" s="57">
        <f t="shared" si="0"/>
        <v>40000</v>
      </c>
      <c r="AT291" s="57">
        <f t="shared" si="1"/>
        <v>0</v>
      </c>
      <c r="AU291" s="57">
        <f t="shared" si="2"/>
        <v>120000</v>
      </c>
    </row>
    <row r="292" spans="1:47" ht="15.75" customHeight="1" x14ac:dyDescent="0.2">
      <c r="A292" s="50"/>
      <c r="B292" s="51"/>
      <c r="C292" s="52"/>
      <c r="D292" s="50"/>
      <c r="E292" s="53"/>
      <c r="F292" s="53"/>
      <c r="G292" s="50"/>
      <c r="H292" s="62"/>
      <c r="I292" s="63"/>
      <c r="J292" s="50"/>
      <c r="K292" s="50"/>
      <c r="L292" s="50"/>
      <c r="M292" s="50"/>
      <c r="N292" s="55"/>
      <c r="O292" s="56"/>
      <c r="P292" s="56"/>
      <c r="Q292" s="56"/>
      <c r="R292" s="50"/>
      <c r="S292" s="50"/>
      <c r="T292" s="57"/>
      <c r="U292" s="57">
        <v>0</v>
      </c>
      <c r="V292" s="57">
        <v>0</v>
      </c>
      <c r="W292" s="57">
        <v>0</v>
      </c>
      <c r="X292" s="57">
        <v>0</v>
      </c>
      <c r="Y292" s="57">
        <v>0</v>
      </c>
      <c r="Z292" s="57">
        <v>0</v>
      </c>
      <c r="AA292" s="57">
        <v>0</v>
      </c>
      <c r="AB292" s="57">
        <v>0</v>
      </c>
      <c r="AC292" s="57">
        <v>0</v>
      </c>
      <c r="AD292" s="57">
        <v>0</v>
      </c>
      <c r="AE292" s="57">
        <v>0</v>
      </c>
      <c r="AF292" s="57">
        <v>0</v>
      </c>
      <c r="AG292" s="57">
        <v>0</v>
      </c>
      <c r="AH292" s="57">
        <v>0</v>
      </c>
      <c r="AI292" s="57">
        <v>0</v>
      </c>
      <c r="AJ292" s="57">
        <v>0</v>
      </c>
      <c r="AK292" s="57">
        <v>0</v>
      </c>
      <c r="AL292" s="57">
        <v>0</v>
      </c>
      <c r="AM292" s="57">
        <v>0</v>
      </c>
      <c r="AN292" s="57">
        <v>0</v>
      </c>
      <c r="AO292" s="57">
        <v>0</v>
      </c>
      <c r="AP292" s="57">
        <v>0</v>
      </c>
      <c r="AQ292" s="57">
        <v>0</v>
      </c>
      <c r="AR292" s="57">
        <v>52000</v>
      </c>
      <c r="AS292" s="57">
        <f t="shared" si="0"/>
        <v>0</v>
      </c>
      <c r="AT292" s="57">
        <f t="shared" si="1"/>
        <v>0</v>
      </c>
      <c r="AU292" s="57">
        <f t="shared" si="2"/>
        <v>52000</v>
      </c>
    </row>
    <row r="293" spans="1:47" ht="15.75" customHeight="1" x14ac:dyDescent="0.2">
      <c r="A293" s="50"/>
      <c r="B293" s="51"/>
      <c r="C293" s="52"/>
      <c r="D293" s="50"/>
      <c r="E293" s="53"/>
      <c r="F293" s="53"/>
      <c r="G293" s="50"/>
      <c r="H293" s="62"/>
      <c r="I293" s="63"/>
      <c r="J293" s="50"/>
      <c r="K293" s="50"/>
      <c r="L293" s="50"/>
      <c r="M293" s="50"/>
      <c r="N293" s="55"/>
      <c r="O293" s="56"/>
      <c r="P293" s="56"/>
      <c r="Q293" s="56"/>
      <c r="R293" s="50"/>
      <c r="S293" s="50"/>
      <c r="T293" s="57"/>
      <c r="U293" s="57">
        <v>0</v>
      </c>
      <c r="V293" s="57">
        <v>0</v>
      </c>
      <c r="W293" s="57">
        <v>0</v>
      </c>
      <c r="X293" s="57">
        <v>0</v>
      </c>
      <c r="Y293" s="57">
        <v>0</v>
      </c>
      <c r="Z293" s="57">
        <v>0</v>
      </c>
      <c r="AA293" s="57">
        <v>0</v>
      </c>
      <c r="AB293" s="57">
        <v>0</v>
      </c>
      <c r="AC293" s="57">
        <v>0</v>
      </c>
      <c r="AD293" s="57">
        <v>0</v>
      </c>
      <c r="AE293" s="57">
        <v>0</v>
      </c>
      <c r="AF293" s="57">
        <v>0</v>
      </c>
      <c r="AG293" s="57">
        <v>0</v>
      </c>
      <c r="AH293" s="57">
        <v>0</v>
      </c>
      <c r="AI293" s="57">
        <v>0</v>
      </c>
      <c r="AJ293" s="57">
        <v>0</v>
      </c>
      <c r="AK293" s="57">
        <v>0</v>
      </c>
      <c r="AL293" s="57">
        <v>0</v>
      </c>
      <c r="AM293" s="57">
        <v>0</v>
      </c>
      <c r="AN293" s="57">
        <v>0</v>
      </c>
      <c r="AO293" s="57">
        <v>0</v>
      </c>
      <c r="AP293" s="57">
        <v>0</v>
      </c>
      <c r="AQ293" s="57">
        <v>0</v>
      </c>
      <c r="AR293" s="57">
        <v>0</v>
      </c>
      <c r="AS293" s="57">
        <f t="shared" si="0"/>
        <v>0</v>
      </c>
      <c r="AT293" s="57">
        <f t="shared" si="1"/>
        <v>0</v>
      </c>
      <c r="AU293" s="57">
        <f t="shared" si="2"/>
        <v>0</v>
      </c>
    </row>
    <row r="294" spans="1:47" ht="15.75" customHeight="1" x14ac:dyDescent="0.2">
      <c r="A294" s="50"/>
      <c r="B294" s="51"/>
      <c r="C294" s="52"/>
      <c r="D294" s="50"/>
      <c r="E294" s="53"/>
      <c r="F294" s="53"/>
      <c r="G294" s="50"/>
      <c r="H294" s="62"/>
      <c r="I294" s="63"/>
      <c r="J294" s="50"/>
      <c r="K294" s="50"/>
      <c r="L294" s="50"/>
      <c r="M294" s="50"/>
      <c r="N294" s="55"/>
      <c r="O294" s="56"/>
      <c r="P294" s="56"/>
      <c r="Q294" s="56"/>
      <c r="R294" s="50"/>
      <c r="S294" s="50"/>
      <c r="T294" s="57"/>
      <c r="U294" s="57">
        <v>0</v>
      </c>
      <c r="V294" s="57">
        <v>0</v>
      </c>
      <c r="W294" s="57">
        <v>0</v>
      </c>
      <c r="X294" s="57">
        <v>0</v>
      </c>
      <c r="Y294" s="57">
        <v>4</v>
      </c>
      <c r="Z294" s="57">
        <v>0</v>
      </c>
      <c r="AA294" s="57">
        <v>0</v>
      </c>
      <c r="AB294" s="57">
        <v>0</v>
      </c>
      <c r="AC294" s="57">
        <v>0</v>
      </c>
      <c r="AD294" s="57">
        <v>0</v>
      </c>
      <c r="AE294" s="57">
        <v>0</v>
      </c>
      <c r="AF294" s="57">
        <v>0</v>
      </c>
      <c r="AG294" s="57">
        <v>0</v>
      </c>
      <c r="AH294" s="57">
        <v>0</v>
      </c>
      <c r="AI294" s="57">
        <v>0</v>
      </c>
      <c r="AJ294" s="57">
        <v>0</v>
      </c>
      <c r="AK294" s="57">
        <v>188000</v>
      </c>
      <c r="AL294" s="57">
        <v>0</v>
      </c>
      <c r="AM294" s="57">
        <v>0</v>
      </c>
      <c r="AN294" s="57">
        <v>0</v>
      </c>
      <c r="AO294" s="57">
        <v>0</v>
      </c>
      <c r="AP294" s="57">
        <v>0</v>
      </c>
      <c r="AQ294" s="57">
        <v>0</v>
      </c>
      <c r="AR294" s="57">
        <v>418000</v>
      </c>
      <c r="AS294" s="57">
        <f t="shared" si="0"/>
        <v>188000</v>
      </c>
      <c r="AT294" s="57">
        <f t="shared" si="1"/>
        <v>0</v>
      </c>
      <c r="AU294" s="57">
        <f t="shared" si="2"/>
        <v>606000</v>
      </c>
    </row>
    <row r="295" spans="1:47" ht="15.75" customHeight="1" x14ac:dyDescent="0.2">
      <c r="A295" s="50"/>
      <c r="B295" s="51"/>
      <c r="C295" s="52"/>
      <c r="D295" s="50"/>
      <c r="E295" s="53"/>
      <c r="F295" s="53"/>
      <c r="G295" s="50"/>
      <c r="H295" s="62"/>
      <c r="I295" s="63"/>
      <c r="J295" s="50"/>
      <c r="K295" s="50"/>
      <c r="L295" s="50"/>
      <c r="M295" s="50"/>
      <c r="N295" s="55"/>
      <c r="O295" s="56"/>
      <c r="P295" s="56"/>
      <c r="Q295" s="56"/>
      <c r="R295" s="50"/>
      <c r="S295" s="50"/>
      <c r="T295" s="57"/>
      <c r="U295" s="57">
        <v>0</v>
      </c>
      <c r="V295" s="57">
        <v>0</v>
      </c>
      <c r="W295" s="57">
        <v>0</v>
      </c>
      <c r="X295" s="57">
        <v>0</v>
      </c>
      <c r="Y295" s="57">
        <v>0</v>
      </c>
      <c r="Z295" s="57">
        <v>0</v>
      </c>
      <c r="AA295" s="57">
        <v>0</v>
      </c>
      <c r="AB295" s="57">
        <v>0</v>
      </c>
      <c r="AC295" s="57">
        <v>0</v>
      </c>
      <c r="AD295" s="57">
        <v>0</v>
      </c>
      <c r="AE295" s="57">
        <v>0</v>
      </c>
      <c r="AF295" s="57">
        <v>0</v>
      </c>
      <c r="AG295" s="57">
        <v>0</v>
      </c>
      <c r="AH295" s="57">
        <v>0</v>
      </c>
      <c r="AI295" s="57">
        <v>0</v>
      </c>
      <c r="AJ295" s="57">
        <v>0</v>
      </c>
      <c r="AK295" s="57">
        <v>0</v>
      </c>
      <c r="AL295" s="57">
        <v>0</v>
      </c>
      <c r="AM295" s="57">
        <v>0</v>
      </c>
      <c r="AN295" s="57">
        <v>0</v>
      </c>
      <c r="AO295" s="57">
        <v>0</v>
      </c>
      <c r="AP295" s="57">
        <v>0</v>
      </c>
      <c r="AQ295" s="57">
        <v>0</v>
      </c>
      <c r="AR295" s="57">
        <v>46000</v>
      </c>
      <c r="AS295" s="57">
        <f t="shared" si="0"/>
        <v>0</v>
      </c>
      <c r="AT295" s="57">
        <f t="shared" si="1"/>
        <v>0</v>
      </c>
      <c r="AU295" s="57">
        <f t="shared" si="2"/>
        <v>46000</v>
      </c>
    </row>
    <row r="296" spans="1:47" ht="15.75" customHeight="1" x14ac:dyDescent="0.2">
      <c r="A296" s="50"/>
      <c r="B296" s="51"/>
      <c r="C296" s="52"/>
      <c r="D296" s="50"/>
      <c r="E296" s="53"/>
      <c r="F296" s="53"/>
      <c r="G296" s="50"/>
      <c r="H296" s="62"/>
      <c r="I296" s="63"/>
      <c r="J296" s="50"/>
      <c r="K296" s="50"/>
      <c r="L296" s="50"/>
      <c r="M296" s="50"/>
      <c r="N296" s="55"/>
      <c r="O296" s="56"/>
      <c r="P296" s="56"/>
      <c r="Q296" s="56"/>
      <c r="R296" s="50"/>
      <c r="S296" s="50"/>
      <c r="T296" s="57"/>
      <c r="U296" s="57">
        <v>0</v>
      </c>
      <c r="V296" s="57">
        <v>0</v>
      </c>
      <c r="W296" s="57">
        <v>0</v>
      </c>
      <c r="X296" s="57">
        <v>0</v>
      </c>
      <c r="Y296" s="57">
        <v>0</v>
      </c>
      <c r="Z296" s="57">
        <v>0</v>
      </c>
      <c r="AA296" s="57">
        <v>0</v>
      </c>
      <c r="AB296" s="57">
        <v>0</v>
      </c>
      <c r="AC296" s="57">
        <v>0</v>
      </c>
      <c r="AD296" s="57">
        <v>0</v>
      </c>
      <c r="AE296" s="57">
        <v>0</v>
      </c>
      <c r="AF296" s="57">
        <v>0</v>
      </c>
      <c r="AG296" s="57">
        <v>0</v>
      </c>
      <c r="AH296" s="57">
        <v>0</v>
      </c>
      <c r="AI296" s="57">
        <v>0</v>
      </c>
      <c r="AJ296" s="57">
        <v>0</v>
      </c>
      <c r="AK296" s="57">
        <v>0</v>
      </c>
      <c r="AL296" s="57">
        <v>0</v>
      </c>
      <c r="AM296" s="57">
        <v>0</v>
      </c>
      <c r="AN296" s="57">
        <v>0</v>
      </c>
      <c r="AO296" s="57">
        <v>0</v>
      </c>
      <c r="AP296" s="57">
        <v>0</v>
      </c>
      <c r="AQ296" s="57">
        <v>0</v>
      </c>
      <c r="AR296" s="57">
        <v>26000</v>
      </c>
      <c r="AS296" s="57">
        <f t="shared" si="0"/>
        <v>0</v>
      </c>
      <c r="AT296" s="57">
        <f t="shared" si="1"/>
        <v>0</v>
      </c>
      <c r="AU296" s="57">
        <f t="shared" si="2"/>
        <v>26000</v>
      </c>
    </row>
    <row r="297" spans="1:47" ht="15.75" customHeight="1" x14ac:dyDescent="0.2">
      <c r="A297" s="50"/>
      <c r="B297" s="51"/>
      <c r="C297" s="52"/>
      <c r="D297" s="50"/>
      <c r="E297" s="53"/>
      <c r="F297" s="53"/>
      <c r="G297" s="50"/>
      <c r="H297" s="62"/>
      <c r="I297" s="63"/>
      <c r="J297" s="50"/>
      <c r="K297" s="50"/>
      <c r="L297" s="50"/>
      <c r="M297" s="50"/>
      <c r="N297" s="55"/>
      <c r="O297" s="56"/>
      <c r="P297" s="56"/>
      <c r="Q297" s="56"/>
      <c r="R297" s="50"/>
      <c r="S297" s="50"/>
      <c r="T297" s="57"/>
      <c r="U297" s="57">
        <v>0</v>
      </c>
      <c r="V297" s="57">
        <v>0</v>
      </c>
      <c r="W297" s="57">
        <v>0</v>
      </c>
      <c r="X297" s="57">
        <v>0</v>
      </c>
      <c r="Y297" s="57">
        <v>0</v>
      </c>
      <c r="Z297" s="57">
        <v>0</v>
      </c>
      <c r="AA297" s="57">
        <v>0</v>
      </c>
      <c r="AB297" s="57">
        <v>0</v>
      </c>
      <c r="AC297" s="57">
        <v>0</v>
      </c>
      <c r="AD297" s="57">
        <v>0</v>
      </c>
      <c r="AE297" s="57">
        <v>0</v>
      </c>
      <c r="AF297" s="57">
        <v>0</v>
      </c>
      <c r="AG297" s="57">
        <v>0</v>
      </c>
      <c r="AH297" s="57">
        <v>0</v>
      </c>
      <c r="AI297" s="57">
        <v>0</v>
      </c>
      <c r="AJ297" s="57">
        <v>0</v>
      </c>
      <c r="AK297" s="57">
        <v>0</v>
      </c>
      <c r="AL297" s="57">
        <v>0</v>
      </c>
      <c r="AM297" s="57">
        <v>0</v>
      </c>
      <c r="AN297" s="57">
        <v>0</v>
      </c>
      <c r="AO297" s="57">
        <v>0</v>
      </c>
      <c r="AP297" s="57">
        <v>0</v>
      </c>
      <c r="AQ297" s="57">
        <v>0</v>
      </c>
      <c r="AR297" s="57">
        <v>0</v>
      </c>
      <c r="AS297" s="57">
        <f t="shared" si="0"/>
        <v>0</v>
      </c>
      <c r="AT297" s="57">
        <f t="shared" si="1"/>
        <v>0</v>
      </c>
      <c r="AU297" s="57">
        <f t="shared" si="2"/>
        <v>0</v>
      </c>
    </row>
    <row r="298" spans="1:47" ht="15.75" customHeight="1" x14ac:dyDescent="0.2">
      <c r="A298" s="50"/>
      <c r="B298" s="51"/>
      <c r="C298" s="52"/>
      <c r="D298" s="50"/>
      <c r="E298" s="53"/>
      <c r="F298" s="53"/>
      <c r="G298" s="50"/>
      <c r="H298" s="62"/>
      <c r="I298" s="63"/>
      <c r="J298" s="50"/>
      <c r="K298" s="50"/>
      <c r="L298" s="50"/>
      <c r="M298" s="50"/>
      <c r="N298" s="55"/>
      <c r="O298" s="56"/>
      <c r="P298" s="56"/>
      <c r="Q298" s="56"/>
      <c r="R298" s="50"/>
      <c r="S298" s="50"/>
      <c r="T298" s="57"/>
      <c r="U298" s="57">
        <v>0</v>
      </c>
      <c r="V298" s="57">
        <v>0</v>
      </c>
      <c r="W298" s="57">
        <v>0</v>
      </c>
      <c r="X298" s="57">
        <v>0</v>
      </c>
      <c r="Y298" s="57">
        <v>0</v>
      </c>
      <c r="Z298" s="57">
        <v>0</v>
      </c>
      <c r="AA298" s="57">
        <v>0</v>
      </c>
      <c r="AB298" s="57">
        <v>0</v>
      </c>
      <c r="AC298" s="57">
        <v>0</v>
      </c>
      <c r="AD298" s="57">
        <v>0</v>
      </c>
      <c r="AE298" s="57">
        <v>0</v>
      </c>
      <c r="AF298" s="57">
        <v>0</v>
      </c>
      <c r="AG298" s="57">
        <v>0</v>
      </c>
      <c r="AH298" s="57">
        <v>0</v>
      </c>
      <c r="AI298" s="57">
        <v>0</v>
      </c>
      <c r="AJ298" s="57">
        <v>0</v>
      </c>
      <c r="AK298" s="57">
        <v>0</v>
      </c>
      <c r="AL298" s="57">
        <v>0</v>
      </c>
      <c r="AM298" s="57">
        <v>0</v>
      </c>
      <c r="AN298" s="57">
        <v>0</v>
      </c>
      <c r="AO298" s="57">
        <v>0</v>
      </c>
      <c r="AP298" s="57">
        <v>0</v>
      </c>
      <c r="AQ298" s="57">
        <v>0</v>
      </c>
      <c r="AR298" s="57">
        <v>0</v>
      </c>
      <c r="AS298" s="57">
        <f t="shared" si="0"/>
        <v>0</v>
      </c>
      <c r="AT298" s="57">
        <f t="shared" si="1"/>
        <v>0</v>
      </c>
      <c r="AU298" s="57">
        <f t="shared" si="2"/>
        <v>0</v>
      </c>
    </row>
    <row r="299" spans="1:47" ht="15.75" customHeight="1" x14ac:dyDescent="0.2">
      <c r="A299" s="50"/>
      <c r="B299" s="51"/>
      <c r="C299" s="52"/>
      <c r="D299" s="50"/>
      <c r="E299" s="53"/>
      <c r="F299" s="53"/>
      <c r="G299" s="50"/>
      <c r="H299" s="62"/>
      <c r="I299" s="63"/>
      <c r="J299" s="50"/>
      <c r="K299" s="50"/>
      <c r="L299" s="50"/>
      <c r="M299" s="50"/>
      <c r="N299" s="55"/>
      <c r="O299" s="56"/>
      <c r="P299" s="56"/>
      <c r="Q299" s="56"/>
      <c r="R299" s="50"/>
      <c r="S299" s="50"/>
      <c r="T299" s="57"/>
      <c r="U299" s="57">
        <v>0</v>
      </c>
      <c r="V299" s="57">
        <v>0</v>
      </c>
      <c r="W299" s="57">
        <v>0</v>
      </c>
      <c r="X299" s="57">
        <v>0</v>
      </c>
      <c r="Y299" s="57">
        <v>0</v>
      </c>
      <c r="Z299" s="57">
        <v>0</v>
      </c>
      <c r="AA299" s="57">
        <v>0</v>
      </c>
      <c r="AB299" s="57">
        <v>0</v>
      </c>
      <c r="AC299" s="57">
        <v>0</v>
      </c>
      <c r="AD299" s="57">
        <v>0</v>
      </c>
      <c r="AE299" s="57">
        <v>0</v>
      </c>
      <c r="AF299" s="57">
        <v>0</v>
      </c>
      <c r="AG299" s="57">
        <v>0</v>
      </c>
      <c r="AH299" s="57">
        <v>0</v>
      </c>
      <c r="AI299" s="57">
        <v>0</v>
      </c>
      <c r="AJ299" s="57">
        <v>0</v>
      </c>
      <c r="AK299" s="57">
        <v>0</v>
      </c>
      <c r="AL299" s="57">
        <v>0</v>
      </c>
      <c r="AM299" s="57">
        <v>0</v>
      </c>
      <c r="AN299" s="57">
        <v>0</v>
      </c>
      <c r="AO299" s="57">
        <v>0</v>
      </c>
      <c r="AP299" s="57">
        <v>0</v>
      </c>
      <c r="AQ299" s="57">
        <v>0</v>
      </c>
      <c r="AR299" s="57">
        <v>22900</v>
      </c>
      <c r="AS299" s="57">
        <f t="shared" si="0"/>
        <v>0</v>
      </c>
      <c r="AT299" s="57">
        <f t="shared" si="1"/>
        <v>0</v>
      </c>
      <c r="AU299" s="57">
        <f t="shared" si="2"/>
        <v>22900</v>
      </c>
    </row>
    <row r="300" spans="1:47" ht="15.75" customHeight="1" x14ac:dyDescent="0.2">
      <c r="A300" s="50"/>
      <c r="B300" s="51"/>
      <c r="C300" s="52"/>
      <c r="D300" s="50"/>
      <c r="E300" s="53"/>
      <c r="F300" s="53"/>
      <c r="G300" s="50"/>
      <c r="H300" s="62"/>
      <c r="I300" s="63"/>
      <c r="J300" s="50"/>
      <c r="K300" s="50"/>
      <c r="L300" s="50"/>
      <c r="M300" s="50"/>
      <c r="N300" s="55"/>
      <c r="O300" s="56"/>
      <c r="P300" s="56"/>
      <c r="Q300" s="56"/>
      <c r="R300" s="50"/>
      <c r="S300" s="50"/>
      <c r="T300" s="57"/>
      <c r="U300" s="57">
        <v>0</v>
      </c>
      <c r="V300" s="57">
        <v>0</v>
      </c>
      <c r="W300" s="57">
        <v>0</v>
      </c>
      <c r="X300" s="57">
        <v>0</v>
      </c>
      <c r="Y300" s="57">
        <v>0</v>
      </c>
      <c r="Z300" s="57">
        <v>0</v>
      </c>
      <c r="AA300" s="57">
        <v>0</v>
      </c>
      <c r="AB300" s="57">
        <v>0</v>
      </c>
      <c r="AC300" s="57">
        <v>0</v>
      </c>
      <c r="AD300" s="57">
        <v>0</v>
      </c>
      <c r="AE300" s="57">
        <v>0</v>
      </c>
      <c r="AF300" s="57">
        <v>0</v>
      </c>
      <c r="AG300" s="57">
        <v>0</v>
      </c>
      <c r="AH300" s="57">
        <v>0</v>
      </c>
      <c r="AI300" s="57">
        <v>0</v>
      </c>
      <c r="AJ300" s="57">
        <v>0</v>
      </c>
      <c r="AK300" s="57">
        <v>0</v>
      </c>
      <c r="AL300" s="57">
        <v>0</v>
      </c>
      <c r="AM300" s="57">
        <v>0</v>
      </c>
      <c r="AN300" s="57">
        <v>0</v>
      </c>
      <c r="AO300" s="57">
        <v>0</v>
      </c>
      <c r="AP300" s="57">
        <v>0</v>
      </c>
      <c r="AQ300" s="57">
        <v>0</v>
      </c>
      <c r="AR300" s="57">
        <v>1760000</v>
      </c>
      <c r="AS300" s="57">
        <f t="shared" si="0"/>
        <v>0</v>
      </c>
      <c r="AT300" s="57">
        <f t="shared" si="1"/>
        <v>0</v>
      </c>
      <c r="AU300" s="57">
        <f t="shared" si="2"/>
        <v>1760000</v>
      </c>
    </row>
    <row r="301" spans="1:47" ht="15.75" customHeight="1" x14ac:dyDescent="0.2">
      <c r="A301" s="50"/>
      <c r="B301" s="51"/>
      <c r="C301" s="52"/>
      <c r="D301" s="50"/>
      <c r="E301" s="53"/>
      <c r="F301" s="53"/>
      <c r="G301" s="50"/>
      <c r="H301" s="62"/>
      <c r="I301" s="63"/>
      <c r="J301" s="50"/>
      <c r="K301" s="50"/>
      <c r="L301" s="50"/>
      <c r="M301" s="50"/>
      <c r="N301" s="55"/>
      <c r="O301" s="56"/>
      <c r="P301" s="56"/>
      <c r="Q301" s="56"/>
      <c r="R301" s="50"/>
      <c r="S301" s="50"/>
      <c r="T301" s="57"/>
      <c r="U301" s="57">
        <v>30</v>
      </c>
      <c r="V301" s="57">
        <v>20</v>
      </c>
      <c r="W301" s="57">
        <v>0</v>
      </c>
      <c r="X301" s="57">
        <v>0</v>
      </c>
      <c r="Y301" s="57">
        <v>0</v>
      </c>
      <c r="Z301" s="57">
        <v>0</v>
      </c>
      <c r="AA301" s="57">
        <v>0</v>
      </c>
      <c r="AB301" s="57">
        <v>0</v>
      </c>
      <c r="AC301" s="57">
        <v>0</v>
      </c>
      <c r="AD301" s="57">
        <v>0</v>
      </c>
      <c r="AE301" s="57">
        <v>0</v>
      </c>
      <c r="AF301" s="57">
        <v>0</v>
      </c>
      <c r="AG301" s="57">
        <v>4500</v>
      </c>
      <c r="AH301" s="57">
        <v>3000</v>
      </c>
      <c r="AI301" s="57">
        <v>0</v>
      </c>
      <c r="AJ301" s="57">
        <v>0</v>
      </c>
      <c r="AK301" s="57">
        <v>0</v>
      </c>
      <c r="AL301" s="57">
        <v>0</v>
      </c>
      <c r="AM301" s="57">
        <v>0</v>
      </c>
      <c r="AN301" s="57">
        <v>0</v>
      </c>
      <c r="AO301" s="57">
        <v>0</v>
      </c>
      <c r="AP301" s="57">
        <v>0</v>
      </c>
      <c r="AQ301" s="57">
        <v>0</v>
      </c>
      <c r="AR301" s="57">
        <v>61500</v>
      </c>
      <c r="AS301" s="57">
        <f t="shared" si="0"/>
        <v>7500</v>
      </c>
      <c r="AT301" s="57">
        <f t="shared" si="1"/>
        <v>0</v>
      </c>
      <c r="AU301" s="57">
        <f t="shared" si="2"/>
        <v>69000</v>
      </c>
    </row>
    <row r="302" spans="1:47" ht="15.75" customHeight="1" x14ac:dyDescent="0.2">
      <c r="A302" s="50"/>
      <c r="B302" s="51"/>
      <c r="C302" s="52"/>
      <c r="D302" s="50"/>
      <c r="E302" s="53"/>
      <c r="F302" s="53"/>
      <c r="G302" s="50"/>
      <c r="H302" s="62"/>
      <c r="I302" s="63"/>
      <c r="J302" s="50"/>
      <c r="K302" s="50"/>
      <c r="L302" s="50"/>
      <c r="M302" s="50"/>
      <c r="N302" s="55"/>
      <c r="O302" s="56"/>
      <c r="P302" s="56"/>
      <c r="Q302" s="56"/>
      <c r="R302" s="50"/>
      <c r="S302" s="50"/>
      <c r="T302" s="57"/>
      <c r="U302" s="57">
        <v>0</v>
      </c>
      <c r="V302" s="57">
        <v>0</v>
      </c>
      <c r="W302" s="57">
        <v>0</v>
      </c>
      <c r="X302" s="57">
        <v>0</v>
      </c>
      <c r="Y302" s="57">
        <v>0</v>
      </c>
      <c r="Z302" s="57">
        <v>0</v>
      </c>
      <c r="AA302" s="57">
        <v>0</v>
      </c>
      <c r="AB302" s="57">
        <v>0</v>
      </c>
      <c r="AC302" s="57">
        <v>0</v>
      </c>
      <c r="AD302" s="57">
        <v>0</v>
      </c>
      <c r="AE302" s="57">
        <v>0</v>
      </c>
      <c r="AF302" s="57">
        <v>0</v>
      </c>
      <c r="AG302" s="57">
        <v>0</v>
      </c>
      <c r="AH302" s="57">
        <v>0</v>
      </c>
      <c r="AI302" s="57">
        <v>0</v>
      </c>
      <c r="AJ302" s="57">
        <v>0</v>
      </c>
      <c r="AK302" s="57">
        <v>0</v>
      </c>
      <c r="AL302" s="57">
        <v>0</v>
      </c>
      <c r="AM302" s="57">
        <v>0</v>
      </c>
      <c r="AN302" s="57">
        <v>0</v>
      </c>
      <c r="AO302" s="57">
        <v>0</v>
      </c>
      <c r="AP302" s="57">
        <v>0</v>
      </c>
      <c r="AQ302" s="57">
        <v>0</v>
      </c>
      <c r="AR302" s="57">
        <v>966000</v>
      </c>
      <c r="AS302" s="57">
        <f t="shared" si="0"/>
        <v>0</v>
      </c>
      <c r="AT302" s="57">
        <f t="shared" si="1"/>
        <v>0</v>
      </c>
      <c r="AU302" s="57">
        <f t="shared" si="2"/>
        <v>966000</v>
      </c>
    </row>
    <row r="303" spans="1:47" ht="15.75" customHeight="1" x14ac:dyDescent="0.2">
      <c r="A303" s="50"/>
      <c r="B303" s="51"/>
      <c r="C303" s="52"/>
      <c r="D303" s="50"/>
      <c r="E303" s="53"/>
      <c r="F303" s="53"/>
      <c r="G303" s="50"/>
      <c r="H303" s="62"/>
      <c r="I303" s="63"/>
      <c r="J303" s="50"/>
      <c r="K303" s="50"/>
      <c r="L303" s="50"/>
      <c r="M303" s="50"/>
      <c r="N303" s="55"/>
      <c r="O303" s="56"/>
      <c r="P303" s="56"/>
      <c r="Q303" s="56"/>
      <c r="R303" s="50"/>
      <c r="S303" s="50"/>
      <c r="T303" s="57"/>
      <c r="U303" s="57">
        <v>1</v>
      </c>
      <c r="V303" s="57">
        <v>0</v>
      </c>
      <c r="W303" s="57">
        <v>0</v>
      </c>
      <c r="X303" s="57">
        <v>0</v>
      </c>
      <c r="Y303" s="57">
        <v>0</v>
      </c>
      <c r="Z303" s="57">
        <v>0</v>
      </c>
      <c r="AA303" s="57">
        <v>0</v>
      </c>
      <c r="AB303" s="57">
        <v>0</v>
      </c>
      <c r="AC303" s="57">
        <v>0</v>
      </c>
      <c r="AD303" s="57">
        <v>0</v>
      </c>
      <c r="AE303" s="57">
        <v>0</v>
      </c>
      <c r="AF303" s="57">
        <v>0</v>
      </c>
      <c r="AG303" s="57">
        <v>340000</v>
      </c>
      <c r="AH303" s="57">
        <v>0</v>
      </c>
      <c r="AI303" s="57">
        <v>0</v>
      </c>
      <c r="AJ303" s="57">
        <v>0</v>
      </c>
      <c r="AK303" s="57">
        <v>0</v>
      </c>
      <c r="AL303" s="57">
        <v>0</v>
      </c>
      <c r="AM303" s="57">
        <v>0</v>
      </c>
      <c r="AN303" s="57">
        <v>0</v>
      </c>
      <c r="AO303" s="57">
        <v>0</v>
      </c>
      <c r="AP303" s="57">
        <v>0</v>
      </c>
      <c r="AQ303" s="57">
        <v>0</v>
      </c>
      <c r="AR303" s="57">
        <v>1015713</v>
      </c>
      <c r="AS303" s="57">
        <f t="shared" si="0"/>
        <v>340000</v>
      </c>
      <c r="AT303" s="57">
        <f t="shared" si="1"/>
        <v>0</v>
      </c>
      <c r="AU303" s="57">
        <f t="shared" si="2"/>
        <v>1355713</v>
      </c>
    </row>
    <row r="304" spans="1:47" ht="15.75" customHeight="1" x14ac:dyDescent="0.2">
      <c r="A304" s="50"/>
      <c r="B304" s="51"/>
      <c r="C304" s="52"/>
      <c r="D304" s="50"/>
      <c r="E304" s="53"/>
      <c r="F304" s="53"/>
      <c r="G304" s="50"/>
      <c r="H304" s="62"/>
      <c r="I304" s="63"/>
      <c r="J304" s="50"/>
      <c r="K304" s="50"/>
      <c r="L304" s="50"/>
      <c r="M304" s="50"/>
      <c r="N304" s="55"/>
      <c r="O304" s="56"/>
      <c r="P304" s="56"/>
      <c r="Q304" s="56"/>
      <c r="R304" s="50"/>
      <c r="S304" s="50"/>
      <c r="T304" s="57"/>
      <c r="U304" s="57">
        <v>0</v>
      </c>
      <c r="V304" s="57">
        <v>0</v>
      </c>
      <c r="W304" s="57">
        <v>0</v>
      </c>
      <c r="X304" s="57">
        <v>0</v>
      </c>
      <c r="Y304" s="57">
        <v>0</v>
      </c>
      <c r="Z304" s="57">
        <v>0</v>
      </c>
      <c r="AA304" s="57">
        <v>0</v>
      </c>
      <c r="AB304" s="57">
        <v>0</v>
      </c>
      <c r="AC304" s="57">
        <v>0</v>
      </c>
      <c r="AD304" s="57">
        <v>0</v>
      </c>
      <c r="AE304" s="57">
        <v>0</v>
      </c>
      <c r="AF304" s="57">
        <v>0</v>
      </c>
      <c r="AG304" s="57">
        <v>0</v>
      </c>
      <c r="AH304" s="57">
        <v>0</v>
      </c>
      <c r="AI304" s="57">
        <v>0</v>
      </c>
      <c r="AJ304" s="57">
        <v>0</v>
      </c>
      <c r="AK304" s="57">
        <v>0</v>
      </c>
      <c r="AL304" s="57">
        <v>0</v>
      </c>
      <c r="AM304" s="57">
        <v>0</v>
      </c>
      <c r="AN304" s="57">
        <v>0</v>
      </c>
      <c r="AO304" s="57">
        <v>0</v>
      </c>
      <c r="AP304" s="57">
        <v>0</v>
      </c>
      <c r="AQ304" s="57">
        <v>0</v>
      </c>
      <c r="AR304" s="57">
        <v>32800</v>
      </c>
      <c r="AS304" s="57">
        <f t="shared" si="0"/>
        <v>0</v>
      </c>
      <c r="AT304" s="57">
        <f t="shared" si="1"/>
        <v>0</v>
      </c>
      <c r="AU304" s="57">
        <f t="shared" si="2"/>
        <v>32800</v>
      </c>
    </row>
    <row r="305" spans="1:47" ht="15.75" customHeight="1" x14ac:dyDescent="0.2">
      <c r="A305" s="50"/>
      <c r="B305" s="51"/>
      <c r="C305" s="52"/>
      <c r="D305" s="50"/>
      <c r="E305" s="53"/>
      <c r="F305" s="53"/>
      <c r="G305" s="50"/>
      <c r="H305" s="62"/>
      <c r="I305" s="63"/>
      <c r="J305" s="50"/>
      <c r="K305" s="50"/>
      <c r="L305" s="50"/>
      <c r="M305" s="50"/>
      <c r="N305" s="55"/>
      <c r="O305" s="56"/>
      <c r="P305" s="56"/>
      <c r="Q305" s="56"/>
      <c r="R305" s="50"/>
      <c r="S305" s="50"/>
      <c r="T305" s="57"/>
      <c r="U305" s="57">
        <v>0</v>
      </c>
      <c r="V305" s="57">
        <v>0</v>
      </c>
      <c r="W305" s="57">
        <v>0</v>
      </c>
      <c r="X305" s="57">
        <v>0</v>
      </c>
      <c r="Y305" s="57">
        <v>0</v>
      </c>
      <c r="Z305" s="57">
        <v>0</v>
      </c>
      <c r="AA305" s="57">
        <v>0</v>
      </c>
      <c r="AB305" s="57">
        <v>0</v>
      </c>
      <c r="AC305" s="57">
        <v>0</v>
      </c>
      <c r="AD305" s="57">
        <v>0</v>
      </c>
      <c r="AE305" s="57">
        <v>0</v>
      </c>
      <c r="AF305" s="57">
        <v>0</v>
      </c>
      <c r="AG305" s="57">
        <v>0</v>
      </c>
      <c r="AH305" s="57">
        <v>0</v>
      </c>
      <c r="AI305" s="57">
        <v>0</v>
      </c>
      <c r="AJ305" s="57">
        <v>0</v>
      </c>
      <c r="AK305" s="57">
        <v>0</v>
      </c>
      <c r="AL305" s="57">
        <v>0</v>
      </c>
      <c r="AM305" s="57">
        <v>0</v>
      </c>
      <c r="AN305" s="57">
        <v>0</v>
      </c>
      <c r="AO305" s="57">
        <v>0</v>
      </c>
      <c r="AP305" s="57">
        <v>0</v>
      </c>
      <c r="AQ305" s="57">
        <v>0</v>
      </c>
      <c r="AR305" s="57">
        <v>260284</v>
      </c>
      <c r="AS305" s="57">
        <f t="shared" si="0"/>
        <v>0</v>
      </c>
      <c r="AT305" s="57">
        <f t="shared" si="1"/>
        <v>0</v>
      </c>
      <c r="AU305" s="57">
        <f t="shared" si="2"/>
        <v>260284</v>
      </c>
    </row>
    <row r="306" spans="1:47" ht="15.75" customHeight="1" x14ac:dyDescent="0.2">
      <c r="A306" s="50"/>
      <c r="B306" s="51"/>
      <c r="C306" s="52"/>
      <c r="D306" s="50"/>
      <c r="E306" s="53"/>
      <c r="F306" s="53"/>
      <c r="G306" s="50"/>
      <c r="H306" s="62"/>
      <c r="I306" s="63"/>
      <c r="J306" s="50"/>
      <c r="K306" s="50"/>
      <c r="L306" s="50"/>
      <c r="M306" s="50"/>
      <c r="N306" s="55"/>
      <c r="O306" s="56"/>
      <c r="P306" s="56"/>
      <c r="Q306" s="56"/>
      <c r="R306" s="50"/>
      <c r="S306" s="50"/>
      <c r="T306" s="57"/>
      <c r="U306" s="57">
        <v>0</v>
      </c>
      <c r="V306" s="57">
        <v>0</v>
      </c>
      <c r="W306" s="57">
        <v>0</v>
      </c>
      <c r="X306" s="57">
        <v>0</v>
      </c>
      <c r="Y306" s="57">
        <v>0</v>
      </c>
      <c r="Z306" s="57">
        <v>0</v>
      </c>
      <c r="AA306" s="57">
        <v>0</v>
      </c>
      <c r="AB306" s="57">
        <v>0</v>
      </c>
      <c r="AC306" s="57">
        <v>0</v>
      </c>
      <c r="AD306" s="57">
        <v>0</v>
      </c>
      <c r="AE306" s="57">
        <v>0</v>
      </c>
      <c r="AF306" s="57">
        <v>0</v>
      </c>
      <c r="AG306" s="57">
        <v>0</v>
      </c>
      <c r="AH306" s="57">
        <v>0</v>
      </c>
      <c r="AI306" s="57">
        <v>0</v>
      </c>
      <c r="AJ306" s="57">
        <v>0</v>
      </c>
      <c r="AK306" s="57">
        <v>0</v>
      </c>
      <c r="AL306" s="57">
        <v>0</v>
      </c>
      <c r="AM306" s="57">
        <v>0</v>
      </c>
      <c r="AN306" s="57">
        <v>0</v>
      </c>
      <c r="AO306" s="57">
        <v>0</v>
      </c>
      <c r="AP306" s="57">
        <v>0</v>
      </c>
      <c r="AQ306" s="57">
        <v>0</v>
      </c>
      <c r="AR306" s="57">
        <v>0</v>
      </c>
      <c r="AS306" s="57">
        <f t="shared" si="0"/>
        <v>0</v>
      </c>
      <c r="AT306" s="57">
        <f t="shared" si="1"/>
        <v>0</v>
      </c>
      <c r="AU306" s="57">
        <f t="shared" si="2"/>
        <v>0</v>
      </c>
    </row>
    <row r="307" spans="1:47" ht="15.75" customHeight="1" x14ac:dyDescent="0.2">
      <c r="A307" s="50"/>
      <c r="B307" s="51"/>
      <c r="C307" s="52"/>
      <c r="D307" s="50"/>
      <c r="E307" s="53"/>
      <c r="F307" s="53"/>
      <c r="G307" s="50"/>
      <c r="H307" s="62"/>
      <c r="I307" s="63"/>
      <c r="J307" s="50"/>
      <c r="K307" s="50"/>
      <c r="L307" s="50"/>
      <c r="M307" s="50"/>
      <c r="N307" s="55"/>
      <c r="O307" s="56"/>
      <c r="P307" s="56"/>
      <c r="Q307" s="56"/>
      <c r="R307" s="50"/>
      <c r="S307" s="50"/>
      <c r="T307" s="57"/>
      <c r="U307" s="57">
        <v>0</v>
      </c>
      <c r="V307" s="57">
        <v>0</v>
      </c>
      <c r="W307" s="57">
        <v>0</v>
      </c>
      <c r="X307" s="57">
        <v>0</v>
      </c>
      <c r="Y307" s="57">
        <v>0</v>
      </c>
      <c r="Z307" s="57">
        <v>0</v>
      </c>
      <c r="AA307" s="57">
        <v>0</v>
      </c>
      <c r="AB307" s="57">
        <v>0</v>
      </c>
      <c r="AC307" s="57">
        <v>0</v>
      </c>
      <c r="AD307" s="57">
        <v>0</v>
      </c>
      <c r="AE307" s="57">
        <v>0</v>
      </c>
      <c r="AF307" s="57">
        <v>0</v>
      </c>
      <c r="AG307" s="57">
        <v>0</v>
      </c>
      <c r="AH307" s="57">
        <v>0</v>
      </c>
      <c r="AI307" s="57">
        <v>0</v>
      </c>
      <c r="AJ307" s="57">
        <v>0</v>
      </c>
      <c r="AK307" s="57">
        <v>0</v>
      </c>
      <c r="AL307" s="57">
        <v>0</v>
      </c>
      <c r="AM307" s="57">
        <v>0</v>
      </c>
      <c r="AN307" s="57">
        <v>0</v>
      </c>
      <c r="AO307" s="57">
        <v>0</v>
      </c>
      <c r="AP307" s="57">
        <v>0</v>
      </c>
      <c r="AQ307" s="57">
        <v>0</v>
      </c>
      <c r="AR307" s="57">
        <v>0</v>
      </c>
      <c r="AS307" s="57">
        <f t="shared" si="0"/>
        <v>0</v>
      </c>
      <c r="AT307" s="57">
        <f t="shared" si="1"/>
        <v>0</v>
      </c>
      <c r="AU307" s="57">
        <f t="shared" si="2"/>
        <v>0</v>
      </c>
    </row>
    <row r="308" spans="1:47" ht="15.75" customHeight="1" x14ac:dyDescent="0.2">
      <c r="A308" s="50"/>
      <c r="B308" s="51"/>
      <c r="C308" s="52"/>
      <c r="D308" s="50"/>
      <c r="E308" s="53"/>
      <c r="F308" s="53"/>
      <c r="G308" s="50"/>
      <c r="H308" s="62"/>
      <c r="I308" s="63"/>
      <c r="J308" s="50"/>
      <c r="K308" s="50"/>
      <c r="L308" s="50"/>
      <c r="M308" s="50"/>
      <c r="N308" s="55"/>
      <c r="O308" s="56"/>
      <c r="P308" s="56"/>
      <c r="Q308" s="56"/>
      <c r="R308" s="50"/>
      <c r="S308" s="50"/>
      <c r="T308" s="57"/>
      <c r="U308" s="57">
        <v>0</v>
      </c>
      <c r="V308" s="57">
        <v>0</v>
      </c>
      <c r="W308" s="57">
        <v>0</v>
      </c>
      <c r="X308" s="57">
        <v>0</v>
      </c>
      <c r="Y308" s="57">
        <v>0</v>
      </c>
      <c r="Z308" s="57">
        <v>0</v>
      </c>
      <c r="AA308" s="57">
        <v>0</v>
      </c>
      <c r="AB308" s="57">
        <v>0</v>
      </c>
      <c r="AC308" s="57">
        <v>0</v>
      </c>
      <c r="AD308" s="57">
        <v>0</v>
      </c>
      <c r="AE308" s="57">
        <v>0</v>
      </c>
      <c r="AF308" s="57">
        <v>0</v>
      </c>
      <c r="AG308" s="57">
        <v>0</v>
      </c>
      <c r="AH308" s="57">
        <v>0</v>
      </c>
      <c r="AI308" s="57">
        <v>0</v>
      </c>
      <c r="AJ308" s="57">
        <v>0</v>
      </c>
      <c r="AK308" s="57">
        <v>0</v>
      </c>
      <c r="AL308" s="57">
        <v>0</v>
      </c>
      <c r="AM308" s="57">
        <v>0</v>
      </c>
      <c r="AN308" s="57">
        <v>0</v>
      </c>
      <c r="AO308" s="57">
        <v>0</v>
      </c>
      <c r="AP308" s="57">
        <v>0</v>
      </c>
      <c r="AQ308" s="57">
        <v>0</v>
      </c>
      <c r="AR308" s="57">
        <v>728000</v>
      </c>
      <c r="AS308" s="57">
        <f t="shared" si="0"/>
        <v>0</v>
      </c>
      <c r="AT308" s="57">
        <f t="shared" si="1"/>
        <v>0</v>
      </c>
      <c r="AU308" s="57">
        <f t="shared" si="2"/>
        <v>728000</v>
      </c>
    </row>
    <row r="309" spans="1:47" ht="15.75" customHeight="1" x14ac:dyDescent="0.2">
      <c r="A309" s="50"/>
      <c r="B309" s="51"/>
      <c r="C309" s="52"/>
      <c r="D309" s="50"/>
      <c r="E309" s="53"/>
      <c r="F309" s="53"/>
      <c r="G309" s="50"/>
      <c r="H309" s="62"/>
      <c r="I309" s="63"/>
      <c r="J309" s="50"/>
      <c r="K309" s="50"/>
      <c r="L309" s="50"/>
      <c r="M309" s="50"/>
      <c r="N309" s="55"/>
      <c r="O309" s="56"/>
      <c r="P309" s="56"/>
      <c r="Q309" s="56"/>
      <c r="R309" s="50"/>
      <c r="S309" s="50"/>
      <c r="T309" s="57"/>
      <c r="U309" s="57">
        <v>0</v>
      </c>
      <c r="V309" s="57">
        <v>0</v>
      </c>
      <c r="W309" s="57">
        <v>0</v>
      </c>
      <c r="X309" s="57">
        <v>0</v>
      </c>
      <c r="Y309" s="57">
        <v>0</v>
      </c>
      <c r="Z309" s="57">
        <v>0</v>
      </c>
      <c r="AA309" s="57">
        <v>0</v>
      </c>
      <c r="AB309" s="57">
        <v>0</v>
      </c>
      <c r="AC309" s="57">
        <v>0</v>
      </c>
      <c r="AD309" s="57">
        <v>0</v>
      </c>
      <c r="AE309" s="57">
        <v>0</v>
      </c>
      <c r="AF309" s="57">
        <v>0</v>
      </c>
      <c r="AG309" s="57">
        <v>0</v>
      </c>
      <c r="AH309" s="57">
        <v>0</v>
      </c>
      <c r="AI309" s="57">
        <v>0</v>
      </c>
      <c r="AJ309" s="57">
        <v>0</v>
      </c>
      <c r="AK309" s="57">
        <v>0</v>
      </c>
      <c r="AL309" s="57">
        <v>0</v>
      </c>
      <c r="AM309" s="57">
        <v>0</v>
      </c>
      <c r="AN309" s="57">
        <v>0</v>
      </c>
      <c r="AO309" s="57">
        <v>0</v>
      </c>
      <c r="AP309" s="57">
        <v>0</v>
      </c>
      <c r="AQ309" s="57">
        <v>0</v>
      </c>
      <c r="AR309" s="57">
        <v>0</v>
      </c>
      <c r="AS309" s="57">
        <f t="shared" si="0"/>
        <v>0</v>
      </c>
      <c r="AT309" s="57">
        <f t="shared" si="1"/>
        <v>0</v>
      </c>
      <c r="AU309" s="57">
        <f t="shared" si="2"/>
        <v>0</v>
      </c>
    </row>
    <row r="310" spans="1:47" ht="15.75" customHeight="1" x14ac:dyDescent="0.2">
      <c r="A310" s="50"/>
      <c r="B310" s="51"/>
      <c r="C310" s="52"/>
      <c r="D310" s="50"/>
      <c r="E310" s="53"/>
      <c r="F310" s="53"/>
      <c r="G310" s="50"/>
      <c r="H310" s="62"/>
      <c r="I310" s="63"/>
      <c r="J310" s="50"/>
      <c r="K310" s="50"/>
      <c r="L310" s="50"/>
      <c r="M310" s="50"/>
      <c r="N310" s="55"/>
      <c r="O310" s="56"/>
      <c r="P310" s="56"/>
      <c r="Q310" s="56"/>
      <c r="R310" s="50"/>
      <c r="S310" s="50"/>
      <c r="T310" s="57"/>
      <c r="U310" s="57">
        <v>0</v>
      </c>
      <c r="V310" s="57">
        <v>0</v>
      </c>
      <c r="W310" s="57">
        <v>0</v>
      </c>
      <c r="X310" s="57">
        <v>0</v>
      </c>
      <c r="Y310" s="57">
        <v>0</v>
      </c>
      <c r="Z310" s="57">
        <v>0</v>
      </c>
      <c r="AA310" s="57">
        <v>0</v>
      </c>
      <c r="AB310" s="57">
        <v>0</v>
      </c>
      <c r="AC310" s="57">
        <v>0</v>
      </c>
      <c r="AD310" s="57">
        <v>0</v>
      </c>
      <c r="AE310" s="57">
        <v>0</v>
      </c>
      <c r="AF310" s="57">
        <v>0</v>
      </c>
      <c r="AG310" s="57">
        <v>0</v>
      </c>
      <c r="AH310" s="57">
        <v>0</v>
      </c>
      <c r="AI310" s="57">
        <v>0</v>
      </c>
      <c r="AJ310" s="57">
        <v>0</v>
      </c>
      <c r="AK310" s="57">
        <v>0</v>
      </c>
      <c r="AL310" s="57">
        <v>0</v>
      </c>
      <c r="AM310" s="57">
        <v>0</v>
      </c>
      <c r="AN310" s="57">
        <v>0</v>
      </c>
      <c r="AO310" s="57">
        <v>0</v>
      </c>
      <c r="AP310" s="57">
        <v>0</v>
      </c>
      <c r="AQ310" s="57">
        <v>0</v>
      </c>
      <c r="AR310" s="57">
        <v>70000</v>
      </c>
      <c r="AS310" s="57">
        <f t="shared" si="0"/>
        <v>0</v>
      </c>
      <c r="AT310" s="57">
        <f t="shared" si="1"/>
        <v>0</v>
      </c>
      <c r="AU310" s="57">
        <f t="shared" si="2"/>
        <v>70000</v>
      </c>
    </row>
    <row r="311" spans="1:47" ht="15.75" customHeight="1" x14ac:dyDescent="0.2">
      <c r="A311" s="50"/>
      <c r="B311" s="51"/>
      <c r="C311" s="52"/>
      <c r="D311" s="50"/>
      <c r="E311" s="53"/>
      <c r="F311" s="53"/>
      <c r="G311" s="50"/>
      <c r="H311" s="62"/>
      <c r="I311" s="63"/>
      <c r="J311" s="50"/>
      <c r="K311" s="50"/>
      <c r="L311" s="50"/>
      <c r="M311" s="50"/>
      <c r="N311" s="55"/>
      <c r="O311" s="56"/>
      <c r="P311" s="56"/>
      <c r="Q311" s="56"/>
      <c r="R311" s="50"/>
      <c r="S311" s="50"/>
      <c r="T311" s="57"/>
      <c r="U311" s="57">
        <v>0</v>
      </c>
      <c r="V311" s="57">
        <v>0</v>
      </c>
      <c r="W311" s="57">
        <v>0</v>
      </c>
      <c r="X311" s="57">
        <v>0</v>
      </c>
      <c r="Y311" s="57">
        <v>0</v>
      </c>
      <c r="Z311" s="57">
        <v>0</v>
      </c>
      <c r="AA311" s="57">
        <v>0</v>
      </c>
      <c r="AB311" s="57">
        <v>0</v>
      </c>
      <c r="AC311" s="57">
        <v>0</v>
      </c>
      <c r="AD311" s="57">
        <v>0</v>
      </c>
      <c r="AE311" s="57">
        <v>0</v>
      </c>
      <c r="AF311" s="57">
        <v>0</v>
      </c>
      <c r="AG311" s="57">
        <v>0</v>
      </c>
      <c r="AH311" s="57">
        <v>0</v>
      </c>
      <c r="AI311" s="57">
        <v>0</v>
      </c>
      <c r="AJ311" s="57">
        <v>0</v>
      </c>
      <c r="AK311" s="57">
        <v>0</v>
      </c>
      <c r="AL311" s="57">
        <v>0</v>
      </c>
      <c r="AM311" s="57">
        <v>0</v>
      </c>
      <c r="AN311" s="57">
        <v>0</v>
      </c>
      <c r="AO311" s="57">
        <v>0</v>
      </c>
      <c r="AP311" s="57">
        <v>0</v>
      </c>
      <c r="AQ311" s="57">
        <v>0</v>
      </c>
      <c r="AR311" s="57">
        <v>270000</v>
      </c>
      <c r="AS311" s="57">
        <f t="shared" si="0"/>
        <v>0</v>
      </c>
      <c r="AT311" s="57">
        <f t="shared" si="1"/>
        <v>0</v>
      </c>
      <c r="AU311" s="57">
        <f t="shared" si="2"/>
        <v>270000</v>
      </c>
    </row>
    <row r="312" spans="1:47" ht="15.75" customHeight="1" x14ac:dyDescent="0.2">
      <c r="A312" s="50"/>
      <c r="B312" s="51"/>
      <c r="C312" s="52"/>
      <c r="D312" s="50"/>
      <c r="E312" s="53"/>
      <c r="F312" s="53"/>
      <c r="G312" s="50"/>
      <c r="H312" s="62"/>
      <c r="I312" s="63"/>
      <c r="J312" s="50"/>
      <c r="K312" s="50"/>
      <c r="L312" s="50"/>
      <c r="M312" s="50"/>
      <c r="N312" s="55"/>
      <c r="O312" s="56"/>
      <c r="P312" s="56"/>
      <c r="Q312" s="56"/>
      <c r="R312" s="50"/>
      <c r="S312" s="50"/>
      <c r="T312" s="57"/>
      <c r="U312" s="57">
        <v>0</v>
      </c>
      <c r="V312" s="57">
        <v>0</v>
      </c>
      <c r="W312" s="57">
        <v>0</v>
      </c>
      <c r="X312" s="57">
        <v>0</v>
      </c>
      <c r="Y312" s="57">
        <v>0</v>
      </c>
      <c r="Z312" s="57">
        <v>0</v>
      </c>
      <c r="AA312" s="57">
        <v>0</v>
      </c>
      <c r="AB312" s="57">
        <v>0</v>
      </c>
      <c r="AC312" s="57">
        <v>0</v>
      </c>
      <c r="AD312" s="57">
        <v>0</v>
      </c>
      <c r="AE312" s="57">
        <v>0</v>
      </c>
      <c r="AF312" s="57">
        <v>0</v>
      </c>
      <c r="AG312" s="57">
        <v>0</v>
      </c>
      <c r="AH312" s="57">
        <v>0</v>
      </c>
      <c r="AI312" s="57">
        <v>0</v>
      </c>
      <c r="AJ312" s="57">
        <v>0</v>
      </c>
      <c r="AK312" s="57">
        <v>0</v>
      </c>
      <c r="AL312" s="57">
        <v>0</v>
      </c>
      <c r="AM312" s="57">
        <v>0</v>
      </c>
      <c r="AN312" s="57">
        <v>0</v>
      </c>
      <c r="AO312" s="57">
        <v>0</v>
      </c>
      <c r="AP312" s="57">
        <v>0</v>
      </c>
      <c r="AQ312" s="57">
        <v>0</v>
      </c>
      <c r="AR312" s="57">
        <v>0</v>
      </c>
      <c r="AS312" s="57">
        <f t="shared" si="0"/>
        <v>0</v>
      </c>
      <c r="AT312" s="57">
        <f t="shared" si="1"/>
        <v>0</v>
      </c>
      <c r="AU312" s="57">
        <f t="shared" si="2"/>
        <v>0</v>
      </c>
    </row>
    <row r="313" spans="1:47" ht="15.75" customHeight="1" x14ac:dyDescent="0.2">
      <c r="A313" s="50"/>
      <c r="B313" s="51"/>
      <c r="C313" s="52"/>
      <c r="D313" s="50"/>
      <c r="E313" s="53"/>
      <c r="F313" s="53"/>
      <c r="G313" s="50"/>
      <c r="H313" s="62"/>
      <c r="I313" s="63"/>
      <c r="J313" s="50"/>
      <c r="K313" s="50"/>
      <c r="L313" s="50"/>
      <c r="M313" s="50"/>
      <c r="N313" s="55"/>
      <c r="O313" s="56"/>
      <c r="P313" s="56"/>
      <c r="Q313" s="56"/>
      <c r="R313" s="50"/>
      <c r="S313" s="50"/>
      <c r="T313" s="57"/>
      <c r="U313" s="57">
        <v>0</v>
      </c>
      <c r="V313" s="57">
        <v>4</v>
      </c>
      <c r="W313" s="57">
        <v>0</v>
      </c>
      <c r="X313" s="57">
        <v>3</v>
      </c>
      <c r="Y313" s="57">
        <v>0</v>
      </c>
      <c r="Z313" s="57">
        <v>0</v>
      </c>
      <c r="AA313" s="57">
        <v>0</v>
      </c>
      <c r="AB313" s="57">
        <v>0</v>
      </c>
      <c r="AC313" s="57">
        <v>0</v>
      </c>
      <c r="AD313" s="57">
        <v>0</v>
      </c>
      <c r="AE313" s="57">
        <v>0</v>
      </c>
      <c r="AF313" s="57">
        <v>0</v>
      </c>
      <c r="AG313" s="57">
        <v>0</v>
      </c>
      <c r="AH313" s="57">
        <v>680000</v>
      </c>
      <c r="AI313" s="57">
        <v>0</v>
      </c>
      <c r="AJ313" s="57">
        <v>510000</v>
      </c>
      <c r="AK313" s="57">
        <v>0</v>
      </c>
      <c r="AL313" s="57">
        <v>0</v>
      </c>
      <c r="AM313" s="57">
        <v>0</v>
      </c>
      <c r="AN313" s="57">
        <v>0</v>
      </c>
      <c r="AO313" s="57">
        <v>0</v>
      </c>
      <c r="AP313" s="57">
        <v>0</v>
      </c>
      <c r="AQ313" s="57">
        <v>0</v>
      </c>
      <c r="AR313" s="57">
        <v>5801548</v>
      </c>
      <c r="AS313" s="57">
        <f t="shared" si="0"/>
        <v>1190000</v>
      </c>
      <c r="AT313" s="57">
        <f t="shared" si="1"/>
        <v>0</v>
      </c>
      <c r="AU313" s="57">
        <f t="shared" si="2"/>
        <v>6991548</v>
      </c>
    </row>
    <row r="314" spans="1:47" ht="15.75" customHeight="1" x14ac:dyDescent="0.2">
      <c r="A314" s="50"/>
      <c r="B314" s="51"/>
      <c r="C314" s="52"/>
      <c r="D314" s="50"/>
      <c r="E314" s="53"/>
      <c r="F314" s="53"/>
      <c r="G314" s="50"/>
      <c r="H314" s="62"/>
      <c r="I314" s="63"/>
      <c r="J314" s="50"/>
      <c r="K314" s="50"/>
      <c r="L314" s="50"/>
      <c r="M314" s="50"/>
      <c r="N314" s="55"/>
      <c r="O314" s="56"/>
      <c r="P314" s="56"/>
      <c r="Q314" s="56"/>
      <c r="R314" s="50"/>
      <c r="S314" s="50"/>
      <c r="T314" s="57"/>
      <c r="U314" s="57">
        <v>10</v>
      </c>
      <c r="V314" s="57">
        <v>3</v>
      </c>
      <c r="W314" s="57">
        <v>0</v>
      </c>
      <c r="X314" s="57">
        <v>0</v>
      </c>
      <c r="Y314" s="57">
        <v>0</v>
      </c>
      <c r="Z314" s="57">
        <v>0</v>
      </c>
      <c r="AA314" s="57">
        <v>0</v>
      </c>
      <c r="AB314" s="57">
        <v>0</v>
      </c>
      <c r="AC314" s="57">
        <v>0</v>
      </c>
      <c r="AD314" s="57">
        <v>0</v>
      </c>
      <c r="AE314" s="57">
        <v>0</v>
      </c>
      <c r="AF314" s="57">
        <v>0</v>
      </c>
      <c r="AG314" s="57">
        <v>62000</v>
      </c>
      <c r="AH314" s="57">
        <v>18600</v>
      </c>
      <c r="AI314" s="57">
        <v>0</v>
      </c>
      <c r="AJ314" s="57">
        <v>0</v>
      </c>
      <c r="AK314" s="57">
        <v>0</v>
      </c>
      <c r="AL314" s="57">
        <v>0</v>
      </c>
      <c r="AM314" s="57">
        <v>0</v>
      </c>
      <c r="AN314" s="57">
        <v>0</v>
      </c>
      <c r="AO314" s="57">
        <v>0</v>
      </c>
      <c r="AP314" s="57">
        <v>0</v>
      </c>
      <c r="AQ314" s="57">
        <v>0</v>
      </c>
      <c r="AR314" s="57">
        <v>179800</v>
      </c>
      <c r="AS314" s="57">
        <f t="shared" si="0"/>
        <v>80600</v>
      </c>
      <c r="AT314" s="57">
        <f t="shared" si="1"/>
        <v>0</v>
      </c>
      <c r="AU314" s="57">
        <f t="shared" si="2"/>
        <v>260400</v>
      </c>
    </row>
    <row r="315" spans="1:47" ht="15.75" customHeight="1" x14ac:dyDescent="0.2">
      <c r="A315" s="50"/>
      <c r="B315" s="51"/>
      <c r="C315" s="52"/>
      <c r="D315" s="50"/>
      <c r="E315" s="53"/>
      <c r="F315" s="53"/>
      <c r="G315" s="50"/>
      <c r="H315" s="62"/>
      <c r="I315" s="63"/>
      <c r="J315" s="50"/>
      <c r="K315" s="50"/>
      <c r="L315" s="50"/>
      <c r="M315" s="50"/>
      <c r="N315" s="55"/>
      <c r="O315" s="56"/>
      <c r="P315" s="56"/>
      <c r="Q315" s="56"/>
      <c r="R315" s="50"/>
      <c r="S315" s="50"/>
      <c r="T315" s="57"/>
      <c r="U315" s="57">
        <v>50</v>
      </c>
      <c r="V315" s="57">
        <v>500</v>
      </c>
      <c r="W315" s="57">
        <v>0</v>
      </c>
      <c r="X315" s="57">
        <v>60</v>
      </c>
      <c r="Y315" s="57">
        <v>0</v>
      </c>
      <c r="Z315" s="57">
        <v>0</v>
      </c>
      <c r="AA315" s="57">
        <v>0</v>
      </c>
      <c r="AB315" s="57">
        <v>0</v>
      </c>
      <c r="AC315" s="57">
        <v>0</v>
      </c>
      <c r="AD315" s="57">
        <v>0</v>
      </c>
      <c r="AE315" s="57">
        <v>0</v>
      </c>
      <c r="AF315" s="57">
        <v>0</v>
      </c>
      <c r="AG315" s="57">
        <v>3000</v>
      </c>
      <c r="AH315" s="57">
        <v>30000</v>
      </c>
      <c r="AI315" s="57">
        <v>0</v>
      </c>
      <c r="AJ315" s="57">
        <v>3600</v>
      </c>
      <c r="AK315" s="57">
        <v>0</v>
      </c>
      <c r="AL315" s="57">
        <v>0</v>
      </c>
      <c r="AM315" s="57">
        <v>0</v>
      </c>
      <c r="AN315" s="57">
        <v>0</v>
      </c>
      <c r="AO315" s="57">
        <v>0</v>
      </c>
      <c r="AP315" s="57">
        <v>0</v>
      </c>
      <c r="AQ315" s="57">
        <v>0</v>
      </c>
      <c r="AR315" s="57">
        <v>172800</v>
      </c>
      <c r="AS315" s="57">
        <f t="shared" si="0"/>
        <v>36600</v>
      </c>
      <c r="AT315" s="57">
        <f t="shared" si="1"/>
        <v>0</v>
      </c>
      <c r="AU315" s="57">
        <f t="shared" si="2"/>
        <v>209400</v>
      </c>
    </row>
    <row r="316" spans="1:47" ht="15.75" customHeight="1" x14ac:dyDescent="0.2">
      <c r="A316" s="50"/>
      <c r="B316" s="51"/>
      <c r="C316" s="52"/>
      <c r="D316" s="50"/>
      <c r="E316" s="53"/>
      <c r="F316" s="53"/>
      <c r="G316" s="50"/>
      <c r="H316" s="62"/>
      <c r="I316" s="63"/>
      <c r="J316" s="50"/>
      <c r="K316" s="50"/>
      <c r="L316" s="50"/>
      <c r="M316" s="50"/>
      <c r="N316" s="55"/>
      <c r="O316" s="56"/>
      <c r="P316" s="56"/>
      <c r="Q316" s="56"/>
      <c r="R316" s="50"/>
      <c r="S316" s="50"/>
      <c r="T316" s="57"/>
      <c r="U316" s="57">
        <v>0</v>
      </c>
      <c r="V316" s="57">
        <v>0</v>
      </c>
      <c r="W316" s="57">
        <v>0</v>
      </c>
      <c r="X316" s="57">
        <v>0</v>
      </c>
      <c r="Y316" s="57">
        <v>0</v>
      </c>
      <c r="Z316" s="57">
        <v>0</v>
      </c>
      <c r="AA316" s="57">
        <v>0</v>
      </c>
      <c r="AB316" s="57">
        <v>0</v>
      </c>
      <c r="AC316" s="57">
        <v>0</v>
      </c>
      <c r="AD316" s="57">
        <v>0</v>
      </c>
      <c r="AE316" s="57">
        <v>0</v>
      </c>
      <c r="AF316" s="57">
        <v>0</v>
      </c>
      <c r="AG316" s="57">
        <v>0</v>
      </c>
      <c r="AH316" s="57">
        <v>0</v>
      </c>
      <c r="AI316" s="57">
        <v>0</v>
      </c>
      <c r="AJ316" s="57">
        <v>0</v>
      </c>
      <c r="AK316" s="57">
        <v>0</v>
      </c>
      <c r="AL316" s="57">
        <v>0</v>
      </c>
      <c r="AM316" s="57">
        <v>0</v>
      </c>
      <c r="AN316" s="57">
        <v>0</v>
      </c>
      <c r="AO316" s="57">
        <v>0</v>
      </c>
      <c r="AP316" s="57">
        <v>0</v>
      </c>
      <c r="AQ316" s="57">
        <v>0</v>
      </c>
      <c r="AR316" s="57">
        <v>572763</v>
      </c>
      <c r="AS316" s="57">
        <f t="shared" si="0"/>
        <v>0</v>
      </c>
      <c r="AT316" s="57">
        <f t="shared" si="1"/>
        <v>0</v>
      </c>
      <c r="AU316" s="57">
        <f t="shared" si="2"/>
        <v>572763</v>
      </c>
    </row>
    <row r="317" spans="1:47" ht="15.75" customHeight="1" x14ac:dyDescent="0.2">
      <c r="A317" s="50"/>
      <c r="B317" s="51"/>
      <c r="C317" s="52"/>
      <c r="D317" s="50"/>
      <c r="E317" s="53"/>
      <c r="F317" s="53"/>
      <c r="G317" s="50"/>
      <c r="H317" s="62"/>
      <c r="I317" s="63"/>
      <c r="J317" s="50"/>
      <c r="K317" s="50"/>
      <c r="L317" s="50"/>
      <c r="M317" s="50"/>
      <c r="N317" s="55"/>
      <c r="O317" s="56"/>
      <c r="P317" s="56"/>
      <c r="Q317" s="56"/>
      <c r="R317" s="50"/>
      <c r="S317" s="50"/>
      <c r="T317" s="57"/>
      <c r="U317" s="57">
        <v>0</v>
      </c>
      <c r="V317" s="57">
        <v>0</v>
      </c>
      <c r="W317" s="57">
        <v>0</v>
      </c>
      <c r="X317" s="57">
        <v>0</v>
      </c>
      <c r="Y317" s="57">
        <v>0</v>
      </c>
      <c r="Z317" s="57">
        <v>0</v>
      </c>
      <c r="AA317" s="57">
        <v>0</v>
      </c>
      <c r="AB317" s="57">
        <v>0</v>
      </c>
      <c r="AC317" s="57">
        <v>0</v>
      </c>
      <c r="AD317" s="57">
        <v>0</v>
      </c>
      <c r="AE317" s="57">
        <v>0</v>
      </c>
      <c r="AF317" s="57">
        <v>0</v>
      </c>
      <c r="AG317" s="57">
        <v>0</v>
      </c>
      <c r="AH317" s="57">
        <v>0</v>
      </c>
      <c r="AI317" s="57">
        <v>0</v>
      </c>
      <c r="AJ317" s="57">
        <v>0</v>
      </c>
      <c r="AK317" s="57">
        <v>0</v>
      </c>
      <c r="AL317" s="57">
        <v>0</v>
      </c>
      <c r="AM317" s="57">
        <v>0</v>
      </c>
      <c r="AN317" s="57">
        <v>0</v>
      </c>
      <c r="AO317" s="57">
        <v>0</v>
      </c>
      <c r="AP317" s="57">
        <v>0</v>
      </c>
      <c r="AQ317" s="57">
        <v>0</v>
      </c>
      <c r="AR317" s="57">
        <v>642000</v>
      </c>
      <c r="AS317" s="57">
        <f t="shared" si="0"/>
        <v>0</v>
      </c>
      <c r="AT317" s="57">
        <f t="shared" si="1"/>
        <v>0</v>
      </c>
      <c r="AU317" s="57">
        <f t="shared" si="2"/>
        <v>642000</v>
      </c>
    </row>
    <row r="318" spans="1:47" ht="15.75" customHeight="1" x14ac:dyDescent="0.2">
      <c r="A318" s="50"/>
      <c r="B318" s="51"/>
      <c r="C318" s="52"/>
      <c r="D318" s="50"/>
      <c r="E318" s="53"/>
      <c r="F318" s="53"/>
      <c r="G318" s="50"/>
      <c r="H318" s="62"/>
      <c r="I318" s="64"/>
      <c r="J318" s="50"/>
      <c r="K318" s="50"/>
      <c r="L318" s="50"/>
      <c r="M318" s="50"/>
      <c r="N318" s="55"/>
      <c r="O318" s="56"/>
      <c r="P318" s="56"/>
      <c r="Q318" s="56"/>
      <c r="R318" s="50"/>
      <c r="S318" s="50"/>
      <c r="T318" s="57"/>
      <c r="U318" s="57">
        <v>0</v>
      </c>
      <c r="V318" s="57">
        <v>0</v>
      </c>
      <c r="W318" s="57">
        <v>0</v>
      </c>
      <c r="X318" s="57">
        <v>0</v>
      </c>
      <c r="Y318" s="57">
        <v>0</v>
      </c>
      <c r="Z318" s="57">
        <v>0</v>
      </c>
      <c r="AA318" s="57">
        <v>0</v>
      </c>
      <c r="AB318" s="57">
        <v>0</v>
      </c>
      <c r="AC318" s="57">
        <v>0</v>
      </c>
      <c r="AD318" s="57">
        <v>0</v>
      </c>
      <c r="AE318" s="57">
        <v>0</v>
      </c>
      <c r="AF318" s="57">
        <v>0</v>
      </c>
      <c r="AG318" s="57">
        <v>0</v>
      </c>
      <c r="AH318" s="57">
        <v>0</v>
      </c>
      <c r="AI318" s="57">
        <v>0</v>
      </c>
      <c r="AJ318" s="57">
        <v>0</v>
      </c>
      <c r="AK318" s="57">
        <v>0</v>
      </c>
      <c r="AL318" s="57">
        <v>0</v>
      </c>
      <c r="AM318" s="57">
        <v>0</v>
      </c>
      <c r="AN318" s="57">
        <v>0</v>
      </c>
      <c r="AO318" s="57">
        <v>0</v>
      </c>
      <c r="AP318" s="57">
        <v>0</v>
      </c>
      <c r="AQ318" s="57">
        <v>0</v>
      </c>
      <c r="AR318" s="57">
        <v>1605000</v>
      </c>
      <c r="AS318" s="57">
        <f t="shared" si="0"/>
        <v>0</v>
      </c>
      <c r="AT318" s="57">
        <f t="shared" si="1"/>
        <v>0</v>
      </c>
      <c r="AU318" s="57">
        <f t="shared" si="2"/>
        <v>1605000</v>
      </c>
    </row>
    <row r="319" spans="1:47" ht="15.75" customHeight="1" x14ac:dyDescent="0.2">
      <c r="A319" s="50"/>
      <c r="B319" s="51"/>
      <c r="C319" s="52"/>
      <c r="D319" s="50"/>
      <c r="E319" s="53"/>
      <c r="F319" s="53"/>
      <c r="G319" s="50"/>
      <c r="H319" s="62"/>
      <c r="I319" s="63"/>
      <c r="J319" s="50"/>
      <c r="K319" s="50"/>
      <c r="L319" s="50"/>
      <c r="M319" s="50"/>
      <c r="N319" s="55"/>
      <c r="O319" s="56"/>
      <c r="P319" s="56"/>
      <c r="Q319" s="56"/>
      <c r="R319" s="50"/>
      <c r="S319" s="50"/>
      <c r="T319" s="57"/>
      <c r="U319" s="57">
        <v>0</v>
      </c>
      <c r="V319" s="57">
        <v>0</v>
      </c>
      <c r="W319" s="57">
        <v>0</v>
      </c>
      <c r="X319" s="57">
        <v>0</v>
      </c>
      <c r="Y319" s="57">
        <v>0</v>
      </c>
      <c r="Z319" s="57">
        <v>0</v>
      </c>
      <c r="AA319" s="57">
        <v>0</v>
      </c>
      <c r="AB319" s="57">
        <v>0</v>
      </c>
      <c r="AC319" s="57">
        <v>0</v>
      </c>
      <c r="AD319" s="57">
        <v>0</v>
      </c>
      <c r="AE319" s="57">
        <v>0</v>
      </c>
      <c r="AF319" s="57">
        <v>0</v>
      </c>
      <c r="AG319" s="57">
        <v>0</v>
      </c>
      <c r="AH319" s="57">
        <v>0</v>
      </c>
      <c r="AI319" s="57">
        <v>0</v>
      </c>
      <c r="AJ319" s="57">
        <v>0</v>
      </c>
      <c r="AK319" s="57">
        <v>0</v>
      </c>
      <c r="AL319" s="57">
        <v>0</v>
      </c>
      <c r="AM319" s="57">
        <v>0</v>
      </c>
      <c r="AN319" s="57">
        <v>0</v>
      </c>
      <c r="AO319" s="57">
        <v>0</v>
      </c>
      <c r="AP319" s="57">
        <v>0</v>
      </c>
      <c r="AQ319" s="57">
        <v>0</v>
      </c>
      <c r="AR319" s="57">
        <v>0</v>
      </c>
      <c r="AS319" s="57">
        <f t="shared" si="0"/>
        <v>0</v>
      </c>
      <c r="AT319" s="57">
        <f t="shared" si="1"/>
        <v>0</v>
      </c>
      <c r="AU319" s="57">
        <f t="shared" si="2"/>
        <v>0</v>
      </c>
    </row>
    <row r="320" spans="1:47" ht="15.75" customHeight="1" x14ac:dyDescent="0.2">
      <c r="A320" s="50"/>
      <c r="B320" s="51"/>
      <c r="C320" s="52"/>
      <c r="D320" s="50"/>
      <c r="E320" s="53"/>
      <c r="F320" s="53"/>
      <c r="G320" s="50"/>
      <c r="H320" s="62"/>
      <c r="I320" s="63"/>
      <c r="J320" s="50"/>
      <c r="K320" s="50"/>
      <c r="L320" s="50"/>
      <c r="M320" s="50"/>
      <c r="N320" s="55"/>
      <c r="O320" s="56"/>
      <c r="P320" s="56"/>
      <c r="Q320" s="56"/>
      <c r="R320" s="50"/>
      <c r="S320" s="50"/>
      <c r="T320" s="57"/>
      <c r="U320" s="57">
        <v>0</v>
      </c>
      <c r="V320" s="57">
        <v>0</v>
      </c>
      <c r="W320" s="57">
        <v>0</v>
      </c>
      <c r="X320" s="57">
        <v>0</v>
      </c>
      <c r="Y320" s="57">
        <v>0</v>
      </c>
      <c r="Z320" s="57">
        <v>0</v>
      </c>
      <c r="AA320" s="57">
        <v>0</v>
      </c>
      <c r="AB320" s="57">
        <v>0</v>
      </c>
      <c r="AC320" s="57">
        <v>0</v>
      </c>
      <c r="AD320" s="57">
        <v>0</v>
      </c>
      <c r="AE320" s="57">
        <v>0</v>
      </c>
      <c r="AF320" s="57">
        <v>0</v>
      </c>
      <c r="AG320" s="57">
        <v>0</v>
      </c>
      <c r="AH320" s="57">
        <v>0</v>
      </c>
      <c r="AI320" s="57">
        <v>0</v>
      </c>
      <c r="AJ320" s="57">
        <v>0</v>
      </c>
      <c r="AK320" s="57">
        <v>0</v>
      </c>
      <c r="AL320" s="57">
        <v>0</v>
      </c>
      <c r="AM320" s="57">
        <v>0</v>
      </c>
      <c r="AN320" s="57">
        <v>0</v>
      </c>
      <c r="AO320" s="57">
        <v>0</v>
      </c>
      <c r="AP320" s="57">
        <v>0</v>
      </c>
      <c r="AQ320" s="57">
        <v>0</v>
      </c>
      <c r="AR320" s="57">
        <v>342000</v>
      </c>
      <c r="AS320" s="57">
        <f t="shared" si="0"/>
        <v>0</v>
      </c>
      <c r="AT320" s="57">
        <f t="shared" si="1"/>
        <v>0</v>
      </c>
      <c r="AU320" s="57">
        <f t="shared" si="2"/>
        <v>342000</v>
      </c>
    </row>
    <row r="321" spans="1:47" ht="15.75" customHeight="1" x14ac:dyDescent="0.2">
      <c r="A321" s="50"/>
      <c r="B321" s="51"/>
      <c r="C321" s="52"/>
      <c r="D321" s="50"/>
      <c r="E321" s="53"/>
      <c r="F321" s="53"/>
      <c r="G321" s="50"/>
      <c r="H321" s="62"/>
      <c r="I321" s="63"/>
      <c r="J321" s="50"/>
      <c r="K321" s="50"/>
      <c r="L321" s="50"/>
      <c r="M321" s="50"/>
      <c r="N321" s="55"/>
      <c r="O321" s="56"/>
      <c r="P321" s="56"/>
      <c r="Q321" s="56"/>
      <c r="R321" s="50"/>
      <c r="S321" s="50"/>
      <c r="T321" s="57"/>
      <c r="U321" s="57">
        <v>0</v>
      </c>
      <c r="V321" s="57">
        <v>0</v>
      </c>
      <c r="W321" s="57">
        <v>0</v>
      </c>
      <c r="X321" s="57">
        <v>0</v>
      </c>
      <c r="Y321" s="57">
        <v>0</v>
      </c>
      <c r="Z321" s="57">
        <v>0</v>
      </c>
      <c r="AA321" s="57">
        <v>0</v>
      </c>
      <c r="AB321" s="57">
        <v>0</v>
      </c>
      <c r="AC321" s="57">
        <v>0</v>
      </c>
      <c r="AD321" s="57">
        <v>0</v>
      </c>
      <c r="AE321" s="57">
        <v>0</v>
      </c>
      <c r="AF321" s="57">
        <v>0</v>
      </c>
      <c r="AG321" s="57">
        <v>0</v>
      </c>
      <c r="AH321" s="57">
        <v>0</v>
      </c>
      <c r="AI321" s="57">
        <v>0</v>
      </c>
      <c r="AJ321" s="57">
        <v>0</v>
      </c>
      <c r="AK321" s="57">
        <v>0</v>
      </c>
      <c r="AL321" s="57">
        <v>0</v>
      </c>
      <c r="AM321" s="57">
        <v>0</v>
      </c>
      <c r="AN321" s="57">
        <v>0</v>
      </c>
      <c r="AO321" s="57">
        <v>0</v>
      </c>
      <c r="AP321" s="57">
        <v>0</v>
      </c>
      <c r="AQ321" s="57">
        <v>0</v>
      </c>
      <c r="AR321" s="57">
        <v>2052000</v>
      </c>
      <c r="AS321" s="57">
        <f t="shared" si="0"/>
        <v>0</v>
      </c>
      <c r="AT321" s="57">
        <f t="shared" si="1"/>
        <v>0</v>
      </c>
      <c r="AU321" s="57">
        <f t="shared" si="2"/>
        <v>2052000</v>
      </c>
    </row>
    <row r="322" spans="1:47" ht="15.75" customHeight="1" x14ac:dyDescent="0.2">
      <c r="A322" s="50"/>
      <c r="B322" s="51"/>
      <c r="C322" s="52"/>
      <c r="D322" s="50"/>
      <c r="E322" s="53"/>
      <c r="F322" s="53"/>
      <c r="G322" s="50"/>
      <c r="H322" s="62"/>
      <c r="I322" s="63"/>
      <c r="J322" s="50"/>
      <c r="K322" s="50"/>
      <c r="L322" s="50"/>
      <c r="M322" s="50"/>
      <c r="N322" s="55"/>
      <c r="O322" s="56"/>
      <c r="P322" s="56"/>
      <c r="Q322" s="56"/>
      <c r="R322" s="50"/>
      <c r="S322" s="50"/>
      <c r="T322" s="57"/>
      <c r="U322" s="57">
        <v>0</v>
      </c>
      <c r="V322" s="57">
        <v>0</v>
      </c>
      <c r="W322" s="57">
        <v>0</v>
      </c>
      <c r="X322" s="57">
        <v>0</v>
      </c>
      <c r="Y322" s="57">
        <v>0</v>
      </c>
      <c r="Z322" s="57">
        <v>0</v>
      </c>
      <c r="AA322" s="57">
        <v>0</v>
      </c>
      <c r="AB322" s="57">
        <v>0</v>
      </c>
      <c r="AC322" s="57">
        <v>0</v>
      </c>
      <c r="AD322" s="57">
        <v>0</v>
      </c>
      <c r="AE322" s="57">
        <v>0</v>
      </c>
      <c r="AF322" s="57">
        <v>0</v>
      </c>
      <c r="AG322" s="57">
        <v>0</v>
      </c>
      <c r="AH322" s="57">
        <v>0</v>
      </c>
      <c r="AI322" s="57">
        <v>0</v>
      </c>
      <c r="AJ322" s="57">
        <v>0</v>
      </c>
      <c r="AK322" s="57">
        <v>0</v>
      </c>
      <c r="AL322" s="57">
        <v>0</v>
      </c>
      <c r="AM322" s="57">
        <v>0</v>
      </c>
      <c r="AN322" s="57">
        <v>0</v>
      </c>
      <c r="AO322" s="57">
        <v>0</v>
      </c>
      <c r="AP322" s="57">
        <v>0</v>
      </c>
      <c r="AQ322" s="57">
        <v>0</v>
      </c>
      <c r="AR322" s="57">
        <v>0</v>
      </c>
      <c r="AS322" s="57">
        <f t="shared" si="0"/>
        <v>0</v>
      </c>
      <c r="AT322" s="57">
        <f t="shared" si="1"/>
        <v>0</v>
      </c>
      <c r="AU322" s="57">
        <f t="shared" si="2"/>
        <v>0</v>
      </c>
    </row>
    <row r="323" spans="1:47" ht="15.75" customHeight="1" x14ac:dyDescent="0.2">
      <c r="A323" s="50"/>
      <c r="B323" s="51"/>
      <c r="C323" s="52"/>
      <c r="D323" s="50"/>
      <c r="E323" s="53"/>
      <c r="F323" s="53"/>
      <c r="G323" s="50"/>
      <c r="H323" s="62"/>
      <c r="I323" s="63"/>
      <c r="J323" s="50"/>
      <c r="K323" s="50"/>
      <c r="L323" s="50"/>
      <c r="M323" s="50"/>
      <c r="N323" s="55"/>
      <c r="O323" s="56"/>
      <c r="P323" s="56"/>
      <c r="Q323" s="56"/>
      <c r="R323" s="50"/>
      <c r="S323" s="50"/>
      <c r="T323" s="57"/>
      <c r="U323" s="57">
        <v>40</v>
      </c>
      <c r="V323" s="57">
        <v>30</v>
      </c>
      <c r="W323" s="57">
        <v>0</v>
      </c>
      <c r="X323" s="57">
        <v>0</v>
      </c>
      <c r="Y323" s="57">
        <v>0</v>
      </c>
      <c r="Z323" s="57">
        <v>0</v>
      </c>
      <c r="AA323" s="57">
        <v>0</v>
      </c>
      <c r="AB323" s="57">
        <v>0</v>
      </c>
      <c r="AC323" s="57">
        <v>0</v>
      </c>
      <c r="AD323" s="57">
        <v>0</v>
      </c>
      <c r="AE323" s="57">
        <v>0</v>
      </c>
      <c r="AF323" s="57">
        <v>0</v>
      </c>
      <c r="AG323" s="57">
        <v>54000</v>
      </c>
      <c r="AH323" s="57">
        <v>43500</v>
      </c>
      <c r="AI323" s="57">
        <v>0</v>
      </c>
      <c r="AJ323" s="57">
        <v>0</v>
      </c>
      <c r="AK323" s="57">
        <v>0</v>
      </c>
      <c r="AL323" s="57">
        <v>0</v>
      </c>
      <c r="AM323" s="57">
        <v>0</v>
      </c>
      <c r="AN323" s="57">
        <v>0</v>
      </c>
      <c r="AO323" s="57">
        <v>0</v>
      </c>
      <c r="AP323" s="57">
        <v>0</v>
      </c>
      <c r="AQ323" s="57">
        <v>0</v>
      </c>
      <c r="AR323" s="57">
        <v>1100835</v>
      </c>
      <c r="AS323" s="57">
        <f t="shared" si="0"/>
        <v>97500</v>
      </c>
      <c r="AT323" s="57">
        <f t="shared" si="1"/>
        <v>0</v>
      </c>
      <c r="AU323" s="57">
        <f t="shared" si="2"/>
        <v>1198335</v>
      </c>
    </row>
    <row r="324" spans="1:47" ht="15.75" customHeight="1" x14ac:dyDescent="0.2">
      <c r="A324" s="50"/>
      <c r="B324" s="51"/>
      <c r="C324" s="52"/>
      <c r="D324" s="50"/>
      <c r="E324" s="53"/>
      <c r="F324" s="53"/>
      <c r="G324" s="50"/>
      <c r="H324" s="62"/>
      <c r="I324" s="63"/>
      <c r="J324" s="50"/>
      <c r="K324" s="50"/>
      <c r="L324" s="50"/>
      <c r="M324" s="50"/>
      <c r="N324" s="55"/>
      <c r="O324" s="56"/>
      <c r="P324" s="56"/>
      <c r="Q324" s="56"/>
      <c r="R324" s="50"/>
      <c r="S324" s="50"/>
      <c r="T324" s="57"/>
      <c r="U324" s="57">
        <v>0</v>
      </c>
      <c r="V324" s="57">
        <v>0</v>
      </c>
      <c r="W324" s="57">
        <v>0</v>
      </c>
      <c r="X324" s="57">
        <v>0</v>
      </c>
      <c r="Y324" s="57">
        <v>0</v>
      </c>
      <c r="Z324" s="57">
        <v>0</v>
      </c>
      <c r="AA324" s="57">
        <v>0</v>
      </c>
      <c r="AB324" s="57">
        <v>0</v>
      </c>
      <c r="AC324" s="57">
        <v>0</v>
      </c>
      <c r="AD324" s="57">
        <v>0</v>
      </c>
      <c r="AE324" s="57">
        <v>0</v>
      </c>
      <c r="AF324" s="57">
        <v>0</v>
      </c>
      <c r="AG324" s="57">
        <v>0</v>
      </c>
      <c r="AH324" s="57">
        <v>0</v>
      </c>
      <c r="AI324" s="57">
        <v>0</v>
      </c>
      <c r="AJ324" s="57">
        <v>0</v>
      </c>
      <c r="AK324" s="57">
        <v>0</v>
      </c>
      <c r="AL324" s="57">
        <v>0</v>
      </c>
      <c r="AM324" s="57">
        <v>0</v>
      </c>
      <c r="AN324" s="57">
        <v>0</v>
      </c>
      <c r="AO324" s="57">
        <v>0</v>
      </c>
      <c r="AP324" s="57">
        <v>0</v>
      </c>
      <c r="AQ324" s="57">
        <v>0</v>
      </c>
      <c r="AR324" s="57">
        <v>23135</v>
      </c>
      <c r="AS324" s="57">
        <f t="shared" si="0"/>
        <v>0</v>
      </c>
      <c r="AT324" s="57">
        <f t="shared" si="1"/>
        <v>0</v>
      </c>
      <c r="AU324" s="57">
        <f t="shared" si="2"/>
        <v>23135</v>
      </c>
    </row>
    <row r="325" spans="1:47" ht="15.75" customHeight="1" x14ac:dyDescent="0.2">
      <c r="A325" s="50"/>
      <c r="B325" s="51"/>
      <c r="C325" s="52"/>
      <c r="D325" s="50"/>
      <c r="E325" s="53"/>
      <c r="F325" s="53"/>
      <c r="G325" s="50"/>
      <c r="H325" s="62"/>
      <c r="I325" s="63"/>
      <c r="J325" s="50"/>
      <c r="K325" s="50"/>
      <c r="L325" s="50"/>
      <c r="M325" s="50"/>
      <c r="N325" s="55"/>
      <c r="O325" s="56"/>
      <c r="P325" s="56"/>
      <c r="Q325" s="56"/>
      <c r="R325" s="50"/>
      <c r="S325" s="50"/>
      <c r="T325" s="57">
        <v>0</v>
      </c>
      <c r="U325" s="57">
        <v>0</v>
      </c>
      <c r="V325" s="57">
        <v>0</v>
      </c>
      <c r="W325" s="57">
        <v>0</v>
      </c>
      <c r="X325" s="57">
        <v>0</v>
      </c>
      <c r="Y325" s="57">
        <v>0</v>
      </c>
      <c r="Z325" s="57">
        <v>0</v>
      </c>
      <c r="AA325" s="57">
        <v>0</v>
      </c>
      <c r="AB325" s="57">
        <v>0</v>
      </c>
      <c r="AC325" s="57">
        <v>0</v>
      </c>
      <c r="AD325" s="57">
        <v>0</v>
      </c>
      <c r="AE325" s="57">
        <v>0</v>
      </c>
      <c r="AF325" s="57">
        <v>0</v>
      </c>
      <c r="AG325" s="57">
        <v>0</v>
      </c>
      <c r="AH325" s="57">
        <v>0</v>
      </c>
      <c r="AI325" s="57">
        <v>0</v>
      </c>
      <c r="AJ325" s="57">
        <v>0</v>
      </c>
      <c r="AK325" s="57">
        <v>0</v>
      </c>
      <c r="AL325" s="57">
        <v>0</v>
      </c>
      <c r="AM325" s="57">
        <v>0</v>
      </c>
      <c r="AN325" s="57">
        <v>0</v>
      </c>
      <c r="AO325" s="57">
        <v>0</v>
      </c>
      <c r="AP325" s="57">
        <v>0</v>
      </c>
      <c r="AQ325" s="57">
        <v>0</v>
      </c>
      <c r="AR325" s="57">
        <v>1200000</v>
      </c>
      <c r="AS325" s="57">
        <f t="shared" si="0"/>
        <v>0</v>
      </c>
      <c r="AT325" s="57">
        <f t="shared" si="1"/>
        <v>0</v>
      </c>
      <c r="AU325" s="57">
        <f t="shared" si="2"/>
        <v>1200000</v>
      </c>
    </row>
    <row r="326" spans="1:47" ht="15.75" customHeight="1" x14ac:dyDescent="0.2">
      <c r="A326" s="50"/>
      <c r="B326" s="51"/>
      <c r="C326" s="52"/>
      <c r="D326" s="50"/>
      <c r="E326" s="53"/>
      <c r="F326" s="53"/>
      <c r="G326" s="50"/>
      <c r="H326" s="62"/>
      <c r="I326" s="63"/>
      <c r="J326" s="50"/>
      <c r="K326" s="50"/>
      <c r="L326" s="50"/>
      <c r="M326" s="50"/>
      <c r="N326" s="55"/>
      <c r="O326" s="56"/>
      <c r="P326" s="56"/>
      <c r="Q326" s="56"/>
      <c r="R326" s="50"/>
      <c r="S326" s="50"/>
      <c r="T326" s="57">
        <v>0</v>
      </c>
      <c r="U326" s="57">
        <v>0</v>
      </c>
      <c r="V326" s="57">
        <v>0</v>
      </c>
      <c r="W326" s="57">
        <v>0</v>
      </c>
      <c r="X326" s="57">
        <v>0</v>
      </c>
      <c r="Y326" s="57">
        <v>0</v>
      </c>
      <c r="Z326" s="57">
        <v>0</v>
      </c>
      <c r="AA326" s="57">
        <v>0</v>
      </c>
      <c r="AB326" s="57">
        <v>0</v>
      </c>
      <c r="AC326" s="57">
        <v>0</v>
      </c>
      <c r="AD326" s="57">
        <v>0</v>
      </c>
      <c r="AE326" s="57">
        <v>0</v>
      </c>
      <c r="AF326" s="57">
        <v>0</v>
      </c>
      <c r="AG326" s="57">
        <v>0</v>
      </c>
      <c r="AH326" s="57">
        <v>0</v>
      </c>
      <c r="AI326" s="57">
        <v>0</v>
      </c>
      <c r="AJ326" s="57">
        <v>0</v>
      </c>
      <c r="AK326" s="57">
        <v>0</v>
      </c>
      <c r="AL326" s="57">
        <v>0</v>
      </c>
      <c r="AM326" s="57">
        <v>0</v>
      </c>
      <c r="AN326" s="57">
        <v>0</v>
      </c>
      <c r="AO326" s="57">
        <v>0</v>
      </c>
      <c r="AP326" s="57">
        <v>0</v>
      </c>
      <c r="AQ326" s="57">
        <v>0</v>
      </c>
      <c r="AR326" s="57">
        <v>1404000</v>
      </c>
      <c r="AS326" s="57">
        <f t="shared" si="0"/>
        <v>0</v>
      </c>
      <c r="AT326" s="57">
        <f t="shared" si="1"/>
        <v>0</v>
      </c>
      <c r="AU326" s="57">
        <f t="shared" si="2"/>
        <v>1404000</v>
      </c>
    </row>
    <row r="327" spans="1:47" ht="15.75" customHeight="1" x14ac:dyDescent="0.2">
      <c r="A327" s="50"/>
      <c r="B327" s="51"/>
      <c r="C327" s="52"/>
      <c r="D327" s="50"/>
      <c r="E327" s="53"/>
      <c r="F327" s="53"/>
      <c r="G327" s="50"/>
      <c r="H327" s="62"/>
      <c r="I327" s="63"/>
      <c r="J327" s="50"/>
      <c r="K327" s="50"/>
      <c r="L327" s="50"/>
      <c r="M327" s="50"/>
      <c r="N327" s="55"/>
      <c r="O327" s="56"/>
      <c r="P327" s="56"/>
      <c r="Q327" s="56"/>
      <c r="R327" s="50"/>
      <c r="S327" s="50"/>
      <c r="T327" s="57">
        <v>0</v>
      </c>
      <c r="U327" s="57">
        <v>0</v>
      </c>
      <c r="V327" s="57">
        <v>0</v>
      </c>
      <c r="W327" s="57">
        <v>0</v>
      </c>
      <c r="X327" s="57">
        <v>0</v>
      </c>
      <c r="Y327" s="57">
        <v>0</v>
      </c>
      <c r="Z327" s="57">
        <v>0</v>
      </c>
      <c r="AA327" s="57">
        <v>0</v>
      </c>
      <c r="AB327" s="57">
        <v>0</v>
      </c>
      <c r="AC327" s="57">
        <v>0</v>
      </c>
      <c r="AD327" s="57">
        <v>0</v>
      </c>
      <c r="AE327" s="57">
        <v>0</v>
      </c>
      <c r="AF327" s="57">
        <v>0</v>
      </c>
      <c r="AG327" s="57">
        <v>0</v>
      </c>
      <c r="AH327" s="57">
        <v>0</v>
      </c>
      <c r="AI327" s="57">
        <v>0</v>
      </c>
      <c r="AJ327" s="57">
        <v>0</v>
      </c>
      <c r="AK327" s="57">
        <v>0</v>
      </c>
      <c r="AL327" s="57">
        <v>0</v>
      </c>
      <c r="AM327" s="57">
        <v>0</v>
      </c>
      <c r="AN327" s="57">
        <v>0</v>
      </c>
      <c r="AO327" s="57">
        <v>0</v>
      </c>
      <c r="AP327" s="57">
        <v>0</v>
      </c>
      <c r="AQ327" s="57">
        <v>0</v>
      </c>
      <c r="AR327" s="57">
        <v>704000</v>
      </c>
      <c r="AS327" s="57">
        <f t="shared" si="0"/>
        <v>0</v>
      </c>
      <c r="AT327" s="57">
        <f t="shared" si="1"/>
        <v>0</v>
      </c>
      <c r="AU327" s="57">
        <f t="shared" si="2"/>
        <v>704000</v>
      </c>
    </row>
    <row r="328" spans="1:47" ht="15.75" customHeight="1" x14ac:dyDescent="0.2">
      <c r="A328" s="50"/>
      <c r="B328" s="51"/>
      <c r="C328" s="52"/>
      <c r="D328" s="50"/>
      <c r="E328" s="53"/>
      <c r="F328" s="53"/>
      <c r="G328" s="50"/>
      <c r="H328" s="62"/>
      <c r="I328" s="63"/>
      <c r="J328" s="50"/>
      <c r="K328" s="50"/>
      <c r="L328" s="50"/>
      <c r="M328" s="50"/>
      <c r="N328" s="55"/>
      <c r="O328" s="56"/>
      <c r="P328" s="56"/>
      <c r="Q328" s="56"/>
      <c r="R328" s="50"/>
      <c r="S328" s="50"/>
      <c r="T328" s="57">
        <v>0</v>
      </c>
      <c r="U328" s="57">
        <v>0</v>
      </c>
      <c r="V328" s="57">
        <v>0</v>
      </c>
      <c r="W328" s="57">
        <v>0</v>
      </c>
      <c r="X328" s="57">
        <v>0</v>
      </c>
      <c r="Y328" s="57">
        <v>0</v>
      </c>
      <c r="Z328" s="57">
        <v>0</v>
      </c>
      <c r="AA328" s="57">
        <v>0</v>
      </c>
      <c r="AB328" s="57">
        <v>0</v>
      </c>
      <c r="AC328" s="57">
        <v>0</v>
      </c>
      <c r="AD328" s="57">
        <v>0</v>
      </c>
      <c r="AE328" s="57">
        <v>0</v>
      </c>
      <c r="AF328" s="57">
        <v>0</v>
      </c>
      <c r="AG328" s="57">
        <v>0</v>
      </c>
      <c r="AH328" s="57">
        <v>0</v>
      </c>
      <c r="AI328" s="57">
        <v>0</v>
      </c>
      <c r="AJ328" s="57">
        <v>0</v>
      </c>
      <c r="AK328" s="57">
        <v>0</v>
      </c>
      <c r="AL328" s="57">
        <v>0</v>
      </c>
      <c r="AM328" s="57">
        <v>0</v>
      </c>
      <c r="AN328" s="57">
        <v>0</v>
      </c>
      <c r="AO328" s="57">
        <v>0</v>
      </c>
      <c r="AP328" s="57">
        <v>0</v>
      </c>
      <c r="AQ328" s="57">
        <v>0</v>
      </c>
      <c r="AR328" s="57">
        <v>1750000</v>
      </c>
      <c r="AS328" s="57">
        <f t="shared" si="0"/>
        <v>0</v>
      </c>
      <c r="AT328" s="57">
        <f t="shared" si="1"/>
        <v>0</v>
      </c>
      <c r="AU328" s="57">
        <f t="shared" si="2"/>
        <v>1750000</v>
      </c>
    </row>
    <row r="329" spans="1:47" ht="15.75" customHeight="1" x14ac:dyDescent="0.2">
      <c r="A329" s="50"/>
      <c r="B329" s="51"/>
      <c r="C329" s="52"/>
      <c r="D329" s="50"/>
      <c r="E329" s="53"/>
      <c r="F329" s="53"/>
      <c r="G329" s="50"/>
      <c r="H329" s="62"/>
      <c r="I329" s="63"/>
      <c r="J329" s="50"/>
      <c r="K329" s="50"/>
      <c r="L329" s="50"/>
      <c r="M329" s="50"/>
      <c r="N329" s="55"/>
      <c r="O329" s="56"/>
      <c r="P329" s="56"/>
      <c r="Q329" s="56"/>
      <c r="R329" s="50"/>
      <c r="S329" s="50"/>
      <c r="T329" s="57">
        <v>0</v>
      </c>
      <c r="U329" s="57">
        <v>0</v>
      </c>
      <c r="V329" s="57">
        <v>0</v>
      </c>
      <c r="W329" s="57">
        <v>0</v>
      </c>
      <c r="X329" s="57">
        <v>0</v>
      </c>
      <c r="Y329" s="57">
        <v>0</v>
      </c>
      <c r="Z329" s="57">
        <v>0</v>
      </c>
      <c r="AA329" s="57">
        <v>0</v>
      </c>
      <c r="AB329" s="57">
        <v>0</v>
      </c>
      <c r="AC329" s="57">
        <v>0</v>
      </c>
      <c r="AD329" s="57">
        <v>0</v>
      </c>
      <c r="AE329" s="57">
        <v>0</v>
      </c>
      <c r="AF329" s="57">
        <v>0</v>
      </c>
      <c r="AG329" s="57">
        <v>0</v>
      </c>
      <c r="AH329" s="57">
        <v>0</v>
      </c>
      <c r="AI329" s="57">
        <v>0</v>
      </c>
      <c r="AJ329" s="57">
        <v>0</v>
      </c>
      <c r="AK329" s="57">
        <v>0</v>
      </c>
      <c r="AL329" s="57">
        <v>0</v>
      </c>
      <c r="AM329" s="57">
        <v>0</v>
      </c>
      <c r="AN329" s="57">
        <v>0</v>
      </c>
      <c r="AO329" s="57">
        <v>0</v>
      </c>
      <c r="AP329" s="57">
        <v>0</v>
      </c>
      <c r="AQ329" s="57">
        <v>0</v>
      </c>
      <c r="AR329" s="57">
        <v>430800</v>
      </c>
      <c r="AS329" s="57">
        <f t="shared" si="0"/>
        <v>0</v>
      </c>
      <c r="AT329" s="57">
        <f t="shared" si="1"/>
        <v>0</v>
      </c>
      <c r="AU329" s="57">
        <f t="shared" si="2"/>
        <v>430800</v>
      </c>
    </row>
    <row r="330" spans="1:47" ht="15.75" customHeight="1" x14ac:dyDescent="0.2">
      <c r="A330" s="50"/>
      <c r="B330" s="51"/>
      <c r="C330" s="52"/>
      <c r="D330" s="50"/>
      <c r="E330" s="53"/>
      <c r="F330" s="53"/>
      <c r="G330" s="50"/>
      <c r="H330" s="62"/>
      <c r="I330" s="63"/>
      <c r="J330" s="50"/>
      <c r="K330" s="50"/>
      <c r="L330" s="50"/>
      <c r="M330" s="50"/>
      <c r="N330" s="55"/>
      <c r="O330" s="56"/>
      <c r="P330" s="56"/>
      <c r="Q330" s="56"/>
      <c r="R330" s="50"/>
      <c r="S330" s="50"/>
      <c r="T330" s="57">
        <v>0</v>
      </c>
      <c r="U330" s="57">
        <v>0</v>
      </c>
      <c r="V330" s="57">
        <v>0</v>
      </c>
      <c r="W330" s="57">
        <v>0</v>
      </c>
      <c r="X330" s="57">
        <v>0</v>
      </c>
      <c r="Y330" s="57">
        <v>0</v>
      </c>
      <c r="Z330" s="57">
        <v>0</v>
      </c>
      <c r="AA330" s="57">
        <v>0</v>
      </c>
      <c r="AB330" s="57">
        <v>0</v>
      </c>
      <c r="AC330" s="57">
        <v>0</v>
      </c>
      <c r="AD330" s="57">
        <v>0</v>
      </c>
      <c r="AE330" s="57">
        <v>0</v>
      </c>
      <c r="AF330" s="57">
        <v>0</v>
      </c>
      <c r="AG330" s="57">
        <v>0</v>
      </c>
      <c r="AH330" s="57">
        <v>0</v>
      </c>
      <c r="AI330" s="57">
        <v>0</v>
      </c>
      <c r="AJ330" s="57">
        <v>0</v>
      </c>
      <c r="AK330" s="57">
        <v>0</v>
      </c>
      <c r="AL330" s="57">
        <v>0</v>
      </c>
      <c r="AM330" s="57">
        <v>0</v>
      </c>
      <c r="AN330" s="57">
        <v>0</v>
      </c>
      <c r="AO330" s="57">
        <v>0</v>
      </c>
      <c r="AP330" s="57">
        <v>0</v>
      </c>
      <c r="AQ330" s="57">
        <v>0</v>
      </c>
      <c r="AR330" s="57">
        <v>684000</v>
      </c>
      <c r="AS330" s="57">
        <f t="shared" si="0"/>
        <v>0</v>
      </c>
      <c r="AT330" s="57">
        <f t="shared" si="1"/>
        <v>0</v>
      </c>
      <c r="AU330" s="57">
        <f t="shared" si="2"/>
        <v>684000</v>
      </c>
    </row>
    <row r="331" spans="1:47" ht="15.75" customHeight="1" x14ac:dyDescent="0.2">
      <c r="A331" s="50"/>
      <c r="B331" s="51"/>
      <c r="C331" s="52"/>
      <c r="D331" s="50"/>
      <c r="E331" s="53"/>
      <c r="F331" s="53"/>
      <c r="G331" s="50"/>
      <c r="H331" s="62"/>
      <c r="I331" s="63"/>
      <c r="J331" s="50"/>
      <c r="K331" s="50"/>
      <c r="L331" s="50"/>
      <c r="M331" s="50"/>
      <c r="N331" s="55"/>
      <c r="O331" s="56"/>
      <c r="P331" s="56"/>
      <c r="Q331" s="56"/>
      <c r="R331" s="50"/>
      <c r="S331" s="50"/>
      <c r="T331" s="57">
        <v>0</v>
      </c>
      <c r="U331" s="57">
        <v>100</v>
      </c>
      <c r="V331" s="57">
        <v>130</v>
      </c>
      <c r="W331" s="57">
        <v>0</v>
      </c>
      <c r="X331" s="57">
        <v>100</v>
      </c>
      <c r="Y331" s="57">
        <v>0</v>
      </c>
      <c r="Z331" s="57">
        <v>0</v>
      </c>
      <c r="AA331" s="57">
        <v>0</v>
      </c>
      <c r="AB331" s="57">
        <v>0</v>
      </c>
      <c r="AC331" s="57">
        <v>0</v>
      </c>
      <c r="AD331" s="57">
        <v>0</v>
      </c>
      <c r="AE331" s="57">
        <v>0</v>
      </c>
      <c r="AF331" s="57">
        <v>0</v>
      </c>
      <c r="AG331" s="57">
        <v>12000</v>
      </c>
      <c r="AH331" s="57">
        <v>15600</v>
      </c>
      <c r="AI331" s="57">
        <v>0</v>
      </c>
      <c r="AJ331" s="57">
        <v>12000</v>
      </c>
      <c r="AK331" s="57">
        <v>0</v>
      </c>
      <c r="AL331" s="57">
        <v>0</v>
      </c>
      <c r="AM331" s="57">
        <v>0</v>
      </c>
      <c r="AN331" s="57">
        <v>0</v>
      </c>
      <c r="AO331" s="57">
        <v>0</v>
      </c>
      <c r="AP331" s="57">
        <v>0</v>
      </c>
      <c r="AQ331" s="57">
        <v>0</v>
      </c>
      <c r="AR331" s="57">
        <v>226224</v>
      </c>
      <c r="AS331" s="57">
        <f t="shared" si="0"/>
        <v>39600</v>
      </c>
      <c r="AT331" s="57">
        <f t="shared" si="1"/>
        <v>0</v>
      </c>
      <c r="AU331" s="57">
        <f t="shared" si="2"/>
        <v>265824</v>
      </c>
    </row>
    <row r="332" spans="1:47" ht="15.75" customHeight="1" x14ac:dyDescent="0.2">
      <c r="A332" s="50"/>
      <c r="B332" s="51"/>
      <c r="C332" s="52"/>
      <c r="D332" s="50"/>
      <c r="E332" s="53"/>
      <c r="F332" s="53"/>
      <c r="G332" s="50"/>
      <c r="H332" s="62"/>
      <c r="I332" s="63"/>
      <c r="J332" s="50"/>
      <c r="K332" s="50"/>
      <c r="L332" s="50"/>
      <c r="M332" s="50"/>
      <c r="N332" s="55"/>
      <c r="O332" s="56"/>
      <c r="P332" s="56"/>
      <c r="Q332" s="56"/>
      <c r="R332" s="50"/>
      <c r="S332" s="50"/>
      <c r="T332" s="57">
        <v>0</v>
      </c>
      <c r="U332" s="57">
        <v>0</v>
      </c>
      <c r="V332" s="57">
        <v>0</v>
      </c>
      <c r="W332" s="57">
        <v>0</v>
      </c>
      <c r="X332" s="57">
        <v>0</v>
      </c>
      <c r="Y332" s="57">
        <v>0</v>
      </c>
      <c r="Z332" s="57">
        <v>0</v>
      </c>
      <c r="AA332" s="57">
        <v>0</v>
      </c>
      <c r="AB332" s="57">
        <v>0</v>
      </c>
      <c r="AC332" s="57">
        <v>0</v>
      </c>
      <c r="AD332" s="57">
        <v>0</v>
      </c>
      <c r="AE332" s="57">
        <v>0</v>
      </c>
      <c r="AF332" s="57">
        <v>0</v>
      </c>
      <c r="AG332" s="57">
        <v>0</v>
      </c>
      <c r="AH332" s="57">
        <v>0</v>
      </c>
      <c r="AI332" s="57">
        <v>0</v>
      </c>
      <c r="AJ332" s="57">
        <v>0</v>
      </c>
      <c r="AK332" s="57">
        <v>0</v>
      </c>
      <c r="AL332" s="57">
        <v>0</v>
      </c>
      <c r="AM332" s="57">
        <v>0</v>
      </c>
      <c r="AN332" s="57">
        <v>0</v>
      </c>
      <c r="AO332" s="57">
        <v>0</v>
      </c>
      <c r="AP332" s="57">
        <v>0</v>
      </c>
      <c r="AQ332" s="57">
        <v>0</v>
      </c>
      <c r="AR332" s="57">
        <v>0</v>
      </c>
      <c r="AS332" s="57">
        <f t="shared" si="0"/>
        <v>0</v>
      </c>
      <c r="AT332" s="57">
        <f t="shared" si="1"/>
        <v>0</v>
      </c>
      <c r="AU332" s="57">
        <f t="shared" si="2"/>
        <v>0</v>
      </c>
    </row>
    <row r="333" spans="1:47" ht="15.75" customHeight="1" x14ac:dyDescent="0.2">
      <c r="A333" s="50"/>
      <c r="B333" s="51"/>
      <c r="C333" s="52"/>
      <c r="D333" s="50"/>
      <c r="E333" s="53"/>
      <c r="F333" s="53"/>
      <c r="G333" s="50"/>
      <c r="H333" s="62"/>
      <c r="I333" s="63"/>
      <c r="J333" s="50"/>
      <c r="K333" s="50"/>
      <c r="L333" s="50"/>
      <c r="M333" s="50"/>
      <c r="N333" s="55"/>
      <c r="O333" s="56"/>
      <c r="P333" s="56"/>
      <c r="Q333" s="56"/>
      <c r="R333" s="50"/>
      <c r="S333" s="50"/>
      <c r="T333" s="57">
        <v>0</v>
      </c>
      <c r="U333" s="57">
        <v>0</v>
      </c>
      <c r="V333" s="57">
        <v>0</v>
      </c>
      <c r="W333" s="57">
        <v>0</v>
      </c>
      <c r="X333" s="57">
        <v>0</v>
      </c>
      <c r="Y333" s="57">
        <v>0</v>
      </c>
      <c r="Z333" s="57">
        <v>0</v>
      </c>
      <c r="AA333" s="57">
        <v>0</v>
      </c>
      <c r="AB333" s="57">
        <v>0</v>
      </c>
      <c r="AC333" s="57">
        <v>0</v>
      </c>
      <c r="AD333" s="57">
        <v>0</v>
      </c>
      <c r="AE333" s="57">
        <v>0</v>
      </c>
      <c r="AF333" s="57">
        <v>0</v>
      </c>
      <c r="AG333" s="57">
        <v>0</v>
      </c>
      <c r="AH333" s="57">
        <v>0</v>
      </c>
      <c r="AI333" s="57">
        <v>0</v>
      </c>
      <c r="AJ333" s="57">
        <v>0</v>
      </c>
      <c r="AK333" s="57">
        <v>0</v>
      </c>
      <c r="AL333" s="57">
        <v>0</v>
      </c>
      <c r="AM333" s="57">
        <v>0</v>
      </c>
      <c r="AN333" s="57">
        <v>0</v>
      </c>
      <c r="AO333" s="57">
        <v>0</v>
      </c>
      <c r="AP333" s="57">
        <v>0</v>
      </c>
      <c r="AQ333" s="57">
        <v>0</v>
      </c>
      <c r="AR333" s="57">
        <v>1083000</v>
      </c>
      <c r="AS333" s="57">
        <f t="shared" si="0"/>
        <v>0</v>
      </c>
      <c r="AT333" s="57">
        <f t="shared" si="1"/>
        <v>0</v>
      </c>
      <c r="AU333" s="57">
        <f t="shared" si="2"/>
        <v>1083000</v>
      </c>
    </row>
    <row r="334" spans="1:47" ht="15.75" customHeight="1" x14ac:dyDescent="0.2">
      <c r="A334" s="50"/>
      <c r="B334" s="51"/>
      <c r="C334" s="52"/>
      <c r="D334" s="50"/>
      <c r="E334" s="53"/>
      <c r="F334" s="53"/>
      <c r="G334" s="50"/>
      <c r="H334" s="62"/>
      <c r="I334" s="63"/>
      <c r="J334" s="50"/>
      <c r="K334" s="50"/>
      <c r="L334" s="50"/>
      <c r="M334" s="50"/>
      <c r="N334" s="55"/>
      <c r="O334" s="56"/>
      <c r="P334" s="56"/>
      <c r="Q334" s="56"/>
      <c r="R334" s="50"/>
      <c r="S334" s="50"/>
      <c r="T334" s="57">
        <v>0</v>
      </c>
      <c r="U334" s="57">
        <v>0</v>
      </c>
      <c r="V334" s="57">
        <v>0</v>
      </c>
      <c r="W334" s="57">
        <v>0</v>
      </c>
      <c r="X334" s="57">
        <v>0</v>
      </c>
      <c r="Y334" s="57">
        <v>0</v>
      </c>
      <c r="Z334" s="57">
        <v>0</v>
      </c>
      <c r="AA334" s="57">
        <v>0</v>
      </c>
      <c r="AB334" s="57">
        <v>0</v>
      </c>
      <c r="AC334" s="57">
        <v>0</v>
      </c>
      <c r="AD334" s="57">
        <v>0</v>
      </c>
      <c r="AE334" s="57">
        <v>0</v>
      </c>
      <c r="AF334" s="57">
        <v>0</v>
      </c>
      <c r="AG334" s="57">
        <v>0</v>
      </c>
      <c r="AH334" s="57">
        <v>0</v>
      </c>
      <c r="AI334" s="57">
        <v>0</v>
      </c>
      <c r="AJ334" s="57">
        <v>0</v>
      </c>
      <c r="AK334" s="57">
        <v>0</v>
      </c>
      <c r="AL334" s="57">
        <v>0</v>
      </c>
      <c r="AM334" s="57">
        <v>0</v>
      </c>
      <c r="AN334" s="57">
        <v>0</v>
      </c>
      <c r="AO334" s="57">
        <v>0</v>
      </c>
      <c r="AP334" s="57">
        <v>0</v>
      </c>
      <c r="AQ334" s="57">
        <v>0</v>
      </c>
      <c r="AR334" s="57">
        <v>1368000</v>
      </c>
      <c r="AS334" s="57">
        <f t="shared" si="0"/>
        <v>0</v>
      </c>
      <c r="AT334" s="57">
        <f t="shared" si="1"/>
        <v>0</v>
      </c>
      <c r="AU334" s="57">
        <f t="shared" si="2"/>
        <v>1368000</v>
      </c>
    </row>
    <row r="335" spans="1:47" ht="15.75" customHeight="1" x14ac:dyDescent="0.2">
      <c r="A335" s="50"/>
      <c r="B335" s="51"/>
      <c r="C335" s="52"/>
      <c r="D335" s="50"/>
      <c r="E335" s="53"/>
      <c r="F335" s="53"/>
      <c r="G335" s="50"/>
      <c r="H335" s="62"/>
      <c r="I335" s="63"/>
      <c r="J335" s="50"/>
      <c r="K335" s="50"/>
      <c r="L335" s="50"/>
      <c r="M335" s="50"/>
      <c r="N335" s="55"/>
      <c r="O335" s="56"/>
      <c r="P335" s="56"/>
      <c r="Q335" s="56"/>
      <c r="R335" s="50"/>
      <c r="S335" s="50"/>
      <c r="T335" s="57">
        <v>0</v>
      </c>
      <c r="U335" s="57">
        <v>10</v>
      </c>
      <c r="V335" s="57">
        <v>0</v>
      </c>
      <c r="W335" s="57">
        <v>0</v>
      </c>
      <c r="X335" s="57">
        <v>0</v>
      </c>
      <c r="Y335" s="57">
        <v>0</v>
      </c>
      <c r="Z335" s="57">
        <v>0</v>
      </c>
      <c r="AA335" s="57">
        <v>0</v>
      </c>
      <c r="AB335" s="57">
        <v>0</v>
      </c>
      <c r="AC335" s="57">
        <v>0</v>
      </c>
      <c r="AD335" s="57">
        <v>0</v>
      </c>
      <c r="AE335" s="57">
        <v>0</v>
      </c>
      <c r="AF335" s="57">
        <v>0</v>
      </c>
      <c r="AG335" s="57">
        <v>17730</v>
      </c>
      <c r="AH335" s="57">
        <v>0</v>
      </c>
      <c r="AI335" s="57">
        <v>0</v>
      </c>
      <c r="AJ335" s="57">
        <v>0</v>
      </c>
      <c r="AK335" s="57">
        <v>0</v>
      </c>
      <c r="AL335" s="57">
        <v>0</v>
      </c>
      <c r="AM335" s="57">
        <v>0</v>
      </c>
      <c r="AN335" s="57">
        <v>0</v>
      </c>
      <c r="AO335" s="57">
        <v>0</v>
      </c>
      <c r="AP335" s="57">
        <v>0</v>
      </c>
      <c r="AQ335" s="57">
        <v>0</v>
      </c>
      <c r="AR335" s="57">
        <v>290490</v>
      </c>
      <c r="AS335" s="57">
        <f t="shared" si="0"/>
        <v>17730</v>
      </c>
      <c r="AT335" s="57">
        <f t="shared" si="1"/>
        <v>0</v>
      </c>
      <c r="AU335" s="57">
        <f t="shared" si="2"/>
        <v>308220</v>
      </c>
    </row>
    <row r="336" spans="1:47" ht="15.75" customHeight="1" x14ac:dyDescent="0.2">
      <c r="A336" s="50"/>
      <c r="B336" s="51"/>
      <c r="C336" s="52"/>
      <c r="D336" s="50"/>
      <c r="E336" s="53"/>
      <c r="F336" s="53"/>
      <c r="G336" s="50"/>
      <c r="H336" s="62"/>
      <c r="I336" s="63"/>
      <c r="J336" s="50"/>
      <c r="K336" s="50"/>
      <c r="L336" s="50"/>
      <c r="M336" s="50"/>
      <c r="N336" s="55"/>
      <c r="O336" s="56"/>
      <c r="P336" s="56"/>
      <c r="Q336" s="56"/>
      <c r="R336" s="50"/>
      <c r="S336" s="50"/>
      <c r="T336" s="57">
        <v>12</v>
      </c>
      <c r="U336" s="57">
        <v>0</v>
      </c>
      <c r="V336" s="57">
        <v>0</v>
      </c>
      <c r="W336" s="57">
        <v>0</v>
      </c>
      <c r="X336" s="57">
        <v>0</v>
      </c>
      <c r="Y336" s="57">
        <v>0</v>
      </c>
      <c r="Z336" s="57">
        <v>0</v>
      </c>
      <c r="AA336" s="57">
        <v>0</v>
      </c>
      <c r="AB336" s="57">
        <v>0</v>
      </c>
      <c r="AC336" s="57">
        <v>0</v>
      </c>
      <c r="AD336" s="57">
        <v>0</v>
      </c>
      <c r="AE336" s="57">
        <v>0</v>
      </c>
      <c r="AF336" s="57">
        <v>48000</v>
      </c>
      <c r="AG336" s="57">
        <v>0</v>
      </c>
      <c r="AH336" s="57">
        <v>0</v>
      </c>
      <c r="AI336" s="57">
        <v>0</v>
      </c>
      <c r="AJ336" s="57">
        <v>0</v>
      </c>
      <c r="AK336" s="57">
        <v>0</v>
      </c>
      <c r="AL336" s="57">
        <v>0</v>
      </c>
      <c r="AM336" s="57">
        <v>0</v>
      </c>
      <c r="AN336" s="57">
        <v>0</v>
      </c>
      <c r="AO336" s="57">
        <v>0</v>
      </c>
      <c r="AP336" s="57">
        <v>0</v>
      </c>
      <c r="AQ336" s="57">
        <v>0</v>
      </c>
      <c r="AR336" s="57">
        <v>220000</v>
      </c>
      <c r="AS336" s="57">
        <f t="shared" si="0"/>
        <v>48000</v>
      </c>
      <c r="AT336" s="57">
        <f t="shared" si="1"/>
        <v>0</v>
      </c>
      <c r="AU336" s="57">
        <f t="shared" si="2"/>
        <v>268000</v>
      </c>
    </row>
    <row r="337" spans="1:47" ht="15.75" customHeight="1" x14ac:dyDescent="0.2">
      <c r="A337" s="50"/>
      <c r="B337" s="51"/>
      <c r="C337" s="52"/>
      <c r="D337" s="50"/>
      <c r="E337" s="53"/>
      <c r="F337" s="53"/>
      <c r="G337" s="50"/>
      <c r="H337" s="62"/>
      <c r="I337" s="63"/>
      <c r="J337" s="50"/>
      <c r="K337" s="50"/>
      <c r="L337" s="50"/>
      <c r="M337" s="50"/>
      <c r="N337" s="55"/>
      <c r="O337" s="56"/>
      <c r="P337" s="56"/>
      <c r="Q337" s="56"/>
      <c r="R337" s="50"/>
      <c r="S337" s="50"/>
      <c r="T337" s="57">
        <v>0</v>
      </c>
      <c r="U337" s="57">
        <v>0</v>
      </c>
      <c r="V337" s="57">
        <v>0</v>
      </c>
      <c r="W337" s="57">
        <v>0</v>
      </c>
      <c r="X337" s="57">
        <v>0</v>
      </c>
      <c r="Y337" s="57">
        <v>0</v>
      </c>
      <c r="Z337" s="57">
        <v>0</v>
      </c>
      <c r="AA337" s="57">
        <v>0</v>
      </c>
      <c r="AB337" s="57">
        <v>0</v>
      </c>
      <c r="AC337" s="57">
        <v>0</v>
      </c>
      <c r="AD337" s="57">
        <v>0</v>
      </c>
      <c r="AE337" s="57">
        <v>0</v>
      </c>
      <c r="AF337" s="57">
        <v>0</v>
      </c>
      <c r="AG337" s="57">
        <v>0</v>
      </c>
      <c r="AH337" s="57">
        <v>0</v>
      </c>
      <c r="AI337" s="57">
        <v>0</v>
      </c>
      <c r="AJ337" s="57">
        <v>0</v>
      </c>
      <c r="AK337" s="57">
        <v>0</v>
      </c>
      <c r="AL337" s="57">
        <v>0</v>
      </c>
      <c r="AM337" s="57">
        <v>0</v>
      </c>
      <c r="AN337" s="57">
        <v>0</v>
      </c>
      <c r="AO337" s="57">
        <v>0</v>
      </c>
      <c r="AP337" s="57">
        <v>0</v>
      </c>
      <c r="AQ337" s="57">
        <v>0</v>
      </c>
      <c r="AR337" s="57">
        <v>0</v>
      </c>
      <c r="AS337" s="57">
        <f t="shared" si="0"/>
        <v>0</v>
      </c>
      <c r="AT337" s="57">
        <f t="shared" si="1"/>
        <v>0</v>
      </c>
      <c r="AU337" s="57">
        <f t="shared" si="2"/>
        <v>0</v>
      </c>
    </row>
    <row r="338" spans="1:47" ht="15.75" customHeight="1" x14ac:dyDescent="0.2">
      <c r="A338" s="50"/>
      <c r="B338" s="51"/>
      <c r="C338" s="52"/>
      <c r="D338" s="50"/>
      <c r="E338" s="53"/>
      <c r="F338" s="53"/>
      <c r="G338" s="50"/>
      <c r="H338" s="62"/>
      <c r="I338" s="63"/>
      <c r="J338" s="50"/>
      <c r="K338" s="50"/>
      <c r="L338" s="50"/>
      <c r="M338" s="50"/>
      <c r="N338" s="55"/>
      <c r="O338" s="56"/>
      <c r="P338" s="56"/>
      <c r="Q338" s="56"/>
      <c r="R338" s="50"/>
      <c r="S338" s="50"/>
      <c r="T338" s="57">
        <v>0</v>
      </c>
      <c r="U338" s="57">
        <v>2</v>
      </c>
      <c r="V338" s="57">
        <v>0</v>
      </c>
      <c r="W338" s="57">
        <v>0</v>
      </c>
      <c r="X338" s="57">
        <v>0</v>
      </c>
      <c r="Y338" s="57">
        <v>0</v>
      </c>
      <c r="Z338" s="57">
        <v>0</v>
      </c>
      <c r="AA338" s="57">
        <v>0</v>
      </c>
      <c r="AB338" s="57">
        <v>0</v>
      </c>
      <c r="AC338" s="57">
        <v>0</v>
      </c>
      <c r="AD338" s="57">
        <v>0</v>
      </c>
      <c r="AE338" s="57">
        <v>0</v>
      </c>
      <c r="AF338" s="57">
        <v>0</v>
      </c>
      <c r="AG338" s="57">
        <v>560000</v>
      </c>
      <c r="AH338" s="57">
        <v>0</v>
      </c>
      <c r="AI338" s="57">
        <v>0</v>
      </c>
      <c r="AJ338" s="57">
        <v>0</v>
      </c>
      <c r="AK338" s="57">
        <v>0</v>
      </c>
      <c r="AL338" s="57">
        <v>0</v>
      </c>
      <c r="AM338" s="57">
        <v>0</v>
      </c>
      <c r="AN338" s="57">
        <v>0</v>
      </c>
      <c r="AO338" s="57">
        <v>0</v>
      </c>
      <c r="AP338" s="57">
        <v>0</v>
      </c>
      <c r="AQ338" s="57">
        <v>0</v>
      </c>
      <c r="AR338" s="57">
        <v>0</v>
      </c>
      <c r="AS338" s="57">
        <f t="shared" si="0"/>
        <v>560000</v>
      </c>
      <c r="AT338" s="57">
        <f t="shared" si="1"/>
        <v>0</v>
      </c>
      <c r="AU338" s="57">
        <f t="shared" si="2"/>
        <v>560000</v>
      </c>
    </row>
    <row r="339" spans="1:47" ht="15.75" customHeight="1" x14ac:dyDescent="0.2">
      <c r="A339" s="50"/>
      <c r="B339" s="51"/>
      <c r="C339" s="52"/>
      <c r="D339" s="50"/>
      <c r="E339" s="53"/>
      <c r="F339" s="53"/>
      <c r="G339" s="50"/>
      <c r="H339" s="62"/>
      <c r="I339" s="63"/>
      <c r="J339" s="50"/>
      <c r="K339" s="50"/>
      <c r="L339" s="50"/>
      <c r="M339" s="50"/>
      <c r="N339" s="55"/>
      <c r="O339" s="56"/>
      <c r="P339" s="56"/>
      <c r="Q339" s="56"/>
      <c r="R339" s="50"/>
      <c r="S339" s="50"/>
      <c r="T339" s="57">
        <v>0</v>
      </c>
      <c r="U339" s="57">
        <v>0</v>
      </c>
      <c r="V339" s="57">
        <v>0</v>
      </c>
      <c r="W339" s="57">
        <v>0</v>
      </c>
      <c r="X339" s="57">
        <v>0</v>
      </c>
      <c r="Y339" s="57">
        <v>0</v>
      </c>
      <c r="Z339" s="57">
        <v>0</v>
      </c>
      <c r="AA339" s="57">
        <v>0</v>
      </c>
      <c r="AB339" s="57">
        <v>0</v>
      </c>
      <c r="AC339" s="57">
        <v>0</v>
      </c>
      <c r="AD339" s="57">
        <v>0</v>
      </c>
      <c r="AE339" s="57">
        <v>0</v>
      </c>
      <c r="AF339" s="57">
        <v>0</v>
      </c>
      <c r="AG339" s="57">
        <v>0</v>
      </c>
      <c r="AH339" s="57">
        <v>0</v>
      </c>
      <c r="AI339" s="57">
        <v>0</v>
      </c>
      <c r="AJ339" s="57">
        <v>0</v>
      </c>
      <c r="AK339" s="57">
        <v>0</v>
      </c>
      <c r="AL339" s="57">
        <v>0</v>
      </c>
      <c r="AM339" s="57">
        <v>0</v>
      </c>
      <c r="AN339" s="57">
        <v>0</v>
      </c>
      <c r="AO339" s="57">
        <v>0</v>
      </c>
      <c r="AP339" s="57">
        <v>0</v>
      </c>
      <c r="AQ339" s="57">
        <v>0</v>
      </c>
      <c r="AR339" s="57">
        <v>220000</v>
      </c>
      <c r="AS339" s="57">
        <f t="shared" si="0"/>
        <v>0</v>
      </c>
      <c r="AT339" s="57">
        <f t="shared" si="1"/>
        <v>0</v>
      </c>
      <c r="AU339" s="57">
        <f t="shared" si="2"/>
        <v>220000</v>
      </c>
    </row>
    <row r="340" spans="1:47" ht="15.75" customHeight="1" x14ac:dyDescent="0.2">
      <c r="A340" s="50"/>
      <c r="B340" s="51"/>
      <c r="C340" s="52"/>
      <c r="D340" s="50"/>
      <c r="E340" s="53"/>
      <c r="F340" s="53"/>
      <c r="G340" s="50"/>
      <c r="H340" s="62"/>
      <c r="I340" s="63"/>
      <c r="J340" s="50"/>
      <c r="K340" s="50"/>
      <c r="L340" s="50"/>
      <c r="M340" s="50"/>
      <c r="N340" s="55"/>
      <c r="O340" s="56"/>
      <c r="P340" s="56"/>
      <c r="Q340" s="56"/>
      <c r="R340" s="50"/>
      <c r="S340" s="50"/>
      <c r="T340" s="57">
        <v>0</v>
      </c>
      <c r="U340" s="57">
        <v>0</v>
      </c>
      <c r="V340" s="57">
        <v>0</v>
      </c>
      <c r="W340" s="57">
        <v>0</v>
      </c>
      <c r="X340" s="57">
        <v>0</v>
      </c>
      <c r="Y340" s="57">
        <v>0</v>
      </c>
      <c r="Z340" s="57">
        <v>0</v>
      </c>
      <c r="AA340" s="57">
        <v>0</v>
      </c>
      <c r="AB340" s="57">
        <v>0</v>
      </c>
      <c r="AC340" s="57">
        <v>0</v>
      </c>
      <c r="AD340" s="57">
        <v>0</v>
      </c>
      <c r="AE340" s="57">
        <v>0</v>
      </c>
      <c r="AF340" s="57">
        <v>0</v>
      </c>
      <c r="AG340" s="57">
        <v>0</v>
      </c>
      <c r="AH340" s="57">
        <v>0</v>
      </c>
      <c r="AI340" s="57">
        <v>0</v>
      </c>
      <c r="AJ340" s="57">
        <v>0</v>
      </c>
      <c r="AK340" s="57">
        <v>0</v>
      </c>
      <c r="AL340" s="57">
        <v>0</v>
      </c>
      <c r="AM340" s="57">
        <v>0</v>
      </c>
      <c r="AN340" s="57">
        <v>0</v>
      </c>
      <c r="AO340" s="57">
        <v>0</v>
      </c>
      <c r="AP340" s="57">
        <v>0</v>
      </c>
      <c r="AQ340" s="57">
        <v>0</v>
      </c>
      <c r="AR340" s="57">
        <v>260000</v>
      </c>
      <c r="AS340" s="57">
        <f t="shared" si="0"/>
        <v>0</v>
      </c>
      <c r="AT340" s="57">
        <f t="shared" si="1"/>
        <v>0</v>
      </c>
      <c r="AU340" s="57">
        <f t="shared" si="2"/>
        <v>260000</v>
      </c>
    </row>
    <row r="341" spans="1:47" ht="15.75" customHeight="1" x14ac:dyDescent="0.2">
      <c r="A341" s="50"/>
      <c r="B341" s="51"/>
      <c r="C341" s="52"/>
      <c r="D341" s="50"/>
      <c r="E341" s="53"/>
      <c r="F341" s="53"/>
      <c r="G341" s="50"/>
      <c r="H341" s="62"/>
      <c r="I341" s="63"/>
      <c r="J341" s="50"/>
      <c r="K341" s="50"/>
      <c r="L341" s="50"/>
      <c r="M341" s="50"/>
      <c r="N341" s="55"/>
      <c r="O341" s="56"/>
      <c r="P341" s="56"/>
      <c r="Q341" s="56"/>
      <c r="R341" s="50"/>
      <c r="S341" s="50"/>
      <c r="T341" s="57">
        <v>0</v>
      </c>
      <c r="U341" s="57">
        <v>0</v>
      </c>
      <c r="V341" s="57">
        <v>20</v>
      </c>
      <c r="W341" s="57">
        <v>0</v>
      </c>
      <c r="X341" s="57">
        <v>0</v>
      </c>
      <c r="Y341" s="57">
        <v>0</v>
      </c>
      <c r="Z341" s="57">
        <v>0</v>
      </c>
      <c r="AA341" s="57">
        <v>0</v>
      </c>
      <c r="AB341" s="57">
        <v>0</v>
      </c>
      <c r="AC341" s="57">
        <v>0</v>
      </c>
      <c r="AD341" s="57">
        <v>0</v>
      </c>
      <c r="AE341" s="57">
        <v>0</v>
      </c>
      <c r="AF341" s="57">
        <v>0</v>
      </c>
      <c r="AG341" s="57">
        <v>0</v>
      </c>
      <c r="AH341" s="57">
        <v>12000</v>
      </c>
      <c r="AI341" s="57">
        <v>0</v>
      </c>
      <c r="AJ341" s="57">
        <v>0</v>
      </c>
      <c r="AK341" s="57">
        <v>0</v>
      </c>
      <c r="AL341" s="57">
        <v>0</v>
      </c>
      <c r="AM341" s="57">
        <v>0</v>
      </c>
      <c r="AN341" s="57">
        <v>0</v>
      </c>
      <c r="AO341" s="57">
        <v>0</v>
      </c>
      <c r="AP341" s="57">
        <v>0</v>
      </c>
      <c r="AQ341" s="57">
        <v>0</v>
      </c>
      <c r="AR341" s="57">
        <v>60000</v>
      </c>
      <c r="AS341" s="57">
        <f t="shared" si="0"/>
        <v>12000</v>
      </c>
      <c r="AT341" s="57">
        <f t="shared" si="1"/>
        <v>0</v>
      </c>
      <c r="AU341" s="57">
        <f t="shared" si="2"/>
        <v>72000</v>
      </c>
    </row>
    <row r="342" spans="1:47" ht="15.75" customHeight="1" x14ac:dyDescent="0.2">
      <c r="A342" s="50"/>
      <c r="B342" s="51"/>
      <c r="C342" s="52"/>
      <c r="D342" s="50"/>
      <c r="E342" s="53"/>
      <c r="F342" s="53"/>
      <c r="G342" s="50"/>
      <c r="H342" s="62"/>
      <c r="I342" s="63"/>
      <c r="J342" s="50"/>
      <c r="K342" s="50"/>
      <c r="L342" s="50"/>
      <c r="M342" s="50"/>
      <c r="N342" s="55"/>
      <c r="O342" s="56"/>
      <c r="P342" s="56"/>
      <c r="Q342" s="56"/>
      <c r="R342" s="50"/>
      <c r="S342" s="50"/>
      <c r="T342" s="57">
        <v>0</v>
      </c>
      <c r="U342" s="57">
        <v>0</v>
      </c>
      <c r="V342" s="57">
        <v>0</v>
      </c>
      <c r="W342" s="57">
        <v>0</v>
      </c>
      <c r="X342" s="57">
        <v>0</v>
      </c>
      <c r="Y342" s="57">
        <v>0</v>
      </c>
      <c r="Z342" s="57">
        <v>0</v>
      </c>
      <c r="AA342" s="57">
        <v>0</v>
      </c>
      <c r="AB342" s="57">
        <v>0</v>
      </c>
      <c r="AC342" s="57">
        <v>0</v>
      </c>
      <c r="AD342" s="57">
        <v>0</v>
      </c>
      <c r="AE342" s="57">
        <v>0</v>
      </c>
      <c r="AF342" s="57">
        <v>0</v>
      </c>
      <c r="AG342" s="57">
        <v>0</v>
      </c>
      <c r="AH342" s="57">
        <v>0</v>
      </c>
      <c r="AI342" s="57">
        <v>0</v>
      </c>
      <c r="AJ342" s="57">
        <v>0</v>
      </c>
      <c r="AK342" s="57">
        <v>0</v>
      </c>
      <c r="AL342" s="57">
        <v>0</v>
      </c>
      <c r="AM342" s="57">
        <v>0</v>
      </c>
      <c r="AN342" s="57">
        <v>0</v>
      </c>
      <c r="AO342" s="57">
        <v>0</v>
      </c>
      <c r="AP342" s="57">
        <v>0</v>
      </c>
      <c r="AQ342" s="57">
        <v>0</v>
      </c>
      <c r="AR342" s="57">
        <v>0</v>
      </c>
      <c r="AS342" s="57">
        <f t="shared" si="0"/>
        <v>0</v>
      </c>
      <c r="AT342" s="57">
        <f t="shared" si="1"/>
        <v>0</v>
      </c>
      <c r="AU342" s="57">
        <f t="shared" si="2"/>
        <v>0</v>
      </c>
    </row>
    <row r="343" spans="1:47" ht="15.75" customHeight="1" x14ac:dyDescent="0.2">
      <c r="A343" s="50"/>
      <c r="B343" s="51"/>
      <c r="C343" s="52"/>
      <c r="D343" s="50"/>
      <c r="E343" s="53"/>
      <c r="F343" s="53"/>
      <c r="G343" s="50"/>
      <c r="H343" s="62"/>
      <c r="I343" s="63"/>
      <c r="J343" s="50"/>
      <c r="K343" s="50"/>
      <c r="L343" s="50"/>
      <c r="M343" s="50"/>
      <c r="N343" s="55"/>
      <c r="O343" s="56"/>
      <c r="P343" s="56"/>
      <c r="Q343" s="56"/>
      <c r="R343" s="50"/>
      <c r="S343" s="50"/>
      <c r="T343" s="57">
        <v>0</v>
      </c>
      <c r="U343" s="57">
        <v>0</v>
      </c>
      <c r="V343" s="57">
        <v>0</v>
      </c>
      <c r="W343" s="57">
        <v>0</v>
      </c>
      <c r="X343" s="57">
        <v>0</v>
      </c>
      <c r="Y343" s="57">
        <v>0</v>
      </c>
      <c r="Z343" s="57">
        <v>0</v>
      </c>
      <c r="AA343" s="57">
        <v>0</v>
      </c>
      <c r="AB343" s="57">
        <v>0</v>
      </c>
      <c r="AC343" s="57">
        <v>0</v>
      </c>
      <c r="AD343" s="57">
        <v>0</v>
      </c>
      <c r="AE343" s="57">
        <v>0</v>
      </c>
      <c r="AF343" s="57">
        <v>0</v>
      </c>
      <c r="AG343" s="57">
        <v>0</v>
      </c>
      <c r="AH343" s="57">
        <v>0</v>
      </c>
      <c r="AI343" s="57">
        <v>0</v>
      </c>
      <c r="AJ343" s="57">
        <v>0</v>
      </c>
      <c r="AK343" s="57">
        <v>0</v>
      </c>
      <c r="AL343" s="57">
        <v>0</v>
      </c>
      <c r="AM343" s="57">
        <v>0</v>
      </c>
      <c r="AN343" s="57">
        <v>0</v>
      </c>
      <c r="AO343" s="57">
        <v>0</v>
      </c>
      <c r="AP343" s="57">
        <v>0</v>
      </c>
      <c r="AQ343" s="57">
        <v>0</v>
      </c>
      <c r="AR343" s="57">
        <v>0</v>
      </c>
      <c r="AS343" s="57">
        <f t="shared" si="0"/>
        <v>0</v>
      </c>
      <c r="AT343" s="57">
        <f t="shared" si="1"/>
        <v>0</v>
      </c>
      <c r="AU343" s="57">
        <f t="shared" si="2"/>
        <v>0</v>
      </c>
    </row>
    <row r="344" spans="1:47" ht="15.75" customHeight="1" x14ac:dyDescent="0.2">
      <c r="A344" s="50"/>
      <c r="B344" s="51"/>
      <c r="C344" s="52"/>
      <c r="D344" s="50"/>
      <c r="E344" s="53"/>
      <c r="F344" s="53"/>
      <c r="G344" s="50"/>
      <c r="H344" s="62"/>
      <c r="I344" s="63"/>
      <c r="J344" s="50"/>
      <c r="K344" s="50"/>
      <c r="L344" s="50"/>
      <c r="M344" s="50"/>
      <c r="N344" s="55"/>
      <c r="O344" s="56"/>
      <c r="P344" s="56"/>
      <c r="Q344" s="56"/>
      <c r="R344" s="50"/>
      <c r="S344" s="50"/>
      <c r="T344" s="57">
        <v>0</v>
      </c>
      <c r="U344" s="57">
        <v>0</v>
      </c>
      <c r="V344" s="57">
        <v>0</v>
      </c>
      <c r="W344" s="57">
        <v>0</v>
      </c>
      <c r="X344" s="57">
        <v>0</v>
      </c>
      <c r="Y344" s="57">
        <v>0</v>
      </c>
      <c r="Z344" s="57">
        <v>0</v>
      </c>
      <c r="AA344" s="57">
        <v>0</v>
      </c>
      <c r="AB344" s="57">
        <v>0</v>
      </c>
      <c r="AC344" s="57">
        <v>0</v>
      </c>
      <c r="AD344" s="57">
        <v>0</v>
      </c>
      <c r="AE344" s="57">
        <v>0</v>
      </c>
      <c r="AF344" s="57">
        <v>0</v>
      </c>
      <c r="AG344" s="57">
        <v>0</v>
      </c>
      <c r="AH344" s="57">
        <v>0</v>
      </c>
      <c r="AI344" s="57">
        <v>0</v>
      </c>
      <c r="AJ344" s="57">
        <v>0</v>
      </c>
      <c r="AK344" s="57">
        <v>0</v>
      </c>
      <c r="AL344" s="57">
        <v>0</v>
      </c>
      <c r="AM344" s="57">
        <v>0</v>
      </c>
      <c r="AN344" s="57">
        <v>0</v>
      </c>
      <c r="AO344" s="57">
        <v>0</v>
      </c>
      <c r="AP344" s="57">
        <v>0</v>
      </c>
      <c r="AQ344" s="57">
        <v>0</v>
      </c>
      <c r="AR344" s="57">
        <v>0</v>
      </c>
      <c r="AS344" s="57">
        <f t="shared" si="0"/>
        <v>0</v>
      </c>
      <c r="AT344" s="57">
        <f t="shared" si="1"/>
        <v>0</v>
      </c>
      <c r="AU344" s="57">
        <f t="shared" si="2"/>
        <v>0</v>
      </c>
    </row>
    <row r="345" spans="1:47" ht="15.75" customHeight="1" x14ac:dyDescent="0.2">
      <c r="A345" s="50"/>
      <c r="B345" s="51"/>
      <c r="C345" s="52"/>
      <c r="D345" s="50"/>
      <c r="E345" s="53"/>
      <c r="F345" s="53"/>
      <c r="G345" s="50"/>
      <c r="H345" s="62"/>
      <c r="I345" s="63"/>
      <c r="J345" s="50"/>
      <c r="K345" s="50"/>
      <c r="L345" s="50"/>
      <c r="M345" s="50"/>
      <c r="N345" s="55"/>
      <c r="O345" s="56"/>
      <c r="P345" s="56"/>
      <c r="Q345" s="56"/>
      <c r="R345" s="50"/>
      <c r="S345" s="50"/>
      <c r="T345" s="57">
        <v>7</v>
      </c>
      <c r="U345" s="57">
        <v>10</v>
      </c>
      <c r="V345" s="57">
        <v>0</v>
      </c>
      <c r="W345" s="57">
        <v>0</v>
      </c>
      <c r="X345" s="57">
        <v>8</v>
      </c>
      <c r="Y345" s="57">
        <v>0</v>
      </c>
      <c r="Z345" s="57">
        <v>0</v>
      </c>
      <c r="AA345" s="57">
        <v>0</v>
      </c>
      <c r="AB345" s="57">
        <v>0</v>
      </c>
      <c r="AC345" s="57">
        <v>0</v>
      </c>
      <c r="AD345" s="57">
        <v>0</v>
      </c>
      <c r="AE345" s="57">
        <v>0</v>
      </c>
      <c r="AF345" s="57">
        <v>22372</v>
      </c>
      <c r="AG345" s="57">
        <v>31960</v>
      </c>
      <c r="AH345" s="57">
        <v>0</v>
      </c>
      <c r="AI345" s="57">
        <v>0</v>
      </c>
      <c r="AJ345" s="57">
        <v>25568</v>
      </c>
      <c r="AK345" s="57">
        <v>0</v>
      </c>
      <c r="AL345" s="57">
        <v>0</v>
      </c>
      <c r="AM345" s="57">
        <v>0</v>
      </c>
      <c r="AN345" s="57">
        <v>0</v>
      </c>
      <c r="AO345" s="57">
        <v>0</v>
      </c>
      <c r="AP345" s="57">
        <v>0</v>
      </c>
      <c r="AQ345" s="57">
        <v>0</v>
      </c>
      <c r="AR345" s="57">
        <v>223568</v>
      </c>
      <c r="AS345" s="57">
        <f t="shared" si="0"/>
        <v>79900</v>
      </c>
      <c r="AT345" s="57">
        <f t="shared" si="1"/>
        <v>0</v>
      </c>
      <c r="AU345" s="57">
        <f t="shared" si="2"/>
        <v>303468</v>
      </c>
    </row>
    <row r="346" spans="1:47" ht="15.75" customHeight="1" x14ac:dyDescent="0.2">
      <c r="A346" s="50"/>
      <c r="B346" s="51"/>
      <c r="C346" s="52"/>
      <c r="D346" s="50"/>
      <c r="E346" s="53"/>
      <c r="F346" s="53"/>
      <c r="G346" s="50"/>
      <c r="H346" s="62"/>
      <c r="I346" s="63"/>
      <c r="J346" s="50"/>
      <c r="K346" s="50"/>
      <c r="L346" s="50"/>
      <c r="M346" s="50"/>
      <c r="N346" s="55"/>
      <c r="O346" s="56"/>
      <c r="P346" s="56"/>
      <c r="Q346" s="56"/>
      <c r="R346" s="50"/>
      <c r="S346" s="50"/>
      <c r="T346" s="57">
        <v>0</v>
      </c>
      <c r="U346" s="57">
        <v>0</v>
      </c>
      <c r="V346" s="57">
        <v>0</v>
      </c>
      <c r="W346" s="57">
        <v>0</v>
      </c>
      <c r="X346" s="57">
        <v>0</v>
      </c>
      <c r="Y346" s="57">
        <v>0</v>
      </c>
      <c r="Z346" s="57">
        <v>0</v>
      </c>
      <c r="AA346" s="57">
        <v>0</v>
      </c>
      <c r="AB346" s="57">
        <v>0</v>
      </c>
      <c r="AC346" s="57">
        <v>0</v>
      </c>
      <c r="AD346" s="57">
        <v>0</v>
      </c>
      <c r="AE346" s="57">
        <v>0</v>
      </c>
      <c r="AF346" s="57">
        <v>0</v>
      </c>
      <c r="AG346" s="57">
        <v>0</v>
      </c>
      <c r="AH346" s="57">
        <v>0</v>
      </c>
      <c r="AI346" s="57">
        <v>0</v>
      </c>
      <c r="AJ346" s="57">
        <v>0</v>
      </c>
      <c r="AK346" s="57">
        <v>0</v>
      </c>
      <c r="AL346" s="57">
        <v>0</v>
      </c>
      <c r="AM346" s="57">
        <v>0</v>
      </c>
      <c r="AN346" s="57">
        <v>0</v>
      </c>
      <c r="AO346" s="57">
        <v>0</v>
      </c>
      <c r="AP346" s="57">
        <v>0</v>
      </c>
      <c r="AQ346" s="57">
        <v>0</v>
      </c>
      <c r="AR346" s="57">
        <v>0</v>
      </c>
      <c r="AS346" s="57">
        <f t="shared" si="0"/>
        <v>0</v>
      </c>
      <c r="AT346" s="57">
        <f t="shared" si="1"/>
        <v>0</v>
      </c>
      <c r="AU346" s="57">
        <f t="shared" si="2"/>
        <v>0</v>
      </c>
    </row>
    <row r="347" spans="1:47" ht="15.75" customHeight="1" x14ac:dyDescent="0.2">
      <c r="A347" s="50"/>
      <c r="B347" s="51"/>
      <c r="C347" s="52"/>
      <c r="D347" s="50"/>
      <c r="E347" s="53"/>
      <c r="F347" s="53"/>
      <c r="G347" s="50"/>
      <c r="H347" s="62"/>
      <c r="I347" s="63"/>
      <c r="J347" s="50"/>
      <c r="K347" s="50"/>
      <c r="L347" s="50"/>
      <c r="M347" s="50"/>
      <c r="N347" s="55"/>
      <c r="O347" s="56"/>
      <c r="P347" s="56"/>
      <c r="Q347" s="56"/>
      <c r="R347" s="50"/>
      <c r="S347" s="50"/>
      <c r="T347" s="57">
        <v>0</v>
      </c>
      <c r="U347" s="57">
        <v>0</v>
      </c>
      <c r="V347" s="57">
        <v>0</v>
      </c>
      <c r="W347" s="57">
        <v>0</v>
      </c>
      <c r="X347" s="57">
        <v>0</v>
      </c>
      <c r="Y347" s="57">
        <v>0</v>
      </c>
      <c r="Z347" s="57">
        <v>0</v>
      </c>
      <c r="AA347" s="57">
        <v>0</v>
      </c>
      <c r="AB347" s="57">
        <v>0</v>
      </c>
      <c r="AC347" s="57">
        <v>0</v>
      </c>
      <c r="AD347" s="57">
        <v>0</v>
      </c>
      <c r="AE347" s="57">
        <v>0</v>
      </c>
      <c r="AF347" s="57">
        <v>0</v>
      </c>
      <c r="AG347" s="57">
        <v>0</v>
      </c>
      <c r="AH347" s="57">
        <v>0</v>
      </c>
      <c r="AI347" s="57">
        <v>0</v>
      </c>
      <c r="AJ347" s="57">
        <v>0</v>
      </c>
      <c r="AK347" s="57">
        <v>0</v>
      </c>
      <c r="AL347" s="57">
        <v>0</v>
      </c>
      <c r="AM347" s="57">
        <v>0</v>
      </c>
      <c r="AN347" s="57">
        <v>0</v>
      </c>
      <c r="AO347" s="57">
        <v>0</v>
      </c>
      <c r="AP347" s="57">
        <v>0</v>
      </c>
      <c r="AQ347" s="57">
        <v>0</v>
      </c>
      <c r="AR347" s="57">
        <v>0</v>
      </c>
      <c r="AS347" s="57">
        <f t="shared" si="0"/>
        <v>0</v>
      </c>
      <c r="AT347" s="57">
        <f t="shared" si="1"/>
        <v>0</v>
      </c>
      <c r="AU347" s="57">
        <f t="shared" si="2"/>
        <v>0</v>
      </c>
    </row>
    <row r="348" spans="1:47" ht="15.75" customHeight="1" x14ac:dyDescent="0.2">
      <c r="A348" s="50"/>
      <c r="B348" s="51"/>
      <c r="C348" s="52"/>
      <c r="D348" s="50"/>
      <c r="E348" s="53"/>
      <c r="F348" s="53"/>
      <c r="G348" s="50"/>
      <c r="H348" s="62"/>
      <c r="I348" s="63"/>
      <c r="J348" s="50"/>
      <c r="K348" s="50"/>
      <c r="L348" s="50"/>
      <c r="M348" s="50"/>
      <c r="N348" s="55"/>
      <c r="O348" s="56"/>
      <c r="P348" s="56"/>
      <c r="Q348" s="56"/>
      <c r="R348" s="50"/>
      <c r="S348" s="50"/>
      <c r="T348" s="57">
        <v>20</v>
      </c>
      <c r="U348" s="57">
        <v>10</v>
      </c>
      <c r="V348" s="57">
        <v>10</v>
      </c>
      <c r="W348" s="57">
        <v>0</v>
      </c>
      <c r="X348" s="57">
        <v>0</v>
      </c>
      <c r="Y348" s="57">
        <v>0</v>
      </c>
      <c r="Z348" s="57">
        <v>0</v>
      </c>
      <c r="AA348" s="57">
        <v>0</v>
      </c>
      <c r="AB348" s="57">
        <v>0</v>
      </c>
      <c r="AC348" s="57">
        <v>0</v>
      </c>
      <c r="AD348" s="57">
        <v>0</v>
      </c>
      <c r="AE348" s="57">
        <v>0</v>
      </c>
      <c r="AF348" s="57">
        <v>60000</v>
      </c>
      <c r="AG348" s="57">
        <v>30000</v>
      </c>
      <c r="AH348" s="57">
        <v>30000</v>
      </c>
      <c r="AI348" s="57">
        <v>0</v>
      </c>
      <c r="AJ348" s="57">
        <v>0</v>
      </c>
      <c r="AK348" s="57">
        <v>0</v>
      </c>
      <c r="AL348" s="57">
        <v>0</v>
      </c>
      <c r="AM348" s="57">
        <v>0</v>
      </c>
      <c r="AN348" s="57">
        <v>0</v>
      </c>
      <c r="AO348" s="57">
        <v>0</v>
      </c>
      <c r="AP348" s="57">
        <v>0</v>
      </c>
      <c r="AQ348" s="57">
        <v>0</v>
      </c>
      <c r="AR348" s="57">
        <v>45000</v>
      </c>
      <c r="AS348" s="57">
        <f t="shared" si="0"/>
        <v>120000</v>
      </c>
      <c r="AT348" s="57">
        <f t="shared" si="1"/>
        <v>0</v>
      </c>
      <c r="AU348" s="57">
        <f t="shared" si="2"/>
        <v>165000</v>
      </c>
    </row>
    <row r="349" spans="1:47" ht="15.75" customHeight="1" x14ac:dyDescent="0.2">
      <c r="A349" s="50"/>
      <c r="B349" s="51"/>
      <c r="C349" s="52"/>
      <c r="D349" s="50"/>
      <c r="E349" s="53"/>
      <c r="F349" s="53"/>
      <c r="G349" s="50"/>
      <c r="H349" s="62"/>
      <c r="I349" s="63"/>
      <c r="J349" s="50"/>
      <c r="K349" s="50"/>
      <c r="L349" s="50"/>
      <c r="M349" s="50"/>
      <c r="N349" s="55"/>
      <c r="O349" s="56"/>
      <c r="P349" s="56"/>
      <c r="Q349" s="56"/>
      <c r="R349" s="50"/>
      <c r="S349" s="50"/>
      <c r="T349" s="57">
        <v>6862</v>
      </c>
      <c r="U349" s="57">
        <v>4002</v>
      </c>
      <c r="V349" s="57">
        <v>6783</v>
      </c>
      <c r="W349" s="57">
        <v>1729</v>
      </c>
      <c r="X349" s="57">
        <v>7287</v>
      </c>
      <c r="Y349" s="57">
        <v>9035</v>
      </c>
      <c r="Z349" s="57">
        <v>0</v>
      </c>
      <c r="AA349" s="57">
        <v>0</v>
      </c>
      <c r="AB349" s="57">
        <v>0</v>
      </c>
      <c r="AC349" s="57">
        <v>0</v>
      </c>
      <c r="AD349" s="57">
        <v>0</v>
      </c>
      <c r="AE349" s="57">
        <v>0</v>
      </c>
      <c r="AF349" s="57">
        <v>2195840</v>
      </c>
      <c r="AG349" s="57">
        <v>1280640</v>
      </c>
      <c r="AH349" s="57">
        <v>2170560</v>
      </c>
      <c r="AI349" s="57">
        <v>553280</v>
      </c>
      <c r="AJ349" s="57">
        <v>2331840</v>
      </c>
      <c r="AK349" s="57">
        <v>2891200</v>
      </c>
      <c r="AL349" s="57">
        <v>0</v>
      </c>
      <c r="AM349" s="57">
        <v>0</v>
      </c>
      <c r="AN349" s="57">
        <v>0</v>
      </c>
      <c r="AO349" s="57">
        <v>0</v>
      </c>
      <c r="AP349" s="57">
        <v>0</v>
      </c>
      <c r="AQ349" s="57">
        <v>0</v>
      </c>
      <c r="AR349" s="57">
        <v>26744940</v>
      </c>
      <c r="AS349" s="57">
        <f t="shared" si="0"/>
        <v>11423360</v>
      </c>
      <c r="AT349" s="57">
        <f t="shared" si="1"/>
        <v>0</v>
      </c>
      <c r="AU349" s="57">
        <f t="shared" si="2"/>
        <v>38168300</v>
      </c>
    </row>
    <row r="350" spans="1:47" ht="15.75" customHeight="1" x14ac:dyDescent="0.2">
      <c r="A350" s="50"/>
      <c r="B350" s="51"/>
      <c r="C350" s="52"/>
      <c r="D350" s="50"/>
      <c r="E350" s="53"/>
      <c r="F350" s="53"/>
      <c r="G350" s="50"/>
      <c r="H350" s="62"/>
      <c r="I350" s="63"/>
      <c r="J350" s="50"/>
      <c r="K350" s="50"/>
      <c r="L350" s="50"/>
      <c r="M350" s="50"/>
      <c r="N350" s="55"/>
      <c r="O350" s="56"/>
      <c r="P350" s="56"/>
      <c r="Q350" s="56"/>
      <c r="R350" s="50"/>
      <c r="S350" s="50"/>
      <c r="T350" s="57">
        <v>41</v>
      </c>
      <c r="U350" s="57">
        <v>25</v>
      </c>
      <c r="V350" s="57">
        <v>55</v>
      </c>
      <c r="W350" s="57">
        <v>42</v>
      </c>
      <c r="X350" s="57">
        <v>52</v>
      </c>
      <c r="Y350" s="57">
        <v>21</v>
      </c>
      <c r="Z350" s="57">
        <v>0</v>
      </c>
      <c r="AA350" s="57">
        <v>0</v>
      </c>
      <c r="AB350" s="57">
        <v>0</v>
      </c>
      <c r="AC350" s="57">
        <v>0</v>
      </c>
      <c r="AD350" s="57">
        <v>0</v>
      </c>
      <c r="AE350" s="57">
        <v>0</v>
      </c>
      <c r="AF350" s="57">
        <v>615000</v>
      </c>
      <c r="AG350" s="57">
        <v>375000</v>
      </c>
      <c r="AH350" s="57">
        <v>825000</v>
      </c>
      <c r="AI350" s="57">
        <v>630000</v>
      </c>
      <c r="AJ350" s="57">
        <v>780000</v>
      </c>
      <c r="AK350" s="57">
        <v>315000</v>
      </c>
      <c r="AL350" s="57">
        <v>0</v>
      </c>
      <c r="AM350" s="57">
        <v>0</v>
      </c>
      <c r="AN350" s="57">
        <v>0</v>
      </c>
      <c r="AO350" s="57">
        <v>0</v>
      </c>
      <c r="AP350" s="57">
        <v>0</v>
      </c>
      <c r="AQ350" s="57">
        <v>0</v>
      </c>
      <c r="AR350" s="57">
        <v>4717052</v>
      </c>
      <c r="AS350" s="57">
        <f t="shared" si="0"/>
        <v>3540000</v>
      </c>
      <c r="AT350" s="57">
        <f t="shared" si="1"/>
        <v>0</v>
      </c>
      <c r="AU350" s="57">
        <f t="shared" si="2"/>
        <v>8257052</v>
      </c>
    </row>
    <row r="351" spans="1:47" ht="15.75" customHeight="1" x14ac:dyDescent="0.2">
      <c r="A351" s="50"/>
      <c r="B351" s="51"/>
      <c r="C351" s="52"/>
      <c r="D351" s="50"/>
      <c r="E351" s="53"/>
      <c r="F351" s="53"/>
      <c r="G351" s="50"/>
      <c r="H351" s="62"/>
      <c r="I351" s="63"/>
      <c r="J351" s="50"/>
      <c r="K351" s="50"/>
      <c r="L351" s="50"/>
      <c r="M351" s="50"/>
      <c r="N351" s="55"/>
      <c r="O351" s="56"/>
      <c r="P351" s="56"/>
      <c r="Q351" s="56"/>
      <c r="R351" s="50"/>
      <c r="S351" s="50"/>
      <c r="T351" s="57">
        <v>0</v>
      </c>
      <c r="U351" s="57">
        <v>6</v>
      </c>
      <c r="V351" s="57">
        <v>3</v>
      </c>
      <c r="W351" s="57">
        <v>2</v>
      </c>
      <c r="X351" s="57">
        <v>0</v>
      </c>
      <c r="Y351" s="57">
        <v>0</v>
      </c>
      <c r="Z351" s="57">
        <v>0</v>
      </c>
      <c r="AA351" s="57">
        <v>0</v>
      </c>
      <c r="AB351" s="57">
        <v>0</v>
      </c>
      <c r="AC351" s="57">
        <v>0</v>
      </c>
      <c r="AD351" s="57">
        <v>0</v>
      </c>
      <c r="AE351" s="57">
        <v>0</v>
      </c>
      <c r="AF351" s="57">
        <v>0</v>
      </c>
      <c r="AG351" s="57">
        <v>72000</v>
      </c>
      <c r="AH351" s="57">
        <v>36000</v>
      </c>
      <c r="AI351" s="57">
        <v>24000</v>
      </c>
      <c r="AJ351" s="57">
        <v>0</v>
      </c>
      <c r="AK351" s="57">
        <v>0</v>
      </c>
      <c r="AL351" s="57">
        <v>0</v>
      </c>
      <c r="AM351" s="57">
        <v>0</v>
      </c>
      <c r="AN351" s="57">
        <v>0</v>
      </c>
      <c r="AO351" s="57">
        <v>0</v>
      </c>
      <c r="AP351" s="57">
        <v>0</v>
      </c>
      <c r="AQ351" s="57">
        <v>0</v>
      </c>
      <c r="AR351" s="57">
        <v>404955.92</v>
      </c>
      <c r="AS351" s="57">
        <f t="shared" si="0"/>
        <v>132000</v>
      </c>
      <c r="AT351" s="57">
        <f t="shared" si="1"/>
        <v>0</v>
      </c>
      <c r="AU351" s="57">
        <f t="shared" si="2"/>
        <v>536955.91999999993</v>
      </c>
    </row>
    <row r="352" spans="1:47" ht="15.75" customHeight="1" x14ac:dyDescent="0.2">
      <c r="A352" s="50"/>
      <c r="B352" s="51"/>
      <c r="C352" s="52"/>
      <c r="D352" s="50"/>
      <c r="E352" s="53"/>
      <c r="F352" s="53"/>
      <c r="G352" s="50"/>
      <c r="H352" s="62"/>
      <c r="I352" s="63"/>
      <c r="J352" s="50"/>
      <c r="K352" s="50"/>
      <c r="L352" s="50"/>
      <c r="M352" s="50"/>
      <c r="N352" s="55"/>
      <c r="O352" s="56"/>
      <c r="P352" s="56"/>
      <c r="Q352" s="56"/>
      <c r="R352" s="50"/>
      <c r="S352" s="50"/>
      <c r="T352" s="57">
        <v>16</v>
      </c>
      <c r="U352" s="57">
        <v>0</v>
      </c>
      <c r="V352" s="57">
        <v>0</v>
      </c>
      <c r="W352" s="57">
        <v>0</v>
      </c>
      <c r="X352" s="57">
        <v>0</v>
      </c>
      <c r="Y352" s="57">
        <v>0</v>
      </c>
      <c r="Z352" s="57">
        <v>0</v>
      </c>
      <c r="AA352" s="57">
        <v>0</v>
      </c>
      <c r="AB352" s="57">
        <v>0</v>
      </c>
      <c r="AC352" s="57">
        <v>0</v>
      </c>
      <c r="AD352" s="57">
        <v>0</v>
      </c>
      <c r="AE352" s="57">
        <v>0</v>
      </c>
      <c r="AF352" s="57">
        <v>64000</v>
      </c>
      <c r="AG352" s="57">
        <v>0</v>
      </c>
      <c r="AH352" s="57">
        <v>0</v>
      </c>
      <c r="AI352" s="57">
        <v>0</v>
      </c>
      <c r="AJ352" s="57">
        <v>0</v>
      </c>
      <c r="AK352" s="57">
        <v>0</v>
      </c>
      <c r="AL352" s="57">
        <v>0</v>
      </c>
      <c r="AM352" s="57">
        <v>0</v>
      </c>
      <c r="AN352" s="57">
        <v>0</v>
      </c>
      <c r="AO352" s="57">
        <v>0</v>
      </c>
      <c r="AP352" s="57">
        <v>0</v>
      </c>
      <c r="AQ352" s="57">
        <v>0</v>
      </c>
      <c r="AR352" s="57">
        <v>120000</v>
      </c>
      <c r="AS352" s="57">
        <f t="shared" si="0"/>
        <v>64000</v>
      </c>
      <c r="AT352" s="57">
        <f t="shared" si="1"/>
        <v>0</v>
      </c>
      <c r="AU352" s="57">
        <f t="shared" si="2"/>
        <v>184000</v>
      </c>
    </row>
    <row r="353" spans="1:47" ht="15.75" customHeight="1" x14ac:dyDescent="0.2">
      <c r="A353" s="50"/>
      <c r="B353" s="51"/>
      <c r="C353" s="52"/>
      <c r="D353" s="50"/>
      <c r="E353" s="53"/>
      <c r="F353" s="53"/>
      <c r="G353" s="50"/>
      <c r="H353" s="62"/>
      <c r="I353" s="63"/>
      <c r="J353" s="50"/>
      <c r="K353" s="50"/>
      <c r="L353" s="50"/>
      <c r="M353" s="50"/>
      <c r="N353" s="55"/>
      <c r="O353" s="56"/>
      <c r="P353" s="56"/>
      <c r="Q353" s="56"/>
      <c r="R353" s="50"/>
      <c r="S353" s="50"/>
      <c r="T353" s="57">
        <v>0</v>
      </c>
      <c r="U353" s="57">
        <v>5</v>
      </c>
      <c r="V353" s="57">
        <v>5</v>
      </c>
      <c r="W353" s="57">
        <v>13</v>
      </c>
      <c r="X353" s="57">
        <v>6</v>
      </c>
      <c r="Y353" s="57">
        <v>3</v>
      </c>
      <c r="Z353" s="57">
        <v>0</v>
      </c>
      <c r="AA353" s="57">
        <v>0</v>
      </c>
      <c r="AB353" s="57">
        <v>0</v>
      </c>
      <c r="AC353" s="57">
        <v>0</v>
      </c>
      <c r="AD353" s="57">
        <v>0</v>
      </c>
      <c r="AE353" s="57">
        <v>0</v>
      </c>
      <c r="AF353" s="57">
        <v>0</v>
      </c>
      <c r="AG353" s="57">
        <v>36155</v>
      </c>
      <c r="AH353" s="57">
        <v>36155</v>
      </c>
      <c r="AI353" s="57">
        <v>94003</v>
      </c>
      <c r="AJ353" s="57">
        <v>43386</v>
      </c>
      <c r="AK353" s="57">
        <v>21693</v>
      </c>
      <c r="AL353" s="57">
        <v>0</v>
      </c>
      <c r="AM353" s="57">
        <v>0</v>
      </c>
      <c r="AN353" s="57">
        <v>0</v>
      </c>
      <c r="AO353" s="57">
        <v>0</v>
      </c>
      <c r="AP353" s="57">
        <v>0</v>
      </c>
      <c r="AQ353" s="57">
        <v>0</v>
      </c>
      <c r="AR353" s="57">
        <v>969018</v>
      </c>
      <c r="AS353" s="57">
        <f t="shared" si="0"/>
        <v>231392</v>
      </c>
      <c r="AT353" s="57">
        <f t="shared" si="1"/>
        <v>0</v>
      </c>
      <c r="AU353" s="57">
        <f t="shared" si="2"/>
        <v>1200410</v>
      </c>
    </row>
    <row r="354" spans="1:47" ht="15.75" customHeight="1" x14ac:dyDescent="0.2">
      <c r="A354" s="50"/>
      <c r="B354" s="51"/>
      <c r="C354" s="52"/>
      <c r="D354" s="50"/>
      <c r="E354" s="53"/>
      <c r="F354" s="53"/>
      <c r="G354" s="50"/>
      <c r="H354" s="62"/>
      <c r="I354" s="63"/>
      <c r="J354" s="50"/>
      <c r="K354" s="50"/>
      <c r="L354" s="50"/>
      <c r="M354" s="50"/>
      <c r="N354" s="55"/>
      <c r="O354" s="56"/>
      <c r="P354" s="56"/>
      <c r="Q354" s="56"/>
      <c r="R354" s="50"/>
      <c r="S354" s="50"/>
      <c r="T354" s="57">
        <v>0</v>
      </c>
      <c r="U354" s="57">
        <v>0</v>
      </c>
      <c r="V354" s="57">
        <v>0</v>
      </c>
      <c r="W354" s="57">
        <v>0</v>
      </c>
      <c r="X354" s="57">
        <v>0</v>
      </c>
      <c r="Y354" s="57">
        <v>0</v>
      </c>
      <c r="Z354" s="57">
        <v>0</v>
      </c>
      <c r="AA354" s="57">
        <v>0</v>
      </c>
      <c r="AB354" s="57">
        <v>0</v>
      </c>
      <c r="AC354" s="57">
        <v>0</v>
      </c>
      <c r="AD354" s="57">
        <v>0</v>
      </c>
      <c r="AE354" s="57">
        <v>0</v>
      </c>
      <c r="AF354" s="57">
        <v>0</v>
      </c>
      <c r="AG354" s="57">
        <v>0</v>
      </c>
      <c r="AH354" s="57">
        <v>0</v>
      </c>
      <c r="AI354" s="57">
        <v>0</v>
      </c>
      <c r="AJ354" s="57">
        <v>0</v>
      </c>
      <c r="AK354" s="57">
        <v>0</v>
      </c>
      <c r="AL354" s="57">
        <v>0</v>
      </c>
      <c r="AM354" s="57">
        <v>0</v>
      </c>
      <c r="AN354" s="57">
        <v>0</v>
      </c>
      <c r="AO354" s="57">
        <v>0</v>
      </c>
      <c r="AP354" s="57">
        <v>0</v>
      </c>
      <c r="AQ354" s="57">
        <v>0</v>
      </c>
      <c r="AR354" s="57">
        <v>0</v>
      </c>
      <c r="AS354" s="57">
        <f t="shared" si="0"/>
        <v>0</v>
      </c>
      <c r="AT354" s="57">
        <f t="shared" si="1"/>
        <v>0</v>
      </c>
      <c r="AU354" s="57">
        <f t="shared" si="2"/>
        <v>0</v>
      </c>
    </row>
    <row r="355" spans="1:47" ht="15.75" customHeight="1" x14ac:dyDescent="0.2">
      <c r="A355" s="50"/>
      <c r="B355" s="51"/>
      <c r="C355" s="52"/>
      <c r="D355" s="50"/>
      <c r="E355" s="53"/>
      <c r="F355" s="53"/>
      <c r="G355" s="50"/>
      <c r="H355" s="62"/>
      <c r="I355" s="63"/>
      <c r="J355" s="50"/>
      <c r="K355" s="50"/>
      <c r="L355" s="50"/>
      <c r="M355" s="50"/>
      <c r="N355" s="55"/>
      <c r="O355" s="56"/>
      <c r="P355" s="56"/>
      <c r="Q355" s="56"/>
      <c r="R355" s="50"/>
      <c r="S355" s="50"/>
      <c r="T355" s="57">
        <v>0</v>
      </c>
      <c r="U355" s="57">
        <v>0</v>
      </c>
      <c r="V355" s="57">
        <v>0</v>
      </c>
      <c r="W355" s="57">
        <v>0</v>
      </c>
      <c r="X355" s="57">
        <v>1</v>
      </c>
      <c r="Y355" s="57">
        <v>0</v>
      </c>
      <c r="Z355" s="57">
        <v>0</v>
      </c>
      <c r="AA355" s="57">
        <v>0</v>
      </c>
      <c r="AB355" s="57">
        <v>0</v>
      </c>
      <c r="AC355" s="57">
        <v>0</v>
      </c>
      <c r="AD355" s="57">
        <v>0</v>
      </c>
      <c r="AE355" s="57">
        <v>0</v>
      </c>
      <c r="AF355" s="57">
        <v>0</v>
      </c>
      <c r="AG355" s="57">
        <v>0</v>
      </c>
      <c r="AH355" s="57">
        <v>0</v>
      </c>
      <c r="AI355" s="57">
        <v>0</v>
      </c>
      <c r="AJ355" s="57">
        <v>12000</v>
      </c>
      <c r="AK355" s="57">
        <v>0</v>
      </c>
      <c r="AL355" s="57">
        <v>0</v>
      </c>
      <c r="AM355" s="57">
        <v>0</v>
      </c>
      <c r="AN355" s="57">
        <v>0</v>
      </c>
      <c r="AO355" s="57">
        <v>0</v>
      </c>
      <c r="AP355" s="57">
        <v>0</v>
      </c>
      <c r="AQ355" s="57">
        <v>0</v>
      </c>
      <c r="AR355" s="57">
        <v>2082000</v>
      </c>
      <c r="AS355" s="57">
        <f t="shared" si="0"/>
        <v>12000</v>
      </c>
      <c r="AT355" s="57">
        <f t="shared" si="1"/>
        <v>0</v>
      </c>
      <c r="AU355" s="57">
        <f t="shared" si="2"/>
        <v>2094000</v>
      </c>
    </row>
    <row r="356" spans="1:47" ht="15.75" customHeight="1" x14ac:dyDescent="0.2">
      <c r="A356" s="50"/>
      <c r="B356" s="51"/>
      <c r="C356" s="52"/>
      <c r="D356" s="50"/>
      <c r="E356" s="53"/>
      <c r="F356" s="53"/>
      <c r="G356" s="50"/>
      <c r="H356" s="62"/>
      <c r="I356" s="63"/>
      <c r="J356" s="50"/>
      <c r="K356" s="50"/>
      <c r="L356" s="50"/>
      <c r="M356" s="50"/>
      <c r="N356" s="55"/>
      <c r="O356" s="56"/>
      <c r="P356" s="56"/>
      <c r="Q356" s="56"/>
      <c r="R356" s="50"/>
      <c r="S356" s="50"/>
      <c r="T356" s="57">
        <v>0</v>
      </c>
      <c r="U356" s="57">
        <v>2</v>
      </c>
      <c r="V356" s="57">
        <v>0</v>
      </c>
      <c r="W356" s="57">
        <v>2</v>
      </c>
      <c r="X356" s="57">
        <v>0</v>
      </c>
      <c r="Y356" s="57">
        <v>0</v>
      </c>
      <c r="Z356" s="57">
        <v>0</v>
      </c>
      <c r="AA356" s="57">
        <v>0</v>
      </c>
      <c r="AB356" s="57">
        <v>0</v>
      </c>
      <c r="AC356" s="57">
        <v>0</v>
      </c>
      <c r="AD356" s="57">
        <v>0</v>
      </c>
      <c r="AE356" s="57">
        <v>0</v>
      </c>
      <c r="AF356" s="57">
        <v>0</v>
      </c>
      <c r="AG356" s="57">
        <v>30000</v>
      </c>
      <c r="AH356" s="57">
        <v>0</v>
      </c>
      <c r="AI356" s="57">
        <v>30000</v>
      </c>
      <c r="AJ356" s="57">
        <v>0</v>
      </c>
      <c r="AK356" s="57">
        <v>0</v>
      </c>
      <c r="AL356" s="57">
        <v>0</v>
      </c>
      <c r="AM356" s="57">
        <v>0</v>
      </c>
      <c r="AN356" s="57">
        <v>0</v>
      </c>
      <c r="AO356" s="57">
        <v>0</v>
      </c>
      <c r="AP356" s="57">
        <v>0</v>
      </c>
      <c r="AQ356" s="57">
        <v>0</v>
      </c>
      <c r="AR356" s="57">
        <v>153026</v>
      </c>
      <c r="AS356" s="57">
        <f t="shared" si="0"/>
        <v>60000</v>
      </c>
      <c r="AT356" s="57">
        <f t="shared" si="1"/>
        <v>0</v>
      </c>
      <c r="AU356" s="57">
        <f t="shared" si="2"/>
        <v>213026</v>
      </c>
    </row>
    <row r="357" spans="1:47" ht="15.75" customHeight="1" x14ac:dyDescent="0.2">
      <c r="A357" s="50"/>
      <c r="B357" s="51"/>
      <c r="C357" s="52"/>
      <c r="D357" s="50"/>
      <c r="E357" s="53"/>
      <c r="F357" s="53"/>
      <c r="G357" s="50"/>
      <c r="H357" s="62"/>
      <c r="I357" s="63"/>
      <c r="J357" s="50"/>
      <c r="K357" s="50"/>
      <c r="L357" s="50"/>
      <c r="M357" s="50"/>
      <c r="N357" s="55"/>
      <c r="O357" s="56"/>
      <c r="P357" s="56"/>
      <c r="Q357" s="56"/>
      <c r="R357" s="50"/>
      <c r="S357" s="50"/>
      <c r="T357" s="57">
        <v>0</v>
      </c>
      <c r="U357" s="57">
        <v>0</v>
      </c>
      <c r="V357" s="57">
        <v>0</v>
      </c>
      <c r="W357" s="57">
        <v>0</v>
      </c>
      <c r="X357" s="57">
        <v>0</v>
      </c>
      <c r="Y357" s="57">
        <v>0</v>
      </c>
      <c r="Z357" s="57">
        <v>0</v>
      </c>
      <c r="AA357" s="57">
        <v>0</v>
      </c>
      <c r="AB357" s="57">
        <v>0</v>
      </c>
      <c r="AC357" s="57">
        <v>0</v>
      </c>
      <c r="AD357" s="57">
        <v>0</v>
      </c>
      <c r="AE357" s="57">
        <v>0</v>
      </c>
      <c r="AF357" s="57">
        <v>0</v>
      </c>
      <c r="AG357" s="57">
        <v>0</v>
      </c>
      <c r="AH357" s="57">
        <v>0</v>
      </c>
      <c r="AI357" s="57">
        <v>0</v>
      </c>
      <c r="AJ357" s="57">
        <v>0</v>
      </c>
      <c r="AK357" s="57">
        <v>0</v>
      </c>
      <c r="AL357" s="57">
        <v>0</v>
      </c>
      <c r="AM357" s="57">
        <v>0</v>
      </c>
      <c r="AN357" s="57">
        <v>0</v>
      </c>
      <c r="AO357" s="57">
        <v>0</v>
      </c>
      <c r="AP357" s="57">
        <v>0</v>
      </c>
      <c r="AQ357" s="57">
        <v>0</v>
      </c>
      <c r="AR357" s="57">
        <v>175000</v>
      </c>
      <c r="AS357" s="57">
        <f t="shared" si="0"/>
        <v>0</v>
      </c>
      <c r="AT357" s="57">
        <f t="shared" si="1"/>
        <v>0</v>
      </c>
      <c r="AU357" s="57">
        <f t="shared" si="2"/>
        <v>175000</v>
      </c>
    </row>
    <row r="358" spans="1:47" ht="15.75" customHeight="1" x14ac:dyDescent="0.2">
      <c r="A358" s="50"/>
      <c r="B358" s="51"/>
      <c r="C358" s="52"/>
      <c r="D358" s="50"/>
      <c r="E358" s="53"/>
      <c r="F358" s="53"/>
      <c r="G358" s="50"/>
      <c r="H358" s="62"/>
      <c r="I358" s="63"/>
      <c r="J358" s="50"/>
      <c r="K358" s="50"/>
      <c r="L358" s="50"/>
      <c r="M358" s="50"/>
      <c r="N358" s="55"/>
      <c r="O358" s="56"/>
      <c r="P358" s="56"/>
      <c r="Q358" s="56"/>
      <c r="R358" s="50"/>
      <c r="S358" s="50"/>
      <c r="T358" s="57">
        <v>0</v>
      </c>
      <c r="U358" s="57">
        <v>0</v>
      </c>
      <c r="V358" s="57">
        <v>0</v>
      </c>
      <c r="W358" s="57">
        <v>1</v>
      </c>
      <c r="X358" s="57">
        <v>0</v>
      </c>
      <c r="Y358" s="57">
        <v>0</v>
      </c>
      <c r="Z358" s="57">
        <v>0</v>
      </c>
      <c r="AA358" s="57">
        <v>0</v>
      </c>
      <c r="AB358" s="57">
        <v>0</v>
      </c>
      <c r="AC358" s="57">
        <v>0</v>
      </c>
      <c r="AD358" s="57">
        <v>0</v>
      </c>
      <c r="AE358" s="57">
        <v>0</v>
      </c>
      <c r="AF358" s="57">
        <v>0</v>
      </c>
      <c r="AG358" s="57">
        <v>0</v>
      </c>
      <c r="AH358" s="57">
        <v>0</v>
      </c>
      <c r="AI358" s="57">
        <v>35000</v>
      </c>
      <c r="AJ358" s="57">
        <v>0</v>
      </c>
      <c r="AK358" s="57">
        <v>0</v>
      </c>
      <c r="AL358" s="57">
        <v>0</v>
      </c>
      <c r="AM358" s="57">
        <v>0</v>
      </c>
      <c r="AN358" s="57">
        <v>0</v>
      </c>
      <c r="AO358" s="57">
        <v>0</v>
      </c>
      <c r="AP358" s="57">
        <v>0</v>
      </c>
      <c r="AQ358" s="57">
        <v>0</v>
      </c>
      <c r="AR358" s="57">
        <v>259998</v>
      </c>
      <c r="AS358" s="57">
        <f t="shared" si="0"/>
        <v>35000</v>
      </c>
      <c r="AT358" s="57">
        <f t="shared" si="1"/>
        <v>0</v>
      </c>
      <c r="AU358" s="57">
        <f t="shared" si="2"/>
        <v>294998</v>
      </c>
    </row>
    <row r="359" spans="1:47" ht="15.75" customHeight="1" x14ac:dyDescent="0.2">
      <c r="A359" s="50"/>
      <c r="B359" s="51"/>
      <c r="C359" s="52"/>
      <c r="D359" s="50"/>
      <c r="E359" s="53"/>
      <c r="F359" s="53"/>
      <c r="G359" s="50"/>
      <c r="H359" s="62"/>
      <c r="I359" s="63"/>
      <c r="J359" s="50"/>
      <c r="K359" s="50"/>
      <c r="L359" s="50"/>
      <c r="M359" s="50"/>
      <c r="N359" s="55"/>
      <c r="O359" s="56"/>
      <c r="P359" s="56"/>
      <c r="Q359" s="56"/>
      <c r="R359" s="50"/>
      <c r="S359" s="50"/>
      <c r="T359" s="57">
        <v>0</v>
      </c>
      <c r="U359" s="57">
        <v>5</v>
      </c>
      <c r="V359" s="57">
        <v>0</v>
      </c>
      <c r="W359" s="57">
        <v>0</v>
      </c>
      <c r="X359" s="57">
        <v>0</v>
      </c>
      <c r="Y359" s="57">
        <v>0</v>
      </c>
      <c r="Z359" s="57">
        <v>0</v>
      </c>
      <c r="AA359" s="57">
        <v>0</v>
      </c>
      <c r="AB359" s="57">
        <v>0</v>
      </c>
      <c r="AC359" s="57">
        <v>0</v>
      </c>
      <c r="AD359" s="57">
        <v>0</v>
      </c>
      <c r="AE359" s="57">
        <v>0</v>
      </c>
      <c r="AF359" s="57">
        <v>0</v>
      </c>
      <c r="AG359" s="57">
        <v>12500</v>
      </c>
      <c r="AH359" s="57">
        <v>0</v>
      </c>
      <c r="AI359" s="57">
        <v>0</v>
      </c>
      <c r="AJ359" s="57">
        <v>0</v>
      </c>
      <c r="AK359" s="57">
        <v>0</v>
      </c>
      <c r="AL359" s="57">
        <v>0</v>
      </c>
      <c r="AM359" s="57">
        <v>0</v>
      </c>
      <c r="AN359" s="57">
        <v>0</v>
      </c>
      <c r="AO359" s="57">
        <v>0</v>
      </c>
      <c r="AP359" s="57">
        <v>0</v>
      </c>
      <c r="AQ359" s="57">
        <v>0</v>
      </c>
      <c r="AR359" s="57">
        <v>210500</v>
      </c>
      <c r="AS359" s="57">
        <f t="shared" si="0"/>
        <v>12500</v>
      </c>
      <c r="AT359" s="57">
        <f t="shared" si="1"/>
        <v>0</v>
      </c>
      <c r="AU359" s="57">
        <f t="shared" si="2"/>
        <v>223000</v>
      </c>
    </row>
    <row r="360" spans="1:47" ht="15.75" customHeight="1" x14ac:dyDescent="0.2">
      <c r="A360" s="50"/>
      <c r="B360" s="51"/>
      <c r="C360" s="52"/>
      <c r="D360" s="50"/>
      <c r="E360" s="53"/>
      <c r="F360" s="53"/>
      <c r="G360" s="50"/>
      <c r="H360" s="62"/>
      <c r="I360" s="63"/>
      <c r="J360" s="50"/>
      <c r="K360" s="50"/>
      <c r="L360" s="50"/>
      <c r="M360" s="50"/>
      <c r="N360" s="55"/>
      <c r="O360" s="56"/>
      <c r="P360" s="56"/>
      <c r="Q360" s="56"/>
      <c r="R360" s="50"/>
      <c r="S360" s="50"/>
      <c r="T360" s="57">
        <v>0</v>
      </c>
      <c r="U360" s="57">
        <v>10</v>
      </c>
      <c r="V360" s="57">
        <v>0</v>
      </c>
      <c r="W360" s="57">
        <v>0</v>
      </c>
      <c r="X360" s="57">
        <v>0</v>
      </c>
      <c r="Y360" s="57">
        <v>0</v>
      </c>
      <c r="Z360" s="57">
        <v>0</v>
      </c>
      <c r="AA360" s="57">
        <v>0</v>
      </c>
      <c r="AB360" s="57">
        <v>0</v>
      </c>
      <c r="AC360" s="57">
        <v>0</v>
      </c>
      <c r="AD360" s="57">
        <v>0</v>
      </c>
      <c r="AE360" s="57">
        <v>0</v>
      </c>
      <c r="AF360" s="57">
        <v>0</v>
      </c>
      <c r="AG360" s="57">
        <v>10000</v>
      </c>
      <c r="AH360" s="57">
        <v>0</v>
      </c>
      <c r="AI360" s="57">
        <v>0</v>
      </c>
      <c r="AJ360" s="57">
        <v>0</v>
      </c>
      <c r="AK360" s="57">
        <v>0</v>
      </c>
      <c r="AL360" s="57">
        <v>0</v>
      </c>
      <c r="AM360" s="57">
        <v>0</v>
      </c>
      <c r="AN360" s="57">
        <v>0</v>
      </c>
      <c r="AO360" s="57">
        <v>0</v>
      </c>
      <c r="AP360" s="57">
        <v>0</v>
      </c>
      <c r="AQ360" s="57">
        <v>0</v>
      </c>
      <c r="AR360" s="57">
        <v>50000</v>
      </c>
      <c r="AS360" s="57">
        <f t="shared" si="0"/>
        <v>10000</v>
      </c>
      <c r="AT360" s="57">
        <f t="shared" si="1"/>
        <v>0</v>
      </c>
      <c r="AU360" s="57">
        <f t="shared" si="2"/>
        <v>60000</v>
      </c>
    </row>
    <row r="361" spans="1:47" ht="15.75" customHeight="1" x14ac:dyDescent="0.2">
      <c r="A361" s="50"/>
      <c r="B361" s="51"/>
      <c r="C361" s="52"/>
      <c r="D361" s="50"/>
      <c r="E361" s="53"/>
      <c r="F361" s="53"/>
      <c r="G361" s="50"/>
      <c r="H361" s="62"/>
      <c r="I361" s="63"/>
      <c r="J361" s="50"/>
      <c r="K361" s="50"/>
      <c r="L361" s="50"/>
      <c r="M361" s="50"/>
      <c r="N361" s="55"/>
      <c r="O361" s="56"/>
      <c r="P361" s="56"/>
      <c r="Q361" s="56"/>
      <c r="R361" s="50"/>
      <c r="S361" s="50"/>
      <c r="T361" s="57">
        <v>0</v>
      </c>
      <c r="U361" s="57">
        <v>0</v>
      </c>
      <c r="V361" s="57">
        <v>0</v>
      </c>
      <c r="W361" s="57">
        <v>0</v>
      </c>
      <c r="X361" s="57">
        <v>0</v>
      </c>
      <c r="Y361" s="57">
        <v>0</v>
      </c>
      <c r="Z361" s="57">
        <v>0</v>
      </c>
      <c r="AA361" s="57">
        <v>0</v>
      </c>
      <c r="AB361" s="57">
        <v>0</v>
      </c>
      <c r="AC361" s="57">
        <v>0</v>
      </c>
      <c r="AD361" s="57">
        <v>0</v>
      </c>
      <c r="AE361" s="57">
        <v>0</v>
      </c>
      <c r="AF361" s="57">
        <v>0</v>
      </c>
      <c r="AG361" s="57">
        <v>0</v>
      </c>
      <c r="AH361" s="57">
        <v>0</v>
      </c>
      <c r="AI361" s="57">
        <v>0</v>
      </c>
      <c r="AJ361" s="57">
        <v>0</v>
      </c>
      <c r="AK361" s="57">
        <v>0</v>
      </c>
      <c r="AL361" s="57">
        <v>0</v>
      </c>
      <c r="AM361" s="57">
        <v>0</v>
      </c>
      <c r="AN361" s="57">
        <v>0</v>
      </c>
      <c r="AO361" s="57">
        <v>0</v>
      </c>
      <c r="AP361" s="57">
        <v>0</v>
      </c>
      <c r="AQ361" s="57">
        <v>0</v>
      </c>
      <c r="AR361" s="57">
        <v>10000</v>
      </c>
      <c r="AS361" s="57">
        <f t="shared" si="0"/>
        <v>0</v>
      </c>
      <c r="AT361" s="57">
        <f t="shared" si="1"/>
        <v>0</v>
      </c>
      <c r="AU361" s="57">
        <f t="shared" si="2"/>
        <v>10000</v>
      </c>
    </row>
    <row r="362" spans="1:47" ht="15.75" customHeight="1" x14ac:dyDescent="0.2">
      <c r="A362" s="50"/>
      <c r="B362" s="51"/>
      <c r="C362" s="52"/>
      <c r="D362" s="50"/>
      <c r="E362" s="53"/>
      <c r="F362" s="53"/>
      <c r="G362" s="50"/>
      <c r="H362" s="62"/>
      <c r="I362" s="63"/>
      <c r="J362" s="50"/>
      <c r="K362" s="50"/>
      <c r="L362" s="50"/>
      <c r="M362" s="50"/>
      <c r="N362" s="55"/>
      <c r="O362" s="56"/>
      <c r="P362" s="56"/>
      <c r="Q362" s="56"/>
      <c r="R362" s="50"/>
      <c r="S362" s="50"/>
      <c r="T362" s="57">
        <v>0</v>
      </c>
      <c r="U362" s="57">
        <v>0</v>
      </c>
      <c r="V362" s="57">
        <v>0</v>
      </c>
      <c r="W362" s="57">
        <v>0</v>
      </c>
      <c r="X362" s="57">
        <v>0</v>
      </c>
      <c r="Y362" s="57">
        <v>0</v>
      </c>
      <c r="Z362" s="57">
        <v>0</v>
      </c>
      <c r="AA362" s="57">
        <v>0</v>
      </c>
      <c r="AB362" s="57">
        <v>0</v>
      </c>
      <c r="AC362" s="57">
        <v>0</v>
      </c>
      <c r="AD362" s="57">
        <v>0</v>
      </c>
      <c r="AE362" s="57">
        <v>0</v>
      </c>
      <c r="AF362" s="57">
        <v>0</v>
      </c>
      <c r="AG362" s="57">
        <v>0</v>
      </c>
      <c r="AH362" s="57">
        <v>0</v>
      </c>
      <c r="AI362" s="57">
        <v>0</v>
      </c>
      <c r="AJ362" s="57">
        <v>0</v>
      </c>
      <c r="AK362" s="57">
        <v>0</v>
      </c>
      <c r="AL362" s="57">
        <v>0</v>
      </c>
      <c r="AM362" s="57">
        <v>0</v>
      </c>
      <c r="AN362" s="57">
        <v>0</v>
      </c>
      <c r="AO362" s="57">
        <v>0</v>
      </c>
      <c r="AP362" s="57">
        <v>0</v>
      </c>
      <c r="AQ362" s="57">
        <v>0</v>
      </c>
      <c r="AR362" s="57">
        <v>0</v>
      </c>
      <c r="AS362" s="57">
        <f t="shared" si="0"/>
        <v>0</v>
      </c>
      <c r="AT362" s="57">
        <f t="shared" si="1"/>
        <v>0</v>
      </c>
      <c r="AU362" s="57">
        <f t="shared" si="2"/>
        <v>0</v>
      </c>
    </row>
    <row r="363" spans="1:47" ht="15.75" customHeight="1" x14ac:dyDescent="0.2">
      <c r="A363" s="50"/>
      <c r="B363" s="51"/>
      <c r="C363" s="52"/>
      <c r="D363" s="50"/>
      <c r="E363" s="53"/>
      <c r="F363" s="53"/>
      <c r="G363" s="50"/>
      <c r="H363" s="62"/>
      <c r="I363" s="63"/>
      <c r="J363" s="50"/>
      <c r="K363" s="50"/>
      <c r="L363" s="50"/>
      <c r="M363" s="50"/>
      <c r="N363" s="55"/>
      <c r="O363" s="56"/>
      <c r="P363" s="56"/>
      <c r="Q363" s="56"/>
      <c r="R363" s="50"/>
      <c r="S363" s="50"/>
      <c r="T363" s="57">
        <v>0</v>
      </c>
      <c r="U363" s="57">
        <v>0</v>
      </c>
      <c r="V363" s="57">
        <v>0</v>
      </c>
      <c r="W363" s="57">
        <v>0</v>
      </c>
      <c r="X363" s="57">
        <v>0</v>
      </c>
      <c r="Y363" s="57">
        <v>0</v>
      </c>
      <c r="Z363" s="57">
        <v>0</v>
      </c>
      <c r="AA363" s="57">
        <v>0</v>
      </c>
      <c r="AB363" s="57">
        <v>0</v>
      </c>
      <c r="AC363" s="57">
        <v>0</v>
      </c>
      <c r="AD363" s="57">
        <v>0</v>
      </c>
      <c r="AE363" s="57">
        <v>0</v>
      </c>
      <c r="AF363" s="57">
        <v>0</v>
      </c>
      <c r="AG363" s="57">
        <v>0</v>
      </c>
      <c r="AH363" s="57">
        <v>0</v>
      </c>
      <c r="AI363" s="57">
        <v>0</v>
      </c>
      <c r="AJ363" s="57">
        <v>0</v>
      </c>
      <c r="AK363" s="57">
        <v>0</v>
      </c>
      <c r="AL363" s="57">
        <v>0</v>
      </c>
      <c r="AM363" s="57">
        <v>0</v>
      </c>
      <c r="AN363" s="57">
        <v>0</v>
      </c>
      <c r="AO363" s="57">
        <v>0</v>
      </c>
      <c r="AP363" s="57">
        <v>0</v>
      </c>
      <c r="AQ363" s="57">
        <v>0</v>
      </c>
      <c r="AR363" s="57">
        <v>0</v>
      </c>
      <c r="AS363" s="57">
        <f t="shared" si="0"/>
        <v>0</v>
      </c>
      <c r="AT363" s="57">
        <f t="shared" si="1"/>
        <v>0</v>
      </c>
      <c r="AU363" s="57">
        <f t="shared" si="2"/>
        <v>0</v>
      </c>
    </row>
    <row r="364" spans="1:47" ht="15.75" customHeight="1" x14ac:dyDescent="0.2">
      <c r="A364" s="50"/>
      <c r="B364" s="51"/>
      <c r="C364" s="52"/>
      <c r="D364" s="50"/>
      <c r="E364" s="53"/>
      <c r="F364" s="53"/>
      <c r="G364" s="50"/>
      <c r="H364" s="62"/>
      <c r="I364" s="63"/>
      <c r="J364" s="50"/>
      <c r="K364" s="50"/>
      <c r="L364" s="50"/>
      <c r="M364" s="50"/>
      <c r="N364" s="55"/>
      <c r="O364" s="56"/>
      <c r="P364" s="56"/>
      <c r="Q364" s="56"/>
      <c r="R364" s="50"/>
      <c r="S364" s="50"/>
      <c r="T364" s="57">
        <v>0</v>
      </c>
      <c r="U364" s="57">
        <v>0</v>
      </c>
      <c r="V364" s="57">
        <v>0</v>
      </c>
      <c r="W364" s="57">
        <v>0</v>
      </c>
      <c r="X364" s="57">
        <v>0</v>
      </c>
      <c r="Y364" s="57">
        <v>0</v>
      </c>
      <c r="Z364" s="57">
        <v>0</v>
      </c>
      <c r="AA364" s="57">
        <v>0</v>
      </c>
      <c r="AB364" s="57">
        <v>0</v>
      </c>
      <c r="AC364" s="57">
        <v>0</v>
      </c>
      <c r="AD364" s="57">
        <v>0</v>
      </c>
      <c r="AE364" s="57">
        <v>0</v>
      </c>
      <c r="AF364" s="57">
        <v>0</v>
      </c>
      <c r="AG364" s="57">
        <v>0</v>
      </c>
      <c r="AH364" s="57">
        <v>0</v>
      </c>
      <c r="AI364" s="57">
        <v>0</v>
      </c>
      <c r="AJ364" s="57">
        <v>0</v>
      </c>
      <c r="AK364" s="57">
        <v>0</v>
      </c>
      <c r="AL364" s="57">
        <v>0</v>
      </c>
      <c r="AM364" s="57">
        <v>0</v>
      </c>
      <c r="AN364" s="57">
        <v>0</v>
      </c>
      <c r="AO364" s="57">
        <v>0</v>
      </c>
      <c r="AP364" s="57">
        <v>0</v>
      </c>
      <c r="AQ364" s="57">
        <v>0</v>
      </c>
      <c r="AR364" s="57">
        <v>0</v>
      </c>
      <c r="AS364" s="57">
        <f t="shared" si="0"/>
        <v>0</v>
      </c>
      <c r="AT364" s="57">
        <f t="shared" si="1"/>
        <v>0</v>
      </c>
      <c r="AU364" s="57">
        <f t="shared" si="2"/>
        <v>0</v>
      </c>
    </row>
    <row r="365" spans="1:47" ht="15.75" customHeight="1" x14ac:dyDescent="0.2">
      <c r="A365" s="50"/>
      <c r="B365" s="51"/>
      <c r="C365" s="52"/>
      <c r="D365" s="50"/>
      <c r="E365" s="53"/>
      <c r="F365" s="53"/>
      <c r="G365" s="50"/>
      <c r="H365" s="62"/>
      <c r="I365" s="63"/>
      <c r="J365" s="50"/>
      <c r="K365" s="50"/>
      <c r="L365" s="50"/>
      <c r="M365" s="50"/>
      <c r="N365" s="55"/>
      <c r="O365" s="56"/>
      <c r="P365" s="56"/>
      <c r="Q365" s="56"/>
      <c r="R365" s="50"/>
      <c r="S365" s="50"/>
      <c r="T365" s="57">
        <v>0</v>
      </c>
      <c r="U365" s="57">
        <v>0</v>
      </c>
      <c r="V365" s="57">
        <v>0</v>
      </c>
      <c r="W365" s="57">
        <v>0</v>
      </c>
      <c r="X365" s="57">
        <v>0</v>
      </c>
      <c r="Y365" s="57">
        <v>0</v>
      </c>
      <c r="Z365" s="57">
        <v>0</v>
      </c>
      <c r="AA365" s="57">
        <v>0</v>
      </c>
      <c r="AB365" s="57">
        <v>0</v>
      </c>
      <c r="AC365" s="57">
        <v>0</v>
      </c>
      <c r="AD365" s="57">
        <v>0</v>
      </c>
      <c r="AE365" s="57">
        <v>0</v>
      </c>
      <c r="AF365" s="57">
        <v>0</v>
      </c>
      <c r="AG365" s="57">
        <v>0</v>
      </c>
      <c r="AH365" s="57">
        <v>0</v>
      </c>
      <c r="AI365" s="57">
        <v>0</v>
      </c>
      <c r="AJ365" s="57">
        <v>0</v>
      </c>
      <c r="AK365" s="57">
        <v>0</v>
      </c>
      <c r="AL365" s="57">
        <v>0</v>
      </c>
      <c r="AM365" s="57">
        <v>0</v>
      </c>
      <c r="AN365" s="57">
        <v>0</v>
      </c>
      <c r="AO365" s="57">
        <v>0</v>
      </c>
      <c r="AP365" s="57">
        <v>0</v>
      </c>
      <c r="AQ365" s="57">
        <v>0</v>
      </c>
      <c r="AR365" s="57">
        <v>40000</v>
      </c>
      <c r="AS365" s="57">
        <f t="shared" si="0"/>
        <v>0</v>
      </c>
      <c r="AT365" s="57">
        <f t="shared" si="1"/>
        <v>0</v>
      </c>
      <c r="AU365" s="57">
        <f t="shared" si="2"/>
        <v>40000</v>
      </c>
    </row>
    <row r="366" spans="1:47" ht="15.75" customHeight="1" x14ac:dyDescent="0.2">
      <c r="A366" s="50"/>
      <c r="B366" s="51"/>
      <c r="C366" s="52"/>
      <c r="D366" s="50"/>
      <c r="E366" s="53"/>
      <c r="F366" s="53"/>
      <c r="G366" s="50"/>
      <c r="H366" s="62"/>
      <c r="I366" s="63"/>
      <c r="J366" s="50"/>
      <c r="K366" s="50"/>
      <c r="L366" s="50"/>
      <c r="M366" s="50"/>
      <c r="N366" s="55"/>
      <c r="O366" s="56"/>
      <c r="P366" s="56"/>
      <c r="Q366" s="56"/>
      <c r="R366" s="50"/>
      <c r="S366" s="50"/>
      <c r="T366" s="57">
        <v>0</v>
      </c>
      <c r="U366" s="57">
        <v>0</v>
      </c>
      <c r="V366" s="57">
        <v>0</v>
      </c>
      <c r="W366" s="57">
        <v>0</v>
      </c>
      <c r="X366" s="57">
        <v>0</v>
      </c>
      <c r="Y366" s="57">
        <v>0</v>
      </c>
      <c r="Z366" s="57">
        <v>0</v>
      </c>
      <c r="AA366" s="57">
        <v>0</v>
      </c>
      <c r="AB366" s="57">
        <v>0</v>
      </c>
      <c r="AC366" s="57">
        <v>0</v>
      </c>
      <c r="AD366" s="57">
        <v>0</v>
      </c>
      <c r="AE366" s="57">
        <v>0</v>
      </c>
      <c r="AF366" s="57">
        <v>0</v>
      </c>
      <c r="AG366" s="57">
        <v>0</v>
      </c>
      <c r="AH366" s="57">
        <v>0</v>
      </c>
      <c r="AI366" s="57">
        <v>0</v>
      </c>
      <c r="AJ366" s="57">
        <v>0</v>
      </c>
      <c r="AK366" s="57">
        <v>0</v>
      </c>
      <c r="AL366" s="57">
        <v>0</v>
      </c>
      <c r="AM366" s="57">
        <v>0</v>
      </c>
      <c r="AN366" s="57">
        <v>0</v>
      </c>
      <c r="AO366" s="57">
        <v>0</v>
      </c>
      <c r="AP366" s="57">
        <v>0</v>
      </c>
      <c r="AQ366" s="57">
        <v>0</v>
      </c>
      <c r="AR366" s="57">
        <v>0</v>
      </c>
      <c r="AS366" s="57">
        <f t="shared" si="0"/>
        <v>0</v>
      </c>
      <c r="AT366" s="57">
        <f t="shared" si="1"/>
        <v>0</v>
      </c>
      <c r="AU366" s="57">
        <f t="shared" si="2"/>
        <v>0</v>
      </c>
    </row>
    <row r="367" spans="1:47" ht="15.75" customHeight="1" x14ac:dyDescent="0.2">
      <c r="A367" s="50"/>
      <c r="B367" s="51"/>
      <c r="C367" s="52"/>
      <c r="D367" s="50"/>
      <c r="E367" s="53"/>
      <c r="F367" s="53"/>
      <c r="G367" s="50"/>
      <c r="H367" s="62"/>
      <c r="I367" s="63"/>
      <c r="J367" s="50"/>
      <c r="K367" s="50"/>
      <c r="L367" s="50"/>
      <c r="M367" s="50"/>
      <c r="N367" s="55"/>
      <c r="O367" s="56"/>
      <c r="P367" s="56"/>
      <c r="Q367" s="56"/>
      <c r="R367" s="50"/>
      <c r="S367" s="50"/>
      <c r="T367" s="57">
        <v>0</v>
      </c>
      <c r="U367" s="57">
        <v>0</v>
      </c>
      <c r="V367" s="57">
        <v>0</v>
      </c>
      <c r="W367" s="57">
        <v>0</v>
      </c>
      <c r="X367" s="57">
        <v>0</v>
      </c>
      <c r="Y367" s="57">
        <v>0</v>
      </c>
      <c r="Z367" s="57">
        <v>0</v>
      </c>
      <c r="AA367" s="57">
        <v>0</v>
      </c>
      <c r="AB367" s="57">
        <v>0</v>
      </c>
      <c r="AC367" s="57">
        <v>0</v>
      </c>
      <c r="AD367" s="57">
        <v>0</v>
      </c>
      <c r="AE367" s="57">
        <v>0</v>
      </c>
      <c r="AF367" s="57">
        <v>0</v>
      </c>
      <c r="AG367" s="57">
        <v>0</v>
      </c>
      <c r="AH367" s="57">
        <v>0</v>
      </c>
      <c r="AI367" s="57">
        <v>0</v>
      </c>
      <c r="AJ367" s="57">
        <v>0</v>
      </c>
      <c r="AK367" s="57">
        <v>0</v>
      </c>
      <c r="AL367" s="57">
        <v>0</v>
      </c>
      <c r="AM367" s="57">
        <v>0</v>
      </c>
      <c r="AN367" s="57">
        <v>0</v>
      </c>
      <c r="AO367" s="57">
        <v>0</v>
      </c>
      <c r="AP367" s="57">
        <v>0</v>
      </c>
      <c r="AQ367" s="57">
        <v>0</v>
      </c>
      <c r="AR367" s="57">
        <v>0</v>
      </c>
      <c r="AS367" s="57">
        <f t="shared" si="0"/>
        <v>0</v>
      </c>
      <c r="AT367" s="57">
        <f t="shared" si="1"/>
        <v>0</v>
      </c>
      <c r="AU367" s="57">
        <f t="shared" si="2"/>
        <v>0</v>
      </c>
    </row>
    <row r="368" spans="1:47" ht="15.75" customHeight="1" x14ac:dyDescent="0.2">
      <c r="A368" s="50"/>
      <c r="B368" s="51"/>
      <c r="C368" s="52"/>
      <c r="D368" s="50"/>
      <c r="E368" s="53"/>
      <c r="F368" s="53"/>
      <c r="G368" s="50"/>
      <c r="H368" s="62"/>
      <c r="I368" s="63"/>
      <c r="J368" s="50"/>
      <c r="K368" s="50"/>
      <c r="L368" s="50"/>
      <c r="M368" s="50"/>
      <c r="N368" s="55"/>
      <c r="O368" s="56"/>
      <c r="P368" s="56"/>
      <c r="Q368" s="56"/>
      <c r="R368" s="50"/>
      <c r="S368" s="50"/>
      <c r="T368" s="57">
        <v>0</v>
      </c>
      <c r="U368" s="57">
        <v>0</v>
      </c>
      <c r="V368" s="57">
        <v>0</v>
      </c>
      <c r="W368" s="57">
        <v>0</v>
      </c>
      <c r="X368" s="57">
        <v>0</v>
      </c>
      <c r="Y368" s="57">
        <v>0</v>
      </c>
      <c r="Z368" s="57">
        <v>0</v>
      </c>
      <c r="AA368" s="57">
        <v>0</v>
      </c>
      <c r="AB368" s="57">
        <v>0</v>
      </c>
      <c r="AC368" s="57">
        <v>0</v>
      </c>
      <c r="AD368" s="57">
        <v>0</v>
      </c>
      <c r="AE368" s="57">
        <v>0</v>
      </c>
      <c r="AF368" s="57">
        <v>0</v>
      </c>
      <c r="AG368" s="57">
        <v>0</v>
      </c>
      <c r="AH368" s="57">
        <v>0</v>
      </c>
      <c r="AI368" s="57">
        <v>0</v>
      </c>
      <c r="AJ368" s="57">
        <v>0</v>
      </c>
      <c r="AK368" s="57">
        <v>0</v>
      </c>
      <c r="AL368" s="57">
        <v>0</v>
      </c>
      <c r="AM368" s="57">
        <v>0</v>
      </c>
      <c r="AN368" s="57">
        <v>0</v>
      </c>
      <c r="AO368" s="57">
        <v>0</v>
      </c>
      <c r="AP368" s="57">
        <v>0</v>
      </c>
      <c r="AQ368" s="57">
        <v>0</v>
      </c>
      <c r="AR368" s="57">
        <v>99000</v>
      </c>
      <c r="AS368" s="57">
        <f t="shared" si="0"/>
        <v>0</v>
      </c>
      <c r="AT368" s="57">
        <f t="shared" si="1"/>
        <v>0</v>
      </c>
      <c r="AU368" s="57">
        <f t="shared" si="2"/>
        <v>99000</v>
      </c>
    </row>
    <row r="369" spans="1:47" ht="15.75" customHeight="1" x14ac:dyDescent="0.2">
      <c r="A369" s="50"/>
      <c r="B369" s="51"/>
      <c r="C369" s="52"/>
      <c r="D369" s="50"/>
      <c r="E369" s="53"/>
      <c r="F369" s="53"/>
      <c r="G369" s="50"/>
      <c r="H369" s="62"/>
      <c r="I369" s="63"/>
      <c r="J369" s="50"/>
      <c r="K369" s="50"/>
      <c r="L369" s="50"/>
      <c r="M369" s="50"/>
      <c r="N369" s="55"/>
      <c r="O369" s="56"/>
      <c r="P369" s="56"/>
      <c r="Q369" s="56"/>
      <c r="R369" s="50"/>
      <c r="S369" s="50"/>
      <c r="T369" s="57">
        <v>0</v>
      </c>
      <c r="U369" s="57">
        <v>0</v>
      </c>
      <c r="V369" s="57">
        <v>0</v>
      </c>
      <c r="W369" s="57">
        <v>0</v>
      </c>
      <c r="X369" s="57">
        <v>0</v>
      </c>
      <c r="Y369" s="57">
        <v>0</v>
      </c>
      <c r="Z369" s="57">
        <v>0</v>
      </c>
      <c r="AA369" s="57">
        <v>0</v>
      </c>
      <c r="AB369" s="57">
        <v>0</v>
      </c>
      <c r="AC369" s="57">
        <v>0</v>
      </c>
      <c r="AD369" s="57">
        <v>0</v>
      </c>
      <c r="AE369" s="57">
        <v>0</v>
      </c>
      <c r="AF369" s="57">
        <v>0</v>
      </c>
      <c r="AG369" s="57">
        <v>0</v>
      </c>
      <c r="AH369" s="57">
        <v>0</v>
      </c>
      <c r="AI369" s="57">
        <v>0</v>
      </c>
      <c r="AJ369" s="57">
        <v>0</v>
      </c>
      <c r="AK369" s="57">
        <v>0</v>
      </c>
      <c r="AL369" s="57">
        <v>0</v>
      </c>
      <c r="AM369" s="57">
        <v>0</v>
      </c>
      <c r="AN369" s="57">
        <v>0</v>
      </c>
      <c r="AO369" s="57">
        <v>0</v>
      </c>
      <c r="AP369" s="57">
        <v>0</v>
      </c>
      <c r="AQ369" s="57">
        <v>0</v>
      </c>
      <c r="AR369" s="57">
        <v>828125</v>
      </c>
      <c r="AS369" s="57">
        <f t="shared" si="0"/>
        <v>0</v>
      </c>
      <c r="AT369" s="57">
        <f t="shared" si="1"/>
        <v>0</v>
      </c>
      <c r="AU369" s="57">
        <f t="shared" si="2"/>
        <v>828125</v>
      </c>
    </row>
    <row r="370" spans="1:47" ht="15.75" customHeight="1" x14ac:dyDescent="0.2">
      <c r="A370" s="50"/>
      <c r="B370" s="51"/>
      <c r="C370" s="52"/>
      <c r="D370" s="50"/>
      <c r="E370" s="53"/>
      <c r="F370" s="53"/>
      <c r="G370" s="50"/>
      <c r="H370" s="62"/>
      <c r="I370" s="63"/>
      <c r="J370" s="50"/>
      <c r="K370" s="50"/>
      <c r="L370" s="50"/>
      <c r="M370" s="50"/>
      <c r="N370" s="55"/>
      <c r="O370" s="56"/>
      <c r="P370" s="56"/>
      <c r="Q370" s="56"/>
      <c r="R370" s="50"/>
      <c r="S370" s="50"/>
      <c r="T370" s="57">
        <v>0</v>
      </c>
      <c r="U370" s="57">
        <v>0</v>
      </c>
      <c r="V370" s="57">
        <v>0</v>
      </c>
      <c r="W370" s="57">
        <v>0</v>
      </c>
      <c r="X370" s="57">
        <v>0</v>
      </c>
      <c r="Y370" s="57">
        <v>0</v>
      </c>
      <c r="Z370" s="57">
        <v>0</v>
      </c>
      <c r="AA370" s="57">
        <v>0</v>
      </c>
      <c r="AB370" s="57">
        <v>0</v>
      </c>
      <c r="AC370" s="57">
        <v>0</v>
      </c>
      <c r="AD370" s="57">
        <v>0</v>
      </c>
      <c r="AE370" s="57">
        <v>0</v>
      </c>
      <c r="AF370" s="57">
        <v>0</v>
      </c>
      <c r="AG370" s="57">
        <v>0</v>
      </c>
      <c r="AH370" s="57">
        <v>0</v>
      </c>
      <c r="AI370" s="57">
        <v>0</v>
      </c>
      <c r="AJ370" s="57">
        <v>0</v>
      </c>
      <c r="AK370" s="57">
        <v>0</v>
      </c>
      <c r="AL370" s="57">
        <v>0</v>
      </c>
      <c r="AM370" s="57">
        <v>0</v>
      </c>
      <c r="AN370" s="57">
        <v>0</v>
      </c>
      <c r="AO370" s="57">
        <v>0</v>
      </c>
      <c r="AP370" s="57">
        <v>0</v>
      </c>
      <c r="AQ370" s="57">
        <v>0</v>
      </c>
      <c r="AR370" s="57">
        <v>0</v>
      </c>
      <c r="AS370" s="57">
        <f t="shared" si="0"/>
        <v>0</v>
      </c>
      <c r="AT370" s="57">
        <f t="shared" si="1"/>
        <v>0</v>
      </c>
      <c r="AU370" s="57">
        <f t="shared" si="2"/>
        <v>0</v>
      </c>
    </row>
    <row r="371" spans="1:47" ht="15.75" customHeight="1" x14ac:dyDescent="0.2">
      <c r="A371" s="50"/>
      <c r="B371" s="51"/>
      <c r="C371" s="52"/>
      <c r="D371" s="50"/>
      <c r="E371" s="53"/>
      <c r="F371" s="53"/>
      <c r="G371" s="50"/>
      <c r="H371" s="62"/>
      <c r="I371" s="63"/>
      <c r="J371" s="50"/>
      <c r="K371" s="50"/>
      <c r="L371" s="50"/>
      <c r="M371" s="50"/>
      <c r="N371" s="55"/>
      <c r="O371" s="56"/>
      <c r="P371" s="56"/>
      <c r="Q371" s="56"/>
      <c r="R371" s="50"/>
      <c r="S371" s="50"/>
      <c r="T371" s="57">
        <v>0</v>
      </c>
      <c r="U371" s="57">
        <v>0</v>
      </c>
      <c r="V371" s="57">
        <v>0</v>
      </c>
      <c r="W371" s="57">
        <v>0</v>
      </c>
      <c r="X371" s="57">
        <v>0</v>
      </c>
      <c r="Y371" s="57">
        <v>0</v>
      </c>
      <c r="Z371" s="57">
        <v>0</v>
      </c>
      <c r="AA371" s="57">
        <v>0</v>
      </c>
      <c r="AB371" s="57">
        <v>0</v>
      </c>
      <c r="AC371" s="57">
        <v>0</v>
      </c>
      <c r="AD371" s="57">
        <v>0</v>
      </c>
      <c r="AE371" s="57">
        <v>0</v>
      </c>
      <c r="AF371" s="57">
        <v>0</v>
      </c>
      <c r="AG371" s="57">
        <v>0</v>
      </c>
      <c r="AH371" s="57">
        <v>0</v>
      </c>
      <c r="AI371" s="57">
        <v>0</v>
      </c>
      <c r="AJ371" s="57">
        <v>0</v>
      </c>
      <c r="AK371" s="57">
        <v>0</v>
      </c>
      <c r="AL371" s="57">
        <v>0</v>
      </c>
      <c r="AM371" s="57">
        <v>0</v>
      </c>
      <c r="AN371" s="57">
        <v>0</v>
      </c>
      <c r="AO371" s="57">
        <v>0</v>
      </c>
      <c r="AP371" s="57">
        <v>0</v>
      </c>
      <c r="AQ371" s="57">
        <v>0</v>
      </c>
      <c r="AR371" s="57">
        <v>60000</v>
      </c>
      <c r="AS371" s="57">
        <f t="shared" si="0"/>
        <v>0</v>
      </c>
      <c r="AT371" s="57">
        <f t="shared" si="1"/>
        <v>0</v>
      </c>
      <c r="AU371" s="57">
        <f t="shared" si="2"/>
        <v>60000</v>
      </c>
    </row>
    <row r="372" spans="1:47" ht="15.75" customHeight="1" x14ac:dyDescent="0.2">
      <c r="A372" s="50"/>
      <c r="B372" s="51"/>
      <c r="C372" s="52"/>
      <c r="D372" s="50"/>
      <c r="E372" s="53"/>
      <c r="F372" s="53"/>
      <c r="G372" s="50"/>
      <c r="H372" s="62"/>
      <c r="I372" s="63"/>
      <c r="J372" s="50"/>
      <c r="K372" s="50"/>
      <c r="L372" s="50"/>
      <c r="M372" s="50"/>
      <c r="N372" s="55"/>
      <c r="O372" s="56"/>
      <c r="P372" s="56"/>
      <c r="Q372" s="56"/>
      <c r="R372" s="50"/>
      <c r="S372" s="50"/>
      <c r="T372" s="57">
        <v>0</v>
      </c>
      <c r="U372" s="57">
        <v>0</v>
      </c>
      <c r="V372" s="57">
        <v>0</v>
      </c>
      <c r="W372" s="57">
        <v>0</v>
      </c>
      <c r="X372" s="57">
        <v>0</v>
      </c>
      <c r="Y372" s="57">
        <v>0</v>
      </c>
      <c r="Z372" s="57">
        <v>0</v>
      </c>
      <c r="AA372" s="57">
        <v>0</v>
      </c>
      <c r="AB372" s="57">
        <v>0</v>
      </c>
      <c r="AC372" s="57">
        <v>0</v>
      </c>
      <c r="AD372" s="57">
        <v>0</v>
      </c>
      <c r="AE372" s="57">
        <v>0</v>
      </c>
      <c r="AF372" s="57">
        <v>0</v>
      </c>
      <c r="AG372" s="57">
        <v>0</v>
      </c>
      <c r="AH372" s="57">
        <v>0</v>
      </c>
      <c r="AI372" s="57">
        <v>0</v>
      </c>
      <c r="AJ372" s="57">
        <v>0</v>
      </c>
      <c r="AK372" s="57">
        <v>0</v>
      </c>
      <c r="AL372" s="57">
        <v>0</v>
      </c>
      <c r="AM372" s="57">
        <v>0</v>
      </c>
      <c r="AN372" s="57">
        <v>0</v>
      </c>
      <c r="AO372" s="57">
        <v>0</v>
      </c>
      <c r="AP372" s="57">
        <v>0</v>
      </c>
      <c r="AQ372" s="57">
        <v>0</v>
      </c>
      <c r="AR372" s="57">
        <v>120000</v>
      </c>
      <c r="AS372" s="57">
        <f t="shared" si="0"/>
        <v>0</v>
      </c>
      <c r="AT372" s="57">
        <f t="shared" si="1"/>
        <v>0</v>
      </c>
      <c r="AU372" s="57">
        <f t="shared" si="2"/>
        <v>120000</v>
      </c>
    </row>
    <row r="373" spans="1:47" ht="15.75" customHeight="1" x14ac:dyDescent="0.2">
      <c r="A373" s="50"/>
      <c r="B373" s="51"/>
      <c r="C373" s="52"/>
      <c r="D373" s="50"/>
      <c r="E373" s="53"/>
      <c r="F373" s="53"/>
      <c r="G373" s="50"/>
      <c r="H373" s="62"/>
      <c r="I373" s="63"/>
      <c r="J373" s="50"/>
      <c r="K373" s="50"/>
      <c r="L373" s="50"/>
      <c r="M373" s="50"/>
      <c r="N373" s="55"/>
      <c r="O373" s="56"/>
      <c r="P373" s="56"/>
      <c r="Q373" s="56"/>
      <c r="R373" s="50"/>
      <c r="S373" s="50"/>
      <c r="T373" s="57">
        <v>0</v>
      </c>
      <c r="U373" s="57">
        <v>0</v>
      </c>
      <c r="V373" s="57">
        <v>0</v>
      </c>
      <c r="W373" s="57">
        <v>0</v>
      </c>
      <c r="X373" s="57">
        <v>0</v>
      </c>
      <c r="Y373" s="57">
        <v>2</v>
      </c>
      <c r="Z373" s="57">
        <v>0</v>
      </c>
      <c r="AA373" s="57">
        <v>0</v>
      </c>
      <c r="AB373" s="57">
        <v>0</v>
      </c>
      <c r="AC373" s="57">
        <v>0</v>
      </c>
      <c r="AD373" s="57">
        <v>0</v>
      </c>
      <c r="AE373" s="57">
        <v>0</v>
      </c>
      <c r="AF373" s="57">
        <v>0</v>
      </c>
      <c r="AG373" s="57">
        <v>0</v>
      </c>
      <c r="AH373" s="57">
        <v>0</v>
      </c>
      <c r="AI373" s="57">
        <v>0</v>
      </c>
      <c r="AJ373" s="57">
        <v>0</v>
      </c>
      <c r="AK373" s="57">
        <v>560000</v>
      </c>
      <c r="AL373" s="57">
        <v>0</v>
      </c>
      <c r="AM373" s="57">
        <v>0</v>
      </c>
      <c r="AN373" s="57">
        <v>0</v>
      </c>
      <c r="AO373" s="57">
        <v>0</v>
      </c>
      <c r="AP373" s="57">
        <v>0</v>
      </c>
      <c r="AQ373" s="57">
        <v>0</v>
      </c>
      <c r="AR373" s="57">
        <v>0</v>
      </c>
      <c r="AS373" s="57">
        <f t="shared" si="0"/>
        <v>560000</v>
      </c>
      <c r="AT373" s="57">
        <f t="shared" si="1"/>
        <v>0</v>
      </c>
      <c r="AU373" s="57">
        <f t="shared" si="2"/>
        <v>560000</v>
      </c>
    </row>
    <row r="374" spans="1:47" ht="15.75" customHeight="1" x14ac:dyDescent="0.2">
      <c r="A374" s="50"/>
      <c r="B374" s="51"/>
      <c r="C374" s="52"/>
      <c r="D374" s="50"/>
      <c r="E374" s="53"/>
      <c r="F374" s="53"/>
      <c r="G374" s="50"/>
      <c r="H374" s="62"/>
      <c r="I374" s="63"/>
      <c r="J374" s="50"/>
      <c r="K374" s="50"/>
      <c r="L374" s="50"/>
      <c r="M374" s="50"/>
      <c r="N374" s="55"/>
      <c r="O374" s="56"/>
      <c r="P374" s="56"/>
      <c r="Q374" s="56"/>
      <c r="R374" s="50"/>
      <c r="S374" s="50"/>
      <c r="T374" s="57">
        <v>0</v>
      </c>
      <c r="U374" s="57">
        <v>0</v>
      </c>
      <c r="V374" s="57">
        <v>0</v>
      </c>
      <c r="W374" s="57">
        <v>0</v>
      </c>
      <c r="X374" s="57">
        <v>0</v>
      </c>
      <c r="Y374" s="57">
        <v>0</v>
      </c>
      <c r="Z374" s="57">
        <v>0</v>
      </c>
      <c r="AA374" s="57">
        <v>0</v>
      </c>
      <c r="AB374" s="57">
        <v>0</v>
      </c>
      <c r="AC374" s="57">
        <v>0</v>
      </c>
      <c r="AD374" s="57">
        <v>0</v>
      </c>
      <c r="AE374" s="57">
        <v>0</v>
      </c>
      <c r="AF374" s="57">
        <v>0</v>
      </c>
      <c r="AG374" s="57">
        <v>0</v>
      </c>
      <c r="AH374" s="57">
        <v>0</v>
      </c>
      <c r="AI374" s="57">
        <v>0</v>
      </c>
      <c r="AJ374" s="57">
        <v>0</v>
      </c>
      <c r="AK374" s="57">
        <v>0</v>
      </c>
      <c r="AL374" s="57">
        <v>0</v>
      </c>
      <c r="AM374" s="57">
        <v>0</v>
      </c>
      <c r="AN374" s="57">
        <v>0</v>
      </c>
      <c r="AO374" s="57">
        <v>0</v>
      </c>
      <c r="AP374" s="57">
        <v>0</v>
      </c>
      <c r="AQ374" s="57">
        <v>0</v>
      </c>
      <c r="AR374" s="57">
        <v>165000</v>
      </c>
      <c r="AS374" s="57">
        <f t="shared" si="0"/>
        <v>0</v>
      </c>
      <c r="AT374" s="57">
        <f t="shared" si="1"/>
        <v>0</v>
      </c>
      <c r="AU374" s="57">
        <f t="shared" si="2"/>
        <v>165000</v>
      </c>
    </row>
    <row r="375" spans="1:47" ht="15.75" customHeight="1" x14ac:dyDescent="0.2">
      <c r="A375" s="50"/>
      <c r="B375" s="51"/>
      <c r="C375" s="52"/>
      <c r="D375" s="50"/>
      <c r="E375" s="53"/>
      <c r="F375" s="53"/>
      <c r="G375" s="50"/>
      <c r="H375" s="62"/>
      <c r="I375" s="63"/>
      <c r="J375" s="50"/>
      <c r="K375" s="50"/>
      <c r="L375" s="50"/>
      <c r="M375" s="50"/>
      <c r="N375" s="55"/>
      <c r="O375" s="56"/>
      <c r="P375" s="56"/>
      <c r="Q375" s="56"/>
      <c r="R375" s="50"/>
      <c r="S375" s="50"/>
      <c r="T375" s="57">
        <v>0</v>
      </c>
      <c r="U375" s="57">
        <v>0</v>
      </c>
      <c r="V375" s="57">
        <v>0</v>
      </c>
      <c r="W375" s="57">
        <v>0</v>
      </c>
      <c r="X375" s="57">
        <v>0</v>
      </c>
      <c r="Y375" s="57">
        <v>0</v>
      </c>
      <c r="Z375" s="57">
        <v>0</v>
      </c>
      <c r="AA375" s="57">
        <v>0</v>
      </c>
      <c r="AB375" s="57">
        <v>0</v>
      </c>
      <c r="AC375" s="57">
        <v>0</v>
      </c>
      <c r="AD375" s="57">
        <v>0</v>
      </c>
      <c r="AE375" s="57">
        <v>0</v>
      </c>
      <c r="AF375" s="57">
        <v>0</v>
      </c>
      <c r="AG375" s="57">
        <v>0</v>
      </c>
      <c r="AH375" s="57">
        <v>0</v>
      </c>
      <c r="AI375" s="57">
        <v>0</v>
      </c>
      <c r="AJ375" s="57">
        <v>0</v>
      </c>
      <c r="AK375" s="57">
        <v>0</v>
      </c>
      <c r="AL375" s="57">
        <v>0</v>
      </c>
      <c r="AM375" s="57">
        <v>0</v>
      </c>
      <c r="AN375" s="57">
        <v>0</v>
      </c>
      <c r="AO375" s="57">
        <v>0</v>
      </c>
      <c r="AP375" s="57">
        <v>0</v>
      </c>
      <c r="AQ375" s="57">
        <v>0</v>
      </c>
      <c r="AR375" s="57">
        <v>24000</v>
      </c>
      <c r="AS375" s="57">
        <f t="shared" si="0"/>
        <v>0</v>
      </c>
      <c r="AT375" s="57">
        <f t="shared" si="1"/>
        <v>0</v>
      </c>
      <c r="AU375" s="57">
        <f t="shared" si="2"/>
        <v>24000</v>
      </c>
    </row>
    <row r="376" spans="1:47" ht="15.75" customHeight="1" x14ac:dyDescent="0.2">
      <c r="A376" s="50"/>
      <c r="B376" s="51"/>
      <c r="C376" s="52"/>
      <c r="D376" s="50"/>
      <c r="E376" s="53"/>
      <c r="F376" s="53"/>
      <c r="G376" s="50"/>
      <c r="H376" s="62"/>
      <c r="I376" s="63"/>
      <c r="J376" s="50"/>
      <c r="K376" s="50"/>
      <c r="L376" s="50"/>
      <c r="M376" s="50"/>
      <c r="N376" s="55"/>
      <c r="O376" s="56"/>
      <c r="P376" s="56"/>
      <c r="Q376" s="56"/>
      <c r="R376" s="50"/>
      <c r="S376" s="50"/>
      <c r="T376" s="57">
        <v>0</v>
      </c>
      <c r="U376" s="57">
        <v>0</v>
      </c>
      <c r="V376" s="57">
        <v>1000</v>
      </c>
      <c r="W376" s="57">
        <v>0</v>
      </c>
      <c r="X376" s="57">
        <v>0</v>
      </c>
      <c r="Y376" s="57">
        <v>0</v>
      </c>
      <c r="Z376" s="57">
        <v>0</v>
      </c>
      <c r="AA376" s="57">
        <v>0</v>
      </c>
      <c r="AB376" s="57">
        <v>0</v>
      </c>
      <c r="AC376" s="57">
        <v>0</v>
      </c>
      <c r="AD376" s="57">
        <v>0</v>
      </c>
      <c r="AE376" s="57">
        <v>0</v>
      </c>
      <c r="AF376" s="57">
        <v>0</v>
      </c>
      <c r="AG376" s="57">
        <v>0</v>
      </c>
      <c r="AH376" s="57">
        <v>280000</v>
      </c>
      <c r="AI376" s="57">
        <v>0</v>
      </c>
      <c r="AJ376" s="57">
        <v>0</v>
      </c>
      <c r="AK376" s="57">
        <v>0</v>
      </c>
      <c r="AL376" s="57">
        <v>0</v>
      </c>
      <c r="AM376" s="57">
        <v>0</v>
      </c>
      <c r="AN376" s="57">
        <v>0</v>
      </c>
      <c r="AO376" s="57">
        <v>0</v>
      </c>
      <c r="AP376" s="57">
        <v>0</v>
      </c>
      <c r="AQ376" s="57">
        <v>0</v>
      </c>
      <c r="AR376" s="57">
        <v>560000</v>
      </c>
      <c r="AS376" s="57">
        <f t="shared" si="0"/>
        <v>280000</v>
      </c>
      <c r="AT376" s="57">
        <f t="shared" si="1"/>
        <v>0</v>
      </c>
      <c r="AU376" s="57">
        <f t="shared" si="2"/>
        <v>840000</v>
      </c>
    </row>
    <row r="377" spans="1:47" ht="15.75" customHeight="1" x14ac:dyDescent="0.2">
      <c r="A377" s="50"/>
      <c r="B377" s="51"/>
      <c r="C377" s="52"/>
      <c r="D377" s="50"/>
      <c r="E377" s="53"/>
      <c r="F377" s="53"/>
      <c r="G377" s="50"/>
      <c r="H377" s="62"/>
      <c r="I377" s="63"/>
      <c r="J377" s="50"/>
      <c r="K377" s="50"/>
      <c r="L377" s="50"/>
      <c r="M377" s="50"/>
      <c r="N377" s="55"/>
      <c r="O377" s="56"/>
      <c r="P377" s="56"/>
      <c r="Q377" s="56"/>
      <c r="R377" s="50"/>
      <c r="S377" s="50"/>
      <c r="T377" s="57">
        <v>0</v>
      </c>
      <c r="U377" s="57">
        <v>0</v>
      </c>
      <c r="V377" s="57">
        <v>0</v>
      </c>
      <c r="W377" s="57">
        <v>1</v>
      </c>
      <c r="X377" s="57">
        <v>0</v>
      </c>
      <c r="Y377" s="57">
        <v>0</v>
      </c>
      <c r="Z377" s="57">
        <v>0</v>
      </c>
      <c r="AA377" s="57">
        <v>0</v>
      </c>
      <c r="AB377" s="57">
        <v>0</v>
      </c>
      <c r="AC377" s="57">
        <v>0</v>
      </c>
      <c r="AD377" s="57">
        <v>0</v>
      </c>
      <c r="AE377" s="57">
        <v>0</v>
      </c>
      <c r="AF377" s="57">
        <v>0</v>
      </c>
      <c r="AG377" s="57">
        <v>0</v>
      </c>
      <c r="AH377" s="57">
        <v>0</v>
      </c>
      <c r="AI377" s="57">
        <v>3500</v>
      </c>
      <c r="AJ377" s="57">
        <v>0</v>
      </c>
      <c r="AK377" s="57">
        <v>0</v>
      </c>
      <c r="AL377" s="57">
        <v>0</v>
      </c>
      <c r="AM377" s="57">
        <v>0</v>
      </c>
      <c r="AN377" s="57">
        <v>0</v>
      </c>
      <c r="AO377" s="57">
        <v>0</v>
      </c>
      <c r="AP377" s="57">
        <v>0</v>
      </c>
      <c r="AQ377" s="57">
        <v>0</v>
      </c>
      <c r="AR377" s="57">
        <v>58833</v>
      </c>
      <c r="AS377" s="57">
        <f t="shared" si="0"/>
        <v>3500</v>
      </c>
      <c r="AT377" s="57">
        <f t="shared" si="1"/>
        <v>0</v>
      </c>
      <c r="AU377" s="57">
        <f t="shared" si="2"/>
        <v>62333</v>
      </c>
    </row>
    <row r="378" spans="1:47" ht="15.75" customHeight="1" x14ac:dyDescent="0.2">
      <c r="A378" s="50"/>
      <c r="B378" s="51"/>
      <c r="C378" s="52"/>
      <c r="D378" s="50"/>
      <c r="E378" s="53"/>
      <c r="F378" s="53"/>
      <c r="G378" s="50"/>
      <c r="H378" s="62"/>
      <c r="I378" s="63"/>
      <c r="J378" s="50"/>
      <c r="K378" s="50"/>
      <c r="L378" s="50"/>
      <c r="M378" s="50"/>
      <c r="N378" s="55"/>
      <c r="O378" s="56"/>
      <c r="P378" s="56"/>
      <c r="Q378" s="56"/>
      <c r="R378" s="50"/>
      <c r="S378" s="50"/>
      <c r="T378" s="57">
        <v>0</v>
      </c>
      <c r="U378" s="57">
        <v>0</v>
      </c>
      <c r="V378" s="57">
        <v>0</v>
      </c>
      <c r="W378" s="57">
        <v>0</v>
      </c>
      <c r="X378" s="57">
        <v>0</v>
      </c>
      <c r="Y378" s="57">
        <v>0</v>
      </c>
      <c r="Z378" s="57">
        <v>0</v>
      </c>
      <c r="AA378" s="57">
        <v>0</v>
      </c>
      <c r="AB378" s="57">
        <v>0</v>
      </c>
      <c r="AC378" s="57">
        <v>0</v>
      </c>
      <c r="AD378" s="57">
        <v>0</v>
      </c>
      <c r="AE378" s="57">
        <v>0</v>
      </c>
      <c r="AF378" s="57">
        <v>0</v>
      </c>
      <c r="AG378" s="57">
        <v>0</v>
      </c>
      <c r="AH378" s="57">
        <v>0</v>
      </c>
      <c r="AI378" s="57">
        <v>0</v>
      </c>
      <c r="AJ378" s="57">
        <v>0</v>
      </c>
      <c r="AK378" s="57">
        <v>0</v>
      </c>
      <c r="AL378" s="57">
        <v>0</v>
      </c>
      <c r="AM378" s="57">
        <v>0</v>
      </c>
      <c r="AN378" s="57">
        <v>0</v>
      </c>
      <c r="AO378" s="57">
        <v>0</v>
      </c>
      <c r="AP378" s="57">
        <v>0</v>
      </c>
      <c r="AQ378" s="57">
        <v>0</v>
      </c>
      <c r="AR378" s="57">
        <v>7474727</v>
      </c>
      <c r="AS378" s="57">
        <f t="shared" si="0"/>
        <v>0</v>
      </c>
      <c r="AT378" s="57">
        <f t="shared" si="1"/>
        <v>0</v>
      </c>
      <c r="AU378" s="57">
        <f t="shared" si="2"/>
        <v>7474727</v>
      </c>
    </row>
    <row r="379" spans="1:47" ht="15.75" customHeight="1" x14ac:dyDescent="0.2">
      <c r="A379" s="50"/>
      <c r="B379" s="51"/>
      <c r="C379" s="52"/>
      <c r="D379" s="50"/>
      <c r="E379" s="53"/>
      <c r="F379" s="53"/>
      <c r="G379" s="50"/>
      <c r="H379" s="62"/>
      <c r="I379" s="63"/>
      <c r="J379" s="50"/>
      <c r="K379" s="50"/>
      <c r="L379" s="50"/>
      <c r="M379" s="50"/>
      <c r="N379" s="55"/>
      <c r="O379" s="56"/>
      <c r="P379" s="56"/>
      <c r="Q379" s="56"/>
      <c r="R379" s="50"/>
      <c r="S379" s="50"/>
      <c r="T379" s="57">
        <v>0</v>
      </c>
      <c r="U379" s="57">
        <v>0</v>
      </c>
      <c r="V379" s="57">
        <v>0</v>
      </c>
      <c r="W379" s="57">
        <v>9</v>
      </c>
      <c r="X379" s="57">
        <v>0</v>
      </c>
      <c r="Y379" s="57">
        <v>0</v>
      </c>
      <c r="Z379" s="57">
        <v>0</v>
      </c>
      <c r="AA379" s="57">
        <v>0</v>
      </c>
      <c r="AB379" s="57">
        <v>0</v>
      </c>
      <c r="AC379" s="57">
        <v>0</v>
      </c>
      <c r="AD379" s="57">
        <v>0</v>
      </c>
      <c r="AE379" s="57">
        <v>0</v>
      </c>
      <c r="AF379" s="57">
        <v>0</v>
      </c>
      <c r="AG379" s="57">
        <v>0</v>
      </c>
      <c r="AH379" s="57">
        <v>0</v>
      </c>
      <c r="AI379" s="57">
        <v>729000</v>
      </c>
      <c r="AJ379" s="57">
        <v>0</v>
      </c>
      <c r="AK379" s="57">
        <v>0</v>
      </c>
      <c r="AL379" s="57">
        <v>0</v>
      </c>
      <c r="AM379" s="57">
        <v>0</v>
      </c>
      <c r="AN379" s="57">
        <v>0</v>
      </c>
      <c r="AO379" s="57">
        <v>0</v>
      </c>
      <c r="AP379" s="57">
        <v>0</v>
      </c>
      <c r="AQ379" s="57">
        <v>0</v>
      </c>
      <c r="AR379" s="57">
        <v>1200000</v>
      </c>
      <c r="AS379" s="57">
        <f t="shared" si="0"/>
        <v>729000</v>
      </c>
      <c r="AT379" s="57">
        <f t="shared" si="1"/>
        <v>0</v>
      </c>
      <c r="AU379" s="57">
        <f t="shared" si="2"/>
        <v>1929000</v>
      </c>
    </row>
    <row r="380" spans="1:47" ht="15.75" customHeight="1" x14ac:dyDescent="0.2">
      <c r="A380" s="50"/>
      <c r="B380" s="51"/>
      <c r="C380" s="52"/>
      <c r="D380" s="50"/>
      <c r="E380" s="53"/>
      <c r="F380" s="53"/>
      <c r="G380" s="50"/>
      <c r="H380" s="62"/>
      <c r="I380" s="63"/>
      <c r="J380" s="50"/>
      <c r="K380" s="50"/>
      <c r="L380" s="50"/>
      <c r="M380" s="50"/>
      <c r="N380" s="55"/>
      <c r="O380" s="56"/>
      <c r="P380" s="56"/>
      <c r="Q380" s="56"/>
      <c r="R380" s="50"/>
      <c r="S380" s="50"/>
      <c r="T380" s="57">
        <v>0</v>
      </c>
      <c r="U380" s="57">
        <v>0</v>
      </c>
      <c r="V380" s="57">
        <v>0</v>
      </c>
      <c r="W380" s="57">
        <v>0</v>
      </c>
      <c r="X380" s="57">
        <v>0</v>
      </c>
      <c r="Y380" s="57">
        <v>0</v>
      </c>
      <c r="Z380" s="57">
        <v>0</v>
      </c>
      <c r="AA380" s="57">
        <v>0</v>
      </c>
      <c r="AB380" s="57">
        <v>0</v>
      </c>
      <c r="AC380" s="57">
        <v>0</v>
      </c>
      <c r="AD380" s="57">
        <v>0</v>
      </c>
      <c r="AE380" s="57">
        <v>0</v>
      </c>
      <c r="AF380" s="57">
        <v>0</v>
      </c>
      <c r="AG380" s="57">
        <v>0</v>
      </c>
      <c r="AH380" s="57">
        <v>0</v>
      </c>
      <c r="AI380" s="57">
        <v>0</v>
      </c>
      <c r="AJ380" s="57">
        <v>0</v>
      </c>
      <c r="AK380" s="57">
        <v>0</v>
      </c>
      <c r="AL380" s="57">
        <v>0</v>
      </c>
      <c r="AM380" s="57">
        <v>0</v>
      </c>
      <c r="AN380" s="57">
        <v>0</v>
      </c>
      <c r="AO380" s="57">
        <v>0</v>
      </c>
      <c r="AP380" s="57">
        <v>0</v>
      </c>
      <c r="AQ380" s="57">
        <v>0</v>
      </c>
      <c r="AR380" s="57">
        <v>145000</v>
      </c>
      <c r="AS380" s="57">
        <f t="shared" si="0"/>
        <v>0</v>
      </c>
      <c r="AT380" s="57">
        <f t="shared" si="1"/>
        <v>0</v>
      </c>
      <c r="AU380" s="57">
        <f t="shared" si="2"/>
        <v>145000</v>
      </c>
    </row>
    <row r="381" spans="1:47" ht="15.75" customHeight="1" x14ac:dyDescent="0.2">
      <c r="A381" s="50"/>
      <c r="B381" s="65"/>
      <c r="C381" s="52"/>
      <c r="D381" s="50"/>
      <c r="E381" s="53"/>
      <c r="F381" s="53"/>
      <c r="G381" s="50"/>
      <c r="H381" s="62"/>
      <c r="I381" s="63"/>
      <c r="J381" s="50"/>
      <c r="K381" s="50"/>
      <c r="L381" s="50"/>
      <c r="M381" s="50"/>
      <c r="N381" s="55"/>
      <c r="O381" s="56"/>
      <c r="P381" s="56"/>
      <c r="Q381" s="56"/>
      <c r="R381" s="50"/>
      <c r="S381" s="50"/>
      <c r="T381" s="66">
        <v>0</v>
      </c>
      <c r="U381" s="66">
        <v>0</v>
      </c>
      <c r="V381" s="66">
        <v>0</v>
      </c>
      <c r="W381" s="66">
        <v>0</v>
      </c>
      <c r="X381" s="66">
        <v>0</v>
      </c>
      <c r="Y381" s="66">
        <v>0</v>
      </c>
      <c r="Z381" s="66">
        <v>0</v>
      </c>
      <c r="AA381" s="66">
        <v>0</v>
      </c>
      <c r="AB381" s="66">
        <v>0</v>
      </c>
      <c r="AC381" s="66">
        <v>0</v>
      </c>
      <c r="AD381" s="66">
        <v>0</v>
      </c>
      <c r="AE381" s="66">
        <v>0</v>
      </c>
      <c r="AF381" s="67">
        <v>0</v>
      </c>
      <c r="AG381" s="67">
        <v>0</v>
      </c>
      <c r="AH381" s="67">
        <v>0</v>
      </c>
      <c r="AI381" s="67">
        <v>0</v>
      </c>
      <c r="AJ381" s="67">
        <v>0</v>
      </c>
      <c r="AK381" s="67">
        <v>0</v>
      </c>
      <c r="AL381" s="67">
        <v>0</v>
      </c>
      <c r="AM381" s="67">
        <v>0</v>
      </c>
      <c r="AN381" s="67">
        <v>0</v>
      </c>
      <c r="AO381" s="67">
        <v>0</v>
      </c>
      <c r="AP381" s="67">
        <v>0</v>
      </c>
      <c r="AQ381" s="67">
        <v>0</v>
      </c>
      <c r="AR381" s="67">
        <v>910000</v>
      </c>
      <c r="AS381" s="67">
        <f t="shared" si="0"/>
        <v>0</v>
      </c>
      <c r="AT381" s="68">
        <f t="shared" si="1"/>
        <v>0</v>
      </c>
      <c r="AU381" s="68">
        <f t="shared" si="2"/>
        <v>910000</v>
      </c>
    </row>
    <row r="382" spans="1:47" ht="15.75" customHeight="1" x14ac:dyDescent="0.2">
      <c r="A382" s="50"/>
      <c r="B382" s="65"/>
      <c r="C382" s="52"/>
      <c r="D382" s="50"/>
      <c r="E382" s="53"/>
      <c r="F382" s="53"/>
      <c r="G382" s="50"/>
      <c r="H382" s="62"/>
      <c r="I382" s="63"/>
      <c r="J382" s="50"/>
      <c r="K382" s="50"/>
      <c r="L382" s="50"/>
      <c r="M382" s="50"/>
      <c r="N382" s="55"/>
      <c r="O382" s="56"/>
      <c r="P382" s="56"/>
      <c r="Q382" s="56"/>
      <c r="R382" s="50"/>
      <c r="S382" s="50"/>
      <c r="T382" s="66">
        <v>0</v>
      </c>
      <c r="U382" s="66">
        <v>2</v>
      </c>
      <c r="V382" s="66">
        <v>0</v>
      </c>
      <c r="W382" s="66">
        <v>0</v>
      </c>
      <c r="X382" s="66">
        <v>0</v>
      </c>
      <c r="Y382" s="66">
        <v>0</v>
      </c>
      <c r="Z382" s="66">
        <v>0</v>
      </c>
      <c r="AA382" s="66">
        <v>0</v>
      </c>
      <c r="AB382" s="66">
        <v>0</v>
      </c>
      <c r="AC382" s="66">
        <v>0</v>
      </c>
      <c r="AD382" s="66">
        <v>0</v>
      </c>
      <c r="AE382" s="66">
        <v>0</v>
      </c>
      <c r="AF382" s="67">
        <v>0</v>
      </c>
      <c r="AG382" s="67">
        <v>30000</v>
      </c>
      <c r="AH382" s="67">
        <v>0</v>
      </c>
      <c r="AI382" s="67">
        <v>0</v>
      </c>
      <c r="AJ382" s="67">
        <v>0</v>
      </c>
      <c r="AK382" s="67">
        <v>0</v>
      </c>
      <c r="AL382" s="67">
        <v>0</v>
      </c>
      <c r="AM382" s="67">
        <v>0</v>
      </c>
      <c r="AN382" s="67">
        <v>0</v>
      </c>
      <c r="AO382" s="67">
        <v>0</v>
      </c>
      <c r="AP382" s="67">
        <v>0</v>
      </c>
      <c r="AQ382" s="67">
        <v>0</v>
      </c>
      <c r="AR382" s="67">
        <v>512000</v>
      </c>
      <c r="AS382" s="67">
        <f t="shared" si="0"/>
        <v>30000</v>
      </c>
      <c r="AT382" s="68">
        <f t="shared" si="1"/>
        <v>0</v>
      </c>
      <c r="AU382" s="68">
        <f t="shared" si="2"/>
        <v>542000</v>
      </c>
    </row>
    <row r="383" spans="1:47" ht="15.75" customHeight="1" x14ac:dyDescent="0.2">
      <c r="A383" s="50"/>
      <c r="B383" s="65"/>
      <c r="C383" s="52"/>
      <c r="D383" s="50"/>
      <c r="E383" s="53"/>
      <c r="F383" s="53"/>
      <c r="G383" s="50"/>
      <c r="H383" s="62"/>
      <c r="I383" s="63"/>
      <c r="J383" s="50"/>
      <c r="K383" s="50"/>
      <c r="L383" s="50"/>
      <c r="M383" s="50"/>
      <c r="N383" s="55"/>
      <c r="O383" s="56"/>
      <c r="P383" s="56"/>
      <c r="Q383" s="56"/>
      <c r="R383" s="50"/>
      <c r="S383" s="50"/>
      <c r="T383" s="66">
        <v>0</v>
      </c>
      <c r="U383" s="66">
        <v>0</v>
      </c>
      <c r="V383" s="66">
        <v>0</v>
      </c>
      <c r="W383" s="66">
        <v>0</v>
      </c>
      <c r="X383" s="66">
        <v>0</v>
      </c>
      <c r="Y383" s="66">
        <v>0</v>
      </c>
      <c r="Z383" s="66">
        <v>0</v>
      </c>
      <c r="AA383" s="66">
        <v>0</v>
      </c>
      <c r="AB383" s="66">
        <v>0</v>
      </c>
      <c r="AC383" s="66">
        <v>0</v>
      </c>
      <c r="AD383" s="66">
        <v>0</v>
      </c>
      <c r="AE383" s="66">
        <v>0</v>
      </c>
      <c r="AF383" s="67">
        <v>0</v>
      </c>
      <c r="AG383" s="67">
        <v>0</v>
      </c>
      <c r="AH383" s="67">
        <v>0</v>
      </c>
      <c r="AI383" s="67">
        <v>0</v>
      </c>
      <c r="AJ383" s="67">
        <v>0</v>
      </c>
      <c r="AK383" s="67">
        <v>0</v>
      </c>
      <c r="AL383" s="67">
        <v>0</v>
      </c>
      <c r="AM383" s="67">
        <v>0</v>
      </c>
      <c r="AN383" s="67">
        <v>0</v>
      </c>
      <c r="AO383" s="67">
        <v>0</v>
      </c>
      <c r="AP383" s="67">
        <v>0</v>
      </c>
      <c r="AQ383" s="67">
        <v>0</v>
      </c>
      <c r="AR383" s="67">
        <v>560000</v>
      </c>
      <c r="AS383" s="67">
        <f t="shared" si="0"/>
        <v>0</v>
      </c>
      <c r="AT383" s="68">
        <f t="shared" si="1"/>
        <v>0</v>
      </c>
      <c r="AU383" s="68">
        <f t="shared" si="2"/>
        <v>560000</v>
      </c>
    </row>
    <row r="384" spans="1:47" ht="15.75" customHeight="1" x14ac:dyDescent="0.2">
      <c r="A384" s="50"/>
      <c r="B384" s="65"/>
      <c r="C384" s="58"/>
      <c r="D384" s="50"/>
      <c r="E384" s="53"/>
      <c r="F384" s="53"/>
      <c r="G384" s="50"/>
      <c r="H384" s="62"/>
      <c r="I384" s="63"/>
      <c r="J384" s="50"/>
      <c r="K384" s="50"/>
      <c r="L384" s="50"/>
      <c r="M384" s="50"/>
      <c r="N384" s="55"/>
      <c r="O384" s="56"/>
      <c r="P384" s="56"/>
      <c r="Q384" s="56"/>
      <c r="R384" s="50"/>
      <c r="S384" s="50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8"/>
      <c r="AU384" s="68"/>
    </row>
    <row r="385" spans="1:47" ht="15.75" customHeight="1" x14ac:dyDescent="0.2">
      <c r="A385" s="50"/>
      <c r="B385" s="65"/>
      <c r="C385" s="58"/>
      <c r="D385" s="50"/>
      <c r="E385" s="53"/>
      <c r="F385" s="53"/>
      <c r="G385" s="50"/>
      <c r="H385" s="62"/>
      <c r="I385" s="63"/>
      <c r="J385" s="50"/>
      <c r="K385" s="50"/>
      <c r="L385" s="50"/>
      <c r="M385" s="50"/>
      <c r="N385" s="55"/>
      <c r="O385" s="56"/>
      <c r="P385" s="56"/>
      <c r="Q385" s="56"/>
      <c r="R385" s="50"/>
      <c r="S385" s="50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8"/>
      <c r="AU385" s="68"/>
    </row>
    <row r="386" spans="1:47" ht="15.75" customHeight="1" x14ac:dyDescent="0.2">
      <c r="A386" s="50"/>
      <c r="B386" s="65"/>
      <c r="C386" s="52"/>
      <c r="D386" s="50"/>
      <c r="E386" s="53"/>
      <c r="F386" s="53"/>
      <c r="G386" s="50"/>
      <c r="H386" s="62"/>
      <c r="I386" s="63"/>
      <c r="J386" s="50"/>
      <c r="K386" s="50"/>
      <c r="L386" s="50"/>
      <c r="M386" s="50"/>
      <c r="N386" s="55"/>
      <c r="O386" s="56"/>
      <c r="P386" s="56"/>
      <c r="Q386" s="56"/>
      <c r="R386" s="50"/>
      <c r="S386" s="50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8"/>
      <c r="AU386" s="68"/>
    </row>
    <row r="387" spans="1:47" ht="15.75" customHeight="1" x14ac:dyDescent="0.2">
      <c r="A387" s="50"/>
      <c r="B387" s="65"/>
      <c r="C387" s="52"/>
      <c r="D387" s="50"/>
      <c r="E387" s="53"/>
      <c r="F387" s="53"/>
      <c r="G387" s="50"/>
      <c r="H387" s="62"/>
      <c r="I387" s="63"/>
      <c r="J387" s="50"/>
      <c r="K387" s="50"/>
      <c r="L387" s="50"/>
      <c r="M387" s="50"/>
      <c r="N387" s="55"/>
      <c r="O387" s="56"/>
      <c r="P387" s="56"/>
      <c r="Q387" s="56"/>
      <c r="R387" s="50"/>
      <c r="S387" s="50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8"/>
      <c r="AU387" s="68"/>
    </row>
    <row r="388" spans="1:47" ht="15.75" customHeight="1" x14ac:dyDescent="0.2">
      <c r="A388" s="50"/>
      <c r="B388" s="65"/>
      <c r="C388" s="52"/>
      <c r="D388" s="50"/>
      <c r="E388" s="53"/>
      <c r="F388" s="53"/>
      <c r="G388" s="50"/>
      <c r="H388" s="62"/>
      <c r="I388" s="63"/>
      <c r="J388" s="50"/>
      <c r="K388" s="50"/>
      <c r="L388" s="50"/>
      <c r="M388" s="50"/>
      <c r="N388" s="55"/>
      <c r="O388" s="56"/>
      <c r="P388" s="56"/>
      <c r="Q388" s="56"/>
      <c r="R388" s="50"/>
      <c r="S388" s="50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8"/>
      <c r="AU388" s="68"/>
    </row>
    <row r="389" spans="1:47" ht="15.75" customHeight="1" x14ac:dyDescent="0.2">
      <c r="A389" s="50"/>
      <c r="B389" s="65"/>
      <c r="C389" s="52"/>
      <c r="D389" s="50"/>
      <c r="E389" s="53"/>
      <c r="F389" s="53"/>
      <c r="G389" s="50"/>
      <c r="H389" s="62"/>
      <c r="I389" s="63"/>
      <c r="J389" s="50"/>
      <c r="K389" s="50"/>
      <c r="L389" s="50"/>
      <c r="M389" s="50"/>
      <c r="N389" s="55"/>
      <c r="O389" s="56"/>
      <c r="P389" s="56"/>
      <c r="Q389" s="56"/>
      <c r="R389" s="50"/>
      <c r="S389" s="50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8"/>
      <c r="AU389" s="68"/>
    </row>
    <row r="390" spans="1:47" ht="15.75" customHeight="1" x14ac:dyDescent="0.2">
      <c r="A390" s="50"/>
      <c r="B390" s="65"/>
      <c r="C390" s="52"/>
      <c r="D390" s="50"/>
      <c r="E390" s="53"/>
      <c r="F390" s="53"/>
      <c r="G390" s="50"/>
      <c r="H390" s="62"/>
      <c r="I390" s="63"/>
      <c r="J390" s="50"/>
      <c r="K390" s="50"/>
      <c r="L390" s="50"/>
      <c r="M390" s="50"/>
      <c r="N390" s="55"/>
      <c r="O390" s="56"/>
      <c r="P390" s="56"/>
      <c r="Q390" s="56"/>
      <c r="R390" s="50"/>
      <c r="S390" s="50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8"/>
      <c r="AU390" s="68"/>
    </row>
    <row r="391" spans="1:47" ht="15.75" customHeight="1" x14ac:dyDescent="0.2">
      <c r="A391" s="50"/>
      <c r="B391" s="65"/>
      <c r="C391" s="52"/>
      <c r="D391" s="50"/>
      <c r="E391" s="53"/>
      <c r="F391" s="53"/>
      <c r="G391" s="50"/>
      <c r="H391" s="62"/>
      <c r="I391" s="63"/>
      <c r="J391" s="50"/>
      <c r="K391" s="50"/>
      <c r="L391" s="50"/>
      <c r="M391" s="50"/>
      <c r="N391" s="55"/>
      <c r="O391" s="56"/>
      <c r="P391" s="56"/>
      <c r="Q391" s="56"/>
      <c r="R391" s="50"/>
      <c r="S391" s="50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8"/>
      <c r="AU391" s="68"/>
    </row>
    <row r="392" spans="1:47" ht="15.75" customHeight="1" x14ac:dyDescent="0.2">
      <c r="A392" s="50"/>
      <c r="B392" s="65"/>
      <c r="C392" s="52"/>
      <c r="D392" s="50"/>
      <c r="E392" s="53"/>
      <c r="F392" s="53"/>
      <c r="G392" s="50"/>
      <c r="H392" s="62"/>
      <c r="I392" s="63"/>
      <c r="J392" s="50"/>
      <c r="K392" s="50"/>
      <c r="L392" s="50"/>
      <c r="M392" s="50"/>
      <c r="N392" s="55"/>
      <c r="O392" s="56"/>
      <c r="P392" s="56"/>
      <c r="Q392" s="56"/>
      <c r="R392" s="50"/>
      <c r="S392" s="50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8"/>
      <c r="AU392" s="68"/>
    </row>
    <row r="393" spans="1:47" ht="15.75" customHeight="1" x14ac:dyDescent="0.2">
      <c r="N393" s="69"/>
    </row>
    <row r="394" spans="1:47" ht="15.75" customHeight="1" x14ac:dyDescent="0.2">
      <c r="N394" s="69"/>
    </row>
    <row r="395" spans="1:47" ht="14.25" customHeight="1" x14ac:dyDescent="0.2"/>
    <row r="396" spans="1:47" ht="14.25" customHeight="1" x14ac:dyDescent="0.2"/>
    <row r="397" spans="1:47" ht="14.25" customHeight="1" x14ac:dyDescent="0.2"/>
    <row r="398" spans="1:47" ht="14.25" customHeight="1" x14ac:dyDescent="0.2"/>
    <row r="399" spans="1:47" ht="14.25" customHeight="1" x14ac:dyDescent="0.2"/>
    <row r="400" spans="1:47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6">
    <mergeCell ref="AU3:AU4"/>
    <mergeCell ref="T3:AE3"/>
    <mergeCell ref="AF3:AQ3"/>
    <mergeCell ref="AR3:AR4"/>
    <mergeCell ref="AS3:AS4"/>
    <mergeCell ref="AT3:AT4"/>
  </mergeCells>
  <conditionalFormatting sqref="R6:R392">
    <cfRule type="containsText" dxfId="3" priority="1" operator="containsText" text="OK">
      <formula>NOT(ISERROR(SEARCH(("OK"),(R6))))</formula>
    </cfRule>
    <cfRule type="cellIs" dxfId="2" priority="2" operator="greaterThan">
      <formula>0</formula>
    </cfRule>
  </conditionalFormatting>
  <conditionalFormatting sqref="T6:AE1000">
    <cfRule type="notContainsBlanks" dxfId="1" priority="3">
      <formula>LEN(TRIM(T6))&gt;0</formula>
    </cfRule>
    <cfRule type="notContainsBlanks" dxfId="0" priority="4">
      <formula>LEN(TRIM(T6))&gt;0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Cường Nguyễn Trịnh</cp:lastModifiedBy>
  <dcterms:created xsi:type="dcterms:W3CDTF">2022-07-27T09:10:33Z</dcterms:created>
  <dcterms:modified xsi:type="dcterms:W3CDTF">2026-06-09T06:57:01Z</dcterms:modified>
</cp:coreProperties>
</file>